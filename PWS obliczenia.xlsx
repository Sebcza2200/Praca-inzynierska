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queryTables/queryTable6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esktop\OBRONA\praca\Praca\PWS-51\"/>
    </mc:Choice>
  </mc:AlternateContent>
  <xr:revisionPtr revIDLastSave="0" documentId="13_ncr:1_{DD0153C4-7AC7-40ED-A057-89E346A9F837}" xr6:coauthVersionLast="47" xr6:coauthVersionMax="47" xr10:uidLastSave="{00000000-0000-0000-0000-000000000000}"/>
  <bookViews>
    <workbookView xWindow="-108" yWindow="-108" windowWidth="23256" windowHeight="12576" xr2:uid="{8149A5FC-CE87-43FF-B57A-8CB287CFCCD0}"/>
  </bookViews>
  <sheets>
    <sheet name="Arkusz1" sheetId="1" r:id="rId1"/>
    <sheet name="projekty 2 i 3" sheetId="2" r:id="rId2"/>
    <sheet name="projekt 4" sheetId="3" r:id="rId3"/>
    <sheet name="projekt 5" sheetId="4" r:id="rId4"/>
  </sheets>
  <definedNames>
    <definedName name="CdodJ" localSheetId="3">'projekt 5'!$W$15:$X$49</definedName>
    <definedName name="cx" localSheetId="1">'projekty 2 i 3'!$C$3:$C$376</definedName>
    <definedName name="Cx_Cz" localSheetId="1">'projekty 2 i 3'!$E$2:$F$123</definedName>
    <definedName name="cz" localSheetId="1">'projekty 2 i 3'!$A$3:$B$348</definedName>
    <definedName name="Cz_a" localSheetId="1">'projekty 2 i 3'!$A$4:$B$237</definedName>
    <definedName name="Cz_a_1" localSheetId="1">'projekty 2 i 3'!$F$3:$G$237</definedName>
    <definedName name="_xlnm.Print_Area" localSheetId="1">'projekty 2 i 3'!$G$1:$V$45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5" i="1"/>
  <c r="I3" i="2"/>
  <c r="P99" i="4"/>
  <c r="P100" i="4"/>
  <c r="P101" i="4"/>
  <c r="P102" i="4"/>
  <c r="P103" i="4"/>
  <c r="P104" i="4"/>
  <c r="P98" i="4"/>
  <c r="N98" i="4"/>
  <c r="G99" i="4"/>
  <c r="G100" i="4"/>
  <c r="G101" i="4"/>
  <c r="G102" i="4"/>
  <c r="G103" i="4"/>
  <c r="G104" i="4"/>
  <c r="G98" i="4"/>
  <c r="H98" i="4" s="1"/>
  <c r="E98" i="4"/>
  <c r="Y76" i="4"/>
  <c r="Y77" i="4"/>
  <c r="Y78" i="4"/>
  <c r="Y79" i="4"/>
  <c r="Y80" i="4"/>
  <c r="Y81" i="4"/>
  <c r="Y75" i="4"/>
  <c r="W75" i="4"/>
  <c r="P76" i="4"/>
  <c r="P77" i="4"/>
  <c r="Q77" i="4" s="1"/>
  <c r="P78" i="4"/>
  <c r="P79" i="4"/>
  <c r="P80" i="4"/>
  <c r="P81" i="4"/>
  <c r="Q81" i="4" s="1"/>
  <c r="P75" i="4"/>
  <c r="N75" i="4"/>
  <c r="G76" i="4"/>
  <c r="G77" i="4"/>
  <c r="G78" i="4"/>
  <c r="G79" i="4"/>
  <c r="G80" i="4"/>
  <c r="G81" i="4"/>
  <c r="G75" i="4"/>
  <c r="E75" i="4"/>
  <c r="W51" i="4"/>
  <c r="Y51" i="4" s="1"/>
  <c r="Z51" i="4" s="1"/>
  <c r="Y52" i="4"/>
  <c r="Z52" i="4" s="1"/>
  <c r="Y53" i="4"/>
  <c r="Y54" i="4"/>
  <c r="Y55" i="4"/>
  <c r="Y56" i="4"/>
  <c r="Y57" i="4"/>
  <c r="Y58" i="4"/>
  <c r="Z58" i="4" s="1"/>
  <c r="P52" i="4"/>
  <c r="P53" i="4"/>
  <c r="P54" i="4"/>
  <c r="P55" i="4"/>
  <c r="P56" i="4"/>
  <c r="Q56" i="4" s="1"/>
  <c r="P57" i="4"/>
  <c r="P58" i="4"/>
  <c r="Q58" i="4" s="1"/>
  <c r="P51" i="4"/>
  <c r="N51" i="4"/>
  <c r="G52" i="4"/>
  <c r="G53" i="4"/>
  <c r="G54" i="4"/>
  <c r="G55" i="4"/>
  <c r="G56" i="4"/>
  <c r="G57" i="4"/>
  <c r="G58" i="4"/>
  <c r="G51" i="4"/>
  <c r="H51" i="4" s="1"/>
  <c r="E51" i="4"/>
  <c r="Y29" i="4"/>
  <c r="Y30" i="4"/>
  <c r="Y31" i="4"/>
  <c r="Y32" i="4"/>
  <c r="Y33" i="4"/>
  <c r="Y34" i="4"/>
  <c r="Y35" i="4"/>
  <c r="Y28" i="4"/>
  <c r="Z28" i="4" s="1"/>
  <c r="W28" i="4"/>
  <c r="P29" i="4"/>
  <c r="P30" i="4"/>
  <c r="P31" i="4"/>
  <c r="P32" i="4"/>
  <c r="P33" i="4"/>
  <c r="P34" i="4"/>
  <c r="P35" i="4"/>
  <c r="P28" i="4"/>
  <c r="Q28" i="4" s="1"/>
  <c r="N28" i="4"/>
  <c r="N104" i="4"/>
  <c r="N103" i="4"/>
  <c r="Q103" i="4" s="1"/>
  <c r="N102" i="4"/>
  <c r="Q102" i="4" s="1"/>
  <c r="N101" i="4"/>
  <c r="Q101" i="4" s="1"/>
  <c r="N100" i="4"/>
  <c r="Q100" i="4" s="1"/>
  <c r="N99" i="4"/>
  <c r="Q99" i="4" s="1"/>
  <c r="Z81" i="4"/>
  <c r="W81" i="4"/>
  <c r="X81" i="4" s="1"/>
  <c r="W80" i="4"/>
  <c r="Z80" i="4" s="1"/>
  <c r="Z79" i="4"/>
  <c r="W79" i="4"/>
  <c r="X79" i="4" s="1"/>
  <c r="W78" i="4"/>
  <c r="Z78" i="4" s="1"/>
  <c r="Z77" i="4"/>
  <c r="W77" i="4"/>
  <c r="X77" i="4" s="1"/>
  <c r="W76" i="4"/>
  <c r="Z76" i="4" s="1"/>
  <c r="X75" i="4"/>
  <c r="N81" i="4"/>
  <c r="O81" i="4" s="1"/>
  <c r="N80" i="4"/>
  <c r="Q80" i="4" s="1"/>
  <c r="Q79" i="4"/>
  <c r="N79" i="4"/>
  <c r="O79" i="4" s="1"/>
  <c r="N78" i="4"/>
  <c r="Q78" i="4" s="1"/>
  <c r="N77" i="4"/>
  <c r="O77" i="4" s="1"/>
  <c r="N76" i="4"/>
  <c r="Q76" i="4" s="1"/>
  <c r="W58" i="4"/>
  <c r="X58" i="4" s="1"/>
  <c r="W57" i="4"/>
  <c r="Z56" i="4"/>
  <c r="W56" i="4"/>
  <c r="X56" i="4" s="1"/>
  <c r="W55" i="4"/>
  <c r="Z54" i="4"/>
  <c r="W54" i="4"/>
  <c r="X54" i="4" s="1"/>
  <c r="W53" i="4"/>
  <c r="Z53" i="4" s="1"/>
  <c r="W52" i="4"/>
  <c r="X52" i="4" s="1"/>
  <c r="N58" i="4"/>
  <c r="O58" i="4" s="1"/>
  <c r="N57" i="4"/>
  <c r="Q57" i="4" s="1"/>
  <c r="N56" i="4"/>
  <c r="O56" i="4" s="1"/>
  <c r="N55" i="4"/>
  <c r="Q55" i="4" s="1"/>
  <c r="Q54" i="4"/>
  <c r="N54" i="4"/>
  <c r="O54" i="4" s="1"/>
  <c r="N53" i="4"/>
  <c r="Q53" i="4" s="1"/>
  <c r="Q52" i="4"/>
  <c r="N52" i="4"/>
  <c r="O52" i="4" s="1"/>
  <c r="E104" i="4"/>
  <c r="H104" i="4" s="1"/>
  <c r="E103" i="4"/>
  <c r="H103" i="4" s="1"/>
  <c r="E102" i="4"/>
  <c r="H102" i="4" s="1"/>
  <c r="E101" i="4"/>
  <c r="F101" i="4" s="1"/>
  <c r="E100" i="4"/>
  <c r="H100" i="4" s="1"/>
  <c r="E99" i="4"/>
  <c r="F99" i="4" s="1"/>
  <c r="E81" i="4"/>
  <c r="H81" i="4" s="1"/>
  <c r="E80" i="4"/>
  <c r="H80" i="4" s="1"/>
  <c r="E79" i="4"/>
  <c r="H79" i="4" s="1"/>
  <c r="E78" i="4"/>
  <c r="H78" i="4" s="1"/>
  <c r="E77" i="4"/>
  <c r="H77" i="4" s="1"/>
  <c r="E76" i="4"/>
  <c r="H76" i="4" s="1"/>
  <c r="H58" i="4"/>
  <c r="E58" i="4"/>
  <c r="F58" i="4" s="1"/>
  <c r="E57" i="4"/>
  <c r="H57" i="4" s="1"/>
  <c r="H56" i="4"/>
  <c r="E56" i="4"/>
  <c r="F56" i="4" s="1"/>
  <c r="E55" i="4"/>
  <c r="H55" i="4" s="1"/>
  <c r="H54" i="4"/>
  <c r="E54" i="4"/>
  <c r="F54" i="4" s="1"/>
  <c r="E53" i="4"/>
  <c r="H53" i="4" s="1"/>
  <c r="H52" i="4"/>
  <c r="E52" i="4"/>
  <c r="F52" i="4" s="1"/>
  <c r="W35" i="4"/>
  <c r="Z35" i="4" s="1"/>
  <c r="W34" i="4"/>
  <c r="Z34" i="4" s="1"/>
  <c r="W33" i="4"/>
  <c r="W32" i="4"/>
  <c r="Z32" i="4" s="1"/>
  <c r="W31" i="4"/>
  <c r="W30" i="4"/>
  <c r="Z30" i="4" s="1"/>
  <c r="W29" i="4"/>
  <c r="Z29" i="4" s="1"/>
  <c r="Q35" i="4"/>
  <c r="N35" i="4"/>
  <c r="O35" i="4" s="1"/>
  <c r="N34" i="4"/>
  <c r="Q34" i="4" s="1"/>
  <c r="Q33" i="4"/>
  <c r="N33" i="4"/>
  <c r="O33" i="4" s="1"/>
  <c r="N32" i="4"/>
  <c r="Q31" i="4"/>
  <c r="N31" i="4"/>
  <c r="O31" i="4" s="1"/>
  <c r="N30" i="4"/>
  <c r="Q30" i="4" s="1"/>
  <c r="Q29" i="4"/>
  <c r="N29" i="4"/>
  <c r="O29" i="4" s="1"/>
  <c r="G29" i="4"/>
  <c r="G30" i="4"/>
  <c r="G31" i="4"/>
  <c r="G32" i="4"/>
  <c r="G33" i="4"/>
  <c r="G34" i="4"/>
  <c r="G35" i="4"/>
  <c r="G28" i="4"/>
  <c r="F28" i="4"/>
  <c r="F29" i="4"/>
  <c r="F30" i="4"/>
  <c r="F31" i="4"/>
  <c r="F32" i="4"/>
  <c r="F33" i="4"/>
  <c r="F34" i="4"/>
  <c r="F35" i="4"/>
  <c r="E29" i="4"/>
  <c r="E30" i="4"/>
  <c r="E31" i="4"/>
  <c r="E32" i="4"/>
  <c r="E33" i="4"/>
  <c r="E34" i="4"/>
  <c r="E35" i="4"/>
  <c r="E28" i="4"/>
  <c r="B3" i="4"/>
  <c r="B2" i="4"/>
  <c r="B1" i="4"/>
  <c r="G12" i="4"/>
  <c r="Z55" i="4" l="1"/>
  <c r="H75" i="4"/>
  <c r="Z75" i="4"/>
  <c r="Z57" i="4"/>
  <c r="Q32" i="4"/>
  <c r="Z31" i="4"/>
  <c r="Z33" i="4"/>
  <c r="Q104" i="4"/>
  <c r="Q98" i="4"/>
  <c r="Q75" i="4"/>
  <c r="O75" i="4"/>
  <c r="Q51" i="4"/>
  <c r="O99" i="4"/>
  <c r="O101" i="4"/>
  <c r="O103" i="4"/>
  <c r="O98" i="4"/>
  <c r="O100" i="4"/>
  <c r="O102" i="4"/>
  <c r="O104" i="4"/>
  <c r="X76" i="4"/>
  <c r="X78" i="4"/>
  <c r="X80" i="4"/>
  <c r="O76" i="4"/>
  <c r="O78" i="4"/>
  <c r="O80" i="4"/>
  <c r="X51" i="4"/>
  <c r="X53" i="4"/>
  <c r="X55" i="4"/>
  <c r="X57" i="4"/>
  <c r="O51" i="4"/>
  <c r="O53" i="4"/>
  <c r="O55" i="4"/>
  <c r="O57" i="4"/>
  <c r="F103" i="4"/>
  <c r="H99" i="4"/>
  <c r="H101" i="4"/>
  <c r="F98" i="4"/>
  <c r="F100" i="4"/>
  <c r="F102" i="4"/>
  <c r="F104" i="4"/>
  <c r="F76" i="4"/>
  <c r="F78" i="4"/>
  <c r="F80" i="4"/>
  <c r="F75" i="4"/>
  <c r="F77" i="4"/>
  <c r="F79" i="4"/>
  <c r="F81" i="4"/>
  <c r="F51" i="4"/>
  <c r="F53" i="4"/>
  <c r="F55" i="4"/>
  <c r="F57" i="4"/>
  <c r="X28" i="4"/>
  <c r="X30" i="4"/>
  <c r="X32" i="4"/>
  <c r="X34" i="4"/>
  <c r="X29" i="4"/>
  <c r="X31" i="4"/>
  <c r="X33" i="4"/>
  <c r="X35" i="4"/>
  <c r="O28" i="4"/>
  <c r="O30" i="4"/>
  <c r="O32" i="4"/>
  <c r="O34" i="4"/>
  <c r="G2" i="4" l="1"/>
  <c r="C111" i="1"/>
  <c r="C107" i="1"/>
  <c r="C106" i="1"/>
  <c r="C102" i="1"/>
  <c r="C100" i="1"/>
  <c r="C74" i="1"/>
  <c r="C73" i="1"/>
  <c r="C89" i="1"/>
  <c r="C86" i="1"/>
  <c r="C83" i="1"/>
  <c r="C81" i="1"/>
  <c r="C77" i="1"/>
  <c r="C72" i="1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H3" i="2"/>
  <c r="G3" i="2"/>
  <c r="C34" i="1"/>
  <c r="C40" i="2"/>
  <c r="C41" i="2"/>
  <c r="C42" i="2"/>
  <c r="C43" i="2"/>
  <c r="C44" i="2"/>
  <c r="C39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3" i="2"/>
  <c r="H28" i="4" l="1"/>
  <c r="H29" i="4"/>
  <c r="H34" i="4"/>
  <c r="H30" i="4"/>
  <c r="H31" i="4"/>
  <c r="H32" i="4"/>
  <c r="H33" i="4"/>
  <c r="H35" i="4"/>
  <c r="H12" i="4"/>
  <c r="C27" i="1"/>
  <c r="I12" i="4" l="1"/>
  <c r="J12" i="4"/>
  <c r="G3" i="4"/>
  <c r="G4" i="4"/>
  <c r="G5" i="4"/>
  <c r="G6" i="4"/>
  <c r="G7" i="4"/>
  <c r="G8" i="4"/>
  <c r="G9" i="4"/>
  <c r="G10" i="4"/>
  <c r="G11" i="4"/>
  <c r="H2" i="4"/>
  <c r="C109" i="1"/>
  <c r="M1" i="3"/>
  <c r="J40" i="3" s="1"/>
  <c r="C103" i="1"/>
  <c r="C99" i="1"/>
  <c r="K1" i="3" s="1"/>
  <c r="G40" i="3" s="1"/>
  <c r="C95" i="1"/>
  <c r="C88" i="1"/>
  <c r="C66" i="1"/>
  <c r="C65" i="1"/>
  <c r="C60" i="1"/>
  <c r="C62" i="1" s="1"/>
  <c r="C52" i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3" i="2"/>
  <c r="C36" i="1"/>
  <c r="AA18" i="2"/>
  <c r="AA26" i="2"/>
  <c r="AA34" i="2"/>
  <c r="C26" i="1"/>
  <c r="C20" i="1"/>
  <c r="C40" i="1" s="1"/>
  <c r="C19" i="1"/>
  <c r="C22" i="1" s="1"/>
  <c r="N90" i="4" l="1"/>
  <c r="O90" i="4" s="1"/>
  <c r="P96" i="4"/>
  <c r="Q96" i="4" s="1"/>
  <c r="N91" i="4"/>
  <c r="O91" i="4" s="1"/>
  <c r="N85" i="4"/>
  <c r="N89" i="4"/>
  <c r="O89" i="4" s="1"/>
  <c r="N92" i="4"/>
  <c r="O92" i="4" s="1"/>
  <c r="N93" i="4"/>
  <c r="O93" i="4" s="1"/>
  <c r="N86" i="4"/>
  <c r="O86" i="4" s="1"/>
  <c r="N94" i="4"/>
  <c r="O94" i="4" s="1"/>
  <c r="N97" i="4"/>
  <c r="O97" i="4" s="1"/>
  <c r="N87" i="4"/>
  <c r="O87" i="4" s="1"/>
  <c r="N95" i="4"/>
  <c r="O95" i="4" s="1"/>
  <c r="P93" i="4"/>
  <c r="Q93" i="4" s="1"/>
  <c r="N88" i="4"/>
  <c r="O88" i="4" s="1"/>
  <c r="N96" i="4"/>
  <c r="O96" i="4" s="1"/>
  <c r="I2" i="4"/>
  <c r="J2" i="4"/>
  <c r="C67" i="1"/>
  <c r="C68" i="1" s="1"/>
  <c r="I1" i="3"/>
  <c r="D40" i="3" s="1"/>
  <c r="AA23" i="2"/>
  <c r="AA31" i="2"/>
  <c r="AA39" i="2"/>
  <c r="AA15" i="2"/>
  <c r="AA7" i="2"/>
  <c r="C96" i="1"/>
  <c r="AA10" i="2"/>
  <c r="AA25" i="2"/>
  <c r="AA40" i="2"/>
  <c r="AA32" i="2"/>
  <c r="AA24" i="2"/>
  <c r="AA16" i="2"/>
  <c r="AA8" i="2"/>
  <c r="AA38" i="2"/>
  <c r="AA30" i="2"/>
  <c r="AA22" i="2"/>
  <c r="AA14" i="2"/>
  <c r="AA6" i="2"/>
  <c r="AA29" i="2"/>
  <c r="AA21" i="2"/>
  <c r="AA13" i="2"/>
  <c r="AA5" i="2"/>
  <c r="AA36" i="2"/>
  <c r="AA4" i="2"/>
  <c r="AA37" i="2"/>
  <c r="AA28" i="2"/>
  <c r="AA20" i="2"/>
  <c r="AA12" i="2"/>
  <c r="AA3" i="2"/>
  <c r="AA35" i="2"/>
  <c r="AA27" i="2"/>
  <c r="AA19" i="2"/>
  <c r="AA11" i="2"/>
  <c r="AA33" i="2"/>
  <c r="AA17" i="2"/>
  <c r="AA9" i="2"/>
  <c r="H5" i="4"/>
  <c r="H7" i="4"/>
  <c r="H9" i="4"/>
  <c r="H6" i="4"/>
  <c r="H4" i="4"/>
  <c r="H11" i="4"/>
  <c r="H3" i="4"/>
  <c r="H10" i="4"/>
  <c r="H8" i="4"/>
  <c r="C42" i="3"/>
  <c r="C44" i="3"/>
  <c r="F44" i="3"/>
  <c r="F42" i="3"/>
  <c r="I44" i="3"/>
  <c r="I42" i="3"/>
  <c r="C42" i="1"/>
  <c r="C43" i="1"/>
  <c r="C41" i="1"/>
  <c r="C46" i="1" s="1"/>
  <c r="C39" i="1"/>
  <c r="C44" i="1" s="1"/>
  <c r="C90" i="1"/>
  <c r="Q3" i="2" s="1"/>
  <c r="C33" i="1"/>
  <c r="C21" i="1"/>
  <c r="P94" i="4" l="1"/>
  <c r="Q94" i="4" s="1"/>
  <c r="P89" i="4"/>
  <c r="Q89" i="4" s="1"/>
  <c r="O85" i="4"/>
  <c r="P91" i="4"/>
  <c r="Q91" i="4" s="1"/>
  <c r="P90" i="4"/>
  <c r="Q90" i="4" s="1"/>
  <c r="P88" i="4"/>
  <c r="Q88" i="4" s="1"/>
  <c r="P85" i="4"/>
  <c r="Q85" i="4" s="1"/>
  <c r="G25" i="4"/>
  <c r="E17" i="4"/>
  <c r="F17" i="4" s="1"/>
  <c r="E25" i="4"/>
  <c r="F25" i="4" s="1"/>
  <c r="E18" i="4"/>
  <c r="F18" i="4" s="1"/>
  <c r="E26" i="4"/>
  <c r="F26" i="4" s="1"/>
  <c r="E19" i="4"/>
  <c r="F19" i="4" s="1"/>
  <c r="E27" i="4"/>
  <c r="F27" i="4" s="1"/>
  <c r="E20" i="4"/>
  <c r="F20" i="4" s="1"/>
  <c r="E16" i="4"/>
  <c r="F16" i="4" s="1"/>
  <c r="E21" i="4"/>
  <c r="F21" i="4" s="1"/>
  <c r="E22" i="4"/>
  <c r="F22" i="4" s="1"/>
  <c r="E23" i="4"/>
  <c r="F23" i="4" s="1"/>
  <c r="E24" i="4"/>
  <c r="F24" i="4" s="1"/>
  <c r="P92" i="4"/>
  <c r="Q92" i="4" s="1"/>
  <c r="P97" i="4"/>
  <c r="Q97" i="4" s="1"/>
  <c r="P95" i="4"/>
  <c r="Q95" i="4" s="1"/>
  <c r="P86" i="4"/>
  <c r="Q86" i="4" s="1"/>
  <c r="P87" i="4"/>
  <c r="Q87" i="4" s="1"/>
  <c r="I11" i="4"/>
  <c r="J11" i="4"/>
  <c r="J5" i="4"/>
  <c r="I5" i="4"/>
  <c r="J4" i="4"/>
  <c r="I4" i="4"/>
  <c r="J6" i="4"/>
  <c r="I6" i="4"/>
  <c r="J8" i="4"/>
  <c r="I8" i="4"/>
  <c r="I3" i="4"/>
  <c r="J3" i="4"/>
  <c r="I9" i="4"/>
  <c r="J9" i="4"/>
  <c r="I10" i="4"/>
  <c r="J10" i="4"/>
  <c r="J7" i="4"/>
  <c r="I7" i="4"/>
  <c r="C63" i="1"/>
  <c r="O5" i="2" s="1"/>
  <c r="C28" i="1"/>
  <c r="E3" i="2" s="1"/>
  <c r="J3" i="2" s="1"/>
  <c r="K44" i="3"/>
  <c r="I45" i="3"/>
  <c r="K45" i="3" s="1"/>
  <c r="K42" i="3"/>
  <c r="I43" i="3"/>
  <c r="K43" i="3" s="1"/>
  <c r="F43" i="3"/>
  <c r="H43" i="3" s="1"/>
  <c r="H42" i="3"/>
  <c r="H44" i="3"/>
  <c r="F45" i="3"/>
  <c r="H45" i="3" s="1"/>
  <c r="E44" i="3"/>
  <c r="C45" i="3"/>
  <c r="E45" i="3" s="1"/>
  <c r="E42" i="3"/>
  <c r="C43" i="3"/>
  <c r="E43" i="3" s="1"/>
  <c r="C45" i="1"/>
  <c r="O22" i="2"/>
  <c r="O34" i="2"/>
  <c r="O35" i="2"/>
  <c r="O4" i="2"/>
  <c r="O24" i="2"/>
  <c r="Q14" i="2"/>
  <c r="Q16" i="2"/>
  <c r="Q18" i="2"/>
  <c r="Q20" i="2"/>
  <c r="Q22" i="2"/>
  <c r="Q24" i="2"/>
  <c r="Q26" i="2"/>
  <c r="Q28" i="2"/>
  <c r="Q30" i="2"/>
  <c r="Q32" i="2"/>
  <c r="Q34" i="2"/>
  <c r="Q36" i="2"/>
  <c r="Q38" i="2"/>
  <c r="Q40" i="2"/>
  <c r="Q11" i="2"/>
  <c r="Q10" i="2"/>
  <c r="Q4" i="2"/>
  <c r="Q9" i="2"/>
  <c r="Q13" i="2"/>
  <c r="Q8" i="2"/>
  <c r="Q15" i="2"/>
  <c r="Q17" i="2"/>
  <c r="Q19" i="2"/>
  <c r="Q21" i="2"/>
  <c r="Q23" i="2"/>
  <c r="Q25" i="2"/>
  <c r="Q27" i="2"/>
  <c r="Q29" i="2"/>
  <c r="Q31" i="2"/>
  <c r="Q33" i="2"/>
  <c r="Q35" i="2"/>
  <c r="Q37" i="2"/>
  <c r="Q39" i="2"/>
  <c r="Q7" i="2"/>
  <c r="Q6" i="2"/>
  <c r="Q12" i="2"/>
  <c r="Q5" i="2"/>
  <c r="K3" i="2"/>
  <c r="L3" i="2" s="1"/>
  <c r="F3" i="2" s="1"/>
  <c r="K34" i="2"/>
  <c r="L34" i="2" s="1"/>
  <c r="F34" i="2" s="1"/>
  <c r="K18" i="2"/>
  <c r="L18" i="2" s="1"/>
  <c r="F18" i="2" s="1"/>
  <c r="K26" i="2"/>
  <c r="L26" i="2" s="1"/>
  <c r="F26" i="2" s="1"/>
  <c r="F41" i="2"/>
  <c r="K20" i="2"/>
  <c r="L20" i="2" s="1"/>
  <c r="F20" i="2" s="1"/>
  <c r="K5" i="2"/>
  <c r="L5" i="2" s="1"/>
  <c r="F5" i="2" s="1"/>
  <c r="K12" i="2"/>
  <c r="L12" i="2" s="1"/>
  <c r="F12" i="2" s="1"/>
  <c r="K35" i="2"/>
  <c r="L35" i="2" s="1"/>
  <c r="F35" i="2" s="1"/>
  <c r="K27" i="2"/>
  <c r="L27" i="2" s="1"/>
  <c r="F27" i="2" s="1"/>
  <c r="K38" i="2"/>
  <c r="L38" i="2" s="1"/>
  <c r="F38" i="2" s="1"/>
  <c r="K22" i="2"/>
  <c r="L22" i="2" s="1"/>
  <c r="F22" i="2" s="1"/>
  <c r="K4" i="2"/>
  <c r="L4" i="2" s="1"/>
  <c r="F4" i="2" s="1"/>
  <c r="K19" i="2"/>
  <c r="L19" i="2" s="1"/>
  <c r="F19" i="2" s="1"/>
  <c r="K32" i="2"/>
  <c r="L32" i="2" s="1"/>
  <c r="F32" i="2" s="1"/>
  <c r="K30" i="2"/>
  <c r="L30" i="2" s="1"/>
  <c r="F30" i="2" s="1"/>
  <c r="K33" i="2"/>
  <c r="L33" i="2" s="1"/>
  <c r="F33" i="2" s="1"/>
  <c r="K6" i="2"/>
  <c r="L6" i="2" s="1"/>
  <c r="F6" i="2" s="1"/>
  <c r="K11" i="2"/>
  <c r="L11" i="2" s="1"/>
  <c r="F11" i="2" s="1"/>
  <c r="K16" i="2"/>
  <c r="L16" i="2" s="1"/>
  <c r="F16" i="2" s="1"/>
  <c r="K14" i="2"/>
  <c r="L14" i="2" s="1"/>
  <c r="F14" i="2" s="1"/>
  <c r="K31" i="2"/>
  <c r="L31" i="2" s="1"/>
  <c r="F31" i="2" s="1"/>
  <c r="F43" i="2"/>
  <c r="K25" i="2"/>
  <c r="L25" i="2" s="1"/>
  <c r="F25" i="2" s="1"/>
  <c r="C47" i="1"/>
  <c r="C49" i="1" s="1"/>
  <c r="K29" i="2"/>
  <c r="L29" i="2" s="1"/>
  <c r="F29" i="2" s="1"/>
  <c r="K15" i="2"/>
  <c r="L15" i="2" s="1"/>
  <c r="F15" i="2" s="1"/>
  <c r="K36" i="2"/>
  <c r="L36" i="2" s="1"/>
  <c r="F36" i="2" s="1"/>
  <c r="K9" i="2"/>
  <c r="L9" i="2" s="1"/>
  <c r="F9" i="2" s="1"/>
  <c r="K24" i="2"/>
  <c r="L24" i="2" s="1"/>
  <c r="F24" i="2" s="1"/>
  <c r="K40" i="2"/>
  <c r="L40" i="2" s="1"/>
  <c r="F40" i="2" s="1"/>
  <c r="K28" i="2"/>
  <c r="L28" i="2" s="1"/>
  <c r="F28" i="2" s="1"/>
  <c r="F42" i="2"/>
  <c r="K37" i="2"/>
  <c r="L37" i="2" s="1"/>
  <c r="F37" i="2" s="1"/>
  <c r="K10" i="2"/>
  <c r="L10" i="2" s="1"/>
  <c r="F10" i="2" s="1"/>
  <c r="K23" i="2"/>
  <c r="L23" i="2" s="1"/>
  <c r="F23" i="2" s="1"/>
  <c r="K39" i="2"/>
  <c r="L39" i="2" s="1"/>
  <c r="F39" i="2" s="1"/>
  <c r="K17" i="2"/>
  <c r="L17" i="2" s="1"/>
  <c r="F17" i="2" s="1"/>
  <c r="F44" i="2"/>
  <c r="K21" i="2"/>
  <c r="L21" i="2" s="1"/>
  <c r="F21" i="2" s="1"/>
  <c r="K7" i="2"/>
  <c r="L7" i="2" s="1"/>
  <c r="F7" i="2" s="1"/>
  <c r="K8" i="2"/>
  <c r="L8" i="2" s="1"/>
  <c r="F8" i="2" s="1"/>
  <c r="K13" i="2"/>
  <c r="L13" i="2" s="1"/>
  <c r="F13" i="2" s="1"/>
  <c r="G17" i="4" l="1"/>
  <c r="G27" i="4"/>
  <c r="G19" i="4"/>
  <c r="N19" i="4"/>
  <c r="O19" i="4" s="1"/>
  <c r="N27" i="4"/>
  <c r="O27" i="4" s="1"/>
  <c r="P26" i="4"/>
  <c r="Q26" i="4" s="1"/>
  <c r="N20" i="4"/>
  <c r="O20" i="4" s="1"/>
  <c r="N16" i="4"/>
  <c r="P16" i="4" s="1"/>
  <c r="N21" i="4"/>
  <c r="O21" i="4" s="1"/>
  <c r="N26" i="4"/>
  <c r="O26" i="4" s="1"/>
  <c r="N22" i="4"/>
  <c r="O22" i="4" s="1"/>
  <c r="N23" i="4"/>
  <c r="P23" i="4" s="1"/>
  <c r="N24" i="4"/>
  <c r="O24" i="4" s="1"/>
  <c r="N17" i="4"/>
  <c r="O17" i="4" s="1"/>
  <c r="N25" i="4"/>
  <c r="O25" i="4" s="1"/>
  <c r="N18" i="4"/>
  <c r="O18" i="4" s="1"/>
  <c r="G21" i="4"/>
  <c r="W45" i="4"/>
  <c r="W46" i="4"/>
  <c r="X46" i="4" s="1"/>
  <c r="W47" i="4"/>
  <c r="W40" i="4"/>
  <c r="X40" i="4" s="1"/>
  <c r="W48" i="4"/>
  <c r="Y39" i="4"/>
  <c r="Z39" i="4" s="1"/>
  <c r="W44" i="4"/>
  <c r="X44" i="4" s="1"/>
  <c r="W41" i="4"/>
  <c r="W49" i="4"/>
  <c r="W39" i="4"/>
  <c r="X39" i="4" s="1"/>
  <c r="W42" i="4"/>
  <c r="X42" i="4" s="1"/>
  <c r="W50" i="4"/>
  <c r="X50" i="4" s="1"/>
  <c r="W43" i="4"/>
  <c r="X43" i="4" s="1"/>
  <c r="Y40" i="4"/>
  <c r="Z40" i="4" s="1"/>
  <c r="E65" i="4"/>
  <c r="F65" i="4" s="1"/>
  <c r="E73" i="4"/>
  <c r="F73" i="4" s="1"/>
  <c r="G73" i="4"/>
  <c r="H73" i="4" s="1"/>
  <c r="E66" i="4"/>
  <c r="F66" i="4" s="1"/>
  <c r="E62" i="4"/>
  <c r="F62" i="4" s="1"/>
  <c r="E67" i="4"/>
  <c r="F67" i="4" s="1"/>
  <c r="E68" i="4"/>
  <c r="F68" i="4" s="1"/>
  <c r="G68" i="4"/>
  <c r="H68" i="4" s="1"/>
  <c r="E69" i="4"/>
  <c r="G69" i="4" s="1"/>
  <c r="G63" i="4"/>
  <c r="H63" i="4" s="1"/>
  <c r="E74" i="4"/>
  <c r="F74" i="4" s="1"/>
  <c r="E70" i="4"/>
  <c r="F70" i="4" s="1"/>
  <c r="E64" i="4"/>
  <c r="F64" i="4" s="1"/>
  <c r="E63" i="4"/>
  <c r="F63" i="4" s="1"/>
  <c r="E71" i="4"/>
  <c r="F71" i="4" s="1"/>
  <c r="E72" i="4"/>
  <c r="F72" i="4" s="1"/>
  <c r="E90" i="4"/>
  <c r="F90" i="4" s="1"/>
  <c r="E91" i="4"/>
  <c r="F91" i="4" s="1"/>
  <c r="E97" i="4"/>
  <c r="F97" i="4" s="1"/>
  <c r="G89" i="4"/>
  <c r="H89" i="4" s="1"/>
  <c r="E92" i="4"/>
  <c r="F92" i="4" s="1"/>
  <c r="E89" i="4"/>
  <c r="F89" i="4" s="1"/>
  <c r="G90" i="4"/>
  <c r="H90" i="4" s="1"/>
  <c r="E93" i="4"/>
  <c r="F93" i="4" s="1"/>
  <c r="E85" i="4"/>
  <c r="F85" i="4" s="1"/>
  <c r="G94" i="4"/>
  <c r="H94" i="4" s="1"/>
  <c r="G91" i="4"/>
  <c r="H91" i="4" s="1"/>
  <c r="E86" i="4"/>
  <c r="F86" i="4" s="1"/>
  <c r="E94" i="4"/>
  <c r="F94" i="4" s="1"/>
  <c r="E87" i="4"/>
  <c r="F87" i="4" s="1"/>
  <c r="E95" i="4"/>
  <c r="F95" i="4" s="1"/>
  <c r="E88" i="4"/>
  <c r="F88" i="4" s="1"/>
  <c r="E96" i="4"/>
  <c r="F96" i="4" s="1"/>
  <c r="G24" i="4"/>
  <c r="H24" i="4" s="1"/>
  <c r="G42" i="4"/>
  <c r="H42" i="4" s="1"/>
  <c r="E45" i="4"/>
  <c r="F45" i="4" s="1"/>
  <c r="G39" i="4"/>
  <c r="H39" i="4" s="1"/>
  <c r="E46" i="4"/>
  <c r="F46" i="4" s="1"/>
  <c r="E47" i="4"/>
  <c r="F47" i="4" s="1"/>
  <c r="E44" i="4"/>
  <c r="F44" i="4" s="1"/>
  <c r="G45" i="4"/>
  <c r="H45" i="4" s="1"/>
  <c r="E40" i="4"/>
  <c r="F40" i="4" s="1"/>
  <c r="E48" i="4"/>
  <c r="F48" i="4" s="1"/>
  <c r="E41" i="4"/>
  <c r="F41" i="4" s="1"/>
  <c r="E49" i="4"/>
  <c r="F49" i="4" s="1"/>
  <c r="G47" i="4"/>
  <c r="H47" i="4" s="1"/>
  <c r="E42" i="4"/>
  <c r="F42" i="4" s="1"/>
  <c r="E50" i="4"/>
  <c r="F50" i="4" s="1"/>
  <c r="G48" i="4"/>
  <c r="H48" i="4" s="1"/>
  <c r="E43" i="4"/>
  <c r="F43" i="4" s="1"/>
  <c r="E39" i="4"/>
  <c r="F39" i="4" s="1"/>
  <c r="G49" i="4"/>
  <c r="H49" i="4" s="1"/>
  <c r="N47" i="4"/>
  <c r="N46" i="4"/>
  <c r="O46" i="4" s="1"/>
  <c r="N40" i="4"/>
  <c r="O40" i="4" s="1"/>
  <c r="N48" i="4"/>
  <c r="O48" i="4" s="1"/>
  <c r="P45" i="4"/>
  <c r="Q45" i="4" s="1"/>
  <c r="N41" i="4"/>
  <c r="O41" i="4" s="1"/>
  <c r="N49" i="4"/>
  <c r="O49" i="4" s="1"/>
  <c r="N42" i="4"/>
  <c r="O42" i="4" s="1"/>
  <c r="N50" i="4"/>
  <c r="O50" i="4" s="1"/>
  <c r="P47" i="4"/>
  <c r="N43" i="4"/>
  <c r="O43" i="4" s="1"/>
  <c r="P39" i="4"/>
  <c r="P40" i="4"/>
  <c r="Q40" i="4" s="1"/>
  <c r="N44" i="4"/>
  <c r="O44" i="4" s="1"/>
  <c r="N39" i="4"/>
  <c r="P42" i="4"/>
  <c r="Q42" i="4" s="1"/>
  <c r="N45" i="4"/>
  <c r="O45" i="4" s="1"/>
  <c r="G16" i="4"/>
  <c r="H16" i="4" s="1"/>
  <c r="G26" i="4"/>
  <c r="H26" i="4" s="1"/>
  <c r="Y67" i="4"/>
  <c r="Z67" i="4" s="1"/>
  <c r="W63" i="4"/>
  <c r="X63" i="4" s="1"/>
  <c r="W71" i="4"/>
  <c r="X71" i="4" s="1"/>
  <c r="W64" i="4"/>
  <c r="X64" i="4" s="1"/>
  <c r="W72" i="4"/>
  <c r="X72" i="4" s="1"/>
  <c r="W65" i="4"/>
  <c r="X65" i="4" s="1"/>
  <c r="W73" i="4"/>
  <c r="X73" i="4" s="1"/>
  <c r="W66" i="4"/>
  <c r="X66" i="4" s="1"/>
  <c r="W74" i="4"/>
  <c r="X74" i="4" s="1"/>
  <c r="Y71" i="4"/>
  <c r="Z71" i="4" s="1"/>
  <c r="W67" i="4"/>
  <c r="X67" i="4" s="1"/>
  <c r="Y72" i="4"/>
  <c r="Z72" i="4" s="1"/>
  <c r="W68" i="4"/>
  <c r="X68" i="4" s="1"/>
  <c r="W62" i="4"/>
  <c r="Y62" i="4" s="1"/>
  <c r="W70" i="4"/>
  <c r="X70" i="4" s="1"/>
  <c r="W69" i="4"/>
  <c r="X69" i="4" s="1"/>
  <c r="G23" i="4"/>
  <c r="G20" i="4"/>
  <c r="H20" i="4" s="1"/>
  <c r="G18" i="4"/>
  <c r="H18" i="4" s="1"/>
  <c r="Y26" i="4"/>
  <c r="W21" i="4"/>
  <c r="X21" i="4" s="1"/>
  <c r="W22" i="4"/>
  <c r="X22" i="4" s="1"/>
  <c r="W23" i="4"/>
  <c r="X23" i="4" s="1"/>
  <c r="W24" i="4"/>
  <c r="X24" i="4" s="1"/>
  <c r="W20" i="4"/>
  <c r="X20" i="4" s="1"/>
  <c r="W17" i="4"/>
  <c r="X17" i="4" s="1"/>
  <c r="W25" i="4"/>
  <c r="X25" i="4" s="1"/>
  <c r="Y23" i="4"/>
  <c r="Z23" i="4" s="1"/>
  <c r="W18" i="4"/>
  <c r="X18" i="4" s="1"/>
  <c r="W26" i="4"/>
  <c r="W16" i="4"/>
  <c r="Y24" i="4"/>
  <c r="Z24" i="4" s="1"/>
  <c r="W19" i="4"/>
  <c r="X19" i="4" s="1"/>
  <c r="W27" i="4"/>
  <c r="X27" i="4" s="1"/>
  <c r="N69" i="4"/>
  <c r="O69" i="4" s="1"/>
  <c r="N62" i="4"/>
  <c r="N70" i="4"/>
  <c r="O70" i="4" s="1"/>
  <c r="N63" i="4"/>
  <c r="O63" i="4" s="1"/>
  <c r="N71" i="4"/>
  <c r="O71" i="4" s="1"/>
  <c r="N68" i="4"/>
  <c r="O68" i="4" s="1"/>
  <c r="N64" i="4"/>
  <c r="O64" i="4" s="1"/>
  <c r="N72" i="4"/>
  <c r="O72" i="4" s="1"/>
  <c r="N65" i="4"/>
  <c r="O65" i="4" s="1"/>
  <c r="N73" i="4"/>
  <c r="O73" i="4" s="1"/>
  <c r="N66" i="4"/>
  <c r="O66" i="4" s="1"/>
  <c r="N74" i="4"/>
  <c r="O74" i="4" s="1"/>
  <c r="P63" i="4"/>
  <c r="Q63" i="4" s="1"/>
  <c r="P71" i="4"/>
  <c r="Q71" i="4" s="1"/>
  <c r="N67" i="4"/>
  <c r="O67" i="4" s="1"/>
  <c r="P62" i="4"/>
  <c r="G22" i="4"/>
  <c r="H21" i="4"/>
  <c r="H27" i="4"/>
  <c r="H25" i="4"/>
  <c r="H23" i="4"/>
  <c r="H19" i="4"/>
  <c r="H17" i="4"/>
  <c r="H22" i="4"/>
  <c r="O23" i="2"/>
  <c r="O7" i="2"/>
  <c r="S7" i="2" s="1"/>
  <c r="T7" i="2" s="1"/>
  <c r="X7" i="2" s="1"/>
  <c r="O13" i="2"/>
  <c r="O33" i="2"/>
  <c r="O20" i="2"/>
  <c r="O31" i="2"/>
  <c r="S31" i="2" s="1"/>
  <c r="T31" i="2" s="1"/>
  <c r="B12" i="3" s="1"/>
  <c r="O30" i="2"/>
  <c r="S30" i="2" s="1"/>
  <c r="T30" i="2" s="1"/>
  <c r="B13" i="3" s="1"/>
  <c r="O3" i="2"/>
  <c r="S3" i="2" s="1"/>
  <c r="T3" i="2" s="1"/>
  <c r="X3" i="2" s="1"/>
  <c r="O16" i="2"/>
  <c r="S16" i="2" s="1"/>
  <c r="T16" i="2" s="1"/>
  <c r="X16" i="2" s="1"/>
  <c r="O27" i="2"/>
  <c r="O26" i="2"/>
  <c r="O37" i="2"/>
  <c r="S37" i="2" s="1"/>
  <c r="T37" i="2" s="1"/>
  <c r="B6" i="3" s="1"/>
  <c r="O25" i="2"/>
  <c r="O10" i="2"/>
  <c r="O29" i="2"/>
  <c r="S29" i="2" s="1"/>
  <c r="T29" i="2" s="1"/>
  <c r="B14" i="3" s="1"/>
  <c r="O36" i="2"/>
  <c r="S36" i="2" s="1"/>
  <c r="T36" i="2" s="1"/>
  <c r="B7" i="3" s="1"/>
  <c r="O15" i="2"/>
  <c r="S15" i="2" s="1"/>
  <c r="T15" i="2" s="1"/>
  <c r="X15" i="2" s="1"/>
  <c r="O32" i="2"/>
  <c r="O6" i="2"/>
  <c r="S6" i="2" s="1"/>
  <c r="T6" i="2" s="1"/>
  <c r="X6" i="2" s="1"/>
  <c r="O12" i="2"/>
  <c r="P12" i="2" s="1"/>
  <c r="O11" i="2"/>
  <c r="S11" i="2" s="1"/>
  <c r="T11" i="2" s="1"/>
  <c r="X11" i="2" s="1"/>
  <c r="O21" i="2"/>
  <c r="P21" i="2" s="1"/>
  <c r="O40" i="2"/>
  <c r="P40" i="2" s="1"/>
  <c r="O19" i="2"/>
  <c r="S19" i="2" s="1"/>
  <c r="T19" i="2" s="1"/>
  <c r="X19" i="2" s="1"/>
  <c r="O18" i="2"/>
  <c r="P18" i="2" s="1"/>
  <c r="O8" i="2"/>
  <c r="O14" i="2"/>
  <c r="S14" i="2" s="1"/>
  <c r="T14" i="2" s="1"/>
  <c r="X14" i="2" s="1"/>
  <c r="O28" i="2"/>
  <c r="S28" i="2" s="1"/>
  <c r="T28" i="2" s="1"/>
  <c r="B15" i="3" s="1"/>
  <c r="O39" i="2"/>
  <c r="S39" i="2" s="1"/>
  <c r="T39" i="2" s="1"/>
  <c r="B4" i="3" s="1"/>
  <c r="O38" i="2"/>
  <c r="O9" i="2"/>
  <c r="S9" i="2" s="1"/>
  <c r="T9" i="2" s="1"/>
  <c r="X9" i="2" s="1"/>
  <c r="O17" i="2"/>
  <c r="P17" i="2" s="1"/>
  <c r="M25" i="2"/>
  <c r="M33" i="2"/>
  <c r="M11" i="2"/>
  <c r="M8" i="2"/>
  <c r="M23" i="2"/>
  <c r="M12" i="2"/>
  <c r="M40" i="2"/>
  <c r="M4" i="2"/>
  <c r="M27" i="2"/>
  <c r="M22" i="2"/>
  <c r="M17" i="2"/>
  <c r="M38" i="2"/>
  <c r="M15" i="2"/>
  <c r="M24" i="2"/>
  <c r="M20" i="2"/>
  <c r="M9" i="2"/>
  <c r="M14" i="2"/>
  <c r="M37" i="2"/>
  <c r="M34" i="2"/>
  <c r="M7" i="2"/>
  <c r="M3" i="2"/>
  <c r="M29" i="2"/>
  <c r="M26" i="2"/>
  <c r="M18" i="2"/>
  <c r="M5" i="2"/>
  <c r="M28" i="2"/>
  <c r="M6" i="2"/>
  <c r="M21" i="2"/>
  <c r="M39" i="2"/>
  <c r="M35" i="2"/>
  <c r="M32" i="2"/>
  <c r="M13" i="2"/>
  <c r="M10" i="2"/>
  <c r="M36" i="2"/>
  <c r="M19" i="2"/>
  <c r="M16" i="2"/>
  <c r="M30" i="2"/>
  <c r="M31" i="2"/>
  <c r="E35" i="2"/>
  <c r="J35" i="2" s="1"/>
  <c r="E5" i="2"/>
  <c r="J5" i="2" s="1"/>
  <c r="E30" i="2"/>
  <c r="J30" i="2" s="1"/>
  <c r="E8" i="2"/>
  <c r="J8" i="2" s="1"/>
  <c r="E25" i="2"/>
  <c r="J25" i="2" s="1"/>
  <c r="E43" i="2"/>
  <c r="E13" i="2"/>
  <c r="J13" i="2" s="1"/>
  <c r="E16" i="2"/>
  <c r="J16" i="2" s="1"/>
  <c r="E33" i="2"/>
  <c r="J33" i="2" s="1"/>
  <c r="E21" i="2"/>
  <c r="J21" i="2" s="1"/>
  <c r="E7" i="2"/>
  <c r="J7" i="2" s="1"/>
  <c r="E24" i="2"/>
  <c r="J24" i="2" s="1"/>
  <c r="E41" i="2"/>
  <c r="E29" i="2"/>
  <c r="J29" i="2" s="1"/>
  <c r="E15" i="2"/>
  <c r="J15" i="2" s="1"/>
  <c r="E10" i="2"/>
  <c r="J10" i="2" s="1"/>
  <c r="E23" i="2"/>
  <c r="J23" i="2" s="1"/>
  <c r="E22" i="2"/>
  <c r="J22" i="2" s="1"/>
  <c r="E38" i="2"/>
  <c r="J38" i="2" s="1"/>
  <c r="E32" i="2"/>
  <c r="J32" i="2" s="1"/>
  <c r="E20" i="2"/>
  <c r="J20" i="2" s="1"/>
  <c r="E40" i="2"/>
  <c r="J40" i="2" s="1"/>
  <c r="E36" i="2"/>
  <c r="J36" i="2" s="1"/>
  <c r="E4" i="2"/>
  <c r="J4" i="2" s="1"/>
  <c r="E37" i="2"/>
  <c r="J37" i="2" s="1"/>
  <c r="E34" i="2"/>
  <c r="J34" i="2" s="1"/>
  <c r="E39" i="2"/>
  <c r="J39" i="2" s="1"/>
  <c r="E12" i="2"/>
  <c r="J12" i="2" s="1"/>
  <c r="E19" i="2"/>
  <c r="J19" i="2" s="1"/>
  <c r="E14" i="2"/>
  <c r="J14" i="2" s="1"/>
  <c r="E9" i="2"/>
  <c r="J9" i="2" s="1"/>
  <c r="E26" i="2"/>
  <c r="J26" i="2" s="1"/>
  <c r="E11" i="2"/>
  <c r="J11" i="2" s="1"/>
  <c r="E28" i="2"/>
  <c r="J28" i="2" s="1"/>
  <c r="E6" i="2"/>
  <c r="J6" i="2" s="1"/>
  <c r="E31" i="2"/>
  <c r="J31" i="2" s="1"/>
  <c r="E18" i="2"/>
  <c r="J18" i="2" s="1"/>
  <c r="E42" i="2"/>
  <c r="E27" i="2"/>
  <c r="J27" i="2" s="1"/>
  <c r="E44" i="2"/>
  <c r="E17" i="2"/>
  <c r="J17" i="2" s="1"/>
  <c r="P6" i="2"/>
  <c r="S12" i="2"/>
  <c r="T12" i="2" s="1"/>
  <c r="X12" i="2" s="1"/>
  <c r="P14" i="2"/>
  <c r="S33" i="2"/>
  <c r="T33" i="2" s="1"/>
  <c r="B10" i="3" s="1"/>
  <c r="P33" i="2"/>
  <c r="S24" i="2"/>
  <c r="T24" i="2" s="1"/>
  <c r="P24" i="2"/>
  <c r="P39" i="2"/>
  <c r="S35" i="2"/>
  <c r="T35" i="2" s="1"/>
  <c r="B8" i="3" s="1"/>
  <c r="P35" i="2"/>
  <c r="S13" i="2"/>
  <c r="T13" i="2" s="1"/>
  <c r="X13" i="2" s="1"/>
  <c r="P13" i="2"/>
  <c r="P16" i="2"/>
  <c r="P31" i="2"/>
  <c r="S34" i="2"/>
  <c r="T34" i="2" s="1"/>
  <c r="B9" i="3" s="1"/>
  <c r="P34" i="2"/>
  <c r="P7" i="2"/>
  <c r="S21" i="2"/>
  <c r="T21" i="2" s="1"/>
  <c r="X21" i="2" s="1"/>
  <c r="P15" i="2"/>
  <c r="S25" i="2"/>
  <c r="T25" i="2" s="1"/>
  <c r="B18" i="3" s="1"/>
  <c r="P25" i="2"/>
  <c r="S4" i="2"/>
  <c r="T4" i="2" s="1"/>
  <c r="X4" i="2" s="1"/>
  <c r="P4" i="2"/>
  <c r="S27" i="2"/>
  <c r="T27" i="2" s="1"/>
  <c r="B16" i="3" s="1"/>
  <c r="P27" i="2"/>
  <c r="P30" i="2"/>
  <c r="S5" i="2"/>
  <c r="T5" i="2" s="1"/>
  <c r="X5" i="2" s="1"/>
  <c r="P5" i="2"/>
  <c r="S18" i="2"/>
  <c r="T18" i="2" s="1"/>
  <c r="X18" i="2" s="1"/>
  <c r="S40" i="2"/>
  <c r="T40" i="2" s="1"/>
  <c r="B3" i="3" s="1"/>
  <c r="S10" i="2"/>
  <c r="T10" i="2" s="1"/>
  <c r="X10" i="2" s="1"/>
  <c r="P10" i="2"/>
  <c r="S23" i="2"/>
  <c r="T23" i="2" s="1"/>
  <c r="X23" i="2" s="1"/>
  <c r="P23" i="2"/>
  <c r="S26" i="2"/>
  <c r="T26" i="2" s="1"/>
  <c r="B17" i="3" s="1"/>
  <c r="P26" i="2"/>
  <c r="S32" i="2"/>
  <c r="T32" i="2" s="1"/>
  <c r="B11" i="3" s="1"/>
  <c r="P32" i="2"/>
  <c r="S20" i="2"/>
  <c r="T20" i="2" s="1"/>
  <c r="X20" i="2" s="1"/>
  <c r="P20" i="2"/>
  <c r="S38" i="2"/>
  <c r="T38" i="2" s="1"/>
  <c r="B5" i="3" s="1"/>
  <c r="P38" i="2"/>
  <c r="S8" i="2"/>
  <c r="T8" i="2" s="1"/>
  <c r="X8" i="2" s="1"/>
  <c r="P8" i="2"/>
  <c r="S22" i="2"/>
  <c r="T22" i="2" s="1"/>
  <c r="X22" i="2" s="1"/>
  <c r="P22" i="2"/>
  <c r="Y27" i="4" l="1"/>
  <c r="Z27" i="4" s="1"/>
  <c r="G87" i="4"/>
  <c r="H87" i="4" s="1"/>
  <c r="G66" i="4"/>
  <c r="H66" i="4" s="1"/>
  <c r="G40" i="4"/>
  <c r="H40" i="4" s="1"/>
  <c r="Y42" i="4"/>
  <c r="Z42" i="4" s="1"/>
  <c r="Y21" i="4"/>
  <c r="Z21" i="4" s="1"/>
  <c r="Y74" i="4"/>
  <c r="Z74" i="4" s="1"/>
  <c r="G93" i="4"/>
  <c r="H93" i="4" s="1"/>
  <c r="G96" i="4"/>
  <c r="H96" i="4" s="1"/>
  <c r="G70" i="4"/>
  <c r="H70" i="4" s="1"/>
  <c r="P41" i="4"/>
  <c r="Q41" i="4" s="1"/>
  <c r="G86" i="4"/>
  <c r="H86" i="4" s="1"/>
  <c r="G62" i="4"/>
  <c r="H62" i="4" s="1"/>
  <c r="P74" i="4"/>
  <c r="Q74" i="4" s="1"/>
  <c r="Y20" i="4"/>
  <c r="Z20" i="4" s="1"/>
  <c r="P69" i="4"/>
  <c r="Q69" i="4" s="1"/>
  <c r="Y73" i="4"/>
  <c r="Z73" i="4" s="1"/>
  <c r="Y63" i="4"/>
  <c r="Z63" i="4" s="1"/>
  <c r="G92" i="4"/>
  <c r="H92" i="4" s="1"/>
  <c r="G95" i="4"/>
  <c r="H95" i="4" s="1"/>
  <c r="G74" i="4"/>
  <c r="H74" i="4" s="1"/>
  <c r="P19" i="4"/>
  <c r="Q19" i="4" s="1"/>
  <c r="P64" i="4"/>
  <c r="Q64" i="4" s="1"/>
  <c r="Z62" i="4"/>
  <c r="X62" i="4"/>
  <c r="P49" i="4"/>
  <c r="Q49" i="4" s="1"/>
  <c r="G41" i="4"/>
  <c r="H41" i="4" s="1"/>
  <c r="G97" i="4"/>
  <c r="H97" i="4" s="1"/>
  <c r="Y46" i="4"/>
  <c r="Z46" i="4" s="1"/>
  <c r="Q16" i="4"/>
  <c r="O16" i="4"/>
  <c r="Y49" i="4"/>
  <c r="Z49" i="4" s="1"/>
  <c r="X49" i="4"/>
  <c r="P72" i="4"/>
  <c r="Q72" i="4" s="1"/>
  <c r="Y22" i="4"/>
  <c r="Z22" i="4" s="1"/>
  <c r="Y70" i="4"/>
  <c r="Z70" i="4" s="1"/>
  <c r="G72" i="4"/>
  <c r="H72" i="4" s="1"/>
  <c r="Y41" i="4"/>
  <c r="Z41" i="4" s="1"/>
  <c r="X41" i="4"/>
  <c r="P20" i="4"/>
  <c r="Q20" i="4" s="1"/>
  <c r="Y68" i="4"/>
  <c r="Z68" i="4" s="1"/>
  <c r="P68" i="4"/>
  <c r="Q68" i="4" s="1"/>
  <c r="P66" i="4"/>
  <c r="Q66" i="4" s="1"/>
  <c r="X16" i="4"/>
  <c r="Y19" i="4"/>
  <c r="Z19" i="4" s="1"/>
  <c r="Y64" i="4"/>
  <c r="Z64" i="4" s="1"/>
  <c r="Q39" i="4"/>
  <c r="O39" i="4"/>
  <c r="P44" i="4"/>
  <c r="Q44" i="4" s="1"/>
  <c r="G43" i="4"/>
  <c r="H43" i="4" s="1"/>
  <c r="H69" i="4"/>
  <c r="F69" i="4"/>
  <c r="G71" i="4"/>
  <c r="H71" i="4" s="1"/>
  <c r="G64" i="4"/>
  <c r="H64" i="4" s="1"/>
  <c r="Y44" i="4"/>
  <c r="Z44" i="4" s="1"/>
  <c r="P18" i="4"/>
  <c r="Q18" i="4" s="1"/>
  <c r="Q62" i="4"/>
  <c r="O62" i="4"/>
  <c r="Z26" i="4"/>
  <c r="X26" i="4"/>
  <c r="Y17" i="4"/>
  <c r="Z17" i="4" s="1"/>
  <c r="G46" i="4"/>
  <c r="H46" i="4" s="1"/>
  <c r="Y47" i="4"/>
  <c r="Z47" i="4" s="1"/>
  <c r="X47" i="4"/>
  <c r="P70" i="4"/>
  <c r="Q70" i="4" s="1"/>
  <c r="Y65" i="4"/>
  <c r="Z65" i="4" s="1"/>
  <c r="Y69" i="4"/>
  <c r="Z69" i="4" s="1"/>
  <c r="P48" i="4"/>
  <c r="Q48" i="4" s="1"/>
  <c r="P46" i="4"/>
  <c r="Q46" i="4" s="1"/>
  <c r="Q47" i="4"/>
  <c r="O47" i="4"/>
  <c r="G50" i="4"/>
  <c r="H50" i="4" s="1"/>
  <c r="G88" i="4"/>
  <c r="H88" i="4" s="1"/>
  <c r="Y50" i="4"/>
  <c r="Z50" i="4" s="1"/>
  <c r="Y43" i="4"/>
  <c r="Z43" i="4" s="1"/>
  <c r="P22" i="4"/>
  <c r="Q22" i="4" s="1"/>
  <c r="P27" i="4"/>
  <c r="Q27" i="4" s="1"/>
  <c r="P73" i="4"/>
  <c r="Q73" i="4" s="1"/>
  <c r="P43" i="4"/>
  <c r="Q43" i="4" s="1"/>
  <c r="G85" i="4"/>
  <c r="H85" i="4" s="1"/>
  <c r="Y48" i="4"/>
  <c r="Z48" i="4" s="1"/>
  <c r="X48" i="4"/>
  <c r="Y45" i="4"/>
  <c r="Z45" i="4" s="1"/>
  <c r="X45" i="4"/>
  <c r="Q23" i="4"/>
  <c r="O23" i="4"/>
  <c r="P25" i="4"/>
  <c r="Q25" i="4" s="1"/>
  <c r="P67" i="4"/>
  <c r="Q67" i="4" s="1"/>
  <c r="P65" i="4"/>
  <c r="Q65" i="4" s="1"/>
  <c r="Y25" i="4"/>
  <c r="Z25" i="4" s="1"/>
  <c r="Y16" i="4"/>
  <c r="Z16" i="4" s="1"/>
  <c r="Y18" i="4"/>
  <c r="Z18" i="4" s="1"/>
  <c r="Y66" i="4"/>
  <c r="Z66" i="4" s="1"/>
  <c r="P50" i="4"/>
  <c r="Q50" i="4" s="1"/>
  <c r="G44" i="4"/>
  <c r="H44" i="4" s="1"/>
  <c r="G67" i="4"/>
  <c r="H67" i="4" s="1"/>
  <c r="G65" i="4"/>
  <c r="H65" i="4" s="1"/>
  <c r="P21" i="4"/>
  <c r="Q21" i="4" s="1"/>
  <c r="P24" i="4"/>
  <c r="Q24" i="4" s="1"/>
  <c r="P17" i="4"/>
  <c r="Q17" i="4" s="1"/>
  <c r="S17" i="2"/>
  <c r="T17" i="2" s="1"/>
  <c r="X17" i="2" s="1"/>
  <c r="P9" i="2"/>
  <c r="P29" i="2"/>
  <c r="P19" i="2"/>
  <c r="P36" i="2"/>
  <c r="P3" i="2"/>
  <c r="P37" i="2"/>
  <c r="P28" i="2"/>
  <c r="P11" i="2"/>
  <c r="X32" i="2"/>
  <c r="X24" i="2"/>
  <c r="C37" i="1"/>
  <c r="X33" i="2"/>
  <c r="X28" i="2"/>
  <c r="X29" i="2"/>
  <c r="X36" i="2"/>
  <c r="X38" i="2"/>
  <c r="X26" i="2"/>
  <c r="X30" i="2"/>
  <c r="X25" i="2"/>
  <c r="X34" i="2"/>
  <c r="X35" i="2"/>
  <c r="X40" i="2"/>
  <c r="X27" i="2"/>
  <c r="X31" i="2"/>
  <c r="X37" i="2"/>
  <c r="X39" i="2"/>
  <c r="N21" i="2" l="1"/>
  <c r="R21" i="2" s="1"/>
  <c r="N28" i="2" l="1"/>
  <c r="R28" i="2" s="1"/>
  <c r="N34" i="2"/>
  <c r="R34" i="2" s="1"/>
  <c r="N33" i="2"/>
  <c r="R33" i="2" s="1"/>
  <c r="N11" i="2"/>
  <c r="R11" i="2" s="1"/>
  <c r="V11" i="2" s="1"/>
  <c r="Z11" i="2" s="1"/>
  <c r="N10" i="2"/>
  <c r="R10" i="2" s="1"/>
  <c r="U10" i="2" s="1"/>
  <c r="Y10" i="2" s="1"/>
  <c r="N24" i="2"/>
  <c r="R24" i="2" s="1"/>
  <c r="N5" i="2"/>
  <c r="R5" i="2" s="1"/>
  <c r="V5" i="2" s="1"/>
  <c r="Z5" i="2" s="1"/>
  <c r="N17" i="2"/>
  <c r="R17" i="2" s="1"/>
  <c r="U17" i="2" s="1"/>
  <c r="Y17" i="2" s="1"/>
  <c r="N27" i="2"/>
  <c r="R27" i="2" s="1"/>
  <c r="N6" i="2"/>
  <c r="R6" i="2" s="1"/>
  <c r="N20" i="2"/>
  <c r="R20" i="2" s="1"/>
  <c r="U20" i="2" s="1"/>
  <c r="Y20" i="2" s="1"/>
  <c r="N19" i="2"/>
  <c r="R19" i="2" s="1"/>
  <c r="V19" i="2" s="1"/>
  <c r="Z19" i="2" s="1"/>
  <c r="N31" i="2"/>
  <c r="R31" i="2" s="1"/>
  <c r="N18" i="2"/>
  <c r="R18" i="2" s="1"/>
  <c r="V18" i="2" s="1"/>
  <c r="Z18" i="2" s="1"/>
  <c r="N30" i="2"/>
  <c r="R30" i="2" s="1"/>
  <c r="C13" i="3" s="1"/>
  <c r="N8" i="2"/>
  <c r="R8" i="2" s="1"/>
  <c r="N14" i="2"/>
  <c r="R14" i="2" s="1"/>
  <c r="U14" i="2" s="1"/>
  <c r="Y14" i="2" s="1"/>
  <c r="N40" i="2"/>
  <c r="R40" i="2" s="1"/>
  <c r="C3" i="3" s="1"/>
  <c r="N29" i="2"/>
  <c r="R29" i="2" s="1"/>
  <c r="N39" i="2"/>
  <c r="R39" i="2" s="1"/>
  <c r="C4" i="3" s="1"/>
  <c r="F4" i="3" s="1"/>
  <c r="M4" i="3" s="1"/>
  <c r="V21" i="2"/>
  <c r="Z21" i="2" s="1"/>
  <c r="U21" i="2"/>
  <c r="Y21" i="2" s="1"/>
  <c r="N38" i="2"/>
  <c r="R38" i="2" s="1"/>
  <c r="C5" i="3" s="1"/>
  <c r="N12" i="2"/>
  <c r="R12" i="2" s="1"/>
  <c r="N26" i="2"/>
  <c r="R26" i="2" s="1"/>
  <c r="C17" i="3" s="1"/>
  <c r="N16" i="2"/>
  <c r="R16" i="2" s="1"/>
  <c r="N7" i="2"/>
  <c r="R7" i="2" s="1"/>
  <c r="N3" i="2"/>
  <c r="R3" i="2" s="1"/>
  <c r="U3" i="2" s="1"/>
  <c r="N22" i="2"/>
  <c r="R22" i="2" s="1"/>
  <c r="N32" i="2"/>
  <c r="R32" i="2" s="1"/>
  <c r="C11" i="3" s="1"/>
  <c r="N36" i="2"/>
  <c r="R36" i="2" s="1"/>
  <c r="C7" i="3" s="1"/>
  <c r="N37" i="2"/>
  <c r="R37" i="2" s="1"/>
  <c r="C6" i="3" s="1"/>
  <c r="N35" i="2"/>
  <c r="R35" i="2" s="1"/>
  <c r="C8" i="3" s="1"/>
  <c r="N9" i="2"/>
  <c r="R9" i="2" s="1"/>
  <c r="N13" i="2"/>
  <c r="R13" i="2" s="1"/>
  <c r="N15" i="2"/>
  <c r="R15" i="2" s="1"/>
  <c r="N4" i="2"/>
  <c r="R4" i="2" s="1"/>
  <c r="N25" i="2"/>
  <c r="R25" i="2" s="1"/>
  <c r="C18" i="3" s="1"/>
  <c r="E18" i="3" s="1"/>
  <c r="N23" i="2"/>
  <c r="R23" i="2" s="1"/>
  <c r="C12" i="3" l="1"/>
  <c r="F18" i="3"/>
  <c r="K18" i="3" s="1"/>
  <c r="C14" i="3"/>
  <c r="E14" i="3" s="1"/>
  <c r="U33" i="2"/>
  <c r="C10" i="3"/>
  <c r="V27" i="2"/>
  <c r="Z27" i="2" s="1"/>
  <c r="C16" i="3"/>
  <c r="E16" i="3" s="1"/>
  <c r="F13" i="3"/>
  <c r="M13" i="3" s="1"/>
  <c r="C9" i="3"/>
  <c r="U28" i="2"/>
  <c r="C15" i="3"/>
  <c r="V20" i="2"/>
  <c r="Z20" i="2" s="1"/>
  <c r="V33" i="2"/>
  <c r="Z33" i="2" s="1"/>
  <c r="U11" i="2"/>
  <c r="Y11" i="2" s="1"/>
  <c r="U5" i="2"/>
  <c r="Y5" i="2" s="1"/>
  <c r="V34" i="2"/>
  <c r="Z34" i="2" s="1"/>
  <c r="I4" i="3"/>
  <c r="E4" i="3"/>
  <c r="L4" i="3" s="1"/>
  <c r="L18" i="3"/>
  <c r="V14" i="2"/>
  <c r="Z14" i="2" s="1"/>
  <c r="V31" i="2"/>
  <c r="Z31" i="2" s="1"/>
  <c r="V10" i="2"/>
  <c r="Z10" i="2" s="1"/>
  <c r="U29" i="2"/>
  <c r="D14" i="3" s="1"/>
  <c r="G14" i="3" s="1"/>
  <c r="V29" i="2"/>
  <c r="Z29" i="2" s="1"/>
  <c r="U31" i="2"/>
  <c r="K4" i="3"/>
  <c r="F3" i="3"/>
  <c r="E3" i="3"/>
  <c r="H3" i="3" s="1"/>
  <c r="V17" i="2"/>
  <c r="Z17" i="2" s="1"/>
  <c r="U34" i="2"/>
  <c r="V39" i="2"/>
  <c r="Z39" i="2" s="1"/>
  <c r="U39" i="2"/>
  <c r="D4" i="3" s="1"/>
  <c r="U8" i="2"/>
  <c r="Y8" i="2" s="1"/>
  <c r="V8" i="2"/>
  <c r="Z8" i="2" s="1"/>
  <c r="E13" i="3"/>
  <c r="L13" i="3" s="1"/>
  <c r="U24" i="2"/>
  <c r="U40" i="2"/>
  <c r="D3" i="3" s="1"/>
  <c r="V40" i="2"/>
  <c r="Z40" i="2" s="1"/>
  <c r="U6" i="2"/>
  <c r="Y6" i="2" s="1"/>
  <c r="V6" i="2"/>
  <c r="Z6" i="2" s="1"/>
  <c r="V24" i="2"/>
  <c r="Z24" i="2" s="1"/>
  <c r="U27" i="2"/>
  <c r="D16" i="3" s="1"/>
  <c r="U18" i="2"/>
  <c r="Y18" i="2" s="1"/>
  <c r="U19" i="2"/>
  <c r="Y19" i="2" s="1"/>
  <c r="U30" i="2"/>
  <c r="D13" i="3" s="1"/>
  <c r="V30" i="2"/>
  <c r="Z30" i="2" s="1"/>
  <c r="V28" i="2"/>
  <c r="Z28" i="2" s="1"/>
  <c r="V25" i="2"/>
  <c r="Z25" i="2" s="1"/>
  <c r="U25" i="2"/>
  <c r="D18" i="3" s="1"/>
  <c r="C97" i="1"/>
  <c r="C98" i="1" s="1"/>
  <c r="V9" i="2"/>
  <c r="Z9" i="2" s="1"/>
  <c r="U9" i="2"/>
  <c r="Y9" i="2" s="1"/>
  <c r="V16" i="2"/>
  <c r="Z16" i="2" s="1"/>
  <c r="U16" i="2"/>
  <c r="Y16" i="2" s="1"/>
  <c r="V35" i="2"/>
  <c r="Z35" i="2" s="1"/>
  <c r="U35" i="2"/>
  <c r="D8" i="3" s="1"/>
  <c r="V37" i="2"/>
  <c r="Z37" i="2" s="1"/>
  <c r="U37" i="2"/>
  <c r="D6" i="3" s="1"/>
  <c r="V12" i="2"/>
  <c r="Z12" i="2" s="1"/>
  <c r="U12" i="2"/>
  <c r="Y12" i="2" s="1"/>
  <c r="V26" i="2"/>
  <c r="Z26" i="2" s="1"/>
  <c r="U26" i="2"/>
  <c r="D17" i="3" s="1"/>
  <c r="V23" i="2"/>
  <c r="Z23" i="2" s="1"/>
  <c r="U23" i="2"/>
  <c r="Y23" i="2" s="1"/>
  <c r="V36" i="2"/>
  <c r="Z36" i="2" s="1"/>
  <c r="U36" i="2"/>
  <c r="D7" i="3" s="1"/>
  <c r="V38" i="2"/>
  <c r="Z38" i="2" s="1"/>
  <c r="U38" i="2"/>
  <c r="D5" i="3" s="1"/>
  <c r="U32" i="2"/>
  <c r="D11" i="3" s="1"/>
  <c r="V32" i="2"/>
  <c r="Z32" i="2" s="1"/>
  <c r="U4" i="2"/>
  <c r="Y4" i="2" s="1"/>
  <c r="V4" i="2"/>
  <c r="Z4" i="2" s="1"/>
  <c r="U22" i="2"/>
  <c r="Y22" i="2" s="1"/>
  <c r="V22" i="2"/>
  <c r="Z22" i="2" s="1"/>
  <c r="V15" i="2"/>
  <c r="Z15" i="2" s="1"/>
  <c r="U15" i="2"/>
  <c r="Y15" i="2" s="1"/>
  <c r="V3" i="2"/>
  <c r="Z3" i="2" s="1"/>
  <c r="Y3" i="2"/>
  <c r="U13" i="2"/>
  <c r="Y13" i="2" s="1"/>
  <c r="V13" i="2"/>
  <c r="Z13" i="2" s="1"/>
  <c r="V7" i="2"/>
  <c r="Z7" i="2" s="1"/>
  <c r="U7" i="2"/>
  <c r="Y7" i="2" s="1"/>
  <c r="M18" i="3" l="1"/>
  <c r="I18" i="3"/>
  <c r="F16" i="3"/>
  <c r="I16" i="3" s="1"/>
  <c r="I13" i="3"/>
  <c r="K13" i="3"/>
  <c r="H16" i="3"/>
  <c r="J16" i="3"/>
  <c r="L16" i="3"/>
  <c r="Y33" i="2"/>
  <c r="D10" i="3"/>
  <c r="G10" i="3" s="1"/>
  <c r="Y34" i="2"/>
  <c r="D9" i="3"/>
  <c r="G9" i="3" s="1"/>
  <c r="G16" i="3"/>
  <c r="D12" i="3"/>
  <c r="G12" i="3" s="1"/>
  <c r="Y28" i="2"/>
  <c r="D15" i="3"/>
  <c r="G15" i="3" s="1"/>
  <c r="G4" i="3"/>
  <c r="F14" i="3"/>
  <c r="M14" i="3" s="1"/>
  <c r="J18" i="3"/>
  <c r="J3" i="3"/>
  <c r="H18" i="3"/>
  <c r="L3" i="3"/>
  <c r="J4" i="3"/>
  <c r="G3" i="3"/>
  <c r="Y31" i="2"/>
  <c r="H4" i="3"/>
  <c r="Y29" i="2"/>
  <c r="G18" i="3"/>
  <c r="H13" i="3"/>
  <c r="G13" i="3"/>
  <c r="J13" i="3"/>
  <c r="F17" i="3"/>
  <c r="E17" i="3"/>
  <c r="F6" i="3"/>
  <c r="E6" i="3"/>
  <c r="Y40" i="2"/>
  <c r="G7" i="3"/>
  <c r="Y27" i="2"/>
  <c r="G6" i="3"/>
  <c r="G5" i="3"/>
  <c r="G8" i="3"/>
  <c r="Y39" i="2"/>
  <c r="F7" i="3"/>
  <c r="E7" i="3"/>
  <c r="E5" i="3"/>
  <c r="F5" i="3"/>
  <c r="Y24" i="2"/>
  <c r="F8" i="3"/>
  <c r="E8" i="3"/>
  <c r="Y30" i="2"/>
  <c r="G17" i="3"/>
  <c r="K3" i="3"/>
  <c r="I3" i="3"/>
  <c r="M3" i="3"/>
  <c r="Y25" i="2"/>
  <c r="F9" i="3"/>
  <c r="E9" i="3"/>
  <c r="F12" i="3"/>
  <c r="E12" i="3"/>
  <c r="Y38" i="2"/>
  <c r="Y36" i="2"/>
  <c r="G11" i="3"/>
  <c r="Y35" i="2"/>
  <c r="Y26" i="2"/>
  <c r="F15" i="3"/>
  <c r="E15" i="3"/>
  <c r="F11" i="3"/>
  <c r="E11" i="3"/>
  <c r="Y37" i="2"/>
  <c r="Y32" i="2"/>
  <c r="E10" i="3"/>
  <c r="F10" i="3"/>
  <c r="H14" i="3"/>
  <c r="J14" i="3"/>
  <c r="L14" i="3"/>
  <c r="M16" i="3" l="1"/>
  <c r="K16" i="3"/>
  <c r="C104" i="1"/>
  <c r="P4" i="3" s="1"/>
  <c r="K14" i="3"/>
  <c r="I14" i="3"/>
  <c r="K7" i="3"/>
  <c r="I7" i="3"/>
  <c r="M7" i="3"/>
  <c r="K5" i="3"/>
  <c r="I5" i="3"/>
  <c r="M5" i="3"/>
  <c r="J6" i="3"/>
  <c r="L6" i="3"/>
  <c r="H6" i="3"/>
  <c r="K6" i="3"/>
  <c r="M6" i="3"/>
  <c r="I6" i="3"/>
  <c r="M8" i="3"/>
  <c r="I8" i="3"/>
  <c r="K8" i="3"/>
  <c r="L5" i="3"/>
  <c r="H5" i="3"/>
  <c r="J5" i="3"/>
  <c r="J8" i="3"/>
  <c r="L8" i="3"/>
  <c r="H8" i="3"/>
  <c r="H7" i="3"/>
  <c r="L7" i="3"/>
  <c r="J7" i="3"/>
  <c r="J17" i="3"/>
  <c r="H17" i="3"/>
  <c r="L17" i="3"/>
  <c r="I17" i="3"/>
  <c r="K17" i="3"/>
  <c r="M17" i="3"/>
  <c r="H15" i="3"/>
  <c r="L15" i="3"/>
  <c r="J15" i="3"/>
  <c r="M10" i="3"/>
  <c r="I10" i="3"/>
  <c r="K10" i="3"/>
  <c r="L12" i="3"/>
  <c r="H12" i="3"/>
  <c r="J12" i="3"/>
  <c r="M12" i="3"/>
  <c r="K12" i="3"/>
  <c r="I12" i="3"/>
  <c r="K15" i="3"/>
  <c r="I15" i="3"/>
  <c r="M15" i="3"/>
  <c r="J10" i="3"/>
  <c r="L10" i="3"/>
  <c r="H10" i="3"/>
  <c r="J11" i="3"/>
  <c r="L11" i="3"/>
  <c r="H11" i="3"/>
  <c r="L9" i="3"/>
  <c r="J9" i="3"/>
  <c r="H9" i="3"/>
  <c r="I11" i="3"/>
  <c r="K11" i="3"/>
  <c r="M11" i="3"/>
  <c r="I9" i="3"/>
  <c r="M9" i="3"/>
  <c r="K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06BFD-EA26-40C7-A530-9D497F020B6E}" name="CdodJ" type="6" refreshedVersion="8" background="1" saveData="1">
    <textPr codePage="852" sourceFile="C:\Users\Sebastian\Desktop\OBRONA\praca\Praca\PWS-51\ML-SC\p5\CdodJ.txt" decimal="," thousands=" " semicolon="1">
      <textFields count="2">
        <textField/>
        <textField/>
      </textFields>
    </textPr>
  </connection>
  <connection id="2" xr16:uid="{6DBAC88B-86B3-4180-A178-E093E8E9180E}" name="cx" type="6" refreshedVersion="8" background="1" saveData="1">
    <textPr codePage="852" sourceFile="C:\Users\Sebastian\Desktop\OBRONA\praca\Praca\PWS-51\ML-SC\p2\cx.txt" decimal="," thousands=" " semicolon="1">
      <textFields count="2">
        <textField/>
        <textField/>
      </textFields>
    </textPr>
  </connection>
  <connection id="3" xr16:uid="{107DBD0B-DB26-4560-AD23-FCEBF74A5BDA}" name="Cx(Cz)" type="6" refreshedVersion="8" background="1" saveData="1">
    <textPr codePage="852" sourceFile="C:\Users\Sebastian\Desktop\Semestr 7\OBRONA\praca\Mati ML\Cx(Cz).txt" decimal="," thousands=" " semicolon="1">
      <textFields count="2">
        <textField/>
        <textField/>
      </textFields>
    </textPr>
  </connection>
  <connection id="4" xr16:uid="{F4C62CD9-A197-44B7-9483-EE27C2CE4995}" name="cz" type="6" refreshedVersion="8" background="1" saveData="1">
    <textPr codePage="852" sourceFile="C:\Users\Sebastian\Desktop\OBRONA\praca\Praca\PWS-51\ML-SC\p2\cz.txt" decimal="," thousands=" " semicolon="1">
      <textFields count="2">
        <textField/>
        <textField/>
      </textFields>
    </textPr>
  </connection>
  <connection id="5" xr16:uid="{E4717F02-0E20-472D-AE9D-6B2255DE8536}" name="Cz(a)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  <connection id="6" xr16:uid="{F5E18B20-7250-4DEA-901A-0DD907322607}" name="Cz(a)1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<sst xmlns="http://schemas.openxmlformats.org/spreadsheetml/2006/main" count="502" uniqueCount="301">
  <si>
    <t>Dana</t>
  </si>
  <si>
    <t>Symbol</t>
  </si>
  <si>
    <t>Wartość</t>
  </si>
  <si>
    <t>Jednostka</t>
  </si>
  <si>
    <t>b</t>
  </si>
  <si>
    <t>S</t>
  </si>
  <si>
    <t>N</t>
  </si>
  <si>
    <t>q</t>
  </si>
  <si>
    <t>pulap</t>
  </si>
  <si>
    <t>Pułap teoretyczny</t>
  </si>
  <si>
    <t>Rozpiętość płata</t>
  </si>
  <si>
    <t>Wysokość samolotu</t>
  </si>
  <si>
    <t>Powierzchnia nośna</t>
  </si>
  <si>
    <t>Masa pustego samolotu</t>
  </si>
  <si>
    <t>Masa maksymalna samolotu</t>
  </si>
  <si>
    <t>Masa paliwa</t>
  </si>
  <si>
    <t>Moc silnika</t>
  </si>
  <si>
    <t>Obroty silnika</t>
  </si>
  <si>
    <t>Zużycie paliwa</t>
  </si>
  <si>
    <t>Prędkość maksymalna</t>
  </si>
  <si>
    <t>Maksymalna prędkość wznoszenia</t>
  </si>
  <si>
    <t>m</t>
  </si>
  <si>
    <t>m2</t>
  </si>
  <si>
    <t>kg</t>
  </si>
  <si>
    <t>W</t>
  </si>
  <si>
    <t>1/min</t>
  </si>
  <si>
    <t>m/s</t>
  </si>
  <si>
    <t>cięciwa na osi symetrii samolotu</t>
  </si>
  <si>
    <t>cięcika końcowa</t>
  </si>
  <si>
    <t>kąt skosu krawędzi natarcia płata</t>
  </si>
  <si>
    <t>położenie noska ca względem początku cięciwy przykadłubowej</t>
  </si>
  <si>
    <t>zbieżność płata</t>
  </si>
  <si>
    <t>wydłużenie geometryczne płata</t>
  </si>
  <si>
    <t>średnia cięciwa aerodynamiczna</t>
  </si>
  <si>
    <t>gęstość powietrza przy ziemii</t>
  </si>
  <si>
    <t>lepkość kinematyczna powietrzna na poziomie morza</t>
  </si>
  <si>
    <t>Liczba Reynoldsa 3M</t>
  </si>
  <si>
    <t>Czmax dla Reynoldsa 3M</t>
  </si>
  <si>
    <t>Obliczona liczba Reynoldsa</t>
  </si>
  <si>
    <t>Re</t>
  </si>
  <si>
    <t>-</t>
  </si>
  <si>
    <t>Prędkość przeciągnięcia</t>
  </si>
  <si>
    <t>środek aerodynamiczny na x</t>
  </si>
  <si>
    <t>środek aerodynamiczny na z</t>
  </si>
  <si>
    <t>Współczynnik kierunkowy prostej Cz(a)</t>
  </si>
  <si>
    <t>Przyspieszenie grawitacyjne</t>
  </si>
  <si>
    <t>g</t>
  </si>
  <si>
    <t>Współczynnik momentu podłużnego względem środka aerodynamicznego</t>
  </si>
  <si>
    <t>Cz</t>
  </si>
  <si>
    <t>Cx</t>
  </si>
  <si>
    <t>dCxRe</t>
  </si>
  <si>
    <t>Cx'</t>
  </si>
  <si>
    <t>δ</t>
  </si>
  <si>
    <t>τ</t>
  </si>
  <si>
    <t>Λ</t>
  </si>
  <si>
    <t>λ</t>
  </si>
  <si>
    <t>ρ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</si>
  <si>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</si>
  <si>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</si>
  <si>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</si>
  <si>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</si>
  <si>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</si>
  <si>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</si>
  <si>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</si>
  <si>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</si>
  <si>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x0</t>
    </r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</si>
  <si>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</si>
  <si>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</si>
  <si>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</si>
  <si>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Re</t>
    </r>
    <r>
      <rPr>
        <vertAlign val="subscript"/>
        <sz val="11"/>
        <color theme="1"/>
        <rFont val="Calibri"/>
        <family val="2"/>
        <charset val="238"/>
        <scheme val="minor"/>
      </rPr>
      <t>3M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</si>
  <si>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 re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</si>
  <si>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S1</t>
    </r>
  </si>
  <si>
    <t>ν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</si>
  <si>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</si>
  <si>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z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</si>
  <si>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Cm</t>
    </r>
    <r>
      <rPr>
        <vertAlign val="subscript"/>
        <sz val="11"/>
        <color theme="1"/>
        <rFont val="Calibri"/>
        <family val="2"/>
        <charset val="238"/>
        <scheme val="minor"/>
      </rPr>
      <t>sa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</si>
  <si>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∞</t>
    </r>
  </si>
  <si>
    <r>
      <rPr>
        <sz val="11"/>
        <color theme="1"/>
        <rFont val="Calibri"/>
        <family val="2"/>
        <charset val="238"/>
      </rPr>
      <t>Δ</t>
    </r>
    <r>
      <rPr>
        <sz val="11"/>
        <color theme="1"/>
        <rFont val="Calibri"/>
        <family val="2"/>
        <charset val="238"/>
        <scheme val="minor"/>
      </rPr>
      <t>Cx</t>
    </r>
    <r>
      <rPr>
        <vertAlign val="subscript"/>
        <sz val="11"/>
        <color theme="1"/>
        <rFont val="Calibri"/>
        <family val="2"/>
        <charset val="238"/>
        <scheme val="minor"/>
      </rPr>
      <t>tech</t>
    </r>
  </si>
  <si>
    <r>
      <t>β</t>
    </r>
    <r>
      <rPr>
        <vertAlign val="subscript"/>
        <sz val="11"/>
        <color theme="1"/>
        <rFont val="Calibri"/>
        <family val="2"/>
        <charset val="238"/>
        <scheme val="minor"/>
      </rPr>
      <t>25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</si>
  <si>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</si>
  <si>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</si>
  <si>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</si>
  <si>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</si>
  <si>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3</t>
    </r>
  </si>
  <si>
    <r>
      <t>Cx'</t>
    </r>
    <r>
      <rPr>
        <vertAlign val="subscript"/>
        <sz val="11"/>
        <color theme="1"/>
        <rFont val="Calibri"/>
        <family val="2"/>
        <charset val="238"/>
        <scheme val="minor"/>
      </rPr>
      <t>∞ min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</si>
  <si>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</si>
  <si>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∞1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</si>
  <si>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min2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</si>
  <si>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min1</t>
    </r>
  </si>
  <si>
    <t>1/rad</t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</si>
  <si>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</si>
  <si>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/h</t>
    </r>
  </si>
  <si>
    <r>
      <t>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</si>
  <si>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kg/m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</si>
  <si>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/s</t>
    </r>
  </si>
  <si>
    <t>°</t>
  </si>
  <si>
    <t>drugi współczynnik Glauerta</t>
  </si>
  <si>
    <t>Pierwszy współczynnik Glauerta</t>
  </si>
  <si>
    <t>Współczynnik do wyznaczenia tau 1</t>
  </si>
  <si>
    <t>Współczynnik do wyznaczenia tau 2</t>
  </si>
  <si>
    <t>Współczynnik do wyznaczenia delta 1</t>
  </si>
  <si>
    <t>Współczynnik do wyznaczenia delta 2</t>
  </si>
  <si>
    <t>Współczynnik do wyznaczenia delta 3</t>
  </si>
  <si>
    <t>Kąt skosu lini utworzonej z 1/4 cięciwy płata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</si>
  <si>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</si>
  <si>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 wykres</t>
    </r>
  </si>
  <si>
    <t>błąd</t>
  </si>
  <si>
    <t>%</t>
  </si>
  <si>
    <t>Długość kadłuba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</si>
  <si>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</si>
  <si>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</si>
  <si>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pole maksymalnego przekroju czołowego kadłuba</t>
  </si>
  <si>
    <t>K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</si>
  <si>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</si>
  <si>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prędkość dźwięku na poziomie morza</t>
  </si>
  <si>
    <t>współczynnik oporu kadłuba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</si>
  <si>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</si>
  <si>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</si>
  <si>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</si>
  <si>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sc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</si>
  <si>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</si>
  <si>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(V</t>
    </r>
    <r>
      <rPr>
        <vertAlign val="subscript"/>
        <sz val="11"/>
        <color theme="1"/>
        <rFont val="Calibri"/>
        <family val="2"/>
        <charset val="238"/>
        <scheme val="minor"/>
      </rPr>
      <t>H</t>
    </r>
    <r>
      <rPr>
        <sz val="11"/>
        <color theme="1"/>
        <rFont val="Calibri"/>
        <family val="2"/>
        <charset val="238"/>
        <scheme val="minor"/>
      </rPr>
      <t>/V)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</si>
  <si>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e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</si>
  <si>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eH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</si>
  <si>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</si>
  <si>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κ'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</si>
  <si>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H szcz</t>
    </r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</si>
  <si>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H∞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</si>
  <si>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Pole powierzchni usterzenia poziomego</t>
  </si>
  <si>
    <t>Środek ciężkości samolotu</t>
  </si>
  <si>
    <t>Ramię usterzenia poziomego</t>
  </si>
  <si>
    <t>Kwadrat stosunku prędkości</t>
  </si>
  <si>
    <t>Rozpiętość usterzenia poziomego</t>
  </si>
  <si>
    <t>wydłużenie usterzenia</t>
  </si>
  <si>
    <t>współczynnik korekcyjny wydłużenia usterzenia</t>
  </si>
  <si>
    <t>wydłużenie usterzenia po korekcji</t>
  </si>
  <si>
    <t>cecha objętościowa usterzenia poziomego</t>
  </si>
  <si>
    <t>Przyrost oporu wynikający ze szczelin</t>
  </si>
  <si>
    <t>Pole powierzchni usterzenia pionowego</t>
  </si>
  <si>
    <t>minimalny współczynnik oporu profilu usterzenia pionowego</t>
  </si>
  <si>
    <t>minimalny współczynnik oporu profilu usterzenia poziomego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</si>
  <si>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V∞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</si>
  <si>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V szcz</t>
    </r>
  </si>
  <si>
    <r>
      <t>S</t>
    </r>
    <r>
      <rPr>
        <vertAlign val="subscript"/>
        <sz val="11"/>
        <color theme="1"/>
        <rFont val="Calibri"/>
        <family val="2"/>
        <charset val="238"/>
      </rPr>
      <t>V</t>
    </r>
  </si>
  <si>
    <t>Współczynnik oporu usterzenia pionowego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</si>
  <si>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</si>
  <si>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t>Opór gondoli</t>
  </si>
  <si>
    <t>długość linki</t>
  </si>
  <si>
    <t>grubość linki</t>
  </si>
  <si>
    <t>Opór liny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</si>
  <si>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</si>
  <si>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</si>
  <si>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</si>
  <si>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</si>
  <si>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t>Suma iloczynów oporów i powierzchni</t>
  </si>
  <si>
    <r>
      <rPr>
        <sz val="11"/>
        <color theme="1"/>
        <rFont val="Calibri"/>
        <family val="2"/>
        <charset val="238"/>
      </rPr>
      <t>Σ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j</t>
    </r>
    <r>
      <rPr>
        <sz val="11"/>
        <color theme="1"/>
        <rFont val="Calibri"/>
        <family val="2"/>
        <charset val="238"/>
        <scheme val="minor"/>
      </rPr>
      <t>S</t>
    </r>
    <r>
      <rPr>
        <vertAlign val="subscript"/>
        <sz val="11"/>
        <color theme="1"/>
        <rFont val="Calibri"/>
        <family val="2"/>
        <charset val="238"/>
        <scheme val="minor"/>
      </rPr>
      <t>j</t>
    </r>
  </si>
  <si>
    <t>Iloczyn powierzchni i oporu kadłuba</t>
  </si>
  <si>
    <t>Iloczyn powierzchni i oporu usterzenia pionowego</t>
  </si>
  <si>
    <t>iloczyn powierzchni i oporu dwóch gondoli</t>
  </si>
  <si>
    <t>iloczyn powierzchni i oporu linki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</si>
  <si>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V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</si>
  <si>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L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</si>
  <si>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</si>
  <si>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współczynnik</t>
  </si>
  <si>
    <r>
      <t>K</t>
    </r>
    <r>
      <rPr>
        <vertAlign val="subscript"/>
        <sz val="10"/>
        <color theme="1"/>
        <rFont val="Arial"/>
        <family val="2"/>
        <charset val="238"/>
      </rPr>
      <t>int erf</t>
    </r>
  </si>
  <si>
    <t>ζ</t>
  </si>
  <si>
    <t>współczynnik wzrostu oporów na skutek interferencji aerodynamicznej</t>
  </si>
  <si>
    <t>minimalne opory szkodliwe samolotu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</si>
  <si>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szk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</si>
  <si>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Cz'</t>
  </si>
  <si>
    <t>E</t>
  </si>
  <si>
    <t>Cz'2</t>
  </si>
  <si>
    <t>e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</si>
  <si>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</si>
  <si>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dCx/dCz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</si>
  <si>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(Cx)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</si>
  <si>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K/10</t>
  </si>
  <si>
    <t>E/100</t>
  </si>
  <si>
    <t>wysokość przelotowa</t>
  </si>
  <si>
    <t>h</t>
  </si>
  <si>
    <r>
      <rPr>
        <sz val="11"/>
        <color theme="1"/>
        <rFont val="Calibri Light"/>
        <family val="2"/>
        <charset val="238"/>
      </rPr>
      <t>ρ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</si>
  <si>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śr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</si>
  <si>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</si>
  <si>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Masa pustego samolotu z pilotem (80kg)</t>
  </si>
  <si>
    <t>Średnia masa samolotu o maksymalnej i minimalnej wadze</t>
  </si>
  <si>
    <t>gęstość powietrza na wysokości przelotowej</t>
  </si>
  <si>
    <t>współczynnik oswalda</t>
  </si>
  <si>
    <t>wydłużenie Oswalda</t>
  </si>
  <si>
    <t>Minimalny współczynnik Cx z danych</t>
  </si>
  <si>
    <t>Współczynnik Cx0 z biegunowej</t>
  </si>
  <si>
    <t>Współczynnik kierunkowy biegunowej</t>
  </si>
  <si>
    <t>błąd wartości Cx0</t>
  </si>
  <si>
    <t>A</t>
  </si>
  <si>
    <t>B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</si>
  <si>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</si>
  <si>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V [m/s]</t>
  </si>
  <si>
    <t>w [m/s]</t>
  </si>
  <si>
    <r>
      <t>γ [</t>
    </r>
    <r>
      <rPr>
        <sz val="11"/>
        <color theme="1"/>
        <rFont val="Calibri"/>
        <family val="2"/>
        <charset val="238"/>
      </rPr>
      <t>°</t>
    </r>
    <r>
      <rPr>
        <sz val="11"/>
        <color theme="1"/>
        <rFont val="Calibri"/>
        <family val="2"/>
        <charset val="238"/>
        <scheme val="minor"/>
      </rPr>
      <t>]</t>
    </r>
  </si>
  <si>
    <r>
      <t>γ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</si>
  <si>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obliczone</t>
  </si>
  <si>
    <t>z wykresu</t>
  </si>
  <si>
    <t>obliczone [m/s]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</si>
  <si>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</si>
  <si>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</si>
  <si>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</si>
  <si>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</si>
  <si>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m</t>
    </r>
    <r>
      <rPr>
        <vertAlign val="subscript"/>
        <sz val="11"/>
        <color theme="4"/>
        <rFont val="Calibri"/>
        <family val="2"/>
        <charset val="238"/>
        <scheme val="minor"/>
      </rPr>
      <t>min</t>
    </r>
  </si>
  <si>
    <r>
      <t>m</t>
    </r>
    <r>
      <rPr>
        <vertAlign val="subscript"/>
        <sz val="11"/>
        <color theme="5"/>
        <rFont val="Calibri"/>
        <family val="2"/>
        <charset val="238"/>
        <scheme val="minor"/>
      </rPr>
      <t>śr</t>
    </r>
  </si>
  <si>
    <r>
      <rPr>
        <sz val="11"/>
        <color theme="6"/>
        <rFont val="Calibri"/>
        <family val="2"/>
        <charset val="238"/>
        <scheme val="minor"/>
      </rPr>
      <t>m</t>
    </r>
    <r>
      <rPr>
        <vertAlign val="subscript"/>
        <sz val="11"/>
        <color theme="6"/>
        <rFont val="Calibri"/>
        <family val="2"/>
        <charset val="238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</si>
  <si>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max2</t>
    </r>
  </si>
  <si>
    <t>Graniczna prędkość dla biegunowej prędkości</t>
  </si>
  <si>
    <t>Minimalny kąt toru lotu</t>
  </si>
  <si>
    <t>J</t>
  </si>
  <si>
    <t>D</t>
  </si>
  <si>
    <t>Średnica śmigła</t>
  </si>
  <si>
    <t>Posuw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</si>
  <si>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D</t>
    </r>
  </si>
  <si>
    <t>Cecha bezśrednicowa śmigła</t>
  </si>
  <si>
    <t>Liczba Macha na końcówce łopaty</t>
  </si>
  <si>
    <r>
      <t>Ma</t>
    </r>
    <r>
      <rPr>
        <vertAlign val="subscript"/>
        <sz val="11"/>
        <color theme="1"/>
        <rFont val="Calibri"/>
        <family val="2"/>
        <charset val="238"/>
        <scheme val="minor"/>
      </rPr>
      <t>kl</t>
    </r>
  </si>
  <si>
    <t>k</t>
  </si>
  <si>
    <t>Moc na wysokości przelotowej</t>
  </si>
  <si>
    <t>współczynnik korekcyjny</t>
  </si>
  <si>
    <t>korekta technologiczna współczynnika oporu</t>
  </si>
  <si>
    <t>współczynnik a dla płata obliczony</t>
  </si>
  <si>
    <t>współczynnik a dla płata odczytany z wykresu</t>
  </si>
  <si>
    <t>błąd między wynikami współczynnika a dla płata</t>
  </si>
  <si>
    <t>maksymalny współczynnik Cz</t>
  </si>
  <si>
    <t>Minimalny współczynnik Cx'</t>
  </si>
  <si>
    <t>Korekta dottycząca liczby reynoldsa</t>
  </si>
  <si>
    <t>minimalna wartość Cx</t>
  </si>
  <si>
    <t>Cz odpowiadające minimalnej wartości Cx</t>
  </si>
  <si>
    <t>LP</t>
  </si>
  <si>
    <t>α [°]</t>
  </si>
  <si>
    <t>samolot</t>
  </si>
  <si>
    <t>płat</t>
  </si>
  <si>
    <t>profil</t>
  </si>
  <si>
    <r>
      <t>α</t>
    </r>
    <r>
      <rPr>
        <vertAlign val="subscript"/>
        <sz val="8"/>
        <color theme="1"/>
        <rFont val="Arial"/>
        <family val="2"/>
        <charset val="238"/>
      </rPr>
      <t>i</t>
    </r>
    <r>
      <rPr>
        <sz val="8"/>
        <color theme="1"/>
        <rFont val="Arial"/>
        <family val="2"/>
        <charset val="238"/>
      </rPr>
      <t xml:space="preserve"> [°]</t>
    </r>
  </si>
  <si>
    <r>
      <t>α</t>
    </r>
    <r>
      <rPr>
        <vertAlign val="subscript"/>
        <sz val="8"/>
        <color theme="1"/>
        <rFont val="Arial"/>
        <family val="2"/>
        <charset val="238"/>
      </rPr>
      <t>p</t>
    </r>
    <r>
      <rPr>
        <sz val="8"/>
        <color theme="1"/>
        <rFont val="Arial"/>
        <family val="2"/>
        <charset val="238"/>
      </rPr>
      <t xml:space="preserve"> [°]</t>
    </r>
  </si>
  <si>
    <r>
      <t>Cx</t>
    </r>
    <r>
      <rPr>
        <vertAlign val="subscript"/>
        <sz val="8"/>
        <color theme="1"/>
        <rFont val="Arial"/>
        <family val="2"/>
        <charset val="238"/>
      </rPr>
      <t>i</t>
    </r>
  </si>
  <si>
    <r>
      <t>C'x</t>
    </r>
    <r>
      <rPr>
        <vertAlign val="subscript"/>
        <sz val="8"/>
        <color theme="1"/>
        <rFont val="Arial"/>
        <family val="2"/>
        <charset val="238"/>
      </rPr>
      <t>p</t>
    </r>
  </si>
  <si>
    <r>
      <t>Cz</t>
    </r>
    <r>
      <rPr>
        <vertAlign val="subscript"/>
        <sz val="8"/>
        <color theme="1"/>
        <rFont val="Arial"/>
        <family val="2"/>
        <charset val="238"/>
      </rPr>
      <t>H</t>
    </r>
  </si>
  <si>
    <r>
      <t>Cx</t>
    </r>
    <r>
      <rPr>
        <vertAlign val="subscript"/>
        <sz val="8"/>
        <color theme="1"/>
        <rFont val="Arial"/>
        <family val="2"/>
        <charset val="238"/>
      </rPr>
      <t>H</t>
    </r>
  </si>
  <si>
    <r>
      <t>Cx'</t>
    </r>
    <r>
      <rPr>
        <vertAlign val="subscript"/>
        <sz val="8"/>
        <color theme="1"/>
        <rFont val="Arial"/>
        <family val="2"/>
        <charset val="238"/>
      </rPr>
      <t>szk</t>
    </r>
  </si>
  <si>
    <r>
      <rPr>
        <sz val="8"/>
        <color theme="1"/>
        <rFont val="Calibri"/>
        <family val="2"/>
        <charset val="238"/>
      </rPr>
      <t>Δ</t>
    </r>
    <r>
      <rPr>
        <sz val="8"/>
        <color theme="1"/>
        <rFont val="Arial"/>
        <family val="2"/>
        <charset val="238"/>
      </rPr>
      <t>Cz</t>
    </r>
    <r>
      <rPr>
        <vertAlign val="subscript"/>
        <sz val="8"/>
        <color theme="1"/>
        <rFont val="Arial"/>
        <family val="2"/>
        <charset val="238"/>
      </rPr>
      <t>H</t>
    </r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</si>
  <si>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</si>
  <si>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t>alfa</t>
  </si>
  <si>
    <t>a rad</t>
  </si>
  <si>
    <r>
      <rPr>
        <b/>
        <sz val="8"/>
        <color rgb="FF000000"/>
        <rFont val="Arial"/>
        <family val="2"/>
        <charset val="238"/>
      </rPr>
      <t>Tabela 3.3</t>
    </r>
    <r>
      <rPr>
        <sz val="8"/>
        <color rgb="FF000000"/>
        <rFont val="Arial"/>
        <family val="2"/>
        <charset val="238"/>
      </rPr>
      <t xml:space="preserve"> Charakterystyki aerodynamiczne samolotu PWS-51</t>
    </r>
  </si>
  <si>
    <t>a deg</t>
  </si>
  <si>
    <t>Powierzchnia podwozia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</si>
  <si>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</si>
  <si>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</si>
  <si>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</si>
  <si>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rys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</si>
  <si>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p rys</t>
    </r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</si>
  <si>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xP</t>
    </r>
  </si>
  <si>
    <t>Powierzchnia podwozia z rysunku</t>
  </si>
  <si>
    <t>Siła podwozia na rysunku</t>
  </si>
  <si>
    <t>Prędkość dla podwozia na rysunku</t>
  </si>
  <si>
    <t>kG</t>
  </si>
  <si>
    <t>grubość zastrzału 1</t>
  </si>
  <si>
    <t>długość zastrzału 1</t>
  </si>
  <si>
    <t>Współczynnik oporu zastrzału 1</t>
  </si>
  <si>
    <t>Powierzchnia zastrzałów 1 (4 razy)</t>
  </si>
  <si>
    <t>Suma iloczynów powierzchni i oporu</t>
  </si>
  <si>
    <t>długość zastrzału 2</t>
  </si>
  <si>
    <t>grubość zastrzału 2</t>
  </si>
  <si>
    <t>Powierzchnia zastrzałów 2 (2 razy)</t>
  </si>
  <si>
    <t>Współczynnik oporu zastrzału 2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</si>
  <si>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z1</t>
    </r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</si>
  <si>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z1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</si>
  <si>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z1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</si>
  <si>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z1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</si>
  <si>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z2</t>
    </r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</si>
  <si>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z2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</si>
  <si>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z2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</si>
  <si>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z2</t>
    </r>
  </si>
  <si>
    <t>Powierzchnia liny (2 razy)</t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</si>
  <si>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e</t>
    </r>
  </si>
  <si>
    <t>Cngran</t>
  </si>
  <si>
    <t>Nmax</t>
  </si>
  <si>
    <t>nsmax</t>
  </si>
  <si>
    <t>obr/s</t>
  </si>
  <si>
    <t>N/ns</t>
  </si>
  <si>
    <r>
      <t>C</t>
    </r>
    <r>
      <rPr>
        <b/>
        <vertAlign val="subscript"/>
        <sz val="12"/>
        <color theme="1"/>
        <rFont val="Arial"/>
        <family val="2"/>
        <charset val="238"/>
      </rPr>
      <t>N</t>
    </r>
  </si>
  <si>
    <r>
      <t>η</t>
    </r>
    <r>
      <rPr>
        <b/>
        <vertAlign val="subscript"/>
        <sz val="12"/>
        <color theme="1"/>
        <rFont val="Arial"/>
        <family val="2"/>
        <charset val="238"/>
      </rPr>
      <t>s</t>
    </r>
  </si>
  <si>
    <t>N [W]</t>
  </si>
  <si>
    <r>
      <t>N</t>
    </r>
    <r>
      <rPr>
        <b/>
        <vertAlign val="subscript"/>
        <sz val="12"/>
        <color theme="1"/>
        <rFont val="Arial"/>
        <family val="2"/>
        <charset val="238"/>
      </rPr>
      <t>r</t>
    </r>
    <r>
      <rPr>
        <b/>
        <sz val="12"/>
        <color theme="1"/>
        <rFont val="Arial"/>
        <family val="2"/>
        <charset val="238"/>
      </rPr>
      <t xml:space="preserve"> [W]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</si>
  <si>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s</t>
    </r>
    <r>
      <rPr>
        <b/>
        <sz val="12"/>
        <color theme="1"/>
        <rFont val="Arial"/>
        <family val="2"/>
        <charset val="238"/>
      </rPr>
      <t xml:space="preserve"> [1/s]</t>
    </r>
  </si>
  <si>
    <t>h=0m</t>
  </si>
  <si>
    <t>h=500m</t>
  </si>
  <si>
    <t>h=1000m</t>
  </si>
  <si>
    <t>h=1500m</t>
  </si>
  <si>
    <t>h=2000m</t>
  </si>
  <si>
    <t>h=2500m</t>
  </si>
  <si>
    <t>h=3000m</t>
  </si>
  <si>
    <t>h=3500m</t>
  </si>
  <si>
    <t>h=4000m</t>
  </si>
  <si>
    <t>h=4500m</t>
  </si>
  <si>
    <t>h=5000m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</si>
</sst>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2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 Light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vertAlign val="subscript"/>
      <sz val="11"/>
      <color theme="1"/>
      <name val="Calibri"/>
      <family val="2"/>
      <charset val="238"/>
    </font>
    <font>
      <vertAlign val="subscript"/>
      <sz val="10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vertAlign val="subscript"/>
      <sz val="11"/>
      <color theme="4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vertAlign val="subscript"/>
      <sz val="11"/>
      <color theme="5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vertAlign val="subscript"/>
      <sz val="11"/>
      <color theme="6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color theme="1"/>
      <name val="Calibri"/>
      <family val="2"/>
      <charset val="238"/>
    </font>
    <font>
      <vertAlign val="subscript"/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11"/>
      <color rgb="FF9C0006"/>
      <name val="Calibri"/>
      <family val="2"/>
      <charset val="238"/>
      <scheme val="minor"/>
    </font>
    <font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b/>
      <vertAlign val="subscript"/>
      <sz val="12"/>
      <color theme="1"/>
      <name val="Arial"/>
      <family val="2"/>
      <charset val="238"/>
    </font>
    <font>
      <b/>
      <sz val="12"/>
      <color theme="1"/>
      <name val="Calibri Light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/>
      <top style="thin">
        <color auto="1"/>
      </top>
      <bottom style="mediumDashDotDot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DashDotDot">
        <color auto="1"/>
      </bottom>
      <diagonal/>
    </border>
    <border>
      <left/>
      <right style="thin">
        <color auto="1"/>
      </right>
      <top style="thin">
        <color auto="1"/>
      </top>
      <bottom style="mediumDashDotDot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ed">
        <color auto="1"/>
      </bottom>
      <diagonal/>
    </border>
    <border>
      <left/>
      <right style="medium">
        <color auto="1"/>
      </right>
      <top style="medium">
        <color auto="1"/>
      </top>
      <bottom style="mediumDash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DashDot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mediumDashDot">
        <color auto="1"/>
      </right>
      <top/>
      <bottom style="thin">
        <color auto="1"/>
      </bottom>
      <diagonal/>
    </border>
    <border>
      <left style="medium">
        <color auto="1"/>
      </left>
      <right style="mediumDashDot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3" fillId="3" borderId="0" applyNumberFormat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65" fontId="0" fillId="0" borderId="1" xfId="0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8" fillId="0" borderId="0" xfId="0" applyFont="1" applyAlignment="1">
      <alignment horizontal="left" vertical="center" wrapText="1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/>
    <xf numFmtId="0" fontId="4" fillId="0" borderId="1" xfId="0" applyFont="1" applyBorder="1" applyAlignment="1">
      <alignment horizont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165" fontId="21" fillId="0" borderId="18" xfId="0" applyNumberFormat="1" applyFont="1" applyBorder="1" applyAlignment="1">
      <alignment horizontal="center" vertical="center" wrapText="1"/>
    </xf>
    <xf numFmtId="164" fontId="21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164" fontId="21" fillId="0" borderId="21" xfId="0" applyNumberFormat="1" applyFont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  <xf numFmtId="165" fontId="18" fillId="0" borderId="19" xfId="0" applyNumberFormat="1" applyFont="1" applyBorder="1" applyAlignment="1">
      <alignment horizontal="center" vertical="center"/>
    </xf>
    <xf numFmtId="164" fontId="21" fillId="0" borderId="7" xfId="0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21" fillId="0" borderId="9" xfId="0" applyNumberFormat="1" applyFont="1" applyBorder="1" applyAlignment="1">
      <alignment horizontal="center" vertical="center" wrapText="1"/>
    </xf>
    <xf numFmtId="164" fontId="21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4" fontId="18" fillId="0" borderId="22" xfId="0" applyNumberFormat="1" applyFont="1" applyBorder="1" applyAlignment="1">
      <alignment horizontal="center" vertical="center"/>
    </xf>
    <xf numFmtId="164" fontId="18" fillId="0" borderId="16" xfId="0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2" fontId="18" fillId="0" borderId="21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8" fillId="0" borderId="28" xfId="0" applyNumberFormat="1" applyFont="1" applyBorder="1" applyAlignment="1">
      <alignment horizontal="center" vertical="center"/>
    </xf>
    <xf numFmtId="165" fontId="3" fillId="0" borderId="28" xfId="0" applyNumberFormat="1" applyFont="1" applyBorder="1"/>
    <xf numFmtId="0" fontId="3" fillId="0" borderId="28" xfId="0" applyFont="1" applyBorder="1"/>
    <xf numFmtId="165" fontId="21" fillId="0" borderId="0" xfId="0" applyNumberFormat="1" applyFont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3" fillId="6" borderId="30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2" fontId="3" fillId="6" borderId="29" xfId="0" applyNumberFormat="1" applyFont="1" applyFill="1" applyBorder="1" applyAlignment="1">
      <alignment horizontal="center" vertical="center"/>
    </xf>
    <xf numFmtId="2" fontId="3" fillId="6" borderId="30" xfId="0" applyNumberFormat="1" applyFont="1" applyFill="1" applyBorder="1" applyAlignment="1">
      <alignment horizontal="center" vertical="center"/>
    </xf>
    <xf numFmtId="165" fontId="3" fillId="6" borderId="33" xfId="0" applyNumberFormat="1" applyFont="1" applyFill="1" applyBorder="1" applyAlignment="1">
      <alignment horizontal="center" vertical="center"/>
    </xf>
    <xf numFmtId="165" fontId="3" fillId="6" borderId="29" xfId="0" applyNumberFormat="1" applyFont="1" applyFill="1" applyBorder="1" applyAlignment="1">
      <alignment horizontal="center" vertical="center"/>
    </xf>
    <xf numFmtId="165" fontId="3" fillId="6" borderId="34" xfId="0" applyNumberFormat="1" applyFont="1" applyFill="1" applyBorder="1" applyAlignment="1">
      <alignment horizontal="center" vertical="center"/>
    </xf>
    <xf numFmtId="165" fontId="3" fillId="6" borderId="30" xfId="0" applyNumberFormat="1" applyFont="1" applyFill="1" applyBorder="1" applyAlignment="1">
      <alignment horizontal="center" vertical="center"/>
    </xf>
    <xf numFmtId="165" fontId="24" fillId="6" borderId="34" xfId="1" applyNumberFormat="1" applyFont="1" applyFill="1" applyBorder="1" applyAlignment="1">
      <alignment horizontal="center" vertical="center"/>
    </xf>
    <xf numFmtId="165" fontId="24" fillId="6" borderId="30" xfId="1" applyNumberFormat="1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vertical="center"/>
    </xf>
    <xf numFmtId="0" fontId="3" fillId="4" borderId="37" xfId="0" applyFont="1" applyFill="1" applyBorder="1" applyAlignment="1">
      <alignment vertical="center"/>
    </xf>
    <xf numFmtId="0" fontId="25" fillId="5" borderId="35" xfId="0" applyFont="1" applyFill="1" applyBorder="1" applyAlignment="1">
      <alignment vertical="center"/>
    </xf>
    <xf numFmtId="0" fontId="25" fillId="5" borderId="32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</cellXfs>
  <cellStyles count="2"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</a:t>
            </a:r>
            <a:r>
              <a:rPr lang="el-GR"/>
              <a:t>α</a:t>
            </a:r>
            <a:r>
              <a:rPr lang="pl-PL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964238845144355"/>
                  <c:y val="0.115324074074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3'!$D$3:$D$37</c:f>
              <c:numCache>
                <c:formatCode>General</c:formatCode>
                <c:ptCount val="35"/>
                <c:pt idx="0">
                  <c:v>-0.18278751925465669</c:v>
                </c:pt>
                <c:pt idx="1">
                  <c:v>-0.17030837979235941</c:v>
                </c:pt>
                <c:pt idx="2">
                  <c:v>-0.15357376399543701</c:v>
                </c:pt>
                <c:pt idx="3">
                  <c:v>-0.13726110471270761</c:v>
                </c:pt>
                <c:pt idx="4">
                  <c:v>-0.1209753788245007</c:v>
                </c:pt>
                <c:pt idx="5">
                  <c:v>-0.11261704872421392</c:v>
                </c:pt>
                <c:pt idx="6">
                  <c:v>-0.10259782596167877</c:v>
                </c:pt>
                <c:pt idx="7">
                  <c:v>-9.5487409807621576E-2</c:v>
                </c:pt>
                <c:pt idx="8">
                  <c:v>-8.7542058423353261E-2</c:v>
                </c:pt>
                <c:pt idx="9">
                  <c:v>-8.4197828603420899E-2</c:v>
                </c:pt>
                <c:pt idx="10">
                  <c:v>-8.0023152452364688E-2</c:v>
                </c:pt>
                <c:pt idx="11">
                  <c:v>-7.6665455935171073E-2</c:v>
                </c:pt>
                <c:pt idx="12">
                  <c:v>-7.4959674282051317E-2</c:v>
                </c:pt>
                <c:pt idx="13">
                  <c:v>-7.120246574610066E-2</c:v>
                </c:pt>
                <c:pt idx="14">
                  <c:v>-6.7472190604672841E-2</c:v>
                </c:pt>
                <c:pt idx="15">
                  <c:v>-6.2471557021579693E-2</c:v>
                </c:pt>
                <c:pt idx="16">
                  <c:v>-6.0370752248790169E-2</c:v>
                </c:pt>
                <c:pt idx="17">
                  <c:v>-5.5792075179889475E-2</c:v>
                </c:pt>
                <c:pt idx="18">
                  <c:v>-5.2851846277801581E-2</c:v>
                </c:pt>
                <c:pt idx="19">
                  <c:v>-4.9516594256043732E-2</c:v>
                </c:pt>
                <c:pt idx="20">
                  <c:v>-4.6576365353955658E-2</c:v>
                </c:pt>
                <c:pt idx="21">
                  <c:v>-3.8613058373338671E-2</c:v>
                </c:pt>
                <c:pt idx="22">
                  <c:v>-3.2319621853144076E-2</c:v>
                </c:pt>
                <c:pt idx="23">
                  <c:v>-2.3135334320820194E-2</c:v>
                </c:pt>
                <c:pt idx="24">
                  <c:v>-1.3964513485757913E-2</c:v>
                </c:pt>
                <c:pt idx="25">
                  <c:v>-2.3203092536719563E-3</c:v>
                </c:pt>
                <c:pt idx="26">
                  <c:v>6.8415337832161069E-3</c:v>
                </c:pt>
                <c:pt idx="27">
                  <c:v>2.152472269730769E-2</c:v>
                </c:pt>
                <c:pt idx="28">
                  <c:v>3.6185467115963231E-2</c:v>
                </c:pt>
                <c:pt idx="29">
                  <c:v>5.3746040344922731E-2</c:v>
                </c:pt>
                <c:pt idx="30">
                  <c:v>7.2505149630153032E-2</c:v>
                </c:pt>
                <c:pt idx="31">
                  <c:v>9.3311196899127161E-2</c:v>
                </c:pt>
                <c:pt idx="32">
                  <c:v>0.10798989691413172</c:v>
                </c:pt>
                <c:pt idx="33">
                  <c:v>0.14061970437867799</c:v>
                </c:pt>
                <c:pt idx="34">
                  <c:v>0.16795709981946594</c:v>
                </c:pt>
              </c:numCache>
            </c:numRef>
          </c:xVal>
          <c:yVal>
            <c:numRef>
              <c:f>'projekty 2 i 3'!$B$3:$B$37</c:f>
              <c:numCache>
                <c:formatCode>General</c:formatCode>
                <c:ptCount val="35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9-4094-976D-F293D1E9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23664"/>
        <c:axId val="1610484368"/>
      </c:scatterChart>
      <c:valAx>
        <c:axId val="1370723664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</a:t>
                </a:r>
                <a:r>
                  <a:rPr lang="pl-PL"/>
                  <a:t> [rad]</a:t>
                </a:r>
              </a:p>
            </c:rich>
          </c:tx>
          <c:layout>
            <c:manualLayout>
              <c:xMode val="edge"/>
              <c:yMode val="edge"/>
              <c:x val="0.46398250218722659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0484368"/>
        <c:crosses val="autoZero"/>
        <c:crossBetween val="midCat"/>
        <c:majorUnit val="5.000000000000001E-2"/>
      </c:valAx>
      <c:valAx>
        <c:axId val="16104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072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470253718285212E-2"/>
                  <c:y val="-7.38498833479148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3'!$F$3:$F$37</c:f>
              <c:numCache>
                <c:formatCode>General</c:formatCode>
                <c:ptCount val="35"/>
                <c:pt idx="0">
                  <c:v>-0.22221825156019295</c:v>
                </c:pt>
                <c:pt idx="1">
                  <c:v>-0.20631888442885751</c:v>
                </c:pt>
                <c:pt idx="2">
                  <c:v>-0.18355829545783933</c:v>
                </c:pt>
                <c:pt idx="3">
                  <c:v>-0.16142527494094319</c:v>
                </c:pt>
                <c:pt idx="4">
                  <c:v>-0.13973140739789469</c:v>
                </c:pt>
                <c:pt idx="5">
                  <c:v>-0.12849749723700174</c:v>
                </c:pt>
                <c:pt idx="6">
                  <c:v>-0.11519246623346921</c:v>
                </c:pt>
                <c:pt idx="7">
                  <c:v>-0.10554849278570962</c:v>
                </c:pt>
                <c:pt idx="8">
                  <c:v>-9.4795766754322497E-2</c:v>
                </c:pt>
                <c:pt idx="9">
                  <c:v>-9.028756425750345E-2</c:v>
                </c:pt>
                <c:pt idx="10">
                  <c:v>-8.474380133936503E-2</c:v>
                </c:pt>
                <c:pt idx="11">
                  <c:v>-8.0016022355622232E-2</c:v>
                </c:pt>
                <c:pt idx="12">
                  <c:v>-7.7212979889902736E-2</c:v>
                </c:pt>
                <c:pt idx="13">
                  <c:v>-7.2223593263578079E-2</c:v>
                </c:pt>
                <c:pt idx="14">
                  <c:v>-6.7673359611101366E-2</c:v>
                </c:pt>
                <c:pt idx="15">
                  <c:v>-6.116722843395124E-2</c:v>
                </c:pt>
                <c:pt idx="16">
                  <c:v>-5.8175770487958009E-2</c:v>
                </c:pt>
                <c:pt idx="17">
                  <c:v>-5.2297207764929438E-2</c:v>
                </c:pt>
                <c:pt idx="18">
                  <c:v>-4.8123805073000549E-2</c:v>
                </c:pt>
                <c:pt idx="19">
                  <c:v>-4.3761986900797738E-2</c:v>
                </c:pt>
                <c:pt idx="20">
                  <c:v>-3.9588584208868738E-2</c:v>
                </c:pt>
                <c:pt idx="21">
                  <c:v>-2.8543089528249473E-2</c:v>
                </c:pt>
                <c:pt idx="22">
                  <c:v>-1.9715100014885571E-2</c:v>
                </c:pt>
                <c:pt idx="23">
                  <c:v>-7.5188215949807827E-3</c:v>
                </c:pt>
                <c:pt idx="24">
                  <c:v>4.4578803379998772E-3</c:v>
                </c:pt>
                <c:pt idx="25">
                  <c:v>1.9248494885707537E-2</c:v>
                </c:pt>
                <c:pt idx="26">
                  <c:v>3.1078812494072273E-2</c:v>
                </c:pt>
                <c:pt idx="27">
                  <c:v>5.1653057304485432E-2</c:v>
                </c:pt>
                <c:pt idx="28">
                  <c:v>7.1861341303358209E-2</c:v>
                </c:pt>
                <c:pt idx="29">
                  <c:v>9.5584298533388234E-2</c:v>
                </c:pt>
                <c:pt idx="30">
                  <c:v>0.12009207869116349</c:v>
                </c:pt>
                <c:pt idx="31">
                  <c:v>0.14671301084723604</c:v>
                </c:pt>
                <c:pt idx="32">
                  <c:v>0.16721406349534088</c:v>
                </c:pt>
                <c:pt idx="33">
                  <c:v>0.21155329669144174</c:v>
                </c:pt>
                <c:pt idx="34">
                  <c:v>0.24462890816037153</c:v>
                </c:pt>
              </c:numCache>
            </c:numRef>
          </c:xVal>
          <c:yVal>
            <c:numRef>
              <c:f>'projekty 2 i 3'!$G$3:$G$37</c:f>
              <c:numCache>
                <c:formatCode>0.000</c:formatCode>
                <c:ptCount val="35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573-BD30-9290CF85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424751"/>
        <c:axId val="1612536927"/>
      </c:scatterChart>
      <c:valAx>
        <c:axId val="1608424751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ap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536927"/>
        <c:crosses val="autoZero"/>
        <c:crossBetween val="midCat"/>
        <c:majorUnit val="5.000000000000001E-2"/>
      </c:valAx>
      <c:valAx>
        <c:axId val="16125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84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Cz(Cx)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płat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3'!$J$3:$J$44</c:f>
              <c:numCache>
                <c:formatCode>0.0000</c:formatCode>
                <c:ptCount val="42"/>
                <c:pt idx="0">
                  <c:v>1.1086270100984263E-2</c:v>
                </c:pt>
                <c:pt idx="1">
                  <c:v>1.0266297159642654E-2</c:v>
                </c:pt>
                <c:pt idx="2">
                  <c:v>9.1110295739924192E-3</c:v>
                </c:pt>
                <c:pt idx="3">
                  <c:v>7.9154053894244392E-3</c:v>
                </c:pt>
                <c:pt idx="4">
                  <c:v>7.1304992118325587E-3</c:v>
                </c:pt>
                <c:pt idx="5">
                  <c:v>6.7412892936110965E-3</c:v>
                </c:pt>
                <c:pt idx="6">
                  <c:v>6.4649135369579938E-3</c:v>
                </c:pt>
                <c:pt idx="7">
                  <c:v>6.1470740144358013E-3</c:v>
                </c:pt>
                <c:pt idx="8">
                  <c:v>5.7743581442875162E-3</c:v>
                </c:pt>
                <c:pt idx="9">
                  <c:v>5.6798473422506662E-3</c:v>
                </c:pt>
                <c:pt idx="10">
                  <c:v>5.6267047916707374E-3</c:v>
                </c:pt>
                <c:pt idx="11">
                  <c:v>5.5117715474993232E-3</c:v>
                </c:pt>
                <c:pt idx="12">
                  <c:v>5.4347138380142733E-3</c:v>
                </c:pt>
                <c:pt idx="13">
                  <c:v>5.2760662486122543E-3</c:v>
                </c:pt>
                <c:pt idx="14">
                  <c:v>5.2064768544993886E-3</c:v>
                </c:pt>
                <c:pt idx="15">
                  <c:v>5.2028118530804083E-3</c:v>
                </c:pt>
                <c:pt idx="16">
                  <c:v>5.1781274971689191E-3</c:v>
                </c:pt>
                <c:pt idx="17">
                  <c:v>5.1793742485064034E-3</c:v>
                </c:pt>
                <c:pt idx="18">
                  <c:v>5.1797144874054686E-3</c:v>
                </c:pt>
                <c:pt idx="19">
                  <c:v>5.1743113541520541E-3</c:v>
                </c:pt>
                <c:pt idx="20">
                  <c:v>5.1735104495950167E-3</c:v>
                </c:pt>
                <c:pt idx="21">
                  <c:v>5.2352498507890503E-3</c:v>
                </c:pt>
                <c:pt idx="22">
                  <c:v>5.249999446816157E-3</c:v>
                </c:pt>
                <c:pt idx="23">
                  <c:v>5.2793588264230685E-3</c:v>
                </c:pt>
                <c:pt idx="24">
                  <c:v>5.332515072819133E-3</c:v>
                </c:pt>
                <c:pt idx="25">
                  <c:v>5.4263340284864299E-3</c:v>
                </c:pt>
                <c:pt idx="26">
                  <c:v>5.5838410182333324E-3</c:v>
                </c:pt>
                <c:pt idx="27">
                  <c:v>5.7301970229569786E-3</c:v>
                </c:pt>
                <c:pt idx="28">
                  <c:v>5.9586269707807334E-3</c:v>
                </c:pt>
                <c:pt idx="29">
                  <c:v>6.1580818478705647E-3</c:v>
                </c:pt>
                <c:pt idx="30">
                  <c:v>6.3761344872947864E-3</c:v>
                </c:pt>
                <c:pt idx="31">
                  <c:v>6.8752312056137464E-3</c:v>
                </c:pt>
                <c:pt idx="32">
                  <c:v>8.2666141009627297E-3</c:v>
                </c:pt>
                <c:pt idx="33">
                  <c:v>1.3748610140908571E-2</c:v>
                </c:pt>
                <c:pt idx="34">
                  <c:v>1.6432397596637144E-2</c:v>
                </c:pt>
                <c:pt idx="35">
                  <c:v>2.0521852387293402E-2</c:v>
                </c:pt>
                <c:pt idx="36">
                  <c:v>2.313912854808424E-2</c:v>
                </c:pt>
                <c:pt idx="37">
                  <c:v>2.6190600119511739E-2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  <c:pt idx="35">
                  <c:v>1.4214988164189299</c:v>
                </c:pt>
                <c:pt idx="36">
                  <c:v>1.4720976406467601</c:v>
                </c:pt>
                <c:pt idx="37">
                  <c:v>1.5260657190124201</c:v>
                </c:pt>
                <c:pt idx="38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12-4923-8785-1063B1AF8DFD}"/>
            </c:ext>
          </c:extLst>
        </c:ser>
        <c:ser>
          <c:idx val="1"/>
          <c:order val="1"/>
          <c:tx>
            <c:v>profil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3'!$N$3:$N$44</c:f>
              <c:numCache>
                <c:formatCode>0.0000</c:formatCode>
                <c:ptCount val="42"/>
                <c:pt idx="0">
                  <c:v>3.7559254491041701E-2</c:v>
                </c:pt>
                <c:pt idx="1">
                  <c:v>3.2775207802171476E-2</c:v>
                </c:pt>
                <c:pt idx="2">
                  <c:v>2.5510289627042743E-2</c:v>
                </c:pt>
                <c:pt idx="3">
                  <c:v>1.9472764541100342E-2</c:v>
                </c:pt>
                <c:pt idx="4">
                  <c:v>1.5121806194344422E-2</c:v>
                </c:pt>
                <c:pt idx="5">
                  <c:v>1.3202435428276886E-2</c:v>
                </c:pt>
                <c:pt idx="6">
                  <c:v>1.1488634617359213E-2</c:v>
                </c:pt>
                <c:pt idx="7">
                  <c:v>1.0288961642580377E-2</c:v>
                </c:pt>
                <c:pt idx="8">
                  <c:v>9.1694608448446274E-3</c:v>
                </c:pt>
                <c:pt idx="9">
                  <c:v>8.8363400478468045E-3</c:v>
                </c:pt>
                <c:pt idx="10">
                  <c:v>8.555818668835119E-3</c:v>
                </c:pt>
                <c:pt idx="11">
                  <c:v>8.2709970935284666E-3</c:v>
                </c:pt>
                <c:pt idx="12">
                  <c:v>8.0994732838025624E-3</c:v>
                </c:pt>
                <c:pt idx="13">
                  <c:v>7.8788405644093437E-3</c:v>
                </c:pt>
                <c:pt idx="14">
                  <c:v>7.7938538067589599E-3</c:v>
                </c:pt>
                <c:pt idx="15">
                  <c:v>7.815703849012777E-3</c:v>
                </c:pt>
                <c:pt idx="16">
                  <c:v>7.8389011300710153E-3</c:v>
                </c:pt>
                <c:pt idx="17">
                  <c:v>7.9537754762831637E-3</c:v>
                </c:pt>
                <c:pt idx="18">
                  <c:v>8.1099014397327633E-3</c:v>
                </c:pt>
                <c:pt idx="19">
                  <c:v>8.2698222951889267E-3</c:v>
                </c:pt>
                <c:pt idx="20">
                  <c:v>8.5104301568996003E-3</c:v>
                </c:pt>
                <c:pt idx="21">
                  <c:v>9.3798856526674627E-3</c:v>
                </c:pt>
                <c:pt idx="22">
                  <c:v>1.0277546041305066E-2</c:v>
                </c:pt>
                <c:pt idx="23">
                  <c:v>1.1612789097320313E-2</c:v>
                </c:pt>
                <c:pt idx="24">
                  <c:v>1.3133258369439234E-2</c:v>
                </c:pt>
                <c:pt idx="25">
                  <c:v>1.5160192277718218E-2</c:v>
                </c:pt>
                <c:pt idx="26">
                  <c:v>1.7195563248370467E-2</c:v>
                </c:pt>
                <c:pt idx="27">
                  <c:v>2.226226186230218E-2</c:v>
                </c:pt>
                <c:pt idx="28">
                  <c:v>2.8099001536651728E-2</c:v>
                </c:pt>
                <c:pt idx="29">
                  <c:v>3.5636960773121465E-2</c:v>
                </c:pt>
                <c:pt idx="30">
                  <c:v>4.3752796686485552E-2</c:v>
                </c:pt>
                <c:pt idx="31">
                  <c:v>5.3273668520819377E-2</c:v>
                </c:pt>
                <c:pt idx="32">
                  <c:v>6.4739354190437748E-2</c:v>
                </c:pt>
                <c:pt idx="33">
                  <c:v>9.3635779025946525E-2</c:v>
                </c:pt>
                <c:pt idx="34">
                  <c:v>0.10933195587833031</c:v>
                </c:pt>
                <c:pt idx="35">
                  <c:v>0.12779374604049112</c:v>
                </c:pt>
                <c:pt idx="36">
                  <c:v>0.13799628122887708</c:v>
                </c:pt>
                <c:pt idx="37">
                  <c:v>0.14943045955138848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  <c:pt idx="35">
                  <c:v>1.4214988164189299</c:v>
                </c:pt>
                <c:pt idx="36">
                  <c:v>1.4720976406467601</c:v>
                </c:pt>
                <c:pt idx="37">
                  <c:v>1.5260657190124201</c:v>
                </c:pt>
                <c:pt idx="38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12-4923-8785-1063B1AF8DFD}"/>
            </c:ext>
          </c:extLst>
        </c:ser>
        <c:ser>
          <c:idx val="2"/>
          <c:order val="2"/>
          <c:tx>
            <c:v>samolot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3'!$R$3:$R$44</c:f>
              <c:numCache>
                <c:formatCode>0.0000</c:formatCode>
                <c:ptCount val="42"/>
                <c:pt idx="0">
                  <c:v>8.29282586428082E-2</c:v>
                </c:pt>
                <c:pt idx="1">
                  <c:v>7.727192468421358E-2</c:v>
                </c:pt>
                <c:pt idx="2">
                  <c:v>6.8544456740913903E-2</c:v>
                </c:pt>
                <c:pt idx="3">
                  <c:v>6.1158465543997259E-2</c:v>
                </c:pt>
                <c:pt idx="4">
                  <c:v>5.5634846823460454E-2</c:v>
                </c:pt>
                <c:pt idx="5">
                  <c:v>5.3117471468118578E-2</c:v>
                </c:pt>
                <c:pt idx="6">
                  <c:v>5.0750706706451452E-2</c:v>
                </c:pt>
                <c:pt idx="7">
                  <c:v>4.9056021983939137E-2</c:v>
                </c:pt>
                <c:pt idx="8">
                  <c:v>4.7401776518896446E-2</c:v>
                </c:pt>
                <c:pt idx="9">
                  <c:v>4.6855168855544645E-2</c:v>
                </c:pt>
                <c:pt idx="10">
                  <c:v>4.6330490356534894E-2</c:v>
                </c:pt>
                <c:pt idx="11">
                  <c:v>4.5801382763584884E-2</c:v>
                </c:pt>
                <c:pt idx="12">
                  <c:v>4.5437824419459094E-2</c:v>
                </c:pt>
                <c:pt idx="13">
                  <c:v>4.5000089010582854E-2</c:v>
                </c:pt>
                <c:pt idx="14">
                  <c:v>4.4774472356443627E-2</c:v>
                </c:pt>
                <c:pt idx="15">
                  <c:v>4.4914799743143934E-2</c:v>
                </c:pt>
                <c:pt idx="16">
                  <c:v>4.5042242954407334E-2</c:v>
                </c:pt>
                <c:pt idx="17">
                  <c:v>4.5314346098390038E-2</c:v>
                </c:pt>
                <c:pt idx="18">
                  <c:v>4.5622705573201743E-2</c:v>
                </c:pt>
                <c:pt idx="19">
                  <c:v>4.5911333677871119E-2</c:v>
                </c:pt>
                <c:pt idx="20">
                  <c:v>4.6309681232087438E-2</c:v>
                </c:pt>
                <c:pt idx="21">
                  <c:v>4.7590518872589686E-2</c:v>
                </c:pt>
                <c:pt idx="22">
                  <c:v>4.8838546305190411E-2</c:v>
                </c:pt>
                <c:pt idx="23">
                  <c:v>5.0607575674357058E-2</c:v>
                </c:pt>
                <c:pt idx="24">
                  <c:v>5.2550023923442782E-2</c:v>
                </c:pt>
                <c:pt idx="25">
                  <c:v>5.507093486780866E-2</c:v>
                </c:pt>
                <c:pt idx="26">
                  <c:v>5.754544534778562E-2</c:v>
                </c:pt>
                <c:pt idx="27">
                  <c:v>6.3619964967707443E-2</c:v>
                </c:pt>
                <c:pt idx="28">
                  <c:v>7.0474665964580518E-2</c:v>
                </c:pt>
                <c:pt idx="29">
                  <c:v>7.9212330048080787E-2</c:v>
                </c:pt>
                <c:pt idx="30">
                  <c:v>8.8517736894781915E-2</c:v>
                </c:pt>
                <c:pt idx="31">
                  <c:v>9.9325850242132169E-2</c:v>
                </c:pt>
                <c:pt idx="32">
                  <c:v>0.11220170173264817</c:v>
                </c:pt>
                <c:pt idx="33">
                  <c:v>0.14430049586887095</c:v>
                </c:pt>
                <c:pt idx="34">
                  <c:v>0.16166597935711113</c:v>
                </c:pt>
                <c:pt idx="35">
                  <c:v>0.1819857882520427</c:v>
                </c:pt>
                <c:pt idx="36">
                  <c:v>0.19317772668369032</c:v>
                </c:pt>
                <c:pt idx="37">
                  <c:v>0.20570182015178948</c:v>
                </c:pt>
              </c:numCache>
            </c:numRef>
          </c:xVal>
          <c:yVal>
            <c:numRef>
              <c:f>'projekty 2 i 3'!$T$3:$T$44</c:f>
              <c:numCache>
                <c:formatCode>0.000</c:formatCode>
                <c:ptCount val="42"/>
                <c:pt idx="0">
                  <c:v>-0.73355465788639174</c:v>
                </c:pt>
                <c:pt idx="1">
                  <c:v>-0.67371822316637775</c:v>
                </c:pt>
                <c:pt idx="2">
                  <c:v>-0.56829461241658863</c:v>
                </c:pt>
                <c:pt idx="3">
                  <c:v>-0.46646815560266019</c:v>
                </c:pt>
                <c:pt idx="4">
                  <c:v>-0.37185342629210472</c:v>
                </c:pt>
                <c:pt idx="5">
                  <c:v>-0.32154553008500159</c:v>
                </c:pt>
                <c:pt idx="6">
                  <c:v>-0.26406074563782639</c:v>
                </c:pt>
                <c:pt idx="7">
                  <c:v>-0.21973649290272357</c:v>
                </c:pt>
                <c:pt idx="8">
                  <c:v>-0.17062184146369022</c:v>
                </c:pt>
                <c:pt idx="9">
                  <c:v>-0.15025829206406918</c:v>
                </c:pt>
                <c:pt idx="10">
                  <c:v>-0.1263062985444135</c:v>
                </c:pt>
                <c:pt idx="11">
                  <c:v>-0.10233688539310697</c:v>
                </c:pt>
                <c:pt idx="12">
                  <c:v>-8.3140451314080127E-2</c:v>
                </c:pt>
                <c:pt idx="13">
                  <c:v>-6.1583657146389525E-2</c:v>
                </c:pt>
                <c:pt idx="14">
                  <c:v>-4.7238590482071983E-2</c:v>
                </c:pt>
                <c:pt idx="15">
                  <c:v>-2.0900107426275287E-2</c:v>
                </c:pt>
                <c:pt idx="16">
                  <c:v>-5.3182469147602662E-3</c:v>
                </c:pt>
                <c:pt idx="17">
                  <c:v>1.7423082205174856E-2</c:v>
                </c:pt>
                <c:pt idx="18">
                  <c:v>3.899729600451645E-2</c:v>
                </c:pt>
                <c:pt idx="19">
                  <c:v>5.6956936236346345E-2</c:v>
                </c:pt>
                <c:pt idx="20">
                  <c:v>7.8531150035686725E-2</c:v>
                </c:pt>
                <c:pt idx="21">
                  <c:v>0.13245361981030296</c:v>
                </c:pt>
                <c:pt idx="22">
                  <c:v>0.17679529217705514</c:v>
                </c:pt>
                <c:pt idx="23">
                  <c:v>0.22948967792029878</c:v>
                </c:pt>
                <c:pt idx="24">
                  <c:v>0.27857819991185656</c:v>
                </c:pt>
                <c:pt idx="25">
                  <c:v>0.33362423592793911</c:v>
                </c:pt>
                <c:pt idx="26">
                  <c:v>0.3803088487517059</c:v>
                </c:pt>
                <c:pt idx="27">
                  <c:v>0.48337209941283199</c:v>
                </c:pt>
                <c:pt idx="28">
                  <c:v>0.58042557715447929</c:v>
                </c:pt>
                <c:pt idx="29">
                  <c:v>0.68823567744040892</c:v>
                </c:pt>
                <c:pt idx="30">
                  <c:v>0.78880792077548922</c:v>
                </c:pt>
                <c:pt idx="31">
                  <c:v>0.89053856961533961</c:v>
                </c:pt>
                <c:pt idx="32">
                  <c:v>0.99239986569256255</c:v>
                </c:pt>
                <c:pt idx="33">
                  <c:v>1.1972547339043194</c:v>
                </c:pt>
                <c:pt idx="34">
                  <c:v>1.2976440711070689</c:v>
                </c:pt>
                <c:pt idx="35">
                  <c:v>1.4004373174775999</c:v>
                </c:pt>
                <c:pt idx="36">
                  <c:v>1.4518426504787008</c:v>
                </c:pt>
                <c:pt idx="37">
                  <c:v>1.5066709410991455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00-4962-A57F-4D50DC91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17695"/>
        <c:axId val="2138846559"/>
      </c:scatterChart>
      <c:valAx>
        <c:axId val="1088117695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8846559"/>
        <c:crosses val="autoZero"/>
        <c:crossBetween val="midCat"/>
        <c:majorUnit val="1.0000000000000002E-2"/>
      </c:valAx>
      <c:valAx>
        <c:axId val="213884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1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profil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-10.472953400958099</c:v>
                </c:pt>
                <c:pt idx="1">
                  <c:v>-9.7579513778133098</c:v>
                </c:pt>
                <c:pt idx="2">
                  <c:v>-8.7991285208766996</c:v>
                </c:pt>
                <c:pt idx="3">
                  <c:v>-7.8644819913413997</c:v>
                </c:pt>
                <c:pt idx="4">
                  <c:v>-6.9313786316402002</c:v>
                </c:pt>
                <c:pt idx="5">
                  <c:v>-6.4524815931166097</c:v>
                </c:pt>
                <c:pt idx="6">
                  <c:v>-5.8784224148219399</c:v>
                </c:pt>
                <c:pt idx="7">
                  <c:v>-5.4710255786128199</c:v>
                </c:pt>
                <c:pt idx="8">
                  <c:v>-5.0157904775458197</c:v>
                </c:pt>
                <c:pt idx="9">
                  <c:v>-4.8241802231418998</c:v>
                </c:pt>
                <c:pt idx="10">
                  <c:v>-4.5849888988524601</c:v>
                </c:pt>
                <c:pt idx="11">
                  <c:v>-4.3926070595314899</c:v>
                </c:pt>
                <c:pt idx="12">
                  <c:v>-4.29487297003688</c:v>
                </c:pt>
                <c:pt idx="13">
                  <c:v>-4.0796007781763803</c:v>
                </c:pt>
                <c:pt idx="14">
                  <c:v>-3.8658717561499998</c:v>
                </c:pt>
                <c:pt idx="15">
                  <c:v>-3.57935655694738</c:v>
                </c:pt>
                <c:pt idx="16">
                  <c:v>-3.4589893098856002</c:v>
                </c:pt>
                <c:pt idx="17">
                  <c:v>-3.19665043808426</c:v>
                </c:pt>
                <c:pt idx="18">
                  <c:v>-3.0281877311922401</c:v>
                </c:pt>
                <c:pt idx="19">
                  <c:v>-2.83709186673304</c:v>
                </c:pt>
                <c:pt idx="20">
                  <c:v>-2.6686291598410099</c:v>
                </c:pt>
                <c:pt idx="21">
                  <c:v>-2.2123652788845898</c:v>
                </c:pt>
                <c:pt idx="22">
                  <c:v>-1.8517779276439399</c:v>
                </c:pt>
                <c:pt idx="23">
                  <c:v>-1.32555701420716</c:v>
                </c:pt>
                <c:pt idx="24">
                  <c:v>-0.80010768568745005</c:v>
                </c:pt>
                <c:pt idx="25">
                  <c:v>-0.132943927400553</c:v>
                </c:pt>
                <c:pt idx="26">
                  <c:v>0.39199101117445401</c:v>
                </c:pt>
                <c:pt idx="27">
                  <c:v>1.2332757657451801</c:v>
                </c:pt>
                <c:pt idx="28">
                  <c:v>2.0732745454541202</c:v>
                </c:pt>
                <c:pt idx="29">
                  <c:v>3.0794212773039198</c:v>
                </c:pt>
                <c:pt idx="30">
                  <c:v>4.1542390667722904</c:v>
                </c:pt>
                <c:pt idx="31">
                  <c:v>5.3463377636342004</c:v>
                </c:pt>
                <c:pt idx="32">
                  <c:v>6.18736532323258</c:v>
                </c:pt>
                <c:pt idx="33">
                  <c:v>8.0569155772755501</c:v>
                </c:pt>
                <c:pt idx="34">
                  <c:v>9.6232329589128796</c:v>
                </c:pt>
                <c:pt idx="35">
                  <c:v>11.1900647304949</c:v>
                </c:pt>
                <c:pt idx="36">
                  <c:v>11.950075873801699</c:v>
                </c:pt>
                <c:pt idx="37">
                  <c:v>13.202358194194501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  <c:pt idx="35">
                  <c:v>1.4214988164189299</c:v>
                </c:pt>
                <c:pt idx="36">
                  <c:v>1.4720976406467601</c:v>
                </c:pt>
                <c:pt idx="37">
                  <c:v>1.5260657190124201</c:v>
                </c:pt>
                <c:pt idx="38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4-4DC5-B82A-EF286940F425}"/>
            </c:ext>
          </c:extLst>
        </c:ser>
        <c:ser>
          <c:idx val="1"/>
          <c:order val="1"/>
          <c:tx>
            <c:v>płat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3'!$L$3:$L$44</c:f>
              <c:numCache>
                <c:formatCode>0.00</c:formatCode>
                <c:ptCount val="42"/>
                <c:pt idx="0">
                  <c:v>-12.732167945175478</c:v>
                </c:pt>
                <c:pt idx="1">
                  <c:v>-11.821201311620934</c:v>
                </c:pt>
                <c:pt idx="2">
                  <c:v>-10.517115624349582</c:v>
                </c:pt>
                <c:pt idx="3">
                  <c:v>-9.2489869608549746</c:v>
                </c:pt>
                <c:pt idx="4">
                  <c:v>-8.006019909322454</c:v>
                </c:pt>
                <c:pt idx="5">
                  <c:v>-7.3623642696741562</c:v>
                </c:pt>
                <c:pt idx="6">
                  <c:v>-6.600042146881032</c:v>
                </c:pt>
                <c:pt idx="7">
                  <c:v>-6.047483170588178</c:v>
                </c:pt>
                <c:pt idx="8">
                  <c:v>-5.4313973507292408</c:v>
                </c:pt>
                <c:pt idx="9">
                  <c:v>-5.1730963744711698</c:v>
                </c:pt>
                <c:pt idx="10">
                  <c:v>-4.8554621566407095</c:v>
                </c:pt>
                <c:pt idx="11">
                  <c:v>-4.5845803744015976</c:v>
                </c:pt>
                <c:pt idx="12">
                  <c:v>-4.4239778713199263</c:v>
                </c:pt>
                <c:pt idx="13">
                  <c:v>-4.1381070752725071</c:v>
                </c:pt>
                <c:pt idx="14">
                  <c:v>-3.8773978911871945</c:v>
                </c:pt>
                <c:pt idx="15">
                  <c:v>-3.5046240337780099</c:v>
                </c:pt>
                <c:pt idx="16">
                  <c:v>-3.3332261188817238</c:v>
                </c:pt>
                <c:pt idx="17">
                  <c:v>-2.9964092852492539</c:v>
                </c:pt>
                <c:pt idx="18">
                  <c:v>-2.757290924793192</c:v>
                </c:pt>
                <c:pt idx="19">
                  <c:v>-2.5073771525225039</c:v>
                </c:pt>
                <c:pt idx="20">
                  <c:v>-2.2682587920664359</c:v>
                </c:pt>
                <c:pt idx="21">
                  <c:v>-1.6353985642327507</c:v>
                </c:pt>
                <c:pt idx="22">
                  <c:v>-1.1295920235312498</c:v>
                </c:pt>
                <c:pt idx="23">
                  <c:v>-0.43079674430422088</c:v>
                </c:pt>
                <c:pt idx="24">
                  <c:v>0.25541772894174586</c:v>
                </c:pt>
                <c:pt idx="25">
                  <c:v>1.1028575189301917</c:v>
                </c:pt>
                <c:pt idx="26">
                  <c:v>1.7806847881887931</c:v>
                </c:pt>
                <c:pt idx="27">
                  <c:v>2.9595021824944037</c:v>
                </c:pt>
                <c:pt idx="28">
                  <c:v>4.1173515668315677</c:v>
                </c:pt>
                <c:pt idx="29">
                  <c:v>5.4765768936816501</c:v>
                </c:pt>
                <c:pt idx="30">
                  <c:v>6.880769261956635</c:v>
                </c:pt>
                <c:pt idx="31">
                  <c:v>8.4060363212036915</c:v>
                </c:pt>
                <c:pt idx="32">
                  <c:v>9.5806601135155987</c:v>
                </c:pt>
                <c:pt idx="33">
                  <c:v>12.121111042498534</c:v>
                </c:pt>
                <c:pt idx="34">
                  <c:v>14.016203984482711</c:v>
                </c:pt>
                <c:pt idx="35">
                  <c:v>15.919684130454211</c:v>
                </c:pt>
                <c:pt idx="36">
                  <c:v>16.848047985644346</c:v>
                </c:pt>
                <c:pt idx="37">
                  <c:v>18.27989322052467</c:v>
                </c:pt>
              </c:numCache>
            </c:numRef>
          </c:xVal>
          <c:yVal>
            <c:numRef>
              <c:f>'projekty 2 i 3'!$G$3:$G$44</c:f>
              <c:numCache>
                <c:formatCode>0.000</c:formatCode>
                <c:ptCount val="42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  <c:pt idx="35">
                  <c:v>1.4214988164189299</c:v>
                </c:pt>
                <c:pt idx="36">
                  <c:v>1.4720976406467601</c:v>
                </c:pt>
                <c:pt idx="37">
                  <c:v>1.5260657190124201</c:v>
                </c:pt>
                <c:pt idx="38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4-4DC5-B82A-EF286940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134479"/>
        <c:axId val="1088105279"/>
      </c:scatterChart>
      <c:valAx>
        <c:axId val="213513447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05279"/>
        <c:crosses val="autoZero"/>
        <c:crossBetween val="midCat"/>
        <c:majorUnit val="2"/>
      </c:valAx>
      <c:valAx>
        <c:axId val="10881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513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Cx(Cz2)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256999125109364E-2"/>
                  <c:y val="-8.35976232137649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3'!$X$3:$X$37</c:f>
              <c:numCache>
                <c:formatCode>0.000</c:formatCode>
                <c:ptCount val="35"/>
                <c:pt idx="0">
                  <c:v>0.53810243610682118</c:v>
                </c:pt>
                <c:pt idx="1">
                  <c:v>0.45389624422646119</c:v>
                </c:pt>
                <c:pt idx="2">
                  <c:v>0.32295876650172067</c:v>
                </c:pt>
                <c:pt idx="3">
                  <c:v>0.21759254019134761</c:v>
                </c:pt>
                <c:pt idx="4">
                  <c:v>0.13827497064517774</c:v>
                </c:pt>
                <c:pt idx="5">
                  <c:v>0.10339152791764467</c:v>
                </c:pt>
                <c:pt idx="6">
                  <c:v>6.9728077386804851E-2</c:v>
                </c:pt>
                <c:pt idx="7">
                  <c:v>4.8284126313188687E-2</c:v>
                </c:pt>
                <c:pt idx="8">
                  <c:v>2.911181278446064E-2</c:v>
                </c:pt>
                <c:pt idx="9">
                  <c:v>2.2577554334011117E-2</c:v>
                </c:pt>
                <c:pt idx="10">
                  <c:v>1.5953281051990512E-2</c:v>
                </c:pt>
                <c:pt idx="11">
                  <c:v>1.047283811196191E-2</c:v>
                </c:pt>
                <c:pt idx="12">
                  <c:v>6.9123346447089278E-3</c:v>
                </c:pt>
                <c:pt idx="13">
                  <c:v>3.7925468275240536E-3</c:v>
                </c:pt>
                <c:pt idx="14">
                  <c:v>2.2314844307329018E-3</c:v>
                </c:pt>
                <c:pt idx="15">
                  <c:v>4.3681449042984739E-4</c:v>
                </c:pt>
                <c:pt idx="16">
                  <c:v>2.8283750246357092E-5</c:v>
                </c:pt>
                <c:pt idx="17">
                  <c:v>3.035637935282807E-4</c:v>
                </c:pt>
                <c:pt idx="18">
                  <c:v>1.5207890956638746E-3</c:v>
                </c:pt>
                <c:pt idx="19">
                  <c:v>3.2440925854312235E-3</c:v>
                </c:pt>
                <c:pt idx="20">
                  <c:v>6.1671415259275395E-3</c:v>
                </c:pt>
                <c:pt idx="21">
                  <c:v>1.7543961400852279E-2</c:v>
                </c:pt>
                <c:pt idx="22">
                  <c:v>3.1256575335970295E-2</c:v>
                </c:pt>
                <c:pt idx="23">
                  <c:v>5.2665512271962471E-2</c:v>
                </c:pt>
                <c:pt idx="24">
                  <c:v>7.7605813466130324E-2</c:v>
                </c:pt>
                <c:pt idx="25">
                  <c:v>0.11130513079850117</c:v>
                </c:pt>
                <c:pt idx="26">
                  <c:v>0.1446348204388479</c:v>
                </c:pt>
                <c:pt idx="27">
                  <c:v>0.23364858649076872</c:v>
                </c:pt>
                <c:pt idx="28">
                  <c:v>0.3368938506151104</c:v>
                </c:pt>
                <c:pt idx="29">
                  <c:v>0.47366834770185862</c:v>
                </c:pt>
                <c:pt idx="30">
                  <c:v>0.62221793587815044</c:v>
                </c:pt>
                <c:pt idx="31">
                  <c:v>0.79305894397253507</c:v>
                </c:pt>
                <c:pt idx="32">
                  <c:v>0.98485749342661622</c:v>
                </c:pt>
                <c:pt idx="33">
                  <c:v>1.4334188978563025</c:v>
                </c:pt>
                <c:pt idx="34">
                  <c:v>1.6838801352793278</c:v>
                </c:pt>
              </c:numCache>
            </c:numRef>
          </c:xVal>
          <c:yVal>
            <c:numRef>
              <c:f>'projekty 2 i 3'!$R$3:$R$37</c:f>
              <c:numCache>
                <c:formatCode>0.0000</c:formatCode>
                <c:ptCount val="35"/>
                <c:pt idx="0">
                  <c:v>8.29282586428082E-2</c:v>
                </c:pt>
                <c:pt idx="1">
                  <c:v>7.727192468421358E-2</c:v>
                </c:pt>
                <c:pt idx="2">
                  <c:v>6.8544456740913903E-2</c:v>
                </c:pt>
                <c:pt idx="3">
                  <c:v>6.1158465543997259E-2</c:v>
                </c:pt>
                <c:pt idx="4">
                  <c:v>5.5634846823460454E-2</c:v>
                </c:pt>
                <c:pt idx="5">
                  <c:v>5.3117471468118578E-2</c:v>
                </c:pt>
                <c:pt idx="6">
                  <c:v>5.0750706706451452E-2</c:v>
                </c:pt>
                <c:pt idx="7">
                  <c:v>4.9056021983939137E-2</c:v>
                </c:pt>
                <c:pt idx="8">
                  <c:v>4.7401776518896446E-2</c:v>
                </c:pt>
                <c:pt idx="9">
                  <c:v>4.6855168855544645E-2</c:v>
                </c:pt>
                <c:pt idx="10">
                  <c:v>4.6330490356534894E-2</c:v>
                </c:pt>
                <c:pt idx="11">
                  <c:v>4.5801382763584884E-2</c:v>
                </c:pt>
                <c:pt idx="12">
                  <c:v>4.5437824419459094E-2</c:v>
                </c:pt>
                <c:pt idx="13">
                  <c:v>4.5000089010582854E-2</c:v>
                </c:pt>
                <c:pt idx="14">
                  <c:v>4.4774472356443627E-2</c:v>
                </c:pt>
                <c:pt idx="15">
                  <c:v>4.4914799743143934E-2</c:v>
                </c:pt>
                <c:pt idx="16">
                  <c:v>4.5042242954407334E-2</c:v>
                </c:pt>
                <c:pt idx="17">
                  <c:v>4.5314346098390038E-2</c:v>
                </c:pt>
                <c:pt idx="18">
                  <c:v>4.5622705573201743E-2</c:v>
                </c:pt>
                <c:pt idx="19">
                  <c:v>4.5911333677871119E-2</c:v>
                </c:pt>
                <c:pt idx="20">
                  <c:v>4.6309681232087438E-2</c:v>
                </c:pt>
                <c:pt idx="21">
                  <c:v>4.7590518872589686E-2</c:v>
                </c:pt>
                <c:pt idx="22">
                  <c:v>4.8838546305190411E-2</c:v>
                </c:pt>
                <c:pt idx="23">
                  <c:v>5.0607575674357058E-2</c:v>
                </c:pt>
                <c:pt idx="24">
                  <c:v>5.2550023923442782E-2</c:v>
                </c:pt>
                <c:pt idx="25">
                  <c:v>5.507093486780866E-2</c:v>
                </c:pt>
                <c:pt idx="26">
                  <c:v>5.754544534778562E-2</c:v>
                </c:pt>
                <c:pt idx="27">
                  <c:v>6.3619964967707443E-2</c:v>
                </c:pt>
                <c:pt idx="28">
                  <c:v>7.0474665964580518E-2</c:v>
                </c:pt>
                <c:pt idx="29">
                  <c:v>7.9212330048080787E-2</c:v>
                </c:pt>
                <c:pt idx="30">
                  <c:v>8.8517736894781915E-2</c:v>
                </c:pt>
                <c:pt idx="31">
                  <c:v>9.9325850242132169E-2</c:v>
                </c:pt>
                <c:pt idx="32">
                  <c:v>0.11220170173264817</c:v>
                </c:pt>
                <c:pt idx="33">
                  <c:v>0.14430049586887095</c:v>
                </c:pt>
                <c:pt idx="34">
                  <c:v>0.16166597935711113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E4-4F2E-950A-05D78A4C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17088"/>
        <c:axId val="695958800"/>
      </c:scatterChart>
      <c:valAx>
        <c:axId val="5382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5958800"/>
        <c:crosses val="autoZero"/>
        <c:crossBetween val="midCat"/>
      </c:valAx>
      <c:valAx>
        <c:axId val="6959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82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Doskonałość, f. energetyczna i Cz' od kąta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-10.472953400958099</c:v>
                </c:pt>
                <c:pt idx="1">
                  <c:v>-9.7579513778133098</c:v>
                </c:pt>
                <c:pt idx="2">
                  <c:v>-8.7991285208766996</c:v>
                </c:pt>
                <c:pt idx="3">
                  <c:v>-7.8644819913413997</c:v>
                </c:pt>
                <c:pt idx="4">
                  <c:v>-6.9313786316402002</c:v>
                </c:pt>
                <c:pt idx="5">
                  <c:v>-6.4524815931166097</c:v>
                </c:pt>
                <c:pt idx="6">
                  <c:v>-5.8784224148219399</c:v>
                </c:pt>
                <c:pt idx="7">
                  <c:v>-5.4710255786128199</c:v>
                </c:pt>
                <c:pt idx="8">
                  <c:v>-5.0157904775458197</c:v>
                </c:pt>
                <c:pt idx="9">
                  <c:v>-4.8241802231418998</c:v>
                </c:pt>
                <c:pt idx="10">
                  <c:v>-4.5849888988524601</c:v>
                </c:pt>
                <c:pt idx="11">
                  <c:v>-4.3926070595314899</c:v>
                </c:pt>
                <c:pt idx="12">
                  <c:v>-4.29487297003688</c:v>
                </c:pt>
                <c:pt idx="13">
                  <c:v>-4.0796007781763803</c:v>
                </c:pt>
                <c:pt idx="14">
                  <c:v>-3.8658717561499998</c:v>
                </c:pt>
                <c:pt idx="15">
                  <c:v>-3.57935655694738</c:v>
                </c:pt>
                <c:pt idx="16">
                  <c:v>-3.4589893098856002</c:v>
                </c:pt>
                <c:pt idx="17">
                  <c:v>-3.19665043808426</c:v>
                </c:pt>
                <c:pt idx="18">
                  <c:v>-3.0281877311922401</c:v>
                </c:pt>
                <c:pt idx="19">
                  <c:v>-2.83709186673304</c:v>
                </c:pt>
                <c:pt idx="20">
                  <c:v>-2.6686291598410099</c:v>
                </c:pt>
                <c:pt idx="21">
                  <c:v>-2.2123652788845898</c:v>
                </c:pt>
                <c:pt idx="22">
                  <c:v>-1.8517779276439399</c:v>
                </c:pt>
                <c:pt idx="23">
                  <c:v>-1.32555701420716</c:v>
                </c:pt>
                <c:pt idx="24">
                  <c:v>-0.80010768568745005</c:v>
                </c:pt>
                <c:pt idx="25">
                  <c:v>-0.132943927400553</c:v>
                </c:pt>
                <c:pt idx="26">
                  <c:v>0.39199101117445401</c:v>
                </c:pt>
                <c:pt idx="27">
                  <c:v>1.2332757657451801</c:v>
                </c:pt>
                <c:pt idx="28">
                  <c:v>2.0732745454541202</c:v>
                </c:pt>
                <c:pt idx="29">
                  <c:v>3.0794212773039198</c:v>
                </c:pt>
                <c:pt idx="30">
                  <c:v>4.1542390667722904</c:v>
                </c:pt>
                <c:pt idx="31">
                  <c:v>5.3463377636342004</c:v>
                </c:pt>
                <c:pt idx="32">
                  <c:v>6.18736532323258</c:v>
                </c:pt>
                <c:pt idx="33">
                  <c:v>8.0569155772755501</c:v>
                </c:pt>
                <c:pt idx="34">
                  <c:v>9.6232329589128796</c:v>
                </c:pt>
                <c:pt idx="35">
                  <c:v>11.1900647304949</c:v>
                </c:pt>
                <c:pt idx="36">
                  <c:v>11.950075873801699</c:v>
                </c:pt>
                <c:pt idx="37">
                  <c:v>13.202358194194501</c:v>
                </c:pt>
              </c:numCache>
            </c:numRef>
          </c:xVal>
          <c:yVal>
            <c:numRef>
              <c:f>'projekty 2 i 3'!$T$3:$T$44</c:f>
              <c:numCache>
                <c:formatCode>0.000</c:formatCode>
                <c:ptCount val="42"/>
                <c:pt idx="0">
                  <c:v>-0.73355465788639174</c:v>
                </c:pt>
                <c:pt idx="1">
                  <c:v>-0.67371822316637775</c:v>
                </c:pt>
                <c:pt idx="2">
                  <c:v>-0.56829461241658863</c:v>
                </c:pt>
                <c:pt idx="3">
                  <c:v>-0.46646815560266019</c:v>
                </c:pt>
                <c:pt idx="4">
                  <c:v>-0.37185342629210472</c:v>
                </c:pt>
                <c:pt idx="5">
                  <c:v>-0.32154553008500159</c:v>
                </c:pt>
                <c:pt idx="6">
                  <c:v>-0.26406074563782639</c:v>
                </c:pt>
                <c:pt idx="7">
                  <c:v>-0.21973649290272357</c:v>
                </c:pt>
                <c:pt idx="8">
                  <c:v>-0.17062184146369022</c:v>
                </c:pt>
                <c:pt idx="9">
                  <c:v>-0.15025829206406918</c:v>
                </c:pt>
                <c:pt idx="10">
                  <c:v>-0.1263062985444135</c:v>
                </c:pt>
                <c:pt idx="11">
                  <c:v>-0.10233688539310697</c:v>
                </c:pt>
                <c:pt idx="12">
                  <c:v>-8.3140451314080127E-2</c:v>
                </c:pt>
                <c:pt idx="13">
                  <c:v>-6.1583657146389525E-2</c:v>
                </c:pt>
                <c:pt idx="14">
                  <c:v>-4.7238590482071983E-2</c:v>
                </c:pt>
                <c:pt idx="15">
                  <c:v>-2.0900107426275287E-2</c:v>
                </c:pt>
                <c:pt idx="16">
                  <c:v>-5.3182469147602662E-3</c:v>
                </c:pt>
                <c:pt idx="17">
                  <c:v>1.7423082205174856E-2</c:v>
                </c:pt>
                <c:pt idx="18">
                  <c:v>3.899729600451645E-2</c:v>
                </c:pt>
                <c:pt idx="19">
                  <c:v>5.6956936236346345E-2</c:v>
                </c:pt>
                <c:pt idx="20">
                  <c:v>7.8531150035686725E-2</c:v>
                </c:pt>
                <c:pt idx="21">
                  <c:v>0.13245361981030296</c:v>
                </c:pt>
                <c:pt idx="22">
                  <c:v>0.17679529217705514</c:v>
                </c:pt>
                <c:pt idx="23">
                  <c:v>0.22948967792029878</c:v>
                </c:pt>
                <c:pt idx="24">
                  <c:v>0.27857819991185656</c:v>
                </c:pt>
                <c:pt idx="25">
                  <c:v>0.33362423592793911</c:v>
                </c:pt>
                <c:pt idx="26">
                  <c:v>0.3803088487517059</c:v>
                </c:pt>
                <c:pt idx="27">
                  <c:v>0.48337209941283199</c:v>
                </c:pt>
                <c:pt idx="28">
                  <c:v>0.58042557715447929</c:v>
                </c:pt>
                <c:pt idx="29">
                  <c:v>0.68823567744040892</c:v>
                </c:pt>
                <c:pt idx="30">
                  <c:v>0.78880792077548922</c:v>
                </c:pt>
                <c:pt idx="31">
                  <c:v>0.89053856961533961</c:v>
                </c:pt>
                <c:pt idx="32">
                  <c:v>0.99239986569256255</c:v>
                </c:pt>
                <c:pt idx="33">
                  <c:v>1.1972547339043194</c:v>
                </c:pt>
                <c:pt idx="34">
                  <c:v>1.2976440711070689</c:v>
                </c:pt>
                <c:pt idx="35">
                  <c:v>1.4004373174775999</c:v>
                </c:pt>
                <c:pt idx="36">
                  <c:v>1.4518426504787008</c:v>
                </c:pt>
                <c:pt idx="37">
                  <c:v>1.5066709410991455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7-4ECE-BF69-5DF44BFDEFE8}"/>
            </c:ext>
          </c:extLst>
        </c:ser>
        <c:ser>
          <c:idx val="1"/>
          <c:order val="1"/>
          <c:tx>
            <c:v>K/10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-10.472953400958099</c:v>
                </c:pt>
                <c:pt idx="1">
                  <c:v>-9.7579513778133098</c:v>
                </c:pt>
                <c:pt idx="2">
                  <c:v>-8.7991285208766996</c:v>
                </c:pt>
                <c:pt idx="3">
                  <c:v>-7.8644819913413997</c:v>
                </c:pt>
                <c:pt idx="4">
                  <c:v>-6.9313786316402002</c:v>
                </c:pt>
                <c:pt idx="5">
                  <c:v>-6.4524815931166097</c:v>
                </c:pt>
                <c:pt idx="6">
                  <c:v>-5.8784224148219399</c:v>
                </c:pt>
                <c:pt idx="7">
                  <c:v>-5.4710255786128199</c:v>
                </c:pt>
                <c:pt idx="8">
                  <c:v>-5.0157904775458197</c:v>
                </c:pt>
                <c:pt idx="9">
                  <c:v>-4.8241802231418998</c:v>
                </c:pt>
                <c:pt idx="10">
                  <c:v>-4.5849888988524601</c:v>
                </c:pt>
                <c:pt idx="11">
                  <c:v>-4.3926070595314899</c:v>
                </c:pt>
                <c:pt idx="12">
                  <c:v>-4.29487297003688</c:v>
                </c:pt>
                <c:pt idx="13">
                  <c:v>-4.0796007781763803</c:v>
                </c:pt>
                <c:pt idx="14">
                  <c:v>-3.8658717561499998</c:v>
                </c:pt>
                <c:pt idx="15">
                  <c:v>-3.57935655694738</c:v>
                </c:pt>
                <c:pt idx="16">
                  <c:v>-3.4589893098856002</c:v>
                </c:pt>
                <c:pt idx="17">
                  <c:v>-3.19665043808426</c:v>
                </c:pt>
                <c:pt idx="18">
                  <c:v>-3.0281877311922401</c:v>
                </c:pt>
                <c:pt idx="19">
                  <c:v>-2.83709186673304</c:v>
                </c:pt>
                <c:pt idx="20">
                  <c:v>-2.6686291598410099</c:v>
                </c:pt>
                <c:pt idx="21">
                  <c:v>-2.2123652788845898</c:v>
                </c:pt>
                <c:pt idx="22">
                  <c:v>-1.8517779276439399</c:v>
                </c:pt>
                <c:pt idx="23">
                  <c:v>-1.32555701420716</c:v>
                </c:pt>
                <c:pt idx="24">
                  <c:v>-0.80010768568745005</c:v>
                </c:pt>
                <c:pt idx="25">
                  <c:v>-0.132943927400553</c:v>
                </c:pt>
                <c:pt idx="26">
                  <c:v>0.39199101117445401</c:v>
                </c:pt>
                <c:pt idx="27">
                  <c:v>1.2332757657451801</c:v>
                </c:pt>
                <c:pt idx="28">
                  <c:v>2.0732745454541202</c:v>
                </c:pt>
                <c:pt idx="29">
                  <c:v>3.0794212773039198</c:v>
                </c:pt>
                <c:pt idx="30">
                  <c:v>4.1542390667722904</c:v>
                </c:pt>
                <c:pt idx="31">
                  <c:v>5.3463377636342004</c:v>
                </c:pt>
                <c:pt idx="32">
                  <c:v>6.18736532323258</c:v>
                </c:pt>
                <c:pt idx="33">
                  <c:v>8.0569155772755501</c:v>
                </c:pt>
                <c:pt idx="34">
                  <c:v>9.6232329589128796</c:v>
                </c:pt>
                <c:pt idx="35">
                  <c:v>11.1900647304949</c:v>
                </c:pt>
                <c:pt idx="36">
                  <c:v>11.950075873801699</c:v>
                </c:pt>
                <c:pt idx="37">
                  <c:v>13.202358194194501</c:v>
                </c:pt>
              </c:numCache>
            </c:numRef>
          </c:xVal>
          <c:yVal>
            <c:numRef>
              <c:f>'projekty 2 i 3'!$Y$3:$Y$44</c:f>
              <c:numCache>
                <c:formatCode>General</c:formatCode>
                <c:ptCount val="42"/>
                <c:pt idx="0">
                  <c:v>-0.88456536998562429</c:v>
                </c:pt>
                <c:pt idx="1">
                  <c:v>-0.87187969747053073</c:v>
                </c:pt>
                <c:pt idx="2">
                  <c:v>-0.8290890896759795</c:v>
                </c:pt>
                <c:pt idx="3">
                  <c:v>-0.76272050231064759</c:v>
                </c:pt>
                <c:pt idx="4">
                  <c:v>-0.66838222359461807</c:v>
                </c:pt>
                <c:pt idx="5">
                  <c:v>-0.60534796028081861</c:v>
                </c:pt>
                <c:pt idx="6">
                  <c:v>-0.52030949473312238</c:v>
                </c:pt>
                <c:pt idx="7">
                  <c:v>-0.44792970162697854</c:v>
                </c:pt>
                <c:pt idx="8">
                  <c:v>-0.35994820024450519</c:v>
                </c:pt>
                <c:pt idx="9">
                  <c:v>-0.32068669419870899</c:v>
                </c:pt>
                <c:pt idx="10">
                  <c:v>-0.27262024980186306</c:v>
                </c:pt>
                <c:pt idx="11">
                  <c:v>-0.22343623536726825</c:v>
                </c:pt>
                <c:pt idx="12">
                  <c:v>-0.18297630306101231</c:v>
                </c:pt>
                <c:pt idx="13">
                  <c:v>-0.13685230074079774</c:v>
                </c:pt>
                <c:pt idx="14">
                  <c:v>-0.10550339958450394</c:v>
                </c:pt>
                <c:pt idx="15">
                  <c:v>-4.6532785509002757E-2</c:v>
                </c:pt>
                <c:pt idx="16">
                  <c:v>-1.1807242636969705E-2</c:v>
                </c:pt>
                <c:pt idx="17">
                  <c:v>3.8449373554557097E-2</c:v>
                </c:pt>
                <c:pt idx="18">
                  <c:v>8.5477824067108854E-2</c:v>
                </c:pt>
                <c:pt idx="19">
                  <c:v>0.12405855302739574</c:v>
                </c:pt>
                <c:pt idx="20">
                  <c:v>0.16957825652505984</c:v>
                </c:pt>
                <c:pt idx="21">
                  <c:v>0.27831934374346812</c:v>
                </c:pt>
                <c:pt idx="22">
                  <c:v>0.36199949743030307</c:v>
                </c:pt>
                <c:pt idx="23">
                  <c:v>0.45346902091692487</c:v>
                </c:pt>
                <c:pt idx="24">
                  <c:v>0.53012002490750854</c:v>
                </c:pt>
                <c:pt idx="25">
                  <c:v>0.6058081939752159</c:v>
                </c:pt>
                <c:pt idx="26">
                  <c:v>0.66088436096592029</c:v>
                </c:pt>
                <c:pt idx="27">
                  <c:v>0.75978051804678692</c:v>
                </c:pt>
                <c:pt idx="28">
                  <c:v>0.82359464810545135</c:v>
                </c:pt>
                <c:pt idx="29">
                  <c:v>0.868849176665627</c:v>
                </c:pt>
                <c:pt idx="30">
                  <c:v>0.89112978759626338</c:v>
                </c:pt>
                <c:pt idx="31">
                  <c:v>0.89658288093625571</c:v>
                </c:pt>
                <c:pt idx="32">
                  <c:v>0.88447844405892506</c:v>
                </c:pt>
                <c:pt idx="33">
                  <c:v>0.82969550914938728</c:v>
                </c:pt>
                <c:pt idx="34">
                  <c:v>0.80266984820637222</c:v>
                </c:pt>
                <c:pt idx="35">
                  <c:v>0.76953114357372399</c:v>
                </c:pt>
                <c:pt idx="36">
                  <c:v>0.75155799553224445</c:v>
                </c:pt>
                <c:pt idx="37">
                  <c:v>0.73245386938596735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C7-4ECE-BF69-5DF44BFDEFE8}"/>
            </c:ext>
          </c:extLst>
        </c:ser>
        <c:ser>
          <c:idx val="2"/>
          <c:order val="2"/>
          <c:tx>
            <c:v>E/100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3'!$I$3:$I$44</c:f>
              <c:numCache>
                <c:formatCode>0.00</c:formatCode>
                <c:ptCount val="42"/>
                <c:pt idx="0">
                  <c:v>-10.472953400958099</c:v>
                </c:pt>
                <c:pt idx="1">
                  <c:v>-9.7579513778133098</c:v>
                </c:pt>
                <c:pt idx="2">
                  <c:v>-8.7991285208766996</c:v>
                </c:pt>
                <c:pt idx="3">
                  <c:v>-7.8644819913413997</c:v>
                </c:pt>
                <c:pt idx="4">
                  <c:v>-6.9313786316402002</c:v>
                </c:pt>
                <c:pt idx="5">
                  <c:v>-6.4524815931166097</c:v>
                </c:pt>
                <c:pt idx="6">
                  <c:v>-5.8784224148219399</c:v>
                </c:pt>
                <c:pt idx="7">
                  <c:v>-5.4710255786128199</c:v>
                </c:pt>
                <c:pt idx="8">
                  <c:v>-5.0157904775458197</c:v>
                </c:pt>
                <c:pt idx="9">
                  <c:v>-4.8241802231418998</c:v>
                </c:pt>
                <c:pt idx="10">
                  <c:v>-4.5849888988524601</c:v>
                </c:pt>
                <c:pt idx="11">
                  <c:v>-4.3926070595314899</c:v>
                </c:pt>
                <c:pt idx="12">
                  <c:v>-4.29487297003688</c:v>
                </c:pt>
                <c:pt idx="13">
                  <c:v>-4.0796007781763803</c:v>
                </c:pt>
                <c:pt idx="14">
                  <c:v>-3.8658717561499998</c:v>
                </c:pt>
                <c:pt idx="15">
                  <c:v>-3.57935655694738</c:v>
                </c:pt>
                <c:pt idx="16">
                  <c:v>-3.4589893098856002</c:v>
                </c:pt>
                <c:pt idx="17">
                  <c:v>-3.19665043808426</c:v>
                </c:pt>
                <c:pt idx="18">
                  <c:v>-3.0281877311922401</c:v>
                </c:pt>
                <c:pt idx="19">
                  <c:v>-2.83709186673304</c:v>
                </c:pt>
                <c:pt idx="20">
                  <c:v>-2.6686291598410099</c:v>
                </c:pt>
                <c:pt idx="21">
                  <c:v>-2.2123652788845898</c:v>
                </c:pt>
                <c:pt idx="22">
                  <c:v>-1.8517779276439399</c:v>
                </c:pt>
                <c:pt idx="23">
                  <c:v>-1.32555701420716</c:v>
                </c:pt>
                <c:pt idx="24">
                  <c:v>-0.80010768568745005</c:v>
                </c:pt>
                <c:pt idx="25">
                  <c:v>-0.132943927400553</c:v>
                </c:pt>
                <c:pt idx="26">
                  <c:v>0.39199101117445401</c:v>
                </c:pt>
                <c:pt idx="27">
                  <c:v>1.2332757657451801</c:v>
                </c:pt>
                <c:pt idx="28">
                  <c:v>2.0732745454541202</c:v>
                </c:pt>
                <c:pt idx="29">
                  <c:v>3.0794212773039198</c:v>
                </c:pt>
                <c:pt idx="30">
                  <c:v>4.1542390667722904</c:v>
                </c:pt>
                <c:pt idx="31">
                  <c:v>5.3463377636342004</c:v>
                </c:pt>
                <c:pt idx="32">
                  <c:v>6.18736532323258</c:v>
                </c:pt>
                <c:pt idx="33">
                  <c:v>8.0569155772755501</c:v>
                </c:pt>
                <c:pt idx="34">
                  <c:v>9.6232329589128796</c:v>
                </c:pt>
                <c:pt idx="35">
                  <c:v>11.1900647304949</c:v>
                </c:pt>
                <c:pt idx="36">
                  <c:v>11.950075873801699</c:v>
                </c:pt>
                <c:pt idx="37">
                  <c:v>13.202358194194501</c:v>
                </c:pt>
              </c:numCache>
            </c:numRef>
          </c:xVal>
          <c:yVal>
            <c:numRef>
              <c:f>'projekty 2 i 3'!$Z$3:$Z$44</c:f>
              <c:numCache>
                <c:formatCode>General</c:formatCode>
                <c:ptCount val="42"/>
                <c:pt idx="0">
                  <c:v>-0.57397416547136804</c:v>
                </c:pt>
                <c:pt idx="1">
                  <c:v>-0.51214321594350842</c:v>
                </c:pt>
                <c:pt idx="2">
                  <c:v>-0.39063930542754305</c:v>
                </c:pt>
                <c:pt idx="3">
                  <c:v>-0.27136438116551753</c:v>
                </c:pt>
                <c:pt idx="4">
                  <c:v>-0.16611986484041505</c:v>
                </c:pt>
                <c:pt idx="5">
                  <c:v>-0.11782912251918676</c:v>
                </c:pt>
                <c:pt idx="6">
                  <c:v>-7.1487045340451458E-2</c:v>
                </c:pt>
                <c:pt idx="7">
                  <c:v>-4.4088153539777214E-2</c:v>
                </c:pt>
                <c:pt idx="8">
                  <c:v>-2.2106227629346956E-2</c:v>
                </c:pt>
                <c:pt idx="9">
                  <c:v>-1.5452556119876131E-2</c:v>
                </c:pt>
                <c:pt idx="10">
                  <c:v>-9.3873115351983984E-3</c:v>
                </c:pt>
                <c:pt idx="11">
                  <c:v>-5.1090412126336103E-3</c:v>
                </c:pt>
                <c:pt idx="12">
                  <c:v>-2.7835695369863222E-3</c:v>
                </c:pt>
                <c:pt idx="13">
                  <c:v>-1.1533727386446289E-3</c:v>
                </c:pt>
                <c:pt idx="14">
                  <c:v>-5.2581120708244673E-4</c:v>
                </c:pt>
                <c:pt idx="15">
                  <c:v>-4.5255005269168849E-5</c:v>
                </c:pt>
                <c:pt idx="16">
                  <c:v>-7.4142200729262977E-7</c:v>
                </c:pt>
                <c:pt idx="17">
                  <c:v>2.5757488963129918E-5</c:v>
                </c:pt>
                <c:pt idx="18">
                  <c:v>2.8493212125212298E-4</c:v>
                </c:pt>
                <c:pt idx="19">
                  <c:v>8.7659712710432968E-4</c:v>
                </c:pt>
                <c:pt idx="20">
                  <c:v>2.2583034041388679E-3</c:v>
                </c:pt>
                <c:pt idx="21">
                  <c:v>1.0260076879637177E-2</c:v>
                </c:pt>
                <c:pt idx="22">
                  <c:v>2.3167897939278231E-2</c:v>
                </c:pt>
                <c:pt idx="23">
                  <c:v>4.7190915525629998E-2</c:v>
                </c:pt>
                <c:pt idx="24">
                  <c:v>7.8288062870471048E-2</c:v>
                </c:pt>
                <c:pt idx="25">
                  <c:v>0.122441284919299</c:v>
                </c:pt>
                <c:pt idx="26">
                  <c:v>0.1661067879507285</c:v>
                </c:pt>
                <c:pt idx="27">
                  <c:v>0.27903448889819904</c:v>
                </c:pt>
                <c:pt idx="28">
                  <c:v>0.39370739619495537</c:v>
                </c:pt>
                <c:pt idx="29">
                  <c:v>0.51954835019185119</c:v>
                </c:pt>
                <c:pt idx="30">
                  <c:v>0.62640207091689404</c:v>
                </c:pt>
                <c:pt idx="31">
                  <c:v>0.715869102560724</c:v>
                </c:pt>
                <c:pt idx="32">
                  <c:v>0.77635651683906715</c:v>
                </c:pt>
                <c:pt idx="33">
                  <c:v>0.82418373902331066</c:v>
                </c:pt>
                <c:pt idx="34">
                  <c:v>0.83604467554473827</c:v>
                </c:pt>
                <c:pt idx="35">
                  <c:v>0.82930842317021058</c:v>
                </c:pt>
                <c:pt idx="36">
                  <c:v>0.82005796156909239</c:v>
                </c:pt>
                <c:pt idx="37">
                  <c:v>0.80831189049083552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C7-4ECE-BF69-5DF44BFDE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1885903008"/>
      </c:scatterChart>
      <c:valAx>
        <c:axId val="1809832448"/>
        <c:scaling>
          <c:orientation val="minMax"/>
          <c:max val="16"/>
          <c:min val="-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α</a:t>
                </a:r>
                <a:r>
                  <a:rPr lang="pl-PL"/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903008"/>
        <c:crosses val="autoZero"/>
        <c:crossBetween val="midCat"/>
        <c:majorUnit val="2"/>
      </c:valAx>
      <c:valAx>
        <c:axId val="1885903008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Cz', K/10, E/100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820946340040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3'!$B$3:$B$44</c:f>
              <c:numCache>
                <c:formatCode>General</c:formatCode>
                <c:ptCount val="42"/>
                <c:pt idx="0">
                  <c:v>-0.67901252279814805</c:v>
                </c:pt>
                <c:pt idx="1">
                  <c:v>-0.62011487412902699</c:v>
                </c:pt>
                <c:pt idx="2">
                  <c:v>-0.51634527594983604</c:v>
                </c:pt>
                <c:pt idx="3">
                  <c:v>-0.416116395223388</c:v>
                </c:pt>
                <c:pt idx="4">
                  <c:v>-0.32298609573391701</c:v>
                </c:pt>
                <c:pt idx="5">
                  <c:v>-0.27346749038998103</c:v>
                </c:pt>
                <c:pt idx="6">
                  <c:v>-0.216884596472048</c:v>
                </c:pt>
                <c:pt idx="7">
                  <c:v>-0.17325575599502299</c:v>
                </c:pt>
                <c:pt idx="8">
                  <c:v>-0.12491167435817099</c:v>
                </c:pt>
                <c:pt idx="9">
                  <c:v>-0.10486761284602999</c:v>
                </c:pt>
                <c:pt idx="10">
                  <c:v>-8.1291407046891903E-2</c:v>
                </c:pt>
                <c:pt idx="11">
                  <c:v>-5.76980549162633E-2</c:v>
                </c:pt>
                <c:pt idx="12">
                  <c:v>-3.8802797613971297E-2</c:v>
                </c:pt>
                <c:pt idx="13">
                  <c:v>-1.7584212394746501E-2</c:v>
                </c:pt>
                <c:pt idx="14">
                  <c:v>-3.4642084124989398E-3</c:v>
                </c:pt>
                <c:pt idx="15">
                  <c:v>2.2461044800808599E-2</c:v>
                </c:pt>
                <c:pt idx="16">
                  <c:v>3.7798438318866902E-2</c:v>
                </c:pt>
                <c:pt idx="17">
                  <c:v>6.0182974079430601E-2</c:v>
                </c:pt>
                <c:pt idx="18">
                  <c:v>8.1418705630145999E-2</c:v>
                </c:pt>
                <c:pt idx="19">
                  <c:v>9.9096573396627793E-2</c:v>
                </c:pt>
                <c:pt idx="20">
                  <c:v>0.120332304947342</c:v>
                </c:pt>
                <c:pt idx="21">
                  <c:v>0.173408774075513</c:v>
                </c:pt>
                <c:pt idx="22">
                  <c:v>0.217054760884027</c:v>
                </c:pt>
                <c:pt idx="23">
                  <c:v>0.26892241364213199</c:v>
                </c:pt>
                <c:pt idx="24">
                  <c:v>0.31724077578174897</c:v>
                </c:pt>
                <c:pt idx="25">
                  <c:v>0.37142318329104201</c:v>
                </c:pt>
                <c:pt idx="26">
                  <c:v>0.41737535168500001</c:v>
                </c:pt>
                <c:pt idx="27">
                  <c:v>0.518821621947259</c:v>
                </c:pt>
                <c:pt idx="28">
                  <c:v>0.61435240784536904</c:v>
                </c:pt>
                <c:pt idx="29">
                  <c:v>0.72047105343872897</c:v>
                </c:pt>
                <c:pt idx="30">
                  <c:v>0.81946539829787601</c:v>
                </c:pt>
                <c:pt idx="31">
                  <c:v>0.91959997420112805</c:v>
                </c:pt>
                <c:pt idx="32">
                  <c:v>1.01986314759055</c:v>
                </c:pt>
                <c:pt idx="33">
                  <c:v>1.2215040059162801</c:v>
                </c:pt>
                <c:pt idx="34">
                  <c:v>1.3203183142947801</c:v>
                </c:pt>
                <c:pt idx="35">
                  <c:v>1.4214988164189299</c:v>
                </c:pt>
                <c:pt idx="36">
                  <c:v>1.4720976406467601</c:v>
                </c:pt>
                <c:pt idx="37">
                  <c:v>1.5260657190124201</c:v>
                </c:pt>
                <c:pt idx="38">
                  <c:v>1.46859978902274</c:v>
                </c:pt>
                <c:pt idx="39">
                  <c:v>1.42449942442973</c:v>
                </c:pt>
                <c:pt idx="40">
                  <c:v>1.3181921691899801</c:v>
                </c:pt>
                <c:pt idx="41">
                  <c:v>1.2737745974643999</c:v>
                </c:pt>
              </c:numCache>
            </c:numRef>
          </c:xVal>
          <c:yVal>
            <c:numRef>
              <c:f>'projekty 2 i 3'!$C$3:$C$44</c:f>
              <c:numCache>
                <c:formatCode>General</c:formatCode>
                <c:ptCount val="42"/>
                <c:pt idx="0">
                  <c:v>1.08367237654729E-2</c:v>
                </c:pt>
                <c:pt idx="1">
                  <c:v>1.01071051682318E-2</c:v>
                </c:pt>
                <c:pt idx="2">
                  <c:v>9.1110295739924192E-3</c:v>
                </c:pt>
                <c:pt idx="3">
                  <c:v>8.0691655985771406E-3</c:v>
                </c:pt>
                <c:pt idx="4">
                  <c:v>7.4271297615913501E-3</c:v>
                </c:pt>
                <c:pt idx="5">
                  <c:v>7.1138858828931097E-3</c:v>
                </c:pt>
                <c:pt idx="6">
                  <c:v>6.92431342624923E-3</c:v>
                </c:pt>
                <c:pt idx="7">
                  <c:v>6.6734045088402104E-3</c:v>
                </c:pt>
                <c:pt idx="8">
                  <c:v>6.3748528521391998E-3</c:v>
                </c:pt>
                <c:pt idx="9">
                  <c:v>6.3110914615298599E-3</c:v>
                </c:pt>
                <c:pt idx="10">
                  <c:v>6.2941169526204398E-3</c:v>
                </c:pt>
                <c:pt idx="11">
                  <c:v>6.2153780541498397E-3</c:v>
                </c:pt>
                <c:pt idx="12">
                  <c:v>6.1673073860618096E-3</c:v>
                </c:pt>
                <c:pt idx="13">
                  <c:v>6.0412110341632498E-3</c:v>
                </c:pt>
                <c:pt idx="14">
                  <c:v>5.9932830090072301E-3</c:v>
                </c:pt>
                <c:pt idx="15">
                  <c:v>5.9604751346444898E-3</c:v>
                </c:pt>
                <c:pt idx="16">
                  <c:v>5.9122618236244397E-3</c:v>
                </c:pt>
                <c:pt idx="17">
                  <c:v>5.8791686633976699E-3</c:v>
                </c:pt>
                <c:pt idx="18">
                  <c:v>5.8469313607629704E-3</c:v>
                </c:pt>
                <c:pt idx="19">
                  <c:v>5.81440877226425E-3</c:v>
                </c:pt>
                <c:pt idx="20">
                  <c:v>5.7810303261734497E-3</c:v>
                </c:pt>
                <c:pt idx="21">
                  <c:v>5.7613456015558001E-3</c:v>
                </c:pt>
                <c:pt idx="22">
                  <c:v>5.7091382884394302E-3</c:v>
                </c:pt>
                <c:pt idx="23">
                  <c:v>5.6589279763712202E-3</c:v>
                </c:pt>
                <c:pt idx="24">
                  <c:v>5.6379594653654698E-3</c:v>
                </c:pt>
                <c:pt idx="25">
                  <c:v>5.6486576852663598E-3</c:v>
                </c:pt>
                <c:pt idx="26">
                  <c:v>5.7356698737936499E-3</c:v>
                </c:pt>
                <c:pt idx="27">
                  <c:v>5.7263980832128799E-3</c:v>
                </c:pt>
                <c:pt idx="28">
                  <c:v>5.8082751261877303E-3</c:v>
                </c:pt>
                <c:pt idx="29">
                  <c:v>5.8449343597148096E-3</c:v>
                </c:pt>
                <c:pt idx="30">
                  <c:v>5.9111206801683502E-3</c:v>
                </c:pt>
                <c:pt idx="31">
                  <c:v>6.2566018615012901E-3</c:v>
                </c:pt>
                <c:pt idx="32">
                  <c:v>7.4941719396369698E-3</c:v>
                </c:pt>
                <c:pt idx="33">
                  <c:v>1.2666832583186301E-2</c:v>
                </c:pt>
                <c:pt idx="34">
                  <c:v>1.51990299122624E-2</c:v>
                </c:pt>
                <c:pt idx="35">
                  <c:v>1.9133264620083999E-2</c:v>
                </c:pt>
                <c:pt idx="36">
                  <c:v>2.1672917587442338E-2</c:v>
                </c:pt>
                <c:pt idx="37">
                  <c:v>2.4641597223482258E-2</c:v>
                </c:pt>
                <c:pt idx="38">
                  <c:v>2.1492826586166532E-2</c:v>
                </c:pt>
                <c:pt idx="39">
                  <c:v>1.9344482075431241E-2</c:v>
                </c:pt>
                <c:pt idx="40">
                  <c:v>1.5025402734375019E-2</c:v>
                </c:pt>
                <c:pt idx="41">
                  <c:v>1.3544462127521499E-2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4-4FB1-89EF-E96A164B2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753167"/>
        <c:axId val="1341933727"/>
      </c:scatterChart>
      <c:valAx>
        <c:axId val="199375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1933727"/>
        <c:crosses val="autoZero"/>
        <c:crossBetween val="midCat"/>
      </c:valAx>
      <c:valAx>
        <c:axId val="13419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375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4'!$H$3:$H$23</c:f>
              <c:numCache>
                <c:formatCode>0.00</c:formatCode>
                <c:ptCount val="21"/>
                <c:pt idx="0">
                  <c:v>17.869925447087965</c:v>
                </c:pt>
                <c:pt idx="1">
                  <c:v>18.208406376745476</c:v>
                </c:pt>
                <c:pt idx="2">
                  <c:v>18.54330355412781</c:v>
                </c:pt>
                <c:pt idx="3">
                  <c:v>19.270236897728722</c:v>
                </c:pt>
                <c:pt idx="4">
                  <c:v>20.066792637599256</c:v>
                </c:pt>
                <c:pt idx="5">
                  <c:v>22.050308633035176</c:v>
                </c:pt>
                <c:pt idx="6">
                  <c:v>23.279219319725357</c:v>
                </c:pt>
                <c:pt idx="7">
                  <c:v>24.733909740805583</c:v>
                </c:pt>
                <c:pt idx="8">
                  <c:v>26.475227251725983</c:v>
                </c:pt>
                <c:pt idx="9">
                  <c:v>28.818731353008278</c:v>
                </c:pt>
                <c:pt idx="10">
                  <c:v>31.559607319442481</c:v>
                </c:pt>
                <c:pt idx="11">
                  <c:v>35.531297957372999</c:v>
                </c:pt>
                <c:pt idx="12">
                  <c:v>37.89566295517789</c:v>
                </c:pt>
                <c:pt idx="13">
                  <c:v>41.387312780368248</c:v>
                </c:pt>
                <c:pt idx="14">
                  <c:v>45.456913634388805</c:v>
                </c:pt>
                <c:pt idx="15">
                  <c:v>51.453788911994494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7.774375769426511</c:v>
                </c:pt>
                <c:pt idx="1">
                  <c:v>7.5790827152133113</c:v>
                </c:pt>
                <c:pt idx="2">
                  <c:v>7.4040530427031719</c:v>
                </c:pt>
                <c:pt idx="3">
                  <c:v>7.1015594236432387</c:v>
                </c:pt>
                <c:pt idx="4">
                  <c:v>6.8724894253309747</c:v>
                </c:pt>
                <c:pt idx="5">
                  <c:v>6.4505248459207287</c:v>
                </c:pt>
                <c:pt idx="6">
                  <c:v>6.3641580324855465</c:v>
                </c:pt>
                <c:pt idx="7">
                  <c:v>6.4027798015312136</c:v>
                </c:pt>
                <c:pt idx="8">
                  <c:v>6.5655556409028577</c:v>
                </c:pt>
                <c:pt idx="9">
                  <c:v>6.9229058355497077</c:v>
                </c:pt>
                <c:pt idx="10">
                  <c:v>7.4979983750044541</c:v>
                </c:pt>
                <c:pt idx="11">
                  <c:v>8.6042918408639792</c:v>
                </c:pt>
                <c:pt idx="12">
                  <c:v>9.3732196182020395</c:v>
                </c:pt>
                <c:pt idx="13">
                  <c:v>10.68254890150298</c:v>
                </c:pt>
                <c:pt idx="14">
                  <c:v>12.43595565837261</c:v>
                </c:pt>
                <c:pt idx="15">
                  <c:v>15.442467015797771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C-4C57-8812-6C2B6B082A70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4'!$J$3:$J$23</c:f>
              <c:numCache>
                <c:formatCode>0.00</c:formatCode>
                <c:ptCount val="21"/>
                <c:pt idx="0">
                  <c:v>19.512679605460239</c:v>
                </c:pt>
                <c:pt idx="1">
                  <c:v>19.882276554956277</c:v>
                </c:pt>
                <c:pt idx="2">
                  <c:v>20.247960303463429</c:v>
                </c:pt>
                <c:pt idx="3">
                  <c:v>21.041719486746533</c:v>
                </c:pt>
                <c:pt idx="4">
                  <c:v>21.911501343755731</c:v>
                </c:pt>
                <c:pt idx="5">
                  <c:v>24.077358846958333</c:v>
                </c:pt>
                <c:pt idx="6">
                  <c:v>25.419241361472082</c:v>
                </c:pt>
                <c:pt idx="7">
                  <c:v>27.007659186477394</c:v>
                </c:pt>
                <c:pt idx="8">
                  <c:v>28.909053279170948</c:v>
                </c:pt>
                <c:pt idx="9">
                  <c:v>31.467992028960484</c:v>
                </c:pt>
                <c:pt idx="10">
                  <c:v>34.460832414875583</c:v>
                </c:pt>
                <c:pt idx="11">
                  <c:v>38.797634330441106</c:v>
                </c:pt>
                <c:pt idx="12">
                  <c:v>41.379351686181366</c:v>
                </c:pt>
                <c:pt idx="13">
                  <c:v>45.191983391620475</c:v>
                </c:pt>
                <c:pt idx="14">
                  <c:v>49.635696255545753</c:v>
                </c:pt>
                <c:pt idx="15">
                  <c:v>56.183854851523201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7.774375769426511</c:v>
                </c:pt>
                <c:pt idx="1">
                  <c:v>7.5790827152133113</c:v>
                </c:pt>
                <c:pt idx="2">
                  <c:v>7.4040530427031719</c:v>
                </c:pt>
                <c:pt idx="3">
                  <c:v>7.1015594236432387</c:v>
                </c:pt>
                <c:pt idx="4">
                  <c:v>6.8724894253309747</c:v>
                </c:pt>
                <c:pt idx="5">
                  <c:v>6.4505248459207287</c:v>
                </c:pt>
                <c:pt idx="6">
                  <c:v>6.3641580324855465</c:v>
                </c:pt>
                <c:pt idx="7">
                  <c:v>6.4027798015312136</c:v>
                </c:pt>
                <c:pt idx="8">
                  <c:v>6.5655556409028577</c:v>
                </c:pt>
                <c:pt idx="9">
                  <c:v>6.9229058355497077</c:v>
                </c:pt>
                <c:pt idx="10">
                  <c:v>7.4979983750044541</c:v>
                </c:pt>
                <c:pt idx="11">
                  <c:v>8.6042918408639792</c:v>
                </c:pt>
                <c:pt idx="12">
                  <c:v>9.3732196182020395</c:v>
                </c:pt>
                <c:pt idx="13">
                  <c:v>10.68254890150298</c:v>
                </c:pt>
                <c:pt idx="14">
                  <c:v>12.43595565837261</c:v>
                </c:pt>
                <c:pt idx="15">
                  <c:v>15.442467015797771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7C-4C57-8812-6C2B6B082A70}"/>
            </c:ext>
          </c:extLst>
        </c:ser>
        <c:ser>
          <c:idx val="2"/>
          <c:order val="2"/>
          <c:tx>
            <c:strRef>
              <c:f>'projekt 4'!$L$1</c:f>
              <c:strCache>
                <c:ptCount val="1"/>
                <c:pt idx="0">
                  <c:v>mmax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4'!$L$3:$L$23</c:f>
              <c:numCache>
                <c:formatCode>0.00</c:formatCode>
                <c:ptCount val="21"/>
                <c:pt idx="0">
                  <c:v>21.027484283342265</c:v>
                </c:pt>
                <c:pt idx="1">
                  <c:v>21.425773713796726</c:v>
                </c:pt>
                <c:pt idx="2">
                  <c:v>21.819846154378187</c:v>
                </c:pt>
                <c:pt idx="3">
                  <c:v>22.675226301478716</c:v>
                </c:pt>
                <c:pt idx="4">
                  <c:v>23.612530900231992</c:v>
                </c:pt>
                <c:pt idx="5">
                  <c:v>25.946527846289953</c:v>
                </c:pt>
                <c:pt idx="6">
                  <c:v>27.392583132112094</c:v>
                </c:pt>
                <c:pt idx="7">
                  <c:v>29.104312711340846</c:v>
                </c:pt>
                <c:pt idx="8">
                  <c:v>31.153315473081751</c:v>
                </c:pt>
                <c:pt idx="9">
                  <c:v>33.910909275225556</c:v>
                </c:pt>
                <c:pt idx="10">
                  <c:v>37.136089283806825</c:v>
                </c:pt>
                <c:pt idx="11">
                  <c:v>41.809564991059467</c:v>
                </c:pt>
                <c:pt idx="12">
                  <c:v>44.591705743612451</c:v>
                </c:pt>
                <c:pt idx="13">
                  <c:v>48.700318957445944</c:v>
                </c:pt>
                <c:pt idx="14">
                  <c:v>53.489005303719331</c:v>
                </c:pt>
                <c:pt idx="15">
                  <c:v>60.545509317817839</c:v>
                </c:pt>
              </c:numCache>
            </c:numRef>
          </c:xVal>
          <c:yVal>
            <c:numRef>
              <c:f>'projekt 4'!$G$3:$G$23</c:f>
              <c:numCache>
                <c:formatCode>0.000</c:formatCode>
                <c:ptCount val="21"/>
                <c:pt idx="0">
                  <c:v>7.774375769426511</c:v>
                </c:pt>
                <c:pt idx="1">
                  <c:v>7.5790827152133113</c:v>
                </c:pt>
                <c:pt idx="2">
                  <c:v>7.4040530427031719</c:v>
                </c:pt>
                <c:pt idx="3">
                  <c:v>7.1015594236432387</c:v>
                </c:pt>
                <c:pt idx="4">
                  <c:v>6.8724894253309747</c:v>
                </c:pt>
                <c:pt idx="5">
                  <c:v>6.4505248459207287</c:v>
                </c:pt>
                <c:pt idx="6">
                  <c:v>6.3641580324855465</c:v>
                </c:pt>
                <c:pt idx="7">
                  <c:v>6.4027798015312136</c:v>
                </c:pt>
                <c:pt idx="8">
                  <c:v>6.5655556409028577</c:v>
                </c:pt>
                <c:pt idx="9">
                  <c:v>6.9229058355497077</c:v>
                </c:pt>
                <c:pt idx="10">
                  <c:v>7.4979983750044541</c:v>
                </c:pt>
                <c:pt idx="11">
                  <c:v>8.6042918408639792</c:v>
                </c:pt>
                <c:pt idx="12">
                  <c:v>9.3732196182020395</c:v>
                </c:pt>
                <c:pt idx="13">
                  <c:v>10.68254890150298</c:v>
                </c:pt>
                <c:pt idx="14">
                  <c:v>12.43595565837261</c:v>
                </c:pt>
                <c:pt idx="15">
                  <c:v>15.442467015797771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7C-4C57-8812-6C2B6B08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2043195104"/>
      </c:scatterChart>
      <c:valAx>
        <c:axId val="1809832448"/>
        <c:scaling>
          <c:orientation val="minMax"/>
          <c:max val="17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195104"/>
        <c:crosses val="autoZero"/>
        <c:crossBetween val="midCat"/>
        <c:majorUnit val="10"/>
      </c:valAx>
      <c:valAx>
        <c:axId val="2043195104"/>
        <c:scaling>
          <c:orientation val="minMax"/>
          <c:max val="7.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Biegunowa prędkości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186374565412103"/>
          <c:y val="0.38061637456608238"/>
          <c:w val="0.83369180990143454"/>
          <c:h val="0.55110354754042845"/>
        </c:manualLayout>
      </c:layout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4'!$H$3:$H$23</c:f>
              <c:numCache>
                <c:formatCode>0.00</c:formatCode>
                <c:ptCount val="21"/>
                <c:pt idx="0">
                  <c:v>17.869925447087965</c:v>
                </c:pt>
                <c:pt idx="1">
                  <c:v>18.208406376745476</c:v>
                </c:pt>
                <c:pt idx="2">
                  <c:v>18.54330355412781</c:v>
                </c:pt>
                <c:pt idx="3">
                  <c:v>19.270236897728722</c:v>
                </c:pt>
                <c:pt idx="4">
                  <c:v>20.066792637599256</c:v>
                </c:pt>
                <c:pt idx="5">
                  <c:v>22.050308633035176</c:v>
                </c:pt>
                <c:pt idx="6">
                  <c:v>23.279219319725357</c:v>
                </c:pt>
                <c:pt idx="7">
                  <c:v>24.733909740805583</c:v>
                </c:pt>
                <c:pt idx="8">
                  <c:v>26.475227251725983</c:v>
                </c:pt>
                <c:pt idx="9">
                  <c:v>28.818731353008278</c:v>
                </c:pt>
                <c:pt idx="10">
                  <c:v>31.559607319442481</c:v>
                </c:pt>
                <c:pt idx="11">
                  <c:v>35.531297957372999</c:v>
                </c:pt>
                <c:pt idx="12">
                  <c:v>37.89566295517789</c:v>
                </c:pt>
                <c:pt idx="13">
                  <c:v>41.387312780368248</c:v>
                </c:pt>
                <c:pt idx="14">
                  <c:v>45.456913634388805</c:v>
                </c:pt>
                <c:pt idx="15">
                  <c:v>51.453788911994494</c:v>
                </c:pt>
              </c:numCache>
            </c:numRef>
          </c:xVal>
          <c:yVal>
            <c:numRef>
              <c:f>'projekt 4'!$I$3:$I$23</c:f>
              <c:numCache>
                <c:formatCode>0.000</c:formatCode>
                <c:ptCount val="21"/>
                <c:pt idx="0">
                  <c:v>2.4173089450481364</c:v>
                </c:pt>
                <c:pt idx="1">
                  <c:v>2.4015888907007734</c:v>
                </c:pt>
                <c:pt idx="2">
                  <c:v>2.3895966462152427</c:v>
                </c:pt>
                <c:pt idx="3">
                  <c:v>2.3823501945962011</c:v>
                </c:pt>
                <c:pt idx="4">
                  <c:v>2.4011954664083617</c:v>
                </c:pt>
                <c:pt idx="5">
                  <c:v>2.4772467317570039</c:v>
                </c:pt>
                <c:pt idx="6">
                  <c:v>2.5804374119774431</c:v>
                </c:pt>
                <c:pt idx="7">
                  <c:v>2.7582550337200411</c:v>
                </c:pt>
                <c:pt idx="8">
                  <c:v>3.0271760638932799</c:v>
                </c:pt>
                <c:pt idx="9">
                  <c:v>3.4736287799724099</c:v>
                </c:pt>
                <c:pt idx="10">
                  <c:v>4.1182622679824714</c:v>
                </c:pt>
                <c:pt idx="11">
                  <c:v>5.3158164370686469</c:v>
                </c:pt>
                <c:pt idx="12">
                  <c:v>6.1718701300694958</c:v>
                </c:pt>
                <c:pt idx="13">
                  <c:v>7.6718553940814118</c:v>
                </c:pt>
                <c:pt idx="14">
                  <c:v>9.7890640869323047</c:v>
                </c:pt>
                <c:pt idx="15">
                  <c:v>13.700632358662316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35-4AD7-8906-FA5F18FDCF71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4'!$J$3:$J$23</c:f>
              <c:numCache>
                <c:formatCode>0.00</c:formatCode>
                <c:ptCount val="21"/>
                <c:pt idx="0">
                  <c:v>19.512679605460239</c:v>
                </c:pt>
                <c:pt idx="1">
                  <c:v>19.882276554956277</c:v>
                </c:pt>
                <c:pt idx="2">
                  <c:v>20.247960303463429</c:v>
                </c:pt>
                <c:pt idx="3">
                  <c:v>21.041719486746533</c:v>
                </c:pt>
                <c:pt idx="4">
                  <c:v>21.911501343755731</c:v>
                </c:pt>
                <c:pt idx="5">
                  <c:v>24.077358846958333</c:v>
                </c:pt>
                <c:pt idx="6">
                  <c:v>25.419241361472082</c:v>
                </c:pt>
                <c:pt idx="7">
                  <c:v>27.007659186477394</c:v>
                </c:pt>
                <c:pt idx="8">
                  <c:v>28.909053279170948</c:v>
                </c:pt>
                <c:pt idx="9">
                  <c:v>31.467992028960484</c:v>
                </c:pt>
                <c:pt idx="10">
                  <c:v>34.460832414875583</c:v>
                </c:pt>
                <c:pt idx="11">
                  <c:v>38.797634330441106</c:v>
                </c:pt>
                <c:pt idx="12">
                  <c:v>41.379351686181366</c:v>
                </c:pt>
                <c:pt idx="13">
                  <c:v>45.191983391620475</c:v>
                </c:pt>
                <c:pt idx="14">
                  <c:v>49.635696255545753</c:v>
                </c:pt>
                <c:pt idx="15">
                  <c:v>56.183854851523201</c:v>
                </c:pt>
              </c:numCache>
            </c:numRef>
          </c:xVal>
          <c:yVal>
            <c:numRef>
              <c:f>'projekt 4'!$K$3:$K$23</c:f>
              <c:numCache>
                <c:formatCode>0.000</c:formatCode>
                <c:ptCount val="21"/>
                <c:pt idx="0">
                  <c:v>2.6395283568361938</c:v>
                </c:pt>
                <c:pt idx="1">
                  <c:v>2.6223631826014846</c:v>
                </c:pt>
                <c:pt idx="2">
                  <c:v>2.6092685099298292</c:v>
                </c:pt>
                <c:pt idx="3">
                  <c:v>2.6013559034034341</c:v>
                </c:pt>
                <c:pt idx="4">
                  <c:v>2.6219335914322568</c:v>
                </c:pt>
                <c:pt idx="5">
                  <c:v>2.7049761300668944</c:v>
                </c:pt>
                <c:pt idx="6">
                  <c:v>2.8176529673247157</c:v>
                </c:pt>
                <c:pt idx="7">
                  <c:v>3.0118170835400777</c:v>
                </c:pt>
                <c:pt idx="8">
                  <c:v>3.30545960132662</c:v>
                </c:pt>
                <c:pt idx="9">
                  <c:v>3.7929540138597826</c:v>
                </c:pt>
                <c:pt idx="10">
                  <c:v>4.4968476451866213</c:v>
                </c:pt>
                <c:pt idx="11">
                  <c:v>5.8044910867192554</c:v>
                </c:pt>
                <c:pt idx="12">
                  <c:v>6.7392404501710548</c:v>
                </c:pt>
                <c:pt idx="13">
                  <c:v>8.3771170018242547</c:v>
                </c:pt>
                <c:pt idx="14">
                  <c:v>10.688957361976788</c:v>
                </c:pt>
                <c:pt idx="15">
                  <c:v>14.960109956717428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35-4AD7-8906-FA5F18FDCF71}"/>
            </c:ext>
          </c:extLst>
        </c:ser>
        <c:ser>
          <c:idx val="2"/>
          <c:order val="2"/>
          <c:tx>
            <c:v>m_max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4'!$L$3:$L$23</c:f>
              <c:numCache>
                <c:formatCode>0.00</c:formatCode>
                <c:ptCount val="21"/>
                <c:pt idx="0">
                  <c:v>21.027484283342265</c:v>
                </c:pt>
                <c:pt idx="1">
                  <c:v>21.425773713796726</c:v>
                </c:pt>
                <c:pt idx="2">
                  <c:v>21.819846154378187</c:v>
                </c:pt>
                <c:pt idx="3">
                  <c:v>22.675226301478716</c:v>
                </c:pt>
                <c:pt idx="4">
                  <c:v>23.612530900231992</c:v>
                </c:pt>
                <c:pt idx="5">
                  <c:v>25.946527846289953</c:v>
                </c:pt>
                <c:pt idx="6">
                  <c:v>27.392583132112094</c:v>
                </c:pt>
                <c:pt idx="7">
                  <c:v>29.104312711340846</c:v>
                </c:pt>
                <c:pt idx="8">
                  <c:v>31.153315473081751</c:v>
                </c:pt>
                <c:pt idx="9">
                  <c:v>33.910909275225556</c:v>
                </c:pt>
                <c:pt idx="10">
                  <c:v>37.136089283806825</c:v>
                </c:pt>
                <c:pt idx="11">
                  <c:v>41.809564991059467</c:v>
                </c:pt>
                <c:pt idx="12">
                  <c:v>44.591705743612451</c:v>
                </c:pt>
                <c:pt idx="13">
                  <c:v>48.700318957445944</c:v>
                </c:pt>
                <c:pt idx="14">
                  <c:v>53.489005303719331</c:v>
                </c:pt>
                <c:pt idx="15">
                  <c:v>60.545509317817839</c:v>
                </c:pt>
              </c:numCache>
            </c:numRef>
          </c:xVal>
          <c:yVal>
            <c:numRef>
              <c:f>'projekt 4'!$M$3:$M$23</c:f>
              <c:numCache>
                <c:formatCode>0.000</c:formatCode>
                <c:ptCount val="21"/>
                <c:pt idx="0">
                  <c:v>2.8444397264268084</c:v>
                </c:pt>
                <c:pt idx="1">
                  <c:v>2.825941988610206</c:v>
                </c:pt>
                <c:pt idx="2">
                  <c:v>2.8118307527693993</c:v>
                </c:pt>
                <c:pt idx="3">
                  <c:v>2.803303876259446</c:v>
                </c:pt>
                <c:pt idx="4">
                  <c:v>2.8254790475000227</c:v>
                </c:pt>
                <c:pt idx="5">
                  <c:v>2.9149683288952879</c:v>
                </c:pt>
                <c:pt idx="6">
                  <c:v>3.0363924732179641</c:v>
                </c:pt>
                <c:pt idx="7">
                  <c:v>3.2456299016316956</c:v>
                </c:pt>
                <c:pt idx="8">
                  <c:v>3.562068420201423</c:v>
                </c:pt>
                <c:pt idx="9">
                  <c:v>4.0874079073977265</c:v>
                </c:pt>
                <c:pt idx="10">
                  <c:v>4.8459460768928082</c:v>
                </c:pt>
                <c:pt idx="11">
                  <c:v>6.255104248451608</c:v>
                </c:pt>
                <c:pt idx="12">
                  <c:v>7.2624198989041844</c:v>
                </c:pt>
                <c:pt idx="13">
                  <c:v>9.0274477753576576</c:v>
                </c:pt>
                <c:pt idx="14">
                  <c:v>11.518760492094961</c:v>
                </c:pt>
                <c:pt idx="15">
                  <c:v>16.121490402779976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5-4AD7-8906-FA5F18FDCF71}"/>
            </c:ext>
          </c:extLst>
        </c:ser>
        <c:ser>
          <c:idx val="3"/>
          <c:order val="3"/>
          <c:tx>
            <c:v>γ_min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35-4AD7-8906-FA5F18FDCF71}"/>
              </c:ext>
            </c:extLst>
          </c:dPt>
          <c:xVal>
            <c:numRef>
              <c:f>'projekt 4'!$O$3:$O$4</c:f>
              <c:numCache>
                <c:formatCode>General</c:formatCode>
                <c:ptCount val="2"/>
                <c:pt idx="0">
                  <c:v>0</c:v>
                </c:pt>
                <c:pt idx="1">
                  <c:v>140</c:v>
                </c:pt>
              </c:numCache>
            </c:numRef>
          </c:xVal>
          <c:yVal>
            <c:numRef>
              <c:f>'projekt 4'!$P$3:$P$4</c:f>
              <c:numCache>
                <c:formatCode>General</c:formatCode>
                <c:ptCount val="2"/>
                <c:pt idx="0">
                  <c:v>0</c:v>
                </c:pt>
                <c:pt idx="1">
                  <c:v>15.614841971308348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35-4AD7-8906-FA5F18FD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643200"/>
        <c:axId val="2035257184"/>
      </c:scatterChart>
      <c:valAx>
        <c:axId val="2061643200"/>
        <c:scaling>
          <c:orientation val="minMax"/>
          <c:max val="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5257184"/>
        <c:crosses val="autoZero"/>
        <c:crossBetween val="midCat"/>
        <c:majorUnit val="5"/>
      </c:valAx>
      <c:valAx>
        <c:axId val="2035257184"/>
        <c:scaling>
          <c:orientation val="maxMin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164320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6795427293685"/>
          <c:y val="0.1489242231817797"/>
          <c:w val="0.60026932500420815"/>
          <c:h val="7.258115316230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5'!$F$2:$F$11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</c:numCache>
            </c:numRef>
          </c:xVal>
          <c:yVal>
            <c:numRef>
              <c:f>'projekt 5'!$H$2:$H$11</c:f>
              <c:numCache>
                <c:formatCode>General</c:formatCode>
                <c:ptCount val="10"/>
                <c:pt idx="0">
                  <c:v>59000</c:v>
                </c:pt>
                <c:pt idx="1">
                  <c:v>55764.540690265014</c:v>
                </c:pt>
                <c:pt idx="2">
                  <c:v>52647.130916000882</c:v>
                </c:pt>
                <c:pt idx="3">
                  <c:v>49644.7523532255</c:v>
                </c:pt>
                <c:pt idx="4">
                  <c:v>46754.430138298143</c:v>
                </c:pt>
                <c:pt idx="5">
                  <c:v>43973.232738885315</c:v>
                </c:pt>
                <c:pt idx="6">
                  <c:v>41298.271823800591</c:v>
                </c:pt>
                <c:pt idx="7">
                  <c:v>38726.702131694088</c:v>
                </c:pt>
                <c:pt idx="8">
                  <c:v>36255.721338568423</c:v>
                </c:pt>
                <c:pt idx="9">
                  <c:v>33882.569924095449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A-4E83-9BD4-38F0DDC1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056208"/>
        <c:axId val="2048602736"/>
      </c:scatterChart>
      <c:valAx>
        <c:axId val="1877056208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8602736"/>
        <c:crosses val="autoZero"/>
        <c:crossBetween val="midCat"/>
      </c:valAx>
      <c:valAx>
        <c:axId val="20486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705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Nr(V)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'projekt 5'!$F$16:$F$35</c:f>
              <c:numCache>
                <c:formatCode>0.00</c:formatCode>
                <c:ptCount val="20"/>
                <c:pt idx="0">
                  <c:v>0</c:v>
                </c:pt>
                <c:pt idx="1">
                  <c:v>1.2483918102091467</c:v>
                </c:pt>
                <c:pt idx="2">
                  <c:v>4.6448599659768552</c:v>
                </c:pt>
                <c:pt idx="3">
                  <c:v>6.5258220291391602</c:v>
                </c:pt>
                <c:pt idx="4">
                  <c:v>8.4246606244087019</c:v>
                </c:pt>
                <c:pt idx="5">
                  <c:v>12.173146210446632</c:v>
                </c:pt>
                <c:pt idx="6">
                  <c:v>14.756411146346208</c:v>
                </c:pt>
                <c:pt idx="7">
                  <c:v>20.649582283184763</c:v>
                </c:pt>
                <c:pt idx="8">
                  <c:v>23.476334026960586</c:v>
                </c:pt>
                <c:pt idx="9">
                  <c:v>28.276314318572378</c:v>
                </c:pt>
                <c:pt idx="10">
                  <c:v>33.090067458231616</c:v>
                </c:pt>
                <c:pt idx="11">
                  <c:v>38.531184701831123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5'!$H$16:$H$35</c:f>
              <c:numCache>
                <c:formatCode>General</c:formatCode>
                <c:ptCount val="20"/>
                <c:pt idx="0">
                  <c:v>0</c:v>
                </c:pt>
                <c:pt idx="1">
                  <c:v>2134.7839159957812</c:v>
                </c:pt>
                <c:pt idx="2">
                  <c:v>7414.4406269831779</c:v>
                </c:pt>
                <c:pt idx="3">
                  <c:v>10231.35362306338</c:v>
                </c:pt>
                <c:pt idx="4">
                  <c:v>13706.25773698895</c:v>
                </c:pt>
                <c:pt idx="5">
                  <c:v>19482.855599051745</c:v>
                </c:pt>
                <c:pt idx="6">
                  <c:v>22135.880756998722</c:v>
                </c:pt>
                <c:pt idx="7">
                  <c:v>30060.402599927998</c:v>
                </c:pt>
                <c:pt idx="8">
                  <c:v>31795.055108942619</c:v>
                </c:pt>
                <c:pt idx="9">
                  <c:v>36274.139874561057</c:v>
                </c:pt>
                <c:pt idx="10">
                  <c:v>39636.373102500816</c:v>
                </c:pt>
                <c:pt idx="11">
                  <c:v>44150.610601210195</c:v>
                </c:pt>
                <c:pt idx="12">
                  <c:v>43084.547176280947</c:v>
                </c:pt>
                <c:pt idx="13">
                  <c:v>39428.041307373838</c:v>
                </c:pt>
                <c:pt idx="14">
                  <c:v>33973.864481857388</c:v>
                </c:pt>
                <c:pt idx="15">
                  <c:v>24092.148058317878</c:v>
                </c:pt>
                <c:pt idx="16">
                  <c:v>19698.597132780073</c:v>
                </c:pt>
                <c:pt idx="17">
                  <c:v>16097.676423533208</c:v>
                </c:pt>
                <c:pt idx="18">
                  <c:v>5701.8782154894297</c:v>
                </c:pt>
                <c:pt idx="19">
                  <c:v>3143.4202979791198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C-4BA8-A133-B0ACF6097636}"/>
            </c:ext>
          </c:extLst>
        </c:ser>
        <c:ser>
          <c:idx val="1"/>
          <c:order val="1"/>
          <c:tx>
            <c:v>h=500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5'!$O$16:$O$35</c:f>
              <c:numCache>
                <c:formatCode>0.00</c:formatCode>
                <c:ptCount val="20"/>
                <c:pt idx="0">
                  <c:v>0</c:v>
                </c:pt>
                <c:pt idx="1">
                  <c:v>1.2433522713617098</c:v>
                </c:pt>
                <c:pt idx="2">
                  <c:v>4.6261094807141223</c:v>
                </c:pt>
                <c:pt idx="3">
                  <c:v>6.4994784298313473</c:v>
                </c:pt>
                <c:pt idx="4">
                  <c:v>8.3906517466301249</c:v>
                </c:pt>
                <c:pt idx="5">
                  <c:v>12.124005353608752</c:v>
                </c:pt>
                <c:pt idx="6">
                  <c:v>14.696842101906304</c:v>
                </c:pt>
                <c:pt idx="7">
                  <c:v>20.566223540161594</c:v>
                </c:pt>
                <c:pt idx="8">
                  <c:v>23.381564182784462</c:v>
                </c:pt>
                <c:pt idx="9">
                  <c:v>28.162167795577403</c:v>
                </c:pt>
                <c:pt idx="10">
                  <c:v>32.956488657845128</c:v>
                </c:pt>
                <c:pt idx="11">
                  <c:v>38.375641065166207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5'!$Q$16:$Q$35</c:f>
              <c:numCache>
                <c:formatCode>General</c:formatCode>
                <c:ptCount val="20"/>
                <c:pt idx="0">
                  <c:v>0</c:v>
                </c:pt>
                <c:pt idx="1">
                  <c:v>2009.5708435486279</c:v>
                </c:pt>
                <c:pt idx="2">
                  <c:v>6979.5559136287075</c:v>
                </c:pt>
                <c:pt idx="3">
                  <c:v>9631.2464118192365</c:v>
                </c:pt>
                <c:pt idx="4">
                  <c:v>12902.334384306005</c:v>
                </c:pt>
                <c:pt idx="5">
                  <c:v>18340.113145671599</c:v>
                </c:pt>
                <c:pt idx="6">
                  <c:v>20837.528441272774</c:v>
                </c:pt>
                <c:pt idx="7">
                  <c:v>28297.247397037281</c:v>
                </c:pt>
                <c:pt idx="8">
                  <c:v>29930.156039305286</c:v>
                </c:pt>
                <c:pt idx="9">
                  <c:v>34146.525707132336</c:v>
                </c:pt>
                <c:pt idx="10">
                  <c:v>37311.551363102051</c:v>
                </c:pt>
                <c:pt idx="11">
                  <c:v>41561.011924560669</c:v>
                </c:pt>
                <c:pt idx="12">
                  <c:v>41052.639763233412</c:v>
                </c:pt>
                <c:pt idx="13">
                  <c:v>37568.578120106045</c:v>
                </c:pt>
                <c:pt idx="14">
                  <c:v>32371.625358672129</c:v>
                </c:pt>
                <c:pt idx="15">
                  <c:v>22955.939894503535</c:v>
                </c:pt>
                <c:pt idx="16">
                  <c:v>18769.592926771664</c:v>
                </c:pt>
                <c:pt idx="17">
                  <c:v>15338.494995352277</c:v>
                </c:pt>
                <c:pt idx="18">
                  <c:v>5432.9723229209367</c:v>
                </c:pt>
                <c:pt idx="19">
                  <c:v>2995.1736660798738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AC-4BA8-A133-B0ACF6097636}"/>
            </c:ext>
          </c:extLst>
        </c:ser>
        <c:ser>
          <c:idx val="2"/>
          <c:order val="2"/>
          <c:tx>
            <c:v>h=1000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5'!$X$16:$X$35</c:f>
              <c:numCache>
                <c:formatCode>0.00</c:formatCode>
                <c:ptCount val="20"/>
                <c:pt idx="0">
                  <c:v>0</c:v>
                </c:pt>
                <c:pt idx="1">
                  <c:v>1.2379786226489535</c:v>
                </c:pt>
                <c:pt idx="2">
                  <c:v>4.6061158812904575</c:v>
                </c:pt>
                <c:pt idx="3">
                  <c:v>6.4713883103193597</c:v>
                </c:pt>
                <c:pt idx="4">
                  <c:v>8.3543881582682484</c:v>
                </c:pt>
                <c:pt idx="5">
                  <c:v>12.071606570687383</c:v>
                </c:pt>
                <c:pt idx="6">
                  <c:v>14.63332376646626</c:v>
                </c:pt>
                <c:pt idx="7">
                  <c:v>20.477338303693724</c:v>
                </c:pt>
                <c:pt idx="8">
                  <c:v>23.280511315333275</c:v>
                </c:pt>
                <c:pt idx="9">
                  <c:v>28.040453619950096</c:v>
                </c:pt>
                <c:pt idx="10">
                  <c:v>32.814053889411198</c:v>
                </c:pt>
                <c:pt idx="11">
                  <c:v>38.209785242194016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5'!$Z$16:$Z$35</c:f>
              <c:numCache>
                <c:formatCode>General</c:formatCode>
                <c:ptCount val="20"/>
                <c:pt idx="0">
                  <c:v>0</c:v>
                </c:pt>
                <c:pt idx="1">
                  <c:v>1889.0299932109829</c:v>
                </c:pt>
                <c:pt idx="2">
                  <c:v>6560.8985632253325</c:v>
                </c:pt>
                <c:pt idx="3">
                  <c:v>9053.5317042143106</c:v>
                </c:pt>
                <c:pt idx="4">
                  <c:v>12128.408765800064</c:v>
                </c:pt>
                <c:pt idx="5">
                  <c:v>17240.011180635116</c:v>
                </c:pt>
                <c:pt idx="6">
                  <c:v>19587.623067043507</c:v>
                </c:pt>
                <c:pt idx="7">
                  <c:v>26599.882870474852</c:v>
                </c:pt>
                <c:pt idx="8">
                  <c:v>28134.844134129879</c:v>
                </c:pt>
                <c:pt idx="9">
                  <c:v>32098.30170048543</c:v>
                </c:pt>
                <c:pt idx="10">
                  <c:v>35073.478421725704</c:v>
                </c:pt>
                <c:pt idx="11">
                  <c:v>39068.041978085472</c:v>
                </c:pt>
                <c:pt idx="12">
                  <c:v>39094.868880201364</c:v>
                </c:pt>
                <c:pt idx="13">
                  <c:v>35776.959632606733</c:v>
                </c:pt>
                <c:pt idx="14">
                  <c:v>30827.84581296824</c:v>
                </c:pt>
                <c:pt idx="15">
                  <c:v>21861.187620903263</c:v>
                </c:pt>
                <c:pt idx="16">
                  <c:v>17874.484531055103</c:v>
                </c:pt>
                <c:pt idx="17">
                  <c:v>14607.013193825656</c:v>
                </c:pt>
                <c:pt idx="18">
                  <c:v>5173.8777778812373</c:v>
                </c:pt>
                <c:pt idx="19">
                  <c:v>2852.3359867760646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AC-4BA8-A133-B0ACF6097636}"/>
            </c:ext>
          </c:extLst>
        </c:ser>
        <c:ser>
          <c:idx val="3"/>
          <c:order val="3"/>
          <c:tx>
            <c:v>h=1500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'projekt 5'!$F$39:$F$58</c:f>
              <c:numCache>
                <c:formatCode>0.00</c:formatCode>
                <c:ptCount val="20"/>
                <c:pt idx="0">
                  <c:v>0</c:v>
                </c:pt>
                <c:pt idx="1">
                  <c:v>1.2322430244066829</c:v>
                </c:pt>
                <c:pt idx="2">
                  <c:v>4.5847755853684689</c:v>
                </c:pt>
                <c:pt idx="3">
                  <c:v>6.441406142018022</c:v>
                </c:pt>
                <c:pt idx="4">
                  <c:v>8.3156819858359015</c:v>
                </c:pt>
                <c:pt idx="5">
                  <c:v>12.015678395384914</c:v>
                </c:pt>
                <c:pt idx="6">
                  <c:v>14.56552706583024</c:v>
                </c:pt>
                <c:pt idx="7">
                  <c:v>20.382466079382016</c:v>
                </c:pt>
                <c:pt idx="8">
                  <c:v>23.172651892451093</c:v>
                </c:pt>
                <c:pt idx="9">
                  <c:v>27.91054121794841</c:v>
                </c:pt>
                <c:pt idx="10">
                  <c:v>32.662025230461367</c:v>
                </c:pt>
                <c:pt idx="11">
                  <c:v>38.032757971235384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5'!$H$39:$H$58</c:f>
              <c:numCache>
                <c:formatCode>General</c:formatCode>
                <c:ptCount val="20"/>
                <c:pt idx="0">
                  <c:v>0</c:v>
                </c:pt>
                <c:pt idx="1">
                  <c:v>1773.0489123190564</c:v>
                </c:pt>
                <c:pt idx="2">
                  <c:v>6158.078009967885</c:v>
                </c:pt>
                <c:pt idx="3">
                  <c:v>8497.6705496969898</c:v>
                </c:pt>
                <c:pt idx="4">
                  <c:v>11383.758885590618</c:v>
                </c:pt>
                <c:pt idx="5">
                  <c:v>16181.523417865306</c:v>
                </c:pt>
                <c:pt idx="6">
                  <c:v>18384.99859650361</c:v>
                </c:pt>
                <c:pt idx="7">
                  <c:v>24966.725547402246</c:v>
                </c:pt>
                <c:pt idx="8">
                  <c:v>26407.444545383471</c:v>
                </c:pt>
                <c:pt idx="9">
                  <c:v>30127.557064668694</c:v>
                </c:pt>
                <c:pt idx="10">
                  <c:v>32920.066378184332</c:v>
                </c:pt>
                <c:pt idx="11">
                  <c:v>36669.375067960107</c:v>
                </c:pt>
                <c:pt idx="12">
                  <c:v>37209.338983372596</c:v>
                </c:pt>
                <c:pt idx="13">
                  <c:v>34051.451172362758</c:v>
                </c:pt>
                <c:pt idx="14">
                  <c:v>29341.031133699256</c:v>
                </c:pt>
                <c:pt idx="15">
                  <c:v>20806.831281566079</c:v>
                </c:pt>
                <c:pt idx="16">
                  <c:v>17012.405287945636</c:v>
                </c:pt>
                <c:pt idx="17">
                  <c:v>13902.522787048039</c:v>
                </c:pt>
                <c:pt idx="18">
                  <c:v>4924.3437210558541</c:v>
                </c:pt>
                <c:pt idx="19">
                  <c:v>2714.7689624346554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AC-4BA8-A133-B0ACF6097636}"/>
            </c:ext>
          </c:extLst>
        </c:ser>
        <c:ser>
          <c:idx val="4"/>
          <c:order val="4"/>
          <c:tx>
            <c:v>h=2000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'projekt 5'!$O$39:$O$58</c:f>
              <c:numCache>
                <c:formatCode>0.00</c:formatCode>
                <c:ptCount val="20"/>
                <c:pt idx="0">
                  <c:v>0</c:v>
                </c:pt>
                <c:pt idx="1">
                  <c:v>1.2261147493121212</c:v>
                </c:pt>
                <c:pt idx="2">
                  <c:v>4.5619742665722063</c:v>
                </c:pt>
                <c:pt idx="3">
                  <c:v>6.4093713014450016</c:v>
                </c:pt>
                <c:pt idx="4">
                  <c:v>8.2743258687398988</c:v>
                </c:pt>
                <c:pt idx="5">
                  <c:v>11.955921203665243</c:v>
                </c:pt>
                <c:pt idx="6">
                  <c:v>14.493088792706585</c:v>
                </c:pt>
                <c:pt idx="7">
                  <c:v>20.281098608220908</c:v>
                </c:pt>
                <c:pt idx="8">
                  <c:v>23.057408078808219</c:v>
                </c:pt>
                <c:pt idx="9">
                  <c:v>27.771734609808718</c:v>
                </c:pt>
                <c:pt idx="10">
                  <c:v>32.499588217799712</c:v>
                </c:pt>
                <c:pt idx="11">
                  <c:v>37.843610864020206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5'!$Q$39:$Q$58</c:f>
              <c:numCache>
                <c:formatCode>General</c:formatCode>
                <c:ptCount val="20"/>
                <c:pt idx="0">
                  <c:v>0</c:v>
                </c:pt>
                <c:pt idx="1">
                  <c:v>1661.5173637109328</c:v>
                </c:pt>
                <c:pt idx="2">
                  <c:v>5770.711382837997</c:v>
                </c:pt>
                <c:pt idx="3">
                  <c:v>7963.134615925298</c:v>
                </c:pt>
                <c:pt idx="4">
                  <c:v>10667.676972299927</c:v>
                </c:pt>
                <c:pt idx="5">
                  <c:v>15163.643790803799</c:v>
                </c:pt>
                <c:pt idx="6">
                  <c:v>17228.511964702651</c:v>
                </c:pt>
                <c:pt idx="7">
                  <c:v>23396.223151992472</c:v>
                </c:pt>
                <c:pt idx="8">
                  <c:v>24746.315422285843</c:v>
                </c:pt>
                <c:pt idx="9">
                  <c:v>28232.418655425838</c:v>
                </c:pt>
                <c:pt idx="10">
                  <c:v>30849.268467347891</c:v>
                </c:pt>
                <c:pt idx="11">
                  <c:v>34362.731320342085</c:v>
                </c:pt>
                <c:pt idx="12">
                  <c:v>35394.181822552695</c:v>
                </c:pt>
                <c:pt idx="13">
                  <c:v>32390.343044119923</c:v>
                </c:pt>
                <c:pt idx="14">
                  <c:v>27909.708131912721</c:v>
                </c:pt>
                <c:pt idx="15">
                  <c:v>19791.826182669189</c:v>
                </c:pt>
                <c:pt idx="16">
                  <c:v>16182.50101861734</c:v>
                </c:pt>
                <c:pt idx="17">
                  <c:v>13224.325740826696</c:v>
                </c:pt>
                <c:pt idx="18">
                  <c:v>4684.1229052115505</c:v>
                </c:pt>
                <c:pt idx="19">
                  <c:v>2582.3362867470578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AC-4BA8-A133-B0ACF6097636}"/>
            </c:ext>
          </c:extLst>
        </c:ser>
        <c:ser>
          <c:idx val="5"/>
          <c:order val="5"/>
          <c:tx>
            <c:v>h=2500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'projekt 5'!$X$39:$X$58</c:f>
              <c:numCache>
                <c:formatCode>0.00</c:formatCode>
                <c:ptCount val="20"/>
                <c:pt idx="0">
                  <c:v>0</c:v>
                </c:pt>
                <c:pt idx="1">
                  <c:v>1.2195598103298033</c:v>
                </c:pt>
                <c:pt idx="2">
                  <c:v>4.5375854701948191</c:v>
                </c:pt>
                <c:pt idx="3">
                  <c:v>6.3751061253515235</c:v>
                </c:pt>
                <c:pt idx="4">
                  <c:v>8.2300904485071431</c:v>
                </c:pt>
                <c:pt idx="5">
                  <c:v>11.892003585831029</c:v>
                </c:pt>
                <c:pt idx="6">
                  <c:v>14.41560720890311</c:v>
                </c:pt>
                <c:pt idx="7">
                  <c:v>20.172673712471269</c:v>
                </c:pt>
                <c:pt idx="8">
                  <c:v>22.934140739326512</c:v>
                </c:pt>
                <c:pt idx="9">
                  <c:v>27.62326398264878</c:v>
                </c:pt>
                <c:pt idx="10">
                  <c:v>32.325841985778894</c:v>
                </c:pt>
                <c:pt idx="11">
                  <c:v>37.641294922365148</c:v>
                </c:pt>
                <c:pt idx="12">
                  <c:v>41.140816688218344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5'!$Z$39:$Z$58</c:f>
              <c:numCache>
                <c:formatCode>General</c:formatCode>
                <c:ptCount val="20"/>
                <c:pt idx="0">
                  <c:v>0</c:v>
                </c:pt>
                <c:pt idx="1">
                  <c:v>1554.3273824456571</c:v>
                </c:pt>
                <c:pt idx="2">
                  <c:v>5398.4237025984203</c:v>
                </c:pt>
                <c:pt idx="3">
                  <c:v>7449.4064606037728</c:v>
                </c:pt>
                <c:pt idx="4">
                  <c:v>9979.469843214647</c:v>
                </c:pt>
                <c:pt idx="5">
                  <c:v>14185.386970050911</c:v>
                </c:pt>
                <c:pt idx="6">
                  <c:v>16117.043667675362</c:v>
                </c:pt>
                <c:pt idx="7">
                  <c:v>21886.855404105005</c:v>
                </c:pt>
                <c:pt idx="8">
                  <c:v>23149.848756072352</c:v>
                </c:pt>
                <c:pt idx="9">
                  <c:v>26411.051937963704</c:v>
                </c:pt>
                <c:pt idx="10">
                  <c:v>28859.080112242751</c:v>
                </c:pt>
                <c:pt idx="11">
                  <c:v>32145.877854408642</c:v>
                </c:pt>
                <c:pt idx="12">
                  <c:v>33647.556360130075</c:v>
                </c:pt>
                <c:pt idx="13">
                  <c:v>30791.950455725204</c:v>
                </c:pt>
                <c:pt idx="14">
                  <c:v>26532.425076850806</c:v>
                </c:pt>
                <c:pt idx="15">
                  <c:v>18815.142847204548</c:v>
                </c:pt>
                <c:pt idx="16">
                  <c:v>15383.929986053248</c:v>
                </c:pt>
                <c:pt idx="17">
                  <c:v>12571.73418840434</c:v>
                </c:pt>
                <c:pt idx="18">
                  <c:v>4452.9716844720324</c:v>
                </c:pt>
                <c:pt idx="19">
                  <c:v>2454.9036388168729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AC-4BA8-A133-B0ACF6097636}"/>
            </c:ext>
          </c:extLst>
        </c:ser>
        <c:ser>
          <c:idx val="6"/>
          <c:order val="6"/>
          <c:tx>
            <c:v>h=3000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'projekt 5'!$F$62:$F$81</c:f>
              <c:numCache>
                <c:formatCode>0.00</c:formatCode>
                <c:ptCount val="20"/>
                <c:pt idx="0">
                  <c:v>0</c:v>
                </c:pt>
                <c:pt idx="1">
                  <c:v>1.2125405291343263</c:v>
                </c:pt>
                <c:pt idx="2">
                  <c:v>4.5114690074399526</c:v>
                </c:pt>
                <c:pt idx="3">
                  <c:v>6.3384136547028307</c:v>
                </c:pt>
                <c:pt idx="4">
                  <c:v>8.1827214563240869</c:v>
                </c:pt>
                <c:pt idx="5">
                  <c:v>11.823558138187098</c:v>
                </c:pt>
                <c:pt idx="6">
                  <c:v>14.332636943938839</c:v>
                </c:pt>
                <c:pt idx="7">
                  <c:v>20.056568156964193</c:v>
                </c:pt>
                <c:pt idx="8">
                  <c:v>22.802141323256507</c:v>
                </c:pt>
                <c:pt idx="9">
                  <c:v>27.464275915160176</c:v>
                </c:pt>
                <c:pt idx="10">
                  <c:v>32.13978782684643</c:v>
                </c:pt>
                <c:pt idx="11">
                  <c:v>37.424647217690037</c:v>
                </c:pt>
                <c:pt idx="12">
                  <c:v>40.965767547613794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5'!$H$62:$H$81</c:f>
              <c:numCache>
                <c:formatCode>General</c:formatCode>
                <c:ptCount val="20"/>
                <c:pt idx="0">
                  <c:v>0</c:v>
                </c:pt>
                <c:pt idx="1">
                  <c:v>1451.3733413849616</c:v>
                </c:pt>
                <c:pt idx="2">
                  <c:v>5040.848109568693</c:v>
                </c:pt>
                <c:pt idx="3">
                  <c:v>6955.9798457962424</c:v>
                </c:pt>
                <c:pt idx="4">
                  <c:v>9318.4593253495568</c:v>
                </c:pt>
                <c:pt idx="5">
                  <c:v>13245.788961889632</c:v>
                </c:pt>
                <c:pt idx="6">
                  <c:v>15049.498442468031</c:v>
                </c:pt>
                <c:pt idx="7">
                  <c:v>20437.134942757788</c:v>
                </c:pt>
                <c:pt idx="8">
                  <c:v>21616.471356755454</c:v>
                </c:pt>
                <c:pt idx="9">
                  <c:v>24661.662101313676</c:v>
                </c:pt>
                <c:pt idx="10">
                  <c:v>26947.540141702717</c:v>
                </c:pt>
                <c:pt idx="11">
                  <c:v>30016.63013868772</c:v>
                </c:pt>
                <c:pt idx="12">
                  <c:v>31561.327152354519</c:v>
                </c:pt>
                <c:pt idx="13">
                  <c:v>29254.613443321963</c:v>
                </c:pt>
                <c:pt idx="14">
                  <c:v>25207.751631493447</c:v>
                </c:pt>
                <c:pt idx="15">
                  <c:v>17875.766969270077</c:v>
                </c:pt>
                <c:pt idx="16">
                  <c:v>14615.862857672224</c:v>
                </c:pt>
                <c:pt idx="17">
                  <c:v>11944.070399917837</c:v>
                </c:pt>
                <c:pt idx="18">
                  <c:v>4230.6500035000627</c:v>
                </c:pt>
                <c:pt idx="19">
                  <c:v>2332.33867719604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AC-4BA8-A133-B0ACF6097636}"/>
            </c:ext>
          </c:extLst>
        </c:ser>
        <c:ser>
          <c:idx val="7"/>
          <c:order val="7"/>
          <c:tx>
            <c:v>h=3500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'projekt 5'!$O$62:$O$81</c:f>
              <c:numCache>
                <c:formatCode>0.00</c:formatCode>
                <c:ptCount val="20"/>
                <c:pt idx="0">
                  <c:v>0</c:v>
                </c:pt>
                <c:pt idx="1">
                  <c:v>1.2050150332262499</c:v>
                </c:pt>
                <c:pt idx="2">
                  <c:v>4.4834690843535547</c:v>
                </c:pt>
                <c:pt idx="3">
                  <c:v>6.2990750059104359</c:v>
                </c:pt>
                <c:pt idx="4">
                  <c:v>8.1319363193683287</c:v>
                </c:pt>
                <c:pt idx="5">
                  <c:v>11.750176559386302</c:v>
                </c:pt>
                <c:pt idx="6">
                  <c:v>14.243683050784803</c:v>
                </c:pt>
                <c:pt idx="7">
                  <c:v>19.932089330921947</c:v>
                </c:pt>
                <c:pt idx="8">
                  <c:v>22.660622407310619</c:v>
                </c:pt>
                <c:pt idx="9">
                  <c:v>27.293821987186838</c:v>
                </c:pt>
                <c:pt idx="10">
                  <c:v>31.940315862020608</c:v>
                </c:pt>
                <c:pt idx="11">
                  <c:v>37.192375369672725</c:v>
                </c:pt>
                <c:pt idx="12">
                  <c:v>40.711518136032595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5'!$Q$62:$Q$81</c:f>
              <c:numCache>
                <c:formatCode>General</c:formatCode>
                <c:ptCount val="20"/>
                <c:pt idx="0">
                  <c:v>0</c:v>
                </c:pt>
                <c:pt idx="1">
                  <c:v>1352.5520271984412</c:v>
                </c:pt>
                <c:pt idx="2">
                  <c:v>4697.6261276030709</c:v>
                </c:pt>
                <c:pt idx="3">
                  <c:v>6482.3601021949244</c:v>
                </c:pt>
                <c:pt idx="4">
                  <c:v>8683.9827434344224</c:v>
                </c:pt>
                <c:pt idx="5">
                  <c:v>12343.907801937938</c:v>
                </c:pt>
                <c:pt idx="6">
                  <c:v>14024.806055247029</c:v>
                </c:pt>
                <c:pt idx="7">
                  <c:v>19045.608396374231</c:v>
                </c:pt>
                <c:pt idx="8">
                  <c:v>20144.645985130934</c:v>
                </c:pt>
                <c:pt idx="9">
                  <c:v>22982.49534980773</c:v>
                </c:pt>
                <c:pt idx="10">
                  <c:v>25112.732201551404</c:v>
                </c:pt>
                <c:pt idx="11">
                  <c:v>27972.853562961667</c:v>
                </c:pt>
                <c:pt idx="12">
                  <c:v>29412.375026990172</c:v>
                </c:pt>
                <c:pt idx="13">
                  <c:v>27776.696795883952</c:v>
                </c:pt>
                <c:pt idx="14">
                  <c:v>23934.278787531759</c:v>
                </c:pt>
                <c:pt idx="15">
                  <c:v>16972.699367956837</c:v>
                </c:pt>
                <c:pt idx="16">
                  <c:v>13877.48266762546</c:v>
                </c:pt>
                <c:pt idx="17">
                  <c:v>11340.666751586956</c:v>
                </c:pt>
                <c:pt idx="18">
                  <c:v>4016.9213865839597</c:v>
                </c:pt>
                <c:pt idx="19">
                  <c:v>2214.5110338682675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AC-4BA8-A133-B0ACF6097636}"/>
            </c:ext>
          </c:extLst>
        </c:ser>
        <c:ser>
          <c:idx val="8"/>
          <c:order val="8"/>
          <c:tx>
            <c:v>h=4000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'projekt 5'!$X$62:$X$81</c:f>
              <c:numCache>
                <c:formatCode>0.00</c:formatCode>
                <c:ptCount val="20"/>
                <c:pt idx="0">
                  <c:v>0</c:v>
                </c:pt>
                <c:pt idx="1">
                  <c:v>1.1969366670961923</c:v>
                </c:pt>
                <c:pt idx="2">
                  <c:v>4.4534121109569398</c:v>
                </c:pt>
                <c:pt idx="3">
                  <c:v>6.256846292761356</c:v>
                </c:pt>
                <c:pt idx="4">
                  <c:v>8.0774201871020885</c:v>
                </c:pt>
                <c:pt idx="5">
                  <c:v>11.67140390865397</c:v>
                </c:pt>
                <c:pt idx="6">
                  <c:v>14.148194045625537</c:v>
                </c:pt>
                <c:pt idx="7">
                  <c:v>19.798465508054694</c:v>
                </c:pt>
                <c:pt idx="8">
                  <c:v>22.508706622450141</c:v>
                </c:pt>
                <c:pt idx="9">
                  <c:v>27.110845442478695</c:v>
                </c:pt>
                <c:pt idx="10">
                  <c:v>31.726189433114357</c:v>
                </c:pt>
                <c:pt idx="11">
                  <c:v>36.943039372030988</c:v>
                </c:pt>
                <c:pt idx="12">
                  <c:v>40.438589964893659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5'!$Z$62:$Z$81</c:f>
              <c:numCache>
                <c:formatCode>General</c:formatCode>
                <c:ptCount val="20"/>
                <c:pt idx="0">
                  <c:v>0</c:v>
                </c:pt>
                <c:pt idx="1">
                  <c:v>1257.7627286857796</c:v>
                </c:pt>
                <c:pt idx="2">
                  <c:v>4368.4079708475256</c:v>
                </c:pt>
                <c:pt idx="3">
                  <c:v>6028.0645524213169</c:v>
                </c:pt>
                <c:pt idx="4">
                  <c:v>8075.3934869817849</c:v>
                </c:pt>
                <c:pt idx="5">
                  <c:v>11478.824361211258</c:v>
                </c:pt>
                <c:pt idx="6">
                  <c:v>13041.922217124657</c:v>
                </c:pt>
                <c:pt idx="7">
                  <c:v>17710.857626469613</c:v>
                </c:pt>
                <c:pt idx="8">
                  <c:v>18732.872668231888</c:v>
                </c:pt>
                <c:pt idx="9">
                  <c:v>21371.840403845221</c:v>
                </c:pt>
                <c:pt idx="10">
                  <c:v>23352.786394474406</c:v>
                </c:pt>
                <c:pt idx="11">
                  <c:v>26012.465264906554</c:v>
                </c:pt>
                <c:pt idx="12">
                  <c:v>27351.102454596403</c:v>
                </c:pt>
                <c:pt idx="13">
                  <c:v>26356.589979074903</c:v>
                </c:pt>
                <c:pt idx="14">
                  <c:v>22710.61879976033</c:v>
                </c:pt>
                <c:pt idx="15">
                  <c:v>16104.955940824142</c:v>
                </c:pt>
                <c:pt idx="16">
                  <c:v>13167.984778756087</c:v>
                </c:pt>
                <c:pt idx="17">
                  <c:v>10760.865694627764</c:v>
                </c:pt>
                <c:pt idx="18">
                  <c:v>3811.5529266265744</c:v>
                </c:pt>
                <c:pt idx="19">
                  <c:v>2101.2923081787108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AC-4BA8-A133-B0ACF6097636}"/>
            </c:ext>
          </c:extLst>
        </c:ser>
        <c:ser>
          <c:idx val="9"/>
          <c:order val="9"/>
          <c:tx>
            <c:v>h=4500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'projekt 5'!$F$85:$F$104</c:f>
              <c:numCache>
                <c:formatCode>0.00</c:formatCode>
                <c:ptCount val="20"/>
                <c:pt idx="0">
                  <c:v>0</c:v>
                </c:pt>
                <c:pt idx="1">
                  <c:v>1.1882532990899004</c:v>
                </c:pt>
                <c:pt idx="2">
                  <c:v>4.4211041223171303</c:v>
                </c:pt>
                <c:pt idx="3">
                  <c:v>6.2114550031364359</c:v>
                </c:pt>
                <c:pt idx="4">
                  <c:v>8.018821253713055</c:v>
                </c:pt>
                <c:pt idx="5">
                  <c:v>11.586731846986087</c:v>
                </c:pt>
                <c:pt idx="6">
                  <c:v>14.045553714771069</c:v>
                </c:pt>
                <c:pt idx="7">
                  <c:v>19.654834381452652</c:v>
                </c:pt>
                <c:pt idx="8">
                  <c:v>22.34541361930189</c:v>
                </c:pt>
                <c:pt idx="9">
                  <c:v>26.914165489052358</c:v>
                </c:pt>
                <c:pt idx="10">
                  <c:v>31.496026730393069</c:v>
                </c:pt>
                <c:pt idx="11">
                  <c:v>36.675030199150925</c:v>
                </c:pt>
                <c:pt idx="12">
                  <c:v>40.145221762570472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5'!$H$85:$H$104</c:f>
              <c:numCache>
                <c:formatCode>General</c:formatCode>
                <c:ptCount val="20"/>
                <c:pt idx="0">
                  <c:v>0</c:v>
                </c:pt>
                <c:pt idx="1">
                  <c:v>1166.9073397280606</c:v>
                </c:pt>
                <c:pt idx="2">
                  <c:v>4052.8529013058646</c:v>
                </c:pt>
                <c:pt idx="3">
                  <c:v>5592.6230044397334</c:v>
                </c:pt>
                <c:pt idx="4">
                  <c:v>7492.0616712799574</c:v>
                </c:pt>
                <c:pt idx="5">
                  <c:v>10649.6432856956</c:v>
                </c:pt>
                <c:pt idx="6">
                  <c:v>12099.829651676089</c:v>
                </c:pt>
                <c:pt idx="7">
                  <c:v>16431.50117733311</c:v>
                </c:pt>
                <c:pt idx="8">
                  <c:v>17379.690232665514</c:v>
                </c:pt>
                <c:pt idx="9">
                  <c:v>19828.030249236366</c:v>
                </c:pt>
                <c:pt idx="10">
                  <c:v>21665.881191508612</c:v>
                </c:pt>
                <c:pt idx="11">
                  <c:v>24133.436259283455</c:v>
                </c:pt>
                <c:pt idx="12">
                  <c:v>25375.376035567184</c:v>
                </c:pt>
                <c:pt idx="13">
                  <c:v>24992.707058418899</c:v>
                </c:pt>
                <c:pt idx="14">
                  <c:v>21535.405119875573</c:v>
                </c:pt>
                <c:pt idx="15">
                  <c:v>15271.567616953482</c:v>
                </c:pt>
                <c:pt idx="16">
                  <c:v>12486.576844214394</c:v>
                </c:pt>
                <c:pt idx="17">
                  <c:v>10204.019723884663</c:v>
                </c:pt>
                <c:pt idx="18">
                  <c:v>3614.3152740345809</c:v>
                </c:pt>
                <c:pt idx="19">
                  <c:v>1992.5560607086816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AC-4BA8-A133-B0ACF6097636}"/>
            </c:ext>
          </c:extLst>
        </c:ser>
        <c:ser>
          <c:idx val="10"/>
          <c:order val="10"/>
          <c:tx>
            <c:v>h=5000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'projekt 5'!$O$85:$O$104</c:f>
              <c:numCache>
                <c:formatCode>0.00</c:formatCode>
                <c:ptCount val="20"/>
                <c:pt idx="0">
                  <c:v>0</c:v>
                </c:pt>
                <c:pt idx="1">
                  <c:v>1.1789065007889488</c:v>
                </c:pt>
                <c:pt idx="2">
                  <c:v>4.3863277252892781</c:v>
                </c:pt>
                <c:pt idx="3">
                  <c:v>6.1625957093190138</c:v>
                </c:pt>
                <c:pt idx="4">
                  <c:v>7.9557452202383363</c:v>
                </c:pt>
                <c:pt idx="5">
                  <c:v>11.49559063523945</c:v>
                </c:pt>
                <c:pt idx="6">
                  <c:v>13.935071414660733</c:v>
                </c:pt>
                <c:pt idx="7">
                  <c:v>19.500229489766046</c:v>
                </c:pt>
                <c:pt idx="8">
                  <c:v>22.16964463619793</c:v>
                </c:pt>
                <c:pt idx="9">
                  <c:v>26.702458712006347</c:v>
                </c:pt>
                <c:pt idx="10">
                  <c:v>31.248279041111797</c:v>
                </c:pt>
                <c:pt idx="11">
                  <c:v>36.386544477953827</c:v>
                </c:pt>
                <c:pt idx="12">
                  <c:v>39.829439520813509</c:v>
                </c:pt>
                <c:pt idx="13">
                  <c:v>44.587093936867767</c:v>
                </c:pt>
                <c:pt idx="14">
                  <c:v>48.03619368940641</c:v>
                </c:pt>
                <c:pt idx="15">
                  <c:v>52.110760303780154</c:v>
                </c:pt>
                <c:pt idx="16">
                  <c:v>54.084255023072274</c:v>
                </c:pt>
                <c:pt idx="17">
                  <c:v>55.319382724963404</c:v>
                </c:pt>
                <c:pt idx="18">
                  <c:v>58.779772493058616</c:v>
                </c:pt>
                <c:pt idx="19">
                  <c:v>59.893532527716275</c:v>
                </c:pt>
              </c:numCache>
            </c:numRef>
          </c:xVal>
          <c:yVal>
            <c:numRef>
              <c:f>'projekt 5'!$Q$85:$Q$104</c:f>
              <c:numCache>
                <c:formatCode>General</c:formatCode>
                <c:ptCount val="20"/>
                <c:pt idx="0">
                  <c:v>0</c:v>
                </c:pt>
                <c:pt idx="1">
                  <c:v>1079.8904797109878</c:v>
                </c:pt>
                <c:pt idx="2">
                  <c:v>3750.6296470885181</c:v>
                </c:pt>
                <c:pt idx="3">
                  <c:v>5175.5783287082349</c:v>
                </c:pt>
                <c:pt idx="4">
                  <c:v>6933.3749105634006</c:v>
                </c:pt>
                <c:pt idx="5">
                  <c:v>9855.494095375916</c:v>
                </c:pt>
                <c:pt idx="6">
                  <c:v>11197.539343624985</c:v>
                </c:pt>
                <c:pt idx="7">
                  <c:v>15206.195971735917</c:v>
                </c:pt>
                <c:pt idx="8">
                  <c:v>16083.678098173001</c:v>
                </c:pt>
                <c:pt idx="9">
                  <c:v>18349.444183427426</c:v>
                </c:pt>
                <c:pt idx="10">
                  <c:v>20050.245667931053</c:v>
                </c:pt>
                <c:pt idx="11">
                  <c:v>22333.793928475581</c:v>
                </c:pt>
                <c:pt idx="12">
                  <c:v>23483.121638673845</c:v>
                </c:pt>
                <c:pt idx="13">
                  <c:v>23683.486621767195</c:v>
                </c:pt>
                <c:pt idx="14">
                  <c:v>20407.292329667944</c:v>
                </c:pt>
                <c:pt idx="15">
                  <c:v>14471.580309572588</c:v>
                </c:pt>
                <c:pt idx="16">
                  <c:v>11832.478768721579</c:v>
                </c:pt>
                <c:pt idx="17">
                  <c:v>9669.4913461751021</c:v>
                </c:pt>
                <c:pt idx="18">
                  <c:v>3424.9826255060361</c:v>
                </c:pt>
                <c:pt idx="19">
                  <c:v>1888.1778070942828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AC-4BA8-A133-B0ACF609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549583"/>
        <c:axId val="1405295119"/>
      </c:scatterChart>
      <c:valAx>
        <c:axId val="1195549583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5295119"/>
        <c:crosses val="autoZero"/>
        <c:crossBetween val="midCat"/>
        <c:majorUnit val="2"/>
      </c:valAx>
      <c:valAx>
        <c:axId val="1405295119"/>
        <c:scaling>
          <c:orientation val="minMax"/>
          <c:max val="4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5549583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" panose="020F0502020204030204" pitchFamily="34" charset="0"/>
                <a:cs typeface="Calibri" panose="020F0502020204030204" pitchFamily="34" charset="0"/>
              </a:rPr>
              <a:t>η</a:t>
            </a:r>
            <a:r>
              <a:rPr lang="pl-PL">
                <a:latin typeface="Calibri" panose="020F0502020204030204" pitchFamily="34" charset="0"/>
                <a:cs typeface="Calibri" panose="020F0502020204030204" pitchFamily="34" charset="0"/>
              </a:rPr>
              <a:t>(J)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1"/>
            <c:trendlineLbl>
              <c:layout>
                <c:manualLayout>
                  <c:x val="7.3790409966083839E-2"/>
                  <c:y val="-0.28618590243015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 5'!$B$16:$B$35</c:f>
              <c:numCache>
                <c:formatCode>0.000</c:formatCode>
                <c:ptCount val="20"/>
                <c:pt idx="0">
                  <c:v>0</c:v>
                </c:pt>
                <c:pt idx="1">
                  <c:v>2.26043177745546E-2</c:v>
                </c:pt>
                <c:pt idx="2">
                  <c:v>8.37443467872689E-2</c:v>
                </c:pt>
                <c:pt idx="3">
                  <c:v>0.117108968342009</c:v>
                </c:pt>
                <c:pt idx="4">
                  <c:v>0.150473589896749</c:v>
                </c:pt>
                <c:pt idx="5">
                  <c:v>0.21535113917569701</c:v>
                </c:pt>
                <c:pt idx="6">
                  <c:v>0.25982592371362701</c:v>
                </c:pt>
                <c:pt idx="7">
                  <c:v>0.356250533321956</c:v>
                </c:pt>
                <c:pt idx="8">
                  <c:v>0.40075945046505601</c:v>
                </c:pt>
                <c:pt idx="9">
                  <c:v>0.46578206331598199</c:v>
                </c:pt>
                <c:pt idx="10">
                  <c:v>0.527075689051967</c:v>
                </c:pt>
                <c:pt idx="11">
                  <c:v>0.584725659185937</c:v>
                </c:pt>
                <c:pt idx="12">
                  <c:v>0.62189606621725402</c:v>
                </c:pt>
                <c:pt idx="13">
                  <c:v>0.67399095485962901</c:v>
                </c:pt>
                <c:pt idx="14">
                  <c:v>0.72612850925846895</c:v>
                </c:pt>
                <c:pt idx="15">
                  <c:v>0.78772079528969996</c:v>
                </c:pt>
                <c:pt idx="16">
                  <c:v>0.81755269220923199</c:v>
                </c:pt>
                <c:pt idx="17">
                  <c:v>0.83622322723781894</c:v>
                </c:pt>
                <c:pt idx="18">
                  <c:v>0.88853144466251399</c:v>
                </c:pt>
                <c:pt idx="19">
                  <c:v>0.90536735216315301</c:v>
                </c:pt>
              </c:numCache>
            </c:numRef>
          </c:xVal>
          <c:yVal>
            <c:numRef>
              <c:f>'projekt 5'!$D$16:$D$35</c:f>
              <c:numCache>
                <c:formatCode>0.000</c:formatCode>
                <c:ptCount val="20"/>
                <c:pt idx="0">
                  <c:v>0</c:v>
                </c:pt>
                <c:pt idx="1">
                  <c:v>4.3340857787810397E-2</c:v>
                </c:pt>
                <c:pt idx="2">
                  <c:v>0.149887133182844</c:v>
                </c:pt>
                <c:pt idx="3">
                  <c:v>0.20586907449209901</c:v>
                </c:pt>
                <c:pt idx="4">
                  <c:v>0.274492099322799</c:v>
                </c:pt>
                <c:pt idx="5">
                  <c:v>0.38645598194130898</c:v>
                </c:pt>
                <c:pt idx="6">
                  <c:v>0.43702031602708802</c:v>
                </c:pt>
                <c:pt idx="7">
                  <c:v>0.58148984198645604</c:v>
                </c:pt>
                <c:pt idx="8">
                  <c:v>0.60857787810383701</c:v>
                </c:pt>
                <c:pt idx="9">
                  <c:v>0.66997742663656801</c:v>
                </c:pt>
                <c:pt idx="10">
                  <c:v>0.707900677200902</c:v>
                </c:pt>
                <c:pt idx="11">
                  <c:v>0.75124153498871304</c:v>
                </c:pt>
                <c:pt idx="12">
                  <c:v>0.76749435665914201</c:v>
                </c:pt>
                <c:pt idx="13">
                  <c:v>0.78735891647855505</c:v>
                </c:pt>
                <c:pt idx="14">
                  <c:v>0.79097065462753902</c:v>
                </c:pt>
                <c:pt idx="15">
                  <c:v>0.77832957110609402</c:v>
                </c:pt>
                <c:pt idx="16">
                  <c:v>0.76027088036117296</c:v>
                </c:pt>
                <c:pt idx="17">
                  <c:v>0.72776523702031604</c:v>
                </c:pt>
                <c:pt idx="18">
                  <c:v>0.53092550790067705</c:v>
                </c:pt>
                <c:pt idx="19">
                  <c:v>0.48216704288939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5-4D62-9D89-F177A2AC7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028831"/>
        <c:axId val="1831798975"/>
      </c:scatterChart>
      <c:valAx>
        <c:axId val="182902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798975"/>
        <c:crosses val="autoZero"/>
        <c:crossBetween val="midCat"/>
      </c:valAx>
      <c:valAx>
        <c:axId val="18317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η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902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181960</xdr:colOff>
      <xdr:row>46</xdr:row>
      <xdr:rowOff>11168</xdr:rowOff>
    </xdr:from>
    <xdr:to>
      <xdr:col>11</xdr:col>
      <xdr:colOff>9064</xdr:colOff>
      <xdr:row>61</xdr:row>
      <xdr:rowOff>72128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354250-5FD1-1801-8A85-11C130C37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320040</xdr:colOff>
      <xdr:row>60</xdr:row>
      <xdr:rowOff>110490</xdr:rowOff>
    </xdr:from>
    <xdr:to>
      <xdr:col>10</xdr:col>
      <xdr:colOff>419100</xdr:colOff>
      <xdr:row>74</xdr:row>
      <xdr:rowOff>186690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8124D42-79B4-4CC7-670B-3C9369BA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361950</xdr:colOff>
      <xdr:row>74</xdr:row>
      <xdr:rowOff>186690</xdr:rowOff>
    </xdr:from>
    <xdr:to>
      <xdr:col>10</xdr:col>
      <xdr:colOff>461010</xdr:colOff>
      <xdr:row>89</xdr:row>
      <xdr:rowOff>72390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727F4E6-AECB-F022-151B-03125AD15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369570</xdr:colOff>
      <xdr:row>89</xdr:row>
      <xdr:rowOff>102870</xdr:rowOff>
    </xdr:from>
    <xdr:to>
      <xdr:col>10</xdr:col>
      <xdr:colOff>468630</xdr:colOff>
      <xdr:row>103</xdr:row>
      <xdr:rowOff>179070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ECED905-D80A-0BDD-EDCD-03179A027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61</xdr:row>
      <xdr:rowOff>0</xdr:rowOff>
    </xdr:from>
    <xdr:to>
      <xdr:col>18</xdr:col>
      <xdr:colOff>304800</xdr:colOff>
      <xdr:row>75</xdr:row>
      <xdr:rowOff>76200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017BB60-2B95-432A-819B-82C736AF6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441960</xdr:colOff>
      <xdr:row>103</xdr:row>
      <xdr:rowOff>167640</xdr:rowOff>
    </xdr:from>
    <xdr:to>
      <xdr:col>10</xdr:col>
      <xdr:colOff>541020</xdr:colOff>
      <xdr:row>118</xdr:row>
      <xdr:rowOff>53340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51E96ED-378B-4C96-A0B8-89D4636DC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13138</xdr:colOff>
      <xdr:row>45</xdr:row>
      <xdr:rowOff>89338</xdr:rowOff>
    </xdr:from>
    <xdr:to>
      <xdr:col>18</xdr:col>
      <xdr:colOff>317938</xdr:colOff>
      <xdr:row>59</xdr:row>
      <xdr:rowOff>183931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53B13FB-6145-8F5A-A293-576660E39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375173</xdr:colOff>
      <xdr:row>23</xdr:row>
      <xdr:rowOff>163381</xdr:rowOff>
    </xdr:from>
    <xdr:to>
      <xdr:col>8</xdr:col>
      <xdr:colOff>70373</xdr:colOff>
      <xdr:row>38</xdr:row>
      <xdr:rowOff>163381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EF85FE7-B0DF-B40A-A940-5270164F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197000</xdr:colOff>
      <xdr:row>23</xdr:row>
      <xdr:rowOff>19947</xdr:rowOff>
    </xdr:from>
    <xdr:to>
      <xdr:col>16</xdr:col>
      <xdr:colOff>132230</xdr:colOff>
      <xdr:row>39</xdr:row>
      <xdr:rowOff>46617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159093F-E5D7-D43E-CB80-6373AF55A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368449</xdr:colOff>
      <xdr:row>0</xdr:row>
      <xdr:rowOff>51323</xdr:rowOff>
    </xdr:from>
    <xdr:to>
      <xdr:col>25</xdr:col>
      <xdr:colOff>33169</xdr:colOff>
      <xdr:row>12</xdr:row>
      <xdr:rowOff>39893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C8DCC62-1FD4-2DF5-9ADC-9AEDD74D8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309282</xdr:colOff>
      <xdr:row>0</xdr:row>
      <xdr:rowOff>188257</xdr:rowOff>
    </xdr:from>
    <xdr:to>
      <xdr:col>41</xdr:col>
      <xdr:colOff>537881</xdr:colOff>
      <xdr:row>30</xdr:row>
      <xdr:rowOff>53788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7968F80-EF7F-D22A-2602-19B5A2E1D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475128</xdr:colOff>
      <xdr:row>0</xdr:row>
      <xdr:rowOff>44824</xdr:rowOff>
    </xdr:from>
    <xdr:to>
      <xdr:col>18</xdr:col>
      <xdr:colOff>282387</xdr:colOff>
      <xdr:row>12</xdr:row>
      <xdr:rowOff>71718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2DA8D13-2C15-F1C5-1F73-19EF7C632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_a_1" connectionId="6" xr16:uid="{A8E7374A-9144-4A67-8B4B-EE38FBB7C40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x" connectionId="2" xr16:uid="{AFDDF3B9-C1DA-4898-BE0E-01DC88F3816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" connectionId="4" xr16:uid="{EC789CCD-A56D-4411-9185-9442D49B8D8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x(Cz)" connectionId="3" xr16:uid="{69BDD63A-D12F-4AFB-B397-40DDA203CD71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(a)" connectionId="5" xr16:uid="{FE2610C2-DB44-4343-BE50-A015197361A6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dodJ" connectionId="1" xr16:uid="{0E09D323-7B66-43C6-8519-8BEB0085BD8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74FF-3B14-4C31-BFE0-72903642C0C0}">
  <dimension ref="A1:D111"/>
  <sheetViews>
    <sheetView tabSelected="1" workbookViewId="0"/>
  </sheetViews>
  <sheetFormatPr defaultRowHeight="14.4" x14ac:dyDescent="0.3"/>
  <cols>
    <col min="1" max="1" width="61.21875" style="17" customWidth="1"/>
    <col min="2" max="2" width="11.109375" style="5" customWidth="1"/>
    <col min="3" max="3" width="13.109375" style="5" customWidth="1"/>
    <col min="4" max="4" width="8.88671875" style="5"/>
  </cols>
  <sheetData>
    <row r="1" spans="1:4" x14ac:dyDescent="0.3">
      <c r="A1" s="18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7" t="s">
        <v>10</v>
      </c>
      <c r="B2" s="5" t="s">
        <v>4</v>
      </c>
      <c r="C2" s="5">
        <v>10.8</v>
      </c>
      <c r="D2" s="5" t="s">
        <v>21</v>
      </c>
    </row>
    <row r="3" spans="1:4" ht="15.6" x14ac:dyDescent="0.35">
      <c r="A3" s="17" t="s">
        <v>11</v>
      </c>
      <c r="B3" s="5" t="s">
        <v>62</v>
      </c>
      <c r="C3" s="5">
        <v>2.25</v>
      </c>
      <c r="D3" s="5" t="s">
        <v>21</v>
      </c>
    </row>
    <row r="4" spans="1:4" ht="15.6" x14ac:dyDescent="0.35">
      <c r="A4" s="17" t="s">
        <v>108</v>
      </c>
      <c r="B4" s="5" t="s">
        <v>109</v>
      </c>
      <c r="C4" s="5">
        <v>7.75</v>
      </c>
      <c r="D4" s="5" t="s">
        <v>21</v>
      </c>
    </row>
    <row r="5" spans="1:4" ht="16.2" x14ac:dyDescent="0.3">
      <c r="A5" s="17" t="s">
        <v>12</v>
      </c>
      <c r="B5" s="5" t="s">
        <v>5</v>
      </c>
      <c r="C5" s="5">
        <v>18</v>
      </c>
      <c r="D5" s="5" t="s">
        <v>90</v>
      </c>
    </row>
    <row r="6" spans="1:4" ht="15.6" x14ac:dyDescent="0.35">
      <c r="A6" s="17" t="s">
        <v>13</v>
      </c>
      <c r="B6" s="5" t="s">
        <v>60</v>
      </c>
      <c r="C6" s="5">
        <v>440</v>
      </c>
      <c r="D6" s="5" t="s">
        <v>23</v>
      </c>
    </row>
    <row r="7" spans="1:4" ht="15.6" x14ac:dyDescent="0.35">
      <c r="A7" s="17" t="s">
        <v>14</v>
      </c>
      <c r="B7" s="5" t="s">
        <v>61</v>
      </c>
      <c r="C7" s="5">
        <v>720</v>
      </c>
      <c r="D7" s="5" t="s">
        <v>23</v>
      </c>
    </row>
    <row r="8" spans="1:4" ht="15.6" x14ac:dyDescent="0.35">
      <c r="A8" s="17" t="s">
        <v>15</v>
      </c>
      <c r="B8" s="5" t="s">
        <v>59</v>
      </c>
      <c r="C8" s="5">
        <v>90</v>
      </c>
      <c r="D8" s="5" t="s">
        <v>23</v>
      </c>
    </row>
    <row r="9" spans="1:4" x14ac:dyDescent="0.3">
      <c r="A9" s="17" t="s">
        <v>16</v>
      </c>
      <c r="B9" s="5" t="s">
        <v>6</v>
      </c>
      <c r="C9" s="5">
        <v>59000</v>
      </c>
      <c r="D9" s="5" t="s">
        <v>24</v>
      </c>
    </row>
    <row r="10" spans="1:4" ht="15.6" x14ac:dyDescent="0.35">
      <c r="A10" s="17" t="s">
        <v>17</v>
      </c>
      <c r="B10" s="5" t="s">
        <v>66</v>
      </c>
      <c r="C10" s="5">
        <v>2200</v>
      </c>
      <c r="D10" s="5" t="s">
        <v>25</v>
      </c>
    </row>
    <row r="11" spans="1:4" ht="16.2" x14ac:dyDescent="0.3">
      <c r="A11" s="17" t="s">
        <v>18</v>
      </c>
      <c r="B11" s="5" t="s">
        <v>7</v>
      </c>
      <c r="C11" s="5">
        <v>2.1999999999999999E-2</v>
      </c>
      <c r="D11" s="5" t="s">
        <v>91</v>
      </c>
    </row>
    <row r="12" spans="1:4" ht="15.6" x14ac:dyDescent="0.35">
      <c r="A12" s="17" t="s">
        <v>19</v>
      </c>
      <c r="B12" s="5" t="s">
        <v>57</v>
      </c>
      <c r="C12" s="5">
        <v>43</v>
      </c>
      <c r="D12" s="5" t="s">
        <v>26</v>
      </c>
    </row>
    <row r="13" spans="1:4" ht="15.6" x14ac:dyDescent="0.35">
      <c r="A13" s="17" t="s">
        <v>20</v>
      </c>
      <c r="B13" s="5" t="s">
        <v>58</v>
      </c>
      <c r="C13" s="5">
        <v>2.2000000000000002</v>
      </c>
      <c r="D13" s="5" t="s">
        <v>26</v>
      </c>
    </row>
    <row r="14" spans="1:4" ht="16.2" x14ac:dyDescent="0.3">
      <c r="A14" s="17" t="s">
        <v>45</v>
      </c>
      <c r="B14" s="5" t="s">
        <v>46</v>
      </c>
      <c r="C14" s="5">
        <v>9.81</v>
      </c>
      <c r="D14" s="5" t="s">
        <v>92</v>
      </c>
    </row>
    <row r="15" spans="1:4" x14ac:dyDescent="0.3">
      <c r="A15" s="19" t="s">
        <v>9</v>
      </c>
      <c r="B15" s="6" t="s">
        <v>8</v>
      </c>
      <c r="C15" s="6">
        <v>2800</v>
      </c>
      <c r="D15" s="6" t="s">
        <v>21</v>
      </c>
    </row>
    <row r="16" spans="1:4" ht="15.6" x14ac:dyDescent="0.35">
      <c r="A16" s="17" t="s">
        <v>27</v>
      </c>
      <c r="B16" s="5" t="s">
        <v>63</v>
      </c>
      <c r="C16" s="5">
        <v>1.8</v>
      </c>
      <c r="D16" s="5" t="s">
        <v>21</v>
      </c>
    </row>
    <row r="17" spans="1:4" ht="15.6" x14ac:dyDescent="0.35">
      <c r="A17" s="17" t="s">
        <v>28</v>
      </c>
      <c r="B17" s="5" t="s">
        <v>64</v>
      </c>
      <c r="C17" s="5">
        <v>1.8</v>
      </c>
      <c r="D17" s="5" t="s">
        <v>21</v>
      </c>
    </row>
    <row r="18" spans="1:4" ht="15.6" x14ac:dyDescent="0.35">
      <c r="A18" s="17" t="s">
        <v>29</v>
      </c>
      <c r="B18" s="5" t="s">
        <v>65</v>
      </c>
      <c r="C18" s="5">
        <v>0</v>
      </c>
      <c r="D18" s="7" t="s">
        <v>95</v>
      </c>
    </row>
    <row r="19" spans="1:4" x14ac:dyDescent="0.3">
      <c r="A19" s="17" t="s">
        <v>31</v>
      </c>
      <c r="B19" s="5" t="s">
        <v>55</v>
      </c>
      <c r="C19" s="5">
        <f>C17/C16</f>
        <v>1</v>
      </c>
      <c r="D19" s="5" t="s">
        <v>40</v>
      </c>
    </row>
    <row r="20" spans="1:4" x14ac:dyDescent="0.3">
      <c r="A20" s="17" t="s">
        <v>32</v>
      </c>
      <c r="B20" s="5" t="s">
        <v>54</v>
      </c>
      <c r="C20" s="12">
        <f>C2*C2/C5</f>
        <v>6.48</v>
      </c>
      <c r="D20" s="5" t="s">
        <v>40</v>
      </c>
    </row>
    <row r="21" spans="1:4" ht="15.6" x14ac:dyDescent="0.35">
      <c r="A21" s="17" t="s">
        <v>33</v>
      </c>
      <c r="B21" s="5" t="s">
        <v>67</v>
      </c>
      <c r="C21" s="12">
        <f>2*C16*(1+C19+C19^2)/(3+3*C19)</f>
        <v>1.8</v>
      </c>
      <c r="D21" s="5" t="s">
        <v>21</v>
      </c>
    </row>
    <row r="22" spans="1:4" ht="15.6" x14ac:dyDescent="0.35">
      <c r="A22" s="17" t="s">
        <v>30</v>
      </c>
      <c r="B22" s="5" t="s">
        <v>68</v>
      </c>
      <c r="C22" s="11">
        <f>C2*TAN(RADIANS(C18))*(1+2*C19)/(6+6*C19)</f>
        <v>0</v>
      </c>
      <c r="D22" s="5" t="s">
        <v>21</v>
      </c>
    </row>
    <row r="23" spans="1:4" ht="16.2" x14ac:dyDescent="0.3">
      <c r="A23" s="17" t="s">
        <v>34</v>
      </c>
      <c r="B23" s="8" t="s">
        <v>56</v>
      </c>
      <c r="C23" s="5">
        <v>1.2250000000000001</v>
      </c>
      <c r="D23" s="5" t="s">
        <v>93</v>
      </c>
    </row>
    <row r="24" spans="1:4" ht="15.6" x14ac:dyDescent="0.35">
      <c r="A24" s="17" t="s">
        <v>36</v>
      </c>
      <c r="B24" s="5" t="s">
        <v>69</v>
      </c>
      <c r="C24" s="5">
        <v>3000000</v>
      </c>
      <c r="D24" s="5" t="s">
        <v>40</v>
      </c>
    </row>
    <row r="25" spans="1:4" ht="15.6" x14ac:dyDescent="0.35">
      <c r="A25" s="17" t="s">
        <v>37</v>
      </c>
      <c r="B25" s="5" t="s">
        <v>70</v>
      </c>
      <c r="C25" s="5">
        <v>1.526</v>
      </c>
      <c r="D25" s="5" t="s">
        <v>40</v>
      </c>
    </row>
    <row r="26" spans="1:4" ht="16.2" x14ac:dyDescent="0.3">
      <c r="A26" s="17" t="s">
        <v>35</v>
      </c>
      <c r="B26" s="8" t="s">
        <v>72</v>
      </c>
      <c r="C26" s="5">
        <f>1.4607*10^-5</f>
        <v>1.4607000000000003E-5</v>
      </c>
      <c r="D26" s="5" t="s">
        <v>94</v>
      </c>
    </row>
    <row r="27" spans="1:4" ht="15.6" x14ac:dyDescent="0.35">
      <c r="A27" s="17" t="s">
        <v>41</v>
      </c>
      <c r="B27" s="5" t="s">
        <v>71</v>
      </c>
      <c r="C27" s="13">
        <f>SQRT(2*C7*C14/C23/C5/C25)</f>
        <v>20.489633302875323</v>
      </c>
      <c r="D27" s="5" t="s">
        <v>26</v>
      </c>
    </row>
    <row r="28" spans="1:4" x14ac:dyDescent="0.3">
      <c r="A28" s="17" t="s">
        <v>38</v>
      </c>
      <c r="B28" s="5" t="s">
        <v>39</v>
      </c>
      <c r="C28" s="14">
        <f>C27*C21/C26</f>
        <v>2524908.6017098362</v>
      </c>
      <c r="D28" s="5" t="s">
        <v>40</v>
      </c>
    </row>
    <row r="29" spans="1:4" ht="15.6" x14ac:dyDescent="0.35">
      <c r="A29" s="17" t="s">
        <v>42</v>
      </c>
      <c r="B29" s="5" t="s">
        <v>73</v>
      </c>
      <c r="C29" s="5">
        <v>0.245</v>
      </c>
      <c r="D29" s="5" t="s">
        <v>40</v>
      </c>
    </row>
    <row r="30" spans="1:4" ht="15.6" x14ac:dyDescent="0.35">
      <c r="A30" s="17" t="s">
        <v>43</v>
      </c>
      <c r="B30" s="5" t="s">
        <v>74</v>
      </c>
      <c r="C30" s="5">
        <v>-8.7999999999999995E-2</v>
      </c>
      <c r="D30" s="5" t="s">
        <v>40</v>
      </c>
    </row>
    <row r="31" spans="1:4" ht="15.6" x14ac:dyDescent="0.35">
      <c r="A31" s="17" t="s">
        <v>47</v>
      </c>
      <c r="B31" s="5" t="s">
        <v>75</v>
      </c>
      <c r="C31" s="5">
        <v>-9.6000000000000002E-2</v>
      </c>
      <c r="D31" s="5" t="s">
        <v>40</v>
      </c>
    </row>
    <row r="32" spans="1:4" ht="15.6" x14ac:dyDescent="0.35">
      <c r="A32" s="19" t="s">
        <v>44</v>
      </c>
      <c r="B32" s="6" t="s">
        <v>76</v>
      </c>
      <c r="C32" s="16">
        <v>5.8315999999999999</v>
      </c>
      <c r="D32" s="6" t="s">
        <v>89</v>
      </c>
    </row>
    <row r="33" spans="1:4" ht="15.6" x14ac:dyDescent="0.35">
      <c r="A33" s="17" t="s">
        <v>230</v>
      </c>
      <c r="B33" s="5" t="s">
        <v>88</v>
      </c>
      <c r="C33" s="11">
        <f>MIN('projekty 2 i 3'!C3:C50)</f>
        <v>5.6379594653654698E-3</v>
      </c>
      <c r="D33" s="5" t="s">
        <v>40</v>
      </c>
    </row>
    <row r="34" spans="1:4" ht="15.6" x14ac:dyDescent="0.35">
      <c r="A34" s="17" t="s">
        <v>231</v>
      </c>
      <c r="B34" s="5" t="s">
        <v>86</v>
      </c>
      <c r="C34" s="11">
        <f>'projekty 2 i 3'!B27</f>
        <v>0.31724077578174897</v>
      </c>
      <c r="D34" s="5" t="s">
        <v>40</v>
      </c>
    </row>
    <row r="35" spans="1:4" ht="15.6" x14ac:dyDescent="0.35">
      <c r="A35" s="17" t="s">
        <v>229</v>
      </c>
      <c r="B35" s="5" t="s">
        <v>87</v>
      </c>
      <c r="C35" s="11">
        <f>C33*(C28/10^7)^0.11</f>
        <v>4.845838900418304E-3</v>
      </c>
      <c r="D35" s="5" t="s">
        <v>40</v>
      </c>
    </row>
    <row r="36" spans="1:4" ht="15.6" x14ac:dyDescent="0.35">
      <c r="A36" s="17" t="s">
        <v>227</v>
      </c>
      <c r="B36" s="5" t="s">
        <v>85</v>
      </c>
      <c r="C36" s="11">
        <f>MAX('projekty 2 i 3'!B4:B5)</f>
        <v>-0.51634527594983604</v>
      </c>
      <c r="D36" s="5" t="s">
        <v>40</v>
      </c>
    </row>
    <row r="37" spans="1:4" ht="15.6" x14ac:dyDescent="0.35">
      <c r="A37" s="17" t="s">
        <v>228</v>
      </c>
      <c r="B37" s="5" t="s">
        <v>84</v>
      </c>
      <c r="C37" s="11">
        <f>MIN('projekty 2 i 3'!J3:J44)</f>
        <v>5.1735104495950167E-3</v>
      </c>
      <c r="D37" s="5" t="s">
        <v>40</v>
      </c>
    </row>
    <row r="38" spans="1:4" ht="15.6" x14ac:dyDescent="0.35">
      <c r="A38" s="17" t="s">
        <v>223</v>
      </c>
      <c r="B38" s="5" t="s">
        <v>77</v>
      </c>
      <c r="C38" s="11">
        <f>0.5*C37</f>
        <v>2.5867552247975083E-3</v>
      </c>
      <c r="D38" s="5" t="s">
        <v>40</v>
      </c>
    </row>
    <row r="39" spans="1:4" ht="15.6" x14ac:dyDescent="0.35">
      <c r="A39" s="17" t="s">
        <v>103</v>
      </c>
      <c r="B39" s="5" t="s">
        <v>78</v>
      </c>
      <c r="C39" s="12">
        <f>DEGREES(ATAN(TAN(RADIANS(C18))+C16/2/C2*(C19-1)))</f>
        <v>0</v>
      </c>
      <c r="D39" s="5" t="s">
        <v>95</v>
      </c>
    </row>
    <row r="40" spans="1:4" ht="15.6" x14ac:dyDescent="0.35">
      <c r="A40" s="17" t="s">
        <v>98</v>
      </c>
      <c r="B40" s="5" t="s">
        <v>79</v>
      </c>
      <c r="C40" s="11">
        <f>0.023*(C20/C32)^3-0.103*(C20/C32)^2+0.25*(C20/C32)</f>
        <v>0.18217545355741521</v>
      </c>
      <c r="D40" s="5" t="s">
        <v>40</v>
      </c>
    </row>
    <row r="41" spans="1:4" ht="15.6" x14ac:dyDescent="0.35">
      <c r="A41" s="17" t="s">
        <v>99</v>
      </c>
      <c r="B41" s="5" t="s">
        <v>80</v>
      </c>
      <c r="C41" s="9">
        <f>-0.18*C19^5+1.52*C19^4-3.51*C19^3+3.5*C19^2-1.33*C19+0.17</f>
        <v>0.17</v>
      </c>
      <c r="D41" s="5" t="s">
        <v>40</v>
      </c>
    </row>
    <row r="42" spans="1:4" ht="15.6" x14ac:dyDescent="0.35">
      <c r="A42" s="17" t="s">
        <v>100</v>
      </c>
      <c r="B42" s="5" t="s">
        <v>81</v>
      </c>
      <c r="C42" s="9">
        <f>0.0537*C20/C32-0.005</f>
        <v>5.4670759311338232E-2</v>
      </c>
      <c r="D42" s="5" t="s">
        <v>40</v>
      </c>
    </row>
    <row r="43" spans="1:4" ht="15.6" x14ac:dyDescent="0.35">
      <c r="A43" s="17" t="s">
        <v>101</v>
      </c>
      <c r="B43" s="5" t="s">
        <v>82</v>
      </c>
      <c r="C43" s="9">
        <f>-0.43*C19^5+1.83*C19^4-3.06*C19^3+2.56*C19^2-C19+0.148</f>
        <v>4.8000000000000126E-2</v>
      </c>
      <c r="D43" s="5" t="s">
        <v>40</v>
      </c>
    </row>
    <row r="44" spans="1:4" ht="15.6" x14ac:dyDescent="0.35">
      <c r="A44" s="17" t="s">
        <v>102</v>
      </c>
      <c r="B44" s="5" t="s">
        <v>83</v>
      </c>
      <c r="C44" s="11">
        <f>1+C39^3*(-2.2*(10^(-7))*C20^3+(10^(-7))*C20^2+1.6*(10^(-5)))</f>
        <v>1</v>
      </c>
      <c r="D44" s="5" t="s">
        <v>40</v>
      </c>
    </row>
    <row r="45" spans="1:4" x14ac:dyDescent="0.3">
      <c r="A45" s="17" t="s">
        <v>97</v>
      </c>
      <c r="B45" s="5" t="s">
        <v>52</v>
      </c>
      <c r="C45" s="9">
        <f>C42*C43*C44/0.048</f>
        <v>5.4670759311338378E-2</v>
      </c>
      <c r="D45" s="5" t="s">
        <v>40</v>
      </c>
    </row>
    <row r="46" spans="1:4" x14ac:dyDescent="0.3">
      <c r="A46" s="17" t="s">
        <v>96</v>
      </c>
      <c r="B46" s="5" t="s">
        <v>53</v>
      </c>
      <c r="C46" s="9">
        <f>C40*C41/0.17</f>
        <v>0.18217545355741521</v>
      </c>
      <c r="D46" s="5" t="s">
        <v>40</v>
      </c>
    </row>
    <row r="47" spans="1:4" ht="15.6" x14ac:dyDescent="0.35">
      <c r="A47" s="17" t="s">
        <v>224</v>
      </c>
      <c r="B47" s="5" t="s">
        <v>104</v>
      </c>
      <c r="C47" s="11">
        <f>C32/(1+C32/PI()/C20*(1+C46))</f>
        <v>4.3563451083317934</v>
      </c>
      <c r="D47" s="5" t="s">
        <v>89</v>
      </c>
    </row>
    <row r="48" spans="1:4" ht="15.6" x14ac:dyDescent="0.35">
      <c r="A48" s="17" t="s">
        <v>225</v>
      </c>
      <c r="B48" s="5" t="s">
        <v>105</v>
      </c>
      <c r="C48" s="7">
        <v>4.3567999999999998</v>
      </c>
      <c r="D48" s="5" t="s">
        <v>89</v>
      </c>
    </row>
    <row r="49" spans="1:4" x14ac:dyDescent="0.3">
      <c r="A49" s="19" t="s">
        <v>226</v>
      </c>
      <c r="B49" s="6" t="s">
        <v>106</v>
      </c>
      <c r="C49" s="16">
        <f>ABS(C48-C47)/C48*100</f>
        <v>1.0440958230957044E-2</v>
      </c>
      <c r="D49" s="6" t="s">
        <v>107</v>
      </c>
    </row>
    <row r="50" spans="1:4" ht="15.6" x14ac:dyDescent="0.35">
      <c r="A50" s="17" t="s">
        <v>111</v>
      </c>
      <c r="B50" s="5" t="s">
        <v>110</v>
      </c>
      <c r="C50" s="5">
        <v>0.95</v>
      </c>
      <c r="D50" s="5" t="s">
        <v>22</v>
      </c>
    </row>
    <row r="51" spans="1:4" ht="15.6" x14ac:dyDescent="0.35">
      <c r="A51" s="17" t="s">
        <v>115</v>
      </c>
      <c r="B51" s="5" t="s">
        <v>116</v>
      </c>
      <c r="C51" s="5">
        <v>0.27</v>
      </c>
      <c r="D51" s="5" t="s">
        <v>40</v>
      </c>
    </row>
    <row r="52" spans="1:4" ht="16.8" x14ac:dyDescent="0.35">
      <c r="A52" s="19" t="s">
        <v>156</v>
      </c>
      <c r="B52" s="6" t="s">
        <v>162</v>
      </c>
      <c r="C52" s="6">
        <f>C51*C50</f>
        <v>0.25650000000000001</v>
      </c>
      <c r="D52" s="6" t="s">
        <v>90</v>
      </c>
    </row>
    <row r="53" spans="1:4" ht="16.8" x14ac:dyDescent="0.35">
      <c r="A53" s="20" t="s">
        <v>128</v>
      </c>
      <c r="B53" s="5" t="s">
        <v>118</v>
      </c>
      <c r="C53" s="5">
        <v>2.89</v>
      </c>
      <c r="D53" s="5" t="s">
        <v>90</v>
      </c>
    </row>
    <row r="54" spans="1:4" ht="15.6" x14ac:dyDescent="0.35">
      <c r="A54" s="20" t="s">
        <v>129</v>
      </c>
      <c r="B54" s="5" t="s">
        <v>119</v>
      </c>
      <c r="C54" s="5">
        <v>0.28000000000000003</v>
      </c>
      <c r="D54" s="5" t="s">
        <v>40</v>
      </c>
    </row>
    <row r="55" spans="1:4" ht="15.6" x14ac:dyDescent="0.35">
      <c r="A55" s="20" t="s">
        <v>130</v>
      </c>
      <c r="B55" s="5" t="s">
        <v>117</v>
      </c>
      <c r="C55" s="5">
        <v>4.6500000000000004</v>
      </c>
      <c r="D55" s="5" t="s">
        <v>21</v>
      </c>
    </row>
    <row r="56" spans="1:4" ht="16.8" x14ac:dyDescent="0.35">
      <c r="A56" s="20" t="s">
        <v>131</v>
      </c>
      <c r="B56" s="5" t="s">
        <v>121</v>
      </c>
      <c r="C56" s="5">
        <v>0.85</v>
      </c>
      <c r="D56" s="5" t="s">
        <v>40</v>
      </c>
    </row>
    <row r="57" spans="1:4" ht="15.6" x14ac:dyDescent="0.35">
      <c r="A57" s="20" t="s">
        <v>132</v>
      </c>
      <c r="B57" s="5" t="s">
        <v>120</v>
      </c>
      <c r="C57" s="5">
        <v>2.7</v>
      </c>
      <c r="D57" s="5" t="s">
        <v>21</v>
      </c>
    </row>
    <row r="58" spans="1:4" ht="15.6" x14ac:dyDescent="0.35">
      <c r="A58" s="17" t="s">
        <v>140</v>
      </c>
      <c r="B58" s="5" t="s">
        <v>127</v>
      </c>
      <c r="C58" s="5">
        <v>5.7999999999999996E-3</v>
      </c>
      <c r="D58" s="5" t="s">
        <v>40</v>
      </c>
    </row>
    <row r="59" spans="1:4" ht="15.6" x14ac:dyDescent="0.35">
      <c r="A59" s="17" t="s">
        <v>137</v>
      </c>
      <c r="B59" s="5" t="s">
        <v>126</v>
      </c>
      <c r="C59" s="5">
        <v>5.4999999999999997E-3</v>
      </c>
      <c r="D59" s="5" t="s">
        <v>40</v>
      </c>
    </row>
    <row r="60" spans="1:4" ht="15.6" x14ac:dyDescent="0.35">
      <c r="A60" s="17" t="s">
        <v>133</v>
      </c>
      <c r="B60" s="5" t="s">
        <v>124</v>
      </c>
      <c r="C60" s="12">
        <f>C57^2/C53</f>
        <v>2.5224913494809691</v>
      </c>
      <c r="D60" s="5" t="s">
        <v>40</v>
      </c>
    </row>
    <row r="61" spans="1:4" ht="15.6" x14ac:dyDescent="0.35">
      <c r="A61" s="17" t="s">
        <v>134</v>
      </c>
      <c r="B61" s="5" t="s">
        <v>122</v>
      </c>
      <c r="C61" s="5">
        <v>0.8</v>
      </c>
      <c r="D61" s="5" t="s">
        <v>40</v>
      </c>
    </row>
    <row r="62" spans="1:4" ht="15.6" x14ac:dyDescent="0.35">
      <c r="A62" s="17" t="s">
        <v>135</v>
      </c>
      <c r="B62" s="5" t="s">
        <v>123</v>
      </c>
      <c r="C62" s="12">
        <f>C61*C60</f>
        <v>2.0179930795847754</v>
      </c>
      <c r="D62" s="5" t="s">
        <v>40</v>
      </c>
    </row>
    <row r="63" spans="1:4" ht="15.6" x14ac:dyDescent="0.35">
      <c r="A63" s="19" t="s">
        <v>136</v>
      </c>
      <c r="B63" s="6" t="s">
        <v>125</v>
      </c>
      <c r="C63" s="16">
        <f>C53*C55/C5/C21*C56</f>
        <v>0.35255324074074074</v>
      </c>
      <c r="D63" s="6" t="s">
        <v>40</v>
      </c>
    </row>
    <row r="64" spans="1:4" ht="16.8" x14ac:dyDescent="0.35">
      <c r="A64" s="17" t="s">
        <v>138</v>
      </c>
      <c r="B64" s="7" t="s">
        <v>143</v>
      </c>
      <c r="C64" s="5">
        <v>0.8</v>
      </c>
      <c r="D64" s="5" t="s">
        <v>90</v>
      </c>
    </row>
    <row r="65" spans="1:4" ht="15.6" x14ac:dyDescent="0.35">
      <c r="A65" s="17" t="s">
        <v>139</v>
      </c>
      <c r="B65" s="5" t="s">
        <v>141</v>
      </c>
      <c r="C65" s="5">
        <f>C58</f>
        <v>5.7999999999999996E-3</v>
      </c>
      <c r="D65" s="5" t="s">
        <v>40</v>
      </c>
    </row>
    <row r="66" spans="1:4" ht="15.6" x14ac:dyDescent="0.35">
      <c r="A66" s="17" t="s">
        <v>137</v>
      </c>
      <c r="B66" s="5" t="s">
        <v>142</v>
      </c>
      <c r="C66" s="5">
        <f>C59</f>
        <v>5.4999999999999997E-3</v>
      </c>
      <c r="D66" s="5" t="s">
        <v>40</v>
      </c>
    </row>
    <row r="67" spans="1:4" ht="15.6" x14ac:dyDescent="0.35">
      <c r="A67" s="17" t="s">
        <v>144</v>
      </c>
      <c r="B67" s="5" t="s">
        <v>145</v>
      </c>
      <c r="C67" s="5">
        <f>C65+C66</f>
        <v>1.1299999999999999E-2</v>
      </c>
      <c r="D67" s="5" t="s">
        <v>40</v>
      </c>
    </row>
    <row r="68" spans="1:4" ht="16.8" x14ac:dyDescent="0.35">
      <c r="A68" s="19" t="s">
        <v>157</v>
      </c>
      <c r="B68" s="6" t="s">
        <v>160</v>
      </c>
      <c r="C68" s="6">
        <f>C67*C64</f>
        <v>9.0399999999999994E-3</v>
      </c>
      <c r="D68" s="6" t="s">
        <v>90</v>
      </c>
    </row>
    <row r="69" spans="1:4" ht="16.8" x14ac:dyDescent="0.35">
      <c r="A69" s="17" t="s">
        <v>250</v>
      </c>
      <c r="B69" s="5" t="s">
        <v>251</v>
      </c>
      <c r="C69" s="5">
        <v>0.44</v>
      </c>
      <c r="D69" s="5" t="s">
        <v>90</v>
      </c>
    </row>
    <row r="70" spans="1:4" ht="15.6" x14ac:dyDescent="0.35">
      <c r="A70" s="17" t="s">
        <v>258</v>
      </c>
      <c r="B70" s="5" t="s">
        <v>256</v>
      </c>
      <c r="C70" s="5">
        <v>20.399999999999999</v>
      </c>
      <c r="D70" s="5" t="s">
        <v>260</v>
      </c>
    </row>
    <row r="71" spans="1:4" ht="16.8" x14ac:dyDescent="0.35">
      <c r="A71" s="17" t="s">
        <v>257</v>
      </c>
      <c r="B71" s="5" t="s">
        <v>255</v>
      </c>
      <c r="C71" s="5">
        <v>0.62</v>
      </c>
      <c r="D71" s="5" t="s">
        <v>90</v>
      </c>
    </row>
    <row r="72" spans="1:4" ht="15.6" x14ac:dyDescent="0.35">
      <c r="A72" s="17" t="s">
        <v>259</v>
      </c>
      <c r="B72" s="5" t="s">
        <v>254</v>
      </c>
      <c r="C72" s="5">
        <f>161*1000/3600</f>
        <v>44.722222222222221</v>
      </c>
      <c r="D72" s="5" t="s">
        <v>26</v>
      </c>
    </row>
    <row r="73" spans="1:4" ht="15.6" x14ac:dyDescent="0.35">
      <c r="A73" s="17" t="s">
        <v>146</v>
      </c>
      <c r="B73" s="5" t="s">
        <v>252</v>
      </c>
      <c r="C73" s="5">
        <f>C70*C14/C71/C23/0.5/C72^2</f>
        <v>0.26348423892630263</v>
      </c>
      <c r="D73" s="5" t="s">
        <v>40</v>
      </c>
    </row>
    <row r="74" spans="1:4" ht="16.8" x14ac:dyDescent="0.35">
      <c r="A74" s="19" t="s">
        <v>158</v>
      </c>
      <c r="B74" s="6" t="s">
        <v>253</v>
      </c>
      <c r="C74" s="6">
        <f>C69*C73*2</f>
        <v>0.23186613025514632</v>
      </c>
      <c r="D74" s="6" t="s">
        <v>90</v>
      </c>
    </row>
    <row r="75" spans="1:4" ht="15.6" x14ac:dyDescent="0.35">
      <c r="A75" s="17" t="s">
        <v>262</v>
      </c>
      <c r="B75" s="5" t="s">
        <v>270</v>
      </c>
      <c r="C75" s="5">
        <v>1.8</v>
      </c>
      <c r="D75" s="5" t="s">
        <v>21</v>
      </c>
    </row>
    <row r="76" spans="1:4" ht="15.6" x14ac:dyDescent="0.35">
      <c r="A76" s="17" t="s">
        <v>261</v>
      </c>
      <c r="B76" s="5" t="s">
        <v>271</v>
      </c>
      <c r="C76" s="5">
        <v>8.5000000000000006E-2</v>
      </c>
      <c r="D76" s="5" t="s">
        <v>21</v>
      </c>
    </row>
    <row r="77" spans="1:4" ht="16.8" x14ac:dyDescent="0.35">
      <c r="A77" s="17" t="s">
        <v>264</v>
      </c>
      <c r="B77" s="5" t="s">
        <v>272</v>
      </c>
      <c r="C77" s="5">
        <f>4*C75*C76</f>
        <v>0.6120000000000001</v>
      </c>
      <c r="D77" s="5" t="s">
        <v>90</v>
      </c>
    </row>
    <row r="78" spans="1:4" ht="15.6" x14ac:dyDescent="0.35">
      <c r="A78" s="17" t="s">
        <v>263</v>
      </c>
      <c r="B78" s="5" t="s">
        <v>273</v>
      </c>
      <c r="C78" s="5">
        <v>6.7000000000000004E-2</v>
      </c>
    </row>
    <row r="79" spans="1:4" ht="15.6" x14ac:dyDescent="0.35">
      <c r="A79" s="17" t="s">
        <v>266</v>
      </c>
      <c r="B79" s="5" t="s">
        <v>274</v>
      </c>
      <c r="C79" s="5">
        <v>0.5</v>
      </c>
      <c r="D79" s="5" t="s">
        <v>21</v>
      </c>
    </row>
    <row r="80" spans="1:4" ht="15.6" x14ac:dyDescent="0.35">
      <c r="A80" s="17" t="s">
        <v>267</v>
      </c>
      <c r="B80" s="5" t="s">
        <v>275</v>
      </c>
      <c r="C80" s="5">
        <v>0.05</v>
      </c>
      <c r="D80" s="5" t="s">
        <v>21</v>
      </c>
    </row>
    <row r="81" spans="1:4" ht="16.8" x14ac:dyDescent="0.35">
      <c r="A81" s="17" t="s">
        <v>268</v>
      </c>
      <c r="B81" s="5" t="s">
        <v>276</v>
      </c>
      <c r="C81" s="5">
        <f>2*C80*C79</f>
        <v>0.05</v>
      </c>
      <c r="D81" s="5" t="s">
        <v>90</v>
      </c>
    </row>
    <row r="82" spans="1:4" ht="15.6" x14ac:dyDescent="0.35">
      <c r="A82" s="17" t="s">
        <v>269</v>
      </c>
      <c r="B82" s="5" t="s">
        <v>277</v>
      </c>
      <c r="C82" s="5">
        <v>7.1999999999999995E-2</v>
      </c>
    </row>
    <row r="83" spans="1:4" ht="16.8" x14ac:dyDescent="0.35">
      <c r="A83" s="19" t="s">
        <v>265</v>
      </c>
      <c r="B83" s="6" t="s">
        <v>155</v>
      </c>
      <c r="C83" s="6">
        <f>C82*C81+C77*C78</f>
        <v>4.4604000000000005E-2</v>
      </c>
      <c r="D83" s="6" t="s">
        <v>90</v>
      </c>
    </row>
    <row r="84" spans="1:4" ht="15.6" x14ac:dyDescent="0.35">
      <c r="A84" s="17" t="s">
        <v>147</v>
      </c>
      <c r="B84" s="5" t="s">
        <v>150</v>
      </c>
      <c r="C84" s="5">
        <v>1</v>
      </c>
      <c r="D84" s="5" t="s">
        <v>21</v>
      </c>
    </row>
    <row r="85" spans="1:4" ht="15.6" x14ac:dyDescent="0.35">
      <c r="A85" s="17" t="s">
        <v>148</v>
      </c>
      <c r="B85" s="5" t="s">
        <v>151</v>
      </c>
      <c r="C85" s="5">
        <v>5.0000000000000001E-3</v>
      </c>
      <c r="D85" s="5" t="s">
        <v>21</v>
      </c>
    </row>
    <row r="86" spans="1:4" ht="16.8" x14ac:dyDescent="0.35">
      <c r="A86" s="17" t="s">
        <v>278</v>
      </c>
      <c r="B86" s="5" t="s">
        <v>152</v>
      </c>
      <c r="C86" s="5">
        <f>C85*C84*2</f>
        <v>0.01</v>
      </c>
      <c r="D86" s="5" t="s">
        <v>90</v>
      </c>
    </row>
    <row r="87" spans="1:4" ht="15.6" x14ac:dyDescent="0.35">
      <c r="A87" s="17" t="s">
        <v>149</v>
      </c>
      <c r="B87" s="5" t="s">
        <v>153</v>
      </c>
      <c r="C87" s="5">
        <v>1.1000000000000001</v>
      </c>
      <c r="D87" s="5" t="s">
        <v>40</v>
      </c>
    </row>
    <row r="88" spans="1:4" ht="16.8" x14ac:dyDescent="0.35">
      <c r="A88" s="17" t="s">
        <v>159</v>
      </c>
      <c r="B88" s="5" t="s">
        <v>161</v>
      </c>
      <c r="C88" s="5">
        <f>C87*C86</f>
        <v>1.1000000000000001E-2</v>
      </c>
      <c r="D88" s="5" t="s">
        <v>90</v>
      </c>
    </row>
    <row r="89" spans="1:4" ht="16.8" x14ac:dyDescent="0.35">
      <c r="A89" s="21" t="s">
        <v>154</v>
      </c>
      <c r="B89" s="22" t="s">
        <v>155</v>
      </c>
      <c r="C89" s="23">
        <f>C88+C74+C68+C52+C83</f>
        <v>0.55301013025514634</v>
      </c>
      <c r="D89" s="22" t="s">
        <v>90</v>
      </c>
    </row>
    <row r="90" spans="1:4" ht="15.6" x14ac:dyDescent="0.35">
      <c r="A90" s="17" t="s">
        <v>167</v>
      </c>
      <c r="B90" s="5" t="s">
        <v>168</v>
      </c>
      <c r="C90" s="10">
        <f>C89/C5</f>
        <v>3.0722785014174796E-2</v>
      </c>
      <c r="D90" s="5" t="s">
        <v>40</v>
      </c>
    </row>
    <row r="91" spans="1:4" x14ac:dyDescent="0.3">
      <c r="A91" s="17" t="s">
        <v>163</v>
      </c>
      <c r="B91" s="7" t="s">
        <v>165</v>
      </c>
      <c r="C91" s="5">
        <v>4</v>
      </c>
      <c r="D91" s="5" t="s">
        <v>40</v>
      </c>
    </row>
    <row r="92" spans="1:4" ht="15.6" x14ac:dyDescent="0.35">
      <c r="A92" s="19" t="s">
        <v>166</v>
      </c>
      <c r="B92" s="24" t="s">
        <v>164</v>
      </c>
      <c r="C92" s="6">
        <v>0.06</v>
      </c>
      <c r="D92" s="6" t="s">
        <v>40</v>
      </c>
    </row>
    <row r="93" spans="1:4" ht="15.6" x14ac:dyDescent="0.35">
      <c r="A93" s="17" t="s">
        <v>189</v>
      </c>
      <c r="B93" s="5" t="s">
        <v>173</v>
      </c>
      <c r="C93" s="5">
        <v>4.58E-2</v>
      </c>
      <c r="D93" s="5" t="s">
        <v>40</v>
      </c>
    </row>
    <row r="94" spans="1:4" ht="16.2" x14ac:dyDescent="0.3">
      <c r="A94" s="17" t="s">
        <v>190</v>
      </c>
      <c r="B94" s="5" t="s">
        <v>174</v>
      </c>
      <c r="C94" s="5">
        <v>6.9400000000000003E-2</v>
      </c>
      <c r="D94" s="5" t="s">
        <v>40</v>
      </c>
    </row>
    <row r="95" spans="1:4" ht="15.6" x14ac:dyDescent="0.35">
      <c r="A95" s="17" t="s">
        <v>187</v>
      </c>
      <c r="B95" s="5" t="s">
        <v>279</v>
      </c>
      <c r="C95" s="12">
        <f>1/PI()/C94</f>
        <v>4.5865977836281075</v>
      </c>
      <c r="D95" s="5" t="s">
        <v>40</v>
      </c>
    </row>
    <row r="96" spans="1:4" x14ac:dyDescent="0.3">
      <c r="A96" s="17" t="s">
        <v>186</v>
      </c>
      <c r="B96" s="5" t="s">
        <v>172</v>
      </c>
      <c r="C96" s="12">
        <f>C95/C20</f>
        <v>0.70780829994260919</v>
      </c>
      <c r="D96" s="5" t="s">
        <v>40</v>
      </c>
    </row>
    <row r="97" spans="1:4" ht="15.6" x14ac:dyDescent="0.35">
      <c r="A97" s="17" t="s">
        <v>188</v>
      </c>
      <c r="B97" s="5" t="s">
        <v>175</v>
      </c>
      <c r="C97" s="10">
        <f>MIN('projekty 2 i 3'!$R$3:$R$44)</f>
        <v>4.4774472356443627E-2</v>
      </c>
      <c r="D97" s="5" t="s">
        <v>40</v>
      </c>
    </row>
    <row r="98" spans="1:4" x14ac:dyDescent="0.3">
      <c r="A98" s="19" t="s">
        <v>191</v>
      </c>
      <c r="B98" s="6" t="s">
        <v>106</v>
      </c>
      <c r="C98" s="16">
        <f>ABS(C97-C93)/C97*100</f>
        <v>2.2904293218517098</v>
      </c>
      <c r="D98" s="6" t="s">
        <v>107</v>
      </c>
    </row>
    <row r="99" spans="1:4" ht="15.6" x14ac:dyDescent="0.35">
      <c r="A99" s="17" t="s">
        <v>183</v>
      </c>
      <c r="B99" s="5" t="s">
        <v>182</v>
      </c>
      <c r="C99" s="5">
        <f>C6+80</f>
        <v>520</v>
      </c>
      <c r="D99" s="5" t="s">
        <v>23</v>
      </c>
    </row>
    <row r="100" spans="1:4" ht="15.6" x14ac:dyDescent="0.35">
      <c r="A100" s="17" t="s">
        <v>184</v>
      </c>
      <c r="B100" s="5" t="s">
        <v>181</v>
      </c>
      <c r="C100" s="5">
        <f>(C99+C7)/2</f>
        <v>620</v>
      </c>
      <c r="D100" s="5" t="s">
        <v>23</v>
      </c>
    </row>
    <row r="101" spans="1:4" x14ac:dyDescent="0.3">
      <c r="A101" s="17" t="s">
        <v>178</v>
      </c>
      <c r="B101" s="5" t="s">
        <v>179</v>
      </c>
      <c r="C101" s="5">
        <v>500</v>
      </c>
      <c r="D101" s="5" t="s">
        <v>21</v>
      </c>
    </row>
    <row r="102" spans="1:4" ht="16.8" x14ac:dyDescent="0.35">
      <c r="A102" s="17" t="s">
        <v>185</v>
      </c>
      <c r="B102" s="5" t="s">
        <v>180</v>
      </c>
      <c r="C102" s="11">
        <f>C23*(1-C101/44300)^4.256</f>
        <v>1.1672278579185458</v>
      </c>
      <c r="D102" s="5" t="s">
        <v>93</v>
      </c>
    </row>
    <row r="103" spans="1:4" ht="15.6" x14ac:dyDescent="0.35">
      <c r="A103" s="17" t="s">
        <v>210</v>
      </c>
      <c r="B103" s="5" t="s">
        <v>209</v>
      </c>
      <c r="C103" s="5">
        <f>1.2*C12</f>
        <v>51.6</v>
      </c>
      <c r="D103" s="5" t="s">
        <v>26</v>
      </c>
    </row>
    <row r="104" spans="1:4" ht="15.6" x14ac:dyDescent="0.35">
      <c r="A104" s="19" t="s">
        <v>211</v>
      </c>
      <c r="B104" s="6" t="s">
        <v>198</v>
      </c>
      <c r="C104" s="16">
        <f ca="1">MIN('projekt 4'!G3:G22)</f>
        <v>6.3641580324855465</v>
      </c>
      <c r="D104" s="32" t="s">
        <v>95</v>
      </c>
    </row>
    <row r="105" spans="1:4" x14ac:dyDescent="0.3">
      <c r="A105" s="17" t="s">
        <v>222</v>
      </c>
      <c r="B105" s="5" t="s">
        <v>220</v>
      </c>
      <c r="C105" s="5">
        <v>0.14000000000000001</v>
      </c>
      <c r="D105" s="5" t="s">
        <v>40</v>
      </c>
    </row>
    <row r="106" spans="1:4" ht="15.6" x14ac:dyDescent="0.35">
      <c r="A106" s="17" t="s">
        <v>221</v>
      </c>
      <c r="B106" s="5" t="s">
        <v>245</v>
      </c>
      <c r="C106" s="5">
        <f>C9*(C102/C23-C105)/(1-C105)</f>
        <v>55764.540690265014</v>
      </c>
      <c r="D106" s="5" t="s">
        <v>24</v>
      </c>
    </row>
    <row r="107" spans="1:4" ht="15.6" x14ac:dyDescent="0.35">
      <c r="A107" s="17" t="s">
        <v>217</v>
      </c>
      <c r="B107" s="5" t="s">
        <v>216</v>
      </c>
      <c r="C107" s="12">
        <f>C12*(C102/C106/(C10/60)^2)^(1/5)</f>
        <v>1.1801015651315416</v>
      </c>
      <c r="D107" s="5" t="s">
        <v>40</v>
      </c>
    </row>
    <row r="108" spans="1:4" x14ac:dyDescent="0.3">
      <c r="A108" s="17" t="s">
        <v>215</v>
      </c>
      <c r="B108" s="5" t="s">
        <v>212</v>
      </c>
      <c r="C108" s="5">
        <v>0.65</v>
      </c>
      <c r="D108" s="5" t="s">
        <v>40</v>
      </c>
    </row>
    <row r="109" spans="1:4" x14ac:dyDescent="0.3">
      <c r="A109" s="17" t="s">
        <v>214</v>
      </c>
      <c r="B109" s="5" t="s">
        <v>213</v>
      </c>
      <c r="C109" s="12">
        <f>C12/(C10/60)/C108</f>
        <v>1.8041958041958044</v>
      </c>
      <c r="D109" s="5" t="s">
        <v>21</v>
      </c>
    </row>
    <row r="110" spans="1:4" ht="15.6" x14ac:dyDescent="0.35">
      <c r="A110" s="17" t="s">
        <v>114</v>
      </c>
      <c r="B110" s="5" t="s">
        <v>113</v>
      </c>
      <c r="C110" s="5">
        <v>340.3</v>
      </c>
      <c r="D110" s="5" t="s">
        <v>26</v>
      </c>
    </row>
    <row r="111" spans="1:4" ht="15.6" x14ac:dyDescent="0.35">
      <c r="A111" s="19" t="s">
        <v>218</v>
      </c>
      <c r="B111" s="6" t="s">
        <v>219</v>
      </c>
      <c r="C111" s="16">
        <f>SQRT(C103^2+(PI()*(C10/60)*C109)^2)/C110</f>
        <v>0.62926335015516999</v>
      </c>
      <c r="D111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B059-EA8F-4A62-BCF0-077C1DFB2193}">
  <dimension ref="A1:AA50"/>
  <sheetViews>
    <sheetView topLeftCell="E1" zoomScaleNormal="100" workbookViewId="0">
      <selection activeCell="L93" sqref="L93"/>
    </sheetView>
  </sheetViews>
  <sheetFormatPr defaultRowHeight="15" x14ac:dyDescent="0.25"/>
  <cols>
    <col min="1" max="2" width="15.33203125" style="15" bestFit="1" customWidth="1"/>
    <col min="3" max="3" width="14.5546875" style="15" bestFit="1" customWidth="1"/>
    <col min="4" max="4" width="8.88671875" style="15"/>
    <col min="5" max="6" width="12.6640625" style="15" bestFit="1" customWidth="1"/>
    <col min="7" max="7" width="8.33203125" style="15" customWidth="1"/>
    <col min="8" max="8" width="8.88671875" style="15"/>
    <col min="9" max="9" width="8" style="15" customWidth="1"/>
    <col min="10" max="10" width="8.88671875" style="15"/>
    <col min="11" max="11" width="9" style="15" customWidth="1"/>
    <col min="12" max="18" width="8.88671875" style="15"/>
    <col min="19" max="19" width="9.77734375" style="15" bestFit="1" customWidth="1"/>
    <col min="20" max="20" width="7.88671875" style="15" customWidth="1"/>
    <col min="21" max="21" width="8.21875" style="15" customWidth="1"/>
    <col min="22" max="16384" width="8.88671875" style="15"/>
  </cols>
  <sheetData>
    <row r="1" spans="1:27" ht="10.8" customHeight="1" x14ac:dyDescent="0.25">
      <c r="A1" s="15" t="s">
        <v>249</v>
      </c>
      <c r="B1" s="15" t="s">
        <v>48</v>
      </c>
      <c r="C1" s="15" t="s">
        <v>49</v>
      </c>
      <c r="D1" s="15" t="s">
        <v>247</v>
      </c>
      <c r="E1" s="15" t="s">
        <v>50</v>
      </c>
      <c r="G1" s="98" t="s">
        <v>236</v>
      </c>
      <c r="H1" s="99"/>
      <c r="I1" s="99"/>
      <c r="J1" s="100"/>
      <c r="K1" s="98" t="s">
        <v>235</v>
      </c>
      <c r="L1" s="99"/>
      <c r="M1" s="99"/>
      <c r="N1" s="101"/>
      <c r="O1" s="102" t="s">
        <v>234</v>
      </c>
      <c r="P1" s="99"/>
      <c r="Q1" s="99"/>
      <c r="R1" s="99"/>
      <c r="S1" s="99"/>
      <c r="T1" s="99"/>
      <c r="U1" s="99"/>
      <c r="V1" s="101"/>
      <c r="W1" s="65"/>
    </row>
    <row r="2" spans="1:27" ht="10.8" customHeight="1" thickBot="1" x14ac:dyDescent="0.3">
      <c r="G2" s="33" t="s">
        <v>48</v>
      </c>
      <c r="H2" s="34" t="s">
        <v>49</v>
      </c>
      <c r="I2" s="35" t="s">
        <v>233</v>
      </c>
      <c r="J2" s="36" t="s">
        <v>51</v>
      </c>
      <c r="K2" s="33" t="s">
        <v>237</v>
      </c>
      <c r="L2" s="34" t="s">
        <v>238</v>
      </c>
      <c r="M2" s="34" t="s">
        <v>239</v>
      </c>
      <c r="N2" s="37" t="s">
        <v>240</v>
      </c>
      <c r="O2" s="38" t="s">
        <v>241</v>
      </c>
      <c r="P2" s="34" t="s">
        <v>242</v>
      </c>
      <c r="Q2" s="34" t="s">
        <v>243</v>
      </c>
      <c r="R2" s="34" t="s">
        <v>49</v>
      </c>
      <c r="S2" s="34" t="s">
        <v>244</v>
      </c>
      <c r="T2" s="34" t="s">
        <v>169</v>
      </c>
      <c r="U2" s="34" t="s">
        <v>112</v>
      </c>
      <c r="V2" s="37" t="s">
        <v>170</v>
      </c>
      <c r="W2" s="66" t="s">
        <v>246</v>
      </c>
      <c r="X2" s="15" t="s">
        <v>171</v>
      </c>
      <c r="Y2" s="15" t="s">
        <v>176</v>
      </c>
      <c r="Z2" s="15" t="s">
        <v>177</v>
      </c>
    </row>
    <row r="3" spans="1:27" ht="10.8" customHeight="1" x14ac:dyDescent="0.25">
      <c r="A3" s="15">
        <v>-10.472953400958099</v>
      </c>
      <c r="B3" s="15">
        <v>-0.67901252279814805</v>
      </c>
      <c r="C3" s="15">
        <v>1.08367237654729E-2</v>
      </c>
      <c r="D3" s="15">
        <f t="shared" ref="D3:D44" si="0">RADIANS(A3)</f>
        <v>-0.18278751925465669</v>
      </c>
      <c r="E3" s="1">
        <f>(Arkusz1!C$35-Arkusz1!C$33)*(1-ABS('projekty 2 i 3'!G3/Arkusz1!C$36))</f>
        <v>2.4954633551136274E-4</v>
      </c>
      <c r="F3" s="15">
        <f>RADIANS(L3)</f>
        <v>-0.22221825156019295</v>
      </c>
      <c r="G3" s="39">
        <f>B3</f>
        <v>-0.67901252279814805</v>
      </c>
      <c r="H3" s="40">
        <f>C3</f>
        <v>1.08367237654729E-2</v>
      </c>
      <c r="I3" s="41">
        <f>A3</f>
        <v>-10.472953400958099</v>
      </c>
      <c r="J3" s="42">
        <f>H3+E3</f>
        <v>1.1086270100984263E-2</v>
      </c>
      <c r="K3" s="43">
        <f>DEGREES(G3*(1+Arkusz1!C$46)/Arkusz1!C$20/PI())</f>
        <v>-2.2592145442173783</v>
      </c>
      <c r="L3" s="41">
        <f t="shared" ref="L3:L40" si="1">I3+K3</f>
        <v>-12.732167945175478</v>
      </c>
      <c r="M3" s="40">
        <f>G3^2*(1+Arkusz1!C$45)/Arkusz1!C$20/PI()</f>
        <v>2.3886229165259926E-2</v>
      </c>
      <c r="N3" s="44">
        <f>J3+M3+Arkusz1!C$38</f>
        <v>3.7559254491041701E-2</v>
      </c>
      <c r="O3" s="62">
        <f>Arkusz1!C$31/Arkusz1!C$63+(Arkusz1!C$54-Arkusz1!C$29)/Arkusz1!C$63*'projekty 2 i 3'!G3</f>
        <v>-0.33970879985757341</v>
      </c>
      <c r="P3" s="45">
        <f>Arkusz1!C$58+Arkusz1!C$59+1/PI()/Arkusz1!C$62*'projekty 2 i 3'!O3^2</f>
        <v>2.950304525575654E-2</v>
      </c>
      <c r="Q3" s="45">
        <f>Arkusz1!C$90*(1+1/Arkusz1!C$91*ABS('projekty 2 i 3'!G3))</f>
        <v>3.5938073954139789E-2</v>
      </c>
      <c r="R3" s="45">
        <f>(N3+Q3+P3*Arkusz1!C$53/Arkusz1!C$5)*(1+Arkusz1!C$92)</f>
        <v>8.29282586428082E-2</v>
      </c>
      <c r="S3" s="45">
        <f>O3*Arkusz1!C$53/Arkusz1!C$5</f>
        <v>-5.454213508824373E-2</v>
      </c>
      <c r="T3" s="46">
        <f>G3+S3</f>
        <v>-0.73355465788639174</v>
      </c>
      <c r="U3" s="41">
        <f>T3/R3</f>
        <v>-8.8456536998562427</v>
      </c>
      <c r="V3" s="68">
        <f>T3^3/R3^2</f>
        <v>-57.3974165471368</v>
      </c>
      <c r="W3" s="71">
        <f>I3</f>
        <v>-10.472953400958099</v>
      </c>
      <c r="X3" s="25">
        <f>T3^2</f>
        <v>0.53810243610682118</v>
      </c>
      <c r="Y3" s="15">
        <f>U3/10</f>
        <v>-0.88456536998562429</v>
      </c>
      <c r="Z3" s="15">
        <f>V3/100</f>
        <v>-0.57397416547136804</v>
      </c>
      <c r="AA3" s="15">
        <f>Arkusz1!C$32*('projekty 2 i 3'!D3-'projekty 2 i 3'!D$18)</f>
        <v>-0.70163456535841184</v>
      </c>
    </row>
    <row r="4" spans="1:27" ht="10.8" customHeight="1" x14ac:dyDescent="0.25">
      <c r="A4" s="15">
        <v>-9.7579513778133098</v>
      </c>
      <c r="B4" s="15">
        <v>-0.62011487412902699</v>
      </c>
      <c r="C4" s="15">
        <v>1.01071051682318E-2</v>
      </c>
      <c r="D4" s="15">
        <f t="shared" si="0"/>
        <v>-0.17030837979235941</v>
      </c>
      <c r="E4" s="1">
        <f>(Arkusz1!C$35-Arkusz1!C$33)*(1-ABS('projekty 2 i 3'!G4/Arkusz1!C$36))</f>
        <v>1.591919914108536E-4</v>
      </c>
      <c r="F4" s="15">
        <f t="shared" ref="F4:F44" si="2">RADIANS(L4)</f>
        <v>-0.20631888442885751</v>
      </c>
      <c r="G4" s="39">
        <f t="shared" ref="G4:G40" si="3">B4</f>
        <v>-0.62011487412902699</v>
      </c>
      <c r="H4" s="40">
        <f t="shared" ref="H4:H40" si="4">C4</f>
        <v>1.01071051682318E-2</v>
      </c>
      <c r="I4" s="41">
        <f t="shared" ref="I4:I40" si="5">A4</f>
        <v>-9.7579513778133098</v>
      </c>
      <c r="J4" s="49">
        <f t="shared" ref="J4:J40" si="6">H4+E4</f>
        <v>1.0266297159642654E-2</v>
      </c>
      <c r="K4" s="50">
        <f>DEGREES(G4*(1+Arkusz1!C$46)/Arkusz1!C$20/PI())</f>
        <v>-2.063249933807624</v>
      </c>
      <c r="L4" s="48">
        <f t="shared" si="1"/>
        <v>-11.821201311620934</v>
      </c>
      <c r="M4" s="47">
        <f>G4^2*(1+Arkusz1!C$45)/Arkusz1!C$20/PI()</f>
        <v>1.9922155417731312E-2</v>
      </c>
      <c r="N4" s="51">
        <f>J4+M4+Arkusz1!C$38</f>
        <v>3.2775207802171476E-2</v>
      </c>
      <c r="O4" s="63">
        <f>Arkusz1!C$31/Arkusz1!C$63+(Arkusz1!C$54-Arkusz1!C$29)/Arkusz1!C$63*'projekty 2 i 3'!G4</f>
        <v>-0.33386168950599066</v>
      </c>
      <c r="P4" s="52">
        <f>Arkusz1!C$58+Arkusz1!C$59+1/PI()/Arkusz1!C$62*'projekty 2 i 3'!O4^2</f>
        <v>2.8881811856570197E-2</v>
      </c>
      <c r="Q4" s="52">
        <f>Arkusz1!C$90*(1+1/Arkusz1!C$91*ABS('projekty 2 i 3'!G4))</f>
        <v>3.5485699004664334E-2</v>
      </c>
      <c r="R4" s="52">
        <f>(N4+Q4+P4*Arkusz1!C$53/Arkusz1!C$5)*(1+Arkusz1!C$92)</f>
        <v>7.727192468421358E-2</v>
      </c>
      <c r="S4" s="52">
        <f>O4*Arkusz1!C$53/Arkusz1!C$5</f>
        <v>-5.3603349037350728E-2</v>
      </c>
      <c r="T4" s="53">
        <f t="shared" ref="T4:T40" si="7">G4+S4</f>
        <v>-0.67371822316637775</v>
      </c>
      <c r="U4" s="48">
        <f t="shared" ref="U4:U40" si="8">T4/R4</f>
        <v>-8.7187969747053078</v>
      </c>
      <c r="V4" s="69">
        <f t="shared" ref="V4:V40" si="9">T4^3/R4^2</f>
        <v>-51.214321594350842</v>
      </c>
      <c r="W4" s="71">
        <f t="shared" ref="W4:W40" si="10">I4</f>
        <v>-9.7579513778133098</v>
      </c>
      <c r="X4" s="25">
        <f t="shared" ref="X4:X40" si="11">T4^2</f>
        <v>0.45389624422646119</v>
      </c>
      <c r="Y4" s="15">
        <f t="shared" ref="Y4:Y40" si="12">U4/10</f>
        <v>-0.87187969747053073</v>
      </c>
      <c r="Z4" s="15">
        <f t="shared" ref="Z4:Z40" si="13">V4/100</f>
        <v>-0.51214321594350842</v>
      </c>
      <c r="AA4" s="15">
        <f>Arkusz1!C$32*('projekty 2 i 3'!D4-'projekty 2 i 3'!D$18)</f>
        <v>-0.62886121567007902</v>
      </c>
    </row>
    <row r="5" spans="1:27" ht="10.8" customHeight="1" x14ac:dyDescent="0.25">
      <c r="A5" s="15">
        <v>-8.7991285208766996</v>
      </c>
      <c r="B5" s="15">
        <v>-0.51634527594983604</v>
      </c>
      <c r="C5" s="15">
        <v>9.1110295739924192E-3</v>
      </c>
      <c r="D5" s="15">
        <f t="shared" si="0"/>
        <v>-0.15357376399543701</v>
      </c>
      <c r="E5" s="1">
        <f>(Arkusz1!C$35-Arkusz1!C$33)*(1-ABS('projekty 2 i 3'!G5/Arkusz1!C$36))</f>
        <v>0</v>
      </c>
      <c r="F5" s="15">
        <f t="shared" si="2"/>
        <v>-0.18355829545783933</v>
      </c>
      <c r="G5" s="39">
        <f t="shared" si="3"/>
        <v>-0.51634527594983604</v>
      </c>
      <c r="H5" s="40">
        <f t="shared" si="4"/>
        <v>9.1110295739924192E-3</v>
      </c>
      <c r="I5" s="41">
        <f t="shared" si="5"/>
        <v>-8.7991285208766996</v>
      </c>
      <c r="J5" s="49">
        <f t="shared" si="6"/>
        <v>9.1110295739924192E-3</v>
      </c>
      <c r="K5" s="50">
        <f>DEGREES(G5*(1+Arkusz1!C$46)/Arkusz1!C$20/PI())</f>
        <v>-1.7179871034728829</v>
      </c>
      <c r="L5" s="48">
        <f t="shared" si="1"/>
        <v>-10.517115624349582</v>
      </c>
      <c r="M5" s="47">
        <f>G5^2*(1+Arkusz1!C$45)/Arkusz1!C$20/PI()</f>
        <v>1.3812504828252815E-2</v>
      </c>
      <c r="N5" s="51">
        <f>J5+M5+Arkusz1!C$38</f>
        <v>2.5510289627042743E-2</v>
      </c>
      <c r="O5" s="63">
        <f>Arkusz1!C$31/Arkusz1!C$63+(Arkusz1!C$54-Arkusz1!C$29)/Arkusz1!C$63*'projekty 2 i 3'!G5</f>
        <v>-0.32355988110780171</v>
      </c>
      <c r="P5" s="52">
        <f>Arkusz1!C$58+Arkusz1!C$59+1/PI()/Arkusz1!C$62*'projekty 2 i 3'!O5^2</f>
        <v>2.7813525030999188E-2</v>
      </c>
      <c r="Q5" s="52">
        <f>Arkusz1!C$90*(1+1/Arkusz1!C$91*ABS('projekty 2 i 3'!G5))</f>
        <v>3.4688676240697686E-2</v>
      </c>
      <c r="R5" s="52">
        <f>(N5+Q5+P5*Arkusz1!C$53/Arkusz1!C$5)*(1+Arkusz1!C$92)</f>
        <v>6.8544456740913903E-2</v>
      </c>
      <c r="S5" s="52">
        <f>O5*Arkusz1!C$53/Arkusz1!C$5</f>
        <v>-5.1949336466752614E-2</v>
      </c>
      <c r="T5" s="53">
        <f t="shared" si="7"/>
        <v>-0.56829461241658863</v>
      </c>
      <c r="U5" s="48">
        <f t="shared" si="8"/>
        <v>-8.2908908967597945</v>
      </c>
      <c r="V5" s="69">
        <f t="shared" si="9"/>
        <v>-39.063930542754306</v>
      </c>
      <c r="W5" s="71">
        <f t="shared" si="10"/>
        <v>-8.7991285208766996</v>
      </c>
      <c r="X5" s="25">
        <f t="shared" si="11"/>
        <v>0.32295876650172067</v>
      </c>
      <c r="Y5" s="15">
        <f t="shared" si="12"/>
        <v>-0.8290890896759795</v>
      </c>
      <c r="Z5" s="15">
        <f t="shared" si="13"/>
        <v>-0.39063930542754305</v>
      </c>
      <c r="AA5" s="15">
        <f>Arkusz1!C$32*('projekty 2 i 3'!D5-'projekty 2 i 3'!D$18)</f>
        <v>-0.53127163018874635</v>
      </c>
    </row>
    <row r="6" spans="1:27" ht="10.8" customHeight="1" x14ac:dyDescent="0.25">
      <c r="A6" s="15">
        <v>-7.8644819913413997</v>
      </c>
      <c r="B6" s="15">
        <v>-0.416116395223388</v>
      </c>
      <c r="C6" s="15">
        <v>8.0691655985771406E-3</v>
      </c>
      <c r="D6" s="15">
        <f t="shared" si="0"/>
        <v>-0.13726110471270761</v>
      </c>
      <c r="E6" s="1">
        <f>(Arkusz1!C$35-Arkusz1!C$33)*(1-ABS('projekty 2 i 3'!G6/Arkusz1!C$36))</f>
        <v>-1.5376020915270139E-4</v>
      </c>
      <c r="F6" s="15">
        <f t="shared" si="2"/>
        <v>-0.16142527494094319</v>
      </c>
      <c r="G6" s="39">
        <f t="shared" si="3"/>
        <v>-0.416116395223388</v>
      </c>
      <c r="H6" s="40">
        <f t="shared" si="4"/>
        <v>8.0691655985771406E-3</v>
      </c>
      <c r="I6" s="41">
        <f t="shared" si="5"/>
        <v>-7.8644819913413997</v>
      </c>
      <c r="J6" s="49">
        <f t="shared" si="6"/>
        <v>7.9154053894244392E-3</v>
      </c>
      <c r="K6" s="50">
        <f>DEGREES(G6*(1+Arkusz1!C$46)/Arkusz1!C$20/PI())</f>
        <v>-1.384504969513574</v>
      </c>
      <c r="L6" s="48">
        <f t="shared" si="1"/>
        <v>-9.2489869608549746</v>
      </c>
      <c r="M6" s="47">
        <f>G6^2*(1+Arkusz1!C$45)/Arkusz1!C$20/PI()</f>
        <v>8.9706039268783924E-3</v>
      </c>
      <c r="N6" s="51">
        <f>J6+M6+Arkusz1!C$38</f>
        <v>1.9472764541100342E-2</v>
      </c>
      <c r="O6" s="63">
        <f>Arkusz1!C$31/Arkusz1!C$63+(Arkusz1!C$54-Arkusz1!C$29)/Arkusz1!C$63*'projekty 2 i 3'!G6</f>
        <v>-0.31360958021692042</v>
      </c>
      <c r="P6" s="52">
        <f>Arkusz1!C$58+Arkusz1!C$59+1/PI()/Arkusz1!C$62*'projekty 2 i 3'!O6^2</f>
        <v>2.6813475245641191E-2</v>
      </c>
      <c r="Q6" s="52">
        <f>Arkusz1!C$90*(1+1/Arkusz1!C$91*ABS('projekty 2 i 3'!G6))</f>
        <v>3.391884865200518E-2</v>
      </c>
      <c r="R6" s="52">
        <f>(N6+Q6+P6*Arkusz1!C$53/Arkusz1!C$5)*(1+Arkusz1!C$92)</f>
        <v>6.1158465543997259E-2</v>
      </c>
      <c r="S6" s="52">
        <f>O6*Arkusz1!C$53/Arkusz1!C$5</f>
        <v>-5.035176037927222E-2</v>
      </c>
      <c r="T6" s="53">
        <f t="shared" si="7"/>
        <v>-0.46646815560266019</v>
      </c>
      <c r="U6" s="48">
        <f t="shared" si="8"/>
        <v>-7.6272050231064759</v>
      </c>
      <c r="V6" s="69">
        <f t="shared" si="9"/>
        <v>-27.136438116551751</v>
      </c>
      <c r="W6" s="71">
        <f t="shared" si="10"/>
        <v>-7.8644819913413997</v>
      </c>
      <c r="X6" s="25">
        <f t="shared" si="11"/>
        <v>0.21759254019134761</v>
      </c>
      <c r="Y6" s="15">
        <f t="shared" si="12"/>
        <v>-0.76272050231064759</v>
      </c>
      <c r="Z6" s="15">
        <f t="shared" si="13"/>
        <v>-0.27136438116551753</v>
      </c>
      <c r="AA6" s="15">
        <f>Arkusz1!C$32*('projekty 2 i 3'!D6-'projekty 2 i 3'!D$18)</f>
        <v>-0.43614272631558154</v>
      </c>
    </row>
    <row r="7" spans="1:27" ht="10.8" customHeight="1" x14ac:dyDescent="0.25">
      <c r="A7" s="15">
        <v>-6.9313786316402002</v>
      </c>
      <c r="B7" s="15">
        <v>-0.32298609573391701</v>
      </c>
      <c r="C7" s="15">
        <v>7.4271297615913501E-3</v>
      </c>
      <c r="D7" s="15">
        <f t="shared" si="0"/>
        <v>-0.1209753788245007</v>
      </c>
      <c r="E7" s="1">
        <f>(Arkusz1!C$35-Arkusz1!C$33)*(1-ABS('projekty 2 i 3'!G7/Arkusz1!C$36))</f>
        <v>-2.9663054975879126E-4</v>
      </c>
      <c r="F7" s="15">
        <f t="shared" si="2"/>
        <v>-0.13973140739789469</v>
      </c>
      <c r="G7" s="39">
        <f t="shared" si="3"/>
        <v>-0.32298609573391701</v>
      </c>
      <c r="H7" s="40">
        <f t="shared" si="4"/>
        <v>7.4271297615913501E-3</v>
      </c>
      <c r="I7" s="41">
        <f t="shared" si="5"/>
        <v>-6.9313786316402002</v>
      </c>
      <c r="J7" s="49">
        <f t="shared" si="6"/>
        <v>7.1304992118325587E-3</v>
      </c>
      <c r="K7" s="50">
        <f>DEGREES(G7*(1+Arkusz1!C$46)/Arkusz1!C$20/PI())</f>
        <v>-1.0746412776822529</v>
      </c>
      <c r="L7" s="48">
        <f t="shared" si="1"/>
        <v>-8.006019909322454</v>
      </c>
      <c r="M7" s="47">
        <f>G7^2*(1+Arkusz1!C$45)/Arkusz1!C$20/PI()</f>
        <v>5.4045517577143553E-3</v>
      </c>
      <c r="N7" s="51">
        <f>J7+M7+Arkusz1!C$38</f>
        <v>1.5121806194344422E-2</v>
      </c>
      <c r="O7" s="63">
        <f>Arkusz1!C$31/Arkusz1!C$63+(Arkusz1!C$54-Arkusz1!C$29)/Arkusz1!C$63*'projekty 2 i 3'!G7</f>
        <v>-0.30436399655618618</v>
      </c>
      <c r="P7" s="52">
        <f>Arkusz1!C$58+Arkusz1!C$59+1/PI()/Arkusz1!C$62*'projekty 2 i 3'!O7^2</f>
        <v>2.5912247209816365E-2</v>
      </c>
      <c r="Q7" s="52">
        <f>Arkusz1!C$90*(1+1/Arkusz1!C$91*ABS('projekty 2 i 3'!G7))</f>
        <v>3.3203543109624999E-2</v>
      </c>
      <c r="R7" s="52">
        <f>(N7+Q7+P7*Arkusz1!C$53/Arkusz1!C$5)*(1+Arkusz1!C$92)</f>
        <v>5.5634846823460454E-2</v>
      </c>
      <c r="S7" s="52">
        <f>O7*Arkusz1!C$53/Arkusz1!C$5</f>
        <v>-4.8867330558187677E-2</v>
      </c>
      <c r="T7" s="53">
        <f t="shared" si="7"/>
        <v>-0.37185342629210472</v>
      </c>
      <c r="U7" s="48">
        <f t="shared" si="8"/>
        <v>-6.683822235946181</v>
      </c>
      <c r="V7" s="69">
        <f t="shared" si="9"/>
        <v>-16.611986484041505</v>
      </c>
      <c r="W7" s="71">
        <f t="shared" si="10"/>
        <v>-6.9313786316402002</v>
      </c>
      <c r="X7" s="25">
        <f t="shared" si="11"/>
        <v>0.13827497064517774</v>
      </c>
      <c r="Y7" s="15">
        <f t="shared" si="12"/>
        <v>-0.66838222359461807</v>
      </c>
      <c r="Z7" s="15">
        <f t="shared" si="13"/>
        <v>-0.16611986484041505</v>
      </c>
      <c r="AA7" s="15">
        <f>Arkusz1!C$32*('projekty 2 i 3'!D7-'projekty 2 i 3'!D$18)</f>
        <v>-0.3411708872259141</v>
      </c>
    </row>
    <row r="8" spans="1:27" ht="10.8" customHeight="1" x14ac:dyDescent="0.25">
      <c r="A8" s="15">
        <v>-6.4524815931166097</v>
      </c>
      <c r="B8" s="15">
        <v>-0.27346749038998103</v>
      </c>
      <c r="C8" s="15">
        <v>7.1138858828931097E-3</v>
      </c>
      <c r="D8" s="15">
        <f t="shared" si="0"/>
        <v>-0.11261704872421392</v>
      </c>
      <c r="E8" s="1">
        <f>(Arkusz1!C$35-Arkusz1!C$33)*(1-ABS('projekty 2 i 3'!G8/Arkusz1!C$36))</f>
        <v>-3.7259658928201337E-4</v>
      </c>
      <c r="F8" s="15">
        <f t="shared" si="2"/>
        <v>-0.12849749723700174</v>
      </c>
      <c r="G8" s="39">
        <f t="shared" si="3"/>
        <v>-0.27346749038998103</v>
      </c>
      <c r="H8" s="40">
        <f t="shared" si="4"/>
        <v>7.1138858828931097E-3</v>
      </c>
      <c r="I8" s="41">
        <f t="shared" si="5"/>
        <v>-6.4524815931166097</v>
      </c>
      <c r="J8" s="49">
        <f t="shared" si="6"/>
        <v>6.7412892936110965E-3</v>
      </c>
      <c r="K8" s="50">
        <f>DEGREES(G8*(1+Arkusz1!C$46)/Arkusz1!C$20/PI())</f>
        <v>-0.90988267655754684</v>
      </c>
      <c r="L8" s="48">
        <f t="shared" si="1"/>
        <v>-7.3623642696741562</v>
      </c>
      <c r="M8" s="47">
        <f>G8^2*(1+Arkusz1!C$45)/Arkusz1!C$20/PI()</f>
        <v>3.8743909098682815E-3</v>
      </c>
      <c r="N8" s="51">
        <f>J8+M8+Arkusz1!C$38</f>
        <v>1.3202435428276886E-2</v>
      </c>
      <c r="O8" s="63">
        <f>Arkusz1!C$31/Arkusz1!C$63+(Arkusz1!C$54-Arkusz1!C$29)/Arkusz1!C$63*'projekty 2 i 3'!G8</f>
        <v>-0.29944799810047418</v>
      </c>
      <c r="P8" s="52">
        <f>Arkusz1!C$58+Arkusz1!C$59+1/PI()/Arkusz1!C$62*'projekty 2 i 3'!O8^2</f>
        <v>2.5444033713084097E-2</v>
      </c>
      <c r="Q8" s="52">
        <f>Arkusz1!C$90*(1+1/Arkusz1!C$91*ABS('projekty 2 i 3'!G8))</f>
        <v>3.282320574307912E-2</v>
      </c>
      <c r="R8" s="52">
        <f>(N8+Q8+P8*Arkusz1!C$53/Arkusz1!C$5)*(1+Arkusz1!C$92)</f>
        <v>5.3117471468118578E-2</v>
      </c>
      <c r="S8" s="52">
        <f>O8*Arkusz1!C$53/Arkusz1!C$5</f>
        <v>-4.8078039695020579E-2</v>
      </c>
      <c r="T8" s="53">
        <f t="shared" si="7"/>
        <v>-0.32154553008500159</v>
      </c>
      <c r="U8" s="48">
        <f t="shared" si="8"/>
        <v>-6.0534796028081859</v>
      </c>
      <c r="V8" s="69">
        <f t="shared" si="9"/>
        <v>-11.782912251918676</v>
      </c>
      <c r="W8" s="71">
        <f t="shared" si="10"/>
        <v>-6.4524815931166097</v>
      </c>
      <c r="X8" s="25">
        <f t="shared" si="11"/>
        <v>0.10339152791764467</v>
      </c>
      <c r="Y8" s="15">
        <f t="shared" si="12"/>
        <v>-0.60534796028081861</v>
      </c>
      <c r="Z8" s="15">
        <f t="shared" si="13"/>
        <v>-0.11782912251918676</v>
      </c>
      <c r="AA8" s="15">
        <f>Arkusz1!C$32*('projekty 2 i 3'!D8-'projekty 2 i 3'!D$18)</f>
        <v>-0.29242844941308177</v>
      </c>
    </row>
    <row r="9" spans="1:27" ht="10.8" customHeight="1" x14ac:dyDescent="0.25">
      <c r="A9" s="15">
        <v>-5.8784224148219399</v>
      </c>
      <c r="B9" s="15">
        <v>-0.216884596472048</v>
      </c>
      <c r="C9" s="15">
        <v>6.92431342624923E-3</v>
      </c>
      <c r="D9" s="15">
        <f t="shared" si="0"/>
        <v>-0.10259782596167877</v>
      </c>
      <c r="E9" s="1">
        <f>(Arkusz1!C$35-Arkusz1!C$33)*(1-ABS('projekty 2 i 3'!G9/Arkusz1!C$36))</f>
        <v>-4.5939988929123634E-4</v>
      </c>
      <c r="F9" s="15">
        <f t="shared" si="2"/>
        <v>-0.11519246623346921</v>
      </c>
      <c r="G9" s="39">
        <f t="shared" si="3"/>
        <v>-0.216884596472048</v>
      </c>
      <c r="H9" s="40">
        <f t="shared" si="4"/>
        <v>6.92431342624923E-3</v>
      </c>
      <c r="I9" s="41">
        <f t="shared" si="5"/>
        <v>-5.8784224148219399</v>
      </c>
      <c r="J9" s="49">
        <f t="shared" si="6"/>
        <v>6.4649135369579938E-3</v>
      </c>
      <c r="K9" s="50">
        <f>DEGREES(G9*(1+Arkusz1!C$46)/Arkusz1!C$20/PI())</f>
        <v>-0.72161973205909247</v>
      </c>
      <c r="L9" s="48">
        <f t="shared" si="1"/>
        <v>-6.600042146881032</v>
      </c>
      <c r="M9" s="47">
        <f>G9^2*(1+Arkusz1!C$45)/Arkusz1!C$20/PI()</f>
        <v>2.4369658556037117E-3</v>
      </c>
      <c r="N9" s="51">
        <f>J9+M9+Arkusz1!C$38</f>
        <v>1.1488634617359213E-2</v>
      </c>
      <c r="O9" s="63">
        <f>Arkusz1!C$31/Arkusz1!C$63+(Arkusz1!C$54-Arkusz1!C$29)/Arkusz1!C$63*'projekty 2 i 3'!G9</f>
        <v>-0.29383068684567848</v>
      </c>
      <c r="P9" s="52">
        <f>Arkusz1!C$58+Arkusz1!C$59+1/PI()/Arkusz1!C$62*'projekty 2 i 3'!O9^2</f>
        <v>2.4918358270529968E-2</v>
      </c>
      <c r="Q9" s="52">
        <f>Arkusz1!C$90*(1+1/Arkusz1!C$91*ABS('projekty 2 i 3'!G9))</f>
        <v>3.2388609721748993E-2</v>
      </c>
      <c r="R9" s="52">
        <f>(N9+Q9+P9*Arkusz1!C$53/Arkusz1!C$5)*(1+Arkusz1!C$92)</f>
        <v>5.0750706706451452E-2</v>
      </c>
      <c r="S9" s="52">
        <f>O9*Arkusz1!C$53/Arkusz1!C$5</f>
        <v>-4.7176149165778378E-2</v>
      </c>
      <c r="T9" s="53">
        <f t="shared" si="7"/>
        <v>-0.26406074563782639</v>
      </c>
      <c r="U9" s="48">
        <f t="shared" si="8"/>
        <v>-5.2030949473312234</v>
      </c>
      <c r="V9" s="69">
        <f t="shared" si="9"/>
        <v>-7.1487045340451454</v>
      </c>
      <c r="W9" s="71">
        <f t="shared" si="10"/>
        <v>-5.8784224148219399</v>
      </c>
      <c r="X9" s="25">
        <f t="shared" si="11"/>
        <v>6.9728077386804851E-2</v>
      </c>
      <c r="Y9" s="15">
        <f t="shared" si="12"/>
        <v>-0.52030949473312238</v>
      </c>
      <c r="Z9" s="15">
        <f t="shared" si="13"/>
        <v>-7.1487045340451458E-2</v>
      </c>
      <c r="AA9" s="15">
        <f>Arkusz1!C$32*('projekty 2 i 3'!D9-'projekty 2 i 3'!D$18)</f>
        <v>-0.23400034995108177</v>
      </c>
    </row>
    <row r="10" spans="1:27" ht="10.8" customHeight="1" x14ac:dyDescent="0.25">
      <c r="A10" s="15">
        <v>-5.4710255786128199</v>
      </c>
      <c r="B10" s="15">
        <v>-0.17325575599502299</v>
      </c>
      <c r="C10" s="15">
        <v>6.6734045088402104E-3</v>
      </c>
      <c r="D10" s="15">
        <f t="shared" si="0"/>
        <v>-9.5487409807621576E-2</v>
      </c>
      <c r="E10" s="1">
        <f>(Arkusz1!C$35-Arkusz1!C$33)*(1-ABS('projekty 2 i 3'!G10/Arkusz1!C$36))</f>
        <v>-5.2633049440440943E-4</v>
      </c>
      <c r="F10" s="15">
        <f t="shared" si="2"/>
        <v>-0.10554849278570962</v>
      </c>
      <c r="G10" s="39">
        <f t="shared" si="3"/>
        <v>-0.17325575599502299</v>
      </c>
      <c r="H10" s="40">
        <f t="shared" si="4"/>
        <v>6.6734045088402104E-3</v>
      </c>
      <c r="I10" s="41">
        <f t="shared" si="5"/>
        <v>-5.4710255786128199</v>
      </c>
      <c r="J10" s="49">
        <f t="shared" si="6"/>
        <v>6.1470740144358013E-3</v>
      </c>
      <c r="K10" s="50">
        <f>DEGREES(G10*(1+Arkusz1!C$46)/Arkusz1!C$20/PI())</f>
        <v>-0.57645759197535795</v>
      </c>
      <c r="L10" s="48">
        <f t="shared" si="1"/>
        <v>-6.047483170588178</v>
      </c>
      <c r="M10" s="47">
        <f>G10^2*(1+Arkusz1!C$45)/Arkusz1!C$20/PI()</f>
        <v>1.555132403347067E-3</v>
      </c>
      <c r="N10" s="51">
        <f>J10+M10+Arkusz1!C$38</f>
        <v>1.0288961642580377E-2</v>
      </c>
      <c r="O10" s="63">
        <f>Arkusz1!C$31/Arkusz1!C$63+(Arkusz1!C$54-Arkusz1!C$29)/Arkusz1!C$63*'projekty 2 i 3'!G10</f>
        <v>-0.28949939942512459</v>
      </c>
      <c r="P10" s="52">
        <f>Arkusz1!C$58+Arkusz1!C$59+1/PI()/Arkusz1!C$62*'projekty 2 i 3'!O10^2</f>
        <v>2.4519827521576158E-2</v>
      </c>
      <c r="Q10" s="52">
        <f>Arkusz1!C$90*(1+1/Arkusz1!C$91*ABS('projekty 2 i 3'!G10))</f>
        <v>3.2053509850150652E-2</v>
      </c>
      <c r="R10" s="52">
        <f>(N10+Q10+P10*Arkusz1!C$53/Arkusz1!C$5)*(1+Arkusz1!C$92)</f>
        <v>4.9056021983939137E-2</v>
      </c>
      <c r="S10" s="52">
        <f>O10*Arkusz1!C$53/Arkusz1!C$5</f>
        <v>-4.6480736907700562E-2</v>
      </c>
      <c r="T10" s="53">
        <f t="shared" si="7"/>
        <v>-0.21973649290272357</v>
      </c>
      <c r="U10" s="48">
        <f t="shared" si="8"/>
        <v>-4.4792970162697854</v>
      </c>
      <c r="V10" s="69">
        <f t="shared" si="9"/>
        <v>-4.4088153539777215</v>
      </c>
      <c r="W10" s="71">
        <f t="shared" si="10"/>
        <v>-5.4710255786128199</v>
      </c>
      <c r="X10" s="25">
        <f t="shared" si="11"/>
        <v>4.8284126313188687E-2</v>
      </c>
      <c r="Y10" s="15">
        <f t="shared" si="12"/>
        <v>-0.44792970162697854</v>
      </c>
      <c r="Z10" s="15">
        <f t="shared" si="13"/>
        <v>-4.4088153539777214E-2</v>
      </c>
      <c r="AA10" s="15">
        <f>Arkusz1!C$32*('projekty 2 i 3'!D10-'projekty 2 i 3'!D$18)</f>
        <v>-0.19253524710708184</v>
      </c>
    </row>
    <row r="11" spans="1:27" ht="10.8" customHeight="1" x14ac:dyDescent="0.25">
      <c r="A11" s="15">
        <v>-5.0157904775458197</v>
      </c>
      <c r="B11" s="15">
        <v>-0.12491167435817099</v>
      </c>
      <c r="C11" s="15">
        <v>6.3748528521391998E-3</v>
      </c>
      <c r="D11" s="15">
        <f t="shared" si="0"/>
        <v>-8.7542058423353261E-2</v>
      </c>
      <c r="E11" s="1">
        <f>(Arkusz1!C$35-Arkusz1!C$33)*(1-ABS('projekty 2 i 3'!G11/Arkusz1!C$36))</f>
        <v>-6.0049470785168311E-4</v>
      </c>
      <c r="F11" s="15">
        <f t="shared" si="2"/>
        <v>-9.4795766754322497E-2</v>
      </c>
      <c r="G11" s="39">
        <f t="shared" si="3"/>
        <v>-0.12491167435817099</v>
      </c>
      <c r="H11" s="40">
        <f t="shared" si="4"/>
        <v>6.3748528521391998E-3</v>
      </c>
      <c r="I11" s="41">
        <f t="shared" si="5"/>
        <v>-5.0157904775458197</v>
      </c>
      <c r="J11" s="49">
        <f t="shared" si="6"/>
        <v>5.7743581442875162E-3</v>
      </c>
      <c r="K11" s="50">
        <f>DEGREES(G11*(1+Arkusz1!C$46)/Arkusz1!C$20/PI())</f>
        <v>-0.41560687318342132</v>
      </c>
      <c r="L11" s="48">
        <f t="shared" si="1"/>
        <v>-5.4313973507292408</v>
      </c>
      <c r="M11" s="47">
        <f>G11^2*(1+Arkusz1!C$45)/Arkusz1!C$20/PI()</f>
        <v>8.0834747575960256E-4</v>
      </c>
      <c r="N11" s="51">
        <f>J11+M11+Arkusz1!C$38</f>
        <v>9.1694608448446274E-3</v>
      </c>
      <c r="O11" s="63">
        <f>Arkusz1!C$31/Arkusz1!C$63+(Arkusz1!C$54-Arkusz1!C$29)/Arkusz1!C$63*'projekty 2 i 3'!G11</f>
        <v>-0.28470000273333779</v>
      </c>
      <c r="P11" s="52">
        <f>Arkusz1!C$58+Arkusz1!C$59+1/PI()/Arkusz1!C$62*'projekty 2 i 3'!O11^2</f>
        <v>2.408513733225736E-2</v>
      </c>
      <c r="Q11" s="52">
        <f>Arkusz1!C$90*(1+1/Arkusz1!C$91*ABS('projekty 2 i 3'!G11))</f>
        <v>3.1682193643441471E-2</v>
      </c>
      <c r="R11" s="52">
        <f>(N11+Q11+P11*Arkusz1!C$53/Arkusz1!C$5)*(1+Arkusz1!C$92)</f>
        <v>4.7401776518896446E-2</v>
      </c>
      <c r="S11" s="52">
        <f>O11*Arkusz1!C$53/Arkusz1!C$5</f>
        <v>-4.5710167105519235E-2</v>
      </c>
      <c r="T11" s="53">
        <f t="shared" si="7"/>
        <v>-0.17062184146369022</v>
      </c>
      <c r="U11" s="48">
        <f t="shared" si="8"/>
        <v>-3.5994820024450518</v>
      </c>
      <c r="V11" s="69">
        <f t="shared" si="9"/>
        <v>-2.2106227629346957</v>
      </c>
      <c r="W11" s="71">
        <f t="shared" si="10"/>
        <v>-5.0157904775458197</v>
      </c>
      <c r="X11" s="25">
        <f t="shared" si="11"/>
        <v>2.911181278446064E-2</v>
      </c>
      <c r="Y11" s="15">
        <f t="shared" si="12"/>
        <v>-0.35994820024450519</v>
      </c>
      <c r="Z11" s="15">
        <f t="shared" si="13"/>
        <v>-2.2106227629346956E-2</v>
      </c>
      <c r="AA11" s="15">
        <f>Arkusz1!C$32*('projekty 2 i 3'!D11-'projekty 2 i 3'!D$18)</f>
        <v>-0.14620113597458273</v>
      </c>
    </row>
    <row r="12" spans="1:27" ht="10.8" customHeight="1" x14ac:dyDescent="0.25">
      <c r="A12" s="15">
        <v>-4.8241802231418998</v>
      </c>
      <c r="B12" s="15">
        <v>-0.10486761284602999</v>
      </c>
      <c r="C12" s="15">
        <v>6.3110914615298599E-3</v>
      </c>
      <c r="D12" s="15">
        <f t="shared" si="0"/>
        <v>-8.4197828603420899E-2</v>
      </c>
      <c r="E12" s="1">
        <f>(Arkusz1!C$35-Arkusz1!C$33)*(1-ABS('projekty 2 i 3'!G12/Arkusz1!C$36))</f>
        <v>-6.312441192791935E-4</v>
      </c>
      <c r="F12" s="15">
        <f t="shared" si="2"/>
        <v>-9.028756425750345E-2</v>
      </c>
      <c r="G12" s="39">
        <f t="shared" si="3"/>
        <v>-0.10486761284602999</v>
      </c>
      <c r="H12" s="40">
        <f t="shared" si="4"/>
        <v>6.3110914615298599E-3</v>
      </c>
      <c r="I12" s="41">
        <f t="shared" si="5"/>
        <v>-4.8241802231418998</v>
      </c>
      <c r="J12" s="49">
        <f t="shared" si="6"/>
        <v>5.6798473422506662E-3</v>
      </c>
      <c r="K12" s="50">
        <f>DEGREES(G12*(1+Arkusz1!C$46)/Arkusz1!C$20/PI())</f>
        <v>-0.34891615132927017</v>
      </c>
      <c r="L12" s="48">
        <f t="shared" si="1"/>
        <v>-5.1730963744711698</v>
      </c>
      <c r="M12" s="47">
        <f>G12^2*(1+Arkusz1!C$45)/Arkusz1!C$20/PI()</f>
        <v>5.6973748079863112E-4</v>
      </c>
      <c r="N12" s="51">
        <f>J12+M12+Arkusz1!C$38</f>
        <v>8.8363400478468045E-3</v>
      </c>
      <c r="O12" s="63">
        <f>Arkusz1!C$31/Arkusz1!C$63+(Arkusz1!C$54-Arkusz1!C$29)/Arkusz1!C$63*'projekty 2 i 3'!G12</f>
        <v>-0.28271011277671465</v>
      </c>
      <c r="P12" s="52">
        <f>Arkusz1!C$58+Arkusz1!C$59+1/PI()/Arkusz1!C$62*'projekty 2 i 3'!O12^2</f>
        <v>2.3907040338498425E-2</v>
      </c>
      <c r="Q12" s="52">
        <f>Arkusz1!C$90*(1+1/Arkusz1!C$91*ABS('projekty 2 i 3'!G12))</f>
        <v>3.1528241295279376E-2</v>
      </c>
      <c r="R12" s="52">
        <f>(N12+Q12+P12*Arkusz1!C$53/Arkusz1!C$5)*(1+Arkusz1!C$92)</f>
        <v>4.6855168855544645E-2</v>
      </c>
      <c r="S12" s="52">
        <f>O12*Arkusz1!C$53/Arkusz1!C$5</f>
        <v>-4.5390679218039187E-2</v>
      </c>
      <c r="T12" s="53">
        <f t="shared" si="7"/>
        <v>-0.15025829206406918</v>
      </c>
      <c r="U12" s="48">
        <f t="shared" si="8"/>
        <v>-3.2068669419870899</v>
      </c>
      <c r="V12" s="69">
        <f t="shared" si="9"/>
        <v>-1.5452556119876131</v>
      </c>
      <c r="W12" s="71">
        <f t="shared" si="10"/>
        <v>-4.8241802231418998</v>
      </c>
      <c r="X12" s="25">
        <f t="shared" si="11"/>
        <v>2.2577554334011117E-2</v>
      </c>
      <c r="Y12" s="15">
        <f t="shared" si="12"/>
        <v>-0.32068669419870899</v>
      </c>
      <c r="Z12" s="15">
        <f t="shared" si="13"/>
        <v>-1.5452556119876131E-2</v>
      </c>
      <c r="AA12" s="15">
        <f>Arkusz1!C$32*('projekty 2 i 3'!D12-'projekty 2 i 3'!D$18)</f>
        <v>-0.12669892535666516</v>
      </c>
    </row>
    <row r="13" spans="1:27" ht="10.8" customHeight="1" x14ac:dyDescent="0.25">
      <c r="A13" s="15">
        <v>-4.5849888988524601</v>
      </c>
      <c r="B13" s="15">
        <v>-8.1291407046891903E-2</v>
      </c>
      <c r="C13" s="15">
        <v>6.2941169526204398E-3</v>
      </c>
      <c r="D13" s="15">
        <f t="shared" si="0"/>
        <v>-8.0023152452364688E-2</v>
      </c>
      <c r="E13" s="1">
        <f>(Arkusz1!C$35-Arkusz1!C$33)*(1-ABS('projekty 2 i 3'!G13/Arkusz1!C$36))</f>
        <v>-6.6741216094970207E-4</v>
      </c>
      <c r="F13" s="15">
        <f t="shared" si="2"/>
        <v>-8.474380133936503E-2</v>
      </c>
      <c r="G13" s="39">
        <f t="shared" si="3"/>
        <v>-8.1291407046891903E-2</v>
      </c>
      <c r="H13" s="40">
        <f t="shared" si="4"/>
        <v>6.2941169526204398E-3</v>
      </c>
      <c r="I13" s="41">
        <f t="shared" si="5"/>
        <v>-4.5849888988524601</v>
      </c>
      <c r="J13" s="49">
        <f t="shared" si="6"/>
        <v>5.6267047916707374E-3</v>
      </c>
      <c r="K13" s="50">
        <f>DEGREES(G13*(1+Arkusz1!C$46)/Arkusz1!C$20/PI())</f>
        <v>-0.27047325778824965</v>
      </c>
      <c r="L13" s="48">
        <f t="shared" si="1"/>
        <v>-4.8554621566407095</v>
      </c>
      <c r="M13" s="47">
        <f>G13^2*(1+Arkusz1!C$45)/Arkusz1!C$20/PI()</f>
        <v>3.4235865236687213E-4</v>
      </c>
      <c r="N13" s="51">
        <f>J13+M13+Arkusz1!C$38</f>
        <v>8.555818668835119E-3</v>
      </c>
      <c r="O13" s="63">
        <f>Arkusz1!C$31/Arkusz1!C$63+(Arkusz1!C$54-Arkusz1!C$29)/Arkusz1!C$63*'projekty 2 i 3'!G13</f>
        <v>-0.28036956642054983</v>
      </c>
      <c r="P13" s="52">
        <f>Arkusz1!C$58+Arkusz1!C$59+1/PI()/Arkusz1!C$62*'projekty 2 i 3'!O13^2</f>
        <v>2.3699158017855333E-2</v>
      </c>
      <c r="Q13" s="52">
        <f>Arkusz1!C$90*(1+1/Arkusz1!C$91*ABS('projekty 2 i 3'!G13))</f>
        <v>3.1347159619725153E-2</v>
      </c>
      <c r="R13" s="52">
        <f>(N13+Q13+P13*Arkusz1!C$53/Arkusz1!C$5)*(1+Arkusz1!C$92)</f>
        <v>4.6330490356534894E-2</v>
      </c>
      <c r="S13" s="52">
        <f>O13*Arkusz1!C$53/Arkusz1!C$5</f>
        <v>-4.5014891497521609E-2</v>
      </c>
      <c r="T13" s="53">
        <f t="shared" si="7"/>
        <v>-0.1263062985444135</v>
      </c>
      <c r="U13" s="48">
        <f t="shared" si="8"/>
        <v>-2.7262024980186306</v>
      </c>
      <c r="V13" s="69">
        <f t="shared" si="9"/>
        <v>-0.93873115351983982</v>
      </c>
      <c r="W13" s="71">
        <f t="shared" si="10"/>
        <v>-4.5849888988524601</v>
      </c>
      <c r="X13" s="25">
        <f t="shared" si="11"/>
        <v>1.5953281051990512E-2</v>
      </c>
      <c r="Y13" s="15">
        <f t="shared" si="12"/>
        <v>-0.27262024980186306</v>
      </c>
      <c r="Z13" s="15">
        <f t="shared" si="13"/>
        <v>-9.3873115351983984E-3</v>
      </c>
      <c r="AA13" s="15">
        <f>Arkusz1!C$32*('projekty 2 i 3'!D13-'projekty 2 i 3'!D$18)</f>
        <v>-0.10235388391416576</v>
      </c>
    </row>
    <row r="14" spans="1:27" ht="10.8" customHeight="1" x14ac:dyDescent="0.25">
      <c r="A14" s="15">
        <v>-4.3926070595314899</v>
      </c>
      <c r="B14" s="15">
        <v>-5.76980549162633E-2</v>
      </c>
      <c r="C14" s="15">
        <v>6.2153780541498397E-3</v>
      </c>
      <c r="D14" s="15">
        <f t="shared" si="0"/>
        <v>-7.6665455935171073E-2</v>
      </c>
      <c r="E14" s="1">
        <f>(Arkusz1!C$35-Arkusz1!C$33)*(1-ABS('projekty 2 i 3'!G14/Arkusz1!C$36))</f>
        <v>-7.0360650665051685E-4</v>
      </c>
      <c r="F14" s="15">
        <f t="shared" si="2"/>
        <v>-8.0016022355622232E-2</v>
      </c>
      <c r="G14" s="39">
        <f t="shared" si="3"/>
        <v>-5.76980549162633E-2</v>
      </c>
      <c r="H14" s="40">
        <f t="shared" si="4"/>
        <v>6.2153780541498397E-3</v>
      </c>
      <c r="I14" s="41">
        <f t="shared" si="5"/>
        <v>-4.3926070595314899</v>
      </c>
      <c r="J14" s="49">
        <f t="shared" si="6"/>
        <v>5.5117715474993232E-3</v>
      </c>
      <c r="K14" s="50">
        <f>DEGREES(G14*(1+Arkusz1!C$46)/Arkusz1!C$20/PI())</f>
        <v>-0.19197331487010769</v>
      </c>
      <c r="L14" s="48">
        <f t="shared" si="1"/>
        <v>-4.5845803744015976</v>
      </c>
      <c r="M14" s="47">
        <f>G14^2*(1+Arkusz1!C$45)/Arkusz1!C$20/PI()</f>
        <v>1.7247032123163554E-4</v>
      </c>
      <c r="N14" s="51">
        <f>J14+M14+Arkusz1!C$38</f>
        <v>8.2709970935284666E-3</v>
      </c>
      <c r="O14" s="63">
        <f>Arkusz1!C$31/Arkusz1!C$63+(Arkusz1!C$54-Arkusz1!C$29)/Arkusz1!C$63*'projekty 2 i 3'!G14</f>
        <v>-0.27802731784885326</v>
      </c>
      <c r="P14" s="52">
        <f>Arkusz1!C$58+Arkusz1!C$59+1/PI()/Arkusz1!C$62*'projekty 2 i 3'!O14^2</f>
        <v>2.3492854599595599E-2</v>
      </c>
      <c r="Q14" s="52">
        <f>Arkusz1!C$90*(1+1/Arkusz1!C$91*ABS('projekty 2 i 3'!G14))</f>
        <v>3.1165946248406896E-2</v>
      </c>
      <c r="R14" s="52">
        <f>(N14+Q14+P14*Arkusz1!C$53/Arkusz1!C$5)*(1+Arkusz1!C$92)</f>
        <v>4.5801382763584884E-2</v>
      </c>
      <c r="S14" s="52">
        <f>O14*Arkusz1!C$53/Arkusz1!C$5</f>
        <v>-4.4638830476843666E-2</v>
      </c>
      <c r="T14" s="53">
        <f t="shared" si="7"/>
        <v>-0.10233688539310697</v>
      </c>
      <c r="U14" s="48">
        <f t="shared" si="8"/>
        <v>-2.2343623536726827</v>
      </c>
      <c r="V14" s="69">
        <f t="shared" si="9"/>
        <v>-0.51090412126336104</v>
      </c>
      <c r="W14" s="71">
        <f t="shared" si="10"/>
        <v>-4.3926070595314899</v>
      </c>
      <c r="X14" s="25">
        <f t="shared" si="11"/>
        <v>1.047283811196191E-2</v>
      </c>
      <c r="Y14" s="15">
        <f t="shared" si="12"/>
        <v>-0.22343623536726825</v>
      </c>
      <c r="Z14" s="15">
        <f t="shared" si="13"/>
        <v>-5.1090412126336103E-3</v>
      </c>
      <c r="AA14" s="15">
        <f>Arkusz1!C$32*('projekty 2 i 3'!D14-'projekty 2 i 3'!D$18)</f>
        <v>-8.2773140904499484E-2</v>
      </c>
    </row>
    <row r="15" spans="1:27" ht="10.8" customHeight="1" x14ac:dyDescent="0.25">
      <c r="A15" s="15">
        <v>-4.29487297003688</v>
      </c>
      <c r="B15" s="15">
        <v>-3.8802797613971297E-2</v>
      </c>
      <c r="C15" s="15">
        <v>6.1673073860618096E-3</v>
      </c>
      <c r="D15" s="15">
        <f t="shared" si="0"/>
        <v>-7.4959674282051317E-2</v>
      </c>
      <c r="E15" s="1">
        <f>(Arkusz1!C$35-Arkusz1!C$33)*(1-ABS('projekty 2 i 3'!G15/Arkusz1!C$36))</f>
        <v>-7.3259354804753674E-4</v>
      </c>
      <c r="F15" s="15">
        <f t="shared" si="2"/>
        <v>-7.7212979889902736E-2</v>
      </c>
      <c r="G15" s="39">
        <f t="shared" si="3"/>
        <v>-3.8802797613971297E-2</v>
      </c>
      <c r="H15" s="40">
        <f t="shared" si="4"/>
        <v>6.1673073860618096E-3</v>
      </c>
      <c r="I15" s="41">
        <f t="shared" si="5"/>
        <v>-4.29487297003688</v>
      </c>
      <c r="J15" s="49">
        <f t="shared" si="6"/>
        <v>5.4347138380142733E-3</v>
      </c>
      <c r="K15" s="50">
        <f>DEGREES(G15*(1+Arkusz1!C$46)/Arkusz1!C$20/PI())</f>
        <v>-0.12910490128304664</v>
      </c>
      <c r="L15" s="48">
        <f t="shared" si="1"/>
        <v>-4.4239778713199263</v>
      </c>
      <c r="M15" s="47">
        <f>G15^2*(1+Arkusz1!C$45)/Arkusz1!C$20/PI()</f>
        <v>7.8004220990781129E-5</v>
      </c>
      <c r="N15" s="51">
        <f>J15+M15+Arkusz1!C$38</f>
        <v>8.0994732838025624E-3</v>
      </c>
      <c r="O15" s="63">
        <f>Arkusz1!C$31/Arkusz1!C$63+(Arkusz1!C$54-Arkusz1!C$29)/Arkusz1!C$63*'projekty 2 i 3'!G15</f>
        <v>-0.2761514763328578</v>
      </c>
      <c r="P15" s="52">
        <f>Arkusz1!C$58+Arkusz1!C$59+1/PI()/Arkusz1!C$62*'projekty 2 i 3'!O15^2</f>
        <v>2.3328880029288609E-2</v>
      </c>
      <c r="Q15" s="52">
        <f>Arkusz1!C$90*(1+1/Arkusz1!C$91*ABS('projekty 2 i 3'!G15))</f>
        <v>3.1020817516435435E-2</v>
      </c>
      <c r="R15" s="52">
        <f>(N15+Q15+P15*Arkusz1!C$53/Arkusz1!C$5)*(1+Arkusz1!C$92)</f>
        <v>4.5437824419459094E-2</v>
      </c>
      <c r="S15" s="52">
        <f>O15*Arkusz1!C$53/Arkusz1!C$5</f>
        <v>-4.4337653700108837E-2</v>
      </c>
      <c r="T15" s="53">
        <f t="shared" si="7"/>
        <v>-8.3140451314080127E-2</v>
      </c>
      <c r="U15" s="48">
        <f t="shared" si="8"/>
        <v>-1.8297630306101231</v>
      </c>
      <c r="V15" s="69">
        <f t="shared" si="9"/>
        <v>-0.27835695369863223</v>
      </c>
      <c r="W15" s="71">
        <f t="shared" si="10"/>
        <v>-4.29487297003688</v>
      </c>
      <c r="X15" s="25">
        <f t="shared" si="11"/>
        <v>6.9123346447089278E-3</v>
      </c>
      <c r="Y15" s="15">
        <f t="shared" si="12"/>
        <v>-0.18297630306101231</v>
      </c>
      <c r="Z15" s="15">
        <f t="shared" si="13"/>
        <v>-2.7835695369863222E-3</v>
      </c>
      <c r="AA15" s="15">
        <f>Arkusz1!C$32*('projekty 2 i 3'!D15-'projekty 2 i 3'!D$18)</f>
        <v>-7.2825704616166317E-2</v>
      </c>
    </row>
    <row r="16" spans="1:27" ht="10.8" customHeight="1" x14ac:dyDescent="0.25">
      <c r="A16" s="15">
        <v>-4.0796007781763803</v>
      </c>
      <c r="B16" s="15">
        <v>-1.7584212394746501E-2</v>
      </c>
      <c r="C16" s="15">
        <v>6.0412110341632498E-3</v>
      </c>
      <c r="D16" s="15">
        <f t="shared" si="0"/>
        <v>-7.120246574610066E-2</v>
      </c>
      <c r="E16" s="1">
        <f>(Arkusz1!C$35-Arkusz1!C$33)*(1-ABS('projekty 2 i 3'!G16/Arkusz1!C$36))</f>
        <v>-7.6514478555099528E-4</v>
      </c>
      <c r="F16" s="15">
        <f t="shared" si="2"/>
        <v>-7.2223593263578079E-2</v>
      </c>
      <c r="G16" s="39">
        <f t="shared" si="3"/>
        <v>-1.7584212394746501E-2</v>
      </c>
      <c r="H16" s="40">
        <f t="shared" si="4"/>
        <v>6.0412110341632498E-3</v>
      </c>
      <c r="I16" s="41">
        <f t="shared" si="5"/>
        <v>-4.0796007781763803</v>
      </c>
      <c r="J16" s="49">
        <f t="shared" si="6"/>
        <v>5.2760662486122543E-3</v>
      </c>
      <c r="K16" s="50">
        <f>DEGREES(G16*(1+Arkusz1!C$46)/Arkusz1!C$20/PI())</f>
        <v>-5.8506297096126453E-2</v>
      </c>
      <c r="L16" s="48">
        <f t="shared" si="1"/>
        <v>-4.1381070752725071</v>
      </c>
      <c r="M16" s="47">
        <f>G16^2*(1+Arkusz1!C$45)/Arkusz1!C$20/PI()</f>
        <v>1.6019090999580948E-5</v>
      </c>
      <c r="N16" s="51">
        <f>J16+M16+Arkusz1!C$38</f>
        <v>7.8788405644093437E-3</v>
      </c>
      <c r="O16" s="63">
        <f>Arkusz1!C$31/Arkusz1!C$63+(Arkusz1!C$54-Arkusz1!C$29)/Arkusz1!C$63*'projekty 2 i 3'!G16</f>
        <v>-0.27404498461230947</v>
      </c>
      <c r="P16" s="52">
        <f>Arkusz1!C$58+Arkusz1!C$59+1/PI()/Arkusz1!C$62*'projekty 2 i 3'!O16^2</f>
        <v>2.3146066638568209E-2</v>
      </c>
      <c r="Q16" s="52">
        <f>Arkusz1!C$90*(1+1/Arkusz1!C$91*ABS('projekty 2 i 3'!G16))</f>
        <v>3.0857844008436643E-2</v>
      </c>
      <c r="R16" s="52">
        <f>(N16+Q16+P16*Arkusz1!C$53/Arkusz1!C$5)*(1+Arkusz1!C$92)</f>
        <v>4.5000089010582854E-2</v>
      </c>
      <c r="S16" s="52">
        <f>O16*Arkusz1!C$53/Arkusz1!C$5</f>
        <v>-4.3999444751643024E-2</v>
      </c>
      <c r="T16" s="53">
        <f t="shared" si="7"/>
        <v>-6.1583657146389525E-2</v>
      </c>
      <c r="U16" s="48">
        <f t="shared" si="8"/>
        <v>-1.3685230074079775</v>
      </c>
      <c r="V16" s="69">
        <f t="shared" si="9"/>
        <v>-0.11533727386446289</v>
      </c>
      <c r="W16" s="71">
        <f t="shared" si="10"/>
        <v>-4.0796007781763803</v>
      </c>
      <c r="X16" s="25">
        <f t="shared" si="11"/>
        <v>3.7925468275240536E-3</v>
      </c>
      <c r="Y16" s="15">
        <f t="shared" si="12"/>
        <v>-0.13685230074079774</v>
      </c>
      <c r="Z16" s="15">
        <f t="shared" si="13"/>
        <v>-1.1533727386446289E-3</v>
      </c>
      <c r="AA16" s="15">
        <f>Arkusz1!C$32*('projekty 2 i 3'!D16-'projekty 2 i 3'!D$18)</f>
        <v>-5.0915167317916468E-2</v>
      </c>
    </row>
    <row r="17" spans="1:27" ht="10.8" customHeight="1" x14ac:dyDescent="0.25">
      <c r="A17" s="15">
        <v>-3.8658717561499998</v>
      </c>
      <c r="B17" s="15">
        <v>-3.4642084124989398E-3</v>
      </c>
      <c r="C17" s="15">
        <v>5.9932830090072301E-3</v>
      </c>
      <c r="D17" s="15">
        <f t="shared" si="0"/>
        <v>-6.7472190604672841E-2</v>
      </c>
      <c r="E17" s="1">
        <f>(Arkusz1!C$35-Arkusz1!C$33)*(1-ABS('projekty 2 i 3'!G17/Arkusz1!C$36))</f>
        <v>-7.8680615450784188E-4</v>
      </c>
      <c r="F17" s="15">
        <f t="shared" si="2"/>
        <v>-6.7673359611101366E-2</v>
      </c>
      <c r="G17" s="39">
        <f t="shared" si="3"/>
        <v>-3.4642084124989398E-3</v>
      </c>
      <c r="H17" s="40">
        <f t="shared" si="4"/>
        <v>5.9932830090072301E-3</v>
      </c>
      <c r="I17" s="41">
        <f t="shared" si="5"/>
        <v>-3.8658717561499998</v>
      </c>
      <c r="J17" s="49">
        <f t="shared" si="6"/>
        <v>5.2064768544993886E-3</v>
      </c>
      <c r="K17" s="50">
        <f>DEGREES(G17*(1+Arkusz1!C$46)/Arkusz1!C$20/PI())</f>
        <v>-1.1526135037194849E-2</v>
      </c>
      <c r="L17" s="48">
        <f t="shared" si="1"/>
        <v>-3.8773978911871945</v>
      </c>
      <c r="M17" s="47">
        <f>G17^2*(1+Arkusz1!C$45)/Arkusz1!C$20/PI()</f>
        <v>6.2172746206283502E-7</v>
      </c>
      <c r="N17" s="51">
        <f>J17+M17+Arkusz1!C$38</f>
        <v>7.7938538067589599E-3</v>
      </c>
      <c r="O17" s="63">
        <f>Arkusz1!C$31/Arkusz1!C$63+(Arkusz1!C$54-Arkusz1!C$29)/Arkusz1!C$63*'projekty 2 i 3'!G17</f>
        <v>-0.27264321012190817</v>
      </c>
      <c r="P17" s="52">
        <f>Arkusz1!C$58+Arkusz1!C$59+1/PI()/Arkusz1!C$62*'projekty 2 i 3'!O17^2</f>
        <v>2.3025188349882798E-2</v>
      </c>
      <c r="Q17" s="52">
        <f>Arkusz1!C$90*(1+1/Arkusz1!C$91*ABS('projekty 2 i 3'!G17))</f>
        <v>3.074939254675017E-2</v>
      </c>
      <c r="R17" s="52">
        <f>(N17+Q17+P17*Arkusz1!C$53/Arkusz1!C$5)*(1+Arkusz1!C$92)</f>
        <v>4.4774472356443627E-2</v>
      </c>
      <c r="S17" s="52">
        <f>O17*Arkusz1!C$53/Arkusz1!C$5</f>
        <v>-4.3774382069573042E-2</v>
      </c>
      <c r="T17" s="53">
        <f t="shared" si="7"/>
        <v>-4.7238590482071983E-2</v>
      </c>
      <c r="U17" s="48">
        <f t="shared" si="8"/>
        <v>-1.0550339958450394</v>
      </c>
      <c r="V17" s="69">
        <f t="shared" si="9"/>
        <v>-5.2581120708244673E-2</v>
      </c>
      <c r="W17" s="71">
        <f t="shared" si="10"/>
        <v>-3.8658717561499998</v>
      </c>
      <c r="X17" s="25">
        <f t="shared" si="11"/>
        <v>2.2314844307329018E-3</v>
      </c>
      <c r="Y17" s="15">
        <f t="shared" si="12"/>
        <v>-0.10550339958450394</v>
      </c>
      <c r="Z17" s="15">
        <f t="shared" si="13"/>
        <v>-5.2581120708244673E-4</v>
      </c>
      <c r="AA17" s="15">
        <f>Arkusz1!C$32*('projekty 2 i 3'!D17-'projekty 2 i 3'!D$18)</f>
        <v>-2.9161694803165997E-2</v>
      </c>
    </row>
    <row r="18" spans="1:27" ht="10.8" customHeight="1" x14ac:dyDescent="0.25">
      <c r="A18" s="15">
        <v>-3.57935655694738</v>
      </c>
      <c r="B18" s="15">
        <v>2.2461044800808599E-2</v>
      </c>
      <c r="C18" s="15">
        <v>5.9604751346444898E-3</v>
      </c>
      <c r="D18" s="15">
        <f t="shared" si="0"/>
        <v>-6.2471557021579693E-2</v>
      </c>
      <c r="E18" s="1">
        <f>(Arkusz1!C$35-Arkusz1!C$33)*(1-ABS('projekty 2 i 3'!G18/Arkusz1!C$36))</f>
        <v>-7.5766328156408195E-4</v>
      </c>
      <c r="F18" s="15">
        <f t="shared" si="2"/>
        <v>-6.116722843395124E-2</v>
      </c>
      <c r="G18" s="39">
        <f t="shared" si="3"/>
        <v>2.2461044800808599E-2</v>
      </c>
      <c r="H18" s="40">
        <f t="shared" si="4"/>
        <v>5.9604751346444898E-3</v>
      </c>
      <c r="I18" s="41">
        <f t="shared" si="5"/>
        <v>-3.57935655694738</v>
      </c>
      <c r="J18" s="49">
        <f t="shared" si="6"/>
        <v>5.2028118530804083E-3</v>
      </c>
      <c r="K18" s="50">
        <f>DEGREES(G18*(1+Arkusz1!C$46)/Arkusz1!C$20/PI())</f>
        <v>7.4732523169369916E-2</v>
      </c>
      <c r="L18" s="48">
        <f t="shared" si="1"/>
        <v>-3.5046240337780099</v>
      </c>
      <c r="M18" s="47">
        <f>G18^2*(1+Arkusz1!C$45)/Arkusz1!C$20/PI()</f>
        <v>2.6136771134861497E-5</v>
      </c>
      <c r="N18" s="51">
        <f>J18+M18+Arkusz1!C$38</f>
        <v>7.815703849012777E-3</v>
      </c>
      <c r="O18" s="63">
        <f>Arkusz1!C$31/Arkusz1!C$63+(Arkusz1!C$54-Arkusz1!C$29)/Arkusz1!C$63*'projekty 2 i 3'!G18</f>
        <v>-0.27006946023789269</v>
      </c>
      <c r="P18" s="52">
        <f>Arkusz1!C$58+Arkusz1!C$59+1/PI()/Arkusz1!C$62*'projekty 2 i 3'!O18^2</f>
        <v>2.2804861839644502E-2</v>
      </c>
      <c r="Q18" s="52">
        <f>Arkusz1!C$90*(1+1/Arkusz1!C$91*ABS('projekty 2 i 3'!G18))</f>
        <v>3.089530147682704E-2</v>
      </c>
      <c r="R18" s="52">
        <f>(N18+Q18+P18*Arkusz1!C$53/Arkusz1!C$5)*(1+Arkusz1!C$92)</f>
        <v>4.4914799743143934E-2</v>
      </c>
      <c r="S18" s="52">
        <f>O18*Arkusz1!C$53/Arkusz1!C$5</f>
        <v>-4.3361152227083886E-2</v>
      </c>
      <c r="T18" s="53">
        <f t="shared" si="7"/>
        <v>-2.0900107426275287E-2</v>
      </c>
      <c r="U18" s="48">
        <f t="shared" si="8"/>
        <v>-0.46532785509002755</v>
      </c>
      <c r="V18" s="69">
        <f t="shared" si="9"/>
        <v>-4.5255005269168851E-3</v>
      </c>
      <c r="W18" s="71">
        <f t="shared" si="10"/>
        <v>-3.57935655694738</v>
      </c>
      <c r="X18" s="25">
        <f t="shared" si="11"/>
        <v>4.3681449042984739E-4</v>
      </c>
      <c r="Y18" s="15">
        <f t="shared" si="12"/>
        <v>-4.6532785509002757E-2</v>
      </c>
      <c r="Z18" s="15">
        <f t="shared" si="13"/>
        <v>-4.5255005269168849E-5</v>
      </c>
      <c r="AA18" s="15">
        <f>Arkusz1!C$32*('projekty 2 i 3'!D18-'projekty 2 i 3'!D$18)</f>
        <v>0</v>
      </c>
    </row>
    <row r="19" spans="1:27" ht="10.8" customHeight="1" x14ac:dyDescent="0.25">
      <c r="A19" s="15">
        <v>-3.4589893098856002</v>
      </c>
      <c r="B19" s="15">
        <v>3.7798438318866902E-2</v>
      </c>
      <c r="C19" s="15">
        <v>5.9122618236244397E-3</v>
      </c>
      <c r="D19" s="15">
        <f t="shared" si="0"/>
        <v>-6.0370752248790169E-2</v>
      </c>
      <c r="E19" s="1">
        <f>(Arkusz1!C$35-Arkusz1!C$33)*(1-ABS('projekty 2 i 3'!G19/Arkusz1!C$36))</f>
        <v>-7.3413432645552071E-4</v>
      </c>
      <c r="F19" s="15">
        <f t="shared" si="2"/>
        <v>-5.8175770487958009E-2</v>
      </c>
      <c r="G19" s="39">
        <f t="shared" si="3"/>
        <v>3.7798438318866902E-2</v>
      </c>
      <c r="H19" s="40">
        <f t="shared" si="4"/>
        <v>5.9122618236244397E-3</v>
      </c>
      <c r="I19" s="41">
        <f t="shared" si="5"/>
        <v>-3.4589893098856002</v>
      </c>
      <c r="J19" s="49">
        <f t="shared" si="6"/>
        <v>5.1781274971689191E-3</v>
      </c>
      <c r="K19" s="50">
        <f>DEGREES(G19*(1+Arkusz1!C$46)/Arkusz1!C$20/PI())</f>
        <v>0.12576319100387656</v>
      </c>
      <c r="L19" s="48">
        <f t="shared" si="1"/>
        <v>-3.3332261188817238</v>
      </c>
      <c r="M19" s="47">
        <f>G19^2*(1+Arkusz1!C$45)/Arkusz1!C$20/PI()</f>
        <v>7.4018408104587472E-5</v>
      </c>
      <c r="N19" s="51">
        <f>J19+M19+Arkusz1!C$38</f>
        <v>7.8389011300710153E-3</v>
      </c>
      <c r="O19" s="63">
        <f>Arkusz1!C$31/Arkusz1!C$63+(Arkusz1!C$54-Arkusz1!C$29)/Arkusz1!C$63*'projekty 2 i 3'!G19</f>
        <v>-0.26854682844473665</v>
      </c>
      <c r="P19" s="52">
        <f>Arkusz1!C$58+Arkusz1!C$59+1/PI()/Arkusz1!C$62*'projekty 2 i 3'!O19^2</f>
        <v>2.2675500402529886E-2</v>
      </c>
      <c r="Q19" s="52">
        <f>Arkusz1!C$90*(1+1/Arkusz1!C$91*ABS('projekty 2 i 3'!G19))</f>
        <v>3.101310333776032E-2</v>
      </c>
      <c r="R19" s="52">
        <f>(N19+Q19+P19*Arkusz1!C$53/Arkusz1!C$5)*(1+Arkusz1!C$92)</f>
        <v>4.5042242954407334E-2</v>
      </c>
      <c r="S19" s="52">
        <f>O19*Arkusz1!C$53/Arkusz1!C$5</f>
        <v>-4.3116685233627168E-2</v>
      </c>
      <c r="T19" s="53">
        <f t="shared" si="7"/>
        <v>-5.3182469147602662E-3</v>
      </c>
      <c r="U19" s="48">
        <f t="shared" si="8"/>
        <v>-0.11807242636969706</v>
      </c>
      <c r="V19" s="69">
        <f t="shared" si="9"/>
        <v>-7.4142200729262973E-5</v>
      </c>
      <c r="W19" s="71">
        <f t="shared" si="10"/>
        <v>-3.4589893098856002</v>
      </c>
      <c r="X19" s="25">
        <f t="shared" si="11"/>
        <v>2.8283750246357092E-5</v>
      </c>
      <c r="Y19" s="15">
        <f t="shared" si="12"/>
        <v>-1.1807242636969705E-2</v>
      </c>
      <c r="Z19" s="15">
        <f t="shared" si="13"/>
        <v>-7.4142200729262977E-7</v>
      </c>
      <c r="AA19" s="15">
        <f>Arkusz1!C$32*('projekty 2 i 3'!D19-'projekty 2 i 3'!D$18)</f>
        <v>1.2251053112999391E-2</v>
      </c>
    </row>
    <row r="20" spans="1:27" ht="10.8" customHeight="1" x14ac:dyDescent="0.25">
      <c r="A20" s="15">
        <v>-3.19665043808426</v>
      </c>
      <c r="B20" s="15">
        <v>6.0182974079430601E-2</v>
      </c>
      <c r="C20" s="15">
        <v>5.8791686633976699E-3</v>
      </c>
      <c r="D20" s="15">
        <f t="shared" si="0"/>
        <v>-5.5792075179889475E-2</v>
      </c>
      <c r="E20" s="1">
        <f>(Arkusz1!C$35-Arkusz1!C$33)*(1-ABS('projekty 2 i 3'!G20/Arkusz1!C$36))</f>
        <v>-6.9979441489126664E-4</v>
      </c>
      <c r="F20" s="15">
        <f t="shared" si="2"/>
        <v>-5.2297207764929438E-2</v>
      </c>
      <c r="G20" s="39">
        <f t="shared" si="3"/>
        <v>6.0182974079430601E-2</v>
      </c>
      <c r="H20" s="40">
        <f t="shared" si="4"/>
        <v>5.8791686633976699E-3</v>
      </c>
      <c r="I20" s="41">
        <f t="shared" si="5"/>
        <v>-3.19665043808426</v>
      </c>
      <c r="J20" s="49">
        <f t="shared" si="6"/>
        <v>5.1793742485064034E-3</v>
      </c>
      <c r="K20" s="50">
        <f>DEGREES(G20*(1+Arkusz1!C$46)/Arkusz1!C$20/PI())</f>
        <v>0.20024115283500624</v>
      </c>
      <c r="L20" s="48">
        <f t="shared" si="1"/>
        <v>-2.9964092852492539</v>
      </c>
      <c r="M20" s="47">
        <f>G20^2*(1+Arkusz1!C$45)/Arkusz1!C$20/PI()</f>
        <v>1.8764600297925166E-4</v>
      </c>
      <c r="N20" s="51">
        <f>J20+M20+Arkusz1!C$38</f>
        <v>7.9537754762831637E-3</v>
      </c>
      <c r="O20" s="63">
        <f>Arkusz1!C$31/Arkusz1!C$63+(Arkusz1!C$54-Arkusz1!C$29)/Arkusz1!C$63*'projekty 2 i 3'!G20</f>
        <v>-0.26632458606802889</v>
      </c>
      <c r="P20" s="52">
        <f>Arkusz1!C$58+Arkusz1!C$59+1/PI()/Arkusz1!C$62*'projekty 2 i 3'!O20^2</f>
        <v>2.248801335586563E-2</v>
      </c>
      <c r="Q20" s="52">
        <f>Arkusz1!C$90*(1+1/Arkusz1!C$91*ABS('projekty 2 i 3'!G20))</f>
        <v>3.1185032157713795E-2</v>
      </c>
      <c r="R20" s="52">
        <f>(N20+Q20+P20*Arkusz1!C$53/Arkusz1!C$5)*(1+Arkusz1!C$92)</f>
        <v>4.5314346098390038E-2</v>
      </c>
      <c r="S20" s="52">
        <f>O20*Arkusz1!C$53/Arkusz1!C$5</f>
        <v>-4.2759891874255745E-2</v>
      </c>
      <c r="T20" s="53">
        <f t="shared" si="7"/>
        <v>1.7423082205174856E-2</v>
      </c>
      <c r="U20" s="48">
        <f t="shared" si="8"/>
        <v>0.38449373554557098</v>
      </c>
      <c r="V20" s="69">
        <f t="shared" si="9"/>
        <v>2.5757488963129918E-3</v>
      </c>
      <c r="W20" s="71">
        <f t="shared" si="10"/>
        <v>-3.19665043808426</v>
      </c>
      <c r="X20" s="25">
        <f t="shared" si="11"/>
        <v>3.035637935282807E-4</v>
      </c>
      <c r="Y20" s="15">
        <f t="shared" si="12"/>
        <v>3.8449373554557097E-2</v>
      </c>
      <c r="Z20" s="15">
        <f t="shared" si="13"/>
        <v>2.5757488963129918E-5</v>
      </c>
      <c r="AA20" s="15">
        <f>Arkusz1!C$32*('projekty 2 i 3'!D20-'projekty 2 i 3'!D$18)</f>
        <v>3.8952066308000681E-2</v>
      </c>
    </row>
    <row r="21" spans="1:27" ht="10.8" customHeight="1" x14ac:dyDescent="0.25">
      <c r="A21" s="15">
        <v>-3.0281877311922401</v>
      </c>
      <c r="B21" s="15">
        <v>8.1418705630145999E-2</v>
      </c>
      <c r="C21" s="15">
        <v>5.8469313607629704E-3</v>
      </c>
      <c r="D21" s="15">
        <f t="shared" si="0"/>
        <v>-5.2851846277801581E-2</v>
      </c>
      <c r="E21" s="1">
        <f>(Arkusz1!C$35-Arkusz1!C$33)*(1-ABS('projekty 2 i 3'!G21/Arkusz1!C$36))</f>
        <v>-6.6721687335750176E-4</v>
      </c>
      <c r="F21" s="15">
        <f t="shared" si="2"/>
        <v>-4.8123805073000549E-2</v>
      </c>
      <c r="G21" s="39">
        <f t="shared" si="3"/>
        <v>8.1418705630145999E-2</v>
      </c>
      <c r="H21" s="40">
        <f t="shared" si="4"/>
        <v>5.8469313607629704E-3</v>
      </c>
      <c r="I21" s="41">
        <f t="shared" si="5"/>
        <v>-3.0281877311922401</v>
      </c>
      <c r="J21" s="49">
        <f t="shared" si="6"/>
        <v>5.1797144874054686E-3</v>
      </c>
      <c r="K21" s="50">
        <f>DEGREES(G21*(1+Arkusz1!C$46)/Arkusz1!C$20/PI())</f>
        <v>0.27089680639904817</v>
      </c>
      <c r="L21" s="48">
        <f t="shared" si="1"/>
        <v>-2.757290924793192</v>
      </c>
      <c r="M21" s="47">
        <f>G21^2*(1+Arkusz1!C$45)/Arkusz1!C$20/PI()</f>
        <v>3.4343172752978544E-4</v>
      </c>
      <c r="N21" s="51">
        <f>J21+M21+Arkusz1!C$38</f>
        <v>8.1099014397327633E-3</v>
      </c>
      <c r="O21" s="63">
        <f>Arkusz1!C$31/Arkusz1!C$63+(Arkusz1!C$54-Arkusz1!C$29)/Arkusz1!C$63*'projekty 2 i 3'!G21</f>
        <v>-0.26421639213194875</v>
      </c>
      <c r="P21" s="52">
        <f>Arkusz1!C$58+Arkusz1!C$59+1/PI()/Arkusz1!C$62*'projekty 2 i 3'!O21^2</f>
        <v>2.2311588428072099E-2</v>
      </c>
      <c r="Q21" s="52">
        <f>Arkusz1!C$90*(1+1/Arkusz1!C$91*ABS('projekty 2 i 3'!G21))</f>
        <v>3.1348137361476631E-2</v>
      </c>
      <c r="R21" s="52">
        <f>(N21+Q21+P21*Arkusz1!C$53/Arkusz1!C$5)*(1+Arkusz1!C$92)</f>
        <v>4.5622705573201743E-2</v>
      </c>
      <c r="S21" s="52">
        <f>O21*Arkusz1!C$53/Arkusz1!C$5</f>
        <v>-4.2421409625629548E-2</v>
      </c>
      <c r="T21" s="53">
        <f t="shared" si="7"/>
        <v>3.899729600451645E-2</v>
      </c>
      <c r="U21" s="48">
        <f t="shared" si="8"/>
        <v>0.85477824067108854</v>
      </c>
      <c r="V21" s="69">
        <f t="shared" si="9"/>
        <v>2.8493212125212296E-2</v>
      </c>
      <c r="W21" s="71">
        <f t="shared" si="10"/>
        <v>-3.0281877311922401</v>
      </c>
      <c r="X21" s="25">
        <f t="shared" si="11"/>
        <v>1.5207890956638746E-3</v>
      </c>
      <c r="Y21" s="15">
        <f t="shared" si="12"/>
        <v>8.5477824067108854E-2</v>
      </c>
      <c r="Z21" s="15">
        <f t="shared" si="13"/>
        <v>2.8493212125212298E-4</v>
      </c>
      <c r="AA21" s="15">
        <f>Arkusz1!C$32*('projekty 2 i 3'!D21-'projekty 2 i 3'!D$18)</f>
        <v>5.6098305173416435E-2</v>
      </c>
    </row>
    <row r="22" spans="1:27" ht="10.8" customHeight="1" x14ac:dyDescent="0.25">
      <c r="A22" s="15">
        <v>-2.83709186673304</v>
      </c>
      <c r="B22" s="15">
        <v>9.9096573396627793E-2</v>
      </c>
      <c r="C22" s="15">
        <v>5.81440877226425E-3</v>
      </c>
      <c r="D22" s="15">
        <f t="shared" si="0"/>
        <v>-4.9516594256043732E-2</v>
      </c>
      <c r="E22" s="1">
        <f>(Arkusz1!C$35-Arkusz1!C$33)*(1-ABS('projekty 2 i 3'!G22/Arkusz1!C$36))</f>
        <v>-6.4009741811219564E-4</v>
      </c>
      <c r="F22" s="15">
        <f t="shared" si="2"/>
        <v>-4.3761986900797738E-2</v>
      </c>
      <c r="G22" s="39">
        <f t="shared" si="3"/>
        <v>9.9096573396627793E-2</v>
      </c>
      <c r="H22" s="40">
        <f t="shared" si="4"/>
        <v>5.81440877226425E-3</v>
      </c>
      <c r="I22" s="41">
        <f t="shared" si="5"/>
        <v>-2.83709186673304</v>
      </c>
      <c r="J22" s="49">
        <f t="shared" si="6"/>
        <v>5.1743113541520541E-3</v>
      </c>
      <c r="K22" s="50">
        <f>DEGREES(G22*(1+Arkusz1!C$46)/Arkusz1!C$20/PI())</f>
        <v>0.32971471421053605</v>
      </c>
      <c r="L22" s="48">
        <f t="shared" si="1"/>
        <v>-2.5073771525225039</v>
      </c>
      <c r="M22" s="47">
        <f>G22^2*(1+Arkusz1!C$45)/Arkusz1!C$20/PI()</f>
        <v>5.0875571623936453E-4</v>
      </c>
      <c r="N22" s="51">
        <f>J22+M22+Arkusz1!C$38</f>
        <v>8.2698222951889267E-3</v>
      </c>
      <c r="O22" s="63">
        <f>Arkusz1!C$31/Arkusz1!C$63+(Arkusz1!C$54-Arkusz1!C$29)/Arkusz1!C$63*'projekty 2 i 3'!G22</f>
        <v>-0.26246140791870798</v>
      </c>
      <c r="P22" s="52">
        <f>Arkusz1!C$58+Arkusz1!C$59+1/PI()/Arkusz1!C$62*'projekty 2 i 3'!O22^2</f>
        <v>2.2165791396525046E-2</v>
      </c>
      <c r="Q22" s="52">
        <f>Arkusz1!C$90*(1+1/Arkusz1!C$91*ABS('projekty 2 i 3'!G22))</f>
        <v>3.1483915694201288E-2</v>
      </c>
      <c r="R22" s="52">
        <f>(N22+Q22+P22*Arkusz1!C$53/Arkusz1!C$5)*(1+Arkusz1!C$92)</f>
        <v>4.5911333677871119E-2</v>
      </c>
      <c r="S22" s="52">
        <f>O22*Arkusz1!C$53/Arkusz1!C$5</f>
        <v>-4.2139637160281448E-2</v>
      </c>
      <c r="T22" s="53">
        <f t="shared" si="7"/>
        <v>5.6956936236346345E-2</v>
      </c>
      <c r="U22" s="48">
        <f t="shared" si="8"/>
        <v>1.2405855302739575</v>
      </c>
      <c r="V22" s="69">
        <f t="shared" si="9"/>
        <v>8.7659712710432963E-2</v>
      </c>
      <c r="W22" s="71">
        <f t="shared" si="10"/>
        <v>-2.83709186673304</v>
      </c>
      <c r="X22" s="25">
        <f t="shared" si="11"/>
        <v>3.2440925854312235E-3</v>
      </c>
      <c r="Y22" s="15">
        <f t="shared" si="12"/>
        <v>0.12405855302739574</v>
      </c>
      <c r="Z22" s="15">
        <f t="shared" si="13"/>
        <v>8.7659712710432968E-4</v>
      </c>
      <c r="AA22" s="15">
        <f>Arkusz1!C$32*('projekty 2 i 3'!D22-'projekty 2 i 3'!D$18)</f>
        <v>7.5548160863499511E-2</v>
      </c>
    </row>
    <row r="23" spans="1:27" ht="10.8" customHeight="1" x14ac:dyDescent="0.25">
      <c r="A23" s="15">
        <v>-2.6686291598410099</v>
      </c>
      <c r="B23" s="15">
        <v>0.120332304947342</v>
      </c>
      <c r="C23" s="15">
        <v>5.7810303261734497E-3</v>
      </c>
      <c r="D23" s="15">
        <f t="shared" si="0"/>
        <v>-4.6576365353955658E-2</v>
      </c>
      <c r="E23" s="1">
        <f>(Arkusz1!C$35-Arkusz1!C$33)*(1-ABS('projekty 2 i 3'!G23/Arkusz1!C$36))</f>
        <v>-6.0751987657843272E-4</v>
      </c>
      <c r="F23" s="15">
        <f t="shared" si="2"/>
        <v>-3.9588584208868738E-2</v>
      </c>
      <c r="G23" s="39">
        <f t="shared" si="3"/>
        <v>0.120332304947342</v>
      </c>
      <c r="H23" s="40">
        <f t="shared" si="4"/>
        <v>5.7810303261734497E-3</v>
      </c>
      <c r="I23" s="41">
        <f t="shared" si="5"/>
        <v>-2.6686291598410099</v>
      </c>
      <c r="J23" s="49">
        <f t="shared" si="6"/>
        <v>5.1735104495950167E-3</v>
      </c>
      <c r="K23" s="50">
        <f>DEGREES(G23*(1+Arkusz1!C$46)/Arkusz1!C$20/PI())</f>
        <v>0.40037036777457397</v>
      </c>
      <c r="L23" s="48">
        <f t="shared" si="1"/>
        <v>-2.2682587920664359</v>
      </c>
      <c r="M23" s="47">
        <f>G23^2*(1+Arkusz1!C$45)/Arkusz1!C$20/PI()</f>
        <v>7.5016448250707476E-4</v>
      </c>
      <c r="N23" s="51">
        <f>J23+M23+Arkusz1!C$38</f>
        <v>8.5104301568996003E-3</v>
      </c>
      <c r="O23" s="63">
        <f>Arkusz1!C$31/Arkusz1!C$63+(Arkusz1!C$54-Arkusz1!C$29)/Arkusz1!C$63*'projekty 2 i 3'!G23</f>
        <v>-0.26035321398262795</v>
      </c>
      <c r="P23" s="52">
        <f>Arkusz1!C$58+Arkusz1!C$59+1/PI()/Arkusz1!C$62*'projekty 2 i 3'!O23^2</f>
        <v>2.1991935774229317E-2</v>
      </c>
      <c r="Q23" s="52">
        <f>Arkusz1!C$90*(1+1/Arkusz1!C$91*ABS('projekty 2 i 3'!G23))</f>
        <v>3.1647020897964125E-2</v>
      </c>
      <c r="R23" s="52">
        <f>(N23+Q23+P23*Arkusz1!C$53/Arkusz1!C$5)*(1+Arkusz1!C$92)</f>
        <v>4.6309681232087438E-2</v>
      </c>
      <c r="S23" s="52">
        <f>O23*Arkusz1!C$53/Arkusz1!C$5</f>
        <v>-4.1801154911655265E-2</v>
      </c>
      <c r="T23" s="53">
        <f t="shared" si="7"/>
        <v>7.8531150035686725E-2</v>
      </c>
      <c r="U23" s="48">
        <f t="shared" si="8"/>
        <v>1.6957825652505985</v>
      </c>
      <c r="V23" s="69">
        <f t="shared" si="9"/>
        <v>0.2258303404138868</v>
      </c>
      <c r="W23" s="71">
        <f t="shared" si="10"/>
        <v>-2.6686291598410099</v>
      </c>
      <c r="X23" s="25">
        <f t="shared" si="11"/>
        <v>6.1671415259275395E-3</v>
      </c>
      <c r="Y23" s="15">
        <f t="shared" si="12"/>
        <v>0.16957825652505984</v>
      </c>
      <c r="Z23" s="15">
        <f t="shared" si="13"/>
        <v>2.2583034041388679E-3</v>
      </c>
      <c r="AA23" s="15">
        <f>Arkusz1!C$32*('projekty 2 i 3'!D23-'projekty 2 i 3'!D$18)</f>
        <v>9.2694399728916327E-2</v>
      </c>
    </row>
    <row r="24" spans="1:27" ht="10.8" customHeight="1" x14ac:dyDescent="0.25">
      <c r="A24" s="15">
        <v>-2.2123652788845898</v>
      </c>
      <c r="B24" s="15">
        <v>0.173408774075513</v>
      </c>
      <c r="C24" s="15">
        <v>5.7613456015558001E-3</v>
      </c>
      <c r="D24" s="15">
        <f t="shared" si="0"/>
        <v>-3.8613058373338671E-2</v>
      </c>
      <c r="E24" s="1">
        <f>(Arkusz1!C$35-Arkusz1!C$33)*(1-ABS('projekty 2 i 3'!G24/Arkusz1!C$36))</f>
        <v>-5.2609575076674963E-4</v>
      </c>
      <c r="F24" s="15">
        <f t="shared" si="2"/>
        <v>-2.8543089528249473E-2</v>
      </c>
      <c r="G24" s="39">
        <f t="shared" si="3"/>
        <v>0.173408774075513</v>
      </c>
      <c r="H24" s="40">
        <f t="shared" si="4"/>
        <v>5.7613456015558001E-3</v>
      </c>
      <c r="I24" s="41">
        <f t="shared" si="5"/>
        <v>-2.2123652788845898</v>
      </c>
      <c r="J24" s="49">
        <f t="shared" si="6"/>
        <v>5.2352498507890503E-3</v>
      </c>
      <c r="K24" s="50">
        <f>DEGREES(G24*(1+Arkusz1!C$46)/Arkusz1!C$20/PI())</f>
        <v>0.57696671465183902</v>
      </c>
      <c r="L24" s="48">
        <f t="shared" si="1"/>
        <v>-1.6353985642327507</v>
      </c>
      <c r="M24" s="47">
        <f>G24^2*(1+Arkusz1!C$45)/Arkusz1!C$20/PI()</f>
        <v>1.5578805770809052E-3</v>
      </c>
      <c r="N24" s="51">
        <f>J24+M24+Arkusz1!C$38</f>
        <v>9.3798856526674627E-3</v>
      </c>
      <c r="O24" s="63">
        <f>Arkusz1!C$31/Arkusz1!C$63+(Arkusz1!C$54-Arkusz1!C$29)/Arkusz1!C$63*'projekty 2 i 3'!G24</f>
        <v>-0.25508400580407636</v>
      </c>
      <c r="P24" s="52">
        <f>Arkusz1!C$58+Arkusz1!C$59+1/PI()/Arkusz1!C$62*'projekty 2 i 3'!O24^2</f>
        <v>2.1563533677436651E-2</v>
      </c>
      <c r="Q24" s="52">
        <f>Arkusz1!C$90*(1+1/Arkusz1!C$91*ABS('projekty 2 i 3'!G24))</f>
        <v>3.2054685135548197E-2</v>
      </c>
      <c r="R24" s="52">
        <f>(N24+Q24+P24*Arkusz1!C$53/Arkusz1!C$5)*(1+Arkusz1!C$92)</f>
        <v>4.7590518872589686E-2</v>
      </c>
      <c r="S24" s="52">
        <f>O24*Arkusz1!C$53/Arkusz1!C$5</f>
        <v>-4.0955154265210042E-2</v>
      </c>
      <c r="T24" s="53">
        <f t="shared" si="7"/>
        <v>0.13245361981030296</v>
      </c>
      <c r="U24" s="48">
        <f t="shared" si="8"/>
        <v>2.7831934374346812</v>
      </c>
      <c r="V24" s="69">
        <f t="shared" si="9"/>
        <v>1.0260076879637177</v>
      </c>
      <c r="W24" s="71">
        <f t="shared" si="10"/>
        <v>-2.2123652788845898</v>
      </c>
      <c r="X24" s="25">
        <f t="shared" si="11"/>
        <v>1.7543961400852279E-2</v>
      </c>
      <c r="Y24" s="15">
        <f t="shared" si="12"/>
        <v>0.27831934374346812</v>
      </c>
      <c r="Z24" s="15">
        <f t="shared" si="13"/>
        <v>1.0260076879637177E-2</v>
      </c>
      <c r="AA24" s="15">
        <f>Arkusz1!C$32*('projekty 2 i 3'!D24-'projekty 2 i 3'!D$18)</f>
        <v>0.13913322071708234</v>
      </c>
    </row>
    <row r="25" spans="1:27" ht="10.8" customHeight="1" x14ac:dyDescent="0.25">
      <c r="A25" s="15">
        <v>-1.8517779276439399</v>
      </c>
      <c r="B25" s="15">
        <v>0.217054760884027</v>
      </c>
      <c r="C25" s="15">
        <v>5.7091382884394302E-3</v>
      </c>
      <c r="D25" s="15">
        <f t="shared" si="0"/>
        <v>-3.2319621853144076E-2</v>
      </c>
      <c r="E25" s="1">
        <f>(Arkusz1!C$35-Arkusz1!C$33)*(1-ABS('projekty 2 i 3'!G25/Arkusz1!C$36))</f>
        <v>-4.5913884162327286E-4</v>
      </c>
      <c r="F25" s="15">
        <f t="shared" si="2"/>
        <v>-1.9715100014885571E-2</v>
      </c>
      <c r="G25" s="39">
        <f t="shared" si="3"/>
        <v>0.217054760884027</v>
      </c>
      <c r="H25" s="40">
        <f t="shared" si="4"/>
        <v>5.7091382884394302E-3</v>
      </c>
      <c r="I25" s="41">
        <f t="shared" si="5"/>
        <v>-1.8517779276439399</v>
      </c>
      <c r="J25" s="49">
        <f t="shared" si="6"/>
        <v>5.249999446816157E-3</v>
      </c>
      <c r="K25" s="50">
        <f>DEGREES(G25*(1+Arkusz1!C$46)/Arkusz1!C$20/PI())</f>
        <v>0.72218590411269012</v>
      </c>
      <c r="L25" s="48">
        <f t="shared" si="1"/>
        <v>-1.1295920235312498</v>
      </c>
      <c r="M25" s="47">
        <f>G25^2*(1+Arkusz1!C$45)/Arkusz1!C$20/PI()</f>
        <v>2.4407913696914002E-3</v>
      </c>
      <c r="N25" s="51">
        <f>J25+M25+Arkusz1!C$38</f>
        <v>1.0277546041305066E-2</v>
      </c>
      <c r="O25" s="63">
        <f>Arkusz1!C$31/Arkusz1!C$63+(Arkusz1!C$54-Arkusz1!C$29)/Arkusz1!C$63*'projekty 2 i 3'!G25</f>
        <v>-0.25075101616799084</v>
      </c>
      <c r="P25" s="52">
        <f>Arkusz1!C$58+Arkusz1!C$59+1/PI()/Arkusz1!C$62*'projekty 2 i 3'!O25^2</f>
        <v>2.1217811690864098E-2</v>
      </c>
      <c r="Q25" s="52">
        <f>Arkusz1!C$90*(1+1/Arkusz1!C$91*ABS('projekty 2 i 3'!G25))</f>
        <v>3.2389916702910568E-2</v>
      </c>
      <c r="R25" s="52">
        <f>(N25+Q25+P25*Arkusz1!C$53/Arkusz1!C$5)*(1+Arkusz1!C$92)</f>
        <v>4.8838546305190411E-2</v>
      </c>
      <c r="S25" s="52">
        <f>O25*Arkusz1!C$53/Arkusz1!C$5</f>
        <v>-4.0259468706971863E-2</v>
      </c>
      <c r="T25" s="53">
        <f t="shared" si="7"/>
        <v>0.17679529217705514</v>
      </c>
      <c r="U25" s="48">
        <f t="shared" si="8"/>
        <v>3.6199949743030309</v>
      </c>
      <c r="V25" s="69">
        <f t="shared" si="9"/>
        <v>2.316789793927823</v>
      </c>
      <c r="W25" s="71">
        <f t="shared" si="10"/>
        <v>-1.8517779276439399</v>
      </c>
      <c r="X25" s="25">
        <f t="shared" si="11"/>
        <v>3.1256575335970295E-2</v>
      </c>
      <c r="Y25" s="15">
        <f t="shared" si="12"/>
        <v>0.36199949743030307</v>
      </c>
      <c r="Z25" s="15">
        <f t="shared" si="13"/>
        <v>2.3167897939278231E-2</v>
      </c>
      <c r="AA25" s="15">
        <f>Arkusz1!C$32*('projekty 2 i 3'!D25-'projekty 2 i 3'!D$18)</f>
        <v>0.17583402512824914</v>
      </c>
    </row>
    <row r="26" spans="1:27" ht="10.8" customHeight="1" x14ac:dyDescent="0.25">
      <c r="A26" s="15">
        <v>-1.32555701420716</v>
      </c>
      <c r="B26" s="15">
        <v>0.26892241364213199</v>
      </c>
      <c r="C26" s="15">
        <v>5.6589279763712202E-3</v>
      </c>
      <c r="D26" s="15">
        <f t="shared" si="0"/>
        <v>-2.3135334320820194E-2</v>
      </c>
      <c r="E26" s="1">
        <f>(Arkusz1!C$35-Arkusz1!C$33)*(1-ABS('projekty 2 i 3'!G26/Arkusz1!C$36))</f>
        <v>-3.7956914994815216E-4</v>
      </c>
      <c r="F26" s="15">
        <f t="shared" si="2"/>
        <v>-7.5188215949807827E-3</v>
      </c>
      <c r="G26" s="39">
        <f t="shared" si="3"/>
        <v>0.26892241364213199</v>
      </c>
      <c r="H26" s="40">
        <f t="shared" si="4"/>
        <v>5.6589279763712202E-3</v>
      </c>
      <c r="I26" s="41">
        <f t="shared" si="5"/>
        <v>-1.32555701420716</v>
      </c>
      <c r="J26" s="49">
        <f t="shared" si="6"/>
        <v>5.2793588264230685E-3</v>
      </c>
      <c r="K26" s="50">
        <f>DEGREES(G26*(1+Arkusz1!C$46)/Arkusz1!C$20/PI())</f>
        <v>0.89476026990293911</v>
      </c>
      <c r="L26" s="48">
        <f t="shared" si="1"/>
        <v>-0.43079674430422088</v>
      </c>
      <c r="M26" s="47">
        <f>G26^2*(1+Arkusz1!C$45)/Arkusz1!C$20/PI()</f>
        <v>3.7466750460997361E-3</v>
      </c>
      <c r="N26" s="51">
        <f>J26+M26+Arkusz1!C$38</f>
        <v>1.1612789097320313E-2</v>
      </c>
      <c r="O26" s="63">
        <f>Arkusz1!C$31/Arkusz1!C$63+(Arkusz1!C$54-Arkusz1!C$29)/Arkusz1!C$63*'projekty 2 i 3'!G26</f>
        <v>-0.24560181418442814</v>
      </c>
      <c r="P26" s="52">
        <f>Arkusz1!C$58+Arkusz1!C$59+1/PI()/Arkusz1!C$62*'projekty 2 i 3'!O26^2</f>
        <v>2.0814667055218991E-2</v>
      </c>
      <c r="Q26" s="52">
        <f>Arkusz1!C$90*(1+1/Arkusz1!C$91*ABS('projekty 2 i 3'!G26))</f>
        <v>3.2788296389129848E-2</v>
      </c>
      <c r="R26" s="52">
        <f>(N26+Q26+P26*Arkusz1!C$53/Arkusz1!C$5)*(1+Arkusz1!C$92)</f>
        <v>5.0607575674357058E-2</v>
      </c>
      <c r="S26" s="52">
        <f>O26*Arkusz1!C$53/Arkusz1!C$5</f>
        <v>-3.9432735721833187E-2</v>
      </c>
      <c r="T26" s="53">
        <f t="shared" si="7"/>
        <v>0.22948967792029878</v>
      </c>
      <c r="U26" s="48">
        <f t="shared" si="8"/>
        <v>4.5346902091692485</v>
      </c>
      <c r="V26" s="69">
        <f t="shared" si="9"/>
        <v>4.7190915525629995</v>
      </c>
      <c r="W26" s="71">
        <f t="shared" si="10"/>
        <v>-1.32555701420716</v>
      </c>
      <c r="X26" s="25">
        <f t="shared" si="11"/>
        <v>5.2665512271962471E-2</v>
      </c>
      <c r="Y26" s="15">
        <f t="shared" si="12"/>
        <v>0.45346902091692487</v>
      </c>
      <c r="Z26" s="15">
        <f t="shared" si="13"/>
        <v>4.7190915525629998E-2</v>
      </c>
      <c r="AA26" s="15">
        <f>Arkusz1!C$32*('projekty 2 i 3'!D26-'projekty 2 i 3'!D$18)</f>
        <v>0.22939311630174908</v>
      </c>
    </row>
    <row r="27" spans="1:27" ht="10.8" customHeight="1" x14ac:dyDescent="0.25">
      <c r="A27" s="15">
        <v>-0.80010768568745005</v>
      </c>
      <c r="B27" s="15">
        <v>0.31724077578174897</v>
      </c>
      <c r="C27" s="15">
        <v>5.6379594653654698E-3</v>
      </c>
      <c r="D27" s="15">
        <f t="shared" si="0"/>
        <v>-1.3964513485757913E-2</v>
      </c>
      <c r="E27" s="1">
        <f>(Arkusz1!C$35-Arkusz1!C$33)*(1-ABS('projekty 2 i 3'!G27/Arkusz1!C$36))</f>
        <v>-3.0544439254633657E-4</v>
      </c>
      <c r="F27" s="15">
        <f t="shared" si="2"/>
        <v>4.4578803379998772E-3</v>
      </c>
      <c r="G27" s="39">
        <f t="shared" si="3"/>
        <v>0.31724077578174897</v>
      </c>
      <c r="H27" s="40">
        <f t="shared" si="4"/>
        <v>5.6379594653654698E-3</v>
      </c>
      <c r="I27" s="41">
        <f t="shared" si="5"/>
        <v>-0.80010768568745005</v>
      </c>
      <c r="J27" s="49">
        <f t="shared" si="6"/>
        <v>5.332515072819133E-3</v>
      </c>
      <c r="K27" s="50">
        <f>DEGREES(G27*(1+Arkusz1!C$46)/Arkusz1!C$20/PI())</f>
        <v>1.0555254146291959</v>
      </c>
      <c r="L27" s="48">
        <f t="shared" si="1"/>
        <v>0.25541772894174586</v>
      </c>
      <c r="M27" s="47">
        <f>G27^2*(1+Arkusz1!C$45)/Arkusz1!C$20/PI()</f>
        <v>5.2139880718225931E-3</v>
      </c>
      <c r="N27" s="51">
        <f>J27+M27+Arkusz1!C$38</f>
        <v>1.3133258369439234E-2</v>
      </c>
      <c r="O27" s="63">
        <f>Arkusz1!C$31/Arkusz1!C$63+(Arkusz1!C$54-Arkusz1!C$29)/Arkusz1!C$63*'projekty 2 i 3'!G27</f>
        <v>-0.24080497081593893</v>
      </c>
      <c r="P27" s="52">
        <f>Arkusz1!C$58+Arkusz1!C$59+1/PI()/Arkusz1!C$62*'projekty 2 i 3'!O27^2</f>
        <v>2.0446635025536182E-2</v>
      </c>
      <c r="Q27" s="52">
        <f>Arkusz1!C$90*(1+1/Arkusz1!C$91*ABS('projekty 2 i 3'!G27))</f>
        <v>3.315941505219297E-2</v>
      </c>
      <c r="R27" s="52">
        <f>(N27+Q27+P27*Arkusz1!C$53/Arkusz1!C$5)*(1+Arkusz1!C$92)</f>
        <v>5.2550023923442782E-2</v>
      </c>
      <c r="S27" s="52">
        <f>O27*Arkusz1!C$53/Arkusz1!C$5</f>
        <v>-3.866257586989242E-2</v>
      </c>
      <c r="T27" s="53">
        <f t="shared" si="7"/>
        <v>0.27857819991185656</v>
      </c>
      <c r="U27" s="48">
        <f t="shared" si="8"/>
        <v>5.3012002490750856</v>
      </c>
      <c r="V27" s="69">
        <f t="shared" si="9"/>
        <v>7.8288062870471054</v>
      </c>
      <c r="W27" s="71">
        <f t="shared" si="10"/>
        <v>-0.80010768568745005</v>
      </c>
      <c r="X27" s="25">
        <f t="shared" si="11"/>
        <v>7.7605813466130324E-2</v>
      </c>
      <c r="Y27" s="15">
        <f t="shared" si="12"/>
        <v>0.53012002490750854</v>
      </c>
      <c r="Z27" s="15">
        <f t="shared" si="13"/>
        <v>7.8288062870471048E-2</v>
      </c>
      <c r="AA27" s="15">
        <f>Arkusz1!C$32*('projekty 2 i 3'!D27-'projekty 2 i 3'!D$18)</f>
        <v>0.28287367508349831</v>
      </c>
    </row>
    <row r="28" spans="1:27" ht="10.8" customHeight="1" x14ac:dyDescent="0.25">
      <c r="A28" s="15">
        <v>-0.132943927400553</v>
      </c>
      <c r="B28" s="15">
        <v>0.37142318329104201</v>
      </c>
      <c r="C28" s="15">
        <v>5.6486576852663598E-3</v>
      </c>
      <c r="D28" s="15">
        <f t="shared" si="0"/>
        <v>-2.3203092536719563E-3</v>
      </c>
      <c r="E28" s="1">
        <f>(Arkusz1!C$35-Arkusz1!C$33)*(1-ABS('projekty 2 i 3'!G28/Arkusz1!C$36))</f>
        <v>-2.2232365677992967E-4</v>
      </c>
      <c r="F28" s="15">
        <f t="shared" si="2"/>
        <v>1.9248494885707537E-2</v>
      </c>
      <c r="G28" s="39">
        <f t="shared" si="3"/>
        <v>0.37142318329104201</v>
      </c>
      <c r="H28" s="40">
        <f t="shared" si="4"/>
        <v>5.6486576852663598E-3</v>
      </c>
      <c r="I28" s="41">
        <f t="shared" si="5"/>
        <v>-0.132943927400553</v>
      </c>
      <c r="J28" s="49">
        <f t="shared" si="6"/>
        <v>5.4263340284864299E-3</v>
      </c>
      <c r="K28" s="50">
        <f>DEGREES(G28*(1+Arkusz1!C$46)/Arkusz1!C$20/PI())</f>
        <v>1.2358014463307447</v>
      </c>
      <c r="L28" s="48">
        <f t="shared" si="1"/>
        <v>1.1028575189301917</v>
      </c>
      <c r="M28" s="47">
        <f>G28^2*(1+Arkusz1!C$45)/Arkusz1!C$20/PI()</f>
        <v>7.1471030244342803E-3</v>
      </c>
      <c r="N28" s="51">
        <f>J28+M28+Arkusz1!C$38</f>
        <v>1.5160192277718218E-2</v>
      </c>
      <c r="O28" s="63">
        <f>Arkusz1!C$31/Arkusz1!C$63+(Arkusz1!C$54-Arkusz1!C$29)/Arkusz1!C$63*'projekty 2 i 3'!G28</f>
        <v>-0.23542596973558916</v>
      </c>
      <c r="P28" s="52">
        <f>Arkusz1!C$58+Arkusz1!C$59+1/PI()/Arkusz1!C$62*'projekty 2 i 3'!O28^2</f>
        <v>2.0042571457783407E-2</v>
      </c>
      <c r="Q28" s="52">
        <f>Arkusz1!C$90*(1+1/Arkusz1!C$91*ABS('projekty 2 i 3'!G28))</f>
        <v>3.3575573666557577E-2</v>
      </c>
      <c r="R28" s="52">
        <f>(N28+Q28+P28*Arkusz1!C$53/Arkusz1!C$5)*(1+Arkusz1!C$92)</f>
        <v>5.507093486780866E-2</v>
      </c>
      <c r="S28" s="52">
        <f>O28*Arkusz1!C$53/Arkusz1!C$5</f>
        <v>-3.7798947363102929E-2</v>
      </c>
      <c r="T28" s="53">
        <f t="shared" si="7"/>
        <v>0.33362423592793911</v>
      </c>
      <c r="U28" s="48">
        <f t="shared" si="8"/>
        <v>6.0580819397521593</v>
      </c>
      <c r="V28" s="69">
        <f t="shared" si="9"/>
        <v>12.244128491929899</v>
      </c>
      <c r="W28" s="71">
        <f t="shared" si="10"/>
        <v>-0.132943927400553</v>
      </c>
      <c r="X28" s="25">
        <f t="shared" si="11"/>
        <v>0.11130513079850117</v>
      </c>
      <c r="Y28" s="15">
        <f t="shared" si="12"/>
        <v>0.6058081939752159</v>
      </c>
      <c r="Z28" s="15">
        <f t="shared" si="13"/>
        <v>0.122441284919299</v>
      </c>
      <c r="AA28" s="15">
        <f>Arkusz1!C$32*('projekty 2 i 3'!D28-'projekty 2 i 3'!D$18)</f>
        <v>0.35077801648333073</v>
      </c>
    </row>
    <row r="29" spans="1:27" ht="10.8" customHeight="1" x14ac:dyDescent="0.25">
      <c r="A29" s="15">
        <v>0.39199101117445401</v>
      </c>
      <c r="B29" s="15">
        <v>0.41737535168500001</v>
      </c>
      <c r="C29" s="15">
        <v>5.7356698737936499E-3</v>
      </c>
      <c r="D29" s="15">
        <f t="shared" si="0"/>
        <v>6.8415337832161069E-3</v>
      </c>
      <c r="E29" s="1">
        <f>(Arkusz1!C$35-Arkusz1!C$33)*(1-ABS('projekty 2 i 3'!G29/Arkusz1!C$36))</f>
        <v>-1.5182885556031783E-4</v>
      </c>
      <c r="F29" s="15">
        <f t="shared" si="2"/>
        <v>3.1078812494072273E-2</v>
      </c>
      <c r="G29" s="39">
        <f t="shared" si="3"/>
        <v>0.41737535168500001</v>
      </c>
      <c r="H29" s="40">
        <f t="shared" si="4"/>
        <v>5.7356698737936499E-3</v>
      </c>
      <c r="I29" s="41">
        <f t="shared" si="5"/>
        <v>0.39199101117445401</v>
      </c>
      <c r="J29" s="49">
        <f t="shared" si="6"/>
        <v>5.5838410182333324E-3</v>
      </c>
      <c r="K29" s="50">
        <f>DEGREES(G29*(1+Arkusz1!C$46)/Arkusz1!C$20/PI())</f>
        <v>1.388693777014339</v>
      </c>
      <c r="L29" s="48">
        <f t="shared" si="1"/>
        <v>1.7806847881887931</v>
      </c>
      <c r="M29" s="47">
        <f>G29^2*(1+Arkusz1!C$45)/Arkusz1!C$20/PI()</f>
        <v>9.0249670053396246E-3</v>
      </c>
      <c r="N29" s="51">
        <f>J29+M29+Arkusz1!C$38</f>
        <v>1.7195563248370467E-2</v>
      </c>
      <c r="O29" s="63">
        <f>Arkusz1!C$31/Arkusz1!C$63+(Arkusz1!C$54-Arkusz1!C$29)/Arkusz1!C$63*'projekty 2 i 3'!G29</f>
        <v>-0.23086403211048234</v>
      </c>
      <c r="P29" s="52">
        <f>Arkusz1!C$58+Arkusz1!C$59+1/PI()/Arkusz1!C$62*'projekty 2 i 3'!O29^2</f>
        <v>1.9707037946926957E-2</v>
      </c>
      <c r="Q29" s="52">
        <f>Arkusz1!C$90*(1+1/Arkusz1!C$91*ABS('projekty 2 i 3'!G29))</f>
        <v>3.3928518314183261E-2</v>
      </c>
      <c r="R29" s="52">
        <f>(N29+Q29+P29*Arkusz1!C$53/Arkusz1!C$5)*(1+Arkusz1!C$92)</f>
        <v>5.754544534778562E-2</v>
      </c>
      <c r="S29" s="52">
        <f>O29*Arkusz1!C$53/Arkusz1!C$5</f>
        <v>-3.706650293329411E-2</v>
      </c>
      <c r="T29" s="53">
        <f t="shared" si="7"/>
        <v>0.3803088487517059</v>
      </c>
      <c r="U29" s="48">
        <f t="shared" si="8"/>
        <v>6.6088436096592025</v>
      </c>
      <c r="V29" s="69">
        <f t="shared" si="9"/>
        <v>16.61067879507285</v>
      </c>
      <c r="W29" s="71">
        <f t="shared" si="10"/>
        <v>0.39199101117445401</v>
      </c>
      <c r="X29" s="25">
        <f t="shared" si="11"/>
        <v>0.1446348204388479</v>
      </c>
      <c r="Y29" s="15">
        <f t="shared" si="12"/>
        <v>0.66088436096592029</v>
      </c>
      <c r="Z29" s="15">
        <f t="shared" si="13"/>
        <v>0.1661067879507285</v>
      </c>
      <c r="AA29" s="15">
        <f>Arkusz1!C$32*('projekty 2 i 3'!D29-'projekty 2 i 3'!D$18)</f>
        <v>0.40420622033724724</v>
      </c>
    </row>
    <row r="30" spans="1:27" ht="10.8" customHeight="1" x14ac:dyDescent="0.25">
      <c r="A30" s="15">
        <v>1.2332757657451801</v>
      </c>
      <c r="B30" s="15">
        <v>0.518821621947259</v>
      </c>
      <c r="C30" s="15">
        <v>5.7263980832128799E-3</v>
      </c>
      <c r="D30" s="15">
        <f t="shared" si="0"/>
        <v>2.152472269730769E-2</v>
      </c>
      <c r="E30" s="1">
        <f>(Arkusz1!C$35-Arkusz1!C$33)*(1-ABS('projekty 2 i 3'!G30/Arkusz1!C$36))</f>
        <v>3.7989397440985073E-6</v>
      </c>
      <c r="F30" s="15">
        <f t="shared" si="2"/>
        <v>5.1653057304485432E-2</v>
      </c>
      <c r="G30" s="39">
        <f t="shared" si="3"/>
        <v>0.518821621947259</v>
      </c>
      <c r="H30" s="40">
        <f t="shared" si="4"/>
        <v>5.7263980832128799E-3</v>
      </c>
      <c r="I30" s="41">
        <f t="shared" si="5"/>
        <v>1.2332757657451801</v>
      </c>
      <c r="J30" s="49">
        <f t="shared" si="6"/>
        <v>5.7301970229569786E-3</v>
      </c>
      <c r="K30" s="50">
        <f>DEGREES(G30*(1+Arkusz1!C$46)/Arkusz1!C$20/PI())</f>
        <v>1.7262264167492236</v>
      </c>
      <c r="L30" s="48">
        <f t="shared" si="1"/>
        <v>2.9595021824944037</v>
      </c>
      <c r="M30" s="47">
        <f>G30^2*(1+Arkusz1!C$45)/Arkusz1!C$20/PI()</f>
        <v>1.394530961454769E-2</v>
      </c>
      <c r="N30" s="51">
        <f>J30+M30+Arkusz1!C$38</f>
        <v>2.226226186230218E-2</v>
      </c>
      <c r="O30" s="63">
        <f>Arkusz1!C$31/Arkusz1!C$63+(Arkusz1!C$54-Arkusz1!C$29)/Arkusz1!C$63*'projekty 2 i 3'!G30</f>
        <v>-0.22079287391684627</v>
      </c>
      <c r="P30" s="52">
        <f>Arkusz1!C$58+Arkusz1!C$59+1/PI()/Arkusz1!C$62*'projekty 2 i 3'!O30^2</f>
        <v>1.8989543527293082E-2</v>
      </c>
      <c r="Q30" s="52">
        <f>Arkusz1!C$90*(1+1/Arkusz1!C$91*ABS('projekty 2 i 3'!G30))</f>
        <v>3.4707696302122573E-2</v>
      </c>
      <c r="R30" s="52">
        <f>(N30+Q30+P30*Arkusz1!C$53/Arkusz1!C$5)*(1+Arkusz1!C$92)</f>
        <v>6.3619964967707443E-2</v>
      </c>
      <c r="S30" s="52">
        <f>O30*Arkusz1!C$53/Arkusz1!C$5</f>
        <v>-3.5449522534426986E-2</v>
      </c>
      <c r="T30" s="53">
        <f t="shared" si="7"/>
        <v>0.48337209941283199</v>
      </c>
      <c r="U30" s="48">
        <f t="shared" si="8"/>
        <v>7.5978051804678692</v>
      </c>
      <c r="V30" s="69">
        <f t="shared" si="9"/>
        <v>27.903448889819906</v>
      </c>
      <c r="W30" s="71">
        <f t="shared" si="10"/>
        <v>1.2332757657451801</v>
      </c>
      <c r="X30" s="25">
        <f t="shared" si="11"/>
        <v>0.23364858649076872</v>
      </c>
      <c r="Y30" s="15">
        <f t="shared" si="12"/>
        <v>0.75978051804678692</v>
      </c>
      <c r="Z30" s="15">
        <f t="shared" si="13"/>
        <v>0.27903448889819904</v>
      </c>
      <c r="AA30" s="15">
        <f>Arkusz1!C$32*('projekty 2 i 3'!D30-'projekty 2 i 3'!D$18)</f>
        <v>0.4898327048086637</v>
      </c>
    </row>
    <row r="31" spans="1:27" ht="10.8" customHeight="1" x14ac:dyDescent="0.25">
      <c r="A31" s="15">
        <v>2.0732745454541202</v>
      </c>
      <c r="B31" s="15">
        <v>0.61435240784536904</v>
      </c>
      <c r="C31" s="15">
        <v>5.8082751261877303E-3</v>
      </c>
      <c r="D31" s="15">
        <f t="shared" si="0"/>
        <v>3.6185467115963231E-2</v>
      </c>
      <c r="E31" s="1">
        <f>(Arkusz1!C$35-Arkusz1!C$33)*(1-ABS('projekty 2 i 3'!G31/Arkusz1!C$36))</f>
        <v>1.5035184459300294E-4</v>
      </c>
      <c r="F31" s="15">
        <f t="shared" si="2"/>
        <v>7.1861341303358209E-2</v>
      </c>
      <c r="G31" s="39">
        <f t="shared" si="3"/>
        <v>0.61435240784536904</v>
      </c>
      <c r="H31" s="40">
        <f t="shared" si="4"/>
        <v>5.8082751261877303E-3</v>
      </c>
      <c r="I31" s="41">
        <f t="shared" si="5"/>
        <v>2.0732745454541202</v>
      </c>
      <c r="J31" s="49">
        <f t="shared" si="6"/>
        <v>5.9586269707807334E-3</v>
      </c>
      <c r="K31" s="50">
        <f>DEGREES(G31*(1+Arkusz1!C$46)/Arkusz1!C$20/PI())</f>
        <v>2.0440770213774471</v>
      </c>
      <c r="L31" s="48">
        <f t="shared" si="1"/>
        <v>4.1173515668315677</v>
      </c>
      <c r="M31" s="47">
        <f>G31^2*(1+Arkusz1!C$45)/Arkusz1!C$20/PI()</f>
        <v>1.9553619341073483E-2</v>
      </c>
      <c r="N31" s="51">
        <f>J31+M31+Arkusz1!C$38</f>
        <v>2.8099001536651728E-2</v>
      </c>
      <c r="O31" s="63">
        <f>Arkusz1!C$31/Arkusz1!C$63+(Arkusz1!C$54-Arkusz1!C$29)/Arkusz1!C$63*'projekty 2 i 3'!G31</f>
        <v>-0.21130898008166621</v>
      </c>
      <c r="P31" s="52">
        <f>Arkusz1!C$58+Arkusz1!C$59+1/PI()/Arkusz1!C$62*'projekty 2 i 3'!O31^2</f>
        <v>1.8343140668903715E-2</v>
      </c>
      <c r="Q31" s="52">
        <f>Arkusz1!C$90*(1+1/Arkusz1!C$91*ABS('projekty 2 i 3'!G31))</f>
        <v>3.5441439251468275E-2</v>
      </c>
      <c r="R31" s="52">
        <f>(N31+Q31+P31*Arkusz1!C$53/Arkusz1!C$5)*(1+Arkusz1!C$92)</f>
        <v>7.0474665964580518E-2</v>
      </c>
      <c r="S31" s="52">
        <f>O31*Arkusz1!C$53/Arkusz1!C$5</f>
        <v>-3.3926830690889739E-2</v>
      </c>
      <c r="T31" s="53">
        <f t="shared" si="7"/>
        <v>0.58042557715447929</v>
      </c>
      <c r="U31" s="48">
        <f t="shared" si="8"/>
        <v>8.2359464810545138</v>
      </c>
      <c r="V31" s="69">
        <f t="shared" si="9"/>
        <v>39.370739619495538</v>
      </c>
      <c r="W31" s="71">
        <f t="shared" si="10"/>
        <v>2.0732745454541202</v>
      </c>
      <c r="X31" s="25">
        <f t="shared" si="11"/>
        <v>0.3368938506151104</v>
      </c>
      <c r="Y31" s="15">
        <f t="shared" si="12"/>
        <v>0.82359464810545135</v>
      </c>
      <c r="Z31" s="15">
        <f t="shared" si="13"/>
        <v>0.39370739619495537</v>
      </c>
      <c r="AA31" s="15">
        <f>Arkusz1!C$32*('projekty 2 i 3'!D31-'projekty 2 i 3'!D$18)</f>
        <v>0.57532830196049534</v>
      </c>
    </row>
    <row r="32" spans="1:27" ht="10.8" customHeight="1" x14ac:dyDescent="0.25">
      <c r="A32" s="15">
        <v>3.0794212773039198</v>
      </c>
      <c r="B32" s="15">
        <v>0.72047105343872897</v>
      </c>
      <c r="C32" s="15">
        <v>5.8449343597148096E-3</v>
      </c>
      <c r="D32" s="15">
        <f t="shared" si="0"/>
        <v>5.3746040344922731E-2</v>
      </c>
      <c r="E32" s="1">
        <f>(Arkusz1!C$35-Arkusz1!C$33)*(1-ABS('projekty 2 i 3'!G32/Arkusz1!C$36))</f>
        <v>3.1314748815575497E-4</v>
      </c>
      <c r="F32" s="15">
        <f t="shared" si="2"/>
        <v>9.5584298533388234E-2</v>
      </c>
      <c r="G32" s="39">
        <f t="shared" si="3"/>
        <v>0.72047105343872897</v>
      </c>
      <c r="H32" s="40">
        <f t="shared" si="4"/>
        <v>5.8449343597148096E-3</v>
      </c>
      <c r="I32" s="41">
        <f t="shared" si="5"/>
        <v>3.0794212773039198</v>
      </c>
      <c r="J32" s="49">
        <f t="shared" si="6"/>
        <v>6.1580818478705647E-3</v>
      </c>
      <c r="K32" s="50">
        <f>DEGREES(G32*(1+Arkusz1!C$46)/Arkusz1!C$20/PI())</f>
        <v>2.3971556163777303</v>
      </c>
      <c r="L32" s="48">
        <f t="shared" si="1"/>
        <v>5.4765768936816501</v>
      </c>
      <c r="M32" s="47">
        <f>G32^2*(1+Arkusz1!C$45)/Arkusz1!C$20/PI()</f>
        <v>2.6892123700453394E-2</v>
      </c>
      <c r="N32" s="51">
        <f>J32+M32+Arkusz1!C$38</f>
        <v>3.5636960773121465E-2</v>
      </c>
      <c r="O32" s="63">
        <f>Arkusz1!C$31/Arkusz1!C$63+(Arkusz1!C$54-Arkusz1!C$29)/Arkusz1!C$63*'projekty 2 i 3'!G32</f>
        <v>-0.20077396815562665</v>
      </c>
      <c r="P32" s="52">
        <f>Arkusz1!C$58+Arkusz1!C$59+1/PI()/Arkusz1!C$62*'projekty 2 i 3'!O32^2</f>
        <v>1.7658362146774714E-2</v>
      </c>
      <c r="Q32" s="52">
        <f>Arkusz1!C$90*(1+1/Arkusz1!C$91*ABS('projekty 2 i 3'!G32))</f>
        <v>3.6256504335108325E-2</v>
      </c>
      <c r="R32" s="52">
        <f>(N32+Q32+P32*Arkusz1!C$53/Arkusz1!C$5)*(1+Arkusz1!C$92)</f>
        <v>7.9212330048080787E-2</v>
      </c>
      <c r="S32" s="52">
        <f>O32*Arkusz1!C$53/Arkusz1!C$5</f>
        <v>-3.2235375998320062E-2</v>
      </c>
      <c r="T32" s="53">
        <f t="shared" si="7"/>
        <v>0.68823567744040892</v>
      </c>
      <c r="U32" s="48">
        <f t="shared" si="8"/>
        <v>8.68849176665627</v>
      </c>
      <c r="V32" s="69">
        <f t="shared" si="9"/>
        <v>51.954835019185118</v>
      </c>
      <c r="W32" s="71">
        <f t="shared" si="10"/>
        <v>3.0794212773039198</v>
      </c>
      <c r="X32" s="25">
        <f t="shared" si="11"/>
        <v>0.47366834770185862</v>
      </c>
      <c r="Y32" s="15">
        <f t="shared" si="12"/>
        <v>0.868849176665627</v>
      </c>
      <c r="Z32" s="15">
        <f t="shared" si="13"/>
        <v>0.51954835019185119</v>
      </c>
      <c r="AA32" s="15">
        <f>Arkusz1!C$32*('projekty 2 i 3'!D32-'projekty 2 i 3'!D$18)</f>
        <v>0.67773454080249551</v>
      </c>
    </row>
    <row r="33" spans="1:27" ht="10.8" customHeight="1" x14ac:dyDescent="0.25">
      <c r="A33" s="15">
        <v>4.1542390667722904</v>
      </c>
      <c r="B33" s="15">
        <v>0.81946539829787601</v>
      </c>
      <c r="C33" s="15">
        <v>5.9111206801683502E-3</v>
      </c>
      <c r="D33" s="15">
        <f t="shared" si="0"/>
        <v>7.2505149630153032E-2</v>
      </c>
      <c r="E33" s="1">
        <f>(Arkusz1!C$35-Arkusz1!C$33)*(1-ABS('projekty 2 i 3'!G33/Arkusz1!C$36))</f>
        <v>4.6501380712643607E-4</v>
      </c>
      <c r="F33" s="15">
        <f t="shared" si="2"/>
        <v>0.12009207869116349</v>
      </c>
      <c r="G33" s="39">
        <f t="shared" si="3"/>
        <v>0.81946539829787601</v>
      </c>
      <c r="H33" s="40">
        <f t="shared" si="4"/>
        <v>5.9111206801683502E-3</v>
      </c>
      <c r="I33" s="41">
        <f t="shared" si="5"/>
        <v>4.1542390667722904</v>
      </c>
      <c r="J33" s="49">
        <f t="shared" si="6"/>
        <v>6.3761344872947864E-3</v>
      </c>
      <c r="K33" s="50">
        <f>DEGREES(G33*(1+Arkusz1!C$46)/Arkusz1!C$20/PI())</f>
        <v>2.7265301951843441</v>
      </c>
      <c r="L33" s="48">
        <f t="shared" si="1"/>
        <v>6.880769261956635</v>
      </c>
      <c r="M33" s="47">
        <f>G33^2*(1+Arkusz1!C$45)/Arkusz1!C$20/PI()</f>
        <v>3.4789906974393256E-2</v>
      </c>
      <c r="N33" s="51">
        <f>J33+M33+Arkusz1!C$38</f>
        <v>4.3752796686485552E-2</v>
      </c>
      <c r="O33" s="63">
        <f>Arkusz1!C$31/Arkusz1!C$63+(Arkusz1!C$54-Arkusz1!C$29)/Arkusz1!C$63*'projekty 2 i 3'!G33</f>
        <v>-0.19094622678303186</v>
      </c>
      <c r="P33" s="52">
        <f>Arkusz1!C$58+Arkusz1!C$59+1/PI()/Arkusz1!C$62*'projekty 2 i 3'!O33^2</f>
        <v>1.7051122476534862E-2</v>
      </c>
      <c r="Q33" s="52">
        <f>Arkusz1!C$90*(1+1/Arkusz1!C$91*ABS('projekty 2 i 3'!G33))</f>
        <v>3.7016849828789986E-2</v>
      </c>
      <c r="R33" s="52">
        <f>(N33+Q33+P33*Arkusz1!C$53/Arkusz1!C$5)*(1+Arkusz1!C$92)</f>
        <v>8.8517736894781915E-2</v>
      </c>
      <c r="S33" s="52">
        <f>O33*Arkusz1!C$53/Arkusz1!C$5</f>
        <v>-3.0657477522386782E-2</v>
      </c>
      <c r="T33" s="53">
        <f t="shared" si="7"/>
        <v>0.78880792077548922</v>
      </c>
      <c r="U33" s="48">
        <f t="shared" si="8"/>
        <v>8.9112978759626333</v>
      </c>
      <c r="V33" s="69">
        <f t="shared" si="9"/>
        <v>62.640207091689405</v>
      </c>
      <c r="W33" s="71">
        <f t="shared" si="10"/>
        <v>4.1542390667722904</v>
      </c>
      <c r="X33" s="25">
        <f t="shared" si="11"/>
        <v>0.62221793587815044</v>
      </c>
      <c r="Y33" s="15">
        <f t="shared" si="12"/>
        <v>0.89112978759626338</v>
      </c>
      <c r="Z33" s="15">
        <f t="shared" si="13"/>
        <v>0.62640207091689404</v>
      </c>
      <c r="AA33" s="15">
        <f>Arkusz1!C$32*('projekty 2 i 3'!D33-'projekty 2 i 3'!D$18)</f>
        <v>0.78713016251024459</v>
      </c>
    </row>
    <row r="34" spans="1:27" ht="10.8" customHeight="1" x14ac:dyDescent="0.25">
      <c r="A34" s="15">
        <v>5.3463377636342004</v>
      </c>
      <c r="B34" s="15">
        <v>0.91959997420112805</v>
      </c>
      <c r="C34" s="15">
        <v>6.2566018615012901E-3</v>
      </c>
      <c r="D34" s="15">
        <f t="shared" si="0"/>
        <v>9.3311196899127161E-2</v>
      </c>
      <c r="E34" s="1">
        <f>(Arkusz1!C$35-Arkusz1!C$33)*(1-ABS('projekty 2 i 3'!G34/Arkusz1!C$36))</f>
        <v>6.1862934411245618E-4</v>
      </c>
      <c r="F34" s="15">
        <f t="shared" si="2"/>
        <v>0.14671301084723604</v>
      </c>
      <c r="G34" s="39">
        <f t="shared" si="3"/>
        <v>0.91959997420112805</v>
      </c>
      <c r="H34" s="40">
        <f t="shared" si="4"/>
        <v>6.2566018615012901E-3</v>
      </c>
      <c r="I34" s="41">
        <f t="shared" si="5"/>
        <v>5.3463377636342004</v>
      </c>
      <c r="J34" s="49">
        <f t="shared" si="6"/>
        <v>6.8752312056137464E-3</v>
      </c>
      <c r="K34" s="50">
        <f>DEGREES(G34*(1+Arkusz1!C$46)/Arkusz1!C$20/PI())</f>
        <v>3.0596985575694906</v>
      </c>
      <c r="L34" s="48">
        <f t="shared" si="1"/>
        <v>8.4060363212036915</v>
      </c>
      <c r="M34" s="47">
        <f>G34^2*(1+Arkusz1!C$45)/Arkusz1!C$20/PI()</f>
        <v>4.3811682090408123E-2</v>
      </c>
      <c r="N34" s="51">
        <f>J34+M34+Arkusz1!C$38</f>
        <v>5.3273668520819377E-2</v>
      </c>
      <c r="O34" s="63">
        <f>Arkusz1!C$31/Arkusz1!C$63+(Arkusz1!C$54-Arkusz1!C$29)/Arkusz1!C$63*'projekty 2 i 3'!G34</f>
        <v>-0.18100528807757515</v>
      </c>
      <c r="P34" s="52">
        <f>Arkusz1!C$58+Arkusz1!C$59+1/PI()/Arkusz1!C$62*'projekty 2 i 3'!O34^2</f>
        <v>1.6467886664835577E-2</v>
      </c>
      <c r="Q34" s="52">
        <f>Arkusz1!C$90*(1+1/Arkusz1!C$91*ABS('projekty 2 i 3'!G34))</f>
        <v>3.7785953090780283E-2</v>
      </c>
      <c r="R34" s="52">
        <f>(N34+Q34+P34*Arkusz1!C$53/Arkusz1!C$5)*(1+Arkusz1!C$92)</f>
        <v>9.9325850242132169E-2</v>
      </c>
      <c r="S34" s="52">
        <f>O34*Arkusz1!C$53/Arkusz1!C$5</f>
        <v>-2.9061404585788455E-2</v>
      </c>
      <c r="T34" s="53">
        <f t="shared" si="7"/>
        <v>0.89053856961533961</v>
      </c>
      <c r="U34" s="48">
        <f t="shared" si="8"/>
        <v>8.9658288093625575</v>
      </c>
      <c r="V34" s="69">
        <f t="shared" si="9"/>
        <v>71.5869102560724</v>
      </c>
      <c r="W34" s="71">
        <f t="shared" si="10"/>
        <v>5.3463377636342004</v>
      </c>
      <c r="X34" s="25">
        <f t="shared" si="11"/>
        <v>0.79305894397253507</v>
      </c>
      <c r="Y34" s="15">
        <f t="shared" si="12"/>
        <v>0.89658288093625571</v>
      </c>
      <c r="Z34" s="15">
        <f t="shared" si="13"/>
        <v>0.715869102560724</v>
      </c>
      <c r="AA34" s="15">
        <f>Arkusz1!C$32*('projekty 2 i 3'!D34-'projekty 2 i 3'!D$18)</f>
        <v>0.90846270776399396</v>
      </c>
    </row>
    <row r="35" spans="1:27" ht="10.8" customHeight="1" x14ac:dyDescent="0.25">
      <c r="A35" s="15">
        <v>6.18736532323258</v>
      </c>
      <c r="B35" s="15">
        <v>1.01986314759055</v>
      </c>
      <c r="C35" s="15">
        <v>7.4941719396369698E-3</v>
      </c>
      <c r="D35" s="15">
        <f t="shared" si="0"/>
        <v>0.10798989691413172</v>
      </c>
      <c r="E35" s="1">
        <f>(Arkusz1!C$35-Arkusz1!C$33)*(1-ABS('projekty 2 i 3'!G35/Arkusz1!C$36))</f>
        <v>7.724421613257591E-4</v>
      </c>
      <c r="F35" s="15">
        <f t="shared" si="2"/>
        <v>0.16721406349534088</v>
      </c>
      <c r="G35" s="39">
        <f t="shared" si="3"/>
        <v>1.01986314759055</v>
      </c>
      <c r="H35" s="40">
        <f t="shared" si="4"/>
        <v>7.4941719396369698E-3</v>
      </c>
      <c r="I35" s="41">
        <f t="shared" si="5"/>
        <v>6.18736532323258</v>
      </c>
      <c r="J35" s="49">
        <f t="shared" si="6"/>
        <v>8.2666141009627297E-3</v>
      </c>
      <c r="K35" s="50">
        <f>DEGREES(G35*(1+Arkusz1!C$46)/Arkusz1!C$20/PI())</f>
        <v>3.3932947902830191</v>
      </c>
      <c r="L35" s="48">
        <f t="shared" si="1"/>
        <v>9.5806601135155987</v>
      </c>
      <c r="M35" s="47">
        <f>G35^2*(1+Arkusz1!C$45)/Arkusz1!C$20/PI()</f>
        <v>5.3885984864677508E-2</v>
      </c>
      <c r="N35" s="51">
        <f>J35+M35+Arkusz1!C$38</f>
        <v>6.4739354190437748E-2</v>
      </c>
      <c r="O35" s="63">
        <f>Arkusz1!C$31/Arkusz1!C$63+(Arkusz1!C$54-Arkusz1!C$29)/Arkusz1!C$63*'projekty 2 i 3'!G35</f>
        <v>-0.17105158275563101</v>
      </c>
      <c r="P35" s="52">
        <f>Arkusz1!C$58+Arkusz1!C$59+1/PI()/Arkusz1!C$62*'projekty 2 i 3'!O35^2</f>
        <v>1.5915137546327278E-2</v>
      </c>
      <c r="Q35" s="52">
        <f>Arkusz1!C$90*(1+1/Arkusz1!C$91*ABS('projekty 2 i 3'!G35))</f>
        <v>3.8556044071000821E-2</v>
      </c>
      <c r="R35" s="52">
        <f>(N35+Q35+P35*Arkusz1!C$53/Arkusz1!C$5)*(1+Arkusz1!C$92)</f>
        <v>0.11220170173264817</v>
      </c>
      <c r="S35" s="52">
        <f>O35*Arkusz1!C$53/Arkusz1!C$5</f>
        <v>-2.7463281897987427E-2</v>
      </c>
      <c r="T35" s="53">
        <f t="shared" si="7"/>
        <v>0.99239986569256255</v>
      </c>
      <c r="U35" s="48">
        <f t="shared" si="8"/>
        <v>8.8447844405892511</v>
      </c>
      <c r="V35" s="69">
        <f t="shared" si="9"/>
        <v>77.635651683906715</v>
      </c>
      <c r="W35" s="71">
        <f t="shared" si="10"/>
        <v>6.18736532323258</v>
      </c>
      <c r="X35" s="25">
        <f t="shared" si="11"/>
        <v>0.98485749342661622</v>
      </c>
      <c r="Y35" s="15">
        <f t="shared" si="12"/>
        <v>0.88447844405892506</v>
      </c>
      <c r="Z35" s="15">
        <f t="shared" si="13"/>
        <v>0.77635651683906715</v>
      </c>
      <c r="AA35" s="15">
        <f>Arkusz1!C$32*('projekty 2 i 3'!D35-'projekty 2 i 3'!D$18)</f>
        <v>0.99406301477149461</v>
      </c>
    </row>
    <row r="36" spans="1:27" ht="10.8" customHeight="1" x14ac:dyDescent="0.25">
      <c r="A36" s="15">
        <v>8.0569155772755501</v>
      </c>
      <c r="B36" s="15">
        <v>1.2215040059162801</v>
      </c>
      <c r="C36" s="15">
        <v>1.2666832583186301E-2</v>
      </c>
      <c r="D36" s="15">
        <f t="shared" si="0"/>
        <v>0.14061970437867799</v>
      </c>
      <c r="E36" s="1">
        <f>(Arkusz1!C$35-Arkusz1!C$33)*(1-ABS('projekty 2 i 3'!G36/Arkusz1!C$36))</f>
        <v>1.0817775577222708E-3</v>
      </c>
      <c r="F36" s="15">
        <f t="shared" si="2"/>
        <v>0.21155329669144174</v>
      </c>
      <c r="G36" s="39">
        <f t="shared" si="3"/>
        <v>1.2215040059162801</v>
      </c>
      <c r="H36" s="40">
        <f t="shared" si="4"/>
        <v>1.2666832583186301E-2</v>
      </c>
      <c r="I36" s="41">
        <f t="shared" si="5"/>
        <v>8.0569155772755501</v>
      </c>
      <c r="J36" s="49">
        <f t="shared" si="6"/>
        <v>1.3748610140908571E-2</v>
      </c>
      <c r="K36" s="50">
        <f>DEGREES(G36*(1+Arkusz1!C$46)/Arkusz1!C$20/PI())</f>
        <v>4.0641954652229826</v>
      </c>
      <c r="L36" s="48">
        <f t="shared" si="1"/>
        <v>12.121111042498534</v>
      </c>
      <c r="M36" s="47">
        <f>G36^2*(1+Arkusz1!C$45)/Arkusz1!C$20/PI()</f>
        <v>7.7300413660240444E-2</v>
      </c>
      <c r="N36" s="51">
        <f>J36+M36+Arkusz1!C$38</f>
        <v>9.3635779025946525E-2</v>
      </c>
      <c r="O36" s="63">
        <f>Arkusz1!C$31/Arkusz1!C$63+(Arkusz1!C$54-Arkusz1!C$29)/Arkusz1!C$63*'projekty 2 i 3'!G36</f>
        <v>-0.15103352810217677</v>
      </c>
      <c r="P36" s="52">
        <f>Arkusz1!C$58+Arkusz1!C$59+1/PI()/Arkusz1!C$62*'projekty 2 i 3'!O36^2</f>
        <v>1.4898132812607377E-2</v>
      </c>
      <c r="Q36" s="52">
        <f>Arkusz1!C$90*(1+1/Arkusz1!C$91*ABS('projekty 2 i 3'!G36))</f>
        <v>4.0104786256104592E-2</v>
      </c>
      <c r="R36" s="52">
        <f>(N36+Q36+P36*Arkusz1!C$53/Arkusz1!C$5)*(1+Arkusz1!C$92)</f>
        <v>0.14430049586887095</v>
      </c>
      <c r="S36" s="52">
        <f>O36*Arkusz1!C$53/Arkusz1!C$5</f>
        <v>-2.4249272011960601E-2</v>
      </c>
      <c r="T36" s="53">
        <f t="shared" si="7"/>
        <v>1.1972547339043194</v>
      </c>
      <c r="U36" s="48">
        <f t="shared" si="8"/>
        <v>8.2969550914938726</v>
      </c>
      <c r="V36" s="69">
        <f t="shared" si="9"/>
        <v>82.418373902331069</v>
      </c>
      <c r="W36" s="71">
        <f t="shared" si="10"/>
        <v>8.0569155772755501</v>
      </c>
      <c r="X36" s="25">
        <f t="shared" si="11"/>
        <v>1.4334188978563025</v>
      </c>
      <c r="Y36" s="15">
        <f t="shared" si="12"/>
        <v>0.82969550914938728</v>
      </c>
      <c r="Z36" s="15">
        <f t="shared" si="13"/>
        <v>0.82418373902331066</v>
      </c>
      <c r="AA36" s="15">
        <f>Arkusz1!C$32*('projekty 2 i 3'!D36-'projekty 2 i 3'!D$18)</f>
        <v>1.1843469999817426</v>
      </c>
    </row>
    <row r="37" spans="1:27" ht="10.8" customHeight="1" x14ac:dyDescent="0.25">
      <c r="A37" s="15">
        <v>9.6232329589128796</v>
      </c>
      <c r="B37" s="15">
        <v>1.3203183142947801</v>
      </c>
      <c r="C37" s="15">
        <v>1.51990299122624E-2</v>
      </c>
      <c r="D37" s="15">
        <f t="shared" si="0"/>
        <v>0.16795709981946594</v>
      </c>
      <c r="E37" s="1">
        <f>(Arkusz1!C$35-Arkusz1!C$33)*(1-ABS('projekty 2 i 3'!G37/Arkusz1!C$36))</f>
        <v>1.233367684374742E-3</v>
      </c>
      <c r="F37" s="15">
        <f t="shared" si="2"/>
        <v>0.24462890816037153</v>
      </c>
      <c r="G37" s="39">
        <f t="shared" si="3"/>
        <v>1.3203183142947801</v>
      </c>
      <c r="H37" s="40">
        <f t="shared" si="4"/>
        <v>1.51990299122624E-2</v>
      </c>
      <c r="I37" s="41">
        <f t="shared" si="5"/>
        <v>9.6232329589128796</v>
      </c>
      <c r="J37" s="49">
        <f t="shared" si="6"/>
        <v>1.6432397596637144E-2</v>
      </c>
      <c r="K37" s="50">
        <f>DEGREES(G37*(1+Arkusz1!C$46)/Arkusz1!C$20/PI())</f>
        <v>4.3929710255698309</v>
      </c>
      <c r="L37" s="48">
        <f t="shared" si="1"/>
        <v>14.016203984482711</v>
      </c>
      <c r="M37" s="47">
        <f>G37^2*(1+Arkusz1!C$45)/Arkusz1!C$20/PI()</f>
        <v>9.0312803056895652E-2</v>
      </c>
      <c r="N37" s="51">
        <f>J37+M37+Arkusz1!C$38</f>
        <v>0.10933195587833031</v>
      </c>
      <c r="O37" s="63">
        <f>Arkusz1!C$31/Arkusz1!C$63+(Arkusz1!C$54-Arkusz1!C$29)/Arkusz1!C$63*'projekty 2 i 3'!G37</f>
        <v>-0.14122365999266531</v>
      </c>
      <c r="P37" s="52">
        <f>Arkusz1!C$58+Arkusz1!C$59+1/PI()/Arkusz1!C$62*'projekty 2 i 3'!O37^2</f>
        <v>1.4445903379546782E-2</v>
      </c>
      <c r="Q37" s="52">
        <f>Arkusz1!C$90*(1+1/Arkusz1!C$91*ABS('projekty 2 i 3'!G37))</f>
        <v>4.0863748944263846E-2</v>
      </c>
      <c r="R37" s="52">
        <f>(N37+Q37+P37*Arkusz1!C$53/Arkusz1!C$5)*(1+Arkusz1!C$92)</f>
        <v>0.16166597935711113</v>
      </c>
      <c r="S37" s="52">
        <f>O37*Arkusz1!C$53/Arkusz1!C$5</f>
        <v>-2.2674243187711263E-2</v>
      </c>
      <c r="T37" s="53">
        <f t="shared" si="7"/>
        <v>1.2976440711070689</v>
      </c>
      <c r="U37" s="48">
        <f t="shared" si="8"/>
        <v>8.0266984820637219</v>
      </c>
      <c r="V37" s="69">
        <f t="shared" si="9"/>
        <v>83.604467554473828</v>
      </c>
      <c r="W37" s="71">
        <f t="shared" si="10"/>
        <v>9.6232329589128796</v>
      </c>
      <c r="X37" s="25">
        <f t="shared" si="11"/>
        <v>1.6838801352793278</v>
      </c>
      <c r="Y37" s="15">
        <f t="shared" si="12"/>
        <v>0.80266984820637222</v>
      </c>
      <c r="Z37" s="15">
        <f t="shared" si="13"/>
        <v>0.83604467554473827</v>
      </c>
      <c r="AA37" s="15">
        <f>Arkusz1!C$32*('projekty 2 i 3'!D37-'projekty 2 i 3'!D$18)</f>
        <v>1.3437677552342417</v>
      </c>
    </row>
    <row r="38" spans="1:27" ht="10.8" customHeight="1" x14ac:dyDescent="0.25">
      <c r="A38" s="15">
        <v>11.1900647304949</v>
      </c>
      <c r="B38" s="15">
        <v>1.4214988164189299</v>
      </c>
      <c r="C38" s="15">
        <v>1.9133264620083999E-2</v>
      </c>
      <c r="D38" s="15">
        <f t="shared" si="0"/>
        <v>0.19530347305842793</v>
      </c>
      <c r="E38" s="1">
        <f>(Arkusz1!C$35-Arkusz1!C$33)*(1-ABS('projekty 2 i 3'!G38/Arkusz1!C$36))</f>
        <v>1.3885877672094029E-3</v>
      </c>
      <c r="F38" s="15">
        <f t="shared" si="2"/>
        <v>0.27785090395391648</v>
      </c>
      <c r="G38" s="39">
        <f t="shared" si="3"/>
        <v>1.4214988164189299</v>
      </c>
      <c r="H38" s="40">
        <f t="shared" si="4"/>
        <v>1.9133264620083999E-2</v>
      </c>
      <c r="I38" s="41">
        <f t="shared" si="5"/>
        <v>11.1900647304949</v>
      </c>
      <c r="J38" s="49">
        <f t="shared" si="6"/>
        <v>2.0521852387293402E-2</v>
      </c>
      <c r="K38" s="50">
        <f>DEGREES(G38*(1+Arkusz1!C$46)/Arkusz1!C$20/PI())</f>
        <v>4.7296193999593124</v>
      </c>
      <c r="L38" s="48">
        <f t="shared" si="1"/>
        <v>15.919684130454211</v>
      </c>
      <c r="M38" s="47">
        <f>G38^2*(1+Arkusz1!C$45)/Arkusz1!C$20/PI()</f>
        <v>0.1046851384284002</v>
      </c>
      <c r="N38" s="51">
        <f>J38+M38+Arkusz1!C$38</f>
        <v>0.12779374604049112</v>
      </c>
      <c r="O38" s="63">
        <f>Arkusz1!C$31/Arkusz1!C$63+(Arkusz1!C$54-Arkusz1!C$29)/Arkusz1!C$63*'projekty 2 i 3'!G38</f>
        <v>-0.13117888613977241</v>
      </c>
      <c r="P38" s="52">
        <f>Arkusz1!C$58+Arkusz1!C$59+1/PI()/Arkusz1!C$62*'projekty 2 i 3'!O38^2</f>
        <v>1.4014303036828313E-2</v>
      </c>
      <c r="Q38" s="52">
        <f>Arkusz1!C$90*(1+1/Arkusz1!C$91*ABS('projekty 2 i 3'!G38))</f>
        <v>4.1640885647860476E-2</v>
      </c>
      <c r="R38" s="52">
        <f>(N38+Q38+P38*Arkusz1!C$53/Arkusz1!C$5)*(1+Arkusz1!C$92)</f>
        <v>0.1819857882520427</v>
      </c>
      <c r="S38" s="52">
        <f>O38*Arkusz1!C$53/Arkusz1!C$5</f>
        <v>-2.1061498941330126E-2</v>
      </c>
      <c r="T38" s="53">
        <f t="shared" si="7"/>
        <v>1.4004373174775999</v>
      </c>
      <c r="U38" s="48">
        <f t="shared" si="8"/>
        <v>7.6953114357372394</v>
      </c>
      <c r="V38" s="69">
        <f t="shared" si="9"/>
        <v>82.93084231702106</v>
      </c>
      <c r="W38" s="71">
        <f t="shared" si="10"/>
        <v>11.1900647304949</v>
      </c>
      <c r="X38" s="25">
        <f t="shared" si="11"/>
        <v>1.961224680183856</v>
      </c>
      <c r="Y38" s="15">
        <f t="shared" si="12"/>
        <v>0.76953114357372399</v>
      </c>
      <c r="Z38" s="15">
        <f t="shared" si="13"/>
        <v>0.82930842317021058</v>
      </c>
      <c r="AA38" s="15">
        <f>Arkusz1!C$32*('projekty 2 i 3'!D38-'projekty 2 i 3'!D$18)</f>
        <v>1.5032408654145724</v>
      </c>
    </row>
    <row r="39" spans="1:27" ht="10.8" customHeight="1" x14ac:dyDescent="0.25">
      <c r="A39" s="15">
        <v>11.950075873801699</v>
      </c>
      <c r="B39" s="15">
        <v>1.4720976406467601</v>
      </c>
      <c r="C39" s="15">
        <f>0.0058*B39^4-0.004*B39^3+0.002*B39^2-0.0022*B39+0.0061</f>
        <v>2.1672917587442338E-2</v>
      </c>
      <c r="D39" s="15">
        <f t="shared" si="0"/>
        <v>0.20856816986097804</v>
      </c>
      <c r="E39" s="1">
        <f>(Arkusz1!C$35-Arkusz1!C$33)*(1-ABS('projekty 2 i 3'!G39/Arkusz1!C$36))</f>
        <v>1.4662109606419021E-3</v>
      </c>
      <c r="F39" s="15">
        <f t="shared" si="2"/>
        <v>0.29405390988349217</v>
      </c>
      <c r="G39" s="39">
        <f t="shared" si="3"/>
        <v>1.4720976406467601</v>
      </c>
      <c r="H39" s="40">
        <f t="shared" si="4"/>
        <v>2.1672917587442338E-2</v>
      </c>
      <c r="I39" s="41">
        <f t="shared" si="5"/>
        <v>11.950075873801699</v>
      </c>
      <c r="J39" s="49">
        <f t="shared" si="6"/>
        <v>2.313912854808424E-2</v>
      </c>
      <c r="K39" s="50">
        <f>DEGREES(G39*(1+Arkusz1!C$46)/Arkusz1!C$20/PI())</f>
        <v>4.8979721118426456</v>
      </c>
      <c r="L39" s="48">
        <f t="shared" si="1"/>
        <v>16.848047985644346</v>
      </c>
      <c r="M39" s="47">
        <f>G39^2*(1+Arkusz1!C$45)/Arkusz1!C$20/PI()</f>
        <v>0.11227039745599533</v>
      </c>
      <c r="N39" s="51">
        <f>J39+M39+Arkusz1!C$38</f>
        <v>0.13799628122887708</v>
      </c>
      <c r="O39" s="63">
        <f>Arkusz1!C$31/Arkusz1!C$63+(Arkusz1!C$54-Arkusz1!C$29)/Arkusz1!C$63*'projekty 2 i 3'!G39</f>
        <v>-0.1261556481055591</v>
      </c>
      <c r="P39" s="52">
        <f>Arkusz1!C$58+Arkusz1!C$59+1/PI()/Arkusz1!C$62*'projekty 2 i 3'!O39^2</f>
        <v>1.3810405356261334E-2</v>
      </c>
      <c r="Q39" s="52">
        <f>Arkusz1!C$90*(1+1/Arkusz1!C$91*ABS('projekty 2 i 3'!G39))</f>
        <v>4.2029519847540886E-2</v>
      </c>
      <c r="R39" s="52">
        <f>(N39+Q39+P39*Arkusz1!C$53/Arkusz1!C$5)*(1+Arkusz1!C$92)</f>
        <v>0.19317772668369032</v>
      </c>
      <c r="S39" s="52">
        <f>O39*Arkusz1!C$53/Arkusz1!C$5</f>
        <v>-2.0254990168059213E-2</v>
      </c>
      <c r="T39" s="53">
        <f t="shared" si="7"/>
        <v>1.4518426504787008</v>
      </c>
      <c r="U39" s="48">
        <f t="shared" si="8"/>
        <v>7.5155799553224449</v>
      </c>
      <c r="V39" s="69">
        <f t="shared" si="9"/>
        <v>82.005796156909241</v>
      </c>
      <c r="W39" s="71">
        <f t="shared" si="10"/>
        <v>11.950075873801699</v>
      </c>
      <c r="X39" s="25">
        <f t="shared" si="11"/>
        <v>2.1078470817490187</v>
      </c>
      <c r="Y39" s="15">
        <f t="shared" si="12"/>
        <v>0.75155799553224445</v>
      </c>
      <c r="Z39" s="15">
        <f t="shared" si="13"/>
        <v>0.82005796156909239</v>
      </c>
      <c r="AA39" s="15">
        <f>Arkusz1!C$32*('projekty 2 i 3'!D39-'projekty 2 i 3'!D$18)</f>
        <v>1.5805952712883236</v>
      </c>
    </row>
    <row r="40" spans="1:27" ht="10.8" customHeight="1" thickBot="1" x14ac:dyDescent="0.3">
      <c r="A40" s="15">
        <v>13.202358194194501</v>
      </c>
      <c r="B40" s="15">
        <v>1.5260657190124201</v>
      </c>
      <c r="C40" s="15">
        <f t="shared" ref="C40:C44" si="14">0.0058*B40^4-0.004*B40^3+0.002*B40^2-0.0022*B40+0.0061</f>
        <v>2.4641597223482258E-2</v>
      </c>
      <c r="D40" s="15">
        <f t="shared" si="0"/>
        <v>0.23042461951634696</v>
      </c>
      <c r="E40" s="1">
        <f>(Arkusz1!C$35-Arkusz1!C$33)*(1-ABS('projekty 2 i 3'!G40/Arkusz1!C$36))</f>
        <v>1.5490028960294792E-3</v>
      </c>
      <c r="F40" s="15">
        <f t="shared" si="2"/>
        <v>0.31904432361114538</v>
      </c>
      <c r="G40" s="54">
        <f t="shared" si="3"/>
        <v>1.5260657190124201</v>
      </c>
      <c r="H40" s="55">
        <f t="shared" si="4"/>
        <v>2.4641597223482258E-2</v>
      </c>
      <c r="I40" s="56">
        <f t="shared" si="5"/>
        <v>13.202358194194501</v>
      </c>
      <c r="J40" s="57">
        <f t="shared" si="6"/>
        <v>2.6190600119511739E-2</v>
      </c>
      <c r="K40" s="58">
        <f>DEGREES(G40*(1+Arkusz1!C$46)/Arkusz1!C$20/PI())</f>
        <v>5.0775350263301702</v>
      </c>
      <c r="L40" s="56">
        <f t="shared" si="1"/>
        <v>18.27989322052467</v>
      </c>
      <c r="M40" s="55">
        <f>G40^2*(1+Arkusz1!C$45)/Arkusz1!C$20/PI()</f>
        <v>0.12065310420707923</v>
      </c>
      <c r="N40" s="59">
        <f>J40+M40+Arkusz1!C$38</f>
        <v>0.14943045955138848</v>
      </c>
      <c r="O40" s="64">
        <f>Arkusz1!C$31/Arkusz1!C$63+(Arkusz1!C$54-Arkusz1!C$29)/Arkusz1!C$63*'projekty 2 i 3'!G40</f>
        <v>-0.12079792471935671</v>
      </c>
      <c r="P40" s="60">
        <f>Arkusz1!C$58+Arkusz1!C$59+1/PI()/Arkusz1!C$62*'projekty 2 i 3'!O40^2</f>
        <v>1.3601703622865252E-2</v>
      </c>
      <c r="Q40" s="60">
        <f>Arkusz1!C$90*(1+1/Arkusz1!C$91*ABS('projekty 2 i 3'!G40))</f>
        <v>4.2444032264854964E-2</v>
      </c>
      <c r="R40" s="60">
        <f>(N40+Q40+P40*Arkusz1!C$53/Arkusz1!C$5)*(1+Arkusz1!C$92)</f>
        <v>0.20570182015178948</v>
      </c>
      <c r="S40" s="60">
        <f>O40*Arkusz1!C$53/Arkusz1!C$5</f>
        <v>-1.9394777913274496E-2</v>
      </c>
      <c r="T40" s="61">
        <f t="shared" si="7"/>
        <v>1.5066709410991455</v>
      </c>
      <c r="U40" s="56">
        <f t="shared" si="8"/>
        <v>7.3245386938596733</v>
      </c>
      <c r="V40" s="70">
        <f t="shared" si="9"/>
        <v>80.831189049083548</v>
      </c>
      <c r="W40" s="71">
        <f t="shared" si="10"/>
        <v>13.202358194194501</v>
      </c>
      <c r="X40" s="25">
        <f t="shared" si="11"/>
        <v>2.2700573247525848</v>
      </c>
      <c r="Y40" s="15">
        <f t="shared" si="12"/>
        <v>0.73245386938596735</v>
      </c>
      <c r="Z40" s="15">
        <f t="shared" si="13"/>
        <v>0.80831189049083552</v>
      </c>
      <c r="AA40" s="15">
        <f>Arkusz1!C$32*('projekty 2 i 3'!D40-'projekty 2 i 3'!D$18)</f>
        <v>1.7080533430985732</v>
      </c>
    </row>
    <row r="41" spans="1:27" ht="10.8" customHeight="1" x14ac:dyDescent="0.25">
      <c r="A41" s="15">
        <v>15.0389874917761</v>
      </c>
      <c r="B41" s="15">
        <v>1.46859978902274</v>
      </c>
      <c r="C41" s="15">
        <f t="shared" si="14"/>
        <v>2.1492826586166532E-2</v>
      </c>
      <c r="D41" s="15">
        <f t="shared" si="0"/>
        <v>0.2624798478977366</v>
      </c>
      <c r="E41" s="1" t="e">
        <f>(Arkusz1!C$35-Arkusz1!C$33)*(1-ABS('projekty 2 i 3'!G41/Arkusz1!C$36))</f>
        <v>#VALUE!</v>
      </c>
      <c r="F41" s="15">
        <f t="shared" si="2"/>
        <v>0</v>
      </c>
      <c r="G41" s="103" t="s">
        <v>248</v>
      </c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72"/>
      <c r="X41" s="73"/>
      <c r="Y41" s="74"/>
      <c r="Z41" s="74"/>
      <c r="AA41" s="74"/>
    </row>
    <row r="42" spans="1:27" x14ac:dyDescent="0.25">
      <c r="A42" s="15">
        <v>15.9188514921999</v>
      </c>
      <c r="B42" s="15">
        <v>1.42449942442973</v>
      </c>
      <c r="C42" s="15">
        <f t="shared" si="14"/>
        <v>1.9344482075431241E-2</v>
      </c>
      <c r="D42" s="15">
        <f t="shared" si="0"/>
        <v>0.27783637167490072</v>
      </c>
      <c r="E42" s="1">
        <f>(Arkusz1!C$35-Arkusz1!C$33)*(1-ABS('projekty 2 i 3'!G42/Arkusz1!C$36))</f>
        <v>-7.9212056494716576E-4</v>
      </c>
      <c r="F42" s="15">
        <f t="shared" si="2"/>
        <v>0</v>
      </c>
      <c r="G42" s="75"/>
      <c r="H42" s="76"/>
      <c r="I42" s="77"/>
      <c r="J42" s="78"/>
      <c r="K42" s="71"/>
      <c r="L42" s="77"/>
      <c r="M42" s="76"/>
      <c r="N42" s="76"/>
      <c r="O42" s="78"/>
      <c r="P42" s="78"/>
      <c r="Q42" s="78"/>
      <c r="R42" s="78"/>
      <c r="S42" s="78"/>
      <c r="T42" s="71"/>
      <c r="U42" s="77"/>
      <c r="V42" s="77"/>
      <c r="W42" s="71"/>
      <c r="X42" s="25"/>
    </row>
    <row r="43" spans="1:27" x14ac:dyDescent="0.25">
      <c r="A43" s="15">
        <v>18.657720752800302</v>
      </c>
      <c r="B43" s="15">
        <v>1.3181921691899801</v>
      </c>
      <c r="C43" s="15">
        <f t="shared" si="14"/>
        <v>1.5025402734375019E-2</v>
      </c>
      <c r="D43" s="15">
        <f t="shared" si="0"/>
        <v>0.3256386580540403</v>
      </c>
      <c r="E43" s="1">
        <f>(Arkusz1!C$35-Arkusz1!C$33)*(1-ABS('projekty 2 i 3'!G43/Arkusz1!C$36))</f>
        <v>-7.9212056494716576E-4</v>
      </c>
      <c r="F43" s="15">
        <f t="shared" si="2"/>
        <v>0</v>
      </c>
      <c r="G43" s="75"/>
      <c r="H43" s="76"/>
      <c r="I43" s="77"/>
      <c r="J43" s="78"/>
      <c r="K43" s="71"/>
      <c r="L43" s="77"/>
      <c r="M43" s="76"/>
      <c r="N43" s="76"/>
      <c r="O43" s="78"/>
      <c r="P43" s="78"/>
      <c r="Q43" s="78"/>
      <c r="R43" s="78"/>
      <c r="S43" s="78"/>
      <c r="T43" s="71"/>
      <c r="U43" s="77"/>
      <c r="V43" s="77"/>
      <c r="W43" s="71"/>
      <c r="X43" s="25"/>
    </row>
    <row r="44" spans="1:27" x14ac:dyDescent="0.25">
      <c r="A44" s="15">
        <v>20.4035602251409</v>
      </c>
      <c r="B44" s="15">
        <v>1.2737745974643999</v>
      </c>
      <c r="C44" s="15">
        <f t="shared" si="14"/>
        <v>1.3544462127521499E-2</v>
      </c>
      <c r="D44" s="15">
        <f t="shared" si="0"/>
        <v>0.35610930505766419</v>
      </c>
      <c r="E44" s="1">
        <f>(Arkusz1!C$35-Arkusz1!C$33)*(1-ABS('projekty 2 i 3'!G44/Arkusz1!C$36))</f>
        <v>-7.9212056494716576E-4</v>
      </c>
      <c r="F44" s="15">
        <f t="shared" si="2"/>
        <v>0</v>
      </c>
      <c r="G44" s="75"/>
      <c r="H44" s="76"/>
      <c r="I44" s="77"/>
      <c r="J44" s="78"/>
      <c r="K44" s="71"/>
      <c r="L44" s="77"/>
      <c r="M44" s="76"/>
      <c r="N44" s="76"/>
      <c r="O44" s="78"/>
      <c r="P44" s="78"/>
      <c r="Q44" s="78"/>
      <c r="R44" s="78"/>
      <c r="S44" s="78"/>
      <c r="T44" s="71"/>
      <c r="U44" s="77"/>
      <c r="V44" s="77"/>
      <c r="W44" s="71"/>
      <c r="X44" s="25"/>
    </row>
    <row r="45" spans="1:27" x14ac:dyDescent="0.25">
      <c r="F45" s="2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67"/>
    </row>
    <row r="46" spans="1:27" x14ac:dyDescent="0.25">
      <c r="F46" s="2"/>
      <c r="G46" s="3"/>
      <c r="H46" s="1"/>
      <c r="I46" s="1"/>
      <c r="J46" s="2"/>
    </row>
    <row r="47" spans="1:27" x14ac:dyDescent="0.25">
      <c r="F47" s="2"/>
      <c r="G47" s="3"/>
      <c r="H47" s="1"/>
      <c r="I47" s="1"/>
      <c r="J47" s="2"/>
    </row>
    <row r="48" spans="1:27" x14ac:dyDescent="0.25">
      <c r="F48" s="2"/>
      <c r="G48" s="3"/>
      <c r="H48" s="1"/>
      <c r="I48" s="1"/>
      <c r="J48" s="2"/>
    </row>
    <row r="49" spans="6:10" x14ac:dyDescent="0.25">
      <c r="F49" s="2"/>
      <c r="G49" s="3"/>
      <c r="H49" s="1"/>
      <c r="I49" s="1"/>
      <c r="J49" s="2"/>
    </row>
    <row r="50" spans="6:10" x14ac:dyDescent="0.25">
      <c r="F50" s="2"/>
      <c r="G50" s="3"/>
      <c r="H50" s="1"/>
      <c r="I50" s="1"/>
      <c r="J50" s="2"/>
    </row>
  </sheetData>
  <mergeCells count="4">
    <mergeCell ref="G1:J1"/>
    <mergeCell ref="K1:N1"/>
    <mergeCell ref="O1:V1"/>
    <mergeCell ref="G41:V41"/>
  </mergeCells>
  <pageMargins left="0.25" right="0.25" top="0.75" bottom="0.75" header="0.3" footer="0.3"/>
  <pageSetup paperSize="9" orientation="landscape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12EF-D8FE-4F62-837B-742336806F64}">
  <dimension ref="A1:P45"/>
  <sheetViews>
    <sheetView zoomScaleNormal="100" workbookViewId="0">
      <selection activeCell="C42" sqref="C42:K45"/>
    </sheetView>
  </sheetViews>
  <sheetFormatPr defaultRowHeight="14.4" x14ac:dyDescent="0.3"/>
  <sheetData>
    <row r="1" spans="1:16" ht="15.6" x14ac:dyDescent="0.35">
      <c r="H1" t="s">
        <v>182</v>
      </c>
      <c r="I1">
        <f>Arkusz1!C99</f>
        <v>520</v>
      </c>
      <c r="J1" t="s">
        <v>181</v>
      </c>
      <c r="K1">
        <f>Arkusz1!C100</f>
        <v>620</v>
      </c>
      <c r="L1" t="s">
        <v>194</v>
      </c>
      <c r="M1">
        <f>Arkusz1!C7</f>
        <v>720</v>
      </c>
    </row>
    <row r="2" spans="1:16" x14ac:dyDescent="0.3">
      <c r="B2" t="s">
        <v>48</v>
      </c>
      <c r="C2" t="s">
        <v>49</v>
      </c>
      <c r="D2" t="s">
        <v>112</v>
      </c>
      <c r="E2" t="s">
        <v>192</v>
      </c>
      <c r="F2" t="s">
        <v>193</v>
      </c>
      <c r="G2" t="s">
        <v>197</v>
      </c>
      <c r="H2" t="s">
        <v>195</v>
      </c>
      <c r="I2" t="s">
        <v>196</v>
      </c>
      <c r="J2" t="s">
        <v>195</v>
      </c>
      <c r="K2" t="s">
        <v>196</v>
      </c>
      <c r="L2" t="s">
        <v>195</v>
      </c>
      <c r="M2" t="s">
        <v>196</v>
      </c>
    </row>
    <row r="3" spans="1:16" ht="15.6" x14ac:dyDescent="0.3">
      <c r="A3">
        <v>1</v>
      </c>
      <c r="B3" s="25">
        <f ca="1">OFFSET('projekty 2 i 3'!$T$40,-A3+1,0,1,1)</f>
        <v>1.5066709410991455</v>
      </c>
      <c r="C3" s="27">
        <f ca="1">OFFSET('projekty 2 i 3'!$R$40,-A3+1,0,1,1)</f>
        <v>0.20570182015178948</v>
      </c>
      <c r="D3" s="25">
        <f ca="1">OFFSET('projekty 2 i 3'!$U$40,-A3+1,0,1,1)</f>
        <v>7.3245386938596733</v>
      </c>
      <c r="E3" s="27">
        <f ca="1">SQRT(1/SQRT(B3^2+C3^2))</f>
        <v>0.81093424742242182</v>
      </c>
      <c r="F3" s="27">
        <f ca="1">SQRT(C3^2/(C3^2+B3^2)^(3/2))</f>
        <v>0.10969707825275458</v>
      </c>
      <c r="G3" s="25">
        <f ca="1">DEGREES(ATAN(1/D3))</f>
        <v>7.774375769426511</v>
      </c>
      <c r="H3" s="26">
        <f ca="1">'projekt 4'!$E3*SQRT(2*Arkusz1!$C$14/Arkusz1!$C$5/Arkusz1!$C$102*'projekt 4'!I$1)</f>
        <v>17.869925447087965</v>
      </c>
      <c r="I3" s="25">
        <f ca="1">'projekt 4'!$F3*SQRT(2*Arkusz1!$C$14/Arkusz1!$C$5/Arkusz1!$C$102*'projekt 4'!I$1)</f>
        <v>2.4173089450481364</v>
      </c>
      <c r="J3" s="26">
        <f ca="1">'projekt 4'!$E3*SQRT(2*Arkusz1!$C$14/Arkusz1!$C$5/Arkusz1!$C$102*'projekt 4'!K$1)</f>
        <v>19.512679605460239</v>
      </c>
      <c r="K3" s="25">
        <f ca="1">'projekt 4'!$F3*SQRT(2*Arkusz1!$C$14/Arkusz1!$C$5/Arkusz1!$C$102*'projekt 4'!K$1)</f>
        <v>2.6395283568361938</v>
      </c>
      <c r="L3" s="26">
        <f ca="1">'projekt 4'!$E3*SQRT(2*Arkusz1!$C$14/Arkusz1!$C$5/Arkusz1!$C$102*'projekt 4'!M$1)</f>
        <v>21.027484283342265</v>
      </c>
      <c r="M3" s="25">
        <f ca="1">'projekt 4'!$F3*SQRT(2*Arkusz1!$C$14/Arkusz1!$C$5/Arkusz1!$C$102*'projekt 4'!M$1)</f>
        <v>2.8444397264268084</v>
      </c>
      <c r="O3">
        <v>0</v>
      </c>
      <c r="P3">
        <v>0</v>
      </c>
    </row>
    <row r="4" spans="1:16" ht="15.6" x14ac:dyDescent="0.3">
      <c r="A4">
        <v>2</v>
      </c>
      <c r="B4" s="25">
        <f ca="1">OFFSET('projekty 2 i 3'!$T$40,-A4+1,0,1,1)</f>
        <v>1.4518426504787008</v>
      </c>
      <c r="C4" s="27">
        <f ca="1">OFFSET('projekty 2 i 3'!$R$40,-A4+1,0,1,1)</f>
        <v>0.19317772668369032</v>
      </c>
      <c r="D4" s="25">
        <f ca="1">OFFSET('projekty 2 i 3'!$U$40,-A4+1,0,1,1)</f>
        <v>7.5155799553224449</v>
      </c>
      <c r="E4" s="27">
        <f t="shared" ref="E4:E17" ca="1" si="0">SQRT(1/SQRT(B4^2+C4^2))</f>
        <v>0.82629445576640148</v>
      </c>
      <c r="F4" s="27">
        <f t="shared" ref="F4:F18" ca="1" si="1">SQRT(C4^2/(C4^2+B4^2)^(3/2))</f>
        <v>0.1089837047986031</v>
      </c>
      <c r="G4" s="25">
        <f t="shared" ref="G4:G18" ca="1" si="2">DEGREES(ATAN(1/D4))</f>
        <v>7.5790827152133113</v>
      </c>
      <c r="H4" s="26">
        <f ca="1">'projekt 4'!$E4*SQRT(2*Arkusz1!$C$14/Arkusz1!$C$5/Arkusz1!$C$102*'projekt 4'!I$1)</f>
        <v>18.208406376745476</v>
      </c>
      <c r="I4" s="25">
        <f ca="1">'projekt 4'!$F4*SQRT(2*Arkusz1!$C$14/Arkusz1!$C$5/Arkusz1!$C$102*'projekt 4'!I$1)</f>
        <v>2.4015888907007734</v>
      </c>
      <c r="J4" s="26">
        <f ca="1">'projekt 4'!$E4*SQRT(2*Arkusz1!$C$14/Arkusz1!$C$5/Arkusz1!$C$102*'projekt 4'!K$1)</f>
        <v>19.882276554956277</v>
      </c>
      <c r="K4" s="25">
        <f ca="1">'projekt 4'!$F4*SQRT(2*Arkusz1!$C$14/Arkusz1!$C$5/Arkusz1!$C$102*'projekt 4'!K$1)</f>
        <v>2.6223631826014846</v>
      </c>
      <c r="L4" s="26">
        <f ca="1">'projekt 4'!$E4*SQRT(2*Arkusz1!$C$14/Arkusz1!$C$5/Arkusz1!$C$102*'projekt 4'!M$1)</f>
        <v>21.425773713796726</v>
      </c>
      <c r="M4" s="25">
        <f ca="1">'projekt 4'!$F4*SQRT(2*Arkusz1!$C$14/Arkusz1!$C$5/Arkusz1!$C$102*'projekt 4'!M$1)</f>
        <v>2.825941988610206</v>
      </c>
      <c r="O4">
        <v>140</v>
      </c>
      <c r="P4" s="28">
        <f ca="1">O4*TAN(RADIANS(Arkusz1!C104))</f>
        <v>15.614841971308348</v>
      </c>
    </row>
    <row r="5" spans="1:16" ht="15.6" x14ac:dyDescent="0.3">
      <c r="A5">
        <v>3</v>
      </c>
      <c r="B5" s="25">
        <f ca="1">OFFSET('projekty 2 i 3'!$T$40,-A5+1,0,1,1)</f>
        <v>1.4004373174775999</v>
      </c>
      <c r="C5" s="27">
        <f ca="1">OFFSET('projekty 2 i 3'!$R$40,-A5+1,0,1,1)</f>
        <v>0.1819857882520427</v>
      </c>
      <c r="D5" s="25">
        <f ca="1">OFFSET('projekty 2 i 3'!$U$40,-A5+1,0,1,1)</f>
        <v>7.6953114357372394</v>
      </c>
      <c r="E5" s="27">
        <f t="shared" ca="1" si="0"/>
        <v>0.84149203402762984</v>
      </c>
      <c r="F5" s="27">
        <f t="shared" ca="1" si="1"/>
        <v>0.10843949873654792</v>
      </c>
      <c r="G5" s="25">
        <f t="shared" ca="1" si="2"/>
        <v>7.4040530427031719</v>
      </c>
      <c r="H5" s="26">
        <f ca="1">'projekt 4'!$E5*SQRT(2*Arkusz1!$C$14/Arkusz1!$C$5/Arkusz1!$C$102*'projekt 4'!I$1)</f>
        <v>18.54330355412781</v>
      </c>
      <c r="I5" s="25">
        <f ca="1">'projekt 4'!$F5*SQRT(2*Arkusz1!$C$14/Arkusz1!$C$5/Arkusz1!$C$102*'projekt 4'!I$1)</f>
        <v>2.3895966462152427</v>
      </c>
      <c r="J5" s="26">
        <f ca="1">'projekt 4'!$E5*SQRT(2*Arkusz1!$C$14/Arkusz1!$C$5/Arkusz1!$C$102*'projekt 4'!K$1)</f>
        <v>20.247960303463429</v>
      </c>
      <c r="K5" s="25">
        <f ca="1">'projekt 4'!$F5*SQRT(2*Arkusz1!$C$14/Arkusz1!$C$5/Arkusz1!$C$102*'projekt 4'!K$1)</f>
        <v>2.6092685099298292</v>
      </c>
      <c r="L5" s="26">
        <f ca="1">'projekt 4'!$E5*SQRT(2*Arkusz1!$C$14/Arkusz1!$C$5/Arkusz1!$C$102*'projekt 4'!M$1)</f>
        <v>21.819846154378187</v>
      </c>
      <c r="M5" s="25">
        <f ca="1">'projekt 4'!$F5*SQRT(2*Arkusz1!$C$14/Arkusz1!$C$5/Arkusz1!$C$102*'projekt 4'!M$1)</f>
        <v>2.8118307527693993</v>
      </c>
    </row>
    <row r="6" spans="1:16" ht="15.6" x14ac:dyDescent="0.3">
      <c r="A6">
        <v>4</v>
      </c>
      <c r="B6" s="25">
        <f ca="1">OFFSET('projekty 2 i 3'!$T$40,-A6+1,0,1,1)</f>
        <v>1.2976440711070689</v>
      </c>
      <c r="C6" s="27">
        <f ca="1">OFFSET('projekty 2 i 3'!$R$40,-A6+1,0,1,1)</f>
        <v>0.16166597935711113</v>
      </c>
      <c r="D6" s="25">
        <f ca="1">OFFSET('projekty 2 i 3'!$U$40,-A6+1,0,1,1)</f>
        <v>8.0266984820637219</v>
      </c>
      <c r="E6" s="27">
        <f t="shared" ca="1" si="0"/>
        <v>0.8744801483689425</v>
      </c>
      <c r="F6" s="27">
        <f t="shared" ca="1" si="1"/>
        <v>0.10811065596618662</v>
      </c>
      <c r="G6" s="25">
        <f t="shared" ca="1" si="2"/>
        <v>7.1015594236432387</v>
      </c>
      <c r="H6" s="26">
        <f ca="1">'projekt 4'!$E6*SQRT(2*Arkusz1!$C$14/Arkusz1!$C$5/Arkusz1!$C$102*'projekt 4'!I$1)</f>
        <v>19.270236897728722</v>
      </c>
      <c r="I6" s="25">
        <f ca="1">'projekt 4'!$F6*SQRT(2*Arkusz1!$C$14/Arkusz1!$C$5/Arkusz1!$C$102*'projekt 4'!I$1)</f>
        <v>2.3823501945962011</v>
      </c>
      <c r="J6" s="26">
        <f ca="1">'projekt 4'!$E6*SQRT(2*Arkusz1!$C$14/Arkusz1!$C$5/Arkusz1!$C$102*'projekt 4'!K$1)</f>
        <v>21.041719486746533</v>
      </c>
      <c r="K6" s="25">
        <f ca="1">'projekt 4'!$F6*SQRT(2*Arkusz1!$C$14/Arkusz1!$C$5/Arkusz1!$C$102*'projekt 4'!K$1)</f>
        <v>2.6013559034034341</v>
      </c>
      <c r="L6" s="26">
        <f ca="1">'projekt 4'!$E6*SQRT(2*Arkusz1!$C$14/Arkusz1!$C$5/Arkusz1!$C$102*'projekt 4'!M$1)</f>
        <v>22.675226301478716</v>
      </c>
      <c r="M6" s="25">
        <f ca="1">'projekt 4'!$F6*SQRT(2*Arkusz1!$C$14/Arkusz1!$C$5/Arkusz1!$C$102*'projekt 4'!M$1)</f>
        <v>2.803303876259446</v>
      </c>
    </row>
    <row r="7" spans="1:16" ht="15.6" x14ac:dyDescent="0.3">
      <c r="A7">
        <v>5</v>
      </c>
      <c r="B7" s="25">
        <f ca="1">OFFSET('projekty 2 i 3'!$T$40,-A7+1,0,1,1)</f>
        <v>1.1972547339043194</v>
      </c>
      <c r="C7" s="27">
        <f ca="1">OFFSET('projekty 2 i 3'!$R$40,-A7+1,0,1,1)</f>
        <v>0.14430049586887095</v>
      </c>
      <c r="D7" s="25">
        <f ca="1">OFFSET('projekty 2 i 3'!$U$40,-A7+1,0,1,1)</f>
        <v>8.2969550914938726</v>
      </c>
      <c r="E7" s="27">
        <f t="shared" ca="1" si="0"/>
        <v>0.91062771548412513</v>
      </c>
      <c r="F7" s="27">
        <f t="shared" ca="1" si="1"/>
        <v>0.10896585126958704</v>
      </c>
      <c r="G7" s="25">
        <f t="shared" ca="1" si="2"/>
        <v>6.8724894253309747</v>
      </c>
      <c r="H7" s="26">
        <f ca="1">'projekt 4'!$E7*SQRT(2*Arkusz1!$C$14/Arkusz1!$C$5/Arkusz1!$C$102*'projekt 4'!I$1)</f>
        <v>20.066792637599256</v>
      </c>
      <c r="I7" s="25">
        <f ca="1">'projekt 4'!$F7*SQRT(2*Arkusz1!$C$14/Arkusz1!$C$5/Arkusz1!$C$102*'projekt 4'!I$1)</f>
        <v>2.4011954664083617</v>
      </c>
      <c r="J7" s="26">
        <f ca="1">'projekt 4'!$E7*SQRT(2*Arkusz1!$C$14/Arkusz1!$C$5/Arkusz1!$C$102*'projekt 4'!K$1)</f>
        <v>21.911501343755731</v>
      </c>
      <c r="K7" s="25">
        <f ca="1">'projekt 4'!$F7*SQRT(2*Arkusz1!$C$14/Arkusz1!$C$5/Arkusz1!$C$102*'projekt 4'!K$1)</f>
        <v>2.6219335914322568</v>
      </c>
      <c r="L7" s="26">
        <f ca="1">'projekt 4'!$E7*SQRT(2*Arkusz1!$C$14/Arkusz1!$C$5/Arkusz1!$C$102*'projekt 4'!M$1)</f>
        <v>23.612530900231992</v>
      </c>
      <c r="M7" s="25">
        <f ca="1">'projekt 4'!$F7*SQRT(2*Arkusz1!$C$14/Arkusz1!$C$5/Arkusz1!$C$102*'projekt 4'!M$1)</f>
        <v>2.8254790475000227</v>
      </c>
    </row>
    <row r="8" spans="1:16" ht="15.6" x14ac:dyDescent="0.3">
      <c r="A8">
        <v>6</v>
      </c>
      <c r="B8" s="25">
        <f ca="1">OFFSET('projekty 2 i 3'!$T$40,-A8+1,0,1,1)</f>
        <v>0.99239986569256255</v>
      </c>
      <c r="C8" s="27">
        <f ca="1">OFFSET('projekty 2 i 3'!$R$40,-A8+1,0,1,1)</f>
        <v>0.11220170173264817</v>
      </c>
      <c r="D8" s="25">
        <f ca="1">OFFSET('projekty 2 i 3'!$U$40,-A8+1,0,1,1)</f>
        <v>8.8447844405892511</v>
      </c>
      <c r="E8" s="27">
        <f t="shared" ca="1" si="0"/>
        <v>1.000639341764932</v>
      </c>
      <c r="F8" s="27">
        <f t="shared" ca="1" si="1"/>
        <v>0.11241704505400621</v>
      </c>
      <c r="G8" s="25">
        <f t="shared" ca="1" si="2"/>
        <v>6.4505248459207287</v>
      </c>
      <c r="H8" s="26">
        <f ca="1">'projekt 4'!$E8*SQRT(2*Arkusz1!$C$14/Arkusz1!$C$5/Arkusz1!$C$102*'projekt 4'!I$1)</f>
        <v>22.050308633035176</v>
      </c>
      <c r="I8" s="25">
        <f ca="1">'projekt 4'!$F8*SQRT(2*Arkusz1!$C$14/Arkusz1!$C$5/Arkusz1!$C$102*'projekt 4'!I$1)</f>
        <v>2.4772467317570039</v>
      </c>
      <c r="J8" s="26">
        <f ca="1">'projekt 4'!$E8*SQRT(2*Arkusz1!$C$14/Arkusz1!$C$5/Arkusz1!$C$102*'projekt 4'!K$1)</f>
        <v>24.077358846958333</v>
      </c>
      <c r="K8" s="25">
        <f ca="1">'projekt 4'!$F8*SQRT(2*Arkusz1!$C$14/Arkusz1!$C$5/Arkusz1!$C$102*'projekt 4'!K$1)</f>
        <v>2.7049761300668944</v>
      </c>
      <c r="L8" s="26">
        <f ca="1">'projekt 4'!$E8*SQRT(2*Arkusz1!$C$14/Arkusz1!$C$5/Arkusz1!$C$102*'projekt 4'!M$1)</f>
        <v>25.946527846289953</v>
      </c>
      <c r="M8" s="25">
        <f ca="1">'projekt 4'!$F8*SQRT(2*Arkusz1!$C$14/Arkusz1!$C$5/Arkusz1!$C$102*'projekt 4'!M$1)</f>
        <v>2.9149683288952879</v>
      </c>
    </row>
    <row r="9" spans="1:16" ht="15.6" x14ac:dyDescent="0.3">
      <c r="A9">
        <v>7</v>
      </c>
      <c r="B9" s="25">
        <f ca="1">OFFSET('projekty 2 i 3'!$T$40,-A9+1,0,1,1)</f>
        <v>0.89053856961533961</v>
      </c>
      <c r="C9" s="27">
        <f ca="1">OFFSET('projekty 2 i 3'!$R$40,-A9+1,0,1,1)</f>
        <v>9.9325850242132169E-2</v>
      </c>
      <c r="D9" s="25">
        <f ca="1">OFFSET('projekty 2 i 3'!$U$40,-A9+1,0,1,1)</f>
        <v>8.9658288093625575</v>
      </c>
      <c r="E9" s="27">
        <f t="shared" ca="1" si="0"/>
        <v>1.056407104524282</v>
      </c>
      <c r="F9" s="27">
        <f t="shared" ca="1" si="1"/>
        <v>0.11709982097567107</v>
      </c>
      <c r="G9" s="25">
        <f t="shared" ca="1" si="2"/>
        <v>6.3641580324855465</v>
      </c>
      <c r="H9" s="26">
        <f ca="1">'projekt 4'!$E9*SQRT(2*Arkusz1!$C$14/Arkusz1!$C$5/Arkusz1!$C$102*'projekt 4'!I$1)</f>
        <v>23.279219319725357</v>
      </c>
      <c r="I9" s="25">
        <f ca="1">'projekt 4'!$F9*SQRT(2*Arkusz1!$C$14/Arkusz1!$C$5/Arkusz1!$C$102*'projekt 4'!I$1)</f>
        <v>2.5804374119774431</v>
      </c>
      <c r="J9" s="26">
        <f ca="1">'projekt 4'!$E9*SQRT(2*Arkusz1!$C$14/Arkusz1!$C$5/Arkusz1!$C$102*'projekt 4'!K$1)</f>
        <v>25.419241361472082</v>
      </c>
      <c r="K9" s="25">
        <f ca="1">'projekt 4'!$F9*SQRT(2*Arkusz1!$C$14/Arkusz1!$C$5/Arkusz1!$C$102*'projekt 4'!K$1)</f>
        <v>2.8176529673247157</v>
      </c>
      <c r="L9" s="26">
        <f ca="1">'projekt 4'!$E9*SQRT(2*Arkusz1!$C$14/Arkusz1!$C$5/Arkusz1!$C$102*'projekt 4'!M$1)</f>
        <v>27.392583132112094</v>
      </c>
      <c r="M9" s="25">
        <f ca="1">'projekt 4'!$F9*SQRT(2*Arkusz1!$C$14/Arkusz1!$C$5/Arkusz1!$C$102*'projekt 4'!M$1)</f>
        <v>3.0363924732179641</v>
      </c>
    </row>
    <row r="10" spans="1:16" ht="15.6" x14ac:dyDescent="0.3">
      <c r="A10">
        <v>8</v>
      </c>
      <c r="B10" s="25">
        <f ca="1">OFFSET('projekty 2 i 3'!$T$40,-A10+1,0,1,1)</f>
        <v>0.78880792077548922</v>
      </c>
      <c r="C10" s="27">
        <f ca="1">OFFSET('projekty 2 i 3'!$R$40,-A10+1,0,1,1)</f>
        <v>8.8517736894781915E-2</v>
      </c>
      <c r="D10" s="25">
        <f ca="1">OFFSET('projekty 2 i 3'!$U$40,-A10+1,0,1,1)</f>
        <v>8.9112978759626333</v>
      </c>
      <c r="E10" s="27">
        <f t="shared" ca="1" si="0"/>
        <v>1.122420714113433</v>
      </c>
      <c r="F10" s="27">
        <f t="shared" ca="1" si="1"/>
        <v>0.12516915510318288</v>
      </c>
      <c r="G10" s="25">
        <f t="shared" ca="1" si="2"/>
        <v>6.4027798015312136</v>
      </c>
      <c r="H10" s="26">
        <f ca="1">'projekt 4'!$E10*SQRT(2*Arkusz1!$C$14/Arkusz1!$C$5/Arkusz1!$C$102*'projekt 4'!I$1)</f>
        <v>24.733909740805583</v>
      </c>
      <c r="I10" s="25">
        <f ca="1">'projekt 4'!$F10*SQRT(2*Arkusz1!$C$14/Arkusz1!$C$5/Arkusz1!$C$102*'projekt 4'!I$1)</f>
        <v>2.7582550337200411</v>
      </c>
      <c r="J10" s="26">
        <f ca="1">'projekt 4'!$E10*SQRT(2*Arkusz1!$C$14/Arkusz1!$C$5/Arkusz1!$C$102*'projekt 4'!K$1)</f>
        <v>27.007659186477394</v>
      </c>
      <c r="K10" s="25">
        <f ca="1">'projekt 4'!$F10*SQRT(2*Arkusz1!$C$14/Arkusz1!$C$5/Arkusz1!$C$102*'projekt 4'!K$1)</f>
        <v>3.0118170835400777</v>
      </c>
      <c r="L10" s="26">
        <f ca="1">'projekt 4'!$E10*SQRT(2*Arkusz1!$C$14/Arkusz1!$C$5/Arkusz1!$C$102*'projekt 4'!M$1)</f>
        <v>29.104312711340846</v>
      </c>
      <c r="M10" s="25">
        <f ca="1">'projekt 4'!$F10*SQRT(2*Arkusz1!$C$14/Arkusz1!$C$5/Arkusz1!$C$102*'projekt 4'!M$1)</f>
        <v>3.2456299016316956</v>
      </c>
    </row>
    <row r="11" spans="1:16" ht="15.6" x14ac:dyDescent="0.3">
      <c r="A11">
        <v>9</v>
      </c>
      <c r="B11" s="25">
        <f ca="1">OFFSET('projekty 2 i 3'!$T$40,-A11+1,0,1,1)</f>
        <v>0.68823567744040892</v>
      </c>
      <c r="C11" s="27">
        <f ca="1">OFFSET('projekty 2 i 3'!$R$40,-A11+1,0,1,1)</f>
        <v>7.9212330048080787E-2</v>
      </c>
      <c r="D11" s="25">
        <f ca="1">OFFSET('projekty 2 i 3'!$U$40,-A11+1,0,1,1)</f>
        <v>8.68849176665627</v>
      </c>
      <c r="E11" s="27">
        <f t="shared" ca="1" si="0"/>
        <v>1.201441413411976</v>
      </c>
      <c r="F11" s="27">
        <f t="shared" ca="1" si="1"/>
        <v>0.13737274676702696</v>
      </c>
      <c r="G11" s="25">
        <f t="shared" ca="1" si="2"/>
        <v>6.5655556409028577</v>
      </c>
      <c r="H11" s="26">
        <f ca="1">'projekt 4'!$E11*SQRT(2*Arkusz1!$C$14/Arkusz1!$C$5/Arkusz1!$C$102*'projekt 4'!I$1)</f>
        <v>26.475227251725983</v>
      </c>
      <c r="I11" s="25">
        <f ca="1">'projekt 4'!$F11*SQRT(2*Arkusz1!$C$14/Arkusz1!$C$5/Arkusz1!$C$102*'projekt 4'!I$1)</f>
        <v>3.0271760638932799</v>
      </c>
      <c r="J11" s="26">
        <f ca="1">'projekt 4'!$E11*SQRT(2*Arkusz1!$C$14/Arkusz1!$C$5/Arkusz1!$C$102*'projekt 4'!K$1)</f>
        <v>28.909053279170948</v>
      </c>
      <c r="K11" s="25">
        <f ca="1">'projekt 4'!$F11*SQRT(2*Arkusz1!$C$14/Arkusz1!$C$5/Arkusz1!$C$102*'projekt 4'!K$1)</f>
        <v>3.30545960132662</v>
      </c>
      <c r="L11" s="26">
        <f ca="1">'projekt 4'!$E11*SQRT(2*Arkusz1!$C$14/Arkusz1!$C$5/Arkusz1!$C$102*'projekt 4'!M$1)</f>
        <v>31.153315473081751</v>
      </c>
      <c r="M11" s="25">
        <f ca="1">'projekt 4'!$F11*SQRT(2*Arkusz1!$C$14/Arkusz1!$C$5/Arkusz1!$C$102*'projekt 4'!M$1)</f>
        <v>3.562068420201423</v>
      </c>
    </row>
    <row r="12" spans="1:16" ht="15.6" x14ac:dyDescent="0.3">
      <c r="A12">
        <v>10</v>
      </c>
      <c r="B12" s="25">
        <f ca="1">OFFSET('projekty 2 i 3'!$T$40,-A12+1,0,1,1)</f>
        <v>0.58042557715447929</v>
      </c>
      <c r="C12" s="27">
        <f ca="1">OFFSET('projekty 2 i 3'!$R$40,-A12+1,0,1,1)</f>
        <v>7.0474665964580518E-2</v>
      </c>
      <c r="D12" s="25">
        <f ca="1">OFFSET('projekty 2 i 3'!$U$40,-A12+1,0,1,1)</f>
        <v>8.2359464810545138</v>
      </c>
      <c r="E12" s="27">
        <f t="shared" ca="1" si="0"/>
        <v>1.307789240118461</v>
      </c>
      <c r="F12" s="27">
        <f t="shared" ca="1" si="1"/>
        <v>0.15763269683762576</v>
      </c>
      <c r="G12" s="25">
        <f t="shared" ca="1" si="2"/>
        <v>6.9229058355497077</v>
      </c>
      <c r="H12" s="26">
        <f ca="1">'projekt 4'!$E12*SQRT(2*Arkusz1!$C$14/Arkusz1!$C$5/Arkusz1!$C$102*'projekt 4'!I$1)</f>
        <v>28.818731353008278</v>
      </c>
      <c r="I12" s="25">
        <f ca="1">'projekt 4'!$F12*SQRT(2*Arkusz1!$C$14/Arkusz1!$C$5/Arkusz1!$C$102*'projekt 4'!I$1)</f>
        <v>3.4736287799724099</v>
      </c>
      <c r="J12" s="26">
        <f ca="1">'projekt 4'!$E12*SQRT(2*Arkusz1!$C$14/Arkusz1!$C$5/Arkusz1!$C$102*'projekt 4'!K$1)</f>
        <v>31.467992028960484</v>
      </c>
      <c r="K12" s="25">
        <f ca="1">'projekt 4'!$F12*SQRT(2*Arkusz1!$C$14/Arkusz1!$C$5/Arkusz1!$C$102*'projekt 4'!K$1)</f>
        <v>3.7929540138597826</v>
      </c>
      <c r="L12" s="26">
        <f ca="1">'projekt 4'!$E12*SQRT(2*Arkusz1!$C$14/Arkusz1!$C$5/Arkusz1!$C$102*'projekt 4'!M$1)</f>
        <v>33.910909275225556</v>
      </c>
      <c r="M12" s="25">
        <f ca="1">'projekt 4'!$F12*SQRT(2*Arkusz1!$C$14/Arkusz1!$C$5/Arkusz1!$C$102*'projekt 4'!M$1)</f>
        <v>4.0874079073977265</v>
      </c>
    </row>
    <row r="13" spans="1:16" ht="15.6" x14ac:dyDescent="0.3">
      <c r="A13">
        <v>11</v>
      </c>
      <c r="B13" s="25">
        <f ca="1">OFFSET('projekty 2 i 3'!$T$40,-A13+1,0,1,1)</f>
        <v>0.48337209941283199</v>
      </c>
      <c r="C13" s="27">
        <f ca="1">OFFSET('projekty 2 i 3'!$R$40,-A13+1,0,1,1)</f>
        <v>6.3619964967707443E-2</v>
      </c>
      <c r="D13" s="25">
        <f ca="1">OFFSET('projekty 2 i 3'!$U$40,-A13+1,0,1,1)</f>
        <v>7.5978051804678692</v>
      </c>
      <c r="E13" s="27">
        <f t="shared" ca="1" si="0"/>
        <v>1.4321697360360153</v>
      </c>
      <c r="F13" s="27">
        <f t="shared" ca="1" si="1"/>
        <v>0.18688605740762843</v>
      </c>
      <c r="G13" s="25">
        <f t="shared" ca="1" si="2"/>
        <v>7.4979983750044541</v>
      </c>
      <c r="H13" s="26">
        <f ca="1">'projekt 4'!$E13*SQRT(2*Arkusz1!$C$14/Arkusz1!$C$5/Arkusz1!$C$102*'projekt 4'!I$1)</f>
        <v>31.559607319442481</v>
      </c>
      <c r="I13" s="25">
        <f ca="1">'projekt 4'!$F13*SQRT(2*Arkusz1!$C$14/Arkusz1!$C$5/Arkusz1!$C$102*'projekt 4'!I$1)</f>
        <v>4.1182622679824714</v>
      </c>
      <c r="J13" s="26">
        <f ca="1">'projekt 4'!$E13*SQRT(2*Arkusz1!$C$14/Arkusz1!$C$5/Arkusz1!$C$102*'projekt 4'!K$1)</f>
        <v>34.460832414875583</v>
      </c>
      <c r="K13" s="25">
        <f ca="1">'projekt 4'!$F13*SQRT(2*Arkusz1!$C$14/Arkusz1!$C$5/Arkusz1!$C$102*'projekt 4'!K$1)</f>
        <v>4.4968476451866213</v>
      </c>
      <c r="L13" s="26">
        <f ca="1">'projekt 4'!$E13*SQRT(2*Arkusz1!$C$14/Arkusz1!$C$5/Arkusz1!$C$102*'projekt 4'!M$1)</f>
        <v>37.136089283806825</v>
      </c>
      <c r="M13" s="25">
        <f ca="1">'projekt 4'!$F13*SQRT(2*Arkusz1!$C$14/Arkusz1!$C$5/Arkusz1!$C$102*'projekt 4'!M$1)</f>
        <v>4.8459460768928082</v>
      </c>
    </row>
    <row r="14" spans="1:16" ht="15.6" x14ac:dyDescent="0.3">
      <c r="A14">
        <v>12</v>
      </c>
      <c r="B14" s="25">
        <f ca="1">OFFSET('projekty 2 i 3'!$T$40,-A14+1,0,1,1)</f>
        <v>0.3803088487517059</v>
      </c>
      <c r="C14" s="27">
        <f ca="1">OFFSET('projekty 2 i 3'!$R$40,-A14+1,0,1,1)</f>
        <v>5.754544534778562E-2</v>
      </c>
      <c r="D14" s="25">
        <f ca="1">OFFSET('projekty 2 i 3'!$U$40,-A14+1,0,1,1)</f>
        <v>6.6088436096592025</v>
      </c>
      <c r="E14" s="27">
        <f t="shared" ca="1" si="0"/>
        <v>1.612404397227045</v>
      </c>
      <c r="F14" s="27">
        <f t="shared" ca="1" si="1"/>
        <v>0.24123086660848242</v>
      </c>
      <c r="G14" s="25">
        <f t="shared" ca="1" si="2"/>
        <v>8.6042918408639792</v>
      </c>
      <c r="H14" s="26">
        <f ca="1">'projekt 4'!$E14*SQRT(2*Arkusz1!$C$14/Arkusz1!$C$5/Arkusz1!$C$102*'projekt 4'!I$1)</f>
        <v>35.531297957372999</v>
      </c>
      <c r="I14" s="25">
        <f ca="1">'projekt 4'!$F14*SQRT(2*Arkusz1!$C$14/Arkusz1!$C$5/Arkusz1!$C$102*'projekt 4'!I$1)</f>
        <v>5.3158164370686469</v>
      </c>
      <c r="J14" s="26">
        <f ca="1">'projekt 4'!$E14*SQRT(2*Arkusz1!$C$14/Arkusz1!$C$5/Arkusz1!$C$102*'projekt 4'!K$1)</f>
        <v>38.797634330441106</v>
      </c>
      <c r="K14" s="25">
        <f ca="1">'projekt 4'!$F14*SQRT(2*Arkusz1!$C$14/Arkusz1!$C$5/Arkusz1!$C$102*'projekt 4'!K$1)</f>
        <v>5.8044910867192554</v>
      </c>
      <c r="L14" s="26">
        <f ca="1">'projekt 4'!$E14*SQRT(2*Arkusz1!$C$14/Arkusz1!$C$5/Arkusz1!$C$102*'projekt 4'!M$1)</f>
        <v>41.809564991059467</v>
      </c>
      <c r="M14" s="25">
        <f ca="1">'projekt 4'!$F14*SQRT(2*Arkusz1!$C$14/Arkusz1!$C$5/Arkusz1!$C$102*'projekt 4'!M$1)</f>
        <v>6.255104248451608</v>
      </c>
    </row>
    <row r="15" spans="1:16" ht="15.6" x14ac:dyDescent="0.3">
      <c r="A15">
        <v>13</v>
      </c>
      <c r="B15" s="25">
        <f ca="1">OFFSET('projekty 2 i 3'!$T$40,-A15+1,0,1,1)</f>
        <v>0.33362423592793911</v>
      </c>
      <c r="C15" s="27">
        <f ca="1">OFFSET('projekty 2 i 3'!$R$40,-A15+1,0,1,1)</f>
        <v>5.507093486780866E-2</v>
      </c>
      <c r="D15" s="25">
        <f ca="1">OFFSET('projekty 2 i 3'!$U$40,-A15+1,0,1,1)</f>
        <v>6.0580819397521593</v>
      </c>
      <c r="E15" s="27">
        <f t="shared" ca="1" si="0"/>
        <v>1.7196988879513626</v>
      </c>
      <c r="F15" s="27">
        <f t="shared" ca="1" si="1"/>
        <v>0.28007844095020717</v>
      </c>
      <c r="G15" s="25">
        <f t="shared" ca="1" si="2"/>
        <v>9.3732196182020395</v>
      </c>
      <c r="H15" s="26">
        <f ca="1">'projekt 4'!$E15*SQRT(2*Arkusz1!$C$14/Arkusz1!$C$5/Arkusz1!$C$102*'projekt 4'!I$1)</f>
        <v>37.89566295517789</v>
      </c>
      <c r="I15" s="25">
        <f ca="1">'projekt 4'!$F15*SQRT(2*Arkusz1!$C$14/Arkusz1!$C$5/Arkusz1!$C$102*'projekt 4'!I$1)</f>
        <v>6.1718701300694958</v>
      </c>
      <c r="J15" s="26">
        <f ca="1">'projekt 4'!$E15*SQRT(2*Arkusz1!$C$14/Arkusz1!$C$5/Arkusz1!$C$102*'projekt 4'!K$1)</f>
        <v>41.379351686181366</v>
      </c>
      <c r="K15" s="25">
        <f ca="1">'projekt 4'!$F15*SQRT(2*Arkusz1!$C$14/Arkusz1!$C$5/Arkusz1!$C$102*'projekt 4'!K$1)</f>
        <v>6.7392404501710548</v>
      </c>
      <c r="L15" s="26">
        <f ca="1">'projekt 4'!$E15*SQRT(2*Arkusz1!$C$14/Arkusz1!$C$5/Arkusz1!$C$102*'projekt 4'!M$1)</f>
        <v>44.591705743612451</v>
      </c>
      <c r="M15" s="25">
        <f ca="1">'projekt 4'!$F15*SQRT(2*Arkusz1!$C$14/Arkusz1!$C$5/Arkusz1!$C$102*'projekt 4'!M$1)</f>
        <v>7.2624198989041844</v>
      </c>
    </row>
    <row r="16" spans="1:16" ht="15.6" x14ac:dyDescent="0.3">
      <c r="A16">
        <v>14</v>
      </c>
      <c r="B16" s="25">
        <f ca="1">OFFSET('projekty 2 i 3'!$T$40,-A16+1,0,1,1)</f>
        <v>0.27857819991185656</v>
      </c>
      <c r="C16" s="27">
        <f ca="1">OFFSET('projekty 2 i 3'!$R$40,-A16+1,0,1,1)</f>
        <v>5.2550023923442782E-2</v>
      </c>
      <c r="D16" s="25">
        <f ca="1">OFFSET('projekty 2 i 3'!$U$40,-A16+1,0,1,1)</f>
        <v>5.3012002490750856</v>
      </c>
      <c r="E16" s="27">
        <f t="shared" ca="1" si="0"/>
        <v>1.8781493768265016</v>
      </c>
      <c r="F16" s="27">
        <f t="shared" ca="1" si="1"/>
        <v>0.34814752298515461</v>
      </c>
      <c r="G16" s="25">
        <f t="shared" ca="1" si="2"/>
        <v>10.68254890150298</v>
      </c>
      <c r="H16" s="26">
        <f ca="1">'projekt 4'!$E16*SQRT(2*Arkusz1!$C$14/Arkusz1!$C$5/Arkusz1!$C$102*'projekt 4'!I$1)</f>
        <v>41.387312780368248</v>
      </c>
      <c r="I16" s="25">
        <f ca="1">'projekt 4'!$F16*SQRT(2*Arkusz1!$C$14/Arkusz1!$C$5/Arkusz1!$C$102*'projekt 4'!I$1)</f>
        <v>7.6718553940814118</v>
      </c>
      <c r="J16" s="26">
        <f ca="1">'projekt 4'!$E16*SQRT(2*Arkusz1!$C$14/Arkusz1!$C$5/Arkusz1!$C$102*'projekt 4'!K$1)</f>
        <v>45.191983391620475</v>
      </c>
      <c r="K16" s="25">
        <f ca="1">'projekt 4'!$F16*SQRT(2*Arkusz1!$C$14/Arkusz1!$C$5/Arkusz1!$C$102*'projekt 4'!K$1)</f>
        <v>8.3771170018242547</v>
      </c>
      <c r="L16" s="26">
        <f ca="1">'projekt 4'!$E16*SQRT(2*Arkusz1!$C$14/Arkusz1!$C$5/Arkusz1!$C$102*'projekt 4'!M$1)</f>
        <v>48.700318957445944</v>
      </c>
      <c r="M16" s="25">
        <f ca="1">'projekt 4'!$F16*SQRT(2*Arkusz1!$C$14/Arkusz1!$C$5/Arkusz1!$C$102*'projekt 4'!M$1)</f>
        <v>9.0274477753576576</v>
      </c>
    </row>
    <row r="17" spans="1:13" ht="15.6" x14ac:dyDescent="0.3">
      <c r="A17">
        <v>15</v>
      </c>
      <c r="B17" s="25">
        <f ca="1">OFFSET('projekty 2 i 3'!$T$40,-A17+1,0,1,1)</f>
        <v>0.22948967792029878</v>
      </c>
      <c r="C17" s="27">
        <f ca="1">OFFSET('projekty 2 i 3'!$R$40,-A17+1,0,1,1)</f>
        <v>5.0607575674357058E-2</v>
      </c>
      <c r="D17" s="25">
        <f ca="1">OFFSET('projekty 2 i 3'!$U$40,-A17+1,0,1,1)</f>
        <v>4.5346902091692485</v>
      </c>
      <c r="E17" s="27">
        <f t="shared" ca="1" si="0"/>
        <v>2.0628271873543902</v>
      </c>
      <c r="F17" s="27">
        <f t="shared" ca="1" si="1"/>
        <v>0.44422610165952914</v>
      </c>
      <c r="G17" s="25">
        <f t="shared" ca="1" si="2"/>
        <v>12.43595565837261</v>
      </c>
      <c r="H17" s="26">
        <f ca="1">'projekt 4'!$E17*SQRT(2*Arkusz1!$C$14/Arkusz1!$C$5/Arkusz1!$C$102*'projekt 4'!I$1)</f>
        <v>45.456913634388805</v>
      </c>
      <c r="I17" s="25">
        <f ca="1">'projekt 4'!$F17*SQRT(2*Arkusz1!$C$14/Arkusz1!$C$5/Arkusz1!$C$102*'projekt 4'!I$1)</f>
        <v>9.7890640869323047</v>
      </c>
      <c r="J17" s="26">
        <f ca="1">'projekt 4'!$E17*SQRT(2*Arkusz1!$C$14/Arkusz1!$C$5/Arkusz1!$C$102*'projekt 4'!K$1)</f>
        <v>49.635696255545753</v>
      </c>
      <c r="K17" s="25">
        <f ca="1">'projekt 4'!$F17*SQRT(2*Arkusz1!$C$14/Arkusz1!$C$5/Arkusz1!$C$102*'projekt 4'!K$1)</f>
        <v>10.688957361976788</v>
      </c>
      <c r="L17" s="26">
        <f ca="1">'projekt 4'!$E17*SQRT(2*Arkusz1!$C$14/Arkusz1!$C$5/Arkusz1!$C$102*'projekt 4'!M$1)</f>
        <v>53.489005303719331</v>
      </c>
      <c r="M17" s="25">
        <f ca="1">'projekt 4'!$F17*SQRT(2*Arkusz1!$C$14/Arkusz1!$C$5/Arkusz1!$C$102*'projekt 4'!M$1)</f>
        <v>11.518760492094961</v>
      </c>
    </row>
    <row r="18" spans="1:13" ht="15.6" x14ac:dyDescent="0.3">
      <c r="A18">
        <v>16</v>
      </c>
      <c r="B18" s="25">
        <f ca="1">OFFSET('projekty 2 i 3'!$T$40,-A18+1,0,1,1)</f>
        <v>0.17679529217705514</v>
      </c>
      <c r="C18" s="27">
        <f ca="1">OFFSET('projekty 2 i 3'!$R$40,-A18+1,0,1,1)</f>
        <v>4.8838546305190411E-2</v>
      </c>
      <c r="D18" s="25">
        <f ca="1">OFFSET('projekty 2 i 3'!$U$40,-A18+1,0,1,1)</f>
        <v>3.6199949743030309</v>
      </c>
      <c r="E18" s="27">
        <f ca="1">SQRT(1/SQRT(B18^2+C18^2))</f>
        <v>2.3349643909779099</v>
      </c>
      <c r="F18" s="27">
        <f t="shared" ca="1" si="1"/>
        <v>0.6217324198626476</v>
      </c>
      <c r="G18" s="25">
        <f t="shared" ca="1" si="2"/>
        <v>15.442467015797771</v>
      </c>
      <c r="H18" s="26">
        <f ca="1">'projekt 4'!$E18*SQRT(2*Arkusz1!$C$14/Arkusz1!$C$5/Arkusz1!$C$102*'projekt 4'!I$1)</f>
        <v>51.453788911994494</v>
      </c>
      <c r="I18" s="25">
        <f ca="1">'projekt 4'!$F18*SQRT(2*Arkusz1!$C$14/Arkusz1!$C$5/Arkusz1!$C$102*'projekt 4'!I$1)</f>
        <v>13.700632358662316</v>
      </c>
      <c r="J18" s="26">
        <f ca="1">'projekt 4'!$E18*SQRT(2*Arkusz1!$C$14/Arkusz1!$C$5/Arkusz1!$C$102*'projekt 4'!K$1)</f>
        <v>56.183854851523201</v>
      </c>
      <c r="K18" s="25">
        <f ca="1">'projekt 4'!$F18*SQRT(2*Arkusz1!$C$14/Arkusz1!$C$5/Arkusz1!$C$102*'projekt 4'!K$1)</f>
        <v>14.960109956717428</v>
      </c>
      <c r="L18" s="26">
        <f ca="1">'projekt 4'!$E18*SQRT(2*Arkusz1!$C$14/Arkusz1!$C$5/Arkusz1!$C$102*'projekt 4'!M$1)</f>
        <v>60.545509317817839</v>
      </c>
      <c r="M18" s="25">
        <f ca="1">'projekt 4'!$F18*SQRT(2*Arkusz1!$C$14/Arkusz1!$C$5/Arkusz1!$C$102*'projekt 4'!M$1)</f>
        <v>16.121490402779976</v>
      </c>
    </row>
    <row r="19" spans="1:13" ht="15.6" x14ac:dyDescent="0.3">
      <c r="B19" s="25"/>
      <c r="C19" s="27"/>
      <c r="D19" s="25"/>
      <c r="E19" s="27"/>
      <c r="F19" s="27"/>
      <c r="G19" s="25"/>
      <c r="H19" s="26"/>
      <c r="I19" s="25"/>
      <c r="J19" s="26"/>
      <c r="K19" s="25"/>
      <c r="L19" s="26"/>
      <c r="M19" s="25"/>
    </row>
    <row r="20" spans="1:13" ht="15.6" x14ac:dyDescent="0.3">
      <c r="B20" s="25"/>
      <c r="C20" s="27"/>
      <c r="D20" s="25"/>
      <c r="E20" s="27"/>
      <c r="F20" s="27"/>
      <c r="G20" s="25"/>
      <c r="H20" s="26"/>
      <c r="I20" s="25"/>
      <c r="J20" s="26"/>
      <c r="K20" s="25"/>
      <c r="L20" s="26"/>
      <c r="M20" s="25"/>
    </row>
    <row r="21" spans="1:13" ht="15.6" x14ac:dyDescent="0.3">
      <c r="B21" s="25"/>
      <c r="C21" s="27"/>
      <c r="D21" s="25"/>
      <c r="E21" s="27"/>
      <c r="F21" s="27"/>
      <c r="G21" s="25"/>
      <c r="H21" s="26"/>
      <c r="I21" s="25"/>
      <c r="J21" s="26"/>
      <c r="K21" s="25"/>
      <c r="L21" s="26"/>
      <c r="M21" s="25"/>
    </row>
    <row r="22" spans="1:13" ht="15.6" x14ac:dyDescent="0.3">
      <c r="B22" s="25"/>
      <c r="C22" s="27"/>
      <c r="D22" s="25"/>
      <c r="E22" s="27"/>
      <c r="F22" s="27"/>
      <c r="G22" s="25"/>
      <c r="H22" s="26"/>
      <c r="I22" s="25"/>
      <c r="J22" s="26"/>
      <c r="K22" s="25"/>
      <c r="L22" s="26"/>
      <c r="M22" s="25"/>
    </row>
    <row r="23" spans="1:13" ht="15.6" x14ac:dyDescent="0.3">
      <c r="B23" s="25"/>
      <c r="C23" s="27"/>
      <c r="D23" s="25"/>
      <c r="E23" s="27"/>
      <c r="F23" s="27"/>
      <c r="G23" s="25"/>
      <c r="H23" s="26"/>
      <c r="I23" s="25"/>
      <c r="J23" s="26"/>
      <c r="K23" s="25"/>
      <c r="L23" s="26"/>
      <c r="M23" s="25"/>
    </row>
    <row r="40" spans="2:11" ht="15.6" x14ac:dyDescent="0.35">
      <c r="C40" s="29" t="s">
        <v>206</v>
      </c>
      <c r="D40">
        <f>I1</f>
        <v>520</v>
      </c>
      <c r="F40" s="30" t="s">
        <v>207</v>
      </c>
      <c r="G40">
        <f>K1</f>
        <v>620</v>
      </c>
      <c r="I40" s="31" t="s">
        <v>208</v>
      </c>
      <c r="J40">
        <f>M1</f>
        <v>720</v>
      </c>
    </row>
    <row r="41" spans="2:11" x14ac:dyDescent="0.3">
      <c r="C41" t="s">
        <v>201</v>
      </c>
      <c r="D41" t="s">
        <v>200</v>
      </c>
      <c r="E41" t="s">
        <v>106</v>
      </c>
      <c r="F41" t="s">
        <v>199</v>
      </c>
      <c r="G41" t="s">
        <v>200</v>
      </c>
      <c r="H41" t="s">
        <v>106</v>
      </c>
      <c r="I41" t="s">
        <v>199</v>
      </c>
      <c r="J41" t="s">
        <v>200</v>
      </c>
      <c r="K41" t="s">
        <v>106</v>
      </c>
    </row>
    <row r="42" spans="2:11" ht="16.2" x14ac:dyDescent="0.35">
      <c r="B42" t="s">
        <v>202</v>
      </c>
      <c r="C42" s="25">
        <f>SQRT(2*Arkusz1!$C$14/Arkusz1!$C$5/Arkusz1!$C$102/SQRT(Arkusz1!$C$95*PI()*Arkusz1!$C$93)*'projekt 4'!D$40)</f>
        <v>24.448971641476689</v>
      </c>
      <c r="D42" s="15">
        <v>24.5</v>
      </c>
      <c r="E42" s="26">
        <f>100*ABS(C42-D42)/MAX(C42:D42)</f>
        <v>0.20827901438086169</v>
      </c>
      <c r="F42" s="25">
        <f>SQRT(2*Arkusz1!$C$14/Arkusz1!$C$5/Arkusz1!$C$102/SQRT(Arkusz1!$C$95*PI()*Arkusz1!$C$93)*'projekt 4'!G$40)</f>
        <v>26.696527175543373</v>
      </c>
      <c r="G42" s="15">
        <v>26.7</v>
      </c>
      <c r="H42" s="26">
        <f>100*ABS(F42-G42)/MAX(F42:G42)</f>
        <v>1.3006833170883896E-2</v>
      </c>
      <c r="I42" s="25">
        <f>SQRT(2*Arkusz1!$C$14/Arkusz1!$C$5/Arkusz1!$C$102/SQRT(Arkusz1!$C$95*PI()*Arkusz1!$C$93)*'projekt 4'!J$40)</f>
        <v>28.769026958576831</v>
      </c>
      <c r="J42" s="15">
        <v>28.8</v>
      </c>
      <c r="K42" s="26">
        <f>100*ABS(I42-J42)/MAX(I42:J42)</f>
        <v>0.10754528271934077</v>
      </c>
    </row>
    <row r="43" spans="2:11" ht="16.2" x14ac:dyDescent="0.35">
      <c r="B43" t="s">
        <v>203</v>
      </c>
      <c r="C43" s="25">
        <f>C42/(3^(1/4))</f>
        <v>18.577201130677778</v>
      </c>
      <c r="D43" s="15">
        <v>18.600000000000001</v>
      </c>
      <c r="E43" s="26">
        <f t="shared" ref="E43:E45" si="3">100*ABS(C43-D43)/MAX(C43:D43)</f>
        <v>0.12257456624851058</v>
      </c>
      <c r="F43" s="25">
        <f t="shared" ref="F43:I43" si="4">F42/(3^(1/4))</f>
        <v>20.284974030945371</v>
      </c>
      <c r="G43" s="15">
        <v>20.3</v>
      </c>
      <c r="H43" s="26">
        <f t="shared" ref="H43:H45" si="5">100*ABS(F43-G43)/MAX(F43:G43)</f>
        <v>7.4019551993250929E-2</v>
      </c>
      <c r="I43" s="25">
        <f t="shared" si="4"/>
        <v>21.859733324599375</v>
      </c>
      <c r="J43" s="15">
        <v>21.9</v>
      </c>
      <c r="K43" s="26">
        <f t="shared" ref="K43:K45" si="6">100*ABS(I43-J43)/MAX(I43:J43)</f>
        <v>0.1838660977197413</v>
      </c>
    </row>
    <row r="44" spans="2:11" ht="16.2" x14ac:dyDescent="0.35">
      <c r="B44" t="s">
        <v>204</v>
      </c>
      <c r="C44" s="25">
        <f>SQRT(8*SQRT(Arkusz1!$C$93)*Arkusz1!$C$14/Arkusz1!$C$5/Arkusz1!$C$102/((Arkusz1!$C$95*PI())^(3/2))*'projekt 4'!D$40)</f>
        <v>2.756786076777539</v>
      </c>
      <c r="D44" s="15">
        <v>2.8</v>
      </c>
      <c r="E44" s="26">
        <f t="shared" si="3"/>
        <v>1.543354400802174</v>
      </c>
      <c r="F44" s="25">
        <f>SQRT(8*SQRT(Arkusz1!$C$93)*Arkusz1!$C$14/Arkusz1!$C$5/Arkusz1!$C$102/((Arkusz1!$C$95*PI())^(3/2))*'projekt 4'!G$40)</f>
        <v>3.0102130876947601</v>
      </c>
      <c r="G44" s="15">
        <v>3</v>
      </c>
      <c r="H44" s="26">
        <f t="shared" si="5"/>
        <v>0.33928122020695201</v>
      </c>
      <c r="I44" s="25">
        <f>SQRT(8*SQRT(Arkusz1!$C$93)*Arkusz1!$C$14/Arkusz1!$C$5/Arkusz1!$C$102/((Arkusz1!$C$95*PI())^(3/2))*'projekt 4'!J$40)</f>
        <v>3.2439013846822085</v>
      </c>
      <c r="J44" s="15">
        <v>3.2</v>
      </c>
      <c r="K44" s="26">
        <f t="shared" si="6"/>
        <v>1.3533513962388568</v>
      </c>
    </row>
    <row r="45" spans="2:11" ht="16.2" x14ac:dyDescent="0.35">
      <c r="B45" t="s">
        <v>205</v>
      </c>
      <c r="C45" s="25">
        <f>C44*2/(3^(3/4))</f>
        <v>2.4187563432774493</v>
      </c>
      <c r="D45" s="15">
        <v>2.4</v>
      </c>
      <c r="E45" s="26">
        <f t="shared" si="3"/>
        <v>0.77545401915243095</v>
      </c>
      <c r="F45" s="25">
        <f t="shared" ref="F45:I45" si="7">F44*2/(3^(3/4))</f>
        <v>2.6411088121097044</v>
      </c>
      <c r="G45" s="15">
        <v>2.6</v>
      </c>
      <c r="H45" s="26">
        <f t="shared" si="5"/>
        <v>1.5564982374530334</v>
      </c>
      <c r="I45" s="25">
        <f t="shared" si="7"/>
        <v>2.8461428753072409</v>
      </c>
      <c r="J45" s="15">
        <v>2.8</v>
      </c>
      <c r="K45" s="26">
        <f t="shared" si="6"/>
        <v>1.6212424087199038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A2B-1DE6-4258-924D-06FBFD87E02D}">
  <dimension ref="A1:Z104"/>
  <sheetViews>
    <sheetView zoomScale="85" zoomScaleNormal="85" workbookViewId="0"/>
  </sheetViews>
  <sheetFormatPr defaultRowHeight="15" x14ac:dyDescent="0.3"/>
  <cols>
    <col min="1" max="22" width="8.88671875" style="2"/>
    <col min="23" max="24" width="12.44140625" style="2" bestFit="1" customWidth="1"/>
    <col min="25" max="16384" width="8.88671875" style="2"/>
  </cols>
  <sheetData>
    <row r="1" spans="1:26" ht="16.2" thickBot="1" x14ac:dyDescent="0.35">
      <c r="A1" s="2" t="s">
        <v>281</v>
      </c>
      <c r="B1" s="2">
        <f>Arkusz1!C9</f>
        <v>59000</v>
      </c>
      <c r="C1" s="2" t="s">
        <v>24</v>
      </c>
      <c r="F1" s="94" t="s">
        <v>179</v>
      </c>
      <c r="G1" s="97" t="s">
        <v>56</v>
      </c>
      <c r="H1" s="94" t="s">
        <v>6</v>
      </c>
      <c r="I1" s="94" t="s">
        <v>284</v>
      </c>
      <c r="J1" s="94" t="s">
        <v>280</v>
      </c>
    </row>
    <row r="2" spans="1:26" x14ac:dyDescent="0.3">
      <c r="A2" s="2" t="s">
        <v>282</v>
      </c>
      <c r="B2" s="2">
        <f>Arkusz1!C10/60</f>
        <v>36.666666666666664</v>
      </c>
      <c r="C2" s="2" t="s">
        <v>283</v>
      </c>
      <c r="F2" s="96">
        <v>0</v>
      </c>
      <c r="G2" s="96">
        <f>Arkusz1!C$23*(1-'projekt 5'!F2/44300)^4.256</f>
        <v>1.2250000000000001</v>
      </c>
      <c r="H2" s="96">
        <f>Arkusz1!C$9*('projekt 5'!G2/G$2-Arkusz1!C$105)/(1-Arkusz1!C$105)</f>
        <v>59000</v>
      </c>
      <c r="I2" s="96">
        <f t="shared" ref="I2:I12" si="0">H2/B$2</f>
        <v>1609.0909090909092</v>
      </c>
      <c r="J2" s="96">
        <f t="shared" ref="J2:J12" si="1">H2/B$2^3/G2/B$3^5</f>
        <v>5.110734134799072E-2</v>
      </c>
    </row>
    <row r="3" spans="1:26" x14ac:dyDescent="0.3">
      <c r="A3" s="2" t="s">
        <v>213</v>
      </c>
      <c r="B3" s="2">
        <f>Arkusz1!C109</f>
        <v>1.8041958041958044</v>
      </c>
      <c r="C3" s="2" t="s">
        <v>21</v>
      </c>
      <c r="F3" s="95">
        <v>500</v>
      </c>
      <c r="G3" s="95">
        <f>Arkusz1!C$23*(1-'projekt 5'!F3/44300)^4.256</f>
        <v>1.1672278579185458</v>
      </c>
      <c r="H3" s="95">
        <f>Arkusz1!C$9*('projekt 5'!G3/G$2-Arkusz1!C$105)/(1-Arkusz1!C$105)</f>
        <v>55764.540690265014</v>
      </c>
      <c r="I3" s="95">
        <f t="shared" si="0"/>
        <v>1520.8511097345004</v>
      </c>
      <c r="J3" s="95">
        <f t="shared" si="1"/>
        <v>5.0695551438903738E-2</v>
      </c>
    </row>
    <row r="4" spans="1:26" x14ac:dyDescent="0.3">
      <c r="F4" s="95">
        <v>1000</v>
      </c>
      <c r="G4" s="95">
        <f>Arkusz1!C$23*(1-'projekt 5'!F4/44300)^4.256</f>
        <v>1.1115636003391007</v>
      </c>
      <c r="H4" s="95">
        <f>Arkusz1!C$9*('projekt 5'!G4/G$2-Arkusz1!C$105)/(1-Arkusz1!C$105)</f>
        <v>52647.130916000882</v>
      </c>
      <c r="I4" s="95">
        <f t="shared" si="0"/>
        <v>1435.8308431636606</v>
      </c>
      <c r="J4" s="95">
        <f t="shared" si="1"/>
        <v>5.0258295796533063E-2</v>
      </c>
    </row>
    <row r="5" spans="1:26" x14ac:dyDescent="0.3">
      <c r="F5" s="95">
        <v>1500</v>
      </c>
      <c r="G5" s="95">
        <f>Arkusz1!C$23*(1-'projekt 5'!F5/44300)^4.256</f>
        <v>1.0579533322732724</v>
      </c>
      <c r="H5" s="95">
        <f>Arkusz1!C$9*('projekt 5'!G5/G$2-Arkusz1!C$105)/(1-Arkusz1!C$105)</f>
        <v>49644.7523532255</v>
      </c>
      <c r="I5" s="95">
        <f t="shared" si="0"/>
        <v>1353.9477914516046</v>
      </c>
      <c r="J5" s="95">
        <f t="shared" si="1"/>
        <v>4.9793677708284446E-2</v>
      </c>
    </row>
    <row r="6" spans="1:26" x14ac:dyDescent="0.3">
      <c r="F6" s="95">
        <v>2000</v>
      </c>
      <c r="G6" s="95">
        <f>Arkusz1!C$23*(1-'projekt 5'!F6/44300)^4.256</f>
        <v>1.006343934757578</v>
      </c>
      <c r="H6" s="95">
        <f>Arkusz1!C$9*('projekt 5'!G6/G$2-Arkusz1!C$105)/(1-Arkusz1!C$105)</f>
        <v>46754.430138298143</v>
      </c>
      <c r="I6" s="95">
        <f t="shared" si="0"/>
        <v>1275.1208219535858</v>
      </c>
      <c r="J6" s="95">
        <f t="shared" si="1"/>
        <v>4.9299634643499471E-2</v>
      </c>
    </row>
    <row r="7" spans="1:26" x14ac:dyDescent="0.3">
      <c r="F7" s="95">
        <v>2500</v>
      </c>
      <c r="G7" s="95">
        <f>Arkusz1!C$23*(1-'projekt 5'!F7/44300)^4.256</f>
        <v>0.95668306254941837</v>
      </c>
      <c r="H7" s="95">
        <f>Arkusz1!C$9*('projekt 5'!G7/G$2-Arkusz1!C$105)/(1-Arkusz1!C$105)</f>
        <v>43973.232738885315</v>
      </c>
      <c r="I7" s="95">
        <f t="shared" si="0"/>
        <v>1199.2699837877815</v>
      </c>
      <c r="J7" s="95">
        <f t="shared" si="1"/>
        <v>4.8773921558647453E-2</v>
      </c>
    </row>
    <row r="8" spans="1:26" x14ac:dyDescent="0.3">
      <c r="F8" s="95">
        <v>3000</v>
      </c>
      <c r="G8" s="95">
        <f>Arkusz1!C$23*(1-'projekt 5'!F8/44300)^4.256</f>
        <v>0.90891914180294808</v>
      </c>
      <c r="H8" s="95">
        <f>Arkusz1!C$9*('projekt 5'!G8/G$2-Arkusz1!C$105)/(1-Arkusz1!C$105)</f>
        <v>41298.271823800591</v>
      </c>
      <c r="I8" s="95">
        <f t="shared" si="0"/>
        <v>1126.3165042854707</v>
      </c>
      <c r="J8" s="95">
        <f t="shared" si="1"/>
        <v>4.8214092294881321E-2</v>
      </c>
    </row>
    <row r="9" spans="1:26" x14ac:dyDescent="0.3">
      <c r="F9" s="95">
        <v>3500</v>
      </c>
      <c r="G9" s="95">
        <f>Arkusz1!C$23*(1-'projekt 5'!F9/44300)^4.256</f>
        <v>0.86300136772440217</v>
      </c>
      <c r="H9" s="95">
        <f>Arkusz1!C$9*('projekt 5'!G9/G$2-Arkusz1!C$105)/(1-Arkusz1!C$105)</f>
        <v>38726.702131694088</v>
      </c>
      <c r="I9" s="95">
        <f t="shared" si="0"/>
        <v>1056.1827854098387</v>
      </c>
      <c r="J9" s="95">
        <f t="shared" si="1"/>
        <v>4.761747882342289E-2</v>
      </c>
    </row>
    <row r="10" spans="1:26" x14ac:dyDescent="0.3">
      <c r="F10" s="95">
        <v>4000</v>
      </c>
      <c r="G10" s="95">
        <f>Arkusz1!C$23*(1-'projekt 5'!F10/44300)^4.256</f>
        <v>0.81887970220647188</v>
      </c>
      <c r="H10" s="95">
        <f>Arkusz1!C$9*('projekt 5'!G10/G$2-Arkusz1!C$105)/(1-Arkusz1!C$105)</f>
        <v>36255.721338568423</v>
      </c>
      <c r="I10" s="95">
        <f t="shared" si="0"/>
        <v>988.79240014277525</v>
      </c>
      <c r="J10" s="95">
        <f t="shared" si="1"/>
        <v>4.6981168059405921E-2</v>
      </c>
    </row>
    <row r="11" spans="1:26" x14ac:dyDescent="0.3">
      <c r="F11" s="95">
        <v>4500</v>
      </c>
      <c r="G11" s="95">
        <f>Arkusz1!C$23*(1-'projekt 5'!F11/44300)^4.256</f>
        <v>0.77650487144126368</v>
      </c>
      <c r="H11" s="95">
        <f>Arkusz1!C$9*('projekt 5'!G11/G$2-Arkusz1!C$105)/(1-Arkusz1!C$105)</f>
        <v>33882.569924095449</v>
      </c>
      <c r="I11" s="95">
        <f t="shared" si="0"/>
        <v>924.07008883896685</v>
      </c>
      <c r="J11" s="95">
        <f t="shared" si="1"/>
        <v>4.6301975924496704E-2</v>
      </c>
    </row>
    <row r="12" spans="1:26" x14ac:dyDescent="0.3">
      <c r="F12" s="95">
        <v>5000</v>
      </c>
      <c r="G12" s="95">
        <f>Arkusz1!C$23*(1-'projekt 5'!F12/44300)^4.256</f>
        <v>0.73582836351140102</v>
      </c>
      <c r="H12" s="95">
        <f>Arkusz1!C$9*('projekt 5'!G12/G$2-Arkusz1!C$105)/(1-Arkusz1!C$105)</f>
        <v>31604.53103670874</v>
      </c>
      <c r="I12" s="95">
        <f t="shared" si="0"/>
        <v>861.94175554660205</v>
      </c>
      <c r="J12" s="95">
        <f t="shared" si="1"/>
        <v>4.5576418291887175E-2</v>
      </c>
    </row>
    <row r="13" spans="1:26" ht="15.6" thickBot="1" x14ac:dyDescent="0.35"/>
    <row r="14" spans="1:26" ht="15.6" thickBot="1" x14ac:dyDescent="0.35">
      <c r="A14" s="104" t="s">
        <v>290</v>
      </c>
      <c r="B14" s="105"/>
      <c r="C14" s="105"/>
      <c r="D14" s="105"/>
      <c r="E14" s="105"/>
      <c r="F14" s="105"/>
      <c r="G14" s="105"/>
      <c r="H14" s="106"/>
      <c r="J14" s="104" t="s">
        <v>291</v>
      </c>
      <c r="K14" s="105"/>
      <c r="L14" s="105"/>
      <c r="M14" s="105"/>
      <c r="N14" s="105"/>
      <c r="O14" s="105"/>
      <c r="P14" s="105"/>
      <c r="Q14" s="106"/>
      <c r="S14" s="104" t="s">
        <v>292</v>
      </c>
      <c r="T14" s="105"/>
      <c r="U14" s="105"/>
      <c r="V14" s="105"/>
      <c r="W14" s="105"/>
      <c r="X14" s="105"/>
      <c r="Y14" s="105"/>
      <c r="Z14" s="106"/>
    </row>
    <row r="15" spans="1:26" ht="18.600000000000001" thickBot="1" x14ac:dyDescent="0.35">
      <c r="A15" s="92" t="s">
        <v>232</v>
      </c>
      <c r="B15" s="93" t="s">
        <v>212</v>
      </c>
      <c r="C15" s="94" t="s">
        <v>285</v>
      </c>
      <c r="D15" s="94" t="s">
        <v>286</v>
      </c>
      <c r="E15" s="94" t="s">
        <v>289</v>
      </c>
      <c r="F15" s="94" t="s">
        <v>195</v>
      </c>
      <c r="G15" s="94" t="s">
        <v>287</v>
      </c>
      <c r="H15" s="94" t="s">
        <v>288</v>
      </c>
      <c r="J15" s="92" t="s">
        <v>232</v>
      </c>
      <c r="K15" s="93" t="s">
        <v>212</v>
      </c>
      <c r="L15" s="94" t="s">
        <v>285</v>
      </c>
      <c r="M15" s="94" t="s">
        <v>286</v>
      </c>
      <c r="N15" s="94" t="s">
        <v>289</v>
      </c>
      <c r="O15" s="94" t="s">
        <v>195</v>
      </c>
      <c r="P15" s="94" t="s">
        <v>287</v>
      </c>
      <c r="Q15" s="94" t="s">
        <v>288</v>
      </c>
      <c r="S15" s="92" t="s">
        <v>232</v>
      </c>
      <c r="T15" s="93" t="s">
        <v>212</v>
      </c>
      <c r="U15" s="94" t="s">
        <v>285</v>
      </c>
      <c r="V15" s="94" t="s">
        <v>286</v>
      </c>
      <c r="W15" s="94" t="s">
        <v>289</v>
      </c>
      <c r="X15" s="94" t="s">
        <v>195</v>
      </c>
      <c r="Y15" s="94" t="s">
        <v>287</v>
      </c>
      <c r="Z15" s="94" t="s">
        <v>288</v>
      </c>
    </row>
    <row r="16" spans="1:26" x14ac:dyDescent="0.3">
      <c r="A16" s="90">
        <v>1</v>
      </c>
      <c r="B16" s="84">
        <v>0</v>
      </c>
      <c r="C16" s="85">
        <v>7.3277583411553798E-2</v>
      </c>
      <c r="D16" s="85">
        <v>0</v>
      </c>
      <c r="E16" s="82">
        <f t="shared" ref="E16:E27" si="2">SQRT($I$2/$G$2/$B$3^5/C16)</f>
        <v>30.621573672994987</v>
      </c>
      <c r="F16" s="82">
        <f>B16*E16*$B$3</f>
        <v>0</v>
      </c>
      <c r="G16" s="81">
        <f t="shared" ref="G16:G27" si="3">$I$2*E16</f>
        <v>49272.895819273755</v>
      </c>
      <c r="H16" s="81">
        <f>G16*D16</f>
        <v>0</v>
      </c>
      <c r="J16" s="90">
        <v>1</v>
      </c>
      <c r="K16" s="84">
        <v>0</v>
      </c>
      <c r="L16" s="85">
        <v>7.3277583411553798E-2</v>
      </c>
      <c r="M16" s="85">
        <v>0</v>
      </c>
      <c r="N16" s="82">
        <f t="shared" ref="N16:N27" si="4">SQRT($I$3/$G$3/$B$3^5/L16)</f>
        <v>30.497959749199019</v>
      </c>
      <c r="O16" s="82">
        <f>K16*N16*$B$3</f>
        <v>0</v>
      </c>
      <c r="P16" s="81">
        <f t="shared" ref="P16:P27" si="5">$I$3*N16</f>
        <v>46382.85592920745</v>
      </c>
      <c r="Q16" s="81">
        <f>P16*M16</f>
        <v>0</v>
      </c>
      <c r="S16" s="90">
        <v>1</v>
      </c>
      <c r="T16" s="84">
        <v>0</v>
      </c>
      <c r="U16" s="85">
        <v>7.3277583411553798E-2</v>
      </c>
      <c r="V16" s="85">
        <v>0</v>
      </c>
      <c r="W16" s="82">
        <f t="shared" ref="W16:W27" si="6">SQRT($I$4/$G$4/$B$3^5/U16)</f>
        <v>30.366150505815007</v>
      </c>
      <c r="X16" s="82">
        <f>T16*W16*$B$3</f>
        <v>0</v>
      </c>
      <c r="Y16" s="81">
        <f t="shared" ref="Y16:Y27" si="7">$I$4*W16</f>
        <v>43600.65548439898</v>
      </c>
      <c r="Z16" s="81">
        <f>Y16*V16</f>
        <v>0</v>
      </c>
    </row>
    <row r="17" spans="1:26" x14ac:dyDescent="0.3">
      <c r="A17" s="91">
        <v>2</v>
      </c>
      <c r="B17" s="86">
        <v>2.26043177745546E-2</v>
      </c>
      <c r="C17" s="87">
        <v>7.3328782319310504E-2</v>
      </c>
      <c r="D17" s="87">
        <v>4.3340857787810397E-2</v>
      </c>
      <c r="E17" s="82">
        <f t="shared" si="2"/>
        <v>30.61088165797857</v>
      </c>
      <c r="F17" s="82">
        <f t="shared" ref="F17:F35" si="8">B17*E17*$B$3</f>
        <v>1.2483918102091467</v>
      </c>
      <c r="G17" s="81">
        <f t="shared" si="3"/>
        <v>49255.691395110975</v>
      </c>
      <c r="H17" s="80">
        <f t="shared" ref="H17:H35" si="9">G17*D17</f>
        <v>2134.7839159957812</v>
      </c>
      <c r="J17" s="91">
        <v>2</v>
      </c>
      <c r="K17" s="86">
        <v>2.26043177745546E-2</v>
      </c>
      <c r="L17" s="87">
        <v>7.3328782319310504E-2</v>
      </c>
      <c r="M17" s="87">
        <v>4.3340857787810397E-2</v>
      </c>
      <c r="N17" s="82">
        <f t="shared" si="4"/>
        <v>30.487310895972506</v>
      </c>
      <c r="O17" s="82">
        <f t="shared" ref="O17:O35" si="10">K17*N17*$B$3</f>
        <v>1.2433522713617098</v>
      </c>
      <c r="P17" s="81">
        <f t="shared" si="5"/>
        <v>46366.660608960512</v>
      </c>
      <c r="Q17" s="80">
        <f t="shared" ref="Q17:Q35" si="11">P17*M17</f>
        <v>2009.5708435486279</v>
      </c>
      <c r="S17" s="91">
        <v>2</v>
      </c>
      <c r="T17" s="86">
        <v>2.26043177745546E-2</v>
      </c>
      <c r="U17" s="87">
        <v>7.3328782319310504E-2</v>
      </c>
      <c r="V17" s="87">
        <v>4.3340857787810397E-2</v>
      </c>
      <c r="W17" s="82">
        <f t="shared" si="6"/>
        <v>30.35554767590606</v>
      </c>
      <c r="X17" s="82">
        <f t="shared" ref="X17:X35" si="12">T17*W17*$B$3</f>
        <v>1.2379786226489535</v>
      </c>
      <c r="Y17" s="81">
        <f t="shared" si="7"/>
        <v>43585.431614190893</v>
      </c>
      <c r="Z17" s="80">
        <f t="shared" ref="Z17:Z35" si="13">Y17*V17</f>
        <v>1889.0299932109829</v>
      </c>
    </row>
    <row r="18" spans="1:26" x14ac:dyDescent="0.3">
      <c r="A18" s="91">
        <v>3</v>
      </c>
      <c r="B18" s="86">
        <v>8.37443467872689E-2</v>
      </c>
      <c r="C18" s="87">
        <v>7.2704155644679497E-2</v>
      </c>
      <c r="D18" s="87">
        <v>0.149887133182844</v>
      </c>
      <c r="E18" s="82">
        <f t="shared" si="2"/>
        <v>30.742094798932239</v>
      </c>
      <c r="F18" s="82">
        <f t="shared" si="8"/>
        <v>4.6448599659768552</v>
      </c>
      <c r="G18" s="81">
        <f t="shared" si="3"/>
        <v>49466.825267372791</v>
      </c>
      <c r="H18" s="80">
        <f t="shared" si="9"/>
        <v>7414.4406269831779</v>
      </c>
      <c r="J18" s="91">
        <v>3</v>
      </c>
      <c r="K18" s="86">
        <v>8.37443467872689E-2</v>
      </c>
      <c r="L18" s="87">
        <v>7.2704155644679497E-2</v>
      </c>
      <c r="M18" s="87">
        <v>0.149887133182844</v>
      </c>
      <c r="N18" s="82">
        <f t="shared" si="4"/>
        <v>30.617994352482786</v>
      </c>
      <c r="O18" s="82">
        <f t="shared" si="10"/>
        <v>4.6261094807141223</v>
      </c>
      <c r="P18" s="81">
        <f t="shared" si="5"/>
        <v>46565.410688818112</v>
      </c>
      <c r="Q18" s="80">
        <f t="shared" si="11"/>
        <v>6979.5559136287075</v>
      </c>
      <c r="S18" s="91">
        <v>3</v>
      </c>
      <c r="T18" s="86">
        <v>8.37443467872689E-2</v>
      </c>
      <c r="U18" s="87">
        <v>7.2704155644679497E-2</v>
      </c>
      <c r="V18" s="87">
        <v>0.149887133182844</v>
      </c>
      <c r="W18" s="82">
        <f t="shared" si="6"/>
        <v>30.485666331109396</v>
      </c>
      <c r="X18" s="82">
        <f t="shared" si="12"/>
        <v>4.6061158812904575</v>
      </c>
      <c r="Y18" s="81">
        <f t="shared" si="7"/>
        <v>43772.25999260282</v>
      </c>
      <c r="Z18" s="80">
        <f t="shared" si="13"/>
        <v>6560.8985632253325</v>
      </c>
    </row>
    <row r="19" spans="1:26" x14ac:dyDescent="0.3">
      <c r="A19" s="91">
        <v>4</v>
      </c>
      <c r="B19" s="86">
        <v>0.117108968342009</v>
      </c>
      <c r="C19" s="87">
        <v>7.2028330062292006E-2</v>
      </c>
      <c r="D19" s="87">
        <v>0.20586907449209901</v>
      </c>
      <c r="E19" s="82">
        <f t="shared" si="2"/>
        <v>30.885981146042671</v>
      </c>
      <c r="F19" s="82">
        <f t="shared" si="8"/>
        <v>6.5258220291391602</v>
      </c>
      <c r="G19" s="81">
        <f t="shared" si="3"/>
        <v>49698.351480450481</v>
      </c>
      <c r="H19" s="80">
        <f t="shared" si="9"/>
        <v>10231.35362306338</v>
      </c>
      <c r="J19" s="91">
        <v>4</v>
      </c>
      <c r="K19" s="86">
        <v>0.117108968342009</v>
      </c>
      <c r="L19" s="87">
        <v>7.2028330062292006E-2</v>
      </c>
      <c r="M19" s="87">
        <v>0.20586907449209901</v>
      </c>
      <c r="N19" s="82">
        <f t="shared" si="4"/>
        <v>30.761299855638654</v>
      </c>
      <c r="O19" s="82">
        <f t="shared" si="10"/>
        <v>6.4994784298313473</v>
      </c>
      <c r="P19" s="81">
        <f t="shared" si="5"/>
        <v>46783.357022323777</v>
      </c>
      <c r="Q19" s="80">
        <f t="shared" si="11"/>
        <v>9631.2464118192365</v>
      </c>
      <c r="S19" s="91">
        <v>4</v>
      </c>
      <c r="T19" s="86">
        <v>0.117108968342009</v>
      </c>
      <c r="U19" s="87">
        <v>7.2028330062292006E-2</v>
      </c>
      <c r="V19" s="87">
        <v>0.20586907449209901</v>
      </c>
      <c r="W19" s="82">
        <f t="shared" si="6"/>
        <v>30.628352481688928</v>
      </c>
      <c r="X19" s="82">
        <f t="shared" si="12"/>
        <v>6.4713883103193597</v>
      </c>
      <c r="Y19" s="81">
        <f t="shared" si="7"/>
        <v>43977.13316849721</v>
      </c>
      <c r="Z19" s="80">
        <f t="shared" si="13"/>
        <v>9053.5317042143106</v>
      </c>
    </row>
    <row r="20" spans="1:26" x14ac:dyDescent="0.3">
      <c r="A20" s="91">
        <v>5</v>
      </c>
      <c r="B20" s="86">
        <v>0.150473589896749</v>
      </c>
      <c r="C20" s="87">
        <v>7.1352504479904405E-2</v>
      </c>
      <c r="D20" s="87">
        <v>0.274492099322799</v>
      </c>
      <c r="E20" s="82">
        <f t="shared" si="2"/>
        <v>31.031906943366771</v>
      </c>
      <c r="F20" s="82">
        <f t="shared" si="8"/>
        <v>8.4246606244087019</v>
      </c>
      <c r="G20" s="81">
        <f t="shared" si="3"/>
        <v>49933.159354326534</v>
      </c>
      <c r="H20" s="80">
        <f t="shared" si="9"/>
        <v>13706.25773698895</v>
      </c>
      <c r="J20" s="91">
        <v>5</v>
      </c>
      <c r="K20" s="86">
        <v>0.150473589896749</v>
      </c>
      <c r="L20" s="87">
        <v>7.1352504479904405E-2</v>
      </c>
      <c r="M20" s="87">
        <v>0.274492099322799</v>
      </c>
      <c r="N20" s="82">
        <f t="shared" si="4"/>
        <v>30.906636576105278</v>
      </c>
      <c r="O20" s="82">
        <f t="shared" si="10"/>
        <v>8.3906517466301249</v>
      </c>
      <c r="P20" s="81">
        <f t="shared" si="5"/>
        <v>47004.392534930608</v>
      </c>
      <c r="Q20" s="80">
        <f t="shared" si="11"/>
        <v>12902.334384306005</v>
      </c>
      <c r="S20" s="91">
        <v>5</v>
      </c>
      <c r="T20" s="86">
        <v>0.150473589896749</v>
      </c>
      <c r="U20" s="87">
        <v>7.1352504479904405E-2</v>
      </c>
      <c r="V20" s="87">
        <v>0.274492099322799</v>
      </c>
      <c r="W20" s="82">
        <f t="shared" si="6"/>
        <v>30.773061070853714</v>
      </c>
      <c r="X20" s="82">
        <f t="shared" si="12"/>
        <v>8.3543881582682484</v>
      </c>
      <c r="Y20" s="81">
        <f t="shared" si="7"/>
        <v>44184.910224090709</v>
      </c>
      <c r="Z20" s="80">
        <f t="shared" si="13"/>
        <v>12128.408765800064</v>
      </c>
    </row>
    <row r="21" spans="1:26" x14ac:dyDescent="0.3">
      <c r="A21" s="91">
        <v>6</v>
      </c>
      <c r="B21" s="86">
        <v>0.21535113917569701</v>
      </c>
      <c r="C21" s="87">
        <v>6.9997440054612101E-2</v>
      </c>
      <c r="D21" s="87">
        <v>0.38645598194130898</v>
      </c>
      <c r="E21" s="82">
        <f t="shared" si="2"/>
        <v>31.330836941687526</v>
      </c>
      <c r="F21" s="82">
        <f t="shared" si="8"/>
        <v>12.173146210446632</v>
      </c>
      <c r="G21" s="81">
        <f t="shared" si="3"/>
        <v>50414.164897079027</v>
      </c>
      <c r="H21" s="80">
        <f t="shared" si="9"/>
        <v>19482.855599051745</v>
      </c>
      <c r="J21" s="91">
        <v>6</v>
      </c>
      <c r="K21" s="86">
        <v>0.21535113917569701</v>
      </c>
      <c r="L21" s="87">
        <v>6.9997440054612101E-2</v>
      </c>
      <c r="M21" s="87">
        <v>0.38645598194130898</v>
      </c>
      <c r="N21" s="82">
        <f t="shared" si="4"/>
        <v>31.204359846436571</v>
      </c>
      <c r="O21" s="82">
        <f t="shared" si="10"/>
        <v>12.124005353608752</v>
      </c>
      <c r="P21" s="81">
        <f t="shared" si="5"/>
        <v>47457.185301007739</v>
      </c>
      <c r="Q21" s="80">
        <f t="shared" si="11"/>
        <v>18340.113145671599</v>
      </c>
      <c r="S21" s="91">
        <v>6</v>
      </c>
      <c r="T21" s="86">
        <v>0.21535113917569701</v>
      </c>
      <c r="U21" s="87">
        <v>6.9997440054612101E-2</v>
      </c>
      <c r="V21" s="87">
        <v>0.38645598194130898</v>
      </c>
      <c r="W21" s="82">
        <f t="shared" si="6"/>
        <v>31.069497609897965</v>
      </c>
      <c r="X21" s="82">
        <f t="shared" si="12"/>
        <v>12.071606570687383</v>
      </c>
      <c r="Y21" s="81">
        <f t="shared" si="7"/>
        <v>44610.542949891133</v>
      </c>
      <c r="Z21" s="80">
        <f t="shared" si="13"/>
        <v>17240.011180635116</v>
      </c>
    </row>
    <row r="22" spans="1:26" x14ac:dyDescent="0.3">
      <c r="A22" s="91">
        <v>7</v>
      </c>
      <c r="B22" s="86">
        <v>0.25982592371362701</v>
      </c>
      <c r="C22" s="87">
        <v>6.9342094035327206E-2</v>
      </c>
      <c r="D22" s="87">
        <v>0.43702031602708802</v>
      </c>
      <c r="E22" s="82">
        <f t="shared" si="2"/>
        <v>31.478541266533238</v>
      </c>
      <c r="F22" s="82">
        <f t="shared" si="8"/>
        <v>14.756411146346208</v>
      </c>
      <c r="G22" s="81">
        <f t="shared" si="3"/>
        <v>50651.834583421667</v>
      </c>
      <c r="H22" s="80">
        <f t="shared" si="9"/>
        <v>22135.880756998722</v>
      </c>
      <c r="J22" s="91">
        <v>7</v>
      </c>
      <c r="K22" s="86">
        <v>0.25982592371362701</v>
      </c>
      <c r="L22" s="87">
        <v>6.9342094035327206E-2</v>
      </c>
      <c r="M22" s="87">
        <v>0.43702031602708802</v>
      </c>
      <c r="N22" s="82">
        <f t="shared" si="4"/>
        <v>31.35146791482104</v>
      </c>
      <c r="O22" s="82">
        <f t="shared" si="10"/>
        <v>14.696842101906304</v>
      </c>
      <c r="P22" s="81">
        <f t="shared" si="5"/>
        <v>47680.914770061157</v>
      </c>
      <c r="Q22" s="80">
        <f t="shared" si="11"/>
        <v>20837.528441272774</v>
      </c>
      <c r="S22" s="91">
        <v>7</v>
      </c>
      <c r="T22" s="86">
        <v>0.25982592371362701</v>
      </c>
      <c r="U22" s="87">
        <v>6.9342094035327206E-2</v>
      </c>
      <c r="V22" s="87">
        <v>0.43702031602708802</v>
      </c>
      <c r="W22" s="82">
        <f t="shared" si="6"/>
        <v>31.21596989138558</v>
      </c>
      <c r="X22" s="82">
        <f t="shared" si="12"/>
        <v>14.63332376646626</v>
      </c>
      <c r="Y22" s="81">
        <f t="shared" si="7"/>
        <v>44820.852369319597</v>
      </c>
      <c r="Z22" s="80">
        <f t="shared" si="13"/>
        <v>19587.623067043507</v>
      </c>
    </row>
    <row r="23" spans="1:26" x14ac:dyDescent="0.3">
      <c r="A23" s="91">
        <v>8</v>
      </c>
      <c r="B23" s="86">
        <v>0.356250533321956</v>
      </c>
      <c r="C23" s="87">
        <v>6.6570526495434698E-2</v>
      </c>
      <c r="D23" s="87">
        <v>0.58148984198645604</v>
      </c>
      <c r="E23" s="82">
        <f t="shared" si="2"/>
        <v>32.127140986211074</v>
      </c>
      <c r="F23" s="82">
        <f t="shared" si="8"/>
        <v>20.649582283184763</v>
      </c>
      <c r="G23" s="81">
        <f t="shared" si="3"/>
        <v>51695.490495994185</v>
      </c>
      <c r="H23" s="80">
        <f t="shared" si="9"/>
        <v>30060.402599927998</v>
      </c>
      <c r="J23" s="91">
        <v>8</v>
      </c>
      <c r="K23" s="86">
        <v>0.356250533321956</v>
      </c>
      <c r="L23" s="87">
        <v>6.6570526495434698E-2</v>
      </c>
      <c r="M23" s="87">
        <v>0.58148984198645604</v>
      </c>
      <c r="N23" s="82">
        <f t="shared" si="4"/>
        <v>31.997449351154639</v>
      </c>
      <c r="O23" s="82">
        <f t="shared" si="10"/>
        <v>20.566223540161594</v>
      </c>
      <c r="P23" s="81">
        <f t="shared" si="5"/>
        <v>48663.356354377</v>
      </c>
      <c r="Q23" s="80">
        <f t="shared" si="11"/>
        <v>28297.247397037281</v>
      </c>
      <c r="S23" s="91">
        <v>8</v>
      </c>
      <c r="T23" s="86">
        <v>0.356250533321956</v>
      </c>
      <c r="U23" s="87">
        <v>6.6570526495434698E-2</v>
      </c>
      <c r="V23" s="87">
        <v>0.58148984198645604</v>
      </c>
      <c r="W23" s="82">
        <f t="shared" si="6"/>
        <v>31.859159458195332</v>
      </c>
      <c r="X23" s="82">
        <f t="shared" si="12"/>
        <v>20.477338303693724</v>
      </c>
      <c r="Y23" s="81">
        <f t="shared" si="7"/>
        <v>45744.363787346112</v>
      </c>
      <c r="Z23" s="80">
        <f t="shared" si="13"/>
        <v>26599.882870474852</v>
      </c>
    </row>
    <row r="24" spans="1:26" x14ac:dyDescent="0.3">
      <c r="A24" s="91">
        <v>9</v>
      </c>
      <c r="B24" s="86">
        <v>0.40075945046505601</v>
      </c>
      <c r="C24" s="87">
        <v>6.5177916204454303E-2</v>
      </c>
      <c r="D24" s="87">
        <v>0.60857787810383701</v>
      </c>
      <c r="E24" s="82">
        <f t="shared" si="2"/>
        <v>32.468545898899706</v>
      </c>
      <c r="F24" s="82">
        <f t="shared" si="8"/>
        <v>23.476334026960586</v>
      </c>
      <c r="G24" s="81">
        <f t="shared" si="3"/>
        <v>52244.842037320443</v>
      </c>
      <c r="H24" s="80">
        <f t="shared" si="9"/>
        <v>31795.055108942619</v>
      </c>
      <c r="J24" s="91">
        <v>9</v>
      </c>
      <c r="K24" s="86">
        <v>0.40075945046505601</v>
      </c>
      <c r="L24" s="87">
        <v>6.5177916204454303E-2</v>
      </c>
      <c r="M24" s="87">
        <v>0.60857787810383701</v>
      </c>
      <c r="N24" s="82">
        <f t="shared" si="4"/>
        <v>32.337476072071958</v>
      </c>
      <c r="O24" s="82">
        <f t="shared" si="10"/>
        <v>23.381564182784462</v>
      </c>
      <c r="P24" s="81">
        <f t="shared" si="5"/>
        <v>49180.486370223487</v>
      </c>
      <c r="Q24" s="80">
        <f t="shared" si="11"/>
        <v>29930.156039305286</v>
      </c>
      <c r="S24" s="91">
        <v>9</v>
      </c>
      <c r="T24" s="86">
        <v>0.40075945046505601</v>
      </c>
      <c r="U24" s="87">
        <v>6.5177916204454303E-2</v>
      </c>
      <c r="V24" s="87">
        <v>0.60857787810383701</v>
      </c>
      <c r="W24" s="82">
        <f t="shared" si="6"/>
        <v>32.197716616388362</v>
      </c>
      <c r="X24" s="82">
        <f t="shared" si="12"/>
        <v>23.280511315333275</v>
      </c>
      <c r="Y24" s="81">
        <f t="shared" si="7"/>
        <v>46230.474597253509</v>
      </c>
      <c r="Z24" s="80">
        <f t="shared" si="13"/>
        <v>28134.844134129879</v>
      </c>
    </row>
    <row r="25" spans="1:26" x14ac:dyDescent="0.3">
      <c r="A25" s="91">
        <v>10</v>
      </c>
      <c r="B25" s="86">
        <v>0.46578206331598199</v>
      </c>
      <c r="C25" s="87">
        <v>6.0689478624455999E-2</v>
      </c>
      <c r="D25" s="87">
        <v>0.66997742663656801</v>
      </c>
      <c r="E25" s="82">
        <f t="shared" si="2"/>
        <v>33.647776586553412</v>
      </c>
      <c r="F25" s="82">
        <f t="shared" si="8"/>
        <v>28.276314318572378</v>
      </c>
      <c r="G25" s="81">
        <f t="shared" si="3"/>
        <v>54142.331416545043</v>
      </c>
      <c r="H25" s="80">
        <f t="shared" si="9"/>
        <v>36274.139874561057</v>
      </c>
      <c r="J25" s="91">
        <v>10</v>
      </c>
      <c r="K25" s="86">
        <v>0.46578206331598199</v>
      </c>
      <c r="L25" s="87">
        <v>6.0689478624455999E-2</v>
      </c>
      <c r="M25" s="87">
        <v>0.66997742663656801</v>
      </c>
      <c r="N25" s="82">
        <f t="shared" si="4"/>
        <v>33.511946412203422</v>
      </c>
      <c r="O25" s="82">
        <f t="shared" si="10"/>
        <v>28.162167795577403</v>
      </c>
      <c r="P25" s="81">
        <f t="shared" si="5"/>
        <v>50966.680890362681</v>
      </c>
      <c r="Q25" s="80">
        <f t="shared" si="11"/>
        <v>34146.525707132336</v>
      </c>
      <c r="S25" s="91">
        <v>10</v>
      </c>
      <c r="T25" s="86">
        <v>0.46578206331598199</v>
      </c>
      <c r="U25" s="87">
        <v>6.0689478624455999E-2</v>
      </c>
      <c r="V25" s="87">
        <v>0.66997742663656801</v>
      </c>
      <c r="W25" s="82">
        <f t="shared" si="6"/>
        <v>33.367111008876677</v>
      </c>
      <c r="X25" s="82">
        <f t="shared" si="12"/>
        <v>28.040453619950096</v>
      </c>
      <c r="Y25" s="81">
        <f t="shared" si="7"/>
        <v>47909.527133810858</v>
      </c>
      <c r="Z25" s="80">
        <f t="shared" si="13"/>
        <v>32098.30170048543</v>
      </c>
    </row>
    <row r="26" spans="1:26" x14ac:dyDescent="0.3">
      <c r="A26" s="91">
        <v>11</v>
      </c>
      <c r="B26" s="88">
        <v>0.527075689051967</v>
      </c>
      <c r="C26" s="89">
        <v>5.67471627271951E-2</v>
      </c>
      <c r="D26" s="89">
        <v>0.707900677200902</v>
      </c>
      <c r="E26" s="82">
        <f t="shared" si="2"/>
        <v>34.796935555835411</v>
      </c>
      <c r="F26" s="82">
        <f t="shared" si="8"/>
        <v>33.090067458231616</v>
      </c>
      <c r="G26" s="81">
        <f t="shared" si="3"/>
        <v>55991.432667116984</v>
      </c>
      <c r="H26" s="80">
        <f t="shared" si="9"/>
        <v>39636.373102500816</v>
      </c>
      <c r="J26" s="91">
        <v>11</v>
      </c>
      <c r="K26" s="88">
        <v>0.527075689051967</v>
      </c>
      <c r="L26" s="89">
        <v>5.67471627271951E-2</v>
      </c>
      <c r="M26" s="89">
        <v>0.707900677200902</v>
      </c>
      <c r="N26" s="82">
        <f t="shared" si="4"/>
        <v>34.656466428217534</v>
      </c>
      <c r="O26" s="82">
        <f t="shared" si="10"/>
        <v>32.956488657845128</v>
      </c>
      <c r="P26" s="81">
        <f t="shared" si="5"/>
        <v>52707.325426831092</v>
      </c>
      <c r="Q26" s="80">
        <f t="shared" si="11"/>
        <v>37311.551363102051</v>
      </c>
      <c r="S26" s="91">
        <v>11</v>
      </c>
      <c r="T26" s="88">
        <v>0.527075689051967</v>
      </c>
      <c r="U26" s="89">
        <v>5.67471627271951E-2</v>
      </c>
      <c r="V26" s="89">
        <v>0.707900677200902</v>
      </c>
      <c r="W26" s="82">
        <f t="shared" si="6"/>
        <v>34.506684519662592</v>
      </c>
      <c r="X26" s="82">
        <f t="shared" si="12"/>
        <v>32.814053889411198</v>
      </c>
      <c r="Y26" s="81">
        <f t="shared" si="7"/>
        <v>49545.761928649576</v>
      </c>
      <c r="Z26" s="80">
        <f t="shared" si="13"/>
        <v>35073.478421725704</v>
      </c>
    </row>
    <row r="27" spans="1:26" x14ac:dyDescent="0.3">
      <c r="A27" s="91">
        <v>12</v>
      </c>
      <c r="B27" s="88">
        <v>0.584725659185937</v>
      </c>
      <c r="C27" s="89">
        <v>5.1507807833432798E-2</v>
      </c>
      <c r="D27" s="89">
        <v>0.75124153498871304</v>
      </c>
      <c r="E27" s="82">
        <f t="shared" si="2"/>
        <v>36.52384925366983</v>
      </c>
      <c r="F27" s="82">
        <f t="shared" si="8"/>
        <v>38.531184701831123</v>
      </c>
      <c r="G27" s="81">
        <f t="shared" si="3"/>
        <v>58770.193799086912</v>
      </c>
      <c r="H27" s="80">
        <f t="shared" si="9"/>
        <v>44150.610601210195</v>
      </c>
      <c r="J27" s="91">
        <v>12</v>
      </c>
      <c r="K27" s="88">
        <v>0.584725659185937</v>
      </c>
      <c r="L27" s="89">
        <v>5.1507807833432798E-2</v>
      </c>
      <c r="M27" s="89">
        <v>0.75124153498871304</v>
      </c>
      <c r="N27" s="82">
        <f t="shared" si="4"/>
        <v>36.37640887824719</v>
      </c>
      <c r="O27" s="82">
        <f t="shared" si="10"/>
        <v>38.375641065166207</v>
      </c>
      <c r="P27" s="81">
        <f t="shared" si="5"/>
        <v>55323.101810638174</v>
      </c>
      <c r="Q27" s="80">
        <f t="shared" si="11"/>
        <v>41561.011924560669</v>
      </c>
      <c r="S27" s="91">
        <v>12</v>
      </c>
      <c r="T27" s="88">
        <v>0.584725659185937</v>
      </c>
      <c r="U27" s="89">
        <v>5.1507807833432798E-2</v>
      </c>
      <c r="V27" s="89">
        <v>0.75124153498871304</v>
      </c>
      <c r="W27" s="82">
        <f t="shared" si="6"/>
        <v>36.219193544149462</v>
      </c>
      <c r="X27" s="82">
        <f t="shared" si="12"/>
        <v>38.209785242194016</v>
      </c>
      <c r="Y27" s="81">
        <f t="shared" si="7"/>
        <v>52004.635205203936</v>
      </c>
      <c r="Z27" s="80">
        <f t="shared" si="13"/>
        <v>39068.041978085472</v>
      </c>
    </row>
    <row r="28" spans="1:26" x14ac:dyDescent="0.3">
      <c r="A28" s="91">
        <v>13</v>
      </c>
      <c r="B28" s="86">
        <v>0.62189606621725402</v>
      </c>
      <c r="C28" s="87">
        <v>4.8627015956992897E-2</v>
      </c>
      <c r="D28" s="87">
        <v>0.76749435665914201</v>
      </c>
      <c r="E28" s="83">
        <f>$B$2</f>
        <v>36.666666666666664</v>
      </c>
      <c r="F28" s="82">
        <f t="shared" si="8"/>
        <v>41.140816688218344</v>
      </c>
      <c r="G28" s="80">
        <f t="shared" ref="G28:G35" si="14">C28*$G$2*E28^3*$B$3^5</f>
        <v>56136.630585566068</v>
      </c>
      <c r="H28" s="80">
        <f t="shared" si="9"/>
        <v>43084.547176280947</v>
      </c>
      <c r="J28" s="91">
        <v>13</v>
      </c>
      <c r="K28" s="86">
        <v>0.62189606621725402</v>
      </c>
      <c r="L28" s="87">
        <v>4.8627015956992897E-2</v>
      </c>
      <c r="M28" s="87">
        <v>0.76749435665914201</v>
      </c>
      <c r="N28" s="83">
        <f>$B$2</f>
        <v>36.666666666666664</v>
      </c>
      <c r="O28" s="82">
        <f t="shared" si="10"/>
        <v>41.140816688218344</v>
      </c>
      <c r="P28" s="80">
        <f t="shared" ref="P28:P35" si="15">L28*$G$3*N28^3*$B$3^5</f>
        <v>53489.174750330603</v>
      </c>
      <c r="Q28" s="80">
        <f t="shared" si="11"/>
        <v>41052.639763233412</v>
      </c>
      <c r="S28" s="91">
        <v>13</v>
      </c>
      <c r="T28" s="86">
        <v>0.62189606621725402</v>
      </c>
      <c r="U28" s="87">
        <v>4.8627015956992897E-2</v>
      </c>
      <c r="V28" s="87">
        <v>0.76749435665914201</v>
      </c>
      <c r="W28" s="83">
        <f>$B$2</f>
        <v>36.666666666666664</v>
      </c>
      <c r="X28" s="82">
        <f t="shared" si="12"/>
        <v>41.140816688218344</v>
      </c>
      <c r="Y28" s="80">
        <f t="shared" ref="Y28:Y35" si="16">U28*$G$4*W28^3*$B$3^5</f>
        <v>50938.314452732971</v>
      </c>
      <c r="Z28" s="80">
        <f t="shared" si="13"/>
        <v>39094.868880201364</v>
      </c>
    </row>
    <row r="29" spans="1:26" x14ac:dyDescent="0.3">
      <c r="A29" s="91">
        <v>14</v>
      </c>
      <c r="B29" s="86">
        <v>0.67399095485962901</v>
      </c>
      <c r="C29" s="87">
        <v>4.3377421281679297E-2</v>
      </c>
      <c r="D29" s="87">
        <v>0.78735891647855505</v>
      </c>
      <c r="E29" s="83">
        <f t="shared" ref="E29:E35" si="17">$B$2</f>
        <v>36.666666666666664</v>
      </c>
      <c r="F29" s="82">
        <f t="shared" si="8"/>
        <v>44.587093936867767</v>
      </c>
      <c r="G29" s="80">
        <f t="shared" si="14"/>
        <v>50076.325398986854</v>
      </c>
      <c r="H29" s="80">
        <f t="shared" si="9"/>
        <v>39428.041307373838</v>
      </c>
      <c r="J29" s="91">
        <v>14</v>
      </c>
      <c r="K29" s="86">
        <v>0.67399095485962901</v>
      </c>
      <c r="L29" s="87">
        <v>4.3377421281679297E-2</v>
      </c>
      <c r="M29" s="87">
        <v>0.78735891647855505</v>
      </c>
      <c r="N29" s="83">
        <f t="shared" ref="N29:N35" si="18">$B$2</f>
        <v>36.666666666666664</v>
      </c>
      <c r="O29" s="82">
        <f t="shared" si="10"/>
        <v>44.587093936867767</v>
      </c>
      <c r="P29" s="80">
        <f t="shared" si="15"/>
        <v>47714.679206442037</v>
      </c>
      <c r="Q29" s="80">
        <f t="shared" si="11"/>
        <v>37568.578120106045</v>
      </c>
      <c r="S29" s="91">
        <v>14</v>
      </c>
      <c r="T29" s="86">
        <v>0.67399095485962901</v>
      </c>
      <c r="U29" s="87">
        <v>4.3377421281679297E-2</v>
      </c>
      <c r="V29" s="87">
        <v>0.78735891647855505</v>
      </c>
      <c r="W29" s="83">
        <f t="shared" ref="W29:W35" si="19">$B$2</f>
        <v>36.666666666666664</v>
      </c>
      <c r="X29" s="82">
        <f t="shared" si="12"/>
        <v>44.587093936867767</v>
      </c>
      <c r="Y29" s="80">
        <f t="shared" si="16"/>
        <v>45439.200450816475</v>
      </c>
      <c r="Z29" s="80">
        <f t="shared" si="13"/>
        <v>35776.959632606733</v>
      </c>
    </row>
    <row r="30" spans="1:26" x14ac:dyDescent="0.3">
      <c r="A30" s="91">
        <v>15</v>
      </c>
      <c r="B30" s="86">
        <v>0.72612850925846895</v>
      </c>
      <c r="C30" s="87">
        <v>3.7206246266746297E-2</v>
      </c>
      <c r="D30" s="87">
        <v>0.79097065462753902</v>
      </c>
      <c r="E30" s="83">
        <f t="shared" si="17"/>
        <v>36.666666666666664</v>
      </c>
      <c r="F30" s="82">
        <f t="shared" si="8"/>
        <v>48.03619368940641</v>
      </c>
      <c r="G30" s="80">
        <f t="shared" si="14"/>
        <v>42952.117481343696</v>
      </c>
      <c r="H30" s="80">
        <f t="shared" si="9"/>
        <v>33973.864481857388</v>
      </c>
      <c r="J30" s="91">
        <v>15</v>
      </c>
      <c r="K30" s="86">
        <v>0.72612850925846895</v>
      </c>
      <c r="L30" s="87">
        <v>3.7206246266746297E-2</v>
      </c>
      <c r="M30" s="87">
        <v>0.79097065462753902</v>
      </c>
      <c r="N30" s="83">
        <f t="shared" si="18"/>
        <v>36.666666666666664</v>
      </c>
      <c r="O30" s="82">
        <f t="shared" si="10"/>
        <v>48.03619368940641</v>
      </c>
      <c r="P30" s="80">
        <f t="shared" si="15"/>
        <v>40926.455576175118</v>
      </c>
      <c r="Q30" s="80">
        <f t="shared" si="11"/>
        <v>32371.625358672129</v>
      </c>
      <c r="S30" s="91">
        <v>15</v>
      </c>
      <c r="T30" s="86">
        <v>0.72612850925846895</v>
      </c>
      <c r="U30" s="87">
        <v>3.7206246266746297E-2</v>
      </c>
      <c r="V30" s="87">
        <v>0.79097065462753902</v>
      </c>
      <c r="W30" s="83">
        <f t="shared" si="19"/>
        <v>36.666666666666664</v>
      </c>
      <c r="X30" s="82">
        <f t="shared" si="12"/>
        <v>48.03619368940641</v>
      </c>
      <c r="Y30" s="80">
        <f t="shared" si="16"/>
        <v>38974.702326326878</v>
      </c>
      <c r="Z30" s="80">
        <f t="shared" si="13"/>
        <v>30827.84581296824</v>
      </c>
    </row>
    <row r="31" spans="1:26" x14ac:dyDescent="0.3">
      <c r="A31" s="91">
        <v>16</v>
      </c>
      <c r="B31" s="86">
        <v>0.78772079528969996</v>
      </c>
      <c r="C31" s="87">
        <v>2.6812867992149401E-2</v>
      </c>
      <c r="D31" s="87">
        <v>0.77832957110609402</v>
      </c>
      <c r="E31" s="83">
        <f t="shared" si="17"/>
        <v>36.666666666666664</v>
      </c>
      <c r="F31" s="82">
        <f t="shared" si="8"/>
        <v>52.110760303780154</v>
      </c>
      <c r="G31" s="80">
        <f t="shared" si="14"/>
        <v>30953.658903233267</v>
      </c>
      <c r="H31" s="80">
        <f t="shared" si="9"/>
        <v>24092.148058317878</v>
      </c>
      <c r="J31" s="91">
        <v>16</v>
      </c>
      <c r="K31" s="86">
        <v>0.78772079528969996</v>
      </c>
      <c r="L31" s="87">
        <v>2.6812867992149401E-2</v>
      </c>
      <c r="M31" s="87">
        <v>0.77832957110609402</v>
      </c>
      <c r="N31" s="83">
        <f t="shared" si="18"/>
        <v>36.666666666666664</v>
      </c>
      <c r="O31" s="82">
        <f t="shared" si="10"/>
        <v>52.110760303780154</v>
      </c>
      <c r="P31" s="80">
        <f t="shared" si="15"/>
        <v>29493.855490907994</v>
      </c>
      <c r="Q31" s="80">
        <f t="shared" si="11"/>
        <v>22955.939894503535</v>
      </c>
      <c r="S31" s="91">
        <v>16</v>
      </c>
      <c r="T31" s="86">
        <v>0.78772079528969996</v>
      </c>
      <c r="U31" s="87">
        <v>2.6812867992149401E-2</v>
      </c>
      <c r="V31" s="87">
        <v>0.77832957110609402</v>
      </c>
      <c r="W31" s="83">
        <f t="shared" si="19"/>
        <v>36.666666666666664</v>
      </c>
      <c r="X31" s="82">
        <f t="shared" si="12"/>
        <v>52.110760303780154</v>
      </c>
      <c r="Y31" s="80">
        <f t="shared" si="16"/>
        <v>28087.314721752191</v>
      </c>
      <c r="Z31" s="80">
        <f t="shared" si="13"/>
        <v>21861.187620903263</v>
      </c>
    </row>
    <row r="32" spans="1:26" x14ac:dyDescent="0.3">
      <c r="A32" s="91">
        <v>17</v>
      </c>
      <c r="B32" s="86">
        <v>0.81755269220923199</v>
      </c>
      <c r="C32" s="87">
        <v>2.2443894530249999E-2</v>
      </c>
      <c r="D32" s="87">
        <v>0.76027088036117296</v>
      </c>
      <c r="E32" s="83">
        <f t="shared" si="17"/>
        <v>36.666666666666664</v>
      </c>
      <c r="F32" s="82">
        <f t="shared" si="8"/>
        <v>54.084255023072274</v>
      </c>
      <c r="G32" s="80">
        <f t="shared" si="14"/>
        <v>25909.97188189306</v>
      </c>
      <c r="H32" s="80">
        <f t="shared" si="9"/>
        <v>19698.597132780073</v>
      </c>
      <c r="J32" s="91">
        <v>17</v>
      </c>
      <c r="K32" s="86">
        <v>0.81755269220923199</v>
      </c>
      <c r="L32" s="87">
        <v>2.2443894530249999E-2</v>
      </c>
      <c r="M32" s="87">
        <v>0.76027088036117296</v>
      </c>
      <c r="N32" s="83">
        <f t="shared" si="18"/>
        <v>36.666666666666664</v>
      </c>
      <c r="O32" s="82">
        <f t="shared" si="10"/>
        <v>54.084255023072274</v>
      </c>
      <c r="P32" s="80">
        <f t="shared" si="15"/>
        <v>24688.033451781048</v>
      </c>
      <c r="Q32" s="80">
        <f t="shared" si="11"/>
        <v>18769.592926771664</v>
      </c>
      <c r="S32" s="91">
        <v>17</v>
      </c>
      <c r="T32" s="86">
        <v>0.81755269220923199</v>
      </c>
      <c r="U32" s="87">
        <v>2.2443894530249999E-2</v>
      </c>
      <c r="V32" s="87">
        <v>0.76027088036117296</v>
      </c>
      <c r="W32" s="83">
        <f t="shared" si="19"/>
        <v>36.666666666666664</v>
      </c>
      <c r="X32" s="82">
        <f t="shared" si="12"/>
        <v>54.084255023072274</v>
      </c>
      <c r="Y32" s="80">
        <f t="shared" si="16"/>
        <v>23510.678881405642</v>
      </c>
      <c r="Z32" s="80">
        <f t="shared" si="13"/>
        <v>17874.484531055103</v>
      </c>
    </row>
    <row r="33" spans="1:26" x14ac:dyDescent="0.3">
      <c r="A33" s="91">
        <v>18</v>
      </c>
      <c r="B33" s="86">
        <v>0.83622322723781894</v>
      </c>
      <c r="C33" s="87">
        <v>1.9160337912791099E-2</v>
      </c>
      <c r="D33" s="87">
        <v>0.72776523702031604</v>
      </c>
      <c r="E33" s="83">
        <f t="shared" si="17"/>
        <v>36.666666666666664</v>
      </c>
      <c r="F33" s="82">
        <f t="shared" si="8"/>
        <v>55.319382724963404</v>
      </c>
      <c r="G33" s="80">
        <f t="shared" si="14"/>
        <v>22119.325854916908</v>
      </c>
      <c r="H33" s="80">
        <f t="shared" si="9"/>
        <v>16097.676423533208</v>
      </c>
      <c r="J33" s="91">
        <v>18</v>
      </c>
      <c r="K33" s="86">
        <v>0.83622322723781894</v>
      </c>
      <c r="L33" s="87">
        <v>1.9160337912791099E-2</v>
      </c>
      <c r="M33" s="87">
        <v>0.72776523702031604</v>
      </c>
      <c r="N33" s="83">
        <f t="shared" si="18"/>
        <v>36.666666666666664</v>
      </c>
      <c r="O33" s="82">
        <f t="shared" si="10"/>
        <v>55.319382724963404</v>
      </c>
      <c r="P33" s="80">
        <f t="shared" si="15"/>
        <v>21076.157825499562</v>
      </c>
      <c r="Q33" s="80">
        <f t="shared" si="11"/>
        <v>15338.494995352277</v>
      </c>
      <c r="S33" s="91">
        <v>18</v>
      </c>
      <c r="T33" s="86">
        <v>0.83622322723781894</v>
      </c>
      <c r="U33" s="87">
        <v>1.9160337912791099E-2</v>
      </c>
      <c r="V33" s="87">
        <v>0.72776523702031604</v>
      </c>
      <c r="W33" s="83">
        <f t="shared" si="19"/>
        <v>36.666666666666664</v>
      </c>
      <c r="X33" s="82">
        <f t="shared" si="12"/>
        <v>55.319382724963404</v>
      </c>
      <c r="Y33" s="80">
        <f t="shared" si="16"/>
        <v>20071.051007645056</v>
      </c>
      <c r="Z33" s="80">
        <f t="shared" si="13"/>
        <v>14607.013193825656</v>
      </c>
    </row>
    <row r="34" spans="1:26" x14ac:dyDescent="0.3">
      <c r="A34" s="91">
        <v>19</v>
      </c>
      <c r="B34" s="86">
        <v>0.88853144466251399</v>
      </c>
      <c r="C34" s="87">
        <v>9.30284153938047E-3</v>
      </c>
      <c r="D34" s="87">
        <v>0.53092550790067705</v>
      </c>
      <c r="E34" s="83">
        <f t="shared" si="17"/>
        <v>36.666666666666664</v>
      </c>
      <c r="F34" s="82">
        <f t="shared" si="8"/>
        <v>58.779772493058616</v>
      </c>
      <c r="G34" s="80">
        <f t="shared" si="14"/>
        <v>10739.507013017934</v>
      </c>
      <c r="H34" s="80">
        <f t="shared" si="9"/>
        <v>5701.8782154894297</v>
      </c>
      <c r="J34" s="91">
        <v>19</v>
      </c>
      <c r="K34" s="86">
        <v>0.88853144466251399</v>
      </c>
      <c r="L34" s="87">
        <v>9.30284153938047E-3</v>
      </c>
      <c r="M34" s="87">
        <v>0.53092550790067705</v>
      </c>
      <c r="N34" s="83">
        <f t="shared" si="18"/>
        <v>36.666666666666664</v>
      </c>
      <c r="O34" s="82">
        <f t="shared" si="10"/>
        <v>58.779772493058616</v>
      </c>
      <c r="P34" s="80">
        <f t="shared" si="15"/>
        <v>10233.021849719284</v>
      </c>
      <c r="Q34" s="80">
        <f t="shared" si="11"/>
        <v>5432.9723229209367</v>
      </c>
      <c r="S34" s="91">
        <v>19</v>
      </c>
      <c r="T34" s="86">
        <v>0.88853144466251399</v>
      </c>
      <c r="U34" s="87">
        <v>9.30284153938047E-3</v>
      </c>
      <c r="V34" s="87">
        <v>0.53092550790067705</v>
      </c>
      <c r="W34" s="83">
        <f t="shared" si="19"/>
        <v>36.666666666666664</v>
      </c>
      <c r="X34" s="82">
        <f t="shared" si="12"/>
        <v>58.779772493058616</v>
      </c>
      <c r="Y34" s="80">
        <f t="shared" si="16"/>
        <v>9745.0163928630482</v>
      </c>
      <c r="Z34" s="80">
        <f t="shared" si="13"/>
        <v>5173.8777778812373</v>
      </c>
    </row>
    <row r="35" spans="1:26" x14ac:dyDescent="0.3">
      <c r="A35" s="91">
        <v>20</v>
      </c>
      <c r="B35" s="86">
        <v>0.90536735216315301</v>
      </c>
      <c r="C35" s="87">
        <v>5.6472395255567701E-3</v>
      </c>
      <c r="D35" s="87">
        <v>0.48216704288939</v>
      </c>
      <c r="E35" s="83">
        <f t="shared" si="17"/>
        <v>36.666666666666664</v>
      </c>
      <c r="F35" s="82">
        <f t="shared" si="8"/>
        <v>59.893532527716275</v>
      </c>
      <c r="G35" s="80">
        <f t="shared" si="14"/>
        <v>6519.3595131308593</v>
      </c>
      <c r="H35" s="80">
        <f t="shared" si="9"/>
        <v>3143.4202979791198</v>
      </c>
      <c r="J35" s="91">
        <v>20</v>
      </c>
      <c r="K35" s="86">
        <v>0.90536735216315301</v>
      </c>
      <c r="L35" s="87">
        <v>5.6472395255567701E-3</v>
      </c>
      <c r="M35" s="87">
        <v>0.48216704288939</v>
      </c>
      <c r="N35" s="83">
        <f t="shared" si="18"/>
        <v>36.666666666666664</v>
      </c>
      <c r="O35" s="82">
        <f t="shared" si="10"/>
        <v>59.893532527716275</v>
      </c>
      <c r="P35" s="80">
        <f t="shared" si="15"/>
        <v>6211.9004404184716</v>
      </c>
      <c r="Q35" s="80">
        <f t="shared" si="11"/>
        <v>2995.1736660798738</v>
      </c>
      <c r="S35" s="91">
        <v>20</v>
      </c>
      <c r="T35" s="86">
        <v>0.90536735216315301</v>
      </c>
      <c r="U35" s="87">
        <v>5.6472395255567701E-3</v>
      </c>
      <c r="V35" s="87">
        <v>0.48216704288939</v>
      </c>
      <c r="W35" s="83">
        <f t="shared" si="19"/>
        <v>36.666666666666664</v>
      </c>
      <c r="X35" s="82">
        <f t="shared" si="12"/>
        <v>59.893532527716275</v>
      </c>
      <c r="Y35" s="80">
        <f t="shared" si="16"/>
        <v>5915.6593733230247</v>
      </c>
      <c r="Z35" s="80">
        <f t="shared" si="13"/>
        <v>2852.3359867760646</v>
      </c>
    </row>
    <row r="36" spans="1:26" ht="15.6" thickBot="1" x14ac:dyDescent="0.35"/>
    <row r="37" spans="1:26" ht="15.6" thickBot="1" x14ac:dyDescent="0.35">
      <c r="A37" s="104" t="s">
        <v>293</v>
      </c>
      <c r="B37" s="105"/>
      <c r="C37" s="105"/>
      <c r="D37" s="105"/>
      <c r="E37" s="105"/>
      <c r="F37" s="105"/>
      <c r="G37" s="105"/>
      <c r="H37" s="106"/>
      <c r="J37" s="104" t="s">
        <v>294</v>
      </c>
      <c r="K37" s="105"/>
      <c r="L37" s="105"/>
      <c r="M37" s="105"/>
      <c r="N37" s="105"/>
      <c r="O37" s="105"/>
      <c r="P37" s="105"/>
      <c r="Q37" s="106"/>
      <c r="S37" s="104" t="s">
        <v>295</v>
      </c>
      <c r="T37" s="105"/>
      <c r="U37" s="105"/>
      <c r="V37" s="105"/>
      <c r="W37" s="105"/>
      <c r="X37" s="105"/>
      <c r="Y37" s="105"/>
      <c r="Z37" s="106"/>
    </row>
    <row r="38" spans="1:26" ht="18.600000000000001" thickBot="1" x14ac:dyDescent="0.35">
      <c r="A38" s="92" t="s">
        <v>232</v>
      </c>
      <c r="B38" s="93" t="s">
        <v>212</v>
      </c>
      <c r="C38" s="94" t="s">
        <v>285</v>
      </c>
      <c r="D38" s="94" t="s">
        <v>286</v>
      </c>
      <c r="E38" s="94" t="s">
        <v>289</v>
      </c>
      <c r="F38" s="94" t="s">
        <v>195</v>
      </c>
      <c r="G38" s="94" t="s">
        <v>287</v>
      </c>
      <c r="H38" s="94" t="s">
        <v>288</v>
      </c>
      <c r="J38" s="92" t="s">
        <v>232</v>
      </c>
      <c r="K38" s="93" t="s">
        <v>212</v>
      </c>
      <c r="L38" s="94" t="s">
        <v>285</v>
      </c>
      <c r="M38" s="94" t="s">
        <v>286</v>
      </c>
      <c r="N38" s="94" t="s">
        <v>289</v>
      </c>
      <c r="O38" s="94" t="s">
        <v>195</v>
      </c>
      <c r="P38" s="94" t="s">
        <v>287</v>
      </c>
      <c r="Q38" s="94" t="s">
        <v>288</v>
      </c>
      <c r="S38" s="92" t="s">
        <v>232</v>
      </c>
      <c r="T38" s="93" t="s">
        <v>212</v>
      </c>
      <c r="U38" s="94" t="s">
        <v>285</v>
      </c>
      <c r="V38" s="94" t="s">
        <v>286</v>
      </c>
      <c r="W38" s="94" t="s">
        <v>289</v>
      </c>
      <c r="X38" s="94" t="s">
        <v>195</v>
      </c>
      <c r="Y38" s="94" t="s">
        <v>287</v>
      </c>
      <c r="Z38" s="94" t="s">
        <v>288</v>
      </c>
    </row>
    <row r="39" spans="1:26" x14ac:dyDescent="0.3">
      <c r="A39" s="90">
        <v>1</v>
      </c>
      <c r="B39" s="84">
        <v>0</v>
      </c>
      <c r="C39" s="85">
        <v>7.3277583411553798E-2</v>
      </c>
      <c r="D39" s="85">
        <v>0</v>
      </c>
      <c r="E39" s="82">
        <f t="shared" ref="E39:E50" si="20">SQRT($I$5/$G$5/$B$3^5/C39)</f>
        <v>30.225463068827601</v>
      </c>
      <c r="F39" s="82">
        <f>B39*E39*$B$3</f>
        <v>0</v>
      </c>
      <c r="G39" s="81">
        <f t="shared" ref="G39:G50" si="21">$I$5*E39</f>
        <v>40923.698967641169</v>
      </c>
      <c r="H39" s="81">
        <f>G39*D39</f>
        <v>0</v>
      </c>
      <c r="J39" s="90">
        <v>1</v>
      </c>
      <c r="K39" s="84">
        <v>0</v>
      </c>
      <c r="L39" s="85">
        <v>7.3277583411553798E-2</v>
      </c>
      <c r="M39" s="85">
        <v>0</v>
      </c>
      <c r="N39" s="82">
        <f t="shared" ref="N39:N50" si="22">SQRT($I$6/$G$6/$B$3^5/L39)</f>
        <v>30.075143733373885</v>
      </c>
      <c r="O39" s="82">
        <f>K39*N39*$B$3</f>
        <v>0</v>
      </c>
      <c r="P39" s="81">
        <f t="shared" ref="P39:P50" si="23">$I$6*N39</f>
        <v>38349.441997671944</v>
      </c>
      <c r="Q39" s="81">
        <f>P39*M39</f>
        <v>0</v>
      </c>
      <c r="S39" s="90">
        <v>1</v>
      </c>
      <c r="T39" s="84">
        <v>0</v>
      </c>
      <c r="U39" s="85">
        <v>7.3277583411553798E-2</v>
      </c>
      <c r="V39" s="85">
        <v>0</v>
      </c>
      <c r="W39" s="82">
        <f t="shared" ref="W39:W50" si="24">SQRT($I$7/$G$7/$B$3^5/U39)</f>
        <v>29.914358837696458</v>
      </c>
      <c r="X39" s="82">
        <f>T39*W39*$B$3</f>
        <v>0</v>
      </c>
      <c r="Y39" s="81">
        <f t="shared" ref="Y39:Y50" si="25">$I$7*W39</f>
        <v>35875.392638306112</v>
      </c>
      <c r="Z39" s="81">
        <f>Y39*V39</f>
        <v>0</v>
      </c>
    </row>
    <row r="40" spans="1:26" x14ac:dyDescent="0.3">
      <c r="A40" s="91">
        <v>2</v>
      </c>
      <c r="B40" s="86">
        <v>2.26043177745546E-2</v>
      </c>
      <c r="C40" s="87">
        <v>7.3328782319310504E-2</v>
      </c>
      <c r="D40" s="87">
        <v>4.3340857787810397E-2</v>
      </c>
      <c r="E40" s="82">
        <f t="shared" si="20"/>
        <v>30.214909362200331</v>
      </c>
      <c r="F40" s="82">
        <f t="shared" ref="F40:F58" si="26">B40*E40*$B$3</f>
        <v>1.2322430244066829</v>
      </c>
      <c r="G40" s="81">
        <f t="shared" si="21"/>
        <v>40909.409799861547</v>
      </c>
      <c r="H40" s="80">
        <f t="shared" ref="H40:H58" si="27">G40*D40</f>
        <v>1773.0489123190564</v>
      </c>
      <c r="J40" s="91">
        <v>2</v>
      </c>
      <c r="K40" s="86">
        <v>2.26043177745546E-2</v>
      </c>
      <c r="L40" s="87">
        <v>7.3328782319310504E-2</v>
      </c>
      <c r="M40" s="87">
        <v>4.3340857787810397E-2</v>
      </c>
      <c r="N40" s="82">
        <f t="shared" si="22"/>
        <v>30.064642513160575</v>
      </c>
      <c r="O40" s="82">
        <f t="shared" ref="O40:O58" si="28">K40*N40*$B$3</f>
        <v>1.2261147493121212</v>
      </c>
      <c r="P40" s="81">
        <f t="shared" si="23"/>
        <v>38336.051673122034</v>
      </c>
      <c r="Q40" s="80">
        <f t="shared" ref="Q40:Q58" si="29">P40*M40</f>
        <v>1661.5173637109328</v>
      </c>
      <c r="S40" s="91">
        <v>2</v>
      </c>
      <c r="T40" s="86">
        <v>2.26043177745546E-2</v>
      </c>
      <c r="U40" s="87">
        <v>7.3328782319310504E-2</v>
      </c>
      <c r="V40" s="87">
        <v>4.3340857787810397E-2</v>
      </c>
      <c r="W40" s="82">
        <f t="shared" si="24"/>
        <v>29.903913758115809</v>
      </c>
      <c r="X40" s="82">
        <f t="shared" ref="X40:X58" si="30">T40*W40*$B$3</f>
        <v>1.2195598103298033</v>
      </c>
      <c r="Y40" s="81">
        <f t="shared" si="25"/>
        <v>35862.866167886765</v>
      </c>
      <c r="Z40" s="80">
        <f t="shared" ref="Z40:Z58" si="31">Y40*V40</f>
        <v>1554.3273824456571</v>
      </c>
    </row>
    <row r="41" spans="1:26" x14ac:dyDescent="0.3">
      <c r="A41" s="91">
        <v>3</v>
      </c>
      <c r="B41" s="86">
        <v>8.37443467872689E-2</v>
      </c>
      <c r="C41" s="87">
        <v>7.2704155644679497E-2</v>
      </c>
      <c r="D41" s="87">
        <v>0.149887133182844</v>
      </c>
      <c r="E41" s="82">
        <f t="shared" si="20"/>
        <v>30.344425173124762</v>
      </c>
      <c r="F41" s="82">
        <f t="shared" si="26"/>
        <v>4.5847755853684689</v>
      </c>
      <c r="G41" s="81">
        <f t="shared" si="21"/>
        <v>41084.767446020749</v>
      </c>
      <c r="H41" s="80">
        <f t="shared" si="27"/>
        <v>6158.078009967885</v>
      </c>
      <c r="J41" s="91">
        <v>3</v>
      </c>
      <c r="K41" s="86">
        <v>8.37443467872689E-2</v>
      </c>
      <c r="L41" s="87">
        <v>7.2704155644679497E-2</v>
      </c>
      <c r="M41" s="87">
        <v>0.149887133182844</v>
      </c>
      <c r="N41" s="82">
        <f t="shared" si="22"/>
        <v>30.193514207216239</v>
      </c>
      <c r="O41" s="82">
        <f t="shared" si="28"/>
        <v>4.5619742665722063</v>
      </c>
      <c r="P41" s="81">
        <f t="shared" si="23"/>
        <v>38500.378653572843</v>
      </c>
      <c r="Q41" s="80">
        <f t="shared" si="29"/>
        <v>5770.711382837997</v>
      </c>
      <c r="S41" s="91">
        <v>3</v>
      </c>
      <c r="T41" s="86">
        <v>8.37443467872689E-2</v>
      </c>
      <c r="U41" s="87">
        <v>7.2704155644679497E-2</v>
      </c>
      <c r="V41" s="87">
        <v>0.149887133182844</v>
      </c>
      <c r="W41" s="82">
        <f t="shared" si="24"/>
        <v>30.032096490480441</v>
      </c>
      <c r="X41" s="82">
        <f t="shared" si="30"/>
        <v>4.5375854701948191</v>
      </c>
      <c r="Y41" s="81">
        <f t="shared" si="25"/>
        <v>36016.59187125157</v>
      </c>
      <c r="Z41" s="80">
        <f t="shared" si="31"/>
        <v>5398.4237025984203</v>
      </c>
    </row>
    <row r="42" spans="1:26" x14ac:dyDescent="0.3">
      <c r="A42" s="91">
        <v>4</v>
      </c>
      <c r="B42" s="86">
        <v>0.117108968342009</v>
      </c>
      <c r="C42" s="87">
        <v>7.2028330062292006E-2</v>
      </c>
      <c r="D42" s="87">
        <v>0.20586907449209901</v>
      </c>
      <c r="E42" s="82">
        <f t="shared" si="20"/>
        <v>30.48645025377991</v>
      </c>
      <c r="F42" s="82">
        <f t="shared" si="26"/>
        <v>6.441406142018022</v>
      </c>
      <c r="G42" s="81">
        <f t="shared" si="21"/>
        <v>41277.061990304523</v>
      </c>
      <c r="H42" s="80">
        <f t="shared" si="27"/>
        <v>8497.6705496969898</v>
      </c>
      <c r="J42" s="91">
        <v>4</v>
      </c>
      <c r="K42" s="86">
        <v>0.117108968342009</v>
      </c>
      <c r="L42" s="87">
        <v>7.2028330062292006E-2</v>
      </c>
      <c r="M42" s="87">
        <v>0.20586907449209901</v>
      </c>
      <c r="N42" s="82">
        <f t="shared" si="22"/>
        <v>30.334832959048793</v>
      </c>
      <c r="O42" s="82">
        <f t="shared" si="28"/>
        <v>6.4093713014450016</v>
      </c>
      <c r="P42" s="81">
        <f t="shared" si="23"/>
        <v>38680.577136567023</v>
      </c>
      <c r="Q42" s="80">
        <f t="shared" si="29"/>
        <v>7963.134615925298</v>
      </c>
      <c r="S42" s="91">
        <v>4</v>
      </c>
      <c r="T42" s="86">
        <v>0.117108968342009</v>
      </c>
      <c r="U42" s="87">
        <v>7.2028330062292006E-2</v>
      </c>
      <c r="V42" s="87">
        <v>0.20586907449209901</v>
      </c>
      <c r="W42" s="82">
        <f t="shared" si="24"/>
        <v>30.172659737336126</v>
      </c>
      <c r="X42" s="82">
        <f t="shared" si="30"/>
        <v>6.3751061253515235</v>
      </c>
      <c r="Y42" s="81">
        <f t="shared" si="25"/>
        <v>36185.165154029346</v>
      </c>
      <c r="Z42" s="80">
        <f t="shared" si="31"/>
        <v>7449.4064606037728</v>
      </c>
    </row>
    <row r="43" spans="1:26" x14ac:dyDescent="0.3">
      <c r="A43" s="91">
        <v>5</v>
      </c>
      <c r="B43" s="86">
        <v>0.150473589896749</v>
      </c>
      <c r="C43" s="87">
        <v>7.1352504479904405E-2</v>
      </c>
      <c r="D43" s="87">
        <v>0.274492099322799</v>
      </c>
      <c r="E43" s="82">
        <f t="shared" si="20"/>
        <v>30.630488402991642</v>
      </c>
      <c r="F43" s="82">
        <f t="shared" si="26"/>
        <v>8.3156819858359015</v>
      </c>
      <c r="G43" s="81">
        <f t="shared" si="21"/>
        <v>41472.082124314518</v>
      </c>
      <c r="H43" s="80">
        <f t="shared" si="27"/>
        <v>11383.758885590618</v>
      </c>
      <c r="J43" s="91">
        <v>5</v>
      </c>
      <c r="K43" s="86">
        <v>0.150473589896749</v>
      </c>
      <c r="L43" s="87">
        <v>7.1352504479904405E-2</v>
      </c>
      <c r="M43" s="87">
        <v>0.274492099322799</v>
      </c>
      <c r="N43" s="82">
        <f t="shared" si="22"/>
        <v>30.478154767908013</v>
      </c>
      <c r="O43" s="82">
        <f t="shared" si="28"/>
        <v>8.2743258687398988</v>
      </c>
      <c r="P43" s="81">
        <f t="shared" si="23"/>
        <v>38863.329759283464</v>
      </c>
      <c r="Q43" s="80">
        <f t="shared" si="29"/>
        <v>10667.676972299927</v>
      </c>
      <c r="S43" s="91">
        <v>5</v>
      </c>
      <c r="T43" s="86">
        <v>0.150473589896749</v>
      </c>
      <c r="U43" s="87">
        <v>7.1352504479904405E-2</v>
      </c>
      <c r="V43" s="87">
        <v>0.274492099322799</v>
      </c>
      <c r="W43" s="82">
        <f t="shared" si="24"/>
        <v>30.315215332663996</v>
      </c>
      <c r="X43" s="82">
        <f t="shared" si="30"/>
        <v>8.2300904485071431</v>
      </c>
      <c r="Y43" s="81">
        <f t="shared" si="25"/>
        <v>36356.127800527058</v>
      </c>
      <c r="Z43" s="80">
        <f t="shared" si="31"/>
        <v>9979.469843214647</v>
      </c>
    </row>
    <row r="44" spans="1:26" x14ac:dyDescent="0.3">
      <c r="A44" s="91">
        <v>6</v>
      </c>
      <c r="B44" s="86">
        <v>0.21535113917569701</v>
      </c>
      <c r="C44" s="87">
        <v>6.9997440054612101E-2</v>
      </c>
      <c r="D44" s="87">
        <v>0.38645598194130898</v>
      </c>
      <c r="E44" s="82">
        <f t="shared" si="20"/>
        <v>30.925551541186163</v>
      </c>
      <c r="F44" s="82">
        <f t="shared" si="26"/>
        <v>12.015678395384914</v>
      </c>
      <c r="G44" s="81">
        <f t="shared" si="21"/>
        <v>41871.582208611777</v>
      </c>
      <c r="H44" s="80">
        <f t="shared" si="27"/>
        <v>16181.523417865306</v>
      </c>
      <c r="J44" s="91">
        <v>6</v>
      </c>
      <c r="K44" s="86">
        <v>0.21535113917569701</v>
      </c>
      <c r="L44" s="87">
        <v>6.9997440054612101E-2</v>
      </c>
      <c r="M44" s="87">
        <v>0.38645598194130898</v>
      </c>
      <c r="N44" s="82">
        <f t="shared" si="22"/>
        <v>30.771750477969203</v>
      </c>
      <c r="O44" s="82">
        <f t="shared" si="28"/>
        <v>11.955921203665243</v>
      </c>
      <c r="P44" s="81">
        <f t="shared" si="23"/>
        <v>39237.699762418735</v>
      </c>
      <c r="Q44" s="80">
        <f t="shared" si="29"/>
        <v>15163.643790803799</v>
      </c>
      <c r="S44" s="91">
        <v>6</v>
      </c>
      <c r="T44" s="86">
        <v>0.21535113917569701</v>
      </c>
      <c r="U44" s="87">
        <v>6.9997440054612101E-2</v>
      </c>
      <c r="V44" s="87">
        <v>0.38645598194130898</v>
      </c>
      <c r="W44" s="82">
        <f t="shared" si="24"/>
        <v>30.607241449042377</v>
      </c>
      <c r="X44" s="82">
        <f t="shared" si="30"/>
        <v>11.892003585831029</v>
      </c>
      <c r="Y44" s="81">
        <f t="shared" si="25"/>
        <v>36706.345956381767</v>
      </c>
      <c r="Z44" s="80">
        <f t="shared" si="31"/>
        <v>14185.386970050911</v>
      </c>
    </row>
    <row r="45" spans="1:26" x14ac:dyDescent="0.3">
      <c r="A45" s="91">
        <v>7</v>
      </c>
      <c r="B45" s="86">
        <v>0.25982592371362701</v>
      </c>
      <c r="C45" s="87">
        <v>6.9342094035327206E-2</v>
      </c>
      <c r="D45" s="87">
        <v>0.43702031602708802</v>
      </c>
      <c r="E45" s="82">
        <f t="shared" si="20"/>
        <v>31.071345211472526</v>
      </c>
      <c r="F45" s="82">
        <f t="shared" si="26"/>
        <v>14.56552706583024</v>
      </c>
      <c r="G45" s="81">
        <f t="shared" si="21"/>
        <v>42068.979226503616</v>
      </c>
      <c r="H45" s="80">
        <f t="shared" si="27"/>
        <v>18384.99859650361</v>
      </c>
      <c r="J45" s="91">
        <v>7</v>
      </c>
      <c r="K45" s="86">
        <v>0.25982592371362701</v>
      </c>
      <c r="L45" s="87">
        <v>6.9342094035327206E-2</v>
      </c>
      <c r="M45" s="87">
        <v>0.43702031602708802</v>
      </c>
      <c r="N45" s="82">
        <f t="shared" si="22"/>
        <v>30.916819077225849</v>
      </c>
      <c r="O45" s="82">
        <f t="shared" si="28"/>
        <v>14.493088792706585</v>
      </c>
      <c r="P45" s="81">
        <f t="shared" si="23"/>
        <v>39422.679753942532</v>
      </c>
      <c r="Q45" s="80">
        <f t="shared" si="29"/>
        <v>17228.511964702651</v>
      </c>
      <c r="S45" s="91">
        <v>7</v>
      </c>
      <c r="T45" s="86">
        <v>0.25982592371362701</v>
      </c>
      <c r="U45" s="87">
        <v>6.9342094035327206E-2</v>
      </c>
      <c r="V45" s="87">
        <v>0.43702031602708802</v>
      </c>
      <c r="W45" s="82">
        <f t="shared" si="24"/>
        <v>30.751534496241675</v>
      </c>
      <c r="X45" s="82">
        <f t="shared" si="30"/>
        <v>14.41560720890311</v>
      </c>
      <c r="Y45" s="81">
        <f t="shared" si="25"/>
        <v>36879.392276757157</v>
      </c>
      <c r="Z45" s="80">
        <f t="shared" si="31"/>
        <v>16117.043667675362</v>
      </c>
    </row>
    <row r="46" spans="1:26" x14ac:dyDescent="0.3">
      <c r="A46" s="91">
        <v>8</v>
      </c>
      <c r="B46" s="86">
        <v>0.356250533321956</v>
      </c>
      <c r="C46" s="87">
        <v>6.6570526495434698E-2</v>
      </c>
      <c r="D46" s="87">
        <v>0.58148984198645604</v>
      </c>
      <c r="E46" s="82">
        <f t="shared" si="20"/>
        <v>31.711554858531365</v>
      </c>
      <c r="F46" s="82">
        <f t="shared" si="26"/>
        <v>20.382466079382016</v>
      </c>
      <c r="G46" s="81">
        <f t="shared" si="21"/>
        <v>42935.789664204945</v>
      </c>
      <c r="H46" s="80">
        <f t="shared" si="27"/>
        <v>24966.725547402246</v>
      </c>
      <c r="J46" s="91">
        <v>8</v>
      </c>
      <c r="K46" s="86">
        <v>0.356250533321956</v>
      </c>
      <c r="L46" s="87">
        <v>6.6570526495434698E-2</v>
      </c>
      <c r="M46" s="87">
        <v>0.58148984198645604</v>
      </c>
      <c r="N46" s="82">
        <f t="shared" si="22"/>
        <v>31.553844789981426</v>
      </c>
      <c r="O46" s="82">
        <f t="shared" si="28"/>
        <v>20.281098608220908</v>
      </c>
      <c r="P46" s="81">
        <f t="shared" si="23"/>
        <v>40234.964504396987</v>
      </c>
      <c r="Q46" s="80">
        <f t="shared" si="29"/>
        <v>23396.223151992472</v>
      </c>
      <c r="S46" s="91">
        <v>8</v>
      </c>
      <c r="T46" s="86">
        <v>0.356250533321956</v>
      </c>
      <c r="U46" s="87">
        <v>6.6570526495434698E-2</v>
      </c>
      <c r="V46" s="87">
        <v>0.58148984198645604</v>
      </c>
      <c r="W46" s="82">
        <f t="shared" si="24"/>
        <v>31.38515460223848</v>
      </c>
      <c r="X46" s="82">
        <f t="shared" si="30"/>
        <v>20.172673712471269</v>
      </c>
      <c r="Y46" s="81">
        <f t="shared" si="25"/>
        <v>37639.273851003556</v>
      </c>
      <c r="Z46" s="80">
        <f t="shared" si="31"/>
        <v>21886.855404105005</v>
      </c>
    </row>
    <row r="47" spans="1:26" x14ac:dyDescent="0.3">
      <c r="A47" s="91">
        <v>9</v>
      </c>
      <c r="B47" s="86">
        <v>0.40075945046505601</v>
      </c>
      <c r="C47" s="87">
        <v>6.5177916204454303E-2</v>
      </c>
      <c r="D47" s="87">
        <v>0.60857787810383701</v>
      </c>
      <c r="E47" s="82">
        <f t="shared" si="20"/>
        <v>32.048543469573481</v>
      </c>
      <c r="F47" s="82">
        <f t="shared" si="26"/>
        <v>23.172651892451093</v>
      </c>
      <c r="G47" s="81">
        <f t="shared" si="21"/>
        <v>43392.054649869759</v>
      </c>
      <c r="H47" s="80">
        <f t="shared" si="27"/>
        <v>26407.444545383471</v>
      </c>
      <c r="J47" s="91">
        <v>9</v>
      </c>
      <c r="K47" s="86">
        <v>0.40075945046505601</v>
      </c>
      <c r="L47" s="87">
        <v>6.5177916204454303E-2</v>
      </c>
      <c r="M47" s="87">
        <v>0.60857787810383701</v>
      </c>
      <c r="N47" s="82">
        <f t="shared" si="22"/>
        <v>31.88915746626774</v>
      </c>
      <c r="O47" s="82">
        <f t="shared" si="28"/>
        <v>23.057408078808219</v>
      </c>
      <c r="P47" s="81">
        <f t="shared" si="23"/>
        <v>40662.528679794646</v>
      </c>
      <c r="Q47" s="80">
        <f t="shared" si="29"/>
        <v>24746.315422285843</v>
      </c>
      <c r="S47" s="91">
        <v>9</v>
      </c>
      <c r="T47" s="86">
        <v>0.40075945046505601</v>
      </c>
      <c r="U47" s="87">
        <v>6.5177916204454303E-2</v>
      </c>
      <c r="V47" s="87">
        <v>0.60857787810383701</v>
      </c>
      <c r="W47" s="82">
        <f t="shared" si="24"/>
        <v>31.718674661533374</v>
      </c>
      <c r="X47" s="82">
        <f t="shared" si="30"/>
        <v>22.934140739326512</v>
      </c>
      <c r="Y47" s="81">
        <f t="shared" si="25"/>
        <v>38039.254447107043</v>
      </c>
      <c r="Z47" s="80">
        <f t="shared" si="31"/>
        <v>23149.848756072352</v>
      </c>
    </row>
    <row r="48" spans="1:26" x14ac:dyDescent="0.3">
      <c r="A48" s="91">
        <v>10</v>
      </c>
      <c r="B48" s="86">
        <v>0.46578206331598199</v>
      </c>
      <c r="C48" s="87">
        <v>6.0689478624455999E-2</v>
      </c>
      <c r="D48" s="87">
        <v>0.66997742663656801</v>
      </c>
      <c r="E48" s="82">
        <f t="shared" si="20"/>
        <v>33.212520016955779</v>
      </c>
      <c r="F48" s="82">
        <f t="shared" si="26"/>
        <v>27.91054121794841</v>
      </c>
      <c r="G48" s="81">
        <f t="shared" si="21"/>
        <v>44968.01812549949</v>
      </c>
      <c r="H48" s="80">
        <f t="shared" si="27"/>
        <v>30127.557064668694</v>
      </c>
      <c r="J48" s="91">
        <v>10</v>
      </c>
      <c r="K48" s="86">
        <v>0.46578206331598199</v>
      </c>
      <c r="L48" s="87">
        <v>6.0689478624455999E-2</v>
      </c>
      <c r="M48" s="87">
        <v>0.66997742663656801</v>
      </c>
      <c r="N48" s="82">
        <f t="shared" si="22"/>
        <v>33.047345246057368</v>
      </c>
      <c r="O48" s="82">
        <f t="shared" si="28"/>
        <v>27.771734609808718</v>
      </c>
      <c r="P48" s="81">
        <f t="shared" si="23"/>
        <v>42139.358033536599</v>
      </c>
      <c r="Q48" s="80">
        <f t="shared" si="29"/>
        <v>28232.418655425838</v>
      </c>
      <c r="S48" s="91">
        <v>10</v>
      </c>
      <c r="T48" s="86">
        <v>0.46578206331598199</v>
      </c>
      <c r="U48" s="87">
        <v>6.0689478624455999E-2</v>
      </c>
      <c r="V48" s="87">
        <v>0.66997742663656801</v>
      </c>
      <c r="W48" s="82">
        <f t="shared" si="24"/>
        <v>32.870670647095871</v>
      </c>
      <c r="X48" s="82">
        <f t="shared" si="30"/>
        <v>27.62326398264878</v>
      </c>
      <c r="Y48" s="81">
        <f t="shared" si="25"/>
        <v>39420.808654036169</v>
      </c>
      <c r="Z48" s="80">
        <f t="shared" si="31"/>
        <v>26411.051937963704</v>
      </c>
    </row>
    <row r="49" spans="1:26" x14ac:dyDescent="0.3">
      <c r="A49" s="91">
        <v>11</v>
      </c>
      <c r="B49" s="88">
        <v>0.527075689051967</v>
      </c>
      <c r="C49" s="89">
        <v>5.67471627271951E-2</v>
      </c>
      <c r="D49" s="89">
        <v>0.707900677200902</v>
      </c>
      <c r="E49" s="82">
        <f t="shared" si="20"/>
        <v>34.346813843823234</v>
      </c>
      <c r="F49" s="82">
        <f t="shared" si="26"/>
        <v>32.662025230461367</v>
      </c>
      <c r="G49" s="81">
        <f t="shared" si="21"/>
        <v>46503.792747243868</v>
      </c>
      <c r="H49" s="80">
        <f t="shared" si="27"/>
        <v>32920.066378184332</v>
      </c>
      <c r="J49" s="91">
        <v>11</v>
      </c>
      <c r="K49" s="88">
        <v>0.527075689051967</v>
      </c>
      <c r="L49" s="89">
        <v>5.67471627271951E-2</v>
      </c>
      <c r="M49" s="89">
        <v>0.707900677200902</v>
      </c>
      <c r="N49" s="82">
        <f t="shared" si="22"/>
        <v>34.1759979254633</v>
      </c>
      <c r="O49" s="82">
        <f t="shared" si="28"/>
        <v>32.499588217799712</v>
      </c>
      <c r="P49" s="81">
        <f t="shared" si="23"/>
        <v>43578.526565800807</v>
      </c>
      <c r="Q49" s="80">
        <f t="shared" si="29"/>
        <v>30849.268467347891</v>
      </c>
      <c r="S49" s="91">
        <v>11</v>
      </c>
      <c r="T49" s="88">
        <v>0.527075689051967</v>
      </c>
      <c r="U49" s="89">
        <v>5.67471627271951E-2</v>
      </c>
      <c r="V49" s="89">
        <v>0.707900677200902</v>
      </c>
      <c r="W49" s="82">
        <f t="shared" si="24"/>
        <v>33.99328943004155</v>
      </c>
      <c r="X49" s="82">
        <f t="shared" si="30"/>
        <v>32.325841985778894</v>
      </c>
      <c r="Y49" s="81">
        <f t="shared" si="25"/>
        <v>40767.131663659296</v>
      </c>
      <c r="Z49" s="80">
        <f t="shared" si="31"/>
        <v>28859.080112242751</v>
      </c>
    </row>
    <row r="50" spans="1:26" x14ac:dyDescent="0.3">
      <c r="A50" s="91">
        <v>12</v>
      </c>
      <c r="B50" s="88">
        <v>0.584725659185937</v>
      </c>
      <c r="C50" s="89">
        <v>5.1507807833432798E-2</v>
      </c>
      <c r="D50" s="89">
        <v>0.75124153498871304</v>
      </c>
      <c r="E50" s="82">
        <f t="shared" si="20"/>
        <v>36.051388754125071</v>
      </c>
      <c r="F50" s="82">
        <f t="shared" si="26"/>
        <v>38.032757971235384</v>
      </c>
      <c r="G50" s="81">
        <f t="shared" si="21"/>
        <v>48811.698182410859</v>
      </c>
      <c r="H50" s="80">
        <f t="shared" si="27"/>
        <v>36669.375067960107</v>
      </c>
      <c r="J50" s="91">
        <v>12</v>
      </c>
      <c r="K50" s="88">
        <v>0.584725659185937</v>
      </c>
      <c r="L50" s="89">
        <v>5.1507807833432798E-2</v>
      </c>
      <c r="M50" s="89">
        <v>0.75124153498871304</v>
      </c>
      <c r="N50" s="82">
        <f t="shared" si="22"/>
        <v>35.872095527504754</v>
      </c>
      <c r="O50" s="82">
        <f t="shared" si="28"/>
        <v>37.843610864020206</v>
      </c>
      <c r="P50" s="81">
        <f t="shared" si="23"/>
        <v>45741.255934229412</v>
      </c>
      <c r="Q50" s="80">
        <f t="shared" si="29"/>
        <v>34362.731320342085</v>
      </c>
      <c r="S50" s="91">
        <v>12</v>
      </c>
      <c r="T50" s="88">
        <v>0.584725659185937</v>
      </c>
      <c r="U50" s="89">
        <v>5.1507807833432798E-2</v>
      </c>
      <c r="V50" s="89">
        <v>0.75124153498871304</v>
      </c>
      <c r="W50" s="82">
        <f t="shared" si="24"/>
        <v>35.680319515118811</v>
      </c>
      <c r="X50" s="82">
        <f t="shared" si="30"/>
        <v>37.641294922365148</v>
      </c>
      <c r="Y50" s="81">
        <f t="shared" si="25"/>
        <v>42790.336206439402</v>
      </c>
      <c r="Z50" s="80">
        <f t="shared" si="31"/>
        <v>32145.877854408642</v>
      </c>
    </row>
    <row r="51" spans="1:26" x14ac:dyDescent="0.3">
      <c r="A51" s="91">
        <v>13</v>
      </c>
      <c r="B51" s="86">
        <v>0.62189606621725402</v>
      </c>
      <c r="C51" s="87">
        <v>4.8627015956992897E-2</v>
      </c>
      <c r="D51" s="87">
        <v>0.76749435665914201</v>
      </c>
      <c r="E51" s="83">
        <f>$B$2</f>
        <v>36.666666666666664</v>
      </c>
      <c r="F51" s="82">
        <f t="shared" si="26"/>
        <v>41.140816688218344</v>
      </c>
      <c r="G51" s="80">
        <f t="shared" ref="G51:G58" si="32">C51*$G$5*E51^3*$B$3^5</f>
        <v>48481.579910688422</v>
      </c>
      <c r="H51" s="80">
        <f t="shared" si="27"/>
        <v>37209.338983372596</v>
      </c>
      <c r="J51" s="91">
        <v>13</v>
      </c>
      <c r="K51" s="86">
        <v>0.62189606621725402</v>
      </c>
      <c r="L51" s="87">
        <v>4.8627015956992897E-2</v>
      </c>
      <c r="M51" s="87">
        <v>0.76749435665914201</v>
      </c>
      <c r="N51" s="83">
        <f>$B$2</f>
        <v>36.666666666666664</v>
      </c>
      <c r="O51" s="82">
        <f t="shared" si="28"/>
        <v>41.140816688218344</v>
      </c>
      <c r="P51" s="80">
        <f t="shared" ref="P51:P58" si="33">L51*$G$6*N51^3*$B$3^5</f>
        <v>46116.536904090732</v>
      </c>
      <c r="Q51" s="80">
        <f t="shared" si="29"/>
        <v>35394.181822552695</v>
      </c>
      <c r="S51" s="91">
        <v>13</v>
      </c>
      <c r="T51" s="86">
        <v>0.62189606621725402</v>
      </c>
      <c r="U51" s="87">
        <v>4.8627015956992897E-2</v>
      </c>
      <c r="V51" s="87">
        <v>0.76749435665914201</v>
      </c>
      <c r="W51" s="83">
        <f>$B$2</f>
        <v>36.666666666666664</v>
      </c>
      <c r="X51" s="82">
        <f t="shared" si="30"/>
        <v>41.140816688218344</v>
      </c>
      <c r="Y51" s="80">
        <f t="shared" ref="Y51:Y58" si="34">U51*$G$7*W51^3*$B$3^5</f>
        <v>43840.786669228313</v>
      </c>
      <c r="Z51" s="80">
        <f t="shared" si="31"/>
        <v>33647.556360130075</v>
      </c>
    </row>
    <row r="52" spans="1:26" x14ac:dyDescent="0.3">
      <c r="A52" s="91">
        <v>14</v>
      </c>
      <c r="B52" s="86">
        <v>0.67399095485962901</v>
      </c>
      <c r="C52" s="87">
        <v>4.3377421281679297E-2</v>
      </c>
      <c r="D52" s="87">
        <v>0.78735891647855505</v>
      </c>
      <c r="E52" s="83">
        <f t="shared" ref="E52:E58" si="35">$B$2</f>
        <v>36.666666666666664</v>
      </c>
      <c r="F52" s="82">
        <f t="shared" si="26"/>
        <v>44.587093936867767</v>
      </c>
      <c r="G52" s="80">
        <f t="shared" si="32"/>
        <v>43247.68597866028</v>
      </c>
      <c r="H52" s="80">
        <f t="shared" si="27"/>
        <v>34051.451172362758</v>
      </c>
      <c r="J52" s="91">
        <v>14</v>
      </c>
      <c r="K52" s="86">
        <v>0.67399095485962901</v>
      </c>
      <c r="L52" s="87">
        <v>4.3377421281679297E-2</v>
      </c>
      <c r="M52" s="87">
        <v>0.78735891647855505</v>
      </c>
      <c r="N52" s="83">
        <f t="shared" ref="N52:N58" si="36">$B$2</f>
        <v>36.666666666666664</v>
      </c>
      <c r="O52" s="82">
        <f t="shared" si="28"/>
        <v>44.587093936867767</v>
      </c>
      <c r="P52" s="80">
        <f t="shared" si="33"/>
        <v>41137.964359361038</v>
      </c>
      <c r="Q52" s="80">
        <f t="shared" si="29"/>
        <v>32390.343044119923</v>
      </c>
      <c r="S52" s="91">
        <v>14</v>
      </c>
      <c r="T52" s="86">
        <v>0.67399095485962901</v>
      </c>
      <c r="U52" s="87">
        <v>4.3377421281679297E-2</v>
      </c>
      <c r="V52" s="87">
        <v>0.78735891647855505</v>
      </c>
      <c r="W52" s="83">
        <f t="shared" ref="W52:W58" si="37">$B$2</f>
        <v>36.666666666666664</v>
      </c>
      <c r="X52" s="82">
        <f t="shared" si="30"/>
        <v>44.587093936867767</v>
      </c>
      <c r="Y52" s="80">
        <f t="shared" si="34"/>
        <v>39107.895790958341</v>
      </c>
      <c r="Z52" s="80">
        <f t="shared" si="31"/>
        <v>30791.950455725204</v>
      </c>
    </row>
    <row r="53" spans="1:26" x14ac:dyDescent="0.3">
      <c r="A53" s="91">
        <v>15</v>
      </c>
      <c r="B53" s="86">
        <v>0.72612850925846895</v>
      </c>
      <c r="C53" s="87">
        <v>3.7206246266746297E-2</v>
      </c>
      <c r="D53" s="87">
        <v>0.79097065462753902</v>
      </c>
      <c r="E53" s="83">
        <f t="shared" si="35"/>
        <v>36.666666666666664</v>
      </c>
      <c r="F53" s="82">
        <f t="shared" si="26"/>
        <v>48.03619368940641</v>
      </c>
      <c r="G53" s="80">
        <f t="shared" si="32"/>
        <v>37094.968014351536</v>
      </c>
      <c r="H53" s="80">
        <f t="shared" si="27"/>
        <v>29341.031133699256</v>
      </c>
      <c r="J53" s="91">
        <v>15</v>
      </c>
      <c r="K53" s="86">
        <v>0.72612850925846895</v>
      </c>
      <c r="L53" s="87">
        <v>3.7206246266746297E-2</v>
      </c>
      <c r="M53" s="87">
        <v>0.79097065462753902</v>
      </c>
      <c r="N53" s="83">
        <f t="shared" si="36"/>
        <v>36.666666666666664</v>
      </c>
      <c r="O53" s="82">
        <f t="shared" si="28"/>
        <v>48.03619368940641</v>
      </c>
      <c r="P53" s="80">
        <f t="shared" si="33"/>
        <v>35285.390132526663</v>
      </c>
      <c r="Q53" s="80">
        <f t="shared" si="29"/>
        <v>27909.708131912721</v>
      </c>
      <c r="S53" s="91">
        <v>15</v>
      </c>
      <c r="T53" s="86">
        <v>0.72612850925846895</v>
      </c>
      <c r="U53" s="87">
        <v>3.7206246266746297E-2</v>
      </c>
      <c r="V53" s="87">
        <v>0.79097065462753902</v>
      </c>
      <c r="W53" s="83">
        <f t="shared" si="37"/>
        <v>36.666666666666664</v>
      </c>
      <c r="X53" s="82">
        <f t="shared" si="30"/>
        <v>48.03619368940641</v>
      </c>
      <c r="Y53" s="80">
        <f t="shared" si="34"/>
        <v>33544.133302068818</v>
      </c>
      <c r="Z53" s="80">
        <f t="shared" si="31"/>
        <v>26532.425076850806</v>
      </c>
    </row>
    <row r="54" spans="1:26" x14ac:dyDescent="0.3">
      <c r="A54" s="91">
        <v>16</v>
      </c>
      <c r="B54" s="86">
        <v>0.78772079528969996</v>
      </c>
      <c r="C54" s="87">
        <v>2.6812867992149401E-2</v>
      </c>
      <c r="D54" s="87">
        <v>0.77832957110609402</v>
      </c>
      <c r="E54" s="83">
        <f t="shared" si="35"/>
        <v>36.666666666666664</v>
      </c>
      <c r="F54" s="82">
        <f t="shared" si="26"/>
        <v>52.110760303780154</v>
      </c>
      <c r="G54" s="80">
        <f t="shared" si="32"/>
        <v>26732.674761408882</v>
      </c>
      <c r="H54" s="80">
        <f t="shared" si="27"/>
        <v>20806.831281566079</v>
      </c>
      <c r="J54" s="91">
        <v>16</v>
      </c>
      <c r="K54" s="86">
        <v>0.78772079528969996</v>
      </c>
      <c r="L54" s="87">
        <v>2.6812867992149401E-2</v>
      </c>
      <c r="M54" s="87">
        <v>0.77832957110609402</v>
      </c>
      <c r="N54" s="83">
        <f t="shared" si="36"/>
        <v>36.666666666666664</v>
      </c>
      <c r="O54" s="82">
        <f t="shared" si="28"/>
        <v>52.110760303780154</v>
      </c>
      <c r="P54" s="80">
        <f t="shared" si="33"/>
        <v>25428.593384345881</v>
      </c>
      <c r="Q54" s="80">
        <f t="shared" si="29"/>
        <v>19791.826182669189</v>
      </c>
      <c r="S54" s="91">
        <v>16</v>
      </c>
      <c r="T54" s="86">
        <v>0.78772079528969996</v>
      </c>
      <c r="U54" s="87">
        <v>2.6812867992149401E-2</v>
      </c>
      <c r="V54" s="87">
        <v>0.77832957110609402</v>
      </c>
      <c r="W54" s="83">
        <f t="shared" si="37"/>
        <v>36.666666666666664</v>
      </c>
      <c r="X54" s="82">
        <f t="shared" si="30"/>
        <v>52.110760303780154</v>
      </c>
      <c r="Y54" s="80">
        <f t="shared" si="34"/>
        <v>24173.747915636959</v>
      </c>
      <c r="Z54" s="80">
        <f t="shared" si="31"/>
        <v>18815.142847204548</v>
      </c>
    </row>
    <row r="55" spans="1:26" x14ac:dyDescent="0.3">
      <c r="A55" s="91">
        <v>17</v>
      </c>
      <c r="B55" s="86">
        <v>0.81755269220923199</v>
      </c>
      <c r="C55" s="87">
        <v>2.2443894530249999E-2</v>
      </c>
      <c r="D55" s="87">
        <v>0.76027088036117296</v>
      </c>
      <c r="E55" s="83">
        <f t="shared" si="35"/>
        <v>36.666666666666664</v>
      </c>
      <c r="F55" s="82">
        <f t="shared" si="26"/>
        <v>54.084255023072274</v>
      </c>
      <c r="G55" s="80">
        <f t="shared" si="32"/>
        <v>22376.76823800453</v>
      </c>
      <c r="H55" s="80">
        <f t="shared" si="27"/>
        <v>17012.405287945636</v>
      </c>
      <c r="J55" s="91">
        <v>17</v>
      </c>
      <c r="K55" s="86">
        <v>0.81755269220923199</v>
      </c>
      <c r="L55" s="87">
        <v>2.2443894530249999E-2</v>
      </c>
      <c r="M55" s="87">
        <v>0.76027088036117296</v>
      </c>
      <c r="N55" s="83">
        <f t="shared" si="36"/>
        <v>36.666666666666664</v>
      </c>
      <c r="O55" s="82">
        <f t="shared" si="28"/>
        <v>54.084255023072274</v>
      </c>
      <c r="P55" s="80">
        <f t="shared" si="33"/>
        <v>21285.178002516299</v>
      </c>
      <c r="Q55" s="80">
        <f t="shared" si="29"/>
        <v>16182.50101861734</v>
      </c>
      <c r="S55" s="91">
        <v>17</v>
      </c>
      <c r="T55" s="86">
        <v>0.81755269220923199</v>
      </c>
      <c r="U55" s="87">
        <v>2.2443894530249999E-2</v>
      </c>
      <c r="V55" s="87">
        <v>0.76027088036117296</v>
      </c>
      <c r="W55" s="83">
        <f t="shared" si="37"/>
        <v>36.666666666666664</v>
      </c>
      <c r="X55" s="82">
        <f t="shared" si="30"/>
        <v>54.084255023072274</v>
      </c>
      <c r="Y55" s="80">
        <f t="shared" si="34"/>
        <v>20234.801020847972</v>
      </c>
      <c r="Z55" s="80">
        <f t="shared" si="31"/>
        <v>15383.929986053248</v>
      </c>
    </row>
    <row r="56" spans="1:26" x14ac:dyDescent="0.3">
      <c r="A56" s="91">
        <v>18</v>
      </c>
      <c r="B56" s="86">
        <v>0.83622322723781894</v>
      </c>
      <c r="C56" s="87">
        <v>1.9160337912791099E-2</v>
      </c>
      <c r="D56" s="87">
        <v>0.72776523702031604</v>
      </c>
      <c r="E56" s="83">
        <f t="shared" si="35"/>
        <v>36.666666666666664</v>
      </c>
      <c r="F56" s="82">
        <f t="shared" si="26"/>
        <v>55.319382724963404</v>
      </c>
      <c r="G56" s="80">
        <f t="shared" si="32"/>
        <v>19103.032241508317</v>
      </c>
      <c r="H56" s="80">
        <f t="shared" si="27"/>
        <v>13902.522787048039</v>
      </c>
      <c r="J56" s="91">
        <v>18</v>
      </c>
      <c r="K56" s="86">
        <v>0.83622322723781894</v>
      </c>
      <c r="L56" s="87">
        <v>1.9160337912791099E-2</v>
      </c>
      <c r="M56" s="87">
        <v>0.72776523702031604</v>
      </c>
      <c r="N56" s="83">
        <f t="shared" si="36"/>
        <v>36.666666666666664</v>
      </c>
      <c r="O56" s="82">
        <f t="shared" si="28"/>
        <v>55.319382724963404</v>
      </c>
      <c r="P56" s="80">
        <f t="shared" si="33"/>
        <v>18171.142379609882</v>
      </c>
      <c r="Q56" s="80">
        <f t="shared" si="29"/>
        <v>13224.325740826696</v>
      </c>
      <c r="S56" s="91">
        <v>18</v>
      </c>
      <c r="T56" s="86">
        <v>0.83622322723781894</v>
      </c>
      <c r="U56" s="87">
        <v>1.9160337912791099E-2</v>
      </c>
      <c r="V56" s="87">
        <v>0.72776523702031604</v>
      </c>
      <c r="W56" s="83">
        <f t="shared" si="37"/>
        <v>36.666666666666664</v>
      </c>
      <c r="X56" s="82">
        <f t="shared" si="30"/>
        <v>55.319382724963404</v>
      </c>
      <c r="Y56" s="80">
        <f t="shared" si="34"/>
        <v>17274.43624523301</v>
      </c>
      <c r="Z56" s="80">
        <f t="shared" si="31"/>
        <v>12571.73418840434</v>
      </c>
    </row>
    <row r="57" spans="1:26" x14ac:dyDescent="0.3">
      <c r="A57" s="91">
        <v>19</v>
      </c>
      <c r="B57" s="86">
        <v>0.88853144466251399</v>
      </c>
      <c r="C57" s="87">
        <v>9.30284153938047E-3</v>
      </c>
      <c r="D57" s="87">
        <v>0.53092550790067705</v>
      </c>
      <c r="E57" s="83">
        <f t="shared" si="35"/>
        <v>36.666666666666664</v>
      </c>
      <c r="F57" s="82">
        <f t="shared" si="26"/>
        <v>58.779772493058616</v>
      </c>
      <c r="G57" s="80">
        <f t="shared" si="32"/>
        <v>9275.0181480771425</v>
      </c>
      <c r="H57" s="80">
        <f t="shared" si="27"/>
        <v>4924.3437210558541</v>
      </c>
      <c r="J57" s="91">
        <v>19</v>
      </c>
      <c r="K57" s="86">
        <v>0.88853144466251399</v>
      </c>
      <c r="L57" s="87">
        <v>9.30284153938047E-3</v>
      </c>
      <c r="M57" s="87">
        <v>0.53092550790067705</v>
      </c>
      <c r="N57" s="83">
        <f t="shared" si="36"/>
        <v>36.666666666666664</v>
      </c>
      <c r="O57" s="82">
        <f t="shared" si="28"/>
        <v>58.779772493058616</v>
      </c>
      <c r="P57" s="80">
        <f t="shared" si="33"/>
        <v>8822.5614243567925</v>
      </c>
      <c r="Q57" s="80">
        <f t="shared" si="29"/>
        <v>4684.1229052115505</v>
      </c>
      <c r="S57" s="91">
        <v>19</v>
      </c>
      <c r="T57" s="86">
        <v>0.88853144466251399</v>
      </c>
      <c r="U57" s="87">
        <v>9.30284153938047E-3</v>
      </c>
      <c r="V57" s="87">
        <v>0.53092550790067705</v>
      </c>
      <c r="W57" s="83">
        <f t="shared" si="37"/>
        <v>36.666666666666664</v>
      </c>
      <c r="X57" s="82">
        <f t="shared" si="30"/>
        <v>58.779772493058616</v>
      </c>
      <c r="Y57" s="80">
        <f t="shared" si="34"/>
        <v>8387.1873138652682</v>
      </c>
      <c r="Z57" s="80">
        <f t="shared" si="31"/>
        <v>4452.9716844720324</v>
      </c>
    </row>
    <row r="58" spans="1:26" x14ac:dyDescent="0.3">
      <c r="A58" s="91">
        <v>20</v>
      </c>
      <c r="B58" s="86">
        <v>0.90536735216315301</v>
      </c>
      <c r="C58" s="87">
        <v>5.6472395255567701E-3</v>
      </c>
      <c r="D58" s="87">
        <v>0.48216704288939</v>
      </c>
      <c r="E58" s="83">
        <f t="shared" si="35"/>
        <v>36.666666666666664</v>
      </c>
      <c r="F58" s="82">
        <f t="shared" si="26"/>
        <v>59.893532527716275</v>
      </c>
      <c r="G58" s="80">
        <f t="shared" si="32"/>
        <v>5630.3494866973488</v>
      </c>
      <c r="H58" s="80">
        <f t="shared" si="27"/>
        <v>2714.7689624346554</v>
      </c>
      <c r="J58" s="91">
        <v>20</v>
      </c>
      <c r="K58" s="86">
        <v>0.90536735216315301</v>
      </c>
      <c r="L58" s="87">
        <v>5.6472395255567701E-3</v>
      </c>
      <c r="M58" s="87">
        <v>0.48216704288939</v>
      </c>
      <c r="N58" s="83">
        <f t="shared" si="36"/>
        <v>36.666666666666664</v>
      </c>
      <c r="O58" s="82">
        <f t="shared" si="28"/>
        <v>59.893532527716275</v>
      </c>
      <c r="P58" s="80">
        <f t="shared" si="33"/>
        <v>5355.6880853415159</v>
      </c>
      <c r="Q58" s="80">
        <f t="shared" si="29"/>
        <v>2582.3362867470578</v>
      </c>
      <c r="S58" s="91">
        <v>20</v>
      </c>
      <c r="T58" s="86">
        <v>0.90536735216315301</v>
      </c>
      <c r="U58" s="87">
        <v>5.6472395255567701E-3</v>
      </c>
      <c r="V58" s="87">
        <v>0.48216704288939</v>
      </c>
      <c r="W58" s="83">
        <f t="shared" si="37"/>
        <v>36.666666666666664</v>
      </c>
      <c r="X58" s="82">
        <f t="shared" si="30"/>
        <v>59.893532527716275</v>
      </c>
      <c r="Y58" s="80">
        <f t="shared" si="34"/>
        <v>5091.3965917409923</v>
      </c>
      <c r="Z58" s="80">
        <f t="shared" si="31"/>
        <v>2454.9036388168729</v>
      </c>
    </row>
    <row r="59" spans="1:26" ht="15.6" thickBot="1" x14ac:dyDescent="0.35"/>
    <row r="60" spans="1:26" ht="15.6" thickBot="1" x14ac:dyDescent="0.35">
      <c r="A60" s="104" t="s">
        <v>296</v>
      </c>
      <c r="B60" s="105"/>
      <c r="C60" s="105"/>
      <c r="D60" s="105"/>
      <c r="E60" s="105"/>
      <c r="F60" s="105"/>
      <c r="G60" s="105"/>
      <c r="H60" s="106"/>
      <c r="J60" s="104" t="s">
        <v>297</v>
      </c>
      <c r="K60" s="105"/>
      <c r="L60" s="105"/>
      <c r="M60" s="105"/>
      <c r="N60" s="105"/>
      <c r="O60" s="105"/>
      <c r="P60" s="105"/>
      <c r="Q60" s="106"/>
      <c r="S60" s="104" t="s">
        <v>298</v>
      </c>
      <c r="T60" s="105"/>
      <c r="U60" s="105"/>
      <c r="V60" s="105"/>
      <c r="W60" s="105"/>
      <c r="X60" s="105"/>
      <c r="Y60" s="105"/>
      <c r="Z60" s="106"/>
    </row>
    <row r="61" spans="1:26" ht="18.600000000000001" thickBot="1" x14ac:dyDescent="0.35">
      <c r="A61" s="92" t="s">
        <v>232</v>
      </c>
      <c r="B61" s="93" t="s">
        <v>212</v>
      </c>
      <c r="C61" s="94" t="s">
        <v>285</v>
      </c>
      <c r="D61" s="94" t="s">
        <v>286</v>
      </c>
      <c r="E61" s="94" t="s">
        <v>289</v>
      </c>
      <c r="F61" s="94" t="s">
        <v>195</v>
      </c>
      <c r="G61" s="94" t="s">
        <v>287</v>
      </c>
      <c r="H61" s="94" t="s">
        <v>288</v>
      </c>
      <c r="J61" s="92" t="s">
        <v>232</v>
      </c>
      <c r="K61" s="93" t="s">
        <v>212</v>
      </c>
      <c r="L61" s="94" t="s">
        <v>285</v>
      </c>
      <c r="M61" s="94" t="s">
        <v>286</v>
      </c>
      <c r="N61" s="94" t="s">
        <v>289</v>
      </c>
      <c r="O61" s="94" t="s">
        <v>195</v>
      </c>
      <c r="P61" s="94" t="s">
        <v>287</v>
      </c>
      <c r="Q61" s="94" t="s">
        <v>288</v>
      </c>
      <c r="S61" s="92" t="s">
        <v>232</v>
      </c>
      <c r="T61" s="93" t="s">
        <v>212</v>
      </c>
      <c r="U61" s="94" t="s">
        <v>285</v>
      </c>
      <c r="V61" s="94" t="s">
        <v>286</v>
      </c>
      <c r="W61" s="94" t="s">
        <v>289</v>
      </c>
      <c r="X61" s="94" t="s">
        <v>195</v>
      </c>
      <c r="Y61" s="94" t="s">
        <v>287</v>
      </c>
      <c r="Z61" s="94" t="s">
        <v>288</v>
      </c>
    </row>
    <row r="62" spans="1:26" x14ac:dyDescent="0.3">
      <c r="A62" s="90">
        <v>1</v>
      </c>
      <c r="B62" s="84">
        <v>0</v>
      </c>
      <c r="C62" s="85">
        <v>7.3277583411553798E-2</v>
      </c>
      <c r="D62" s="85">
        <v>0</v>
      </c>
      <c r="E62" s="82">
        <f t="shared" ref="E62:E74" si="38">SQRT($I$8/$G$8/$B$3^5/C62)</f>
        <v>29.742184177064264</v>
      </c>
      <c r="F62" s="82">
        <f>B62*E62*$B$3</f>
        <v>0</v>
      </c>
      <c r="G62" s="81">
        <f t="shared" ref="G62:G74" si="39">$I$8*E62</f>
        <v>33499.11291212566</v>
      </c>
      <c r="H62" s="81">
        <f>G62*D62</f>
        <v>0</v>
      </c>
      <c r="J62" s="90">
        <v>1</v>
      </c>
      <c r="K62" s="84">
        <v>0</v>
      </c>
      <c r="L62" s="85">
        <v>7.3277583411553798E-2</v>
      </c>
      <c r="M62" s="85">
        <v>0</v>
      </c>
      <c r="N62" s="82">
        <f t="shared" ref="N62:N74" si="40">SQRT($I$9/$G$9/$B$3^5/L62)</f>
        <v>29.557592668620796</v>
      </c>
      <c r="O62" s="82">
        <f>K62*N62*$B$3</f>
        <v>0</v>
      </c>
      <c r="P62" s="81">
        <f t="shared" ref="P62:P74" si="41">$I$9*N62</f>
        <v>31218.220554753341</v>
      </c>
      <c r="Q62" s="81">
        <f>P62*M62</f>
        <v>0</v>
      </c>
      <c r="S62" s="90">
        <v>1</v>
      </c>
      <c r="T62" s="84">
        <v>0</v>
      </c>
      <c r="U62" s="85">
        <v>7.3277583411553798E-2</v>
      </c>
      <c r="V62" s="85">
        <v>0</v>
      </c>
      <c r="W62" s="82">
        <f t="shared" ref="W62:W74" si="42">SQRT($I$10/$G$10/$B$3^5/U62)</f>
        <v>29.359439907936196</v>
      </c>
      <c r="X62" s="82">
        <f>T62*W62*$B$3</f>
        <v>0</v>
      </c>
      <c r="Y62" s="81">
        <f t="shared" ref="Y62:Y74" si="43">$I$10*W62</f>
        <v>29030.391053415813</v>
      </c>
      <c r="Z62" s="81">
        <f>Y62*V62</f>
        <v>0</v>
      </c>
    </row>
    <row r="63" spans="1:26" x14ac:dyDescent="0.3">
      <c r="A63" s="91">
        <v>2</v>
      </c>
      <c r="B63" s="86">
        <v>2.26043177745546E-2</v>
      </c>
      <c r="C63" s="87">
        <v>7.3328782319310504E-2</v>
      </c>
      <c r="D63" s="87">
        <v>4.3340857787810397E-2</v>
      </c>
      <c r="E63" s="82">
        <f t="shared" si="38"/>
        <v>29.73179921503592</v>
      </c>
      <c r="F63" s="82">
        <f t="shared" ref="F63:F81" si="44">B63*E63*$B$3</f>
        <v>1.2125405291343263</v>
      </c>
      <c r="G63" s="81">
        <f t="shared" si="39"/>
        <v>33487.416157996762</v>
      </c>
      <c r="H63" s="80">
        <f t="shared" ref="H63:H81" si="45">G63*D63</f>
        <v>1451.3733413849616</v>
      </c>
      <c r="J63" s="91">
        <v>2</v>
      </c>
      <c r="K63" s="86">
        <v>2.26043177745546E-2</v>
      </c>
      <c r="L63" s="87">
        <v>7.3328782319310504E-2</v>
      </c>
      <c r="M63" s="87">
        <v>4.3340857787810397E-2</v>
      </c>
      <c r="N63" s="82">
        <f t="shared" si="40"/>
        <v>29.547272159686901</v>
      </c>
      <c r="O63" s="82">
        <f t="shared" ref="O63:O81" si="46">K63*N63*$B$3</f>
        <v>1.2050150332262499</v>
      </c>
      <c r="P63" s="81">
        <f t="shared" si="41"/>
        <v>31207.320210880695</v>
      </c>
      <c r="Q63" s="80">
        <f t="shared" ref="Q63:Q81" si="47">P63*M63</f>
        <v>1352.5520271984412</v>
      </c>
      <c r="S63" s="91">
        <v>2</v>
      </c>
      <c r="T63" s="86">
        <v>2.26043177745546E-2</v>
      </c>
      <c r="U63" s="87">
        <v>7.3328782319310504E-2</v>
      </c>
      <c r="V63" s="87">
        <v>4.3340857787810397E-2</v>
      </c>
      <c r="W63" s="82">
        <f t="shared" si="42"/>
        <v>29.349188587226116</v>
      </c>
      <c r="X63" s="82">
        <f t="shared" ref="X63:X81" si="48">T63*W63*$B$3</f>
        <v>1.1969366670961923</v>
      </c>
      <c r="Y63" s="81">
        <f t="shared" si="43"/>
        <v>29020.254625406258</v>
      </c>
      <c r="Z63" s="80">
        <f t="shared" ref="Z63:Z81" si="49">Y63*V63</f>
        <v>1257.7627286857796</v>
      </c>
    </row>
    <row r="64" spans="1:26" x14ac:dyDescent="0.3">
      <c r="A64" s="91">
        <v>3</v>
      </c>
      <c r="B64" s="86">
        <v>8.37443467872689E-2</v>
      </c>
      <c r="C64" s="87">
        <v>7.2704155644679497E-2</v>
      </c>
      <c r="D64" s="87">
        <v>0.149887133182844</v>
      </c>
      <c r="E64" s="82">
        <f t="shared" si="38"/>
        <v>29.859244180679106</v>
      </c>
      <c r="F64" s="82">
        <f t="shared" si="44"/>
        <v>4.5114690074399526</v>
      </c>
      <c r="G64" s="81">
        <f t="shared" si="39"/>
        <v>33630.959526188773</v>
      </c>
      <c r="H64" s="80">
        <f t="shared" si="45"/>
        <v>5040.848109568693</v>
      </c>
      <c r="J64" s="91">
        <v>3</v>
      </c>
      <c r="K64" s="86">
        <v>8.37443467872689E-2</v>
      </c>
      <c r="L64" s="87">
        <v>7.2704155644679497E-2</v>
      </c>
      <c r="M64" s="87">
        <v>0.149887133182844</v>
      </c>
      <c r="N64" s="82">
        <f t="shared" si="40"/>
        <v>29.673926152538328</v>
      </c>
      <c r="O64" s="82">
        <f t="shared" si="46"/>
        <v>4.4834690843535547</v>
      </c>
      <c r="P64" s="81">
        <f t="shared" si="41"/>
        <v>31341.089977833792</v>
      </c>
      <c r="Q64" s="80">
        <f t="shared" si="47"/>
        <v>4697.6261276030709</v>
      </c>
      <c r="S64" s="91">
        <v>3</v>
      </c>
      <c r="T64" s="86">
        <v>8.37443467872689E-2</v>
      </c>
      <c r="U64" s="87">
        <v>7.2704155644679497E-2</v>
      </c>
      <c r="V64" s="87">
        <v>0.149887133182844</v>
      </c>
      <c r="W64" s="82">
        <f t="shared" si="42"/>
        <v>29.474993497453777</v>
      </c>
      <c r="X64" s="82">
        <f t="shared" si="48"/>
        <v>4.4534121109569398</v>
      </c>
      <c r="Y64" s="81">
        <f t="shared" si="43"/>
        <v>29144.649564540014</v>
      </c>
      <c r="Z64" s="80">
        <f t="shared" si="49"/>
        <v>4368.4079708475256</v>
      </c>
    </row>
    <row r="65" spans="1:26" x14ac:dyDescent="0.3">
      <c r="A65" s="91">
        <v>4</v>
      </c>
      <c r="B65" s="86">
        <v>0.117108968342009</v>
      </c>
      <c r="C65" s="87">
        <v>7.2028330062292006E-2</v>
      </c>
      <c r="D65" s="87">
        <v>0.20586907449209901</v>
      </c>
      <c r="E65" s="82">
        <f t="shared" si="38"/>
        <v>29.998998403699247</v>
      </c>
      <c r="F65" s="82">
        <f t="shared" si="44"/>
        <v>6.3384136547028307</v>
      </c>
      <c r="G65" s="81">
        <f t="shared" si="39"/>
        <v>33788.367014119955</v>
      </c>
      <c r="H65" s="80">
        <f t="shared" si="45"/>
        <v>6955.9798457962424</v>
      </c>
      <c r="J65" s="91">
        <v>4</v>
      </c>
      <c r="K65" s="86">
        <v>0.117108968342009</v>
      </c>
      <c r="L65" s="87">
        <v>7.2028330062292006E-2</v>
      </c>
      <c r="M65" s="87">
        <v>0.20586907449209901</v>
      </c>
      <c r="N65" s="82">
        <f t="shared" si="40"/>
        <v>29.812813006750414</v>
      </c>
      <c r="O65" s="82">
        <f t="shared" si="46"/>
        <v>6.2990750059104359</v>
      </c>
      <c r="P65" s="81">
        <f t="shared" si="41"/>
        <v>31487.779882372321</v>
      </c>
      <c r="Q65" s="80">
        <f t="shared" si="47"/>
        <v>6482.3601021949244</v>
      </c>
      <c r="S65" s="91">
        <v>4</v>
      </c>
      <c r="T65" s="86">
        <v>0.117108968342009</v>
      </c>
      <c r="U65" s="87">
        <v>7.2028330062292006E-2</v>
      </c>
      <c r="V65" s="87">
        <v>0.20586907449209901</v>
      </c>
      <c r="W65" s="82">
        <f t="shared" si="42"/>
        <v>29.61294926049435</v>
      </c>
      <c r="X65" s="82">
        <f t="shared" si="48"/>
        <v>6.256846292761356</v>
      </c>
      <c r="Y65" s="81">
        <f t="shared" si="43"/>
        <v>29281.059174590431</v>
      </c>
      <c r="Z65" s="80">
        <f t="shared" si="49"/>
        <v>6028.0645524213169</v>
      </c>
    </row>
    <row r="66" spans="1:26" x14ac:dyDescent="0.3">
      <c r="A66" s="91">
        <v>5</v>
      </c>
      <c r="B66" s="86">
        <v>0.150473589896749</v>
      </c>
      <c r="C66" s="87">
        <v>7.1352504479904405E-2</v>
      </c>
      <c r="D66" s="87">
        <v>0.274492099322799</v>
      </c>
      <c r="E66" s="82">
        <f t="shared" si="38"/>
        <v>30.140733508058887</v>
      </c>
      <c r="F66" s="82">
        <f t="shared" si="44"/>
        <v>8.1827214563240869</v>
      </c>
      <c r="G66" s="81">
        <f t="shared" si="39"/>
        <v>33948.005601396835</v>
      </c>
      <c r="H66" s="80">
        <f t="shared" si="45"/>
        <v>9318.4593253495568</v>
      </c>
      <c r="J66" s="91">
        <v>5</v>
      </c>
      <c r="K66" s="86">
        <v>0.150473589896749</v>
      </c>
      <c r="L66" s="87">
        <v>7.1352504479904405E-2</v>
      </c>
      <c r="M66" s="87">
        <v>0.274492099322799</v>
      </c>
      <c r="N66" s="82">
        <f t="shared" si="40"/>
        <v>29.953668448185589</v>
      </c>
      <c r="O66" s="82">
        <f t="shared" si="46"/>
        <v>8.1319363193683287</v>
      </c>
      <c r="P66" s="81">
        <f t="shared" si="41"/>
        <v>31636.548974847457</v>
      </c>
      <c r="Q66" s="80">
        <f t="shared" si="47"/>
        <v>8683.9827434344224</v>
      </c>
      <c r="S66" s="91">
        <v>5</v>
      </c>
      <c r="T66" s="86">
        <v>0.150473589896749</v>
      </c>
      <c r="U66" s="87">
        <v>7.1352504479904405E-2</v>
      </c>
      <c r="V66" s="87">
        <v>0.274492099322799</v>
      </c>
      <c r="W66" s="82">
        <f t="shared" si="42"/>
        <v>29.752860413438555</v>
      </c>
      <c r="X66" s="82">
        <f t="shared" si="48"/>
        <v>8.0774201871020885</v>
      </c>
      <c r="Y66" s="81">
        <f t="shared" si="43"/>
        <v>29419.402259316874</v>
      </c>
      <c r="Z66" s="80">
        <f t="shared" si="49"/>
        <v>8075.3934869817849</v>
      </c>
    </row>
    <row r="67" spans="1:26" x14ac:dyDescent="0.3">
      <c r="A67" s="91">
        <v>6</v>
      </c>
      <c r="B67" s="86">
        <v>0.21535113917569701</v>
      </c>
      <c r="C67" s="87">
        <v>6.9997440054612101E-2</v>
      </c>
      <c r="D67" s="87">
        <v>0.38645598194130898</v>
      </c>
      <c r="E67" s="82">
        <f t="shared" si="38"/>
        <v>30.431078843052113</v>
      </c>
      <c r="F67" s="82">
        <f t="shared" si="44"/>
        <v>11.823558138187098</v>
      </c>
      <c r="G67" s="81">
        <f t="shared" si="39"/>
        <v>34275.026344142003</v>
      </c>
      <c r="H67" s="80">
        <f t="shared" si="45"/>
        <v>13245.788961889632</v>
      </c>
      <c r="J67" s="91">
        <v>6</v>
      </c>
      <c r="K67" s="86">
        <v>0.21535113917569701</v>
      </c>
      <c r="L67" s="87">
        <v>6.9997440054612101E-2</v>
      </c>
      <c r="M67" s="87">
        <v>0.38645598194130898</v>
      </c>
      <c r="N67" s="82">
        <f t="shared" si="40"/>
        <v>30.242211787634815</v>
      </c>
      <c r="O67" s="82">
        <f t="shared" si="46"/>
        <v>11.750176559386302</v>
      </c>
      <c r="P67" s="81">
        <f t="shared" si="41"/>
        <v>31941.303482818399</v>
      </c>
      <c r="Q67" s="80">
        <f t="shared" si="47"/>
        <v>12343.907801937938</v>
      </c>
      <c r="S67" s="91">
        <v>6</v>
      </c>
      <c r="T67" s="86">
        <v>0.21535113917569701</v>
      </c>
      <c r="U67" s="87">
        <v>6.9997440054612101E-2</v>
      </c>
      <c r="V67" s="87">
        <v>0.38645598194130898</v>
      </c>
      <c r="W67" s="82">
        <f t="shared" si="42"/>
        <v>30.039469371426812</v>
      </c>
      <c r="X67" s="82">
        <f t="shared" si="48"/>
        <v>11.67140390865397</v>
      </c>
      <c r="Y67" s="81">
        <f t="shared" si="43"/>
        <v>29702.799018788501</v>
      </c>
      <c r="Z67" s="80">
        <f t="shared" si="49"/>
        <v>11478.824361211258</v>
      </c>
    </row>
    <row r="68" spans="1:26" x14ac:dyDescent="0.3">
      <c r="A68" s="91">
        <v>7</v>
      </c>
      <c r="B68" s="86">
        <v>0.25982592371362701</v>
      </c>
      <c r="C68" s="87">
        <v>6.9342094035327206E-2</v>
      </c>
      <c r="D68" s="87">
        <v>0.43702031602708802</v>
      </c>
      <c r="E68" s="82">
        <f t="shared" si="38"/>
        <v>30.574541399229759</v>
      </c>
      <c r="F68" s="82">
        <f t="shared" si="44"/>
        <v>14.332636943938839</v>
      </c>
      <c r="G68" s="81">
        <f t="shared" si="39"/>
        <v>34436.61058891187</v>
      </c>
      <c r="H68" s="80">
        <f t="shared" si="45"/>
        <v>15049.498442468031</v>
      </c>
      <c r="J68" s="91">
        <v>7</v>
      </c>
      <c r="K68" s="86">
        <v>0.25982592371362701</v>
      </c>
      <c r="L68" s="87">
        <v>6.9342094035327206E-2</v>
      </c>
      <c r="M68" s="87">
        <v>0.43702031602708802</v>
      </c>
      <c r="N68" s="82">
        <f t="shared" si="40"/>
        <v>30.384783959653305</v>
      </c>
      <c r="O68" s="82">
        <f t="shared" si="46"/>
        <v>14.243683050784803</v>
      </c>
      <c r="P68" s="81">
        <f t="shared" si="41"/>
        <v>32091.885756582818</v>
      </c>
      <c r="Q68" s="80">
        <f t="shared" si="47"/>
        <v>14024.806055247029</v>
      </c>
      <c r="S68" s="91">
        <v>7</v>
      </c>
      <c r="T68" s="86">
        <v>0.25982592371362701</v>
      </c>
      <c r="U68" s="87">
        <v>6.9342094035327206E-2</v>
      </c>
      <c r="V68" s="87">
        <v>0.43702031602708802</v>
      </c>
      <c r="W68" s="82">
        <f t="shared" si="42"/>
        <v>30.181085746070359</v>
      </c>
      <c r="X68" s="82">
        <f t="shared" si="48"/>
        <v>14.148194045625537</v>
      </c>
      <c r="Y68" s="81">
        <f t="shared" si="43"/>
        <v>29842.828213771812</v>
      </c>
      <c r="Z68" s="80">
        <f t="shared" si="49"/>
        <v>13041.922217124657</v>
      </c>
    </row>
    <row r="69" spans="1:26" x14ac:dyDescent="0.3">
      <c r="A69" s="91">
        <v>8</v>
      </c>
      <c r="B69" s="86">
        <v>0.356250533321956</v>
      </c>
      <c r="C69" s="87">
        <v>6.6570526495434698E-2</v>
      </c>
      <c r="D69" s="87">
        <v>0.58148984198645604</v>
      </c>
      <c r="E69" s="82">
        <f t="shared" si="38"/>
        <v>31.204514650306105</v>
      </c>
      <c r="F69" s="82">
        <f t="shared" si="44"/>
        <v>20.056568156964193</v>
      </c>
      <c r="G69" s="81">
        <f t="shared" si="39"/>
        <v>35146.159858857529</v>
      </c>
      <c r="H69" s="80">
        <f t="shared" si="45"/>
        <v>20437.134942757788</v>
      </c>
      <c r="J69" s="91">
        <v>8</v>
      </c>
      <c r="K69" s="86">
        <v>0.356250533321956</v>
      </c>
      <c r="L69" s="87">
        <v>6.6570526495434698E-2</v>
      </c>
      <c r="M69" s="87">
        <v>0.58148984198645604</v>
      </c>
      <c r="N69" s="82">
        <f t="shared" si="40"/>
        <v>31.010847352865717</v>
      </c>
      <c r="O69" s="82">
        <f t="shared" si="46"/>
        <v>19.932089330921947</v>
      </c>
      <c r="P69" s="81">
        <f t="shared" si="41"/>
        <v>32753.123135069036</v>
      </c>
      <c r="Q69" s="80">
        <f t="shared" si="47"/>
        <v>19045.608396374231</v>
      </c>
      <c r="S69" s="91">
        <v>8</v>
      </c>
      <c r="T69" s="86">
        <v>0.356250533321956</v>
      </c>
      <c r="U69" s="87">
        <v>6.6570526495434698E-2</v>
      </c>
      <c r="V69" s="87">
        <v>0.58148984198645604</v>
      </c>
      <c r="W69" s="82">
        <f t="shared" si="42"/>
        <v>30.802952038689384</v>
      </c>
      <c r="X69" s="82">
        <f t="shared" si="48"/>
        <v>19.798465508054694</v>
      </c>
      <c r="Y69" s="81">
        <f t="shared" si="43"/>
        <v>30457.724877818469</v>
      </c>
      <c r="Z69" s="80">
        <f t="shared" si="49"/>
        <v>17710.857626469613</v>
      </c>
    </row>
    <row r="70" spans="1:26" x14ac:dyDescent="0.3">
      <c r="A70" s="91">
        <v>9</v>
      </c>
      <c r="B70" s="86">
        <v>0.40075945046505601</v>
      </c>
      <c r="C70" s="87">
        <v>6.5177916204454303E-2</v>
      </c>
      <c r="D70" s="87">
        <v>0.60857787810383701</v>
      </c>
      <c r="E70" s="82">
        <f t="shared" si="38"/>
        <v>31.536115106264862</v>
      </c>
      <c r="F70" s="82">
        <f t="shared" si="44"/>
        <v>22.802141323256507</v>
      </c>
      <c r="G70" s="81">
        <f t="shared" si="39"/>
        <v>35519.646925232468</v>
      </c>
      <c r="H70" s="80">
        <f t="shared" si="45"/>
        <v>21616.471356755454</v>
      </c>
      <c r="J70" s="91">
        <v>9</v>
      </c>
      <c r="K70" s="86">
        <v>0.40075945046505601</v>
      </c>
      <c r="L70" s="87">
        <v>6.5177916204454303E-2</v>
      </c>
      <c r="M70" s="87">
        <v>0.60857787810383701</v>
      </c>
      <c r="N70" s="82">
        <f t="shared" si="40"/>
        <v>31.340389768029571</v>
      </c>
      <c r="O70" s="82">
        <f t="shared" si="46"/>
        <v>22.660622407310619</v>
      </c>
      <c r="P70" s="81">
        <f t="shared" si="41"/>
        <v>33101.180161027485</v>
      </c>
      <c r="Q70" s="80">
        <f t="shared" si="47"/>
        <v>20144.645985130934</v>
      </c>
      <c r="S70" s="91">
        <v>9</v>
      </c>
      <c r="T70" s="86">
        <v>0.40075945046505601</v>
      </c>
      <c r="U70" s="87">
        <v>6.5177916204454303E-2</v>
      </c>
      <c r="V70" s="87">
        <v>0.60857787810383701</v>
      </c>
      <c r="W70" s="82">
        <f t="shared" si="42"/>
        <v>31.130285216448165</v>
      </c>
      <c r="X70" s="82">
        <f t="shared" si="48"/>
        <v>22.508706622450141</v>
      </c>
      <c r="Y70" s="81">
        <f t="shared" si="43"/>
        <v>30781.389436300935</v>
      </c>
      <c r="Z70" s="80">
        <f t="shared" si="49"/>
        <v>18732.872668231888</v>
      </c>
    </row>
    <row r="71" spans="1:26" x14ac:dyDescent="0.3">
      <c r="A71" s="91">
        <v>10</v>
      </c>
      <c r="B71" s="86">
        <v>0.46578206331598199</v>
      </c>
      <c r="C71" s="87">
        <v>6.0689478624455999E-2</v>
      </c>
      <c r="D71" s="87">
        <v>0.66997742663656801</v>
      </c>
      <c r="E71" s="82">
        <f t="shared" si="38"/>
        <v>32.681480680026127</v>
      </c>
      <c r="F71" s="82">
        <f t="shared" si="44"/>
        <v>27.464275915160176</v>
      </c>
      <c r="G71" s="81">
        <f t="shared" si="39"/>
        <v>36809.691074400173</v>
      </c>
      <c r="H71" s="80">
        <f t="shared" si="45"/>
        <v>24661.662101313676</v>
      </c>
      <c r="J71" s="91">
        <v>10</v>
      </c>
      <c r="K71" s="86">
        <v>0.46578206331598199</v>
      </c>
      <c r="L71" s="87">
        <v>6.0689478624455999E-2</v>
      </c>
      <c r="M71" s="87">
        <v>0.66997742663656801</v>
      </c>
      <c r="N71" s="82">
        <f t="shared" si="40"/>
        <v>32.478646759659775</v>
      </c>
      <c r="O71" s="82">
        <f t="shared" si="46"/>
        <v>27.293821987186838</v>
      </c>
      <c r="P71" s="81">
        <f t="shared" si="41"/>
        <v>34303.387600959693</v>
      </c>
      <c r="Q71" s="80">
        <f t="shared" si="47"/>
        <v>22982.49534980773</v>
      </c>
      <c r="S71" s="91">
        <v>10</v>
      </c>
      <c r="T71" s="86">
        <v>0.46578206331598199</v>
      </c>
      <c r="U71" s="87">
        <v>6.0689478624455999E-2</v>
      </c>
      <c r="V71" s="87">
        <v>0.66997742663656801</v>
      </c>
      <c r="W71" s="82">
        <f t="shared" si="42"/>
        <v>32.260911384831402</v>
      </c>
      <c r="X71" s="82">
        <f t="shared" si="48"/>
        <v>27.110845442478695</v>
      </c>
      <c r="Y71" s="81">
        <f t="shared" si="43"/>
        <v>31899.343999000826</v>
      </c>
      <c r="Z71" s="80">
        <f t="shared" si="49"/>
        <v>21371.840403845221</v>
      </c>
    </row>
    <row r="72" spans="1:26" x14ac:dyDescent="0.3">
      <c r="A72" s="91">
        <v>11</v>
      </c>
      <c r="B72" s="88">
        <v>0.527075689051967</v>
      </c>
      <c r="C72" s="89">
        <v>5.67471627271951E-2</v>
      </c>
      <c r="D72" s="89">
        <v>0.707900677200902</v>
      </c>
      <c r="E72" s="82">
        <f t="shared" si="38"/>
        <v>33.797638134182456</v>
      </c>
      <c r="F72" s="82">
        <f t="shared" si="44"/>
        <v>32.13978782684643</v>
      </c>
      <c r="G72" s="81">
        <f t="shared" si="39"/>
        <v>38066.8376363977</v>
      </c>
      <c r="H72" s="80">
        <f t="shared" si="45"/>
        <v>26947.540141702717</v>
      </c>
      <c r="J72" s="91">
        <v>11</v>
      </c>
      <c r="K72" s="88">
        <v>0.527075689051967</v>
      </c>
      <c r="L72" s="89">
        <v>5.67471627271951E-2</v>
      </c>
      <c r="M72" s="89">
        <v>0.707900677200902</v>
      </c>
      <c r="N72" s="82">
        <f t="shared" si="40"/>
        <v>33.587876908582011</v>
      </c>
      <c r="O72" s="82">
        <f t="shared" si="46"/>
        <v>31.940315862020608</v>
      </c>
      <c r="P72" s="81">
        <f t="shared" si="41"/>
        <v>35474.937389308951</v>
      </c>
      <c r="Q72" s="80">
        <f t="shared" si="47"/>
        <v>25112.732201551404</v>
      </c>
      <c r="S72" s="91">
        <v>11</v>
      </c>
      <c r="T72" s="88">
        <v>0.527075689051967</v>
      </c>
      <c r="U72" s="89">
        <v>5.67471627271951E-2</v>
      </c>
      <c r="V72" s="89">
        <v>0.707900677200902</v>
      </c>
      <c r="W72" s="82">
        <f t="shared" si="42"/>
        <v>33.362705305143692</v>
      </c>
      <c r="X72" s="82">
        <f t="shared" si="48"/>
        <v>31.726189433114357</v>
      </c>
      <c r="Y72" s="81">
        <f t="shared" si="43"/>
        <v>32988.78945392913</v>
      </c>
      <c r="Z72" s="80">
        <f t="shared" si="49"/>
        <v>23352.786394474406</v>
      </c>
    </row>
    <row r="73" spans="1:26" x14ac:dyDescent="0.3">
      <c r="A73" s="91">
        <v>12</v>
      </c>
      <c r="B73" s="88">
        <v>0.584725659185937</v>
      </c>
      <c r="C73" s="89">
        <v>5.1507807833432798E-2</v>
      </c>
      <c r="D73" s="89">
        <v>0.75124153498871304</v>
      </c>
      <c r="E73" s="82">
        <f t="shared" si="38"/>
        <v>35.474958372762565</v>
      </c>
      <c r="F73" s="82">
        <f t="shared" si="44"/>
        <v>37.424647217690037</v>
      </c>
      <c r="G73" s="81">
        <f t="shared" si="39"/>
        <v>39956.031104082525</v>
      </c>
      <c r="H73" s="80">
        <f t="shared" si="45"/>
        <v>30016.63013868772</v>
      </c>
      <c r="J73" s="91">
        <v>12</v>
      </c>
      <c r="K73" s="88">
        <v>0.584725659185937</v>
      </c>
      <c r="L73" s="89">
        <v>5.1507807833432798E-2</v>
      </c>
      <c r="M73" s="89">
        <v>0.75124153498871304</v>
      </c>
      <c r="N73" s="82">
        <f t="shared" si="40"/>
        <v>35.254787048457231</v>
      </c>
      <c r="O73" s="82">
        <f t="shared" si="46"/>
        <v>37.192375369672725</v>
      </c>
      <c r="P73" s="81">
        <f t="shared" si="41"/>
        <v>37235.499183870263</v>
      </c>
      <c r="Q73" s="80">
        <f t="shared" si="47"/>
        <v>27972.853562961667</v>
      </c>
      <c r="S73" s="91">
        <v>12</v>
      </c>
      <c r="T73" s="88">
        <v>0.584725659185937</v>
      </c>
      <c r="U73" s="89">
        <v>5.1507807833432798E-2</v>
      </c>
      <c r="V73" s="89">
        <v>0.75124153498871304</v>
      </c>
      <c r="W73" s="82">
        <f t="shared" si="42"/>
        <v>35.018440555042837</v>
      </c>
      <c r="X73" s="82">
        <f t="shared" si="48"/>
        <v>36.943039372030988</v>
      </c>
      <c r="Y73" s="81">
        <f t="shared" si="43"/>
        <v>34625.967885677906</v>
      </c>
      <c r="Z73" s="80">
        <f t="shared" si="49"/>
        <v>26012.465264906554</v>
      </c>
    </row>
    <row r="74" spans="1:26" x14ac:dyDescent="0.3">
      <c r="A74" s="91">
        <v>13</v>
      </c>
      <c r="B74" s="86">
        <v>0.62189606621725402</v>
      </c>
      <c r="C74" s="87">
        <v>4.8627015956992897E-2</v>
      </c>
      <c r="D74" s="87">
        <v>0.76749435665914201</v>
      </c>
      <c r="E74" s="82">
        <f t="shared" si="38"/>
        <v>36.510654486901849</v>
      </c>
      <c r="F74" s="82">
        <f t="shared" si="44"/>
        <v>40.965767547613794</v>
      </c>
      <c r="G74" s="81">
        <f t="shared" si="39"/>
        <v>41122.552730861928</v>
      </c>
      <c r="H74" s="80">
        <f t="shared" si="45"/>
        <v>31561.327152354519</v>
      </c>
      <c r="J74" s="91">
        <v>13</v>
      </c>
      <c r="K74" s="86">
        <v>0.62189606621725402</v>
      </c>
      <c r="L74" s="87">
        <v>4.8627015956992897E-2</v>
      </c>
      <c r="M74" s="87">
        <v>0.76749435665914201</v>
      </c>
      <c r="N74" s="82">
        <f t="shared" si="40"/>
        <v>36.28405523158581</v>
      </c>
      <c r="O74" s="82">
        <f t="shared" si="46"/>
        <v>40.711518136032595</v>
      </c>
      <c r="P74" s="81">
        <f t="shared" si="41"/>
        <v>38322.594520460734</v>
      </c>
      <c r="Q74" s="80">
        <f t="shared" si="47"/>
        <v>29412.375026990172</v>
      </c>
      <c r="S74" s="91">
        <v>13</v>
      </c>
      <c r="T74" s="86">
        <v>0.62189606621725402</v>
      </c>
      <c r="U74" s="87">
        <v>4.8627015956992897E-2</v>
      </c>
      <c r="V74" s="87">
        <v>0.76749435665914201</v>
      </c>
      <c r="W74" s="82">
        <f t="shared" si="42"/>
        <v>36.040808570953523</v>
      </c>
      <c r="X74" s="82">
        <f t="shared" si="48"/>
        <v>40.438589964893659</v>
      </c>
      <c r="Y74" s="81">
        <f t="shared" si="43"/>
        <v>35636.87760995944</v>
      </c>
      <c r="Z74" s="80">
        <f t="shared" si="49"/>
        <v>27351.102454596403</v>
      </c>
    </row>
    <row r="75" spans="1:26" x14ac:dyDescent="0.3">
      <c r="A75" s="91">
        <v>14</v>
      </c>
      <c r="B75" s="86">
        <v>0.67399095485962901</v>
      </c>
      <c r="C75" s="87">
        <v>4.3377421281679297E-2</v>
      </c>
      <c r="D75" s="87">
        <v>0.78735891647855505</v>
      </c>
      <c r="E75" s="83">
        <f t="shared" ref="E75:E81" si="50">$B$2</f>
        <v>36.666666666666664</v>
      </c>
      <c r="F75" s="82">
        <f t="shared" si="44"/>
        <v>44.587093936867767</v>
      </c>
      <c r="G75" s="80">
        <f t="shared" ref="G75:G81" si="51">C75*$G$8*E75^3*$B$3^5</f>
        <v>37155.372005136567</v>
      </c>
      <c r="H75" s="80">
        <f t="shared" si="45"/>
        <v>29254.613443321963</v>
      </c>
      <c r="J75" s="91">
        <v>14</v>
      </c>
      <c r="K75" s="86">
        <v>0.67399095485962901</v>
      </c>
      <c r="L75" s="87">
        <v>4.3377421281679297E-2</v>
      </c>
      <c r="M75" s="87">
        <v>0.78735891647855505</v>
      </c>
      <c r="N75" s="83">
        <f t="shared" ref="N75:N81" si="52">$B$2</f>
        <v>36.666666666666664</v>
      </c>
      <c r="O75" s="82">
        <f t="shared" si="46"/>
        <v>44.587093936867767</v>
      </c>
      <c r="P75" s="80">
        <f t="shared" ref="P75:P81" si="53">L75*$G$9*N75^3*$B$3^5</f>
        <v>35278.316171377854</v>
      </c>
      <c r="Q75" s="80">
        <f t="shared" si="47"/>
        <v>27776.696795883952</v>
      </c>
      <c r="S75" s="91">
        <v>14</v>
      </c>
      <c r="T75" s="86">
        <v>0.67399095485962901</v>
      </c>
      <c r="U75" s="87">
        <v>4.3377421281679297E-2</v>
      </c>
      <c r="V75" s="87">
        <v>0.78735891647855505</v>
      </c>
      <c r="W75" s="83">
        <f t="shared" ref="W75:W81" si="54">$B$2</f>
        <v>36.666666666666664</v>
      </c>
      <c r="X75" s="82">
        <f t="shared" si="48"/>
        <v>44.587093936867767</v>
      </c>
      <c r="Y75" s="80">
        <f t="shared" ref="Y75:Y81" si="55">U75*$G$10*W75^3*$B$3^5</f>
        <v>33474.682800258561</v>
      </c>
      <c r="Z75" s="80">
        <f t="shared" si="49"/>
        <v>26356.589979074903</v>
      </c>
    </row>
    <row r="76" spans="1:26" x14ac:dyDescent="0.3">
      <c r="A76" s="91">
        <v>15</v>
      </c>
      <c r="B76" s="86">
        <v>0.72612850925846895</v>
      </c>
      <c r="C76" s="87">
        <v>3.7206246266746297E-2</v>
      </c>
      <c r="D76" s="87">
        <v>0.79097065462753902</v>
      </c>
      <c r="E76" s="83">
        <f t="shared" si="50"/>
        <v>36.666666666666664</v>
      </c>
      <c r="F76" s="82">
        <f t="shared" si="44"/>
        <v>48.03619368940641</v>
      </c>
      <c r="G76" s="80">
        <f t="shared" si="51"/>
        <v>31869.389191642706</v>
      </c>
      <c r="H76" s="80">
        <f t="shared" si="45"/>
        <v>25207.751631493447</v>
      </c>
      <c r="J76" s="91">
        <v>15</v>
      </c>
      <c r="K76" s="86">
        <v>0.72612850925846895</v>
      </c>
      <c r="L76" s="87">
        <v>3.7206246266746297E-2</v>
      </c>
      <c r="M76" s="87">
        <v>0.79097065462753902</v>
      </c>
      <c r="N76" s="83">
        <f t="shared" si="52"/>
        <v>36.666666666666664</v>
      </c>
      <c r="O76" s="82">
        <f t="shared" si="46"/>
        <v>48.03619368940641</v>
      </c>
      <c r="P76" s="80">
        <f t="shared" si="53"/>
        <v>30259.376435150047</v>
      </c>
      <c r="Q76" s="80">
        <f t="shared" si="47"/>
        <v>23934.278787531759</v>
      </c>
      <c r="S76" s="91">
        <v>15</v>
      </c>
      <c r="T76" s="86">
        <v>0.72612850925846895</v>
      </c>
      <c r="U76" s="87">
        <v>3.7206246266746297E-2</v>
      </c>
      <c r="V76" s="87">
        <v>0.79097065462753902</v>
      </c>
      <c r="W76" s="83">
        <f t="shared" si="54"/>
        <v>36.666666666666664</v>
      </c>
      <c r="X76" s="82">
        <f t="shared" si="48"/>
        <v>48.03619368940641</v>
      </c>
      <c r="Y76" s="80">
        <f t="shared" si="55"/>
        <v>28712.34054878377</v>
      </c>
      <c r="Z76" s="80">
        <f t="shared" si="49"/>
        <v>22710.61879976033</v>
      </c>
    </row>
    <row r="77" spans="1:26" x14ac:dyDescent="0.3">
      <c r="A77" s="91">
        <v>16</v>
      </c>
      <c r="B77" s="86">
        <v>0.78772079528969996</v>
      </c>
      <c r="C77" s="87">
        <v>2.6812867992149401E-2</v>
      </c>
      <c r="D77" s="87">
        <v>0.77832957110609402</v>
      </c>
      <c r="E77" s="83">
        <f t="shared" si="50"/>
        <v>36.666666666666664</v>
      </c>
      <c r="F77" s="82">
        <f t="shared" si="44"/>
        <v>52.110760303780154</v>
      </c>
      <c r="G77" s="80">
        <f t="shared" si="51"/>
        <v>22966.835172235071</v>
      </c>
      <c r="H77" s="80">
        <f t="shared" si="45"/>
        <v>17875.766969270077</v>
      </c>
      <c r="J77" s="91">
        <v>16</v>
      </c>
      <c r="K77" s="86">
        <v>0.78772079528969996</v>
      </c>
      <c r="L77" s="87">
        <v>2.6812867992149401E-2</v>
      </c>
      <c r="M77" s="87">
        <v>0.77832957110609402</v>
      </c>
      <c r="N77" s="83">
        <f t="shared" si="52"/>
        <v>36.666666666666664</v>
      </c>
      <c r="O77" s="82">
        <f t="shared" si="46"/>
        <v>52.110760303780154</v>
      </c>
      <c r="P77" s="80">
        <f t="shared" si="53"/>
        <v>21806.57140372647</v>
      </c>
      <c r="Q77" s="80">
        <f t="shared" si="47"/>
        <v>16972.699367956837</v>
      </c>
      <c r="S77" s="91">
        <v>16</v>
      </c>
      <c r="T77" s="86">
        <v>0.78772079528969996</v>
      </c>
      <c r="U77" s="87">
        <v>2.6812867992149401E-2</v>
      </c>
      <c r="V77" s="87">
        <v>0.77832957110609402</v>
      </c>
      <c r="W77" s="83">
        <f t="shared" si="54"/>
        <v>36.666666666666664</v>
      </c>
      <c r="X77" s="82">
        <f t="shared" si="48"/>
        <v>52.110760303780154</v>
      </c>
      <c r="Y77" s="80">
        <f t="shared" si="55"/>
        <v>20691.692232555401</v>
      </c>
      <c r="Z77" s="80">
        <f t="shared" si="49"/>
        <v>16104.955940824142</v>
      </c>
    </row>
    <row r="78" spans="1:26" x14ac:dyDescent="0.3">
      <c r="A78" s="91">
        <v>17</v>
      </c>
      <c r="B78" s="86">
        <v>0.81755269220923199</v>
      </c>
      <c r="C78" s="87">
        <v>2.2443894530249999E-2</v>
      </c>
      <c r="D78" s="87">
        <v>0.76027088036117296</v>
      </c>
      <c r="E78" s="83">
        <f t="shared" si="50"/>
        <v>36.666666666666664</v>
      </c>
      <c r="F78" s="82">
        <f t="shared" si="44"/>
        <v>54.084255023072274</v>
      </c>
      <c r="G78" s="80">
        <f t="shared" si="51"/>
        <v>19224.546454717347</v>
      </c>
      <c r="H78" s="80">
        <f t="shared" si="45"/>
        <v>14615.862857672224</v>
      </c>
      <c r="J78" s="91">
        <v>17</v>
      </c>
      <c r="K78" s="86">
        <v>0.81755269220923199</v>
      </c>
      <c r="L78" s="87">
        <v>2.2443894530249999E-2</v>
      </c>
      <c r="M78" s="87">
        <v>0.76027088036117296</v>
      </c>
      <c r="N78" s="83">
        <f t="shared" si="52"/>
        <v>36.666666666666664</v>
      </c>
      <c r="O78" s="82">
        <f t="shared" si="46"/>
        <v>54.084255023072274</v>
      </c>
      <c r="P78" s="80">
        <f t="shared" si="53"/>
        <v>18253.339732060824</v>
      </c>
      <c r="Q78" s="80">
        <f t="shared" si="47"/>
        <v>13877.48266762546</v>
      </c>
      <c r="S78" s="91">
        <v>17</v>
      </c>
      <c r="T78" s="86">
        <v>0.81755269220923199</v>
      </c>
      <c r="U78" s="87">
        <v>2.2443894530249999E-2</v>
      </c>
      <c r="V78" s="87">
        <v>0.76027088036117296</v>
      </c>
      <c r="W78" s="83">
        <f t="shared" si="54"/>
        <v>36.666666666666664</v>
      </c>
      <c r="X78" s="82">
        <f t="shared" si="48"/>
        <v>54.084255023072274</v>
      </c>
      <c r="Y78" s="80">
        <f t="shared" si="55"/>
        <v>17320.122496998079</v>
      </c>
      <c r="Z78" s="80">
        <f t="shared" si="49"/>
        <v>13167.984778756087</v>
      </c>
    </row>
    <row r="79" spans="1:26" x14ac:dyDescent="0.3">
      <c r="A79" s="91">
        <v>18</v>
      </c>
      <c r="B79" s="86">
        <v>0.83622322723781894</v>
      </c>
      <c r="C79" s="87">
        <v>1.9160337912791099E-2</v>
      </c>
      <c r="D79" s="87">
        <v>0.72776523702031604</v>
      </c>
      <c r="E79" s="83">
        <f t="shared" si="50"/>
        <v>36.666666666666664</v>
      </c>
      <c r="F79" s="82">
        <f t="shared" si="44"/>
        <v>55.319382724963404</v>
      </c>
      <c r="G79" s="80">
        <f t="shared" si="51"/>
        <v>16411.982590457821</v>
      </c>
      <c r="H79" s="80">
        <f t="shared" si="45"/>
        <v>11944.070399917837</v>
      </c>
      <c r="J79" s="91">
        <v>18</v>
      </c>
      <c r="K79" s="86">
        <v>0.83622322723781894</v>
      </c>
      <c r="L79" s="87">
        <v>1.9160337912791099E-2</v>
      </c>
      <c r="M79" s="87">
        <v>0.72776523702031604</v>
      </c>
      <c r="N79" s="83">
        <f t="shared" si="52"/>
        <v>36.666666666666664</v>
      </c>
      <c r="O79" s="82">
        <f t="shared" si="46"/>
        <v>55.319382724963404</v>
      </c>
      <c r="P79" s="80">
        <f t="shared" si="53"/>
        <v>15582.864053824507</v>
      </c>
      <c r="Q79" s="80">
        <f t="shared" si="47"/>
        <v>11340.666751586956</v>
      </c>
      <c r="S79" s="91">
        <v>18</v>
      </c>
      <c r="T79" s="86">
        <v>0.83622322723781894</v>
      </c>
      <c r="U79" s="87">
        <v>1.9160337912791099E-2</v>
      </c>
      <c r="V79" s="87">
        <v>0.72776523702031604</v>
      </c>
      <c r="W79" s="83">
        <f t="shared" si="54"/>
        <v>36.666666666666664</v>
      </c>
      <c r="X79" s="82">
        <f t="shared" si="48"/>
        <v>55.319382724963404</v>
      </c>
      <c r="Y79" s="80">
        <f t="shared" si="55"/>
        <v>14786.177117618176</v>
      </c>
      <c r="Z79" s="80">
        <f t="shared" si="49"/>
        <v>10760.865694627764</v>
      </c>
    </row>
    <row r="80" spans="1:26" x14ac:dyDescent="0.3">
      <c r="A80" s="91">
        <v>19</v>
      </c>
      <c r="B80" s="86">
        <v>0.88853144466251399</v>
      </c>
      <c r="C80" s="87">
        <v>9.30284153938047E-3</v>
      </c>
      <c r="D80" s="87">
        <v>0.53092550790067705</v>
      </c>
      <c r="E80" s="83">
        <f t="shared" si="50"/>
        <v>36.666666666666664</v>
      </c>
      <c r="F80" s="82">
        <f t="shared" si="44"/>
        <v>58.779772493058616</v>
      </c>
      <c r="G80" s="80">
        <f t="shared" si="51"/>
        <v>7968.4436715583688</v>
      </c>
      <c r="H80" s="80">
        <f t="shared" si="45"/>
        <v>4230.6500035000627</v>
      </c>
      <c r="J80" s="91">
        <v>19</v>
      </c>
      <c r="K80" s="86">
        <v>0.88853144466251399</v>
      </c>
      <c r="L80" s="87">
        <v>9.30284153938047E-3</v>
      </c>
      <c r="M80" s="87">
        <v>0.53092550790067705</v>
      </c>
      <c r="N80" s="83">
        <f t="shared" si="52"/>
        <v>36.666666666666664</v>
      </c>
      <c r="O80" s="82">
        <f t="shared" si="46"/>
        <v>58.779772493058616</v>
      </c>
      <c r="P80" s="80">
        <f t="shared" si="53"/>
        <v>7565.8850946288039</v>
      </c>
      <c r="Q80" s="80">
        <f t="shared" si="47"/>
        <v>4016.9213865839597</v>
      </c>
      <c r="S80" s="91">
        <v>19</v>
      </c>
      <c r="T80" s="86">
        <v>0.88853144466251399</v>
      </c>
      <c r="U80" s="87">
        <v>9.30284153938047E-3</v>
      </c>
      <c r="V80" s="87">
        <v>0.53092550790067705</v>
      </c>
      <c r="W80" s="83">
        <f t="shared" si="54"/>
        <v>36.666666666666664</v>
      </c>
      <c r="X80" s="82">
        <f t="shared" si="48"/>
        <v>58.779772493058616</v>
      </c>
      <c r="Y80" s="80">
        <f t="shared" si="55"/>
        <v>7179.0729017668918</v>
      </c>
      <c r="Z80" s="80">
        <f t="shared" si="49"/>
        <v>3811.5529266265744</v>
      </c>
    </row>
    <row r="81" spans="1:26" x14ac:dyDescent="0.3">
      <c r="A81" s="91">
        <v>20</v>
      </c>
      <c r="B81" s="86">
        <v>0.90536735216315301</v>
      </c>
      <c r="C81" s="87">
        <v>5.6472395255567701E-3</v>
      </c>
      <c r="D81" s="87">
        <v>0.48216704288939</v>
      </c>
      <c r="E81" s="83">
        <f t="shared" si="50"/>
        <v>36.666666666666664</v>
      </c>
      <c r="F81" s="82">
        <f t="shared" si="44"/>
        <v>59.893532527716275</v>
      </c>
      <c r="G81" s="80">
        <f t="shared" si="51"/>
        <v>4837.2005336977845</v>
      </c>
      <c r="H81" s="80">
        <f t="shared" si="45"/>
        <v>2332.33867719604</v>
      </c>
      <c r="J81" s="91">
        <v>20</v>
      </c>
      <c r="K81" s="86">
        <v>0.90536735216315301</v>
      </c>
      <c r="L81" s="87">
        <v>5.6472395255567701E-3</v>
      </c>
      <c r="M81" s="87">
        <v>0.48216704288939</v>
      </c>
      <c r="N81" s="83">
        <f t="shared" si="52"/>
        <v>36.666666666666664</v>
      </c>
      <c r="O81" s="82">
        <f t="shared" si="46"/>
        <v>59.893532527716275</v>
      </c>
      <c r="P81" s="80">
        <f t="shared" si="53"/>
        <v>4592.8295318522642</v>
      </c>
      <c r="Q81" s="80">
        <f t="shared" si="47"/>
        <v>2214.5110338682675</v>
      </c>
      <c r="S81" s="91">
        <v>20</v>
      </c>
      <c r="T81" s="86">
        <v>0.90536735216315301</v>
      </c>
      <c r="U81" s="87">
        <v>5.6472395255567701E-3</v>
      </c>
      <c r="V81" s="87">
        <v>0.48216704288939</v>
      </c>
      <c r="W81" s="83">
        <f t="shared" si="54"/>
        <v>36.666666666666664</v>
      </c>
      <c r="X81" s="82">
        <f t="shared" si="48"/>
        <v>59.893532527716275</v>
      </c>
      <c r="Y81" s="80">
        <f t="shared" si="55"/>
        <v>4358.0172870934921</v>
      </c>
      <c r="Z81" s="80">
        <f t="shared" si="49"/>
        <v>2101.2923081787108</v>
      </c>
    </row>
    <row r="82" spans="1:26" ht="15.6" thickBot="1" x14ac:dyDescent="0.35"/>
    <row r="83" spans="1:26" ht="15.6" thickBot="1" x14ac:dyDescent="0.35">
      <c r="A83" s="104" t="s">
        <v>299</v>
      </c>
      <c r="B83" s="105"/>
      <c r="C83" s="105"/>
      <c r="D83" s="105"/>
      <c r="E83" s="105"/>
      <c r="F83" s="105"/>
      <c r="G83" s="105"/>
      <c r="H83" s="106"/>
      <c r="J83" s="104" t="s">
        <v>300</v>
      </c>
      <c r="K83" s="105"/>
      <c r="L83" s="105"/>
      <c r="M83" s="105"/>
      <c r="N83" s="105"/>
      <c r="O83" s="105"/>
      <c r="P83" s="105"/>
      <c r="Q83" s="106"/>
    </row>
    <row r="84" spans="1:26" ht="18.600000000000001" thickBot="1" x14ac:dyDescent="0.35">
      <c r="A84" s="92" t="s">
        <v>232</v>
      </c>
      <c r="B84" s="93" t="s">
        <v>212</v>
      </c>
      <c r="C84" s="94" t="s">
        <v>285</v>
      </c>
      <c r="D84" s="94" t="s">
        <v>286</v>
      </c>
      <c r="E84" s="94" t="s">
        <v>289</v>
      </c>
      <c r="F84" s="94" t="s">
        <v>195</v>
      </c>
      <c r="G84" s="94" t="s">
        <v>287</v>
      </c>
      <c r="H84" s="94" t="s">
        <v>288</v>
      </c>
      <c r="J84" s="92" t="s">
        <v>232</v>
      </c>
      <c r="K84" s="93" t="s">
        <v>212</v>
      </c>
      <c r="L84" s="94" t="s">
        <v>285</v>
      </c>
      <c r="M84" s="94" t="s">
        <v>286</v>
      </c>
      <c r="N84" s="94" t="s">
        <v>289</v>
      </c>
      <c r="O84" s="94" t="s">
        <v>195</v>
      </c>
      <c r="P84" s="94" t="s">
        <v>287</v>
      </c>
      <c r="Q84" s="94" t="s">
        <v>288</v>
      </c>
    </row>
    <row r="85" spans="1:26" x14ac:dyDescent="0.3">
      <c r="A85" s="90">
        <v>1</v>
      </c>
      <c r="B85" s="84">
        <v>0</v>
      </c>
      <c r="C85" s="85">
        <v>7.3277583411553798E-2</v>
      </c>
      <c r="D85" s="85">
        <v>0</v>
      </c>
      <c r="E85" s="82">
        <f t="shared" ref="E85:E97" si="56">SQRT($I$11/$G$11/$B$3^5/C85)</f>
        <v>29.146447167227773</v>
      </c>
      <c r="F85" s="82">
        <f>B85*E85*$B$3</f>
        <v>0</v>
      </c>
      <c r="G85" s="81">
        <f t="shared" ref="G85:G97" si="57">$I$11*E85</f>
        <v>26933.360023160421</v>
      </c>
      <c r="H85" s="81">
        <f>G85*D85</f>
        <v>0</v>
      </c>
      <c r="J85" s="90">
        <v>1</v>
      </c>
      <c r="K85" s="84">
        <v>0</v>
      </c>
      <c r="L85" s="85">
        <v>7.3277583411553798E-2</v>
      </c>
      <c r="M85" s="85">
        <v>0</v>
      </c>
      <c r="N85" s="82">
        <f t="shared" ref="N85:N97" si="58">SQRT($I$12/$G$12/$B$3^5/L85)</f>
        <v>28.917181266539696</v>
      </c>
      <c r="O85" s="82">
        <f>K85*N85*$B$3</f>
        <v>0</v>
      </c>
      <c r="P85" s="81">
        <f t="shared" ref="P85:P97" si="59">$I$12*N85</f>
        <v>24924.925986340539</v>
      </c>
      <c r="Q85" s="81">
        <f>P85*M85</f>
        <v>0</v>
      </c>
    </row>
    <row r="86" spans="1:26" x14ac:dyDescent="0.3">
      <c r="A86" s="91">
        <v>2</v>
      </c>
      <c r="B86" s="86">
        <v>2.26043177745546E-2</v>
      </c>
      <c r="C86" s="87">
        <v>7.3328782319310504E-2</v>
      </c>
      <c r="D86" s="87">
        <v>4.3340857787810397E-2</v>
      </c>
      <c r="E86" s="82">
        <f t="shared" si="56"/>
        <v>29.13627021635924</v>
      </c>
      <c r="F86" s="82">
        <f t="shared" ref="F86:F104" si="60">B86*E86*$B$3</f>
        <v>1.1882532990899004</v>
      </c>
      <c r="G86" s="81">
        <f t="shared" si="57"/>
        <v>26923.955807267226</v>
      </c>
      <c r="H86" s="80">
        <f t="shared" ref="H86:H104" si="61">G86*D86</f>
        <v>1166.9073397280606</v>
      </c>
      <c r="J86" s="91">
        <v>2</v>
      </c>
      <c r="K86" s="86">
        <v>2.26043177745546E-2</v>
      </c>
      <c r="L86" s="87">
        <v>7.3328782319310504E-2</v>
      </c>
      <c r="M86" s="87">
        <v>4.3340857787810397E-2</v>
      </c>
      <c r="N86" s="82">
        <f t="shared" si="58"/>
        <v>28.907084367548283</v>
      </c>
      <c r="O86" s="82">
        <f t="shared" ref="O86:O104" si="62">K86*N86*$B$3</f>
        <v>1.1789065007889488</v>
      </c>
      <c r="P86" s="81">
        <f t="shared" si="59"/>
        <v>24916.223047498304</v>
      </c>
      <c r="Q86" s="80">
        <f t="shared" ref="Q86:Q104" si="63">P86*M86</f>
        <v>1079.8904797109878</v>
      </c>
    </row>
    <row r="87" spans="1:26" x14ac:dyDescent="0.3">
      <c r="A87" s="91">
        <v>3</v>
      </c>
      <c r="B87" s="86">
        <v>8.37443467872689E-2</v>
      </c>
      <c r="C87" s="87">
        <v>7.2704155644679497E-2</v>
      </c>
      <c r="D87" s="87">
        <v>0.149887133182844</v>
      </c>
      <c r="E87" s="82">
        <f t="shared" si="56"/>
        <v>29.261162454795208</v>
      </c>
      <c r="F87" s="82">
        <f t="shared" si="60"/>
        <v>4.4211041223171303</v>
      </c>
      <c r="G87" s="81">
        <f t="shared" si="57"/>
        <v>27039.36498913405</v>
      </c>
      <c r="H87" s="80">
        <f t="shared" si="61"/>
        <v>4052.8529013058646</v>
      </c>
      <c r="J87" s="91">
        <v>3</v>
      </c>
      <c r="K87" s="86">
        <v>8.37443467872689E-2</v>
      </c>
      <c r="L87" s="87">
        <v>7.2704155644679497E-2</v>
      </c>
      <c r="M87" s="87">
        <v>0.149887133182844</v>
      </c>
      <c r="N87" s="82">
        <f t="shared" si="58"/>
        <v>29.030994203862658</v>
      </c>
      <c r="O87" s="82">
        <f t="shared" si="62"/>
        <v>4.3863277252892781</v>
      </c>
      <c r="P87" s="81">
        <f t="shared" si="59"/>
        <v>25023.026109340608</v>
      </c>
      <c r="Q87" s="80">
        <f t="shared" si="63"/>
        <v>3750.6296470885181</v>
      </c>
    </row>
    <row r="88" spans="1:26" x14ac:dyDescent="0.3">
      <c r="A88" s="91">
        <v>4</v>
      </c>
      <c r="B88" s="86">
        <v>0.117108968342009</v>
      </c>
      <c r="C88" s="87">
        <v>7.2028330062292006E-2</v>
      </c>
      <c r="D88" s="87">
        <v>0.20586907449209901</v>
      </c>
      <c r="E88" s="82">
        <f t="shared" si="56"/>
        <v>29.398117395743849</v>
      </c>
      <c r="F88" s="82">
        <f t="shared" si="60"/>
        <v>6.2114550031364359</v>
      </c>
      <c r="G88" s="81">
        <f t="shared" si="57"/>
        <v>27165.920953583394</v>
      </c>
      <c r="H88" s="80">
        <f t="shared" si="61"/>
        <v>5592.6230044397334</v>
      </c>
      <c r="J88" s="91">
        <v>4</v>
      </c>
      <c r="K88" s="86">
        <v>0.117108968342009</v>
      </c>
      <c r="L88" s="87">
        <v>7.2028330062292006E-2</v>
      </c>
      <c r="M88" s="87">
        <v>0.20586907449209901</v>
      </c>
      <c r="N88" s="82">
        <f t="shared" si="58"/>
        <v>29.166871857493565</v>
      </c>
      <c r="O88" s="82">
        <f t="shared" si="62"/>
        <v>6.1625957093190138</v>
      </c>
      <c r="P88" s="81">
        <f t="shared" si="59"/>
        <v>25140.144732650784</v>
      </c>
      <c r="Q88" s="80">
        <f t="shared" si="63"/>
        <v>5175.5783287082349</v>
      </c>
    </row>
    <row r="89" spans="1:26" x14ac:dyDescent="0.3">
      <c r="A89" s="91">
        <v>5</v>
      </c>
      <c r="B89" s="86">
        <v>0.150473589896749</v>
      </c>
      <c r="C89" s="87">
        <v>7.1352504479904405E-2</v>
      </c>
      <c r="D89" s="87">
        <v>0.274492099322799</v>
      </c>
      <c r="E89" s="82">
        <f t="shared" si="56"/>
        <v>29.537013540908109</v>
      </c>
      <c r="F89" s="82">
        <f t="shared" si="60"/>
        <v>8.018821253713055</v>
      </c>
      <c r="G89" s="81">
        <f t="shared" si="57"/>
        <v>27294.270726784722</v>
      </c>
      <c r="H89" s="80">
        <f t="shared" si="61"/>
        <v>7492.0616712799574</v>
      </c>
      <c r="J89" s="91">
        <v>5</v>
      </c>
      <c r="K89" s="86">
        <v>0.150473589896749</v>
      </c>
      <c r="L89" s="87">
        <v>7.1352504479904405E-2</v>
      </c>
      <c r="M89" s="87">
        <v>0.274492099322799</v>
      </c>
      <c r="N89" s="82">
        <f t="shared" si="58"/>
        <v>29.304675445831244</v>
      </c>
      <c r="O89" s="82">
        <f t="shared" si="62"/>
        <v>7.9557452202383363</v>
      </c>
      <c r="P89" s="81">
        <f t="shared" si="59"/>
        <v>25258.923399503186</v>
      </c>
      <c r="Q89" s="80">
        <f t="shared" si="63"/>
        <v>6933.3749105634006</v>
      </c>
    </row>
    <row r="90" spans="1:26" x14ac:dyDescent="0.3">
      <c r="A90" s="91">
        <v>6</v>
      </c>
      <c r="B90" s="86">
        <v>0.21535113917569701</v>
      </c>
      <c r="C90" s="87">
        <v>6.9997440054612101E-2</v>
      </c>
      <c r="D90" s="87">
        <v>0.38645598194130898</v>
      </c>
      <c r="E90" s="82">
        <f t="shared" si="56"/>
        <v>29.821543248486112</v>
      </c>
      <c r="F90" s="82">
        <f t="shared" si="60"/>
        <v>11.586731846986087</v>
      </c>
      <c r="G90" s="81">
        <f t="shared" si="57"/>
        <v>27557.196118943655</v>
      </c>
      <c r="H90" s="80">
        <f t="shared" si="61"/>
        <v>10649.6432856956</v>
      </c>
      <c r="J90" s="91">
        <v>6</v>
      </c>
      <c r="K90" s="86">
        <v>0.21535113917569701</v>
      </c>
      <c r="L90" s="87">
        <v>6.9997440054612101E-2</v>
      </c>
      <c r="M90" s="87">
        <v>0.38645598194130898</v>
      </c>
      <c r="N90" s="82">
        <f t="shared" si="58"/>
        <v>29.586967043244183</v>
      </c>
      <c r="O90" s="82">
        <f t="shared" si="62"/>
        <v>11.49559063523945</v>
      </c>
      <c r="P90" s="81">
        <f t="shared" si="59"/>
        <v>25502.24231455335</v>
      </c>
      <c r="Q90" s="80">
        <f t="shared" si="63"/>
        <v>9855.494095375916</v>
      </c>
    </row>
    <row r="91" spans="1:26" x14ac:dyDescent="0.3">
      <c r="A91" s="91">
        <v>7</v>
      </c>
      <c r="B91" s="86">
        <v>0.25982592371362701</v>
      </c>
      <c r="C91" s="87">
        <v>6.9342094035327206E-2</v>
      </c>
      <c r="D91" s="87">
        <v>0.43702031602708802</v>
      </c>
      <c r="E91" s="82">
        <f t="shared" si="56"/>
        <v>29.962132244546854</v>
      </c>
      <c r="F91" s="82">
        <f t="shared" si="60"/>
        <v>14.045553714771069</v>
      </c>
      <c r="G91" s="81">
        <f t="shared" si="57"/>
        <v>27687.110205023284</v>
      </c>
      <c r="H91" s="80">
        <f t="shared" si="61"/>
        <v>12099.829651676089</v>
      </c>
      <c r="J91" s="91">
        <v>7</v>
      </c>
      <c r="K91" s="86">
        <v>0.25982592371362701</v>
      </c>
      <c r="L91" s="87">
        <v>6.9342094035327206E-2</v>
      </c>
      <c r="M91" s="87">
        <v>0.43702031602708802</v>
      </c>
      <c r="N91" s="82">
        <f t="shared" si="58"/>
        <v>29.726450166516258</v>
      </c>
      <c r="O91" s="82">
        <f t="shared" si="62"/>
        <v>13.935071414660733</v>
      </c>
      <c r="P91" s="81">
        <f t="shared" si="59"/>
        <v>25622.468642695603</v>
      </c>
      <c r="Q91" s="80">
        <f t="shared" si="63"/>
        <v>11197.539343624985</v>
      </c>
    </row>
    <row r="92" spans="1:26" x14ac:dyDescent="0.3">
      <c r="A92" s="91">
        <v>8</v>
      </c>
      <c r="B92" s="86">
        <v>0.356250533321956</v>
      </c>
      <c r="C92" s="87">
        <v>6.6570526495434698E-2</v>
      </c>
      <c r="D92" s="87">
        <v>0.58148984198645604</v>
      </c>
      <c r="E92" s="82">
        <f t="shared" si="56"/>
        <v>30.57948710893583</v>
      </c>
      <c r="F92" s="82">
        <f t="shared" si="60"/>
        <v>19.654834381452652</v>
      </c>
      <c r="G92" s="81">
        <f t="shared" si="57"/>
        <v>28257.589369404373</v>
      </c>
      <c r="H92" s="80">
        <f t="shared" si="61"/>
        <v>16431.50117733311</v>
      </c>
      <c r="J92" s="91">
        <v>8</v>
      </c>
      <c r="K92" s="86">
        <v>0.356250533321956</v>
      </c>
      <c r="L92" s="87">
        <v>6.6570526495434698E-2</v>
      </c>
      <c r="M92" s="87">
        <v>0.58148984198645604</v>
      </c>
      <c r="N92" s="82">
        <f t="shared" si="58"/>
        <v>30.338948918658815</v>
      </c>
      <c r="O92" s="82">
        <f t="shared" si="62"/>
        <v>19.500229489766046</v>
      </c>
      <c r="P92" s="81">
        <f t="shared" si="59"/>
        <v>26150.406892387462</v>
      </c>
      <c r="Q92" s="80">
        <f t="shared" si="63"/>
        <v>15206.195971735917</v>
      </c>
    </row>
    <row r="93" spans="1:26" x14ac:dyDescent="0.3">
      <c r="A93" s="91">
        <v>9</v>
      </c>
      <c r="B93" s="86">
        <v>0.40075945046505601</v>
      </c>
      <c r="C93" s="87">
        <v>6.5177916204454303E-2</v>
      </c>
      <c r="D93" s="87">
        <v>0.60857787810383701</v>
      </c>
      <c r="E93" s="82">
        <f t="shared" si="56"/>
        <v>30.904445595935037</v>
      </c>
      <c r="F93" s="82">
        <f t="shared" si="60"/>
        <v>22.34541361930189</v>
      </c>
      <c r="G93" s="81">
        <f t="shared" si="57"/>
        <v>28557.873787354707</v>
      </c>
      <c r="H93" s="80">
        <f t="shared" si="61"/>
        <v>17379.690232665514</v>
      </c>
      <c r="J93" s="91">
        <v>9</v>
      </c>
      <c r="K93" s="86">
        <v>0.40075945046505601</v>
      </c>
      <c r="L93" s="87">
        <v>6.5177916204454303E-2</v>
      </c>
      <c r="M93" s="87">
        <v>0.60857787810383701</v>
      </c>
      <c r="N93" s="82">
        <f t="shared" si="58"/>
        <v>30.661351282787173</v>
      </c>
      <c r="O93" s="82">
        <f t="shared" si="62"/>
        <v>22.16964463619793</v>
      </c>
      <c r="P93" s="81">
        <f t="shared" si="59"/>
        <v>26428.298952116635</v>
      </c>
      <c r="Q93" s="80">
        <f t="shared" si="63"/>
        <v>16083.678098173001</v>
      </c>
    </row>
    <row r="94" spans="1:26" x14ac:dyDescent="0.3">
      <c r="A94" s="91">
        <v>10</v>
      </c>
      <c r="B94" s="86">
        <v>0.46578206331598199</v>
      </c>
      <c r="C94" s="87">
        <v>6.0689478624455999E-2</v>
      </c>
      <c r="D94" s="87">
        <v>0.66997742663656801</v>
      </c>
      <c r="E94" s="82">
        <f t="shared" si="56"/>
        <v>32.026869456403823</v>
      </c>
      <c r="F94" s="82">
        <f t="shared" si="60"/>
        <v>26.914165489052358</v>
      </c>
      <c r="G94" s="81">
        <f t="shared" si="57"/>
        <v>29595.072103813076</v>
      </c>
      <c r="H94" s="80">
        <f t="shared" si="61"/>
        <v>19828.030249236366</v>
      </c>
      <c r="J94" s="91">
        <v>10</v>
      </c>
      <c r="K94" s="86">
        <v>0.46578206331598199</v>
      </c>
      <c r="L94" s="87">
        <v>6.0689478624455999E-2</v>
      </c>
      <c r="M94" s="87">
        <v>0.66997742663656801</v>
      </c>
      <c r="N94" s="82">
        <f t="shared" si="58"/>
        <v>31.774946159200109</v>
      </c>
      <c r="O94" s="82">
        <f t="shared" si="62"/>
        <v>26.702458712006347</v>
      </c>
      <c r="P94" s="81">
        <f t="shared" si="59"/>
        <v>27388.152874859701</v>
      </c>
      <c r="Q94" s="80">
        <f t="shared" si="63"/>
        <v>18349.444183427426</v>
      </c>
    </row>
    <row r="95" spans="1:26" x14ac:dyDescent="0.3">
      <c r="A95" s="91">
        <v>11</v>
      </c>
      <c r="B95" s="88">
        <v>0.527075689051967</v>
      </c>
      <c r="C95" s="89">
        <v>5.67471627271951E-2</v>
      </c>
      <c r="D95" s="89">
        <v>0.707900677200902</v>
      </c>
      <c r="E95" s="82">
        <f t="shared" si="56"/>
        <v>33.120670236945088</v>
      </c>
      <c r="F95" s="82">
        <f t="shared" si="60"/>
        <v>31.496026730393069</v>
      </c>
      <c r="G95" s="81">
        <f t="shared" si="57"/>
        <v>30605.820688259973</v>
      </c>
      <c r="H95" s="80">
        <f t="shared" si="61"/>
        <v>21665.881191508612</v>
      </c>
      <c r="J95" s="91">
        <v>11</v>
      </c>
      <c r="K95" s="88">
        <v>0.527075689051967</v>
      </c>
      <c r="L95" s="89">
        <v>5.67471627271951E-2</v>
      </c>
      <c r="M95" s="89">
        <v>0.707900677200902</v>
      </c>
      <c r="N95" s="82">
        <f t="shared" si="58"/>
        <v>32.860143104780448</v>
      </c>
      <c r="O95" s="82">
        <f t="shared" si="62"/>
        <v>31.248279041111797</v>
      </c>
      <c r="P95" s="81">
        <f t="shared" si="59"/>
        <v>28323.52943524703</v>
      </c>
      <c r="Q95" s="80">
        <f t="shared" si="63"/>
        <v>20050.245667931053</v>
      </c>
    </row>
    <row r="96" spans="1:26" x14ac:dyDescent="0.3">
      <c r="A96" s="91">
        <v>12</v>
      </c>
      <c r="B96" s="88">
        <v>0.584725659185937</v>
      </c>
      <c r="C96" s="89">
        <v>5.1507807833432798E-2</v>
      </c>
      <c r="D96" s="89">
        <v>0.75124153498871304</v>
      </c>
      <c r="E96" s="82">
        <f t="shared" si="56"/>
        <v>34.764393691323974</v>
      </c>
      <c r="F96" s="82">
        <f t="shared" si="60"/>
        <v>36.675030199150925</v>
      </c>
      <c r="G96" s="81">
        <f t="shared" si="57"/>
        <v>32124.736366774563</v>
      </c>
      <c r="H96" s="80">
        <f t="shared" si="61"/>
        <v>24133.436259283455</v>
      </c>
      <c r="J96" s="91">
        <v>12</v>
      </c>
      <c r="K96" s="88">
        <v>0.584725659185937</v>
      </c>
      <c r="L96" s="89">
        <v>5.1507807833432798E-2</v>
      </c>
      <c r="M96" s="89">
        <v>0.75124153498871304</v>
      </c>
      <c r="N96" s="82">
        <f t="shared" si="58"/>
        <v>34.490937033440879</v>
      </c>
      <c r="O96" s="82">
        <f t="shared" si="62"/>
        <v>36.386544477953827</v>
      </c>
      <c r="P96" s="81">
        <f t="shared" si="59"/>
        <v>29729.178817051343</v>
      </c>
      <c r="Q96" s="80">
        <f t="shared" si="63"/>
        <v>22333.793928475581</v>
      </c>
    </row>
    <row r="97" spans="1:17" x14ac:dyDescent="0.3">
      <c r="A97" s="91">
        <v>13</v>
      </c>
      <c r="B97" s="86">
        <v>0.62189606621725402</v>
      </c>
      <c r="C97" s="87">
        <v>4.8627015956992897E-2</v>
      </c>
      <c r="D97" s="87">
        <v>0.76749435665914201</v>
      </c>
      <c r="E97" s="82">
        <f t="shared" si="56"/>
        <v>35.779344775358432</v>
      </c>
      <c r="F97" s="82">
        <f t="shared" si="60"/>
        <v>40.145221762570472</v>
      </c>
      <c r="G97" s="81">
        <f t="shared" si="57"/>
        <v>33062.622305165489</v>
      </c>
      <c r="H97" s="80">
        <f t="shared" si="61"/>
        <v>25375.376035567184</v>
      </c>
      <c r="J97" s="91">
        <v>13</v>
      </c>
      <c r="K97" s="86">
        <v>0.62189606621725402</v>
      </c>
      <c r="L97" s="87">
        <v>4.8627015956992897E-2</v>
      </c>
      <c r="M97" s="87">
        <v>0.76749435665914201</v>
      </c>
      <c r="N97" s="82">
        <f t="shared" si="58"/>
        <v>35.497904514084489</v>
      </c>
      <c r="O97" s="82">
        <f t="shared" si="62"/>
        <v>39.829439520813509</v>
      </c>
      <c r="P97" s="81">
        <f t="shared" si="59"/>
        <v>30597.126135095634</v>
      </c>
      <c r="Q97" s="80">
        <f t="shared" si="63"/>
        <v>23483.121638673845</v>
      </c>
    </row>
    <row r="98" spans="1:17" x14ac:dyDescent="0.3">
      <c r="A98" s="91">
        <v>14</v>
      </c>
      <c r="B98" s="86">
        <v>0.67399095485962901</v>
      </c>
      <c r="C98" s="87">
        <v>4.3377421281679297E-2</v>
      </c>
      <c r="D98" s="87">
        <v>0.78735891647855505</v>
      </c>
      <c r="E98" s="83">
        <f t="shared" ref="E98:E104" si="64">$B$2</f>
        <v>36.666666666666664</v>
      </c>
      <c r="F98" s="82">
        <f t="shared" si="60"/>
        <v>44.587093936867767</v>
      </c>
      <c r="G98" s="80">
        <f t="shared" ref="G98:G104" si="65">C98*$G$11*E98^3*$B$3^5</f>
        <v>31742.457645870345</v>
      </c>
      <c r="H98" s="80">
        <f t="shared" si="61"/>
        <v>24992.707058418899</v>
      </c>
      <c r="J98" s="91">
        <v>14</v>
      </c>
      <c r="K98" s="86">
        <v>0.67399095485962901</v>
      </c>
      <c r="L98" s="87">
        <v>4.3377421281679297E-2</v>
      </c>
      <c r="M98" s="87">
        <v>0.78735891647855505</v>
      </c>
      <c r="N98" s="83">
        <f t="shared" ref="N98:N104" si="66">$B$2</f>
        <v>36.666666666666664</v>
      </c>
      <c r="O98" s="82">
        <f t="shared" si="62"/>
        <v>44.587093936867767</v>
      </c>
      <c r="P98" s="80">
        <f t="shared" ref="P98:P104" si="67">L98*$G$12*N98^3*$B$3^5</f>
        <v>30079.657607347679</v>
      </c>
      <c r="Q98" s="80">
        <f t="shared" si="63"/>
        <v>23683.486621767195</v>
      </c>
    </row>
    <row r="99" spans="1:17" x14ac:dyDescent="0.3">
      <c r="A99" s="91">
        <v>15</v>
      </c>
      <c r="B99" s="86">
        <v>0.72612850925846895</v>
      </c>
      <c r="C99" s="87">
        <v>3.7206246266746297E-2</v>
      </c>
      <c r="D99" s="87">
        <v>0.79097065462753902</v>
      </c>
      <c r="E99" s="83">
        <f t="shared" si="64"/>
        <v>36.666666666666664</v>
      </c>
      <c r="F99" s="82">
        <f t="shared" si="60"/>
        <v>48.03619368940641</v>
      </c>
      <c r="G99" s="80">
        <f t="shared" si="65"/>
        <v>27226.553847331292</v>
      </c>
      <c r="H99" s="80">
        <f t="shared" si="61"/>
        <v>21535.405119875573</v>
      </c>
      <c r="J99" s="91">
        <v>15</v>
      </c>
      <c r="K99" s="86">
        <v>0.72612850925846895</v>
      </c>
      <c r="L99" s="87">
        <v>3.7206246266746297E-2</v>
      </c>
      <c r="M99" s="87">
        <v>0.79097065462753902</v>
      </c>
      <c r="N99" s="83">
        <f t="shared" si="66"/>
        <v>36.666666666666664</v>
      </c>
      <c r="O99" s="82">
        <f t="shared" si="62"/>
        <v>48.03619368940641</v>
      </c>
      <c r="P99" s="80">
        <f t="shared" si="67"/>
        <v>25800.315359711487</v>
      </c>
      <c r="Q99" s="80">
        <f t="shared" si="63"/>
        <v>20407.292329667944</v>
      </c>
    </row>
    <row r="100" spans="1:17" x14ac:dyDescent="0.3">
      <c r="A100" s="91">
        <v>16</v>
      </c>
      <c r="B100" s="86">
        <v>0.78772079528969996</v>
      </c>
      <c r="C100" s="87">
        <v>2.6812867992149401E-2</v>
      </c>
      <c r="D100" s="87">
        <v>0.77832957110609402</v>
      </c>
      <c r="E100" s="83">
        <f t="shared" si="64"/>
        <v>36.666666666666664</v>
      </c>
      <c r="F100" s="82">
        <f t="shared" si="60"/>
        <v>52.110760303780154</v>
      </c>
      <c r="G100" s="80">
        <f t="shared" si="65"/>
        <v>19620.952593707654</v>
      </c>
      <c r="H100" s="80">
        <f t="shared" si="61"/>
        <v>15271.567616953482</v>
      </c>
      <c r="J100" s="91">
        <v>16</v>
      </c>
      <c r="K100" s="86">
        <v>0.78772079528969996</v>
      </c>
      <c r="L100" s="87">
        <v>2.6812867992149401E-2</v>
      </c>
      <c r="M100" s="87">
        <v>0.77832957110609402</v>
      </c>
      <c r="N100" s="83">
        <f t="shared" si="66"/>
        <v>36.666666666666664</v>
      </c>
      <c r="O100" s="82">
        <f t="shared" si="62"/>
        <v>52.110760303780154</v>
      </c>
      <c r="P100" s="80">
        <f t="shared" si="67"/>
        <v>18593.126673841831</v>
      </c>
      <c r="Q100" s="80">
        <f t="shared" si="63"/>
        <v>14471.580309572588</v>
      </c>
    </row>
    <row r="101" spans="1:17" x14ac:dyDescent="0.3">
      <c r="A101" s="91">
        <v>17</v>
      </c>
      <c r="B101" s="86">
        <v>0.81755269220923199</v>
      </c>
      <c r="C101" s="87">
        <v>2.2443894530249999E-2</v>
      </c>
      <c r="D101" s="87">
        <v>0.76027088036117296</v>
      </c>
      <c r="E101" s="83">
        <f t="shared" si="64"/>
        <v>36.666666666666664</v>
      </c>
      <c r="F101" s="82">
        <f t="shared" si="60"/>
        <v>54.084255023072274</v>
      </c>
      <c r="G101" s="80">
        <f t="shared" si="65"/>
        <v>16423.852559343773</v>
      </c>
      <c r="H101" s="80">
        <f t="shared" si="61"/>
        <v>12486.576844214394</v>
      </c>
      <c r="J101" s="91">
        <v>17</v>
      </c>
      <c r="K101" s="86">
        <v>0.81755269220923199</v>
      </c>
      <c r="L101" s="87">
        <v>2.2443894530249999E-2</v>
      </c>
      <c r="M101" s="87">
        <v>0.76027088036117296</v>
      </c>
      <c r="N101" s="83">
        <f t="shared" si="66"/>
        <v>36.666666666666664</v>
      </c>
      <c r="O101" s="82">
        <f t="shared" si="62"/>
        <v>54.084255023072274</v>
      </c>
      <c r="P101" s="80">
        <f t="shared" si="67"/>
        <v>15563.503843656965</v>
      </c>
      <c r="Q101" s="80">
        <f t="shared" si="63"/>
        <v>11832.478768721579</v>
      </c>
    </row>
    <row r="102" spans="1:17" x14ac:dyDescent="0.3">
      <c r="A102" s="91">
        <v>18</v>
      </c>
      <c r="B102" s="86">
        <v>0.83622322723781894</v>
      </c>
      <c r="C102" s="87">
        <v>1.9160337912791099E-2</v>
      </c>
      <c r="D102" s="87">
        <v>0.72776523702031604</v>
      </c>
      <c r="E102" s="83">
        <f t="shared" si="64"/>
        <v>36.666666666666664</v>
      </c>
      <c r="F102" s="82">
        <f t="shared" si="60"/>
        <v>55.319382724963404</v>
      </c>
      <c r="G102" s="80">
        <f t="shared" si="65"/>
        <v>14021.032064767078</v>
      </c>
      <c r="H102" s="80">
        <f t="shared" si="61"/>
        <v>10204.019723884663</v>
      </c>
      <c r="J102" s="91">
        <v>18</v>
      </c>
      <c r="K102" s="86">
        <v>0.83622322723781894</v>
      </c>
      <c r="L102" s="87">
        <v>1.9160337912791099E-2</v>
      </c>
      <c r="M102" s="87">
        <v>0.72776523702031604</v>
      </c>
      <c r="N102" s="83">
        <f t="shared" si="66"/>
        <v>36.666666666666664</v>
      </c>
      <c r="O102" s="82">
        <f t="shared" si="62"/>
        <v>55.319382724963404</v>
      </c>
      <c r="P102" s="80">
        <f t="shared" si="67"/>
        <v>13286.552935346061</v>
      </c>
      <c r="Q102" s="80">
        <f t="shared" si="63"/>
        <v>9669.4913461751021</v>
      </c>
    </row>
    <row r="103" spans="1:17" x14ac:dyDescent="0.3">
      <c r="A103" s="91">
        <v>19</v>
      </c>
      <c r="B103" s="86">
        <v>0.88853144466251399</v>
      </c>
      <c r="C103" s="87">
        <v>9.30284153938047E-3</v>
      </c>
      <c r="D103" s="87">
        <v>0.53092550790067705</v>
      </c>
      <c r="E103" s="83">
        <f t="shared" si="64"/>
        <v>36.666666666666664</v>
      </c>
      <c r="F103" s="82">
        <f t="shared" si="60"/>
        <v>58.779772493058616</v>
      </c>
      <c r="G103" s="80">
        <f t="shared" si="65"/>
        <v>6807.5751122335023</v>
      </c>
      <c r="H103" s="80">
        <f t="shared" si="61"/>
        <v>3614.3152740345809</v>
      </c>
      <c r="J103" s="91">
        <v>19</v>
      </c>
      <c r="K103" s="86">
        <v>0.88853144466251399</v>
      </c>
      <c r="L103" s="87">
        <v>9.30284153938047E-3</v>
      </c>
      <c r="M103" s="87">
        <v>0.53092550790067705</v>
      </c>
      <c r="N103" s="83">
        <f t="shared" si="66"/>
        <v>36.666666666666664</v>
      </c>
      <c r="O103" s="82">
        <f t="shared" si="62"/>
        <v>58.779772493058616</v>
      </c>
      <c r="P103" s="80">
        <f t="shared" si="67"/>
        <v>6450.9664247413875</v>
      </c>
      <c r="Q103" s="80">
        <f t="shared" si="63"/>
        <v>3424.9826255060361</v>
      </c>
    </row>
    <row r="104" spans="1:17" x14ac:dyDescent="0.3">
      <c r="A104" s="91">
        <v>20</v>
      </c>
      <c r="B104" s="86">
        <v>0.90536735216315301</v>
      </c>
      <c r="C104" s="87">
        <v>5.6472395255567701E-3</v>
      </c>
      <c r="D104" s="87">
        <v>0.48216704288939</v>
      </c>
      <c r="E104" s="83">
        <f t="shared" si="64"/>
        <v>36.666666666666664</v>
      </c>
      <c r="F104" s="82">
        <f t="shared" si="60"/>
        <v>59.893532527716275</v>
      </c>
      <c r="G104" s="80">
        <f t="shared" si="65"/>
        <v>4132.5015678555565</v>
      </c>
      <c r="H104" s="80">
        <f t="shared" si="61"/>
        <v>1992.5560607086816</v>
      </c>
      <c r="J104" s="91">
        <v>20</v>
      </c>
      <c r="K104" s="86">
        <v>0.90536735216315301</v>
      </c>
      <c r="L104" s="87">
        <v>5.6472395255567701E-3</v>
      </c>
      <c r="M104" s="87">
        <v>0.48216704288939</v>
      </c>
      <c r="N104" s="83">
        <f t="shared" si="66"/>
        <v>36.666666666666664</v>
      </c>
      <c r="O104" s="82">
        <f t="shared" si="62"/>
        <v>59.893532527716275</v>
      </c>
      <c r="P104" s="80">
        <f t="shared" si="67"/>
        <v>3916.0241972976037</v>
      </c>
      <c r="Q104" s="80">
        <f t="shared" si="63"/>
        <v>1888.1778070942828</v>
      </c>
    </row>
  </sheetData>
  <mergeCells count="11">
    <mergeCell ref="A60:H60"/>
    <mergeCell ref="J60:Q60"/>
    <mergeCell ref="S60:Z60"/>
    <mergeCell ref="J83:Q83"/>
    <mergeCell ref="A83:H83"/>
    <mergeCell ref="A14:H14"/>
    <mergeCell ref="J14:Q14"/>
    <mergeCell ref="S14:Z14"/>
    <mergeCell ref="A37:H37"/>
    <mergeCell ref="J37:Q37"/>
    <mergeCell ref="S37:Z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7</vt:i4>
      </vt:variant>
    </vt:vector>
  </HeadingPairs>
  <TitlesOfParts>
    <vt:vector size="11" baseType="lpstr">
      <vt:lpstr>Arkusz1</vt:lpstr>
      <vt:lpstr>projekty 2 i 3</vt:lpstr>
      <vt:lpstr>projekt 4</vt:lpstr>
      <vt:lpstr>projekt 5</vt:lpstr>
      <vt:lpstr>'projekt 5'!CdodJ</vt:lpstr>
      <vt:lpstr>'projekty 2 i 3'!cx</vt:lpstr>
      <vt:lpstr>'projekty 2 i 3'!Cx_Cz</vt:lpstr>
      <vt:lpstr>'projekty 2 i 3'!cz</vt:lpstr>
      <vt:lpstr>'projekty 2 i 3'!Cz_a</vt:lpstr>
      <vt:lpstr>'projekty 2 i 3'!Cz_a_1</vt:lpstr>
      <vt:lpstr>'projekty 2 i 3'!Obszar_wydruku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Czajkowski Sebastian (STUD)</dc:creator>
  <cp:lastModifiedBy>Czajkowski Sebastian (STUD)</cp:lastModifiedBy>
  <cp:lastPrinted>2023-11-25T00:43:01Z</cp:lastPrinted>
  <dcterms:created xsi:type="dcterms:W3CDTF">2023-11-12T21:20:19Z</dcterms:created>
  <dcterms:modified xsi:type="dcterms:W3CDTF">2023-12-07T16:14:19Z</dcterms:modified>
</cp:coreProperties>
</file>