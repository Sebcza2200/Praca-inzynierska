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Sebastian\Desktop\OBRONA\praca\Praca\Iskra\"/>
    </mc:Choice>
  </mc:AlternateContent>
  <xr:revisionPtr revIDLastSave="0" documentId="13_ncr:1_{B981E196-B3E5-40A6-8038-F87BF0F150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odsumowanie" sheetId="1" r:id="rId1"/>
    <sheet name="Metoda CIągu, zmienna masa" sheetId="20" r:id="rId2"/>
    <sheet name="h=0km" sheetId="11" r:id="rId3"/>
    <sheet name="h=2km" sheetId="12" r:id="rId4"/>
    <sheet name="h=4km" sheetId="13" r:id="rId5"/>
    <sheet name="h=6km" sheetId="14" r:id="rId6"/>
    <sheet name="h=8km" sheetId="15" r:id="rId7"/>
    <sheet name="h=10km" sheetId="16" r:id="rId8"/>
    <sheet name="h=12km" sheetId="17" r:id="rId9"/>
    <sheet name="h=14km" sheetId="18" r:id="rId10"/>
  </sheets>
  <definedNames>
    <definedName name="g_v__dane" localSheetId="0">Podsumowanie!#REF!</definedName>
    <definedName name="g_v__dane_1" localSheetId="0">Podsumowanie!#REF!</definedName>
    <definedName name="Iskra_Vmin" localSheetId="0">Podsumowanie!#REF!</definedName>
    <definedName name="solver_adj" localSheetId="2" hidden="1">'h=0km'!$C$67:$D$67</definedName>
    <definedName name="solver_adj" localSheetId="7" hidden="1">'h=10km'!$C$73:$D$73</definedName>
    <definedName name="solver_adj" localSheetId="8" hidden="1">'h=12km'!$C$70:$D$70</definedName>
    <definedName name="solver_adj" localSheetId="9" hidden="1">'h=14km'!$C$68:$D$68</definedName>
    <definedName name="solver_adj" localSheetId="3" hidden="1">'h=2km'!$C$83:$D$83</definedName>
    <definedName name="solver_adj" localSheetId="4" hidden="1">'h=4km'!$C$81:$D$81</definedName>
    <definedName name="solver_adj" localSheetId="5" hidden="1">'h=6km'!$C$78:$D$78</definedName>
    <definedName name="solver_adj" localSheetId="6" hidden="1">'h=8km'!$C$76:$D$76</definedName>
    <definedName name="solver_adj" localSheetId="1" hidden="1">'Metoda CIągu, zmienna masa'!$T$287:$U$287</definedName>
    <definedName name="solver_cvg" localSheetId="2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1" hidden="1">0.0001</definedName>
    <definedName name="solver_drv" localSheetId="2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1" hidden="1">1</definedName>
    <definedName name="solver_eng" localSheetId="2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1" hidden="1">1</definedName>
    <definedName name="solver_est" localSheetId="2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1" hidden="1">1</definedName>
    <definedName name="solver_itr" localSheetId="2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1" hidden="1">2147483647</definedName>
    <definedName name="solver_lhs1" localSheetId="2" hidden="1">'h=0km'!$E$67</definedName>
    <definedName name="solver_lhs1" localSheetId="7" hidden="1">'h=10km'!$E$73</definedName>
    <definedName name="solver_lhs1" localSheetId="8" hidden="1">'h=12km'!$E$70</definedName>
    <definedName name="solver_lhs1" localSheetId="9" hidden="1">'h=14km'!$E$68</definedName>
    <definedName name="solver_lhs1" localSheetId="3" hidden="1">'h=2km'!$E$83</definedName>
    <definedName name="solver_lhs1" localSheetId="4" hidden="1">'h=4km'!$E$81</definedName>
    <definedName name="solver_lhs1" localSheetId="5" hidden="1">'h=6km'!$E$78</definedName>
    <definedName name="solver_lhs1" localSheetId="6" hidden="1">'h=8km'!$E$76</definedName>
    <definedName name="solver_lhs1" localSheetId="1" hidden="1">'Metoda CIągu, zmienna masa'!$W$287</definedName>
    <definedName name="solver_mip" localSheetId="2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1" hidden="1">2147483647</definedName>
    <definedName name="solver_mni" localSheetId="2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1" hidden="1">30</definedName>
    <definedName name="solver_mrt" localSheetId="2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1" hidden="1">0.075</definedName>
    <definedName name="solver_msl" localSheetId="2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1" hidden="1">2</definedName>
    <definedName name="solver_neg" localSheetId="2" hidden="1">2</definedName>
    <definedName name="solver_neg" localSheetId="7" hidden="1">2</definedName>
    <definedName name="solver_neg" localSheetId="8" hidden="1">2</definedName>
    <definedName name="solver_neg" localSheetId="9" hidden="1">2</definedName>
    <definedName name="solver_neg" localSheetId="3" hidden="1">2</definedName>
    <definedName name="solver_neg" localSheetId="4" hidden="1">2</definedName>
    <definedName name="solver_neg" localSheetId="5" hidden="1">2</definedName>
    <definedName name="solver_neg" localSheetId="6" hidden="1">2</definedName>
    <definedName name="solver_neg" localSheetId="1" hidden="1">2</definedName>
    <definedName name="solver_nod" localSheetId="2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1" hidden="1">2147483647</definedName>
    <definedName name="solver_num" localSheetId="2" hidden="1">1</definedName>
    <definedName name="solver_num" localSheetId="7" hidden="1">1</definedName>
    <definedName name="solver_num" localSheetId="8" hidden="1">1</definedName>
    <definedName name="solver_num" localSheetId="9" hidden="1">1</definedName>
    <definedName name="solver_num" localSheetId="3" hidden="1">1</definedName>
    <definedName name="solver_num" localSheetId="4" hidden="1">1</definedName>
    <definedName name="solver_num" localSheetId="5" hidden="1">1</definedName>
    <definedName name="solver_num" localSheetId="6" hidden="1">1</definedName>
    <definedName name="solver_num" localSheetId="1" hidden="1">1</definedName>
    <definedName name="solver_nwt" localSheetId="2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1" hidden="1">1</definedName>
    <definedName name="solver_opt" localSheetId="2" hidden="1">'h=0km'!$B$67</definedName>
    <definedName name="solver_opt" localSheetId="7" hidden="1">'h=10km'!$B$73</definedName>
    <definedName name="solver_opt" localSheetId="8" hidden="1">'h=12km'!$B$70</definedName>
    <definedName name="solver_opt" localSheetId="9" hidden="1">'h=14km'!$B$68</definedName>
    <definedName name="solver_opt" localSheetId="3" hidden="1">'h=2km'!$B$83</definedName>
    <definedName name="solver_opt" localSheetId="4" hidden="1">'h=4km'!$B$81</definedName>
    <definedName name="solver_opt" localSheetId="5" hidden="1">'h=6km'!$B$78</definedName>
    <definedName name="solver_opt" localSheetId="6" hidden="1">'h=8km'!$B$76</definedName>
    <definedName name="solver_opt" localSheetId="1" hidden="1">'Metoda CIągu, zmienna masa'!$R$287</definedName>
    <definedName name="solver_pre" localSheetId="2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1" hidden="1">0.000001</definedName>
    <definedName name="solver_rbv" localSheetId="2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1" hidden="1">1</definedName>
    <definedName name="solver_rel1" localSheetId="2" hidden="1">2</definedName>
    <definedName name="solver_rel1" localSheetId="7" hidden="1">2</definedName>
    <definedName name="solver_rel1" localSheetId="8" hidden="1">2</definedName>
    <definedName name="solver_rel1" localSheetId="9" hidden="1">2</definedName>
    <definedName name="solver_rel1" localSheetId="3" hidden="1">2</definedName>
    <definedName name="solver_rel1" localSheetId="4" hidden="1">2</definedName>
    <definedName name="solver_rel1" localSheetId="5" hidden="1">2</definedName>
    <definedName name="solver_rel1" localSheetId="6" hidden="1">2</definedName>
    <definedName name="solver_rel1" localSheetId="1" hidden="1">2</definedName>
    <definedName name="solver_rhs1" localSheetId="2" hidden="1">0</definedName>
    <definedName name="solver_rhs1" localSheetId="7" hidden="1">0</definedName>
    <definedName name="solver_rhs1" localSheetId="8" hidden="1">0</definedName>
    <definedName name="solver_rhs1" localSheetId="9" hidden="1">0</definedName>
    <definedName name="solver_rhs1" localSheetId="3" hidden="1">0</definedName>
    <definedName name="solver_rhs1" localSheetId="4" hidden="1">0</definedName>
    <definedName name="solver_rhs1" localSheetId="5" hidden="1">0</definedName>
    <definedName name="solver_rhs1" localSheetId="6" hidden="1">0</definedName>
    <definedName name="solver_rhs1" localSheetId="1" hidden="1">0</definedName>
    <definedName name="solver_rlx" localSheetId="2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1" hidden="1">2</definedName>
    <definedName name="solver_rsd" localSheetId="2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1" hidden="1">0</definedName>
    <definedName name="solver_scl" localSheetId="2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1" hidden="1">1</definedName>
    <definedName name="solver_sho" localSheetId="2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1" hidden="1">2</definedName>
    <definedName name="solver_ssz" localSheetId="2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1" hidden="1">100</definedName>
    <definedName name="solver_tim" localSheetId="2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1" hidden="1">2147483647</definedName>
    <definedName name="solver_tol" localSheetId="2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1" hidden="1">0.01</definedName>
    <definedName name="solver_typ" localSheetId="2" hidden="1">3</definedName>
    <definedName name="solver_typ" localSheetId="7" hidden="1">3</definedName>
    <definedName name="solver_typ" localSheetId="8" hidden="1">3</definedName>
    <definedName name="solver_typ" localSheetId="9" hidden="1">3</definedName>
    <definedName name="solver_typ" localSheetId="3" hidden="1">3</definedName>
    <definedName name="solver_typ" localSheetId="4" hidden="1">3</definedName>
    <definedName name="solver_typ" localSheetId="5" hidden="1">3</definedName>
    <definedName name="solver_typ" localSheetId="6" hidden="1">3</definedName>
    <definedName name="solver_typ" localSheetId="1" hidden="1">3</definedName>
    <definedName name="solver_val" localSheetId="2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1" hidden="1">0</definedName>
    <definedName name="solver_ver" localSheetId="2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1" hidden="1">3</definedName>
    <definedName name="V_Iksra" localSheetId="0">Podsumowanie!$AD$3:$AE$87</definedName>
    <definedName name="V_Iksra_1" localSheetId="0">Podsumowanie!#REF!</definedName>
    <definedName name="V_minmax" localSheetId="0">Podsumowanie!#REF!</definedName>
    <definedName name="V2_Iksra" localSheetId="0">Podsumowanie!$AJ$43:$AK$152</definedName>
    <definedName name="w_V__dane" localSheetId="0">Podsumowanie!#REF!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0" i="1" l="1"/>
  <c r="Y4" i="1"/>
  <c r="W4" i="1"/>
  <c r="U4" i="1"/>
  <c r="S4" i="1"/>
  <c r="Q4" i="1"/>
  <c r="O4" i="1"/>
  <c r="AO40" i="1"/>
  <c r="AK40" i="1"/>
  <c r="AE40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O60" i="1"/>
  <c r="P60" i="1" s="1"/>
  <c r="Q60" i="1"/>
  <c r="R60" i="1" s="1"/>
  <c r="S60" i="1"/>
  <c r="T60" i="1" s="1"/>
  <c r="U60" i="1"/>
  <c r="V60" i="1" s="1"/>
  <c r="W60" i="1"/>
  <c r="X60" i="1" s="1"/>
  <c r="Y60" i="1"/>
  <c r="Z60" i="1" s="1"/>
  <c r="AA60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O62" i="1"/>
  <c r="P62" i="1" s="1"/>
  <c r="Q62" i="1"/>
  <c r="R62" i="1" s="1"/>
  <c r="S62" i="1"/>
  <c r="T62" i="1" s="1"/>
  <c r="U62" i="1"/>
  <c r="V62" i="1" s="1"/>
  <c r="W62" i="1"/>
  <c r="X62" i="1" s="1"/>
  <c r="Y62" i="1"/>
  <c r="Z62" i="1" s="1"/>
  <c r="AA62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O48" i="1"/>
  <c r="P48" i="1" s="1"/>
  <c r="Q48" i="1"/>
  <c r="R48" i="1" s="1"/>
  <c r="S48" i="1"/>
  <c r="T48" i="1" s="1"/>
  <c r="U48" i="1"/>
  <c r="V48" i="1"/>
  <c r="W48" i="1"/>
  <c r="X48" i="1" s="1"/>
  <c r="Y48" i="1"/>
  <c r="Z48" i="1" s="1"/>
  <c r="AA48" i="1"/>
  <c r="O49" i="1"/>
  <c r="P49" i="1"/>
  <c r="Q49" i="1"/>
  <c r="R49" i="1" s="1"/>
  <c r="S49" i="1"/>
  <c r="T49" i="1"/>
  <c r="U49" i="1"/>
  <c r="V49" i="1"/>
  <c r="W49" i="1"/>
  <c r="X49" i="1"/>
  <c r="Y49" i="1"/>
  <c r="Z49" i="1" s="1"/>
  <c r="AA49" i="1"/>
  <c r="O50" i="1"/>
  <c r="P50" i="1" s="1"/>
  <c r="Q50" i="1"/>
  <c r="R50" i="1" s="1"/>
  <c r="S50" i="1"/>
  <c r="AA50" i="1" s="1"/>
  <c r="T50" i="1"/>
  <c r="U50" i="1"/>
  <c r="V50" i="1" s="1"/>
  <c r="W50" i="1"/>
  <c r="X50" i="1" s="1"/>
  <c r="Y50" i="1"/>
  <c r="Z50" i="1" s="1"/>
  <c r="O51" i="1"/>
  <c r="P51" i="1" s="1"/>
  <c r="Q51" i="1"/>
  <c r="R51" i="1"/>
  <c r="S51" i="1"/>
  <c r="T51" i="1"/>
  <c r="U51" i="1"/>
  <c r="V51" i="1"/>
  <c r="W51" i="1"/>
  <c r="X51" i="1" s="1"/>
  <c r="Y51" i="1"/>
  <c r="Z51" i="1"/>
  <c r="AA51" i="1"/>
  <c r="O52" i="1"/>
  <c r="P52" i="1" s="1"/>
  <c r="Q52" i="1"/>
  <c r="R52" i="1"/>
  <c r="S52" i="1"/>
  <c r="T52" i="1" s="1"/>
  <c r="U52" i="1"/>
  <c r="V52" i="1" s="1"/>
  <c r="W52" i="1"/>
  <c r="X52" i="1" s="1"/>
  <c r="Y52" i="1"/>
  <c r="Z52" i="1"/>
  <c r="AA52" i="1"/>
  <c r="O53" i="1"/>
  <c r="P53" i="1"/>
  <c r="Q53" i="1"/>
  <c r="R53" i="1" s="1"/>
  <c r="S53" i="1"/>
  <c r="T53" i="1" s="1"/>
  <c r="U53" i="1"/>
  <c r="V53" i="1" s="1"/>
  <c r="W53" i="1"/>
  <c r="X53" i="1"/>
  <c r="Y53" i="1"/>
  <c r="Z53" i="1"/>
  <c r="O36" i="1"/>
  <c r="P36" i="1" s="1"/>
  <c r="Q36" i="1"/>
  <c r="R36" i="1" s="1"/>
  <c r="S36" i="1"/>
  <c r="T36" i="1" s="1"/>
  <c r="U36" i="1"/>
  <c r="V36" i="1"/>
  <c r="W36" i="1"/>
  <c r="X36" i="1" s="1"/>
  <c r="Y36" i="1"/>
  <c r="Z36" i="1"/>
  <c r="AA36" i="1"/>
  <c r="O37" i="1"/>
  <c r="P37" i="1"/>
  <c r="Q37" i="1"/>
  <c r="R37" i="1" s="1"/>
  <c r="S37" i="1"/>
  <c r="T37" i="1" s="1"/>
  <c r="U37" i="1"/>
  <c r="V37" i="1"/>
  <c r="W37" i="1"/>
  <c r="X37" i="1"/>
  <c r="Y37" i="1"/>
  <c r="Z37" i="1" s="1"/>
  <c r="AA37" i="1"/>
  <c r="O38" i="1"/>
  <c r="P38" i="1"/>
  <c r="Q38" i="1"/>
  <c r="R38" i="1" s="1"/>
  <c r="S38" i="1"/>
  <c r="T38" i="1"/>
  <c r="U38" i="1"/>
  <c r="V38" i="1" s="1"/>
  <c r="W38" i="1"/>
  <c r="X38" i="1"/>
  <c r="Y38" i="1"/>
  <c r="Z38" i="1" s="1"/>
  <c r="AA38" i="1"/>
  <c r="O39" i="1"/>
  <c r="P39" i="1" s="1"/>
  <c r="Q39" i="1"/>
  <c r="R39" i="1" s="1"/>
  <c r="S39" i="1"/>
  <c r="T39" i="1"/>
  <c r="U39" i="1"/>
  <c r="V39" i="1"/>
  <c r="W39" i="1"/>
  <c r="X39" i="1" s="1"/>
  <c r="Y39" i="1"/>
  <c r="Z39" i="1" s="1"/>
  <c r="AA39" i="1"/>
  <c r="O40" i="1"/>
  <c r="P40" i="1" s="1"/>
  <c r="Q40" i="1"/>
  <c r="R40" i="1"/>
  <c r="S40" i="1"/>
  <c r="T40" i="1" s="1"/>
  <c r="U40" i="1"/>
  <c r="V40" i="1"/>
  <c r="W40" i="1"/>
  <c r="X40" i="1" s="1"/>
  <c r="Y40" i="1"/>
  <c r="Z40" i="1"/>
  <c r="AA40" i="1"/>
  <c r="O41" i="1"/>
  <c r="P41" i="1" s="1"/>
  <c r="Q41" i="1"/>
  <c r="R41" i="1"/>
  <c r="S41" i="1"/>
  <c r="T41" i="1"/>
  <c r="U41" i="1"/>
  <c r="V41" i="1" s="1"/>
  <c r="W41" i="1"/>
  <c r="X41" i="1" s="1"/>
  <c r="Y41" i="1"/>
  <c r="Z41" i="1"/>
  <c r="AA41" i="1"/>
  <c r="O42" i="1"/>
  <c r="P42" i="1"/>
  <c r="Q42" i="1"/>
  <c r="R42" i="1" s="1"/>
  <c r="S42" i="1"/>
  <c r="T42" i="1"/>
  <c r="U42" i="1"/>
  <c r="V42" i="1" s="1"/>
  <c r="W42" i="1"/>
  <c r="X42" i="1"/>
  <c r="Y42" i="1"/>
  <c r="Z42" i="1" s="1"/>
  <c r="AA42" i="1"/>
  <c r="O25" i="1"/>
  <c r="P25" i="1" s="1"/>
  <c r="Q25" i="1"/>
  <c r="R25" i="1" s="1"/>
  <c r="S25" i="1"/>
  <c r="T25" i="1" s="1"/>
  <c r="U25" i="1"/>
  <c r="V25" i="1"/>
  <c r="W25" i="1"/>
  <c r="X25" i="1" s="1"/>
  <c r="Y25" i="1"/>
  <c r="Z25" i="1" s="1"/>
  <c r="AA25" i="1"/>
  <c r="O26" i="1"/>
  <c r="P26" i="1"/>
  <c r="Q26" i="1"/>
  <c r="R26" i="1" s="1"/>
  <c r="S26" i="1"/>
  <c r="T26" i="1" s="1"/>
  <c r="U26" i="1"/>
  <c r="V26" i="1"/>
  <c r="W26" i="1"/>
  <c r="X26" i="1"/>
  <c r="Y26" i="1"/>
  <c r="Z26" i="1" s="1"/>
  <c r="AA26" i="1"/>
  <c r="O27" i="1"/>
  <c r="P27" i="1" s="1"/>
  <c r="Q27" i="1"/>
  <c r="R27" i="1" s="1"/>
  <c r="S27" i="1"/>
  <c r="AA27" i="1" s="1"/>
  <c r="T27" i="1"/>
  <c r="U27" i="1"/>
  <c r="V27" i="1" s="1"/>
  <c r="W27" i="1"/>
  <c r="X27" i="1" s="1"/>
  <c r="Y27" i="1"/>
  <c r="Z27" i="1" s="1"/>
  <c r="O28" i="1"/>
  <c r="P28" i="1" s="1"/>
  <c r="Q28" i="1"/>
  <c r="R28" i="1" s="1"/>
  <c r="S28" i="1"/>
  <c r="T28" i="1"/>
  <c r="U28" i="1"/>
  <c r="V28" i="1"/>
  <c r="W28" i="1"/>
  <c r="X28" i="1" s="1"/>
  <c r="Y28" i="1"/>
  <c r="Z28" i="1" s="1"/>
  <c r="AA28" i="1"/>
  <c r="O29" i="1"/>
  <c r="P29" i="1" s="1"/>
  <c r="Q29" i="1"/>
  <c r="R29" i="1"/>
  <c r="S29" i="1"/>
  <c r="T29" i="1" s="1"/>
  <c r="U29" i="1"/>
  <c r="V29" i="1"/>
  <c r="W29" i="1"/>
  <c r="X29" i="1" s="1"/>
  <c r="Y29" i="1"/>
  <c r="Z29" i="1"/>
  <c r="AA29" i="1"/>
  <c r="O30" i="1"/>
  <c r="P30" i="1" s="1"/>
  <c r="Q30" i="1"/>
  <c r="R30" i="1"/>
  <c r="S30" i="1"/>
  <c r="T30" i="1"/>
  <c r="U30" i="1"/>
  <c r="V30" i="1" s="1"/>
  <c r="W30" i="1"/>
  <c r="X30" i="1" s="1"/>
  <c r="Y30" i="1"/>
  <c r="Z30" i="1"/>
  <c r="AA30" i="1"/>
  <c r="O15" i="1"/>
  <c r="P15" i="1"/>
  <c r="Q15" i="1"/>
  <c r="R15" i="1" s="1"/>
  <c r="S15" i="1"/>
  <c r="T15" i="1"/>
  <c r="U15" i="1"/>
  <c r="V15" i="1"/>
  <c r="W15" i="1"/>
  <c r="X15" i="1"/>
  <c r="Y15" i="1"/>
  <c r="Z15" i="1"/>
  <c r="AA15" i="1"/>
  <c r="O16" i="1"/>
  <c r="P16" i="1" s="1"/>
  <c r="Q16" i="1"/>
  <c r="R16" i="1" s="1"/>
  <c r="S16" i="1"/>
  <c r="T16" i="1" s="1"/>
  <c r="U16" i="1"/>
  <c r="V16" i="1" s="1"/>
  <c r="W16" i="1"/>
  <c r="X16" i="1" s="1"/>
  <c r="Y16" i="1"/>
  <c r="Z16" i="1" s="1"/>
  <c r="AA16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O18" i="1"/>
  <c r="P18" i="1" s="1"/>
  <c r="Q18" i="1"/>
  <c r="R18" i="1" s="1"/>
  <c r="S18" i="1"/>
  <c r="T18" i="1" s="1"/>
  <c r="U18" i="1"/>
  <c r="V18" i="1" s="1"/>
  <c r="W18" i="1"/>
  <c r="X18" i="1" s="1"/>
  <c r="Y18" i="1"/>
  <c r="Z18" i="1" s="1"/>
  <c r="AA18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O20" i="1"/>
  <c r="P20" i="1" s="1"/>
  <c r="Q20" i="1"/>
  <c r="R20" i="1" s="1"/>
  <c r="S20" i="1"/>
  <c r="T20" i="1" s="1"/>
  <c r="U20" i="1"/>
  <c r="V20" i="1" s="1"/>
  <c r="W20" i="1"/>
  <c r="X20" i="1" s="1"/>
  <c r="Y20" i="1"/>
  <c r="Z20" i="1" s="1"/>
  <c r="AA20" i="1"/>
  <c r="O5" i="1"/>
  <c r="P5" i="1"/>
  <c r="Q5" i="1"/>
  <c r="R5" i="1" s="1"/>
  <c r="S5" i="1"/>
  <c r="T5" i="1"/>
  <c r="U5" i="1"/>
  <c r="V5" i="1"/>
  <c r="W5" i="1"/>
  <c r="X5" i="1"/>
  <c r="Y5" i="1"/>
  <c r="Z5" i="1"/>
  <c r="AA5" i="1"/>
  <c r="O6" i="1"/>
  <c r="P6" i="1" s="1"/>
  <c r="Q6" i="1"/>
  <c r="R6" i="1" s="1"/>
  <c r="S6" i="1"/>
  <c r="T6" i="1" s="1"/>
  <c r="U6" i="1"/>
  <c r="V6" i="1"/>
  <c r="W6" i="1"/>
  <c r="X6" i="1" s="1"/>
  <c r="Y6" i="1"/>
  <c r="Z6" i="1" s="1"/>
  <c r="AA6" i="1"/>
  <c r="O7" i="1"/>
  <c r="P7" i="1"/>
  <c r="Q7" i="1"/>
  <c r="R7" i="1"/>
  <c r="S7" i="1"/>
  <c r="T7" i="1"/>
  <c r="U7" i="1"/>
  <c r="V7" i="1"/>
  <c r="W7" i="1"/>
  <c r="X7" i="1"/>
  <c r="Y7" i="1"/>
  <c r="Z7" i="1"/>
  <c r="AA7" i="1"/>
  <c r="O8" i="1"/>
  <c r="P8" i="1" s="1"/>
  <c r="Q8" i="1"/>
  <c r="R8" i="1" s="1"/>
  <c r="S8" i="1"/>
  <c r="T8" i="1" s="1"/>
  <c r="U8" i="1"/>
  <c r="V8" i="1" s="1"/>
  <c r="W8" i="1"/>
  <c r="X8" i="1" s="1"/>
  <c r="Y8" i="1"/>
  <c r="Z8" i="1" s="1"/>
  <c r="AA8" i="1"/>
  <c r="O9" i="1"/>
  <c r="P9" i="1"/>
  <c r="Q9" i="1"/>
  <c r="R9" i="1"/>
  <c r="S9" i="1"/>
  <c r="T9" i="1"/>
  <c r="U9" i="1"/>
  <c r="V9" i="1"/>
  <c r="W9" i="1"/>
  <c r="X9" i="1"/>
  <c r="Y9" i="1"/>
  <c r="Z9" i="1"/>
  <c r="AA9" i="1"/>
  <c r="O10" i="1"/>
  <c r="P10" i="1" s="1"/>
  <c r="Q10" i="1"/>
  <c r="R10" i="1" s="1"/>
  <c r="S10" i="1"/>
  <c r="T10" i="1" s="1"/>
  <c r="U10" i="1"/>
  <c r="V10" i="1" s="1"/>
  <c r="W10" i="1"/>
  <c r="X10" i="1" s="1"/>
  <c r="Y10" i="1"/>
  <c r="Z10" i="1" s="1"/>
  <c r="AA10" i="1"/>
  <c r="AB5" i="1"/>
  <c r="AB15" i="1"/>
  <c r="AB16" i="1" s="1"/>
  <c r="AB17" i="1" s="1"/>
  <c r="AB18" i="1" s="1"/>
  <c r="AB19" i="1" s="1"/>
  <c r="AB20" i="1" s="1"/>
  <c r="Y58" i="1"/>
  <c r="W58" i="1"/>
  <c r="U58" i="1"/>
  <c r="S58" i="1"/>
  <c r="Q58" i="1"/>
  <c r="O58" i="1"/>
  <c r="Y47" i="1"/>
  <c r="W47" i="1"/>
  <c r="U47" i="1"/>
  <c r="S47" i="1"/>
  <c r="Q47" i="1"/>
  <c r="O47" i="1"/>
  <c r="AB36" i="1"/>
  <c r="Y35" i="1"/>
  <c r="W35" i="1"/>
  <c r="U35" i="1"/>
  <c r="S35" i="1"/>
  <c r="Q35" i="1"/>
  <c r="O35" i="1"/>
  <c r="B83" i="1"/>
  <c r="E83" i="1"/>
  <c r="F83" i="1"/>
  <c r="G83" i="1"/>
  <c r="AA53" i="1" l="1"/>
  <c r="AB6" i="1"/>
  <c r="AB7" i="1" s="1"/>
  <c r="AB8" i="1" s="1"/>
  <c r="AB9" i="1" s="1"/>
  <c r="AB10" i="1" s="1"/>
  <c r="C83" i="1"/>
  <c r="H83" i="1"/>
  <c r="D83" i="1"/>
  <c r="N54" i="1" l="1"/>
  <c r="N64" i="1"/>
  <c r="N43" i="1"/>
  <c r="N31" i="1"/>
  <c r="AM41" i="1"/>
  <c r="AK41" i="1"/>
  <c r="AN41" i="1"/>
  <c r="AL41" i="1"/>
  <c r="AJ41" i="1"/>
  <c r="B95" i="1"/>
  <c r="E95" i="1"/>
  <c r="F95" i="1"/>
  <c r="G95" i="1"/>
  <c r="H95" i="1"/>
  <c r="I95" i="1"/>
  <c r="B96" i="1"/>
  <c r="E96" i="1"/>
  <c r="F96" i="1"/>
  <c r="G96" i="1"/>
  <c r="H96" i="1"/>
  <c r="B97" i="1"/>
  <c r="E97" i="1"/>
  <c r="F97" i="1"/>
  <c r="G97" i="1"/>
  <c r="H97" i="1"/>
  <c r="B98" i="1"/>
  <c r="E98" i="1"/>
  <c r="F98" i="1"/>
  <c r="G98" i="1"/>
  <c r="H98" i="1"/>
  <c r="B99" i="1"/>
  <c r="D99" i="1"/>
  <c r="E99" i="1"/>
  <c r="F99" i="1"/>
  <c r="G99" i="1"/>
  <c r="H99" i="1"/>
  <c r="B100" i="1"/>
  <c r="E100" i="1"/>
  <c r="F100" i="1"/>
  <c r="G100" i="1"/>
  <c r="H100" i="1"/>
  <c r="I94" i="1"/>
  <c r="H94" i="1"/>
  <c r="G94" i="1"/>
  <c r="F94" i="1"/>
  <c r="E94" i="1"/>
  <c r="D94" i="1"/>
  <c r="C94" i="1"/>
  <c r="B94" i="1"/>
  <c r="B86" i="1"/>
  <c r="I86" i="1"/>
  <c r="B87" i="1"/>
  <c r="G87" i="1"/>
  <c r="H87" i="1"/>
  <c r="B88" i="1"/>
  <c r="G88" i="1"/>
  <c r="H88" i="1"/>
  <c r="B89" i="1"/>
  <c r="G89" i="1"/>
  <c r="H89" i="1"/>
  <c r="B90" i="1"/>
  <c r="G90" i="1"/>
  <c r="H90" i="1"/>
  <c r="B91" i="1"/>
  <c r="G91" i="1"/>
  <c r="H91" i="1"/>
  <c r="B92" i="1"/>
  <c r="E92" i="1"/>
  <c r="G92" i="1"/>
  <c r="H92" i="1"/>
  <c r="I85" i="1"/>
  <c r="H85" i="1"/>
  <c r="G85" i="1"/>
  <c r="F85" i="1"/>
  <c r="E85" i="1"/>
  <c r="D85" i="1"/>
  <c r="C85" i="1"/>
  <c r="B85" i="1"/>
  <c r="B76" i="1"/>
  <c r="G76" i="1"/>
  <c r="I76" i="1"/>
  <c r="B77" i="1"/>
  <c r="B78" i="1"/>
  <c r="B79" i="1"/>
  <c r="B80" i="1"/>
  <c r="B81" i="1"/>
  <c r="B82" i="1"/>
  <c r="F82" i="1"/>
  <c r="I75" i="1"/>
  <c r="H75" i="1"/>
  <c r="G75" i="1"/>
  <c r="F75" i="1"/>
  <c r="E75" i="1"/>
  <c r="D75" i="1"/>
  <c r="C75" i="1"/>
  <c r="B75" i="1"/>
  <c r="R64" i="1"/>
  <c r="Z64" i="1" s="1"/>
  <c r="D97" i="1"/>
  <c r="Z58" i="1"/>
  <c r="X58" i="1"/>
  <c r="V58" i="1"/>
  <c r="T58" i="1"/>
  <c r="D95" i="1"/>
  <c r="P58" i="1"/>
  <c r="R54" i="1"/>
  <c r="V54" i="1" s="1"/>
  <c r="D92" i="1"/>
  <c r="F91" i="1"/>
  <c r="D91" i="1"/>
  <c r="F90" i="1"/>
  <c r="F89" i="1"/>
  <c r="D89" i="1"/>
  <c r="C88" i="1"/>
  <c r="F87" i="1"/>
  <c r="D87" i="1"/>
  <c r="C87" i="1"/>
  <c r="Z47" i="1"/>
  <c r="X47" i="1"/>
  <c r="V47" i="1"/>
  <c r="T47" i="1"/>
  <c r="R47" i="1"/>
  <c r="P47" i="1"/>
  <c r="R43" i="1"/>
  <c r="V43" i="1" s="1"/>
  <c r="D82" i="1"/>
  <c r="C82" i="1"/>
  <c r="F81" i="1"/>
  <c r="C81" i="1"/>
  <c r="F80" i="1"/>
  <c r="H79" i="1"/>
  <c r="H78" i="1"/>
  <c r="D78" i="1"/>
  <c r="C78" i="1"/>
  <c r="C77" i="1"/>
  <c r="Z35" i="1"/>
  <c r="X35" i="1"/>
  <c r="V35" i="1"/>
  <c r="T35" i="1"/>
  <c r="R35" i="1"/>
  <c r="P35" i="1"/>
  <c r="C76" i="1"/>
  <c r="H86" i="1" l="1"/>
  <c r="G86" i="1"/>
  <c r="F76" i="1"/>
  <c r="G78" i="1"/>
  <c r="H82" i="1"/>
  <c r="D100" i="1"/>
  <c r="E86" i="1"/>
  <c r="G77" i="1"/>
  <c r="R58" i="1"/>
  <c r="G81" i="1"/>
  <c r="C92" i="1"/>
  <c r="E87" i="1"/>
  <c r="G80" i="1"/>
  <c r="C99" i="1"/>
  <c r="C91" i="1"/>
  <c r="G82" i="1"/>
  <c r="F79" i="1"/>
  <c r="F78" i="1"/>
  <c r="F77" i="1"/>
  <c r="E76" i="1"/>
  <c r="E88" i="1"/>
  <c r="D86" i="1"/>
  <c r="C100" i="1"/>
  <c r="E81" i="1"/>
  <c r="E80" i="1"/>
  <c r="E79" i="1"/>
  <c r="E78" i="1"/>
  <c r="E77" i="1"/>
  <c r="D76" i="1"/>
  <c r="D88" i="1"/>
  <c r="C86" i="1"/>
  <c r="D81" i="1"/>
  <c r="D80" i="1"/>
  <c r="D79" i="1"/>
  <c r="D77" i="1"/>
  <c r="E89" i="1"/>
  <c r="D96" i="1"/>
  <c r="G79" i="1"/>
  <c r="C80" i="1"/>
  <c r="C79" i="1"/>
  <c r="C89" i="1"/>
  <c r="E90" i="1"/>
  <c r="F88" i="1"/>
  <c r="C90" i="1"/>
  <c r="D98" i="1"/>
  <c r="H81" i="1"/>
  <c r="H80" i="1"/>
  <c r="H77" i="1"/>
  <c r="F92" i="1"/>
  <c r="E91" i="1"/>
  <c r="F86" i="1"/>
  <c r="C98" i="1"/>
  <c r="Z43" i="1"/>
  <c r="Z54" i="1"/>
  <c r="E82" i="1"/>
  <c r="D90" i="1"/>
  <c r="C97" i="1"/>
  <c r="C96" i="1"/>
  <c r="C95" i="1"/>
  <c r="H76" i="1"/>
  <c r="V64" i="1"/>
  <c r="AA58" i="1"/>
  <c r="AB59" i="1" s="1"/>
  <c r="I96" i="1" s="1"/>
  <c r="AA47" i="1"/>
  <c r="AA35" i="1"/>
  <c r="I77" i="1" s="1"/>
  <c r="K70" i="12"/>
  <c r="L70" i="12" s="1"/>
  <c r="J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70" i="12"/>
  <c r="K68" i="18"/>
  <c r="J68" i="18"/>
  <c r="G68" i="18"/>
  <c r="K67" i="18"/>
  <c r="J67" i="18"/>
  <c r="G67" i="18"/>
  <c r="K66" i="18"/>
  <c r="J66" i="18"/>
  <c r="G66" i="18"/>
  <c r="K65" i="18"/>
  <c r="J65" i="18"/>
  <c r="G65" i="18"/>
  <c r="K64" i="18"/>
  <c r="J64" i="18"/>
  <c r="G64" i="18"/>
  <c r="K63" i="18"/>
  <c r="J63" i="18"/>
  <c r="G63" i="18"/>
  <c r="K62" i="18"/>
  <c r="J62" i="18"/>
  <c r="G62" i="18"/>
  <c r="K61" i="18"/>
  <c r="J61" i="18"/>
  <c r="G61" i="18"/>
  <c r="K60" i="18"/>
  <c r="J60" i="18"/>
  <c r="K59" i="18"/>
  <c r="L59" i="18" s="1"/>
  <c r="J59" i="18"/>
  <c r="K58" i="18"/>
  <c r="L58" i="18" s="1"/>
  <c r="J58" i="18"/>
  <c r="K57" i="18"/>
  <c r="J57" i="18"/>
  <c r="K56" i="18"/>
  <c r="J56" i="18"/>
  <c r="K55" i="18"/>
  <c r="J55" i="18"/>
  <c r="K54" i="18"/>
  <c r="J54" i="18"/>
  <c r="K70" i="17"/>
  <c r="J70" i="17"/>
  <c r="G70" i="17"/>
  <c r="K69" i="17"/>
  <c r="J69" i="17"/>
  <c r="G69" i="17"/>
  <c r="K68" i="17"/>
  <c r="J68" i="17"/>
  <c r="G68" i="17"/>
  <c r="K67" i="17"/>
  <c r="J67" i="17"/>
  <c r="G67" i="17"/>
  <c r="K66" i="17"/>
  <c r="J66" i="17"/>
  <c r="G66" i="17"/>
  <c r="K65" i="17"/>
  <c r="J65" i="17"/>
  <c r="G65" i="17"/>
  <c r="K64" i="17"/>
  <c r="J64" i="17"/>
  <c r="G64" i="17"/>
  <c r="K63" i="17"/>
  <c r="J63" i="17"/>
  <c r="G63" i="17"/>
  <c r="K62" i="17"/>
  <c r="J62" i="17"/>
  <c r="G62" i="17"/>
  <c r="K61" i="17"/>
  <c r="J61" i="17"/>
  <c r="G61" i="17"/>
  <c r="K60" i="17"/>
  <c r="J60" i="17"/>
  <c r="K59" i="17"/>
  <c r="J59" i="17"/>
  <c r="K58" i="17"/>
  <c r="J58" i="17"/>
  <c r="K57" i="17"/>
  <c r="J57" i="17"/>
  <c r="K56" i="17"/>
  <c r="J56" i="17"/>
  <c r="K73" i="16"/>
  <c r="L73" i="16" s="1"/>
  <c r="J73" i="16"/>
  <c r="G73" i="16"/>
  <c r="K72" i="16"/>
  <c r="L72" i="16" s="1"/>
  <c r="J72" i="16"/>
  <c r="G72" i="16"/>
  <c r="K71" i="16"/>
  <c r="L71" i="16" s="1"/>
  <c r="J71" i="16"/>
  <c r="G71" i="16"/>
  <c r="K70" i="16"/>
  <c r="L70" i="16" s="1"/>
  <c r="J70" i="16"/>
  <c r="G70" i="16"/>
  <c r="K69" i="16"/>
  <c r="L69" i="16" s="1"/>
  <c r="J69" i="16"/>
  <c r="G69" i="16"/>
  <c r="K68" i="16"/>
  <c r="L68" i="16" s="1"/>
  <c r="J68" i="16"/>
  <c r="G68" i="16"/>
  <c r="K67" i="16"/>
  <c r="L67" i="16" s="1"/>
  <c r="J67" i="16"/>
  <c r="G67" i="16"/>
  <c r="K66" i="16"/>
  <c r="L66" i="16" s="1"/>
  <c r="J66" i="16"/>
  <c r="G66" i="16"/>
  <c r="K65" i="16"/>
  <c r="L65" i="16" s="1"/>
  <c r="J65" i="16"/>
  <c r="G65" i="16"/>
  <c r="K64" i="16"/>
  <c r="L64" i="16" s="1"/>
  <c r="J64" i="16"/>
  <c r="G64" i="16"/>
  <c r="K63" i="16"/>
  <c r="L63" i="16" s="1"/>
  <c r="J63" i="16"/>
  <c r="G63" i="16"/>
  <c r="K62" i="16"/>
  <c r="L62" i="16" s="1"/>
  <c r="J62" i="16"/>
  <c r="K61" i="16"/>
  <c r="L61" i="16" s="1"/>
  <c r="J61" i="16"/>
  <c r="K60" i="16"/>
  <c r="L60" i="16" s="1"/>
  <c r="J60" i="16"/>
  <c r="K59" i="16"/>
  <c r="J59" i="16"/>
  <c r="K76" i="15"/>
  <c r="L76" i="15" s="1"/>
  <c r="J76" i="15"/>
  <c r="G76" i="15"/>
  <c r="K75" i="15"/>
  <c r="L75" i="15" s="1"/>
  <c r="J75" i="15"/>
  <c r="G75" i="15"/>
  <c r="K74" i="15"/>
  <c r="L74" i="15" s="1"/>
  <c r="J74" i="15"/>
  <c r="G74" i="15"/>
  <c r="K73" i="15"/>
  <c r="L73" i="15" s="1"/>
  <c r="J73" i="15"/>
  <c r="G73" i="15"/>
  <c r="K72" i="15"/>
  <c r="L72" i="15" s="1"/>
  <c r="J72" i="15"/>
  <c r="G72" i="15"/>
  <c r="K71" i="15"/>
  <c r="L71" i="15" s="1"/>
  <c r="J71" i="15"/>
  <c r="G71" i="15"/>
  <c r="K70" i="15"/>
  <c r="L70" i="15" s="1"/>
  <c r="J70" i="15"/>
  <c r="G70" i="15"/>
  <c r="K69" i="15"/>
  <c r="L69" i="15" s="1"/>
  <c r="J69" i="15"/>
  <c r="G69" i="15"/>
  <c r="K68" i="15"/>
  <c r="L68" i="15" s="1"/>
  <c r="J68" i="15"/>
  <c r="G68" i="15"/>
  <c r="K67" i="15"/>
  <c r="L67" i="15" s="1"/>
  <c r="J67" i="15"/>
  <c r="G67" i="15"/>
  <c r="K66" i="15"/>
  <c r="L66" i="15" s="1"/>
  <c r="J66" i="15"/>
  <c r="G66" i="15"/>
  <c r="K65" i="15"/>
  <c r="L65" i="15" s="1"/>
  <c r="J65" i="15"/>
  <c r="G65" i="15"/>
  <c r="K64" i="15"/>
  <c r="L64" i="15" s="1"/>
  <c r="J64" i="15"/>
  <c r="K63" i="15"/>
  <c r="L63" i="15" s="1"/>
  <c r="J63" i="15"/>
  <c r="K62" i="15"/>
  <c r="J62" i="15"/>
  <c r="K78" i="14"/>
  <c r="J78" i="14"/>
  <c r="G78" i="14"/>
  <c r="K77" i="14"/>
  <c r="J77" i="14"/>
  <c r="G77" i="14"/>
  <c r="K76" i="14"/>
  <c r="J76" i="14"/>
  <c r="G76" i="14"/>
  <c r="K75" i="14"/>
  <c r="J75" i="14"/>
  <c r="G75" i="14"/>
  <c r="K74" i="14"/>
  <c r="J74" i="14"/>
  <c r="G74" i="14"/>
  <c r="K73" i="14"/>
  <c r="J73" i="14"/>
  <c r="G73" i="14"/>
  <c r="K72" i="14"/>
  <c r="J72" i="14"/>
  <c r="G72" i="14"/>
  <c r="K71" i="14"/>
  <c r="J71" i="14"/>
  <c r="G71" i="14"/>
  <c r="K70" i="14"/>
  <c r="J70" i="14"/>
  <c r="G70" i="14"/>
  <c r="K69" i="14"/>
  <c r="J69" i="14"/>
  <c r="G69" i="14"/>
  <c r="K68" i="14"/>
  <c r="J68" i="14"/>
  <c r="G68" i="14"/>
  <c r="K67" i="14"/>
  <c r="J67" i="14"/>
  <c r="G67" i="14"/>
  <c r="K66" i="14"/>
  <c r="J66" i="14"/>
  <c r="G66" i="14"/>
  <c r="K65" i="14"/>
  <c r="J65" i="14"/>
  <c r="K64" i="14"/>
  <c r="J64" i="14"/>
  <c r="K81" i="13"/>
  <c r="J81" i="13"/>
  <c r="G81" i="13"/>
  <c r="K80" i="13"/>
  <c r="J80" i="13"/>
  <c r="G80" i="13"/>
  <c r="K79" i="13"/>
  <c r="J79" i="13"/>
  <c r="G79" i="13"/>
  <c r="K78" i="13"/>
  <c r="J78" i="13"/>
  <c r="G78" i="13"/>
  <c r="K77" i="13"/>
  <c r="J77" i="13"/>
  <c r="G77" i="13"/>
  <c r="K76" i="13"/>
  <c r="J76" i="13"/>
  <c r="G76" i="13"/>
  <c r="K75" i="13"/>
  <c r="J75" i="13"/>
  <c r="G75" i="13"/>
  <c r="K74" i="13"/>
  <c r="J74" i="13"/>
  <c r="G74" i="13"/>
  <c r="K73" i="13"/>
  <c r="J73" i="13"/>
  <c r="G73" i="13"/>
  <c r="K72" i="13"/>
  <c r="J72" i="13"/>
  <c r="G72" i="13"/>
  <c r="K71" i="13"/>
  <c r="J71" i="13"/>
  <c r="G71" i="13"/>
  <c r="K70" i="13"/>
  <c r="J70" i="13"/>
  <c r="G70" i="13"/>
  <c r="K69" i="13"/>
  <c r="J69" i="13"/>
  <c r="G69" i="13"/>
  <c r="K68" i="13"/>
  <c r="J68" i="13"/>
  <c r="G68" i="13"/>
  <c r="K67" i="13"/>
  <c r="J67" i="13"/>
  <c r="Q48" i="18"/>
  <c r="G48" i="18"/>
  <c r="F48" i="18"/>
  <c r="Q47" i="18"/>
  <c r="G47" i="18"/>
  <c r="F47" i="18"/>
  <c r="Q46" i="18"/>
  <c r="G46" i="18"/>
  <c r="F46" i="18"/>
  <c r="Q45" i="18"/>
  <c r="G45" i="18"/>
  <c r="F45" i="18"/>
  <c r="Q44" i="18"/>
  <c r="G44" i="18"/>
  <c r="F44" i="18"/>
  <c r="Q43" i="18"/>
  <c r="G43" i="18"/>
  <c r="F43" i="18"/>
  <c r="Q42" i="18"/>
  <c r="G42" i="18"/>
  <c r="F42" i="18"/>
  <c r="Q41" i="18"/>
  <c r="G41" i="18"/>
  <c r="F41" i="18"/>
  <c r="Q40" i="18"/>
  <c r="G40" i="18"/>
  <c r="F40" i="18"/>
  <c r="Q39" i="18"/>
  <c r="G39" i="18"/>
  <c r="F39" i="18"/>
  <c r="Q38" i="18"/>
  <c r="G38" i="18"/>
  <c r="F38" i="18"/>
  <c r="Q52" i="17"/>
  <c r="G52" i="17"/>
  <c r="F52" i="17"/>
  <c r="Q51" i="17"/>
  <c r="G51" i="17"/>
  <c r="F51" i="17"/>
  <c r="Q50" i="17"/>
  <c r="G50" i="17"/>
  <c r="F50" i="17"/>
  <c r="Q49" i="17"/>
  <c r="G49" i="17"/>
  <c r="F49" i="17"/>
  <c r="Q48" i="17"/>
  <c r="G48" i="17"/>
  <c r="F48" i="17"/>
  <c r="Q47" i="17"/>
  <c r="G47" i="17"/>
  <c r="F47" i="17"/>
  <c r="Q46" i="17"/>
  <c r="G46" i="17"/>
  <c r="F46" i="17"/>
  <c r="Q45" i="17"/>
  <c r="G45" i="17"/>
  <c r="F45" i="17"/>
  <c r="Q44" i="17"/>
  <c r="G44" i="17"/>
  <c r="F44" i="17"/>
  <c r="Q43" i="17"/>
  <c r="G43" i="17"/>
  <c r="F43" i="17"/>
  <c r="Q42" i="17"/>
  <c r="G42" i="17"/>
  <c r="F42" i="17"/>
  <c r="Q41" i="17"/>
  <c r="G41" i="17"/>
  <c r="F41" i="17"/>
  <c r="Q55" i="16"/>
  <c r="G55" i="16"/>
  <c r="F55" i="16"/>
  <c r="Q54" i="16"/>
  <c r="G54" i="16"/>
  <c r="F54" i="16"/>
  <c r="Q53" i="16"/>
  <c r="G53" i="16"/>
  <c r="F53" i="16"/>
  <c r="Q52" i="16"/>
  <c r="G52" i="16"/>
  <c r="F52" i="16"/>
  <c r="Q51" i="16"/>
  <c r="G51" i="16"/>
  <c r="F51" i="16"/>
  <c r="Q50" i="16"/>
  <c r="G50" i="16"/>
  <c r="F50" i="16"/>
  <c r="Q49" i="16"/>
  <c r="G49" i="16"/>
  <c r="F49" i="16"/>
  <c r="Q48" i="16"/>
  <c r="G48" i="16"/>
  <c r="F48" i="16"/>
  <c r="Q47" i="16"/>
  <c r="G47" i="16"/>
  <c r="F47" i="16"/>
  <c r="Q46" i="16"/>
  <c r="G46" i="16"/>
  <c r="F46" i="16"/>
  <c r="Q45" i="16"/>
  <c r="G45" i="16"/>
  <c r="F45" i="16"/>
  <c r="Q44" i="16"/>
  <c r="G44" i="16"/>
  <c r="F44" i="16"/>
  <c r="Q43" i="16"/>
  <c r="G43" i="16"/>
  <c r="F43" i="16"/>
  <c r="Q42" i="16"/>
  <c r="G42" i="16"/>
  <c r="F42" i="16"/>
  <c r="Q58" i="15"/>
  <c r="G58" i="15"/>
  <c r="F58" i="15"/>
  <c r="Q57" i="15"/>
  <c r="G57" i="15"/>
  <c r="F57" i="15"/>
  <c r="Q56" i="15"/>
  <c r="G56" i="15"/>
  <c r="F56" i="15"/>
  <c r="Q55" i="15"/>
  <c r="G55" i="15"/>
  <c r="F55" i="15"/>
  <c r="Q54" i="15"/>
  <c r="G54" i="15"/>
  <c r="F54" i="15"/>
  <c r="Q53" i="15"/>
  <c r="G53" i="15"/>
  <c r="F53" i="15"/>
  <c r="Q52" i="15"/>
  <c r="G52" i="15"/>
  <c r="F52" i="15"/>
  <c r="Q51" i="15"/>
  <c r="G51" i="15"/>
  <c r="F51" i="15"/>
  <c r="Q50" i="15"/>
  <c r="G50" i="15"/>
  <c r="F50" i="15"/>
  <c r="Q49" i="15"/>
  <c r="G49" i="15"/>
  <c r="F49" i="15"/>
  <c r="Q48" i="15"/>
  <c r="G48" i="15"/>
  <c r="F48" i="15"/>
  <c r="Q47" i="15"/>
  <c r="G47" i="15"/>
  <c r="F47" i="15"/>
  <c r="Q46" i="15"/>
  <c r="G46" i="15"/>
  <c r="F46" i="15"/>
  <c r="Q45" i="15"/>
  <c r="G45" i="15"/>
  <c r="F45" i="15"/>
  <c r="Q44" i="15"/>
  <c r="G44" i="15"/>
  <c r="F44" i="15"/>
  <c r="Q60" i="14"/>
  <c r="G60" i="14"/>
  <c r="F60" i="14"/>
  <c r="Q59" i="14"/>
  <c r="G59" i="14"/>
  <c r="F59" i="14"/>
  <c r="Q58" i="14"/>
  <c r="G58" i="14"/>
  <c r="F58" i="14"/>
  <c r="Q57" i="14"/>
  <c r="G57" i="14"/>
  <c r="F57" i="14"/>
  <c r="Q56" i="14"/>
  <c r="G56" i="14"/>
  <c r="F56" i="14"/>
  <c r="Q55" i="14"/>
  <c r="G55" i="14"/>
  <c r="F55" i="14"/>
  <c r="Q54" i="14"/>
  <c r="G54" i="14"/>
  <c r="F54" i="14"/>
  <c r="Q53" i="14"/>
  <c r="G53" i="14"/>
  <c r="F53" i="14"/>
  <c r="Q52" i="14"/>
  <c r="G52" i="14"/>
  <c r="F52" i="14"/>
  <c r="Q51" i="14"/>
  <c r="G51" i="14"/>
  <c r="F51" i="14"/>
  <c r="Q50" i="14"/>
  <c r="G50" i="14"/>
  <c r="F50" i="14"/>
  <c r="Q49" i="14"/>
  <c r="G49" i="14"/>
  <c r="F49" i="14"/>
  <c r="Q48" i="14"/>
  <c r="G48" i="14"/>
  <c r="F48" i="14"/>
  <c r="Q47" i="14"/>
  <c r="G47" i="14"/>
  <c r="F47" i="14"/>
  <c r="Q46" i="14"/>
  <c r="G46" i="14"/>
  <c r="F46" i="14"/>
  <c r="Q45" i="14"/>
  <c r="G45" i="14"/>
  <c r="F45" i="14"/>
  <c r="Q63" i="13"/>
  <c r="G63" i="13"/>
  <c r="F63" i="13"/>
  <c r="Q62" i="13"/>
  <c r="G62" i="13"/>
  <c r="F62" i="13"/>
  <c r="Q61" i="13"/>
  <c r="G61" i="13"/>
  <c r="F61" i="13"/>
  <c r="Q60" i="13"/>
  <c r="G60" i="13"/>
  <c r="F60" i="13"/>
  <c r="Q59" i="13"/>
  <c r="G59" i="13"/>
  <c r="F59" i="13"/>
  <c r="Q58" i="13"/>
  <c r="G58" i="13"/>
  <c r="F58" i="13"/>
  <c r="Q57" i="13"/>
  <c r="G57" i="13"/>
  <c r="F57" i="13"/>
  <c r="Q56" i="13"/>
  <c r="G56" i="13"/>
  <c r="F56" i="13"/>
  <c r="Q55" i="13"/>
  <c r="G55" i="13"/>
  <c r="F55" i="13"/>
  <c r="Q54" i="13"/>
  <c r="G54" i="13"/>
  <c r="F54" i="13"/>
  <c r="Q53" i="13"/>
  <c r="G53" i="13"/>
  <c r="F53" i="13"/>
  <c r="Q52" i="13"/>
  <c r="G52" i="13"/>
  <c r="F52" i="13"/>
  <c r="Q51" i="13"/>
  <c r="G51" i="13"/>
  <c r="F51" i="13"/>
  <c r="Q50" i="13"/>
  <c r="G50" i="13"/>
  <c r="F50" i="13"/>
  <c r="Q49" i="13"/>
  <c r="G49" i="13"/>
  <c r="F49" i="13"/>
  <c r="Q48" i="13"/>
  <c r="G48" i="13"/>
  <c r="F48" i="13"/>
  <c r="Q47" i="13"/>
  <c r="G47" i="13"/>
  <c r="F47" i="13"/>
  <c r="Q46" i="13"/>
  <c r="G46" i="13"/>
  <c r="F46" i="13"/>
  <c r="K83" i="12"/>
  <c r="J83" i="12"/>
  <c r="K82" i="12"/>
  <c r="L82" i="12" s="1"/>
  <c r="J82" i="12"/>
  <c r="K81" i="12"/>
  <c r="L81" i="12" s="1"/>
  <c r="J81" i="12"/>
  <c r="K80" i="12"/>
  <c r="L80" i="12" s="1"/>
  <c r="J80" i="12"/>
  <c r="K79" i="12"/>
  <c r="L79" i="12" s="1"/>
  <c r="J79" i="12"/>
  <c r="K78" i="12"/>
  <c r="L78" i="12" s="1"/>
  <c r="J78" i="12"/>
  <c r="K77" i="12"/>
  <c r="J77" i="12"/>
  <c r="K76" i="12"/>
  <c r="L76" i="12" s="1"/>
  <c r="J76" i="12"/>
  <c r="K75" i="12"/>
  <c r="J75" i="12"/>
  <c r="K74" i="12"/>
  <c r="L74" i="12" s="1"/>
  <c r="J74" i="12"/>
  <c r="K73" i="12"/>
  <c r="L73" i="12" s="1"/>
  <c r="J73" i="12"/>
  <c r="K72" i="12"/>
  <c r="L72" i="12" s="1"/>
  <c r="J72" i="12"/>
  <c r="K71" i="12"/>
  <c r="L71" i="12" s="1"/>
  <c r="J71" i="12"/>
  <c r="K69" i="12"/>
  <c r="J69" i="12"/>
  <c r="Q65" i="12"/>
  <c r="G65" i="12"/>
  <c r="F65" i="12"/>
  <c r="Q64" i="12"/>
  <c r="G64" i="12"/>
  <c r="F64" i="12"/>
  <c r="Q63" i="12"/>
  <c r="G63" i="12"/>
  <c r="F63" i="12"/>
  <c r="Q62" i="12"/>
  <c r="G62" i="12"/>
  <c r="F62" i="12"/>
  <c r="Q61" i="12"/>
  <c r="G61" i="12"/>
  <c r="F61" i="12"/>
  <c r="Q60" i="12"/>
  <c r="G60" i="12"/>
  <c r="F60" i="12"/>
  <c r="Q59" i="12"/>
  <c r="G59" i="12"/>
  <c r="F59" i="12"/>
  <c r="Q58" i="12"/>
  <c r="G58" i="12"/>
  <c r="F58" i="12"/>
  <c r="Q57" i="12"/>
  <c r="G57" i="12"/>
  <c r="F57" i="12"/>
  <c r="Q56" i="12"/>
  <c r="G56" i="12"/>
  <c r="F56" i="12"/>
  <c r="Q55" i="12"/>
  <c r="G55" i="12"/>
  <c r="F55" i="12"/>
  <c r="Q54" i="12"/>
  <c r="G54" i="12"/>
  <c r="F54" i="12"/>
  <c r="Q53" i="12"/>
  <c r="G53" i="12"/>
  <c r="F53" i="12"/>
  <c r="Q52" i="12"/>
  <c r="G52" i="12"/>
  <c r="F52" i="12"/>
  <c r="Q51" i="12"/>
  <c r="G51" i="12"/>
  <c r="F51" i="12"/>
  <c r="Q50" i="12"/>
  <c r="G50" i="12"/>
  <c r="F50" i="12"/>
  <c r="Q49" i="12"/>
  <c r="G49" i="12"/>
  <c r="F49" i="12"/>
  <c r="Q48" i="12"/>
  <c r="G48" i="12"/>
  <c r="F48" i="12"/>
  <c r="Q47" i="12"/>
  <c r="G47" i="12"/>
  <c r="F47" i="12"/>
  <c r="J68" i="11"/>
  <c r="K68" i="11"/>
  <c r="L68" i="11"/>
  <c r="J69" i="11"/>
  <c r="K69" i="11"/>
  <c r="L69" i="11" s="1"/>
  <c r="J70" i="11"/>
  <c r="K70" i="11"/>
  <c r="L70" i="11"/>
  <c r="J71" i="11"/>
  <c r="K71" i="11"/>
  <c r="L71" i="11"/>
  <c r="J72" i="11"/>
  <c r="K72" i="11"/>
  <c r="L72" i="11" s="1"/>
  <c r="J73" i="11"/>
  <c r="K73" i="11"/>
  <c r="L73" i="11" s="1"/>
  <c r="J74" i="11"/>
  <c r="K74" i="11"/>
  <c r="L74" i="11"/>
  <c r="J75" i="11"/>
  <c r="K75" i="11"/>
  <c r="L75" i="11"/>
  <c r="J76" i="11"/>
  <c r="K76" i="11"/>
  <c r="L76" i="11"/>
  <c r="J77" i="11"/>
  <c r="K77" i="11"/>
  <c r="L77" i="11" s="1"/>
  <c r="J78" i="11"/>
  <c r="K78" i="11"/>
  <c r="L78" i="11"/>
  <c r="J79" i="11"/>
  <c r="K79" i="11"/>
  <c r="L79" i="11"/>
  <c r="J80" i="11"/>
  <c r="K80" i="11"/>
  <c r="L80" i="11" s="1"/>
  <c r="J81" i="11"/>
  <c r="K81" i="11"/>
  <c r="L81" i="11" s="1"/>
  <c r="K67" i="11"/>
  <c r="J67" i="11"/>
  <c r="AB48" i="1" l="1"/>
  <c r="I87" i="1" s="1"/>
  <c r="AB60" i="1"/>
  <c r="I97" i="1" s="1"/>
  <c r="AB49" i="1"/>
  <c r="AB37" i="1"/>
  <c r="I78" i="1" s="1"/>
  <c r="L67" i="18"/>
  <c r="L66" i="18"/>
  <c r="L62" i="18"/>
  <c r="L61" i="18"/>
  <c r="L77" i="14"/>
  <c r="L76" i="14"/>
  <c r="L75" i="14"/>
  <c r="L73" i="14"/>
  <c r="L72" i="14"/>
  <c r="L69" i="14"/>
  <c r="L68" i="14"/>
  <c r="L67" i="14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83" i="12"/>
  <c r="L77" i="12"/>
  <c r="L75" i="12"/>
  <c r="L70" i="14"/>
  <c r="L78" i="14"/>
  <c r="L65" i="14"/>
  <c r="L71" i="14"/>
  <c r="L66" i="14"/>
  <c r="L74" i="14"/>
  <c r="L57" i="17"/>
  <c r="L59" i="17"/>
  <c r="L61" i="17"/>
  <c r="L63" i="17"/>
  <c r="L65" i="17"/>
  <c r="L67" i="17"/>
  <c r="L69" i="17"/>
  <c r="L58" i="17"/>
  <c r="L60" i="17"/>
  <c r="L62" i="17"/>
  <c r="L64" i="17"/>
  <c r="L66" i="17"/>
  <c r="L68" i="17"/>
  <c r="L70" i="17"/>
  <c r="L56" i="18"/>
  <c r="L64" i="18"/>
  <c r="L57" i="18"/>
  <c r="L65" i="18"/>
  <c r="L60" i="18"/>
  <c r="L68" i="18"/>
  <c r="L55" i="18"/>
  <c r="L63" i="18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45" i="11"/>
  <c r="Q45" i="11"/>
  <c r="G46" i="11"/>
  <c r="Q46" i="11"/>
  <c r="G47" i="11"/>
  <c r="Q47" i="11"/>
  <c r="G48" i="11"/>
  <c r="Q48" i="11"/>
  <c r="G49" i="11"/>
  <c r="Q49" i="11"/>
  <c r="G50" i="11"/>
  <c r="Q50" i="11"/>
  <c r="G51" i="11"/>
  <c r="Q51" i="11"/>
  <c r="G52" i="11"/>
  <c r="Q52" i="11"/>
  <c r="G53" i="11"/>
  <c r="Q53" i="11"/>
  <c r="G54" i="11"/>
  <c r="Q54" i="11"/>
  <c r="G55" i="11"/>
  <c r="Q55" i="11"/>
  <c r="G56" i="11"/>
  <c r="Q56" i="11"/>
  <c r="G57" i="11"/>
  <c r="Q57" i="11"/>
  <c r="G58" i="11"/>
  <c r="Q58" i="11"/>
  <c r="G59" i="11"/>
  <c r="Q59" i="11"/>
  <c r="G60" i="11"/>
  <c r="Q60" i="11"/>
  <c r="G61" i="11"/>
  <c r="Q61" i="11"/>
  <c r="G62" i="11"/>
  <c r="Q62" i="11"/>
  <c r="G63" i="11"/>
  <c r="Q63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45" i="11"/>
  <c r="C20" i="17"/>
  <c r="B9" i="1"/>
  <c r="C20" i="11" s="1"/>
  <c r="J3" i="18"/>
  <c r="D21" i="11"/>
  <c r="D22" i="11"/>
  <c r="D23" i="11"/>
  <c r="D24" i="11"/>
  <c r="J4" i="11" s="1"/>
  <c r="D25" i="11"/>
  <c r="D26" i="11"/>
  <c r="J5" i="11" s="1"/>
  <c r="D27" i="11"/>
  <c r="K6" i="11" s="1"/>
  <c r="L6" i="11" s="1"/>
  <c r="D28" i="11"/>
  <c r="D29" i="11"/>
  <c r="K7" i="11" s="1"/>
  <c r="L7" i="11" s="1"/>
  <c r="D30" i="11"/>
  <c r="J7" i="11" s="1"/>
  <c r="D31" i="11"/>
  <c r="D32" i="11"/>
  <c r="J8" i="11" s="1"/>
  <c r="D33" i="11"/>
  <c r="K9" i="11" s="1"/>
  <c r="L9" i="11" s="1"/>
  <c r="D34" i="11"/>
  <c r="J9" i="11" s="1"/>
  <c r="D35" i="11"/>
  <c r="K10" i="11" s="1"/>
  <c r="L10" i="11" s="1"/>
  <c r="D36" i="11"/>
  <c r="D37" i="11"/>
  <c r="K11" i="11" s="1"/>
  <c r="L11" i="11" s="1"/>
  <c r="D38" i="11"/>
  <c r="J11" i="11" s="1"/>
  <c r="D39" i="11"/>
  <c r="D40" i="11"/>
  <c r="J12" i="11" s="1"/>
  <c r="D41" i="11"/>
  <c r="K13" i="11" s="1"/>
  <c r="L13" i="11" s="1"/>
  <c r="D42" i="11"/>
  <c r="J13" i="11" s="1"/>
  <c r="D43" i="11"/>
  <c r="K14" i="11" s="1"/>
  <c r="L14" i="11" s="1"/>
  <c r="D44" i="11"/>
  <c r="D45" i="11"/>
  <c r="J3" i="11"/>
  <c r="K3" i="11"/>
  <c r="D46" i="11"/>
  <c r="J15" i="11" s="1"/>
  <c r="K4" i="11"/>
  <c r="D47" i="11"/>
  <c r="K5" i="11"/>
  <c r="L5" i="11" s="1"/>
  <c r="D48" i="11"/>
  <c r="J16" i="11" s="1"/>
  <c r="J6" i="11"/>
  <c r="D49" i="11"/>
  <c r="K17" i="11" s="1"/>
  <c r="L17" i="11" s="1"/>
  <c r="D50" i="11"/>
  <c r="K8" i="11"/>
  <c r="L8" i="11" s="1"/>
  <c r="J10" i="11"/>
  <c r="K12" i="11"/>
  <c r="L12" i="11" s="1"/>
  <c r="J14" i="11"/>
  <c r="K15" i="11"/>
  <c r="L15" i="11" s="1"/>
  <c r="K16" i="11"/>
  <c r="L16" i="11" s="1"/>
  <c r="J17" i="11"/>
  <c r="B49" i="1"/>
  <c r="I49" i="1"/>
  <c r="B50" i="1"/>
  <c r="B51" i="1"/>
  <c r="B52" i="1"/>
  <c r="B53" i="1"/>
  <c r="B54" i="1"/>
  <c r="B55" i="1"/>
  <c r="B57" i="1"/>
  <c r="C57" i="1"/>
  <c r="D57" i="1"/>
  <c r="E57" i="1"/>
  <c r="F57" i="1"/>
  <c r="G57" i="1"/>
  <c r="H57" i="1"/>
  <c r="I57" i="1"/>
  <c r="B58" i="1"/>
  <c r="I58" i="1"/>
  <c r="B59" i="1"/>
  <c r="B60" i="1"/>
  <c r="B61" i="1"/>
  <c r="B62" i="1"/>
  <c r="B63" i="1"/>
  <c r="B64" i="1"/>
  <c r="B66" i="1"/>
  <c r="C66" i="1"/>
  <c r="D66" i="1"/>
  <c r="E66" i="1"/>
  <c r="F66" i="1"/>
  <c r="G66" i="1"/>
  <c r="H66" i="1"/>
  <c r="I66" i="1"/>
  <c r="B67" i="1"/>
  <c r="I67" i="1"/>
  <c r="B68" i="1"/>
  <c r="B69" i="1"/>
  <c r="B70" i="1"/>
  <c r="B71" i="1"/>
  <c r="B72" i="1"/>
  <c r="B73" i="1"/>
  <c r="H48" i="1"/>
  <c r="G48" i="1"/>
  <c r="F48" i="1"/>
  <c r="E48" i="1"/>
  <c r="D48" i="1"/>
  <c r="C48" i="1"/>
  <c r="I48" i="1"/>
  <c r="B48" i="1"/>
  <c r="B33" i="1"/>
  <c r="AB61" i="1" l="1"/>
  <c r="I98" i="1" s="1"/>
  <c r="AB38" i="1"/>
  <c r="AB39" i="1" s="1"/>
  <c r="AB40" i="1" s="1"/>
  <c r="AB50" i="1"/>
  <c r="I88" i="1"/>
  <c r="AB62" i="1"/>
  <c r="C20" i="18"/>
  <c r="C20" i="16"/>
  <c r="C20" i="15"/>
  <c r="C20" i="14"/>
  <c r="C20" i="13"/>
  <c r="C20" i="12"/>
  <c r="L4" i="11"/>
  <c r="AI40" i="1"/>
  <c r="AG40" i="1"/>
  <c r="F68" i="1"/>
  <c r="G68" i="1"/>
  <c r="H68" i="1"/>
  <c r="C69" i="1"/>
  <c r="F69" i="1"/>
  <c r="G69" i="1"/>
  <c r="C70" i="1"/>
  <c r="E70" i="1"/>
  <c r="F70" i="1"/>
  <c r="G70" i="1"/>
  <c r="E71" i="1"/>
  <c r="F71" i="1"/>
  <c r="D72" i="1"/>
  <c r="E72" i="1"/>
  <c r="F72" i="1"/>
  <c r="H72" i="1"/>
  <c r="D73" i="1"/>
  <c r="E73" i="1"/>
  <c r="H73" i="1"/>
  <c r="C59" i="1"/>
  <c r="E59" i="1"/>
  <c r="F59" i="1"/>
  <c r="G59" i="1"/>
  <c r="H59" i="1"/>
  <c r="F60" i="1"/>
  <c r="C61" i="1"/>
  <c r="D61" i="1"/>
  <c r="E61" i="1"/>
  <c r="F61" i="1"/>
  <c r="G61" i="1"/>
  <c r="H61" i="1"/>
  <c r="E62" i="1"/>
  <c r="C63" i="1"/>
  <c r="D63" i="1"/>
  <c r="E63" i="1"/>
  <c r="F63" i="1"/>
  <c r="G63" i="1"/>
  <c r="H63" i="1"/>
  <c r="D64" i="1"/>
  <c r="H64" i="1"/>
  <c r="C50" i="1"/>
  <c r="E50" i="1"/>
  <c r="F50" i="1"/>
  <c r="G50" i="1"/>
  <c r="H50" i="1"/>
  <c r="F51" i="1"/>
  <c r="C52" i="1"/>
  <c r="D52" i="1"/>
  <c r="E52" i="1"/>
  <c r="F52" i="1"/>
  <c r="G52" i="1"/>
  <c r="H52" i="1"/>
  <c r="E53" i="1"/>
  <c r="C54" i="1"/>
  <c r="D54" i="1"/>
  <c r="E54" i="1"/>
  <c r="F54" i="1"/>
  <c r="G54" i="1"/>
  <c r="D55" i="1"/>
  <c r="Y24" i="1"/>
  <c r="H67" i="1" s="1"/>
  <c r="W24" i="1"/>
  <c r="G67" i="1" s="1"/>
  <c r="U24" i="1"/>
  <c r="F67" i="1" s="1"/>
  <c r="S24" i="1"/>
  <c r="E67" i="1" s="1"/>
  <c r="Q24" i="1"/>
  <c r="D67" i="1" s="1"/>
  <c r="O24" i="1"/>
  <c r="C67" i="1" s="1"/>
  <c r="Y14" i="1"/>
  <c r="H58" i="1" s="1"/>
  <c r="W14" i="1"/>
  <c r="G58" i="1" s="1"/>
  <c r="U14" i="1"/>
  <c r="F58" i="1" s="1"/>
  <c r="S14" i="1"/>
  <c r="Q14" i="1"/>
  <c r="D58" i="1" s="1"/>
  <c r="O14" i="1"/>
  <c r="C58" i="1" s="1"/>
  <c r="H49" i="1"/>
  <c r="G49" i="1"/>
  <c r="F49" i="1"/>
  <c r="E49" i="1"/>
  <c r="D49" i="1"/>
  <c r="C49" i="1"/>
  <c r="I79" i="1" l="1"/>
  <c r="E58" i="1"/>
  <c r="AA14" i="1"/>
  <c r="I80" i="1"/>
  <c r="AB63" i="1"/>
  <c r="I99" i="1"/>
  <c r="AB51" i="1"/>
  <c r="I89" i="1"/>
  <c r="C62" i="1"/>
  <c r="G60" i="1"/>
  <c r="H71" i="1"/>
  <c r="D70" i="1"/>
  <c r="F55" i="1"/>
  <c r="C53" i="1"/>
  <c r="G51" i="1"/>
  <c r="G71" i="1"/>
  <c r="H70" i="1"/>
  <c r="E69" i="1"/>
  <c r="D53" i="1"/>
  <c r="H51" i="1"/>
  <c r="H62" i="1"/>
  <c r="D69" i="1"/>
  <c r="E55" i="1"/>
  <c r="H53" i="1"/>
  <c r="C64" i="1"/>
  <c r="G62" i="1"/>
  <c r="E60" i="1"/>
  <c r="C73" i="1"/>
  <c r="E68" i="1"/>
  <c r="D50" i="1"/>
  <c r="E64" i="1"/>
  <c r="G53" i="1"/>
  <c r="E51" i="1"/>
  <c r="F62" i="1"/>
  <c r="D60" i="1"/>
  <c r="H69" i="1"/>
  <c r="D68" i="1"/>
  <c r="C55" i="1"/>
  <c r="F53" i="1"/>
  <c r="D51" i="1"/>
  <c r="C60" i="1"/>
  <c r="G73" i="1"/>
  <c r="C68" i="1"/>
  <c r="C51" i="1"/>
  <c r="G64" i="1"/>
  <c r="F73" i="1"/>
  <c r="C72" i="1"/>
  <c r="D71" i="1"/>
  <c r="G55" i="1"/>
  <c r="H55" i="1"/>
  <c r="H54" i="1"/>
  <c r="F64" i="1"/>
  <c r="D62" i="1"/>
  <c r="H60" i="1"/>
  <c r="D59" i="1"/>
  <c r="G72" i="1"/>
  <c r="C71" i="1"/>
  <c r="C16" i="20"/>
  <c r="I81" i="1" l="1"/>
  <c r="AB41" i="1"/>
  <c r="AB52" i="1"/>
  <c r="I90" i="1"/>
  <c r="I100" i="1"/>
  <c r="C15" i="18"/>
  <c r="C15" i="17"/>
  <c r="C15" i="16"/>
  <c r="C15" i="15"/>
  <c r="C15" i="14"/>
  <c r="C15" i="13"/>
  <c r="C15" i="12"/>
  <c r="C15" i="11"/>
  <c r="AB21" i="1"/>
  <c r="AB31" i="1" s="1"/>
  <c r="I82" i="1" l="1"/>
  <c r="AB42" i="1"/>
  <c r="I83" i="1" s="1"/>
  <c r="AB53" i="1"/>
  <c r="I92" i="1" s="1"/>
  <c r="I91" i="1"/>
  <c r="AI41" i="1"/>
  <c r="AG41" i="1"/>
  <c r="AE41" i="1"/>
  <c r="R31" i="1"/>
  <c r="Z31" i="1" s="1"/>
  <c r="R21" i="1"/>
  <c r="V21" i="1" s="1"/>
  <c r="R11" i="1"/>
  <c r="V11" i="1" s="1"/>
  <c r="N21" i="1"/>
  <c r="N11" i="1"/>
  <c r="AH41" i="1"/>
  <c r="AF41" i="1"/>
  <c r="AD41" i="1"/>
  <c r="V31" i="1" l="1"/>
  <c r="Z11" i="1"/>
  <c r="Z21" i="1"/>
  <c r="AA24" i="1"/>
  <c r="AB25" i="1" s="1"/>
  <c r="Z24" i="1"/>
  <c r="X24" i="1"/>
  <c r="V24" i="1"/>
  <c r="T24" i="1"/>
  <c r="R24" i="1"/>
  <c r="P24" i="1"/>
  <c r="Z14" i="1"/>
  <c r="X14" i="1"/>
  <c r="V14" i="1"/>
  <c r="T14" i="1"/>
  <c r="R14" i="1"/>
  <c r="P14" i="1"/>
  <c r="AA4" i="1"/>
  <c r="Z4" i="1"/>
  <c r="X4" i="1"/>
  <c r="V4" i="1"/>
  <c r="T4" i="1"/>
  <c r="R4" i="1"/>
  <c r="P4" i="1"/>
  <c r="V288" i="20"/>
  <c r="M288" i="20" s="1"/>
  <c r="X288" i="20"/>
  <c r="S288" i="20"/>
  <c r="N288" i="20" s="1"/>
  <c r="O288" i="20" s="1"/>
  <c r="V287" i="20"/>
  <c r="M287" i="20" s="1"/>
  <c r="X287" i="20"/>
  <c r="S287" i="20"/>
  <c r="N287" i="20" s="1"/>
  <c r="V286" i="20"/>
  <c r="M286" i="20" s="1"/>
  <c r="X286" i="20"/>
  <c r="S286" i="20"/>
  <c r="N286" i="20" s="1"/>
  <c r="V285" i="20"/>
  <c r="M285" i="20" s="1"/>
  <c r="X285" i="20"/>
  <c r="S285" i="20"/>
  <c r="N285" i="20" s="1"/>
  <c r="V284" i="20"/>
  <c r="M284" i="20" s="1"/>
  <c r="X284" i="20"/>
  <c r="S284" i="20"/>
  <c r="N284" i="20" s="1"/>
  <c r="V283" i="20"/>
  <c r="M283" i="20" s="1"/>
  <c r="X283" i="20"/>
  <c r="S283" i="20"/>
  <c r="N283" i="20" s="1"/>
  <c r="V282" i="20"/>
  <c r="M282" i="20" s="1"/>
  <c r="X282" i="20"/>
  <c r="S282" i="20"/>
  <c r="N282" i="20" s="1"/>
  <c r="V281" i="20"/>
  <c r="M281" i="20" s="1"/>
  <c r="X281" i="20"/>
  <c r="S281" i="20"/>
  <c r="N281" i="20" s="1"/>
  <c r="V280" i="20"/>
  <c r="M280" i="20" s="1"/>
  <c r="X280" i="20"/>
  <c r="S280" i="20"/>
  <c r="N280" i="20" s="1"/>
  <c r="V279" i="20"/>
  <c r="M279" i="20" s="1"/>
  <c r="X279" i="20"/>
  <c r="S279" i="20"/>
  <c r="N279" i="20" s="1"/>
  <c r="V278" i="20"/>
  <c r="M278" i="20" s="1"/>
  <c r="X278" i="20"/>
  <c r="S278" i="20"/>
  <c r="N278" i="20" s="1"/>
  <c r="V277" i="20"/>
  <c r="M277" i="20" s="1"/>
  <c r="X277" i="20"/>
  <c r="S277" i="20"/>
  <c r="N277" i="20" s="1"/>
  <c r="V276" i="20"/>
  <c r="M276" i="20" s="1"/>
  <c r="X276" i="20"/>
  <c r="S276" i="20"/>
  <c r="N276" i="20" s="1"/>
  <c r="V275" i="20"/>
  <c r="M275" i="20" s="1"/>
  <c r="X275" i="20"/>
  <c r="S275" i="20"/>
  <c r="N275" i="20" s="1"/>
  <c r="V274" i="20"/>
  <c r="M274" i="20" s="1"/>
  <c r="X274" i="20"/>
  <c r="S274" i="20"/>
  <c r="N274" i="20" s="1"/>
  <c r="V270" i="20"/>
  <c r="M270" i="20" s="1"/>
  <c r="X270" i="20"/>
  <c r="S270" i="20"/>
  <c r="N270" i="20" s="1"/>
  <c r="O270" i="20" s="1"/>
  <c r="V269" i="20"/>
  <c r="M269" i="20" s="1"/>
  <c r="X269" i="20"/>
  <c r="S269" i="20"/>
  <c r="N269" i="20" s="1"/>
  <c r="V268" i="20"/>
  <c r="M268" i="20" s="1"/>
  <c r="X268" i="20"/>
  <c r="S268" i="20"/>
  <c r="N268" i="20" s="1"/>
  <c r="V267" i="20"/>
  <c r="M267" i="20" s="1"/>
  <c r="X267" i="20"/>
  <c r="S267" i="20"/>
  <c r="N267" i="20" s="1"/>
  <c r="V266" i="20"/>
  <c r="M266" i="20" s="1"/>
  <c r="X266" i="20"/>
  <c r="S266" i="20"/>
  <c r="N266" i="20" s="1"/>
  <c r="V265" i="20"/>
  <c r="M265" i="20" s="1"/>
  <c r="X265" i="20"/>
  <c r="S265" i="20"/>
  <c r="N265" i="20" s="1"/>
  <c r="V264" i="20"/>
  <c r="M264" i="20" s="1"/>
  <c r="X264" i="20"/>
  <c r="S264" i="20"/>
  <c r="N264" i="20" s="1"/>
  <c r="V263" i="20"/>
  <c r="M263" i="20" s="1"/>
  <c r="X263" i="20"/>
  <c r="S263" i="20"/>
  <c r="N263" i="20" s="1"/>
  <c r="V262" i="20"/>
  <c r="M262" i="20" s="1"/>
  <c r="X262" i="20"/>
  <c r="S262" i="20"/>
  <c r="N262" i="20" s="1"/>
  <c r="V261" i="20"/>
  <c r="M261" i="20" s="1"/>
  <c r="X261" i="20"/>
  <c r="S261" i="20"/>
  <c r="N261" i="20" s="1"/>
  <c r="V260" i="20"/>
  <c r="M260" i="20" s="1"/>
  <c r="X260" i="20"/>
  <c r="S260" i="20"/>
  <c r="N260" i="20" s="1"/>
  <c r="V259" i="20"/>
  <c r="M259" i="20" s="1"/>
  <c r="X259" i="20"/>
  <c r="S259" i="20"/>
  <c r="N259" i="20" s="1"/>
  <c r="V258" i="20"/>
  <c r="M258" i="20" s="1"/>
  <c r="X258" i="20"/>
  <c r="S258" i="20"/>
  <c r="N258" i="20" s="1"/>
  <c r="V257" i="20"/>
  <c r="M257" i="20" s="1"/>
  <c r="X257" i="20"/>
  <c r="S257" i="20"/>
  <c r="N257" i="20" s="1"/>
  <c r="V256" i="20"/>
  <c r="M256" i="20" s="1"/>
  <c r="X256" i="20"/>
  <c r="S256" i="20"/>
  <c r="N256" i="20" s="1"/>
  <c r="V252" i="20"/>
  <c r="M252" i="20" s="1"/>
  <c r="X252" i="20"/>
  <c r="S252" i="20"/>
  <c r="N252" i="20" s="1"/>
  <c r="O252" i="20" s="1"/>
  <c r="V251" i="20"/>
  <c r="M251" i="20" s="1"/>
  <c r="X251" i="20"/>
  <c r="S251" i="20"/>
  <c r="N251" i="20" s="1"/>
  <c r="V250" i="20"/>
  <c r="M250" i="20" s="1"/>
  <c r="X250" i="20"/>
  <c r="S250" i="20"/>
  <c r="N250" i="20" s="1"/>
  <c r="V249" i="20"/>
  <c r="M249" i="20" s="1"/>
  <c r="X249" i="20"/>
  <c r="S249" i="20"/>
  <c r="N249" i="20" s="1"/>
  <c r="V248" i="20"/>
  <c r="M248" i="20" s="1"/>
  <c r="X248" i="20"/>
  <c r="S248" i="20"/>
  <c r="N248" i="20" s="1"/>
  <c r="V247" i="20"/>
  <c r="M247" i="20" s="1"/>
  <c r="X247" i="20"/>
  <c r="S247" i="20"/>
  <c r="N247" i="20" s="1"/>
  <c r="V246" i="20"/>
  <c r="M246" i="20" s="1"/>
  <c r="X246" i="20"/>
  <c r="S246" i="20"/>
  <c r="N246" i="20" s="1"/>
  <c r="V245" i="20"/>
  <c r="M245" i="20" s="1"/>
  <c r="X245" i="20"/>
  <c r="S245" i="20"/>
  <c r="N245" i="20" s="1"/>
  <c r="V244" i="20"/>
  <c r="M244" i="20" s="1"/>
  <c r="X244" i="20"/>
  <c r="S244" i="20"/>
  <c r="N244" i="20" s="1"/>
  <c r="V243" i="20"/>
  <c r="M243" i="20" s="1"/>
  <c r="X243" i="20"/>
  <c r="S243" i="20"/>
  <c r="N243" i="20" s="1"/>
  <c r="V242" i="20"/>
  <c r="M242" i="20" s="1"/>
  <c r="X242" i="20"/>
  <c r="S242" i="20"/>
  <c r="N242" i="20" s="1"/>
  <c r="V241" i="20"/>
  <c r="M241" i="20" s="1"/>
  <c r="X241" i="20"/>
  <c r="S241" i="20"/>
  <c r="N241" i="20" s="1"/>
  <c r="V240" i="20"/>
  <c r="M240" i="20" s="1"/>
  <c r="X240" i="20"/>
  <c r="S240" i="20"/>
  <c r="N240" i="20" s="1"/>
  <c r="V239" i="20"/>
  <c r="M239" i="20" s="1"/>
  <c r="X239" i="20"/>
  <c r="S239" i="20"/>
  <c r="N239" i="20" s="1"/>
  <c r="V238" i="20"/>
  <c r="M238" i="20" s="1"/>
  <c r="X238" i="20"/>
  <c r="S238" i="20"/>
  <c r="N238" i="20" s="1"/>
  <c r="V234" i="20"/>
  <c r="M234" i="20" s="1"/>
  <c r="X234" i="20"/>
  <c r="S234" i="20"/>
  <c r="N234" i="20" s="1"/>
  <c r="O234" i="20" s="1"/>
  <c r="V233" i="20"/>
  <c r="M233" i="20" s="1"/>
  <c r="X233" i="20"/>
  <c r="S233" i="20"/>
  <c r="N233" i="20" s="1"/>
  <c r="V232" i="20"/>
  <c r="M232" i="20" s="1"/>
  <c r="X232" i="20"/>
  <c r="S232" i="20"/>
  <c r="N232" i="20" s="1"/>
  <c r="V231" i="20"/>
  <c r="M231" i="20" s="1"/>
  <c r="X231" i="20"/>
  <c r="S231" i="20"/>
  <c r="N231" i="20" s="1"/>
  <c r="V230" i="20"/>
  <c r="M230" i="20" s="1"/>
  <c r="X230" i="20"/>
  <c r="S230" i="20"/>
  <c r="N230" i="20" s="1"/>
  <c r="V229" i="20"/>
  <c r="M229" i="20" s="1"/>
  <c r="X229" i="20"/>
  <c r="S229" i="20"/>
  <c r="N229" i="20" s="1"/>
  <c r="V228" i="20"/>
  <c r="M228" i="20" s="1"/>
  <c r="X228" i="20"/>
  <c r="S228" i="20"/>
  <c r="N228" i="20" s="1"/>
  <c r="V227" i="20"/>
  <c r="M227" i="20" s="1"/>
  <c r="X227" i="20"/>
  <c r="S227" i="20"/>
  <c r="N227" i="20" s="1"/>
  <c r="V226" i="20"/>
  <c r="M226" i="20" s="1"/>
  <c r="X226" i="20"/>
  <c r="S226" i="20"/>
  <c r="N226" i="20" s="1"/>
  <c r="V225" i="20"/>
  <c r="M225" i="20" s="1"/>
  <c r="X225" i="20"/>
  <c r="S225" i="20"/>
  <c r="N225" i="20" s="1"/>
  <c r="V224" i="20"/>
  <c r="M224" i="20" s="1"/>
  <c r="X224" i="20"/>
  <c r="S224" i="20"/>
  <c r="N224" i="20" s="1"/>
  <c r="V223" i="20"/>
  <c r="M223" i="20" s="1"/>
  <c r="X223" i="20"/>
  <c r="S223" i="20"/>
  <c r="N223" i="20" s="1"/>
  <c r="V222" i="20"/>
  <c r="M222" i="20" s="1"/>
  <c r="X222" i="20"/>
  <c r="S222" i="20"/>
  <c r="N222" i="20" s="1"/>
  <c r="V221" i="20"/>
  <c r="M221" i="20" s="1"/>
  <c r="X221" i="20"/>
  <c r="S221" i="20"/>
  <c r="N221" i="20" s="1"/>
  <c r="V220" i="20"/>
  <c r="M220" i="20" s="1"/>
  <c r="X220" i="20"/>
  <c r="S220" i="20"/>
  <c r="N220" i="20" s="1"/>
  <c r="V216" i="20"/>
  <c r="M216" i="20" s="1"/>
  <c r="X216" i="20"/>
  <c r="S216" i="20"/>
  <c r="N216" i="20" s="1"/>
  <c r="O216" i="20" s="1"/>
  <c r="V215" i="20"/>
  <c r="M215" i="20" s="1"/>
  <c r="X215" i="20"/>
  <c r="S215" i="20"/>
  <c r="N215" i="20" s="1"/>
  <c r="V214" i="20"/>
  <c r="M214" i="20" s="1"/>
  <c r="X214" i="20"/>
  <c r="S214" i="20"/>
  <c r="N214" i="20" s="1"/>
  <c r="V213" i="20"/>
  <c r="M213" i="20" s="1"/>
  <c r="X213" i="20"/>
  <c r="S213" i="20"/>
  <c r="N213" i="20" s="1"/>
  <c r="V212" i="20"/>
  <c r="M212" i="20" s="1"/>
  <c r="X212" i="20"/>
  <c r="S212" i="20"/>
  <c r="N212" i="20" s="1"/>
  <c r="V211" i="20"/>
  <c r="M211" i="20" s="1"/>
  <c r="X211" i="20"/>
  <c r="S211" i="20"/>
  <c r="N211" i="20" s="1"/>
  <c r="V210" i="20"/>
  <c r="M210" i="20" s="1"/>
  <c r="X210" i="20"/>
  <c r="S210" i="20"/>
  <c r="N210" i="20" s="1"/>
  <c r="V209" i="20"/>
  <c r="M209" i="20" s="1"/>
  <c r="X209" i="20"/>
  <c r="S209" i="20"/>
  <c r="N209" i="20" s="1"/>
  <c r="V208" i="20"/>
  <c r="M208" i="20" s="1"/>
  <c r="X208" i="20"/>
  <c r="S208" i="20"/>
  <c r="N208" i="20" s="1"/>
  <c r="V207" i="20"/>
  <c r="M207" i="20" s="1"/>
  <c r="X207" i="20"/>
  <c r="S207" i="20"/>
  <c r="N207" i="20" s="1"/>
  <c r="V206" i="20"/>
  <c r="M206" i="20" s="1"/>
  <c r="X206" i="20"/>
  <c r="S206" i="20"/>
  <c r="N206" i="20" s="1"/>
  <c r="V205" i="20"/>
  <c r="M205" i="20" s="1"/>
  <c r="X205" i="20"/>
  <c r="S205" i="20"/>
  <c r="N205" i="20" s="1"/>
  <c r="V204" i="20"/>
  <c r="M204" i="20" s="1"/>
  <c r="X204" i="20"/>
  <c r="S204" i="20"/>
  <c r="N204" i="20" s="1"/>
  <c r="V203" i="20"/>
  <c r="M203" i="20" s="1"/>
  <c r="X203" i="20"/>
  <c r="S203" i="20"/>
  <c r="N203" i="20" s="1"/>
  <c r="V202" i="20"/>
  <c r="M202" i="20" s="1"/>
  <c r="X202" i="20"/>
  <c r="S202" i="20"/>
  <c r="N202" i="20" s="1"/>
  <c r="V198" i="20"/>
  <c r="M198" i="20" s="1"/>
  <c r="X198" i="20"/>
  <c r="S198" i="20"/>
  <c r="N198" i="20" s="1"/>
  <c r="O198" i="20" s="1"/>
  <c r="V197" i="20"/>
  <c r="M197" i="20" s="1"/>
  <c r="X197" i="20"/>
  <c r="S197" i="20"/>
  <c r="N197" i="20" s="1"/>
  <c r="V196" i="20"/>
  <c r="M196" i="20" s="1"/>
  <c r="X196" i="20"/>
  <c r="S196" i="20"/>
  <c r="N196" i="20" s="1"/>
  <c r="V195" i="20"/>
  <c r="M195" i="20" s="1"/>
  <c r="X195" i="20"/>
  <c r="S195" i="20"/>
  <c r="N195" i="20" s="1"/>
  <c r="V194" i="20"/>
  <c r="M194" i="20" s="1"/>
  <c r="X194" i="20"/>
  <c r="S194" i="20"/>
  <c r="N194" i="20" s="1"/>
  <c r="V193" i="20"/>
  <c r="M193" i="20" s="1"/>
  <c r="X193" i="20"/>
  <c r="S193" i="20"/>
  <c r="N193" i="20" s="1"/>
  <c r="V192" i="20"/>
  <c r="M192" i="20" s="1"/>
  <c r="X192" i="20"/>
  <c r="S192" i="20"/>
  <c r="N192" i="20" s="1"/>
  <c r="V191" i="20"/>
  <c r="M191" i="20" s="1"/>
  <c r="X191" i="20"/>
  <c r="S191" i="20"/>
  <c r="N191" i="20" s="1"/>
  <c r="V190" i="20"/>
  <c r="M190" i="20" s="1"/>
  <c r="X190" i="20"/>
  <c r="S190" i="20"/>
  <c r="N190" i="20" s="1"/>
  <c r="V189" i="20"/>
  <c r="M189" i="20" s="1"/>
  <c r="X189" i="20"/>
  <c r="S189" i="20"/>
  <c r="N189" i="20" s="1"/>
  <c r="V188" i="20"/>
  <c r="M188" i="20" s="1"/>
  <c r="X188" i="20"/>
  <c r="S188" i="20"/>
  <c r="N188" i="20" s="1"/>
  <c r="V187" i="20"/>
  <c r="M187" i="20" s="1"/>
  <c r="X187" i="20"/>
  <c r="S187" i="20"/>
  <c r="N187" i="20" s="1"/>
  <c r="V186" i="20"/>
  <c r="M186" i="20" s="1"/>
  <c r="X186" i="20"/>
  <c r="S186" i="20"/>
  <c r="N186" i="20" s="1"/>
  <c r="V185" i="20"/>
  <c r="M185" i="20" s="1"/>
  <c r="X185" i="20"/>
  <c r="S185" i="20"/>
  <c r="N185" i="20" s="1"/>
  <c r="V184" i="20"/>
  <c r="M184" i="20" s="1"/>
  <c r="X184" i="20"/>
  <c r="S184" i="20"/>
  <c r="N184" i="20" s="1"/>
  <c r="V180" i="20"/>
  <c r="M180" i="20" s="1"/>
  <c r="X180" i="20"/>
  <c r="S180" i="20"/>
  <c r="N180" i="20" s="1"/>
  <c r="O180" i="20" s="1"/>
  <c r="V179" i="20"/>
  <c r="M179" i="20" s="1"/>
  <c r="X179" i="20"/>
  <c r="S179" i="20"/>
  <c r="N179" i="20" s="1"/>
  <c r="V178" i="20"/>
  <c r="M178" i="20" s="1"/>
  <c r="X178" i="20"/>
  <c r="S178" i="20"/>
  <c r="N178" i="20" s="1"/>
  <c r="V177" i="20"/>
  <c r="M177" i="20" s="1"/>
  <c r="X177" i="20"/>
  <c r="S177" i="20"/>
  <c r="N177" i="20" s="1"/>
  <c r="V176" i="20"/>
  <c r="M176" i="20" s="1"/>
  <c r="X176" i="20"/>
  <c r="S176" i="20"/>
  <c r="N176" i="20" s="1"/>
  <c r="V175" i="20"/>
  <c r="M175" i="20" s="1"/>
  <c r="X175" i="20"/>
  <c r="S175" i="20"/>
  <c r="N175" i="20" s="1"/>
  <c r="V174" i="20"/>
  <c r="M174" i="20" s="1"/>
  <c r="X174" i="20"/>
  <c r="S174" i="20"/>
  <c r="N174" i="20" s="1"/>
  <c r="V173" i="20"/>
  <c r="M173" i="20" s="1"/>
  <c r="X173" i="20"/>
  <c r="S173" i="20"/>
  <c r="N173" i="20" s="1"/>
  <c r="V172" i="20"/>
  <c r="M172" i="20" s="1"/>
  <c r="X172" i="20"/>
  <c r="S172" i="20"/>
  <c r="N172" i="20" s="1"/>
  <c r="V171" i="20"/>
  <c r="M171" i="20" s="1"/>
  <c r="X171" i="20"/>
  <c r="S171" i="20"/>
  <c r="N171" i="20" s="1"/>
  <c r="V170" i="20"/>
  <c r="M170" i="20" s="1"/>
  <c r="X170" i="20"/>
  <c r="S170" i="20"/>
  <c r="N170" i="20" s="1"/>
  <c r="V169" i="20"/>
  <c r="M169" i="20" s="1"/>
  <c r="X169" i="20"/>
  <c r="S169" i="20"/>
  <c r="N169" i="20" s="1"/>
  <c r="V168" i="20"/>
  <c r="M168" i="20" s="1"/>
  <c r="X168" i="20"/>
  <c r="S168" i="20"/>
  <c r="N168" i="20" s="1"/>
  <c r="V167" i="20"/>
  <c r="M167" i="20" s="1"/>
  <c r="X167" i="20"/>
  <c r="S167" i="20"/>
  <c r="N167" i="20" s="1"/>
  <c r="V166" i="20"/>
  <c r="M166" i="20" s="1"/>
  <c r="X166" i="20"/>
  <c r="S166" i="20"/>
  <c r="N166" i="20" s="1"/>
  <c r="V162" i="20"/>
  <c r="M162" i="20" s="1"/>
  <c r="X162" i="20"/>
  <c r="S162" i="20"/>
  <c r="N162" i="20" s="1"/>
  <c r="O162" i="20" s="1"/>
  <c r="V161" i="20"/>
  <c r="M161" i="20" s="1"/>
  <c r="X161" i="20"/>
  <c r="S161" i="20"/>
  <c r="N161" i="20" s="1"/>
  <c r="V160" i="20"/>
  <c r="M160" i="20" s="1"/>
  <c r="X160" i="20"/>
  <c r="S160" i="20"/>
  <c r="N160" i="20" s="1"/>
  <c r="V159" i="20"/>
  <c r="M159" i="20" s="1"/>
  <c r="X159" i="20"/>
  <c r="S159" i="20"/>
  <c r="N159" i="20" s="1"/>
  <c r="V158" i="20"/>
  <c r="M158" i="20" s="1"/>
  <c r="X158" i="20"/>
  <c r="S158" i="20"/>
  <c r="N158" i="20" s="1"/>
  <c r="V157" i="20"/>
  <c r="M157" i="20" s="1"/>
  <c r="X157" i="20"/>
  <c r="S157" i="20"/>
  <c r="N157" i="20" s="1"/>
  <c r="V156" i="20"/>
  <c r="M156" i="20" s="1"/>
  <c r="X156" i="20"/>
  <c r="S156" i="20"/>
  <c r="N156" i="20" s="1"/>
  <c r="V155" i="20"/>
  <c r="M155" i="20" s="1"/>
  <c r="X155" i="20"/>
  <c r="S155" i="20"/>
  <c r="N155" i="20" s="1"/>
  <c r="V154" i="20"/>
  <c r="M154" i="20" s="1"/>
  <c r="X154" i="20"/>
  <c r="S154" i="20"/>
  <c r="N154" i="20" s="1"/>
  <c r="V153" i="20"/>
  <c r="M153" i="20" s="1"/>
  <c r="X153" i="20"/>
  <c r="S153" i="20"/>
  <c r="N153" i="20" s="1"/>
  <c r="V152" i="20"/>
  <c r="M152" i="20" s="1"/>
  <c r="X152" i="20"/>
  <c r="S152" i="20"/>
  <c r="N152" i="20" s="1"/>
  <c r="V151" i="20"/>
  <c r="M151" i="20" s="1"/>
  <c r="X151" i="20"/>
  <c r="S151" i="20"/>
  <c r="N151" i="20" s="1"/>
  <c r="V150" i="20"/>
  <c r="M150" i="20" s="1"/>
  <c r="X150" i="20"/>
  <c r="S150" i="20"/>
  <c r="N150" i="20" s="1"/>
  <c r="V149" i="20"/>
  <c r="M149" i="20" s="1"/>
  <c r="X149" i="20"/>
  <c r="S149" i="20"/>
  <c r="N149" i="20" s="1"/>
  <c r="V148" i="20"/>
  <c r="M148" i="20" s="1"/>
  <c r="X148" i="20"/>
  <c r="S148" i="20"/>
  <c r="N148" i="20" s="1"/>
  <c r="D50" i="18"/>
  <c r="J17" i="18" s="1"/>
  <c r="D49" i="18"/>
  <c r="K17" i="18" s="1"/>
  <c r="L17" i="18" s="1"/>
  <c r="D48" i="18"/>
  <c r="J16" i="18" s="1"/>
  <c r="D47" i="18"/>
  <c r="K16" i="18" s="1"/>
  <c r="L16" i="18" s="1"/>
  <c r="D46" i="18"/>
  <c r="J15" i="18" s="1"/>
  <c r="D45" i="18"/>
  <c r="K15" i="18" s="1"/>
  <c r="L15" i="18" s="1"/>
  <c r="D44" i="18"/>
  <c r="J14" i="18" s="1"/>
  <c r="D43" i="18"/>
  <c r="K14" i="18" s="1"/>
  <c r="L14" i="18" s="1"/>
  <c r="D42" i="18"/>
  <c r="J13" i="18" s="1"/>
  <c r="D41" i="18"/>
  <c r="K13" i="18" s="1"/>
  <c r="L13" i="18" s="1"/>
  <c r="D40" i="18"/>
  <c r="J12" i="18" s="1"/>
  <c r="D39" i="18"/>
  <c r="K12" i="18" s="1"/>
  <c r="L12" i="18" s="1"/>
  <c r="D38" i="18"/>
  <c r="J11" i="18" s="1"/>
  <c r="D37" i="18"/>
  <c r="K11" i="18" s="1"/>
  <c r="L11" i="18" s="1"/>
  <c r="D36" i="18"/>
  <c r="J10" i="18" s="1"/>
  <c r="D35" i="18"/>
  <c r="K10" i="18" s="1"/>
  <c r="L10" i="18" s="1"/>
  <c r="D34" i="18"/>
  <c r="J9" i="18" s="1"/>
  <c r="D33" i="18"/>
  <c r="K9" i="18" s="1"/>
  <c r="L9" i="18" s="1"/>
  <c r="D32" i="18"/>
  <c r="J8" i="18" s="1"/>
  <c r="D31" i="18"/>
  <c r="K8" i="18" s="1"/>
  <c r="L8" i="18" s="1"/>
  <c r="D30" i="18"/>
  <c r="J7" i="18" s="1"/>
  <c r="D29" i="18"/>
  <c r="K7" i="18" s="1"/>
  <c r="L7" i="18" s="1"/>
  <c r="D28" i="18"/>
  <c r="J6" i="18" s="1"/>
  <c r="D27" i="18"/>
  <c r="K6" i="18" s="1"/>
  <c r="L6" i="18" s="1"/>
  <c r="D26" i="18"/>
  <c r="J5" i="18" s="1"/>
  <c r="D25" i="18"/>
  <c r="K5" i="18" s="1"/>
  <c r="L5" i="18" s="1"/>
  <c r="D24" i="18"/>
  <c r="J4" i="18" s="1"/>
  <c r="D23" i="18"/>
  <c r="K4" i="18" s="1"/>
  <c r="L4" i="18" s="1"/>
  <c r="D22" i="18"/>
  <c r="D21" i="18"/>
  <c r="K3" i="18" s="1"/>
  <c r="D52" i="17"/>
  <c r="J17" i="17" s="1"/>
  <c r="D51" i="17"/>
  <c r="K17" i="17" s="1"/>
  <c r="L17" i="17" s="1"/>
  <c r="D50" i="17"/>
  <c r="J16" i="17" s="1"/>
  <c r="D49" i="17"/>
  <c r="K16" i="17" s="1"/>
  <c r="L16" i="17" s="1"/>
  <c r="D48" i="17"/>
  <c r="J15" i="17" s="1"/>
  <c r="D47" i="17"/>
  <c r="K15" i="17" s="1"/>
  <c r="L15" i="17" s="1"/>
  <c r="D46" i="17"/>
  <c r="J14" i="17" s="1"/>
  <c r="D45" i="17"/>
  <c r="K14" i="17" s="1"/>
  <c r="L14" i="17" s="1"/>
  <c r="D44" i="17"/>
  <c r="J13" i="17" s="1"/>
  <c r="D43" i="17"/>
  <c r="K13" i="17" s="1"/>
  <c r="L13" i="17" s="1"/>
  <c r="D42" i="17"/>
  <c r="J12" i="17" s="1"/>
  <c r="D41" i="17"/>
  <c r="K12" i="17" s="1"/>
  <c r="L12" i="17" s="1"/>
  <c r="D40" i="17"/>
  <c r="J11" i="17" s="1"/>
  <c r="D39" i="17"/>
  <c r="K11" i="17" s="1"/>
  <c r="L11" i="17" s="1"/>
  <c r="D38" i="17"/>
  <c r="J10" i="17" s="1"/>
  <c r="D37" i="17"/>
  <c r="K10" i="17" s="1"/>
  <c r="L10" i="17" s="1"/>
  <c r="D36" i="17"/>
  <c r="J9" i="17" s="1"/>
  <c r="D35" i="17"/>
  <c r="K9" i="17" s="1"/>
  <c r="L9" i="17" s="1"/>
  <c r="D34" i="17"/>
  <c r="J8" i="17" s="1"/>
  <c r="D33" i="17"/>
  <c r="K8" i="17" s="1"/>
  <c r="L8" i="17" s="1"/>
  <c r="D32" i="17"/>
  <c r="J7" i="17" s="1"/>
  <c r="D31" i="17"/>
  <c r="K7" i="17" s="1"/>
  <c r="L7" i="17" s="1"/>
  <c r="D30" i="17"/>
  <c r="J6" i="17" s="1"/>
  <c r="D29" i="17"/>
  <c r="K6" i="17" s="1"/>
  <c r="L6" i="17" s="1"/>
  <c r="D28" i="17"/>
  <c r="J5" i="17" s="1"/>
  <c r="D27" i="17"/>
  <c r="K5" i="17" s="1"/>
  <c r="L5" i="17" s="1"/>
  <c r="D26" i="17"/>
  <c r="J4" i="17" s="1"/>
  <c r="D25" i="17"/>
  <c r="K4" i="17" s="1"/>
  <c r="L4" i="17" s="1"/>
  <c r="D24" i="17"/>
  <c r="J3" i="17" s="1"/>
  <c r="D23" i="17"/>
  <c r="K3" i="17" s="1"/>
  <c r="D52" i="16"/>
  <c r="J17" i="16" s="1"/>
  <c r="D51" i="16"/>
  <c r="K17" i="16" s="1"/>
  <c r="L17" i="16" s="1"/>
  <c r="D50" i="16"/>
  <c r="J16" i="16" s="1"/>
  <c r="D49" i="16"/>
  <c r="K16" i="16" s="1"/>
  <c r="L16" i="16" s="1"/>
  <c r="D48" i="16"/>
  <c r="J15" i="16" s="1"/>
  <c r="D47" i="16"/>
  <c r="K15" i="16" s="1"/>
  <c r="L15" i="16" s="1"/>
  <c r="D46" i="16"/>
  <c r="J14" i="16" s="1"/>
  <c r="D45" i="16"/>
  <c r="K14" i="16" s="1"/>
  <c r="L14" i="16" s="1"/>
  <c r="D44" i="16"/>
  <c r="J13" i="16" s="1"/>
  <c r="D43" i="16"/>
  <c r="K13" i="16" s="1"/>
  <c r="L13" i="16" s="1"/>
  <c r="D42" i="16"/>
  <c r="J12" i="16" s="1"/>
  <c r="D41" i="16"/>
  <c r="K12" i="16" s="1"/>
  <c r="L12" i="16" s="1"/>
  <c r="D40" i="16"/>
  <c r="J11" i="16" s="1"/>
  <c r="D39" i="16"/>
  <c r="K11" i="16" s="1"/>
  <c r="L11" i="16" s="1"/>
  <c r="D38" i="16"/>
  <c r="J10" i="16" s="1"/>
  <c r="D37" i="16"/>
  <c r="K10" i="16" s="1"/>
  <c r="L10" i="16" s="1"/>
  <c r="D36" i="16"/>
  <c r="J9" i="16" s="1"/>
  <c r="D35" i="16"/>
  <c r="K9" i="16" s="1"/>
  <c r="L9" i="16" s="1"/>
  <c r="D34" i="16"/>
  <c r="J8" i="16" s="1"/>
  <c r="D33" i="16"/>
  <c r="K8" i="16" s="1"/>
  <c r="L8" i="16" s="1"/>
  <c r="D32" i="16"/>
  <c r="J7" i="16" s="1"/>
  <c r="D31" i="16"/>
  <c r="K7" i="16" s="1"/>
  <c r="L7" i="16" s="1"/>
  <c r="D30" i="16"/>
  <c r="J6" i="16" s="1"/>
  <c r="D29" i="16"/>
  <c r="K6" i="16" s="1"/>
  <c r="L6" i="16" s="1"/>
  <c r="D28" i="16"/>
  <c r="J5" i="16" s="1"/>
  <c r="D27" i="16"/>
  <c r="K5" i="16" s="1"/>
  <c r="L5" i="16" s="1"/>
  <c r="D26" i="16"/>
  <c r="J4" i="16" s="1"/>
  <c r="D25" i="16"/>
  <c r="K4" i="16" s="1"/>
  <c r="L4" i="16" s="1"/>
  <c r="D24" i="16"/>
  <c r="J3" i="16" s="1"/>
  <c r="D23" i="16"/>
  <c r="K3" i="16" s="1"/>
  <c r="D52" i="15"/>
  <c r="J17" i="15" s="1"/>
  <c r="D51" i="15"/>
  <c r="K17" i="15" s="1"/>
  <c r="L17" i="15" s="1"/>
  <c r="D50" i="15"/>
  <c r="J16" i="15" s="1"/>
  <c r="D49" i="15"/>
  <c r="K16" i="15" s="1"/>
  <c r="L16" i="15" s="1"/>
  <c r="D48" i="15"/>
  <c r="J15" i="15" s="1"/>
  <c r="D47" i="15"/>
  <c r="K15" i="15" s="1"/>
  <c r="L15" i="15" s="1"/>
  <c r="D46" i="15"/>
  <c r="J14" i="15" s="1"/>
  <c r="D45" i="15"/>
  <c r="K14" i="15" s="1"/>
  <c r="L14" i="15" s="1"/>
  <c r="D44" i="15"/>
  <c r="J13" i="15" s="1"/>
  <c r="D43" i="15"/>
  <c r="K13" i="15" s="1"/>
  <c r="L13" i="15" s="1"/>
  <c r="D42" i="15"/>
  <c r="J12" i="15" s="1"/>
  <c r="D41" i="15"/>
  <c r="K12" i="15" s="1"/>
  <c r="L12" i="15" s="1"/>
  <c r="D40" i="15"/>
  <c r="J11" i="15" s="1"/>
  <c r="D39" i="15"/>
  <c r="K11" i="15" s="1"/>
  <c r="L11" i="15" s="1"/>
  <c r="D38" i="15"/>
  <c r="J10" i="15" s="1"/>
  <c r="D37" i="15"/>
  <c r="K10" i="15" s="1"/>
  <c r="L10" i="15" s="1"/>
  <c r="D36" i="15"/>
  <c r="J9" i="15" s="1"/>
  <c r="D35" i="15"/>
  <c r="K9" i="15" s="1"/>
  <c r="L9" i="15" s="1"/>
  <c r="D34" i="15"/>
  <c r="J8" i="15" s="1"/>
  <c r="D33" i="15"/>
  <c r="K8" i="15" s="1"/>
  <c r="L8" i="15" s="1"/>
  <c r="D32" i="15"/>
  <c r="J7" i="15" s="1"/>
  <c r="D31" i="15"/>
  <c r="K7" i="15" s="1"/>
  <c r="L7" i="15" s="1"/>
  <c r="D30" i="15"/>
  <c r="J6" i="15" s="1"/>
  <c r="D29" i="15"/>
  <c r="K6" i="15" s="1"/>
  <c r="L6" i="15" s="1"/>
  <c r="D28" i="15"/>
  <c r="J5" i="15" s="1"/>
  <c r="D27" i="15"/>
  <c r="K5" i="15" s="1"/>
  <c r="L5" i="15" s="1"/>
  <c r="D26" i="15"/>
  <c r="J4" i="15" s="1"/>
  <c r="D25" i="15"/>
  <c r="K4" i="15" s="1"/>
  <c r="L4" i="15" s="1"/>
  <c r="D24" i="15"/>
  <c r="J3" i="15" s="1"/>
  <c r="D23" i="15"/>
  <c r="K3" i="15" s="1"/>
  <c r="D52" i="14"/>
  <c r="J17" i="14" s="1"/>
  <c r="D51" i="14"/>
  <c r="K17" i="14" s="1"/>
  <c r="L17" i="14" s="1"/>
  <c r="D50" i="14"/>
  <c r="J16" i="14" s="1"/>
  <c r="D49" i="14"/>
  <c r="K16" i="14" s="1"/>
  <c r="L16" i="14" s="1"/>
  <c r="D48" i="14"/>
  <c r="J15" i="14" s="1"/>
  <c r="D47" i="14"/>
  <c r="K15" i="14" s="1"/>
  <c r="L15" i="14" s="1"/>
  <c r="D46" i="14"/>
  <c r="J14" i="14" s="1"/>
  <c r="D45" i="14"/>
  <c r="K14" i="14" s="1"/>
  <c r="L14" i="14" s="1"/>
  <c r="D44" i="14"/>
  <c r="J13" i="14" s="1"/>
  <c r="D43" i="14"/>
  <c r="K13" i="14" s="1"/>
  <c r="L13" i="14" s="1"/>
  <c r="D42" i="14"/>
  <c r="J12" i="14" s="1"/>
  <c r="D41" i="14"/>
  <c r="K12" i="14" s="1"/>
  <c r="L12" i="14" s="1"/>
  <c r="D40" i="14"/>
  <c r="J11" i="14" s="1"/>
  <c r="D39" i="14"/>
  <c r="K11" i="14" s="1"/>
  <c r="L11" i="14" s="1"/>
  <c r="D38" i="14"/>
  <c r="J10" i="14" s="1"/>
  <c r="D37" i="14"/>
  <c r="K10" i="14" s="1"/>
  <c r="L10" i="14" s="1"/>
  <c r="D36" i="14"/>
  <c r="J9" i="14" s="1"/>
  <c r="D35" i="14"/>
  <c r="K9" i="14" s="1"/>
  <c r="L9" i="14" s="1"/>
  <c r="D34" i="14"/>
  <c r="J8" i="14" s="1"/>
  <c r="D33" i="14"/>
  <c r="K8" i="14" s="1"/>
  <c r="L8" i="14" s="1"/>
  <c r="D32" i="14"/>
  <c r="J7" i="14" s="1"/>
  <c r="D31" i="14"/>
  <c r="K7" i="14" s="1"/>
  <c r="L7" i="14" s="1"/>
  <c r="D30" i="14"/>
  <c r="J6" i="14" s="1"/>
  <c r="D29" i="14"/>
  <c r="K6" i="14" s="1"/>
  <c r="L6" i="14" s="1"/>
  <c r="D28" i="14"/>
  <c r="J5" i="14" s="1"/>
  <c r="D27" i="14"/>
  <c r="K5" i="14" s="1"/>
  <c r="L5" i="14" s="1"/>
  <c r="D26" i="14"/>
  <c r="J4" i="14" s="1"/>
  <c r="D25" i="14"/>
  <c r="K4" i="14" s="1"/>
  <c r="L4" i="14" s="1"/>
  <c r="D24" i="14"/>
  <c r="J3" i="14" s="1"/>
  <c r="D23" i="14"/>
  <c r="K3" i="14" s="1"/>
  <c r="D52" i="13"/>
  <c r="J17" i="13" s="1"/>
  <c r="D51" i="13"/>
  <c r="K17" i="13" s="1"/>
  <c r="L17" i="13" s="1"/>
  <c r="D50" i="13"/>
  <c r="J16" i="13" s="1"/>
  <c r="D49" i="13"/>
  <c r="K16" i="13" s="1"/>
  <c r="L16" i="13" s="1"/>
  <c r="D48" i="13"/>
  <c r="J15" i="13" s="1"/>
  <c r="D47" i="13"/>
  <c r="K15" i="13" s="1"/>
  <c r="L15" i="13" s="1"/>
  <c r="D46" i="13"/>
  <c r="J14" i="13" s="1"/>
  <c r="D45" i="13"/>
  <c r="K14" i="13" s="1"/>
  <c r="L14" i="13" s="1"/>
  <c r="D44" i="13"/>
  <c r="J13" i="13" s="1"/>
  <c r="D43" i="13"/>
  <c r="K13" i="13" s="1"/>
  <c r="L13" i="13" s="1"/>
  <c r="D42" i="13"/>
  <c r="J12" i="13" s="1"/>
  <c r="D41" i="13"/>
  <c r="K12" i="13" s="1"/>
  <c r="L12" i="13" s="1"/>
  <c r="D40" i="13"/>
  <c r="J11" i="13" s="1"/>
  <c r="D39" i="13"/>
  <c r="K11" i="13" s="1"/>
  <c r="L11" i="13" s="1"/>
  <c r="D38" i="13"/>
  <c r="J10" i="13" s="1"/>
  <c r="D37" i="13"/>
  <c r="K10" i="13" s="1"/>
  <c r="L10" i="13" s="1"/>
  <c r="D36" i="13"/>
  <c r="J9" i="13" s="1"/>
  <c r="D35" i="13"/>
  <c r="K9" i="13" s="1"/>
  <c r="L9" i="13" s="1"/>
  <c r="D34" i="13"/>
  <c r="J8" i="13" s="1"/>
  <c r="D33" i="13"/>
  <c r="K8" i="13" s="1"/>
  <c r="L8" i="13" s="1"/>
  <c r="D32" i="13"/>
  <c r="J7" i="13" s="1"/>
  <c r="D31" i="13"/>
  <c r="K7" i="13" s="1"/>
  <c r="L7" i="13" s="1"/>
  <c r="D30" i="13"/>
  <c r="J6" i="13" s="1"/>
  <c r="D29" i="13"/>
  <c r="K6" i="13" s="1"/>
  <c r="L6" i="13" s="1"/>
  <c r="D28" i="13"/>
  <c r="J5" i="13" s="1"/>
  <c r="D27" i="13"/>
  <c r="K5" i="13" s="1"/>
  <c r="L5" i="13" s="1"/>
  <c r="D26" i="13"/>
  <c r="J4" i="13" s="1"/>
  <c r="D25" i="13"/>
  <c r="K4" i="13" s="1"/>
  <c r="L4" i="13" s="1"/>
  <c r="D24" i="13"/>
  <c r="J3" i="13" s="1"/>
  <c r="D23" i="13"/>
  <c r="K3" i="13" s="1"/>
  <c r="D52" i="12"/>
  <c r="J17" i="12" s="1"/>
  <c r="D51" i="12"/>
  <c r="K17" i="12" s="1"/>
  <c r="L17" i="12" s="1"/>
  <c r="D50" i="12"/>
  <c r="J16" i="12" s="1"/>
  <c r="D49" i="12"/>
  <c r="K16" i="12" s="1"/>
  <c r="L16" i="12" s="1"/>
  <c r="D48" i="12"/>
  <c r="J15" i="12" s="1"/>
  <c r="D47" i="12"/>
  <c r="K15" i="12" s="1"/>
  <c r="L15" i="12" s="1"/>
  <c r="D46" i="12"/>
  <c r="J14" i="12" s="1"/>
  <c r="D45" i="12"/>
  <c r="K14" i="12" s="1"/>
  <c r="L14" i="12" s="1"/>
  <c r="D44" i="12"/>
  <c r="J13" i="12" s="1"/>
  <c r="D43" i="12"/>
  <c r="K13" i="12" s="1"/>
  <c r="L13" i="12" s="1"/>
  <c r="D42" i="12"/>
  <c r="J12" i="12" s="1"/>
  <c r="D41" i="12"/>
  <c r="K12" i="12" s="1"/>
  <c r="L12" i="12" s="1"/>
  <c r="D40" i="12"/>
  <c r="J11" i="12" s="1"/>
  <c r="D39" i="12"/>
  <c r="K11" i="12" s="1"/>
  <c r="L11" i="12" s="1"/>
  <c r="D38" i="12"/>
  <c r="J10" i="12" s="1"/>
  <c r="D37" i="12"/>
  <c r="K10" i="12" s="1"/>
  <c r="L10" i="12" s="1"/>
  <c r="D36" i="12"/>
  <c r="J9" i="12" s="1"/>
  <c r="D35" i="12"/>
  <c r="K9" i="12" s="1"/>
  <c r="L9" i="12" s="1"/>
  <c r="D34" i="12"/>
  <c r="J8" i="12" s="1"/>
  <c r="D33" i="12"/>
  <c r="K8" i="12" s="1"/>
  <c r="L8" i="12" s="1"/>
  <c r="D32" i="12"/>
  <c r="J7" i="12" s="1"/>
  <c r="D31" i="12"/>
  <c r="K7" i="12" s="1"/>
  <c r="L7" i="12" s="1"/>
  <c r="D30" i="12"/>
  <c r="J6" i="12" s="1"/>
  <c r="D29" i="12"/>
  <c r="K6" i="12" s="1"/>
  <c r="L6" i="12" s="1"/>
  <c r="D28" i="12"/>
  <c r="J5" i="12" s="1"/>
  <c r="D27" i="12"/>
  <c r="K5" i="12" s="1"/>
  <c r="L5" i="12" s="1"/>
  <c r="D26" i="12"/>
  <c r="J4" i="12" s="1"/>
  <c r="D25" i="12"/>
  <c r="K4" i="12" s="1"/>
  <c r="L4" i="12" s="1"/>
  <c r="D24" i="12"/>
  <c r="J3" i="12" s="1"/>
  <c r="D23" i="12"/>
  <c r="K3" i="12" s="1"/>
  <c r="V144" i="20" l="1"/>
  <c r="M144" i="20" s="1"/>
  <c r="X144" i="20"/>
  <c r="S144" i="20"/>
  <c r="N144" i="20" s="1"/>
  <c r="O144" i="20" s="1"/>
  <c r="V143" i="20"/>
  <c r="M143" i="20" s="1"/>
  <c r="X143" i="20"/>
  <c r="S143" i="20"/>
  <c r="N143" i="20" s="1"/>
  <c r="V142" i="20"/>
  <c r="M142" i="20" s="1"/>
  <c r="X142" i="20"/>
  <c r="S142" i="20"/>
  <c r="N142" i="20" s="1"/>
  <c r="V141" i="20"/>
  <c r="M141" i="20" s="1"/>
  <c r="X141" i="20"/>
  <c r="S141" i="20"/>
  <c r="N141" i="20" s="1"/>
  <c r="V140" i="20"/>
  <c r="M140" i="20" s="1"/>
  <c r="X140" i="20"/>
  <c r="S140" i="20"/>
  <c r="N140" i="20" s="1"/>
  <c r="V139" i="20"/>
  <c r="M139" i="20" s="1"/>
  <c r="X139" i="20"/>
  <c r="S139" i="20"/>
  <c r="N139" i="20" s="1"/>
  <c r="V138" i="20"/>
  <c r="M138" i="20" s="1"/>
  <c r="X138" i="20"/>
  <c r="S138" i="20"/>
  <c r="N138" i="20" s="1"/>
  <c r="V137" i="20"/>
  <c r="M137" i="20" s="1"/>
  <c r="X137" i="20"/>
  <c r="S137" i="20"/>
  <c r="N137" i="20" s="1"/>
  <c r="V136" i="20"/>
  <c r="M136" i="20" s="1"/>
  <c r="X136" i="20"/>
  <c r="S136" i="20"/>
  <c r="N136" i="20" s="1"/>
  <c r="V135" i="20"/>
  <c r="M135" i="20" s="1"/>
  <c r="X135" i="20"/>
  <c r="S135" i="20"/>
  <c r="N135" i="20" s="1"/>
  <c r="V134" i="20"/>
  <c r="M134" i="20" s="1"/>
  <c r="X134" i="20"/>
  <c r="S134" i="20"/>
  <c r="N134" i="20" s="1"/>
  <c r="V133" i="20"/>
  <c r="M133" i="20" s="1"/>
  <c r="X133" i="20"/>
  <c r="S133" i="20"/>
  <c r="N133" i="20" s="1"/>
  <c r="V132" i="20"/>
  <c r="M132" i="20" s="1"/>
  <c r="X132" i="20"/>
  <c r="S132" i="20"/>
  <c r="N132" i="20" s="1"/>
  <c r="V131" i="20"/>
  <c r="M131" i="20" s="1"/>
  <c r="X131" i="20"/>
  <c r="S131" i="20"/>
  <c r="N131" i="20" s="1"/>
  <c r="V130" i="20"/>
  <c r="M130" i="20" s="1"/>
  <c r="X130" i="20"/>
  <c r="S130" i="20"/>
  <c r="N130" i="20" s="1"/>
  <c r="V126" i="20"/>
  <c r="M126" i="20" s="1"/>
  <c r="X126" i="20"/>
  <c r="S126" i="20"/>
  <c r="N126" i="20" s="1"/>
  <c r="O126" i="20" s="1"/>
  <c r="V125" i="20"/>
  <c r="M125" i="20" s="1"/>
  <c r="X125" i="20"/>
  <c r="S125" i="20"/>
  <c r="N125" i="20" s="1"/>
  <c r="V124" i="20"/>
  <c r="M124" i="20" s="1"/>
  <c r="X124" i="20"/>
  <c r="S124" i="20"/>
  <c r="N124" i="20" s="1"/>
  <c r="V123" i="20"/>
  <c r="M123" i="20" s="1"/>
  <c r="X123" i="20"/>
  <c r="S123" i="20"/>
  <c r="N123" i="20" s="1"/>
  <c r="V122" i="20"/>
  <c r="M122" i="20" s="1"/>
  <c r="X122" i="20"/>
  <c r="S122" i="20"/>
  <c r="N122" i="20" s="1"/>
  <c r="V121" i="20"/>
  <c r="M121" i="20" s="1"/>
  <c r="X121" i="20"/>
  <c r="S121" i="20"/>
  <c r="N121" i="20" s="1"/>
  <c r="V120" i="20"/>
  <c r="M120" i="20" s="1"/>
  <c r="X120" i="20"/>
  <c r="S120" i="20"/>
  <c r="N120" i="20" s="1"/>
  <c r="V119" i="20"/>
  <c r="M119" i="20" s="1"/>
  <c r="X119" i="20"/>
  <c r="S119" i="20"/>
  <c r="N119" i="20" s="1"/>
  <c r="V118" i="20"/>
  <c r="M118" i="20" s="1"/>
  <c r="X118" i="20"/>
  <c r="S118" i="20"/>
  <c r="N118" i="20" s="1"/>
  <c r="V117" i="20"/>
  <c r="M117" i="20" s="1"/>
  <c r="X117" i="20"/>
  <c r="S117" i="20"/>
  <c r="N117" i="20" s="1"/>
  <c r="V116" i="20"/>
  <c r="M116" i="20" s="1"/>
  <c r="X116" i="20"/>
  <c r="S116" i="20"/>
  <c r="N116" i="20" s="1"/>
  <c r="V115" i="20"/>
  <c r="M115" i="20" s="1"/>
  <c r="X115" i="20"/>
  <c r="S115" i="20"/>
  <c r="N115" i="20" s="1"/>
  <c r="V114" i="20"/>
  <c r="M114" i="20" s="1"/>
  <c r="X114" i="20"/>
  <c r="S114" i="20"/>
  <c r="N114" i="20" s="1"/>
  <c r="V113" i="20"/>
  <c r="M113" i="20" s="1"/>
  <c r="X113" i="20"/>
  <c r="S113" i="20"/>
  <c r="N113" i="20" s="1"/>
  <c r="V112" i="20"/>
  <c r="M112" i="20" s="1"/>
  <c r="X112" i="20"/>
  <c r="S112" i="20"/>
  <c r="N112" i="20" s="1"/>
  <c r="V108" i="20"/>
  <c r="M108" i="20" s="1"/>
  <c r="X108" i="20"/>
  <c r="S108" i="20"/>
  <c r="N108" i="20" s="1"/>
  <c r="O108" i="20" s="1"/>
  <c r="V107" i="20"/>
  <c r="M107" i="20" s="1"/>
  <c r="X107" i="20"/>
  <c r="S107" i="20"/>
  <c r="N107" i="20" s="1"/>
  <c r="V106" i="20"/>
  <c r="M106" i="20" s="1"/>
  <c r="X106" i="20"/>
  <c r="S106" i="20"/>
  <c r="N106" i="20" s="1"/>
  <c r="V105" i="20"/>
  <c r="M105" i="20" s="1"/>
  <c r="X105" i="20"/>
  <c r="S105" i="20"/>
  <c r="N105" i="20" s="1"/>
  <c r="V104" i="20"/>
  <c r="M104" i="20" s="1"/>
  <c r="X104" i="20"/>
  <c r="S104" i="20"/>
  <c r="N104" i="20" s="1"/>
  <c r="V103" i="20"/>
  <c r="M103" i="20" s="1"/>
  <c r="X103" i="20"/>
  <c r="S103" i="20"/>
  <c r="N103" i="20" s="1"/>
  <c r="V102" i="20"/>
  <c r="M102" i="20" s="1"/>
  <c r="X102" i="20"/>
  <c r="S102" i="20"/>
  <c r="N102" i="20" s="1"/>
  <c r="V101" i="20"/>
  <c r="M101" i="20" s="1"/>
  <c r="X101" i="20"/>
  <c r="S101" i="20"/>
  <c r="N101" i="20" s="1"/>
  <c r="V100" i="20"/>
  <c r="M100" i="20" s="1"/>
  <c r="X100" i="20"/>
  <c r="S100" i="20"/>
  <c r="N100" i="20" s="1"/>
  <c r="V99" i="20"/>
  <c r="M99" i="20" s="1"/>
  <c r="X99" i="20"/>
  <c r="S99" i="20"/>
  <c r="N99" i="20" s="1"/>
  <c r="V98" i="20"/>
  <c r="M98" i="20" s="1"/>
  <c r="X98" i="20"/>
  <c r="S98" i="20"/>
  <c r="N98" i="20" s="1"/>
  <c r="V97" i="20"/>
  <c r="M97" i="20" s="1"/>
  <c r="X97" i="20"/>
  <c r="S97" i="20"/>
  <c r="N97" i="20" s="1"/>
  <c r="V96" i="20"/>
  <c r="M96" i="20" s="1"/>
  <c r="X96" i="20"/>
  <c r="S96" i="20"/>
  <c r="N96" i="20" s="1"/>
  <c r="V95" i="20"/>
  <c r="M95" i="20" s="1"/>
  <c r="X95" i="20"/>
  <c r="S95" i="20"/>
  <c r="N95" i="20" s="1"/>
  <c r="V94" i="20"/>
  <c r="M94" i="20" s="1"/>
  <c r="X94" i="20"/>
  <c r="S94" i="20"/>
  <c r="N94" i="20" s="1"/>
  <c r="V90" i="20"/>
  <c r="M90" i="20" s="1"/>
  <c r="X90" i="20"/>
  <c r="S90" i="20"/>
  <c r="N90" i="20" s="1"/>
  <c r="O90" i="20" s="1"/>
  <c r="V89" i="20"/>
  <c r="M89" i="20" s="1"/>
  <c r="X89" i="20"/>
  <c r="S89" i="20"/>
  <c r="N89" i="20" s="1"/>
  <c r="V88" i="20"/>
  <c r="M88" i="20" s="1"/>
  <c r="X88" i="20"/>
  <c r="S88" i="20"/>
  <c r="N88" i="20" s="1"/>
  <c r="V87" i="20"/>
  <c r="M87" i="20" s="1"/>
  <c r="X87" i="20"/>
  <c r="S87" i="20"/>
  <c r="N87" i="20" s="1"/>
  <c r="V86" i="20"/>
  <c r="M86" i="20" s="1"/>
  <c r="X86" i="20"/>
  <c r="S86" i="20"/>
  <c r="N86" i="20" s="1"/>
  <c r="V85" i="20"/>
  <c r="M85" i="20" s="1"/>
  <c r="X85" i="20"/>
  <c r="S85" i="20"/>
  <c r="N85" i="20" s="1"/>
  <c r="V84" i="20"/>
  <c r="M84" i="20" s="1"/>
  <c r="X84" i="20"/>
  <c r="S84" i="20"/>
  <c r="N84" i="20" s="1"/>
  <c r="V83" i="20"/>
  <c r="M83" i="20" s="1"/>
  <c r="X83" i="20"/>
  <c r="S83" i="20"/>
  <c r="N83" i="20" s="1"/>
  <c r="V82" i="20"/>
  <c r="M82" i="20" s="1"/>
  <c r="X82" i="20"/>
  <c r="S82" i="20"/>
  <c r="N82" i="20" s="1"/>
  <c r="V81" i="20"/>
  <c r="M81" i="20" s="1"/>
  <c r="X81" i="20"/>
  <c r="S81" i="20"/>
  <c r="N81" i="20" s="1"/>
  <c r="V80" i="20"/>
  <c r="M80" i="20" s="1"/>
  <c r="X80" i="20"/>
  <c r="S80" i="20"/>
  <c r="N80" i="20" s="1"/>
  <c r="V79" i="20"/>
  <c r="M79" i="20" s="1"/>
  <c r="X79" i="20"/>
  <c r="S79" i="20"/>
  <c r="N79" i="20" s="1"/>
  <c r="V78" i="20"/>
  <c r="M78" i="20" s="1"/>
  <c r="X78" i="20"/>
  <c r="S78" i="20"/>
  <c r="N78" i="20" s="1"/>
  <c r="V77" i="20"/>
  <c r="M77" i="20" s="1"/>
  <c r="X77" i="20"/>
  <c r="S77" i="20"/>
  <c r="N77" i="20" s="1"/>
  <c r="V76" i="20"/>
  <c r="M76" i="20" s="1"/>
  <c r="X76" i="20"/>
  <c r="S76" i="20"/>
  <c r="N76" i="20" s="1"/>
  <c r="V72" i="20"/>
  <c r="M72" i="20" s="1"/>
  <c r="X72" i="20"/>
  <c r="S72" i="20"/>
  <c r="N72" i="20" s="1"/>
  <c r="O72" i="20" s="1"/>
  <c r="V71" i="20"/>
  <c r="M71" i="20" s="1"/>
  <c r="X71" i="20"/>
  <c r="S71" i="20"/>
  <c r="N71" i="20" s="1"/>
  <c r="V70" i="20"/>
  <c r="M70" i="20" s="1"/>
  <c r="X70" i="20"/>
  <c r="S70" i="20"/>
  <c r="N70" i="20" s="1"/>
  <c r="V69" i="20"/>
  <c r="M69" i="20" s="1"/>
  <c r="X69" i="20"/>
  <c r="S69" i="20"/>
  <c r="N69" i="20" s="1"/>
  <c r="V68" i="20"/>
  <c r="M68" i="20" s="1"/>
  <c r="X68" i="20"/>
  <c r="S68" i="20"/>
  <c r="N68" i="20" s="1"/>
  <c r="V67" i="20"/>
  <c r="M67" i="20" s="1"/>
  <c r="X67" i="20"/>
  <c r="S67" i="20"/>
  <c r="N67" i="20" s="1"/>
  <c r="V66" i="20"/>
  <c r="M66" i="20" s="1"/>
  <c r="X66" i="20"/>
  <c r="S66" i="20"/>
  <c r="N66" i="20" s="1"/>
  <c r="V65" i="20"/>
  <c r="M65" i="20" s="1"/>
  <c r="X65" i="20"/>
  <c r="S65" i="20"/>
  <c r="N65" i="20" s="1"/>
  <c r="V64" i="20"/>
  <c r="M64" i="20" s="1"/>
  <c r="X64" i="20"/>
  <c r="S64" i="20"/>
  <c r="N64" i="20" s="1"/>
  <c r="V63" i="20"/>
  <c r="M63" i="20" s="1"/>
  <c r="X63" i="20"/>
  <c r="S63" i="20"/>
  <c r="N63" i="20" s="1"/>
  <c r="V62" i="20"/>
  <c r="M62" i="20" s="1"/>
  <c r="X62" i="20"/>
  <c r="S62" i="20"/>
  <c r="N62" i="20" s="1"/>
  <c r="V61" i="20"/>
  <c r="M61" i="20" s="1"/>
  <c r="X61" i="20"/>
  <c r="S61" i="20"/>
  <c r="N61" i="20" s="1"/>
  <c r="V60" i="20"/>
  <c r="M60" i="20" s="1"/>
  <c r="X60" i="20"/>
  <c r="S60" i="20"/>
  <c r="N60" i="20" s="1"/>
  <c r="V59" i="20"/>
  <c r="M59" i="20" s="1"/>
  <c r="X59" i="20"/>
  <c r="S59" i="20"/>
  <c r="N59" i="20" s="1"/>
  <c r="V58" i="20"/>
  <c r="M58" i="20" s="1"/>
  <c r="X58" i="20"/>
  <c r="S58" i="20"/>
  <c r="N58" i="20" s="1"/>
  <c r="V54" i="20"/>
  <c r="M54" i="20" s="1"/>
  <c r="X54" i="20"/>
  <c r="S54" i="20"/>
  <c r="N54" i="20" s="1"/>
  <c r="O54" i="20" s="1"/>
  <c r="V53" i="20"/>
  <c r="M53" i="20" s="1"/>
  <c r="X53" i="20"/>
  <c r="S53" i="20"/>
  <c r="N53" i="20" s="1"/>
  <c r="V52" i="20"/>
  <c r="M52" i="20" s="1"/>
  <c r="X52" i="20"/>
  <c r="S52" i="20"/>
  <c r="N52" i="20" s="1"/>
  <c r="V51" i="20"/>
  <c r="M51" i="20" s="1"/>
  <c r="X51" i="20"/>
  <c r="S51" i="20"/>
  <c r="N51" i="20" s="1"/>
  <c r="V50" i="20"/>
  <c r="M50" i="20" s="1"/>
  <c r="X50" i="20"/>
  <c r="S50" i="20"/>
  <c r="N50" i="20" s="1"/>
  <c r="V49" i="20"/>
  <c r="M49" i="20" s="1"/>
  <c r="X49" i="20"/>
  <c r="S49" i="20"/>
  <c r="N49" i="20" s="1"/>
  <c r="V48" i="20"/>
  <c r="M48" i="20" s="1"/>
  <c r="X48" i="20"/>
  <c r="S48" i="20"/>
  <c r="N48" i="20" s="1"/>
  <c r="V47" i="20"/>
  <c r="M47" i="20" s="1"/>
  <c r="X47" i="20"/>
  <c r="S47" i="20"/>
  <c r="N47" i="20" s="1"/>
  <c r="V46" i="20"/>
  <c r="M46" i="20" s="1"/>
  <c r="X46" i="20"/>
  <c r="S46" i="20"/>
  <c r="N46" i="20" s="1"/>
  <c r="V45" i="20"/>
  <c r="M45" i="20" s="1"/>
  <c r="X45" i="20"/>
  <c r="S45" i="20"/>
  <c r="N45" i="20" s="1"/>
  <c r="V44" i="20"/>
  <c r="M44" i="20" s="1"/>
  <c r="X44" i="20"/>
  <c r="S44" i="20"/>
  <c r="N44" i="20" s="1"/>
  <c r="V43" i="20"/>
  <c r="M43" i="20" s="1"/>
  <c r="X43" i="20"/>
  <c r="S43" i="20"/>
  <c r="N43" i="20" s="1"/>
  <c r="V42" i="20"/>
  <c r="M42" i="20" s="1"/>
  <c r="X42" i="20"/>
  <c r="S42" i="20"/>
  <c r="N42" i="20" s="1"/>
  <c r="V41" i="20"/>
  <c r="M41" i="20" s="1"/>
  <c r="X41" i="20"/>
  <c r="S41" i="20"/>
  <c r="N41" i="20" s="1"/>
  <c r="V40" i="20"/>
  <c r="M40" i="20" s="1"/>
  <c r="X40" i="20"/>
  <c r="S40" i="20"/>
  <c r="N40" i="20" s="1"/>
  <c r="V36" i="20"/>
  <c r="M36" i="20" s="1"/>
  <c r="X36" i="20"/>
  <c r="S36" i="20"/>
  <c r="N36" i="20" s="1"/>
  <c r="O36" i="20" s="1"/>
  <c r="V35" i="20"/>
  <c r="M35" i="20" s="1"/>
  <c r="X35" i="20"/>
  <c r="S35" i="20"/>
  <c r="N35" i="20" s="1"/>
  <c r="V34" i="20"/>
  <c r="M34" i="20" s="1"/>
  <c r="X34" i="20"/>
  <c r="S34" i="20"/>
  <c r="N34" i="20" s="1"/>
  <c r="V33" i="20"/>
  <c r="M33" i="20" s="1"/>
  <c r="X33" i="20"/>
  <c r="S33" i="20"/>
  <c r="N33" i="20" s="1"/>
  <c r="V32" i="20"/>
  <c r="M32" i="20" s="1"/>
  <c r="X32" i="20"/>
  <c r="S32" i="20"/>
  <c r="N32" i="20" s="1"/>
  <c r="V31" i="20"/>
  <c r="M31" i="20" s="1"/>
  <c r="X31" i="20"/>
  <c r="S31" i="20"/>
  <c r="N31" i="20" s="1"/>
  <c r="V30" i="20"/>
  <c r="M30" i="20" s="1"/>
  <c r="X30" i="20"/>
  <c r="S30" i="20"/>
  <c r="N30" i="20" s="1"/>
  <c r="V29" i="20"/>
  <c r="M29" i="20" s="1"/>
  <c r="X29" i="20"/>
  <c r="S29" i="20"/>
  <c r="N29" i="20" s="1"/>
  <c r="V28" i="20"/>
  <c r="M28" i="20" s="1"/>
  <c r="X28" i="20"/>
  <c r="S28" i="20"/>
  <c r="N28" i="20" s="1"/>
  <c r="V27" i="20"/>
  <c r="M27" i="20" s="1"/>
  <c r="X27" i="20"/>
  <c r="S27" i="20"/>
  <c r="N27" i="20" s="1"/>
  <c r="V26" i="20"/>
  <c r="M26" i="20" s="1"/>
  <c r="X26" i="20"/>
  <c r="S26" i="20"/>
  <c r="N26" i="20" s="1"/>
  <c r="V25" i="20"/>
  <c r="M25" i="20" s="1"/>
  <c r="X25" i="20"/>
  <c r="S25" i="20"/>
  <c r="N25" i="20" s="1"/>
  <c r="V24" i="20"/>
  <c r="M24" i="20" s="1"/>
  <c r="X24" i="20"/>
  <c r="S24" i="20"/>
  <c r="N24" i="20" s="1"/>
  <c r="V23" i="20"/>
  <c r="M23" i="20" s="1"/>
  <c r="X23" i="20"/>
  <c r="S23" i="20"/>
  <c r="N23" i="20" s="1"/>
  <c r="V22" i="20"/>
  <c r="M22" i="20" s="1"/>
  <c r="X22" i="20"/>
  <c r="S22" i="20"/>
  <c r="N22" i="20" s="1"/>
  <c r="I50" i="1" l="1"/>
  <c r="AB26" i="1"/>
  <c r="I68" i="1"/>
  <c r="I59" i="1"/>
  <c r="C15" i="20"/>
  <c r="I51" i="1" l="1"/>
  <c r="AB27" i="1"/>
  <c r="I69" i="1"/>
  <c r="I60" i="1"/>
  <c r="C14" i="20"/>
  <c r="C13" i="20"/>
  <c r="C12" i="20"/>
  <c r="C11" i="20"/>
  <c r="C10" i="20"/>
  <c r="C9" i="20"/>
  <c r="C7" i="20"/>
  <c r="C6" i="20"/>
  <c r="C4" i="20"/>
  <c r="C3" i="20"/>
  <c r="C2" i="20"/>
  <c r="V18" i="20"/>
  <c r="M18" i="20" s="1"/>
  <c r="X18" i="20"/>
  <c r="S18" i="20"/>
  <c r="N18" i="20" s="1"/>
  <c r="O18" i="20" s="1"/>
  <c r="V17" i="20"/>
  <c r="M17" i="20" s="1"/>
  <c r="X17" i="20"/>
  <c r="S17" i="20"/>
  <c r="N17" i="20" s="1"/>
  <c r="V16" i="20"/>
  <c r="M16" i="20" s="1"/>
  <c r="X16" i="20"/>
  <c r="S16" i="20"/>
  <c r="N16" i="20" s="1"/>
  <c r="V15" i="20"/>
  <c r="M15" i="20" s="1"/>
  <c r="X15" i="20"/>
  <c r="S15" i="20"/>
  <c r="N15" i="20" s="1"/>
  <c r="V14" i="20"/>
  <c r="M14" i="20" s="1"/>
  <c r="X14" i="20"/>
  <c r="S14" i="20"/>
  <c r="N14" i="20" s="1"/>
  <c r="V13" i="20"/>
  <c r="M13" i="20" s="1"/>
  <c r="X13" i="20"/>
  <c r="S13" i="20"/>
  <c r="N13" i="20" s="1"/>
  <c r="V12" i="20"/>
  <c r="M12" i="20" s="1"/>
  <c r="X12" i="20"/>
  <c r="S12" i="20"/>
  <c r="N12" i="20" s="1"/>
  <c r="V11" i="20"/>
  <c r="M11" i="20" s="1"/>
  <c r="X11" i="20"/>
  <c r="S11" i="20"/>
  <c r="N11" i="20" s="1"/>
  <c r="V10" i="20"/>
  <c r="M10" i="20" s="1"/>
  <c r="X10" i="20"/>
  <c r="S10" i="20"/>
  <c r="N10" i="20" s="1"/>
  <c r="V9" i="20"/>
  <c r="M9" i="20" s="1"/>
  <c r="X9" i="20"/>
  <c r="S9" i="20"/>
  <c r="N9" i="20" s="1"/>
  <c r="V8" i="20"/>
  <c r="M8" i="20" s="1"/>
  <c r="X8" i="20"/>
  <c r="S8" i="20"/>
  <c r="N8" i="20" s="1"/>
  <c r="V7" i="20"/>
  <c r="M7" i="20" s="1"/>
  <c r="X7" i="20"/>
  <c r="S7" i="20"/>
  <c r="N7" i="20" s="1"/>
  <c r="V6" i="20"/>
  <c r="M6" i="20" s="1"/>
  <c r="X6" i="20"/>
  <c r="S6" i="20"/>
  <c r="N6" i="20" s="1"/>
  <c r="V5" i="20"/>
  <c r="M5" i="20" s="1"/>
  <c r="X5" i="20"/>
  <c r="S5" i="20"/>
  <c r="N5" i="20" s="1"/>
  <c r="V4" i="20"/>
  <c r="M4" i="20" s="1"/>
  <c r="X4" i="20"/>
  <c r="S4" i="20"/>
  <c r="N4" i="20" s="1"/>
  <c r="I52" i="1" l="1"/>
  <c r="AB28" i="1"/>
  <c r="I70" i="1"/>
  <c r="I61" i="1"/>
  <c r="G8" i="20"/>
  <c r="G9" i="20" s="1"/>
  <c r="G116" i="20"/>
  <c r="G134" i="20"/>
  <c r="G156" i="20"/>
  <c r="G12" i="20"/>
  <c r="G242" i="20"/>
  <c r="G224" i="20"/>
  <c r="G170" i="20"/>
  <c r="G260" i="20"/>
  <c r="G278" i="20"/>
  <c r="G206" i="20"/>
  <c r="G188" i="20"/>
  <c r="G152" i="20"/>
  <c r="G98" i="20"/>
  <c r="G44" i="20"/>
  <c r="G26" i="20"/>
  <c r="G80" i="20"/>
  <c r="G62" i="20"/>
  <c r="G226" i="20"/>
  <c r="G227" i="20" s="1"/>
  <c r="G172" i="20"/>
  <c r="G173" i="20" s="1"/>
  <c r="G244" i="20"/>
  <c r="G245" i="20" s="1"/>
  <c r="G262" i="20"/>
  <c r="G263" i="20" s="1"/>
  <c r="G280" i="20"/>
  <c r="G281" i="20" s="1"/>
  <c r="G208" i="20"/>
  <c r="G209" i="20" s="1"/>
  <c r="G154" i="20"/>
  <c r="G155" i="20" s="1"/>
  <c r="G190" i="20"/>
  <c r="G191" i="20" s="1"/>
  <c r="G82" i="20"/>
  <c r="G83" i="20" s="1"/>
  <c r="G100" i="20"/>
  <c r="G101" i="20" s="1"/>
  <c r="G28" i="20"/>
  <c r="G29" i="20" s="1"/>
  <c r="G118" i="20"/>
  <c r="G119" i="20" s="1"/>
  <c r="G136" i="20"/>
  <c r="G137" i="20" s="1"/>
  <c r="G64" i="20"/>
  <c r="G65" i="20" s="1"/>
  <c r="G46" i="20"/>
  <c r="G47" i="20" s="1"/>
  <c r="G10" i="20"/>
  <c r="G11" i="20" s="1"/>
  <c r="I53" i="1" l="1"/>
  <c r="J4" i="20"/>
  <c r="O4" i="20" s="1"/>
  <c r="J148" i="20"/>
  <c r="K148" i="20" s="1"/>
  <c r="AB29" i="1"/>
  <c r="I71" i="1"/>
  <c r="I62" i="1"/>
  <c r="G225" i="20"/>
  <c r="G81" i="20"/>
  <c r="K126" i="20"/>
  <c r="K270" i="20"/>
  <c r="G45" i="20"/>
  <c r="G279" i="20"/>
  <c r="G27" i="20"/>
  <c r="K108" i="20"/>
  <c r="K252" i="20"/>
  <c r="G135" i="20"/>
  <c r="G261" i="20"/>
  <c r="G207" i="20"/>
  <c r="K36" i="20"/>
  <c r="K90" i="20"/>
  <c r="K180" i="20"/>
  <c r="G117" i="20"/>
  <c r="G171" i="20"/>
  <c r="G189" i="20"/>
  <c r="K144" i="20"/>
  <c r="K54" i="20"/>
  <c r="K198" i="20"/>
  <c r="K234" i="20"/>
  <c r="G99" i="20"/>
  <c r="K216" i="20"/>
  <c r="K288" i="20"/>
  <c r="K72" i="20"/>
  <c r="K162" i="20"/>
  <c r="G63" i="20"/>
  <c r="G153" i="20"/>
  <c r="G243" i="20"/>
  <c r="K18" i="20"/>
  <c r="L18" i="20" s="1"/>
  <c r="C13" i="18"/>
  <c r="C18" i="18" s="1"/>
  <c r="C12" i="18"/>
  <c r="C10" i="18"/>
  <c r="C16" i="18" s="1"/>
  <c r="C8" i="18"/>
  <c r="C7" i="18"/>
  <c r="C4" i="18"/>
  <c r="C3" i="18"/>
  <c r="C2" i="18"/>
  <c r="C13" i="17"/>
  <c r="C18" i="17" s="1"/>
  <c r="C12" i="17"/>
  <c r="C10" i="17"/>
  <c r="C16" i="17" s="1"/>
  <c r="C8" i="17"/>
  <c r="C7" i="17"/>
  <c r="C4" i="17"/>
  <c r="C3" i="17"/>
  <c r="C2" i="17"/>
  <c r="C13" i="16"/>
  <c r="C18" i="16" s="1"/>
  <c r="C12" i="16"/>
  <c r="C10" i="16"/>
  <c r="C16" i="16" s="1"/>
  <c r="C8" i="16"/>
  <c r="C7" i="16"/>
  <c r="C4" i="16"/>
  <c r="C3" i="16"/>
  <c r="C2" i="16"/>
  <c r="C13" i="15"/>
  <c r="C18" i="15" s="1"/>
  <c r="C12" i="15"/>
  <c r="C10" i="15"/>
  <c r="C16" i="15" s="1"/>
  <c r="C8" i="15"/>
  <c r="C7" i="15"/>
  <c r="C4" i="15"/>
  <c r="C3" i="15"/>
  <c r="C2" i="15"/>
  <c r="C13" i="14"/>
  <c r="C18" i="14" s="1"/>
  <c r="C12" i="14"/>
  <c r="C10" i="14"/>
  <c r="C16" i="14" s="1"/>
  <c r="C8" i="14"/>
  <c r="C7" i="14"/>
  <c r="C4" i="14"/>
  <c r="C3" i="14"/>
  <c r="C2" i="14"/>
  <c r="C13" i="13"/>
  <c r="C18" i="13" s="1"/>
  <c r="C12" i="13"/>
  <c r="C10" i="13"/>
  <c r="C16" i="13" s="1"/>
  <c r="C8" i="13"/>
  <c r="C7" i="13"/>
  <c r="C4" i="13"/>
  <c r="C3" i="13"/>
  <c r="C2" i="13"/>
  <c r="C13" i="12"/>
  <c r="C18" i="12" s="1"/>
  <c r="C12" i="12"/>
  <c r="C10" i="12"/>
  <c r="C16" i="12" s="1"/>
  <c r="C8" i="12"/>
  <c r="C7" i="12"/>
  <c r="C4" i="12"/>
  <c r="C3" i="12"/>
  <c r="C2" i="12"/>
  <c r="K4" i="20" l="1"/>
  <c r="L4" i="20" s="1"/>
  <c r="P4" i="20" s="1"/>
  <c r="O148" i="20"/>
  <c r="G14" i="20"/>
  <c r="J15" i="20" s="1"/>
  <c r="K15" i="20" s="1"/>
  <c r="L15" i="20" s="1"/>
  <c r="I55" i="1"/>
  <c r="I54" i="1"/>
  <c r="G158" i="20"/>
  <c r="J152" i="20" s="1"/>
  <c r="O152" i="20" s="1"/>
  <c r="AB30" i="1"/>
  <c r="I73" i="1" s="1"/>
  <c r="I72" i="1"/>
  <c r="J56" i="12"/>
  <c r="G69" i="12"/>
  <c r="J53" i="12"/>
  <c r="J54" i="12"/>
  <c r="J57" i="12"/>
  <c r="J59" i="12"/>
  <c r="J58" i="12"/>
  <c r="J52" i="12"/>
  <c r="J64" i="12"/>
  <c r="J61" i="12"/>
  <c r="J49" i="12"/>
  <c r="J63" i="12"/>
  <c r="J60" i="12"/>
  <c r="J47" i="12"/>
  <c r="J51" i="12"/>
  <c r="J50" i="12"/>
  <c r="J62" i="12"/>
  <c r="J55" i="12"/>
  <c r="J65" i="12"/>
  <c r="J48" i="12"/>
  <c r="J59" i="14"/>
  <c r="J45" i="14"/>
  <c r="J46" i="14"/>
  <c r="J49" i="14"/>
  <c r="J47" i="14"/>
  <c r="J48" i="14"/>
  <c r="J56" i="14"/>
  <c r="G64" i="14"/>
  <c r="J52" i="14"/>
  <c r="J54" i="14"/>
  <c r="J50" i="14"/>
  <c r="J51" i="14"/>
  <c r="J53" i="14"/>
  <c r="J58" i="14"/>
  <c r="J55" i="14"/>
  <c r="J60" i="14"/>
  <c r="J57" i="14"/>
  <c r="J41" i="17"/>
  <c r="J50" i="17"/>
  <c r="J51" i="17"/>
  <c r="J44" i="17"/>
  <c r="J48" i="17"/>
  <c r="J47" i="17"/>
  <c r="J46" i="17"/>
  <c r="J43" i="17"/>
  <c r="J42" i="17"/>
  <c r="G56" i="17"/>
  <c r="J52" i="17"/>
  <c r="J49" i="17"/>
  <c r="J45" i="17"/>
  <c r="J40" i="18"/>
  <c r="J38" i="18"/>
  <c r="J44" i="18"/>
  <c r="J41" i="18"/>
  <c r="J46" i="18"/>
  <c r="J42" i="18"/>
  <c r="J48" i="18"/>
  <c r="J45" i="18"/>
  <c r="J47" i="18"/>
  <c r="J39" i="18"/>
  <c r="G54" i="18"/>
  <c r="J43" i="18"/>
  <c r="I64" i="1"/>
  <c r="I63" i="1"/>
  <c r="J59" i="13"/>
  <c r="J58" i="13"/>
  <c r="J57" i="13"/>
  <c r="J46" i="13"/>
  <c r="J49" i="13"/>
  <c r="J63" i="13"/>
  <c r="J48" i="13"/>
  <c r="J51" i="13"/>
  <c r="J60" i="13"/>
  <c r="J62" i="13"/>
  <c r="J47" i="13"/>
  <c r="J52" i="13"/>
  <c r="J53" i="13"/>
  <c r="J54" i="13"/>
  <c r="J50" i="13"/>
  <c r="J55" i="13"/>
  <c r="J61" i="13"/>
  <c r="J56" i="13"/>
  <c r="G67" i="13"/>
  <c r="J57" i="15"/>
  <c r="J45" i="15"/>
  <c r="J56" i="15"/>
  <c r="J47" i="15"/>
  <c r="J53" i="15"/>
  <c r="J58" i="15"/>
  <c r="J51" i="15"/>
  <c r="J55" i="15"/>
  <c r="J54" i="15"/>
  <c r="J46" i="15"/>
  <c r="J48" i="15"/>
  <c r="J44" i="15"/>
  <c r="J50" i="15"/>
  <c r="G62" i="15"/>
  <c r="J49" i="15"/>
  <c r="J52" i="15"/>
  <c r="J46" i="16"/>
  <c r="J54" i="16"/>
  <c r="J44" i="16"/>
  <c r="J50" i="16"/>
  <c r="J47" i="16"/>
  <c r="J53" i="16"/>
  <c r="J51" i="16"/>
  <c r="J43" i="16"/>
  <c r="J45" i="16"/>
  <c r="J48" i="16"/>
  <c r="J52" i="16"/>
  <c r="G59" i="16"/>
  <c r="J49" i="16"/>
  <c r="J55" i="16"/>
  <c r="J42" i="16"/>
  <c r="J5" i="20"/>
  <c r="K5" i="20" s="1"/>
  <c r="L5" i="20" s="1"/>
  <c r="J8" i="20"/>
  <c r="K8" i="20" s="1"/>
  <c r="L8" i="20" s="1"/>
  <c r="J14" i="20"/>
  <c r="O14" i="20" s="1"/>
  <c r="J155" i="20"/>
  <c r="J11" i="20"/>
  <c r="K11" i="20" s="1"/>
  <c r="L11" i="20" s="1"/>
  <c r="L234" i="20"/>
  <c r="P234" i="20" s="1"/>
  <c r="L216" i="20"/>
  <c r="P216" i="20" s="1"/>
  <c r="J16" i="20"/>
  <c r="J6" i="20"/>
  <c r="P18" i="20"/>
  <c r="C19" i="12"/>
  <c r="L288" i="20"/>
  <c r="P288" i="20" s="1"/>
  <c r="L36" i="20"/>
  <c r="P36" i="20" s="1"/>
  <c r="L144" i="20"/>
  <c r="P144" i="20" s="1"/>
  <c r="L198" i="20"/>
  <c r="P198" i="20" s="1"/>
  <c r="L90" i="20"/>
  <c r="P90" i="20" s="1"/>
  <c r="L54" i="20"/>
  <c r="P54" i="20" s="1"/>
  <c r="L162" i="20"/>
  <c r="L180" i="20"/>
  <c r="P180" i="20" s="1"/>
  <c r="C19" i="16"/>
  <c r="L148" i="20"/>
  <c r="L72" i="20"/>
  <c r="P72" i="20" s="1"/>
  <c r="L252" i="20"/>
  <c r="P252" i="20" s="1"/>
  <c r="L270" i="20"/>
  <c r="P270" i="20" s="1"/>
  <c r="L108" i="20"/>
  <c r="P108" i="20" s="1"/>
  <c r="L126" i="20"/>
  <c r="P126" i="20" s="1"/>
  <c r="C19" i="13"/>
  <c r="C19" i="17"/>
  <c r="C19" i="18"/>
  <c r="C19" i="14"/>
  <c r="C17" i="17"/>
  <c r="C19" i="15"/>
  <c r="C17" i="12"/>
  <c r="C17" i="18"/>
  <c r="C17" i="16"/>
  <c r="C17" i="15"/>
  <c r="C17" i="14"/>
  <c r="C17" i="13"/>
  <c r="J151" i="20" l="1"/>
  <c r="J160" i="20"/>
  <c r="K152" i="20"/>
  <c r="L152" i="20" s="1"/>
  <c r="J157" i="20"/>
  <c r="J158" i="20"/>
  <c r="K158" i="20" s="1"/>
  <c r="L158" i="20" s="1"/>
  <c r="J153" i="20"/>
  <c r="J150" i="20"/>
  <c r="K150" i="20" s="1"/>
  <c r="L150" i="20" s="1"/>
  <c r="J156" i="20"/>
  <c r="K156" i="20" s="1"/>
  <c r="L156" i="20" s="1"/>
  <c r="J161" i="20"/>
  <c r="O161" i="20" s="1"/>
  <c r="J154" i="20"/>
  <c r="O154" i="20" s="1"/>
  <c r="J17" i="20"/>
  <c r="O17" i="20" s="1"/>
  <c r="J7" i="20"/>
  <c r="K7" i="20" s="1"/>
  <c r="L7" i="20" s="1"/>
  <c r="J13" i="20"/>
  <c r="K13" i="20" s="1"/>
  <c r="L13" i="20" s="1"/>
  <c r="J12" i="20"/>
  <c r="J10" i="20"/>
  <c r="O10" i="20" s="1"/>
  <c r="J9" i="20"/>
  <c r="K9" i="20" s="1"/>
  <c r="L9" i="20" s="1"/>
  <c r="J149" i="20"/>
  <c r="K149" i="20" s="1"/>
  <c r="L149" i="20" s="1"/>
  <c r="K48" i="16"/>
  <c r="H48" i="16" s="1"/>
  <c r="I48" i="16" s="1"/>
  <c r="L48" i="16" s="1"/>
  <c r="K54" i="16"/>
  <c r="H54" i="16" s="1"/>
  <c r="I54" i="16" s="1"/>
  <c r="L54" i="16" s="1"/>
  <c r="J159" i="20"/>
  <c r="O159" i="20" s="1"/>
  <c r="P148" i="20"/>
  <c r="O5" i="20"/>
  <c r="K49" i="16"/>
  <c r="H49" i="16" s="1"/>
  <c r="I49" i="16" s="1"/>
  <c r="L49" i="16" s="1"/>
  <c r="K47" i="16"/>
  <c r="H47" i="16" s="1"/>
  <c r="I47" i="16" s="1"/>
  <c r="L47" i="16" s="1"/>
  <c r="K50" i="15"/>
  <c r="H50" i="15" s="1"/>
  <c r="I50" i="15" s="1"/>
  <c r="L50" i="15" s="1"/>
  <c r="K53" i="15"/>
  <c r="H53" i="15" s="1"/>
  <c r="I53" i="15" s="1"/>
  <c r="L53" i="15" s="1"/>
  <c r="K55" i="13"/>
  <c r="H55" i="13" s="1"/>
  <c r="I55" i="13" s="1"/>
  <c r="L55" i="13" s="1"/>
  <c r="K51" i="13"/>
  <c r="H51" i="13" s="1"/>
  <c r="I51" i="13" s="1"/>
  <c r="L51" i="13" s="1"/>
  <c r="K42" i="18"/>
  <c r="M42" i="18" s="1"/>
  <c r="K52" i="17"/>
  <c r="M52" i="17" s="1"/>
  <c r="K51" i="17"/>
  <c r="H51" i="17" s="1"/>
  <c r="I51" i="17" s="1"/>
  <c r="L51" i="17" s="1"/>
  <c r="K50" i="12"/>
  <c r="H50" i="12" s="1"/>
  <c r="I50" i="12" s="1"/>
  <c r="L50" i="12" s="1"/>
  <c r="K52" i="12"/>
  <c r="H52" i="12" s="1"/>
  <c r="I52" i="12" s="1"/>
  <c r="L52" i="12" s="1"/>
  <c r="K51" i="14"/>
  <c r="H51" i="14" s="1"/>
  <c r="I51" i="14" s="1"/>
  <c r="L51" i="14" s="1"/>
  <c r="K49" i="14"/>
  <c r="H49" i="14" s="1"/>
  <c r="I49" i="14" s="1"/>
  <c r="L49" i="14" s="1"/>
  <c r="H75" i="15"/>
  <c r="I75" i="15" s="1"/>
  <c r="H73" i="15"/>
  <c r="I73" i="15" s="1"/>
  <c r="H71" i="15"/>
  <c r="I71" i="15" s="1"/>
  <c r="H69" i="15"/>
  <c r="I69" i="15" s="1"/>
  <c r="H67" i="15"/>
  <c r="I67" i="15" s="1"/>
  <c r="H65" i="15"/>
  <c r="I65" i="15" s="1"/>
  <c r="H76" i="15"/>
  <c r="I76" i="15" s="1"/>
  <c r="H74" i="15"/>
  <c r="I74" i="15" s="1"/>
  <c r="H72" i="15"/>
  <c r="I72" i="15" s="1"/>
  <c r="H70" i="15"/>
  <c r="I70" i="15" s="1"/>
  <c r="H68" i="15"/>
  <c r="I68" i="15" s="1"/>
  <c r="H66" i="15"/>
  <c r="I66" i="15" s="1"/>
  <c r="H64" i="15"/>
  <c r="I64" i="15" s="1"/>
  <c r="H63" i="15"/>
  <c r="I63" i="15" s="1"/>
  <c r="H59" i="16"/>
  <c r="I59" i="16" s="1"/>
  <c r="L59" i="16"/>
  <c r="K50" i="16"/>
  <c r="H50" i="16" s="1"/>
  <c r="I50" i="16" s="1"/>
  <c r="L50" i="16" s="1"/>
  <c r="K44" i="15"/>
  <c r="H44" i="15" s="1"/>
  <c r="I44" i="15" s="1"/>
  <c r="L44" i="15" s="1"/>
  <c r="K47" i="15"/>
  <c r="H47" i="15" s="1"/>
  <c r="I47" i="15" s="1"/>
  <c r="L47" i="15" s="1"/>
  <c r="K50" i="13"/>
  <c r="H50" i="13" s="1"/>
  <c r="I50" i="13" s="1"/>
  <c r="L50" i="13" s="1"/>
  <c r="K48" i="13"/>
  <c r="H48" i="13" s="1"/>
  <c r="I48" i="13" s="1"/>
  <c r="L48" i="13" s="1"/>
  <c r="K46" i="18"/>
  <c r="H56" i="17"/>
  <c r="I56" i="17" s="1"/>
  <c r="L56" i="17"/>
  <c r="K50" i="17"/>
  <c r="K50" i="14"/>
  <c r="H50" i="14" s="1"/>
  <c r="I50" i="14" s="1"/>
  <c r="L50" i="14" s="1"/>
  <c r="K46" i="14"/>
  <c r="H46" i="14" s="1"/>
  <c r="I46" i="14" s="1"/>
  <c r="L46" i="14" s="1"/>
  <c r="K51" i="12"/>
  <c r="H51" i="12" s="1"/>
  <c r="I51" i="12" s="1"/>
  <c r="L51" i="12" s="1"/>
  <c r="K58" i="12"/>
  <c r="H58" i="12" s="1"/>
  <c r="I58" i="12" s="1"/>
  <c r="L58" i="12" s="1"/>
  <c r="K52" i="16"/>
  <c r="H52" i="16" s="1"/>
  <c r="I52" i="16" s="1"/>
  <c r="L52" i="16" s="1"/>
  <c r="K44" i="16"/>
  <c r="H44" i="16" s="1"/>
  <c r="I44" i="16" s="1"/>
  <c r="L44" i="16" s="1"/>
  <c r="K48" i="15"/>
  <c r="H48" i="15" s="1"/>
  <c r="I48" i="15" s="1"/>
  <c r="L48" i="15" s="1"/>
  <c r="K56" i="15"/>
  <c r="H56" i="15" s="1"/>
  <c r="I56" i="15" s="1"/>
  <c r="L56" i="15" s="1"/>
  <c r="K54" i="13"/>
  <c r="H54" i="13" s="1"/>
  <c r="I54" i="13" s="1"/>
  <c r="L54" i="13" s="1"/>
  <c r="K63" i="13"/>
  <c r="H63" i="13" s="1"/>
  <c r="I63" i="13" s="1"/>
  <c r="L63" i="13" s="1"/>
  <c r="K43" i="18"/>
  <c r="K41" i="18"/>
  <c r="K42" i="17"/>
  <c r="K41" i="17"/>
  <c r="H41" i="17" s="1"/>
  <c r="I41" i="17" s="1"/>
  <c r="L41" i="17" s="1"/>
  <c r="K54" i="14"/>
  <c r="H54" i="14" s="1"/>
  <c r="I54" i="14" s="1"/>
  <c r="L54" i="14" s="1"/>
  <c r="K45" i="14"/>
  <c r="H45" i="14" s="1"/>
  <c r="I45" i="14" s="1"/>
  <c r="L45" i="14" s="1"/>
  <c r="K47" i="12"/>
  <c r="K59" i="12"/>
  <c r="H59" i="12" s="1"/>
  <c r="I59" i="12" s="1"/>
  <c r="L59" i="12" s="1"/>
  <c r="K46" i="15"/>
  <c r="H46" i="15" s="1"/>
  <c r="I46" i="15" s="1"/>
  <c r="L46" i="15" s="1"/>
  <c r="K45" i="15"/>
  <c r="H45" i="15" s="1"/>
  <c r="I45" i="15" s="1"/>
  <c r="L45" i="15" s="1"/>
  <c r="K53" i="13"/>
  <c r="H53" i="13" s="1"/>
  <c r="I53" i="13" s="1"/>
  <c r="L53" i="13" s="1"/>
  <c r="K49" i="13"/>
  <c r="H49" i="13" s="1"/>
  <c r="I49" i="13" s="1"/>
  <c r="L49" i="13" s="1"/>
  <c r="L54" i="18"/>
  <c r="H54" i="18"/>
  <c r="I54" i="18" s="1"/>
  <c r="K44" i="18"/>
  <c r="K43" i="17"/>
  <c r="H43" i="17" s="1"/>
  <c r="I43" i="17" s="1"/>
  <c r="L43" i="17" s="1"/>
  <c r="K57" i="14"/>
  <c r="H57" i="14" s="1"/>
  <c r="I57" i="14" s="1"/>
  <c r="L57" i="14" s="1"/>
  <c r="K52" i="14"/>
  <c r="H52" i="14" s="1"/>
  <c r="I52" i="14" s="1"/>
  <c r="L52" i="14" s="1"/>
  <c r="K59" i="14"/>
  <c r="H59" i="14" s="1"/>
  <c r="I59" i="14" s="1"/>
  <c r="L59" i="14" s="1"/>
  <c r="K60" i="12"/>
  <c r="H60" i="12" s="1"/>
  <c r="I60" i="12" s="1"/>
  <c r="L60" i="12" s="1"/>
  <c r="K57" i="12"/>
  <c r="H57" i="12" s="1"/>
  <c r="I57" i="12" s="1"/>
  <c r="L57" i="12" s="1"/>
  <c r="H66" i="14"/>
  <c r="I66" i="14" s="1"/>
  <c r="H74" i="14"/>
  <c r="I74" i="14" s="1"/>
  <c r="H67" i="14"/>
  <c r="I67" i="14" s="1"/>
  <c r="H75" i="14"/>
  <c r="I75" i="14" s="1"/>
  <c r="H73" i="14"/>
  <c r="I73" i="14" s="1"/>
  <c r="H68" i="14"/>
  <c r="I68" i="14" s="1"/>
  <c r="H76" i="14"/>
  <c r="I76" i="14" s="1"/>
  <c r="H65" i="14"/>
  <c r="I65" i="14" s="1"/>
  <c r="H69" i="14"/>
  <c r="I69" i="14" s="1"/>
  <c r="H77" i="14"/>
  <c r="I77" i="14" s="1"/>
  <c r="H70" i="14"/>
  <c r="I70" i="14" s="1"/>
  <c r="H78" i="14"/>
  <c r="I78" i="14" s="1"/>
  <c r="H71" i="14"/>
  <c r="I71" i="14" s="1"/>
  <c r="H72" i="14"/>
  <c r="I72" i="14" s="1"/>
  <c r="H57" i="18"/>
  <c r="I57" i="18" s="1"/>
  <c r="H65" i="18"/>
  <c r="I65" i="18" s="1"/>
  <c r="H58" i="18"/>
  <c r="I58" i="18" s="1"/>
  <c r="H66" i="18"/>
  <c r="I66" i="18" s="1"/>
  <c r="H59" i="18"/>
  <c r="I59" i="18" s="1"/>
  <c r="H67" i="18"/>
  <c r="I67" i="18" s="1"/>
  <c r="H56" i="18"/>
  <c r="I56" i="18" s="1"/>
  <c r="H60" i="18"/>
  <c r="I60" i="18" s="1"/>
  <c r="H68" i="18"/>
  <c r="I68" i="18" s="1"/>
  <c r="H61" i="18"/>
  <c r="I61" i="18" s="1"/>
  <c r="H62" i="18"/>
  <c r="I62" i="18" s="1"/>
  <c r="H55" i="18"/>
  <c r="I55" i="18" s="1"/>
  <c r="H63" i="18"/>
  <c r="I63" i="18" s="1"/>
  <c r="H64" i="18"/>
  <c r="I64" i="18" s="1"/>
  <c r="K45" i="16"/>
  <c r="H45" i="16" s="1"/>
  <c r="I45" i="16" s="1"/>
  <c r="L45" i="16" s="1"/>
  <c r="K46" i="16"/>
  <c r="H46" i="16" s="1"/>
  <c r="I46" i="16" s="1"/>
  <c r="L46" i="16" s="1"/>
  <c r="K54" i="15"/>
  <c r="H54" i="15" s="1"/>
  <c r="I54" i="15" s="1"/>
  <c r="L54" i="15" s="1"/>
  <c r="K57" i="15"/>
  <c r="H57" i="15" s="1"/>
  <c r="I57" i="15" s="1"/>
  <c r="L57" i="15" s="1"/>
  <c r="K52" i="13"/>
  <c r="H52" i="13" s="1"/>
  <c r="I52" i="13" s="1"/>
  <c r="L52" i="13" s="1"/>
  <c r="K46" i="13"/>
  <c r="H46" i="13" s="1"/>
  <c r="I46" i="13" s="1"/>
  <c r="L46" i="13" s="1"/>
  <c r="K39" i="18"/>
  <c r="K38" i="18"/>
  <c r="K46" i="17"/>
  <c r="K60" i="14"/>
  <c r="H60" i="14" s="1"/>
  <c r="I60" i="14" s="1"/>
  <c r="L60" i="14" s="1"/>
  <c r="L64" i="14"/>
  <c r="H64" i="14"/>
  <c r="I64" i="14" s="1"/>
  <c r="K48" i="12"/>
  <c r="H48" i="12" s="1"/>
  <c r="I48" i="12" s="1"/>
  <c r="L48" i="12" s="1"/>
  <c r="K63" i="12"/>
  <c r="H63" i="12" s="1"/>
  <c r="I63" i="12" s="1"/>
  <c r="L63" i="12" s="1"/>
  <c r="K54" i="12"/>
  <c r="H54" i="12" s="1"/>
  <c r="I54" i="12" s="1"/>
  <c r="L54" i="12" s="1"/>
  <c r="H58" i="17"/>
  <c r="I58" i="17" s="1"/>
  <c r="H70" i="17"/>
  <c r="I70" i="17" s="1"/>
  <c r="H68" i="17"/>
  <c r="I68" i="17" s="1"/>
  <c r="H66" i="17"/>
  <c r="I66" i="17" s="1"/>
  <c r="H64" i="17"/>
  <c r="I64" i="17" s="1"/>
  <c r="H62" i="17"/>
  <c r="I62" i="17" s="1"/>
  <c r="H60" i="17"/>
  <c r="I60" i="17" s="1"/>
  <c r="H57" i="17"/>
  <c r="I57" i="17" s="1"/>
  <c r="H59" i="17"/>
  <c r="I59" i="17" s="1"/>
  <c r="H69" i="17"/>
  <c r="I69" i="17" s="1"/>
  <c r="H67" i="17"/>
  <c r="I67" i="17" s="1"/>
  <c r="H65" i="17"/>
  <c r="I65" i="17" s="1"/>
  <c r="H63" i="17"/>
  <c r="I63" i="17" s="1"/>
  <c r="H61" i="17"/>
  <c r="I61" i="17" s="1"/>
  <c r="H61" i="16"/>
  <c r="I61" i="16" s="1"/>
  <c r="H73" i="16"/>
  <c r="I73" i="16" s="1"/>
  <c r="H71" i="16"/>
  <c r="I71" i="16" s="1"/>
  <c r="H69" i="16"/>
  <c r="I69" i="16" s="1"/>
  <c r="H67" i="16"/>
  <c r="I67" i="16" s="1"/>
  <c r="H65" i="16"/>
  <c r="I65" i="16" s="1"/>
  <c r="H63" i="16"/>
  <c r="I63" i="16" s="1"/>
  <c r="H60" i="16"/>
  <c r="I60" i="16" s="1"/>
  <c r="H72" i="16"/>
  <c r="I72" i="16" s="1"/>
  <c r="H70" i="16"/>
  <c r="I70" i="16" s="1"/>
  <c r="H68" i="16"/>
  <c r="I68" i="16" s="1"/>
  <c r="H66" i="16"/>
  <c r="I66" i="16" s="1"/>
  <c r="H64" i="16"/>
  <c r="I64" i="16" s="1"/>
  <c r="H62" i="16"/>
  <c r="I62" i="16" s="1"/>
  <c r="K43" i="16"/>
  <c r="H43" i="16" s="1"/>
  <c r="I43" i="16" s="1"/>
  <c r="L43" i="16" s="1"/>
  <c r="K52" i="15"/>
  <c r="H52" i="15" s="1"/>
  <c r="I52" i="15" s="1"/>
  <c r="L52" i="15" s="1"/>
  <c r="K55" i="15"/>
  <c r="H55" i="15" s="1"/>
  <c r="I55" i="15" s="1"/>
  <c r="L55" i="15" s="1"/>
  <c r="H67" i="13"/>
  <c r="I67" i="13" s="1"/>
  <c r="L67" i="13"/>
  <c r="K47" i="13"/>
  <c r="H47" i="13" s="1"/>
  <c r="I47" i="13" s="1"/>
  <c r="L47" i="13" s="1"/>
  <c r="K57" i="13"/>
  <c r="H57" i="13" s="1"/>
  <c r="I57" i="13" s="1"/>
  <c r="L57" i="13" s="1"/>
  <c r="K47" i="18"/>
  <c r="K40" i="18"/>
  <c r="K47" i="17"/>
  <c r="H47" i="17" s="1"/>
  <c r="I47" i="17" s="1"/>
  <c r="L47" i="17" s="1"/>
  <c r="K55" i="14"/>
  <c r="H55" i="14" s="1"/>
  <c r="I55" i="14" s="1"/>
  <c r="L55" i="14" s="1"/>
  <c r="K56" i="14"/>
  <c r="H56" i="14" s="1"/>
  <c r="I56" i="14" s="1"/>
  <c r="L56" i="14" s="1"/>
  <c r="K65" i="12"/>
  <c r="H65" i="12" s="1"/>
  <c r="I65" i="12" s="1"/>
  <c r="L65" i="12" s="1"/>
  <c r="K49" i="12"/>
  <c r="H49" i="12" s="1"/>
  <c r="I49" i="12" s="1"/>
  <c r="L49" i="12" s="1"/>
  <c r="K53" i="12"/>
  <c r="H53" i="12" s="1"/>
  <c r="I53" i="12" s="1"/>
  <c r="L53" i="12" s="1"/>
  <c r="M60" i="12"/>
  <c r="N60" i="12" s="1"/>
  <c r="O60" i="12" s="1"/>
  <c r="P60" i="12" s="1"/>
  <c r="H70" i="13"/>
  <c r="I70" i="13" s="1"/>
  <c r="H78" i="13"/>
  <c r="I78" i="13" s="1"/>
  <c r="H71" i="13"/>
  <c r="I71" i="13" s="1"/>
  <c r="H79" i="13"/>
  <c r="I79" i="13" s="1"/>
  <c r="H72" i="13"/>
  <c r="I72" i="13" s="1"/>
  <c r="H80" i="13"/>
  <c r="I80" i="13" s="1"/>
  <c r="H73" i="13"/>
  <c r="I73" i="13" s="1"/>
  <c r="H81" i="13"/>
  <c r="I81" i="13" s="1"/>
  <c r="H74" i="13"/>
  <c r="I74" i="13" s="1"/>
  <c r="H75" i="13"/>
  <c r="I75" i="13" s="1"/>
  <c r="H77" i="13"/>
  <c r="I77" i="13" s="1"/>
  <c r="H68" i="13"/>
  <c r="I68" i="13" s="1"/>
  <c r="H76" i="13"/>
  <c r="I76" i="13" s="1"/>
  <c r="H69" i="13"/>
  <c r="I69" i="13" s="1"/>
  <c r="H9" i="12"/>
  <c r="I9" i="12" s="1"/>
  <c r="H72" i="12"/>
  <c r="I72" i="12" s="1"/>
  <c r="H80" i="12"/>
  <c r="I80" i="12" s="1"/>
  <c r="H73" i="12"/>
  <c r="I73" i="12" s="1"/>
  <c r="H81" i="12"/>
  <c r="I81" i="12" s="1"/>
  <c r="H74" i="12"/>
  <c r="I74" i="12" s="1"/>
  <c r="H82" i="12"/>
  <c r="I82" i="12" s="1"/>
  <c r="H78" i="12"/>
  <c r="I78" i="12" s="1"/>
  <c r="H75" i="12"/>
  <c r="I75" i="12" s="1"/>
  <c r="H83" i="12"/>
  <c r="I83" i="12" s="1"/>
  <c r="H76" i="12"/>
  <c r="I76" i="12" s="1"/>
  <c r="H77" i="12"/>
  <c r="I77" i="12" s="1"/>
  <c r="H70" i="12"/>
  <c r="I70" i="12" s="1"/>
  <c r="H71" i="12"/>
  <c r="I71" i="12" s="1"/>
  <c r="H79" i="12"/>
  <c r="I79" i="12" s="1"/>
  <c r="K42" i="16"/>
  <c r="H42" i="16" s="1"/>
  <c r="I42" i="16" s="1"/>
  <c r="L42" i="16" s="1"/>
  <c r="K51" i="16"/>
  <c r="H51" i="16" s="1"/>
  <c r="I51" i="16" s="1"/>
  <c r="L51" i="16" s="1"/>
  <c r="K49" i="15"/>
  <c r="H49" i="15" s="1"/>
  <c r="I49" i="15" s="1"/>
  <c r="L49" i="15" s="1"/>
  <c r="K51" i="15"/>
  <c r="H51" i="15" s="1"/>
  <c r="I51" i="15" s="1"/>
  <c r="L51" i="15" s="1"/>
  <c r="K56" i="13"/>
  <c r="H56" i="13" s="1"/>
  <c r="I56" i="13" s="1"/>
  <c r="L56" i="13" s="1"/>
  <c r="K62" i="13"/>
  <c r="H62" i="13" s="1"/>
  <c r="I62" i="13" s="1"/>
  <c r="L62" i="13" s="1"/>
  <c r="K58" i="13"/>
  <c r="H58" i="13" s="1"/>
  <c r="I58" i="13" s="1"/>
  <c r="L58" i="13" s="1"/>
  <c r="K45" i="18"/>
  <c r="K45" i="17"/>
  <c r="H45" i="17" s="1"/>
  <c r="I45" i="17" s="1"/>
  <c r="L45" i="17" s="1"/>
  <c r="K48" i="17"/>
  <c r="K58" i="14"/>
  <c r="H58" i="14" s="1"/>
  <c r="I58" i="14" s="1"/>
  <c r="L58" i="14" s="1"/>
  <c r="K48" i="14"/>
  <c r="H48" i="14" s="1"/>
  <c r="I48" i="14" s="1"/>
  <c r="L48" i="14" s="1"/>
  <c r="K55" i="12"/>
  <c r="H55" i="12" s="1"/>
  <c r="I55" i="12" s="1"/>
  <c r="L55" i="12" s="1"/>
  <c r="K61" i="12"/>
  <c r="H61" i="12" s="1"/>
  <c r="I61" i="12" s="1"/>
  <c r="L61" i="12" s="1"/>
  <c r="L69" i="12"/>
  <c r="H69" i="12"/>
  <c r="I69" i="12" s="1"/>
  <c r="K55" i="16"/>
  <c r="H55" i="16" s="1"/>
  <c r="I55" i="16" s="1"/>
  <c r="L55" i="16" s="1"/>
  <c r="K53" i="16"/>
  <c r="H53" i="16" s="1"/>
  <c r="I53" i="16" s="1"/>
  <c r="L53" i="16" s="1"/>
  <c r="H62" i="15"/>
  <c r="I62" i="15" s="1"/>
  <c r="L62" i="15"/>
  <c r="K58" i="15"/>
  <c r="H58" i="15" s="1"/>
  <c r="I58" i="15" s="1"/>
  <c r="L58" i="15" s="1"/>
  <c r="K61" i="13"/>
  <c r="H61" i="13" s="1"/>
  <c r="I61" i="13" s="1"/>
  <c r="L61" i="13" s="1"/>
  <c r="K60" i="13"/>
  <c r="H60" i="13" s="1"/>
  <c r="I60" i="13" s="1"/>
  <c r="L60" i="13" s="1"/>
  <c r="K59" i="13"/>
  <c r="H59" i="13" s="1"/>
  <c r="I59" i="13" s="1"/>
  <c r="L59" i="13" s="1"/>
  <c r="K48" i="18"/>
  <c r="K49" i="17"/>
  <c r="H49" i="17" s="1"/>
  <c r="I49" i="17" s="1"/>
  <c r="L49" i="17" s="1"/>
  <c r="K44" i="17"/>
  <c r="K53" i="14"/>
  <c r="H53" i="14" s="1"/>
  <c r="I53" i="14" s="1"/>
  <c r="L53" i="14" s="1"/>
  <c r="K47" i="14"/>
  <c r="H47" i="14" s="1"/>
  <c r="I47" i="14" s="1"/>
  <c r="L47" i="14" s="1"/>
  <c r="K62" i="12"/>
  <c r="H62" i="12" s="1"/>
  <c r="I62" i="12" s="1"/>
  <c r="L62" i="12" s="1"/>
  <c r="K64" i="12"/>
  <c r="H64" i="12" s="1"/>
  <c r="I64" i="12" s="1"/>
  <c r="L64" i="12" s="1"/>
  <c r="K56" i="12"/>
  <c r="H56" i="12" s="1"/>
  <c r="I56" i="12" s="1"/>
  <c r="L56" i="12" s="1"/>
  <c r="K159" i="20"/>
  <c r="L159" i="20" s="1"/>
  <c r="P159" i="20" s="1"/>
  <c r="P5" i="20"/>
  <c r="H4" i="18"/>
  <c r="I4" i="18" s="1"/>
  <c r="H17" i="18"/>
  <c r="I17" i="18" s="1"/>
  <c r="H6" i="18"/>
  <c r="I6" i="18" s="1"/>
  <c r="H7" i="18"/>
  <c r="I7" i="18" s="1"/>
  <c r="H9" i="18"/>
  <c r="I9" i="18" s="1"/>
  <c r="H8" i="18"/>
  <c r="I8" i="18" s="1"/>
  <c r="H10" i="18"/>
  <c r="I10" i="18" s="1"/>
  <c r="H12" i="18"/>
  <c r="I12" i="18" s="1"/>
  <c r="H16" i="18"/>
  <c r="I16" i="18" s="1"/>
  <c r="H13" i="18"/>
  <c r="I13" i="18" s="1"/>
  <c r="H14" i="18"/>
  <c r="I14" i="18" s="1"/>
  <c r="H5" i="18"/>
  <c r="I5" i="18" s="1"/>
  <c r="H15" i="18"/>
  <c r="I15" i="18" s="1"/>
  <c r="H11" i="18"/>
  <c r="I11" i="18" s="1"/>
  <c r="O7" i="20"/>
  <c r="P7" i="20" s="1"/>
  <c r="O11" i="20"/>
  <c r="P11" i="20" s="1"/>
  <c r="O8" i="20"/>
  <c r="P8" i="20" s="1"/>
  <c r="O15" i="20"/>
  <c r="P15" i="20" s="1"/>
  <c r="H10" i="12"/>
  <c r="I10" i="12" s="1"/>
  <c r="H13" i="12"/>
  <c r="I13" i="12" s="1"/>
  <c r="H5" i="12"/>
  <c r="I5" i="12" s="1"/>
  <c r="H4" i="12"/>
  <c r="I4" i="12" s="1"/>
  <c r="H11" i="12"/>
  <c r="I11" i="12" s="1"/>
  <c r="H15" i="12"/>
  <c r="I15" i="12" s="1"/>
  <c r="H17" i="12"/>
  <c r="I17" i="12" s="1"/>
  <c r="K14" i="20"/>
  <c r="L14" i="20" s="1"/>
  <c r="P14" i="20" s="1"/>
  <c r="O155" i="20"/>
  <c r="K155" i="20"/>
  <c r="L155" i="20" s="1"/>
  <c r="O153" i="20"/>
  <c r="K153" i="20"/>
  <c r="L153" i="20" s="1"/>
  <c r="O160" i="20"/>
  <c r="K160" i="20"/>
  <c r="L160" i="20" s="1"/>
  <c r="O16" i="20"/>
  <c r="K16" i="20"/>
  <c r="L16" i="20" s="1"/>
  <c r="O12" i="20"/>
  <c r="K12" i="20"/>
  <c r="L12" i="20" s="1"/>
  <c r="O157" i="20"/>
  <c r="K157" i="20"/>
  <c r="L157" i="20" s="1"/>
  <c r="O151" i="20"/>
  <c r="K151" i="20"/>
  <c r="L151" i="20" s="1"/>
  <c r="O6" i="20"/>
  <c r="K6" i="20"/>
  <c r="L6" i="20" s="1"/>
  <c r="P162" i="20"/>
  <c r="P152" i="20"/>
  <c r="H16" i="12"/>
  <c r="I16" i="12" s="1"/>
  <c r="H8" i="12"/>
  <c r="I8" i="12" s="1"/>
  <c r="H7" i="12"/>
  <c r="I7" i="12" s="1"/>
  <c r="H14" i="12"/>
  <c r="I14" i="12" s="1"/>
  <c r="H12" i="12"/>
  <c r="I12" i="12" s="1"/>
  <c r="H6" i="12"/>
  <c r="I6" i="12" s="1"/>
  <c r="H13" i="16"/>
  <c r="I13" i="16" s="1"/>
  <c r="H12" i="16"/>
  <c r="I12" i="16" s="1"/>
  <c r="H4" i="16"/>
  <c r="I4" i="16" s="1"/>
  <c r="H7" i="16"/>
  <c r="I7" i="16" s="1"/>
  <c r="H11" i="16"/>
  <c r="I11" i="16" s="1"/>
  <c r="H17" i="16"/>
  <c r="I17" i="16" s="1"/>
  <c r="H16" i="16"/>
  <c r="I16" i="16" s="1"/>
  <c r="H10" i="16"/>
  <c r="I10" i="16" s="1"/>
  <c r="H6" i="16"/>
  <c r="I6" i="16" s="1"/>
  <c r="H8" i="16"/>
  <c r="I8" i="16" s="1"/>
  <c r="H9" i="16"/>
  <c r="I9" i="16" s="1"/>
  <c r="H5" i="16"/>
  <c r="I5" i="16" s="1"/>
  <c r="H15" i="16"/>
  <c r="I15" i="16" s="1"/>
  <c r="H14" i="16"/>
  <c r="I14" i="16" s="1"/>
  <c r="H16" i="15"/>
  <c r="I16" i="15" s="1"/>
  <c r="H12" i="15"/>
  <c r="I12" i="15" s="1"/>
  <c r="H4" i="15"/>
  <c r="I4" i="15" s="1"/>
  <c r="H13" i="15"/>
  <c r="I13" i="15" s="1"/>
  <c r="H7" i="15"/>
  <c r="I7" i="15" s="1"/>
  <c r="H11" i="15"/>
  <c r="I11" i="15" s="1"/>
  <c r="H8" i="15"/>
  <c r="I8" i="15" s="1"/>
  <c r="H17" i="15"/>
  <c r="I17" i="15" s="1"/>
  <c r="H10" i="15"/>
  <c r="I10" i="15" s="1"/>
  <c r="H6" i="15"/>
  <c r="I6" i="15" s="1"/>
  <c r="H15" i="15"/>
  <c r="I15" i="15" s="1"/>
  <c r="H14" i="15"/>
  <c r="I14" i="15" s="1"/>
  <c r="H9" i="15"/>
  <c r="I9" i="15" s="1"/>
  <c r="H5" i="15"/>
  <c r="I5" i="15" s="1"/>
  <c r="H10" i="17"/>
  <c r="I10" i="17" s="1"/>
  <c r="H15" i="17"/>
  <c r="I15" i="17" s="1"/>
  <c r="H9" i="17"/>
  <c r="I9" i="17" s="1"/>
  <c r="H14" i="17"/>
  <c r="I14" i="17" s="1"/>
  <c r="H8" i="17"/>
  <c r="I8" i="17" s="1"/>
  <c r="H5" i="17"/>
  <c r="I5" i="17" s="1"/>
  <c r="H13" i="17"/>
  <c r="I13" i="17" s="1"/>
  <c r="H4" i="17"/>
  <c r="I4" i="17" s="1"/>
  <c r="H12" i="17"/>
  <c r="I12" i="17" s="1"/>
  <c r="H7" i="17"/>
  <c r="I7" i="17" s="1"/>
  <c r="H11" i="17"/>
  <c r="I11" i="17" s="1"/>
  <c r="H17" i="17"/>
  <c r="I17" i="17" s="1"/>
  <c r="H16" i="17"/>
  <c r="I16" i="17" s="1"/>
  <c r="H6" i="17"/>
  <c r="I6" i="17" s="1"/>
  <c r="H5" i="14"/>
  <c r="I5" i="14" s="1"/>
  <c r="H17" i="14"/>
  <c r="I17" i="14" s="1"/>
  <c r="H12" i="14"/>
  <c r="I12" i="14" s="1"/>
  <c r="H8" i="14"/>
  <c r="I8" i="14" s="1"/>
  <c r="H7" i="14"/>
  <c r="I7" i="14" s="1"/>
  <c r="H16" i="14"/>
  <c r="I16" i="14" s="1"/>
  <c r="H11" i="14"/>
  <c r="I11" i="14" s="1"/>
  <c r="H4" i="14"/>
  <c r="I4" i="14" s="1"/>
  <c r="H15" i="14"/>
  <c r="I15" i="14" s="1"/>
  <c r="H10" i="14"/>
  <c r="I10" i="14" s="1"/>
  <c r="H6" i="14"/>
  <c r="I6" i="14" s="1"/>
  <c r="H13" i="14"/>
  <c r="I13" i="14" s="1"/>
  <c r="H14" i="14"/>
  <c r="I14" i="14" s="1"/>
  <c r="H9" i="14"/>
  <c r="I9" i="14" s="1"/>
  <c r="H12" i="13"/>
  <c r="I12" i="13" s="1"/>
  <c r="H7" i="13"/>
  <c r="I7" i="13" s="1"/>
  <c r="H4" i="13"/>
  <c r="I4" i="13" s="1"/>
  <c r="H17" i="13"/>
  <c r="I17" i="13" s="1"/>
  <c r="H16" i="13"/>
  <c r="I16" i="13" s="1"/>
  <c r="H11" i="13"/>
  <c r="I11" i="13" s="1"/>
  <c r="H6" i="13"/>
  <c r="I6" i="13" s="1"/>
  <c r="H10" i="13"/>
  <c r="I10" i="13" s="1"/>
  <c r="H15" i="13"/>
  <c r="I15" i="13" s="1"/>
  <c r="H9" i="13"/>
  <c r="I9" i="13" s="1"/>
  <c r="H14" i="13"/>
  <c r="I14" i="13" s="1"/>
  <c r="H8" i="13"/>
  <c r="I8" i="13" s="1"/>
  <c r="H5" i="13"/>
  <c r="I5" i="13" s="1"/>
  <c r="H13" i="13"/>
  <c r="I13" i="13" s="1"/>
  <c r="O158" i="20" l="1"/>
  <c r="O13" i="20"/>
  <c r="P13" i="20" s="1"/>
  <c r="H42" i="18"/>
  <c r="I42" i="18" s="1"/>
  <c r="L42" i="18" s="1"/>
  <c r="M51" i="13"/>
  <c r="N51" i="13" s="1"/>
  <c r="O51" i="13" s="1"/>
  <c r="P51" i="13" s="1"/>
  <c r="M50" i="16"/>
  <c r="N50" i="16" s="1"/>
  <c r="O50" i="16" s="1"/>
  <c r="P50" i="16" s="1"/>
  <c r="H52" i="17"/>
  <c r="I52" i="17" s="1"/>
  <c r="L52" i="17" s="1"/>
  <c r="N52" i="17" s="1"/>
  <c r="O52" i="17" s="1"/>
  <c r="P52" i="17" s="1"/>
  <c r="M46" i="16"/>
  <c r="N46" i="16" s="1"/>
  <c r="O46" i="16" s="1"/>
  <c r="P46" i="16" s="1"/>
  <c r="M46" i="14"/>
  <c r="N46" i="14" s="1"/>
  <c r="O46" i="14" s="1"/>
  <c r="P46" i="14" s="1"/>
  <c r="M56" i="15"/>
  <c r="N56" i="15" s="1"/>
  <c r="O56" i="15" s="1"/>
  <c r="P56" i="15" s="1"/>
  <c r="M47" i="15"/>
  <c r="N47" i="15" s="1"/>
  <c r="O47" i="15" s="1"/>
  <c r="P47" i="15" s="1"/>
  <c r="O150" i="20"/>
  <c r="P150" i="20" s="1"/>
  <c r="M57" i="12"/>
  <c r="N57" i="12" s="1"/>
  <c r="O57" i="12" s="1"/>
  <c r="P57" i="12" s="1"/>
  <c r="K161" i="20"/>
  <c r="L161" i="20" s="1"/>
  <c r="P161" i="20" s="1"/>
  <c r="O9" i="20"/>
  <c r="P9" i="20" s="1"/>
  <c r="M50" i="15"/>
  <c r="N50" i="15" s="1"/>
  <c r="O50" i="15" s="1"/>
  <c r="P50" i="15" s="1"/>
  <c r="M52" i="12"/>
  <c r="N52" i="12" s="1"/>
  <c r="O52" i="12" s="1"/>
  <c r="P52" i="12" s="1"/>
  <c r="O149" i="20"/>
  <c r="P149" i="20" s="1"/>
  <c r="O156" i="20"/>
  <c r="P156" i="20" s="1"/>
  <c r="M49" i="16"/>
  <c r="N49" i="16" s="1"/>
  <c r="O49" i="16" s="1"/>
  <c r="P49" i="16" s="1"/>
  <c r="M59" i="12"/>
  <c r="N59" i="12" s="1"/>
  <c r="O59" i="12" s="1"/>
  <c r="P59" i="12" s="1"/>
  <c r="K10" i="20"/>
  <c r="L10" i="20" s="1"/>
  <c r="P10" i="20" s="1"/>
  <c r="M51" i="12"/>
  <c r="N51" i="12" s="1"/>
  <c r="O51" i="12" s="1"/>
  <c r="P51" i="12" s="1"/>
  <c r="M54" i="14"/>
  <c r="N54" i="14" s="1"/>
  <c r="O54" i="14" s="1"/>
  <c r="P54" i="14" s="1"/>
  <c r="M48" i="15"/>
  <c r="N48" i="15" s="1"/>
  <c r="O48" i="15" s="1"/>
  <c r="P48" i="15" s="1"/>
  <c r="K154" i="20"/>
  <c r="L154" i="20" s="1"/>
  <c r="P154" i="20" s="1"/>
  <c r="M53" i="15"/>
  <c r="N53" i="15" s="1"/>
  <c r="O53" i="15" s="1"/>
  <c r="P53" i="15" s="1"/>
  <c r="K17" i="20"/>
  <c r="L17" i="20" s="1"/>
  <c r="P17" i="20" s="1"/>
  <c r="M48" i="16"/>
  <c r="N48" i="16" s="1"/>
  <c r="O48" i="16" s="1"/>
  <c r="P48" i="16" s="1"/>
  <c r="M55" i="13"/>
  <c r="N55" i="13" s="1"/>
  <c r="O55" i="13" s="1"/>
  <c r="P55" i="13" s="1"/>
  <c r="M52" i="16"/>
  <c r="N52" i="16" s="1"/>
  <c r="O52" i="16" s="1"/>
  <c r="P52" i="16" s="1"/>
  <c r="M49" i="14"/>
  <c r="N49" i="14" s="1"/>
  <c r="O49" i="14" s="1"/>
  <c r="P49" i="14" s="1"/>
  <c r="M54" i="16"/>
  <c r="N54" i="16" s="1"/>
  <c r="O54" i="16" s="1"/>
  <c r="P54" i="16" s="1"/>
  <c r="M51" i="17"/>
  <c r="N51" i="17" s="1"/>
  <c r="O51" i="17" s="1"/>
  <c r="P51" i="17" s="1"/>
  <c r="M43" i="16"/>
  <c r="N43" i="16" s="1"/>
  <c r="O43" i="16" s="1"/>
  <c r="P43" i="16" s="1"/>
  <c r="M50" i="12"/>
  <c r="N50" i="12" s="1"/>
  <c r="O50" i="12" s="1"/>
  <c r="P50" i="12" s="1"/>
  <c r="M49" i="12"/>
  <c r="N49" i="12" s="1"/>
  <c r="O49" i="12" s="1"/>
  <c r="P49" i="12" s="1"/>
  <c r="M63" i="12"/>
  <c r="N63" i="12" s="1"/>
  <c r="O63" i="12" s="1"/>
  <c r="P63" i="12" s="1"/>
  <c r="M48" i="13"/>
  <c r="N48" i="13" s="1"/>
  <c r="O48" i="13" s="1"/>
  <c r="P48" i="13" s="1"/>
  <c r="M57" i="15"/>
  <c r="N57" i="15" s="1"/>
  <c r="O57" i="15" s="1"/>
  <c r="P57" i="15" s="1"/>
  <c r="M51" i="14"/>
  <c r="N51" i="14" s="1"/>
  <c r="O51" i="14" s="1"/>
  <c r="P51" i="14" s="1"/>
  <c r="M54" i="13"/>
  <c r="N54" i="13" s="1"/>
  <c r="O54" i="13" s="1"/>
  <c r="P54" i="13" s="1"/>
  <c r="M48" i="14"/>
  <c r="N48" i="14" s="1"/>
  <c r="O48" i="14" s="1"/>
  <c r="P48" i="14" s="1"/>
  <c r="M47" i="16"/>
  <c r="N47" i="16" s="1"/>
  <c r="O47" i="16" s="1"/>
  <c r="P47" i="16" s="1"/>
  <c r="M58" i="12"/>
  <c r="N58" i="12" s="1"/>
  <c r="O58" i="12" s="1"/>
  <c r="P58" i="12" s="1"/>
  <c r="M57" i="14"/>
  <c r="N57" i="14" s="1"/>
  <c r="O57" i="14" s="1"/>
  <c r="P57" i="14" s="1"/>
  <c r="M44" i="16"/>
  <c r="N44" i="16" s="1"/>
  <c r="O44" i="16" s="1"/>
  <c r="P44" i="16" s="1"/>
  <c r="M44" i="15"/>
  <c r="N44" i="15" s="1"/>
  <c r="O44" i="15" s="1"/>
  <c r="P44" i="15" s="1"/>
  <c r="M50" i="14"/>
  <c r="N50" i="14" s="1"/>
  <c r="O50" i="14" s="1"/>
  <c r="P50" i="14" s="1"/>
  <c r="M56" i="14"/>
  <c r="N56" i="14" s="1"/>
  <c r="O56" i="14" s="1"/>
  <c r="P56" i="14" s="1"/>
  <c r="M46" i="15"/>
  <c r="N46" i="15" s="1"/>
  <c r="O46" i="15" s="1"/>
  <c r="P46" i="15" s="1"/>
  <c r="M54" i="15"/>
  <c r="N54" i="15" s="1"/>
  <c r="O54" i="15" s="1"/>
  <c r="P54" i="15" s="1"/>
  <c r="M45" i="14"/>
  <c r="N45" i="14" s="1"/>
  <c r="O45" i="14" s="1"/>
  <c r="P45" i="14" s="1"/>
  <c r="M53" i="16"/>
  <c r="N53" i="16" s="1"/>
  <c r="O53" i="16" s="1"/>
  <c r="P53" i="16" s="1"/>
  <c r="M48" i="12"/>
  <c r="N48" i="12" s="1"/>
  <c r="O48" i="12" s="1"/>
  <c r="P48" i="12" s="1"/>
  <c r="M64" i="12"/>
  <c r="N64" i="12" s="1"/>
  <c r="O64" i="12" s="1"/>
  <c r="P64" i="12" s="1"/>
  <c r="M50" i="13"/>
  <c r="N50" i="13" s="1"/>
  <c r="O50" i="13" s="1"/>
  <c r="P50" i="13" s="1"/>
  <c r="M48" i="17"/>
  <c r="H48" i="17"/>
  <c r="I48" i="17" s="1"/>
  <c r="L48" i="17" s="1"/>
  <c r="M42" i="16"/>
  <c r="N42" i="16" s="1"/>
  <c r="O42" i="16" s="1"/>
  <c r="P42" i="16" s="1"/>
  <c r="M52" i="15"/>
  <c r="N52" i="15" s="1"/>
  <c r="O52" i="15" s="1"/>
  <c r="P52" i="15" s="1"/>
  <c r="M38" i="18"/>
  <c r="H38" i="18"/>
  <c r="I38" i="18" s="1"/>
  <c r="L38" i="18" s="1"/>
  <c r="M60" i="14"/>
  <c r="N60" i="14" s="1"/>
  <c r="O60" i="14" s="1"/>
  <c r="P60" i="14" s="1"/>
  <c r="M53" i="14"/>
  <c r="N53" i="14" s="1"/>
  <c r="O53" i="14" s="1"/>
  <c r="P53" i="14" s="1"/>
  <c r="M49" i="13"/>
  <c r="N49" i="13" s="1"/>
  <c r="O49" i="13" s="1"/>
  <c r="P49" i="13" s="1"/>
  <c r="M62" i="13"/>
  <c r="N62" i="13" s="1"/>
  <c r="O62" i="13" s="1"/>
  <c r="P62" i="13" s="1"/>
  <c r="M42" i="17"/>
  <c r="H42" i="17"/>
  <c r="I42" i="17" s="1"/>
  <c r="L42" i="17" s="1"/>
  <c r="M46" i="18"/>
  <c r="H46" i="18"/>
  <c r="I46" i="18" s="1"/>
  <c r="L46" i="18" s="1"/>
  <c r="M60" i="13"/>
  <c r="N60" i="13" s="1"/>
  <c r="O60" i="13" s="1"/>
  <c r="P60" i="13" s="1"/>
  <c r="M59" i="13"/>
  <c r="N59" i="13" s="1"/>
  <c r="O59" i="13" s="1"/>
  <c r="P59" i="13" s="1"/>
  <c r="M41" i="18"/>
  <c r="H41" i="18"/>
  <c r="I41" i="18" s="1"/>
  <c r="L41" i="18" s="1"/>
  <c r="M43" i="17"/>
  <c r="N43" i="17" s="1"/>
  <c r="O43" i="17" s="1"/>
  <c r="P43" i="17" s="1"/>
  <c r="M45" i="18"/>
  <c r="H45" i="18"/>
  <c r="I45" i="18" s="1"/>
  <c r="L45" i="18" s="1"/>
  <c r="M55" i="12"/>
  <c r="N55" i="12" s="1"/>
  <c r="O55" i="12" s="1"/>
  <c r="P55" i="12" s="1"/>
  <c r="M45" i="15"/>
  <c r="N45" i="15" s="1"/>
  <c r="O45" i="15" s="1"/>
  <c r="P45" i="15" s="1"/>
  <c r="M52" i="14"/>
  <c r="N52" i="14" s="1"/>
  <c r="O52" i="14" s="1"/>
  <c r="P52" i="14" s="1"/>
  <c r="M55" i="14"/>
  <c r="N55" i="14" s="1"/>
  <c r="O55" i="14" s="1"/>
  <c r="P55" i="14" s="1"/>
  <c r="M44" i="18"/>
  <c r="H44" i="18"/>
  <c r="I44" i="18" s="1"/>
  <c r="L44" i="18" s="1"/>
  <c r="M63" i="13"/>
  <c r="N63" i="13" s="1"/>
  <c r="O63" i="13" s="1"/>
  <c r="P63" i="13" s="1"/>
  <c r="M46" i="13"/>
  <c r="N46" i="13" s="1"/>
  <c r="O46" i="13" s="1"/>
  <c r="P46" i="13" s="1"/>
  <c r="M57" i="13"/>
  <c r="N57" i="13" s="1"/>
  <c r="O57" i="13" s="1"/>
  <c r="P57" i="13" s="1"/>
  <c r="M43" i="18"/>
  <c r="H43" i="18"/>
  <c r="I43" i="18" s="1"/>
  <c r="L43" i="18" s="1"/>
  <c r="M49" i="17"/>
  <c r="N49" i="17" s="1"/>
  <c r="O49" i="17" s="1"/>
  <c r="P49" i="17" s="1"/>
  <c r="M53" i="12"/>
  <c r="N53" i="12" s="1"/>
  <c r="O53" i="12" s="1"/>
  <c r="P53" i="12" s="1"/>
  <c r="M49" i="15"/>
  <c r="N49" i="15" s="1"/>
  <c r="O49" i="15" s="1"/>
  <c r="P49" i="15" s="1"/>
  <c r="M52" i="13"/>
  <c r="N52" i="13" s="1"/>
  <c r="O52" i="13" s="1"/>
  <c r="P52" i="13" s="1"/>
  <c r="M48" i="18"/>
  <c r="H48" i="18"/>
  <c r="I48" i="18" s="1"/>
  <c r="L48" i="18" s="1"/>
  <c r="M55" i="16"/>
  <c r="N55" i="16" s="1"/>
  <c r="O55" i="16" s="1"/>
  <c r="P55" i="16" s="1"/>
  <c r="M65" i="12"/>
  <c r="N65" i="12" s="1"/>
  <c r="O65" i="12" s="1"/>
  <c r="P65" i="12" s="1"/>
  <c r="M55" i="15"/>
  <c r="N55" i="15" s="1"/>
  <c r="O55" i="15" s="1"/>
  <c r="P55" i="15" s="1"/>
  <c r="M58" i="15"/>
  <c r="N58" i="15" s="1"/>
  <c r="O58" i="15" s="1"/>
  <c r="P58" i="15" s="1"/>
  <c r="M59" i="14"/>
  <c r="N59" i="14" s="1"/>
  <c r="O59" i="14" s="1"/>
  <c r="P59" i="14" s="1"/>
  <c r="M53" i="13"/>
  <c r="N53" i="13" s="1"/>
  <c r="O53" i="13" s="1"/>
  <c r="P53" i="13" s="1"/>
  <c r="M61" i="13"/>
  <c r="N61" i="13" s="1"/>
  <c r="O61" i="13" s="1"/>
  <c r="P61" i="13" s="1"/>
  <c r="M47" i="12"/>
  <c r="H47" i="12"/>
  <c r="I47" i="12" s="1"/>
  <c r="L47" i="12" s="1"/>
  <c r="M45" i="17"/>
  <c r="N45" i="17" s="1"/>
  <c r="O45" i="17" s="1"/>
  <c r="P45" i="17" s="1"/>
  <c r="M45" i="16"/>
  <c r="N45" i="16" s="1"/>
  <c r="O45" i="16" s="1"/>
  <c r="P45" i="16" s="1"/>
  <c r="N42" i="18"/>
  <c r="O42" i="18" s="1"/>
  <c r="P42" i="18" s="1"/>
  <c r="M62" i="12"/>
  <c r="N62" i="12" s="1"/>
  <c r="O62" i="12" s="1"/>
  <c r="P62" i="12" s="1"/>
  <c r="M56" i="12"/>
  <c r="N56" i="12" s="1"/>
  <c r="O56" i="12" s="1"/>
  <c r="P56" i="12" s="1"/>
  <c r="M40" i="18"/>
  <c r="H40" i="18"/>
  <c r="I40" i="18" s="1"/>
  <c r="L40" i="18" s="1"/>
  <c r="M51" i="15"/>
  <c r="N51" i="15" s="1"/>
  <c r="O51" i="15" s="1"/>
  <c r="P51" i="15" s="1"/>
  <c r="M47" i="14"/>
  <c r="N47" i="14" s="1"/>
  <c r="O47" i="14" s="1"/>
  <c r="P47" i="14" s="1"/>
  <c r="M58" i="13"/>
  <c r="N58" i="13" s="1"/>
  <c r="O58" i="13" s="1"/>
  <c r="P58" i="13" s="1"/>
  <c r="M47" i="13"/>
  <c r="N47" i="13" s="1"/>
  <c r="O47" i="13" s="1"/>
  <c r="P47" i="13" s="1"/>
  <c r="M47" i="17"/>
  <c r="N47" i="17" s="1"/>
  <c r="O47" i="17" s="1"/>
  <c r="P47" i="17" s="1"/>
  <c r="M50" i="17"/>
  <c r="H50" i="17"/>
  <c r="I50" i="17" s="1"/>
  <c r="L50" i="17" s="1"/>
  <c r="M39" i="18"/>
  <c r="H39" i="18"/>
  <c r="I39" i="18" s="1"/>
  <c r="L39" i="18" s="1"/>
  <c r="M51" i="16"/>
  <c r="N51" i="16" s="1"/>
  <c r="O51" i="16" s="1"/>
  <c r="P51" i="16" s="1"/>
  <c r="M61" i="12"/>
  <c r="N61" i="12" s="1"/>
  <c r="O61" i="12" s="1"/>
  <c r="P61" i="12" s="1"/>
  <c r="M47" i="18"/>
  <c r="H47" i="18"/>
  <c r="I47" i="18" s="1"/>
  <c r="L47" i="18" s="1"/>
  <c r="M58" i="14"/>
  <c r="N58" i="14" s="1"/>
  <c r="O58" i="14" s="1"/>
  <c r="P58" i="14" s="1"/>
  <c r="M56" i="13"/>
  <c r="N56" i="13" s="1"/>
  <c r="O56" i="13" s="1"/>
  <c r="P56" i="13" s="1"/>
  <c r="M41" i="17"/>
  <c r="N41" i="17" s="1"/>
  <c r="O41" i="17" s="1"/>
  <c r="P41" i="17" s="1"/>
  <c r="M44" i="17"/>
  <c r="H44" i="17"/>
  <c r="I44" i="17" s="1"/>
  <c r="L44" i="17" s="1"/>
  <c r="M54" i="12"/>
  <c r="N54" i="12" s="1"/>
  <c r="O54" i="12" s="1"/>
  <c r="P54" i="12" s="1"/>
  <c r="M46" i="17"/>
  <c r="H46" i="17"/>
  <c r="I46" i="17" s="1"/>
  <c r="L46" i="17" s="1"/>
  <c r="P155" i="20"/>
  <c r="P160" i="20"/>
  <c r="P151" i="20"/>
  <c r="P157" i="20"/>
  <c r="P158" i="20"/>
  <c r="P153" i="20"/>
  <c r="P6" i="20"/>
  <c r="P16" i="20"/>
  <c r="P12" i="20"/>
  <c r="B22" i="1"/>
  <c r="N44" i="17" l="1"/>
  <c r="O44" i="17" s="1"/>
  <c r="P44" i="17" s="1"/>
  <c r="N48" i="17"/>
  <c r="O48" i="17" s="1"/>
  <c r="P48" i="17" s="1"/>
  <c r="N40" i="18"/>
  <c r="O40" i="18" s="1"/>
  <c r="P40" i="18" s="1"/>
  <c r="N44" i="18"/>
  <c r="O44" i="18" s="1"/>
  <c r="P44" i="18" s="1"/>
  <c r="N47" i="12"/>
  <c r="O47" i="12" s="1"/>
  <c r="P47" i="12" s="1"/>
  <c r="N45" i="18"/>
  <c r="O45" i="18" s="1"/>
  <c r="P45" i="18" s="1"/>
  <c r="N48" i="18"/>
  <c r="O48" i="18" s="1"/>
  <c r="P48" i="18" s="1"/>
  <c r="N42" i="17"/>
  <c r="O42" i="17" s="1"/>
  <c r="P42" i="17" s="1"/>
  <c r="N43" i="18"/>
  <c r="O43" i="18" s="1"/>
  <c r="P43" i="18" s="1"/>
  <c r="N41" i="18"/>
  <c r="O41" i="18" s="1"/>
  <c r="P41" i="18" s="1"/>
  <c r="N46" i="18"/>
  <c r="O46" i="18" s="1"/>
  <c r="P46" i="18" s="1"/>
  <c r="N38" i="18"/>
  <c r="O38" i="18" s="1"/>
  <c r="P38" i="18" s="1"/>
  <c r="N46" i="17"/>
  <c r="O46" i="17" s="1"/>
  <c r="P46" i="17" s="1"/>
  <c r="N47" i="18"/>
  <c r="O47" i="18" s="1"/>
  <c r="P47" i="18" s="1"/>
  <c r="N39" i="18"/>
  <c r="O39" i="18" s="1"/>
  <c r="P39" i="18" s="1"/>
  <c r="N50" i="17"/>
  <c r="O50" i="17" s="1"/>
  <c r="P50" i="17" s="1"/>
  <c r="G13" i="20" a="1"/>
  <c r="G13" i="20" s="1"/>
  <c r="G30" i="20" s="1"/>
  <c r="J22" i="20" s="1"/>
  <c r="G157" i="20" a="1"/>
  <c r="G157" i="20" s="1"/>
  <c r="G174" i="20" s="1"/>
  <c r="J166" i="20" s="1"/>
  <c r="C13" i="11"/>
  <c r="C18" i="11" s="1"/>
  <c r="C12" i="11"/>
  <c r="K166" i="20" l="1"/>
  <c r="L166" i="20" s="1"/>
  <c r="O166" i="20"/>
  <c r="G176" i="20"/>
  <c r="J172" i="20" s="1"/>
  <c r="O22" i="20"/>
  <c r="K22" i="20"/>
  <c r="L22" i="20" s="1"/>
  <c r="G32" i="20"/>
  <c r="J25" i="20" s="1"/>
  <c r="C19" i="11"/>
  <c r="B12" i="1"/>
  <c r="H73" i="11" l="1"/>
  <c r="H69" i="11"/>
  <c r="H75" i="11"/>
  <c r="H76" i="11"/>
  <c r="H71" i="11"/>
  <c r="H77" i="11"/>
  <c r="H81" i="11"/>
  <c r="H79" i="11"/>
  <c r="H74" i="11"/>
  <c r="H68" i="11"/>
  <c r="H70" i="11"/>
  <c r="H72" i="11"/>
  <c r="H78" i="11"/>
  <c r="H80" i="11"/>
  <c r="J167" i="20"/>
  <c r="O167" i="20" s="1"/>
  <c r="J178" i="20"/>
  <c r="K178" i="20" s="1"/>
  <c r="L178" i="20" s="1"/>
  <c r="J176" i="20"/>
  <c r="O176" i="20" s="1"/>
  <c r="J177" i="20"/>
  <c r="K177" i="20" s="1"/>
  <c r="L177" i="20" s="1"/>
  <c r="J170" i="20"/>
  <c r="K170" i="20" s="1"/>
  <c r="L170" i="20" s="1"/>
  <c r="J168" i="20"/>
  <c r="K168" i="20" s="1"/>
  <c r="L168" i="20" s="1"/>
  <c r="J175" i="20"/>
  <c r="O175" i="20" s="1"/>
  <c r="J169" i="20"/>
  <c r="J174" i="20"/>
  <c r="J173" i="20"/>
  <c r="J179" i="20"/>
  <c r="O172" i="20"/>
  <c r="K172" i="20"/>
  <c r="L172" i="20" s="1"/>
  <c r="J171" i="20"/>
  <c r="P166" i="20"/>
  <c r="J31" i="20"/>
  <c r="K31" i="20" s="1"/>
  <c r="L31" i="20" s="1"/>
  <c r="J35" i="20"/>
  <c r="K35" i="20" s="1"/>
  <c r="L35" i="20" s="1"/>
  <c r="J30" i="20"/>
  <c r="O30" i="20" s="1"/>
  <c r="J26" i="20"/>
  <c r="K26" i="20" s="1"/>
  <c r="L26" i="20" s="1"/>
  <c r="J32" i="20"/>
  <c r="K32" i="20" s="1"/>
  <c r="L32" i="20" s="1"/>
  <c r="J34" i="20"/>
  <c r="J24" i="20"/>
  <c r="J29" i="20"/>
  <c r="J33" i="20"/>
  <c r="J28" i="20"/>
  <c r="J27" i="20"/>
  <c r="O25" i="20"/>
  <c r="K25" i="20"/>
  <c r="L25" i="20" s="1"/>
  <c r="J23" i="20"/>
  <c r="P22" i="20"/>
  <c r="H5" i="11"/>
  <c r="H4" i="11"/>
  <c r="H6" i="11"/>
  <c r="H9" i="11"/>
  <c r="H13" i="11"/>
  <c r="H17" i="11"/>
  <c r="H7" i="11"/>
  <c r="H12" i="11"/>
  <c r="H16" i="11"/>
  <c r="H8" i="11"/>
  <c r="H15" i="11"/>
  <c r="H10" i="11"/>
  <c r="H11" i="11"/>
  <c r="H14" i="11"/>
  <c r="C8" i="20"/>
  <c r="C9" i="18"/>
  <c r="C9" i="13"/>
  <c r="C9" i="14"/>
  <c r="C9" i="15"/>
  <c r="C9" i="17"/>
  <c r="C9" i="12"/>
  <c r="C9" i="16"/>
  <c r="C10" i="11"/>
  <c r="C16" i="11" s="1"/>
  <c r="C9" i="11"/>
  <c r="C8" i="11"/>
  <c r="C7" i="11"/>
  <c r="C4" i="11"/>
  <c r="C3" i="11"/>
  <c r="C2" i="11"/>
  <c r="B31" i="1"/>
  <c r="B30" i="1"/>
  <c r="C14" i="11" s="1"/>
  <c r="B23" i="1"/>
  <c r="B24" i="1" s="1"/>
  <c r="B7" i="1"/>
  <c r="B8" i="1" s="1"/>
  <c r="J60" i="11" l="1"/>
  <c r="K60" i="11" s="1"/>
  <c r="J51" i="11"/>
  <c r="K51" i="11" s="1"/>
  <c r="H51" i="11" s="1"/>
  <c r="I51" i="11" s="1"/>
  <c r="L51" i="11" s="1"/>
  <c r="J59" i="11"/>
  <c r="K59" i="11" s="1"/>
  <c r="H59" i="11" s="1"/>
  <c r="I59" i="11" s="1"/>
  <c r="L59" i="11" s="1"/>
  <c r="J56" i="11"/>
  <c r="K56" i="11" s="1"/>
  <c r="H56" i="11" s="1"/>
  <c r="I56" i="11" s="1"/>
  <c r="L56" i="11" s="1"/>
  <c r="J55" i="11"/>
  <c r="K55" i="11" s="1"/>
  <c r="J62" i="11"/>
  <c r="K62" i="11" s="1"/>
  <c r="H62" i="11" s="1"/>
  <c r="I62" i="11" s="1"/>
  <c r="L62" i="11" s="1"/>
  <c r="J47" i="11"/>
  <c r="K47" i="11" s="1"/>
  <c r="J63" i="11"/>
  <c r="K63" i="11" s="1"/>
  <c r="J48" i="11"/>
  <c r="K48" i="11" s="1"/>
  <c r="H48" i="11" s="1"/>
  <c r="I48" i="11" s="1"/>
  <c r="L48" i="11" s="1"/>
  <c r="J50" i="11"/>
  <c r="K50" i="11" s="1"/>
  <c r="J45" i="11"/>
  <c r="K45" i="11" s="1"/>
  <c r="H45" i="11" s="1"/>
  <c r="I45" i="11" s="1"/>
  <c r="L45" i="11" s="1"/>
  <c r="G67" i="11"/>
  <c r="J46" i="11"/>
  <c r="K46" i="11" s="1"/>
  <c r="H46" i="11" s="1"/>
  <c r="I46" i="11" s="1"/>
  <c r="L46" i="11" s="1"/>
  <c r="J49" i="11"/>
  <c r="K49" i="11" s="1"/>
  <c r="H49" i="11" s="1"/>
  <c r="I49" i="11" s="1"/>
  <c r="L49" i="11" s="1"/>
  <c r="J53" i="11"/>
  <c r="K53" i="11" s="1"/>
  <c r="H53" i="11" s="1"/>
  <c r="I53" i="11" s="1"/>
  <c r="L53" i="11" s="1"/>
  <c r="J58" i="11"/>
  <c r="K58" i="11" s="1"/>
  <c r="J61" i="11"/>
  <c r="K61" i="11" s="1"/>
  <c r="H61" i="11" s="1"/>
  <c r="I61" i="11" s="1"/>
  <c r="L61" i="11" s="1"/>
  <c r="J54" i="11"/>
  <c r="K54" i="11" s="1"/>
  <c r="H54" i="11" s="1"/>
  <c r="I54" i="11" s="1"/>
  <c r="L54" i="11" s="1"/>
  <c r="J57" i="11"/>
  <c r="K57" i="11" s="1"/>
  <c r="H57" i="11" s="1"/>
  <c r="I57" i="11" s="1"/>
  <c r="L57" i="11" s="1"/>
  <c r="J52" i="11"/>
  <c r="K52" i="11" s="1"/>
  <c r="O178" i="20"/>
  <c r="P178" i="20" s="1"/>
  <c r="K167" i="20"/>
  <c r="L167" i="20" s="1"/>
  <c r="P167" i="20" s="1"/>
  <c r="O170" i="20"/>
  <c r="P170" i="20" s="1"/>
  <c r="K176" i="20"/>
  <c r="L176" i="20" s="1"/>
  <c r="P176" i="20" s="1"/>
  <c r="O177" i="20"/>
  <c r="P177" i="20" s="1"/>
  <c r="O168" i="20"/>
  <c r="P168" i="20" s="1"/>
  <c r="K175" i="20"/>
  <c r="L175" i="20" s="1"/>
  <c r="P175" i="20" s="1"/>
  <c r="P172" i="20"/>
  <c r="O171" i="20"/>
  <c r="K171" i="20"/>
  <c r="L171" i="20" s="1"/>
  <c r="K173" i="20"/>
  <c r="L173" i="20" s="1"/>
  <c r="O173" i="20"/>
  <c r="O174" i="20"/>
  <c r="K174" i="20"/>
  <c r="L174" i="20" s="1"/>
  <c r="O169" i="20"/>
  <c r="K169" i="20"/>
  <c r="L169" i="20" s="1"/>
  <c r="O179" i="20"/>
  <c r="K179" i="20"/>
  <c r="L179" i="20" s="1"/>
  <c r="O31" i="20"/>
  <c r="P31" i="20" s="1"/>
  <c r="K30" i="20"/>
  <c r="L30" i="20" s="1"/>
  <c r="P30" i="20" s="1"/>
  <c r="O35" i="20"/>
  <c r="P35" i="20" s="1"/>
  <c r="O26" i="20"/>
  <c r="P26" i="20" s="1"/>
  <c r="O32" i="20"/>
  <c r="P32" i="20" s="1"/>
  <c r="K27" i="20"/>
  <c r="L27" i="20" s="1"/>
  <c r="O27" i="20"/>
  <c r="O24" i="20"/>
  <c r="K24" i="20"/>
  <c r="L24" i="20" s="1"/>
  <c r="O28" i="20"/>
  <c r="K28" i="20"/>
  <c r="L28" i="20" s="1"/>
  <c r="O23" i="20"/>
  <c r="K23" i="20"/>
  <c r="L23" i="20" s="1"/>
  <c r="P25" i="20"/>
  <c r="K33" i="20"/>
  <c r="L33" i="20" s="1"/>
  <c r="O33" i="20"/>
  <c r="O29" i="20"/>
  <c r="K29" i="20"/>
  <c r="L29" i="20" s="1"/>
  <c r="O34" i="20"/>
  <c r="K34" i="20"/>
  <c r="L34" i="20" s="1"/>
  <c r="C6" i="12"/>
  <c r="C6" i="16"/>
  <c r="C6" i="18"/>
  <c r="C6" i="15"/>
  <c r="C6" i="13"/>
  <c r="C6" i="17"/>
  <c r="C6" i="14"/>
  <c r="C17" i="11"/>
  <c r="I70" i="11" s="1"/>
  <c r="C1" i="20"/>
  <c r="C14" i="18"/>
  <c r="C14" i="15"/>
  <c r="C14" i="16"/>
  <c r="C14" i="12"/>
  <c r="C14" i="13"/>
  <c r="C14" i="17"/>
  <c r="C14" i="14"/>
  <c r="C5" i="11"/>
  <c r="C5" i="20"/>
  <c r="C5" i="12"/>
  <c r="C5" i="18"/>
  <c r="C5" i="15"/>
  <c r="C5" i="17"/>
  <c r="C5" i="16"/>
  <c r="C5" i="14"/>
  <c r="C5" i="13"/>
  <c r="C6" i="11"/>
  <c r="I71" i="11" l="1"/>
  <c r="B71" i="11" s="1"/>
  <c r="B70" i="11"/>
  <c r="E70" i="11"/>
  <c r="B74" i="12"/>
  <c r="B75" i="12"/>
  <c r="B81" i="12"/>
  <c r="E69" i="12"/>
  <c r="E77" i="12"/>
  <c r="B82" i="12"/>
  <c r="E79" i="12"/>
  <c r="E74" i="12"/>
  <c r="E75" i="12"/>
  <c r="E81" i="12"/>
  <c r="E83" i="12"/>
  <c r="B70" i="12"/>
  <c r="B71" i="12"/>
  <c r="B83" i="12"/>
  <c r="E82" i="12"/>
  <c r="E70" i="12"/>
  <c r="E71" i="12"/>
  <c r="E72" i="12"/>
  <c r="E76" i="12"/>
  <c r="E73" i="12"/>
  <c r="E78" i="12"/>
  <c r="B72" i="12"/>
  <c r="B76" i="12"/>
  <c r="B73" i="12"/>
  <c r="B78" i="12"/>
  <c r="B80" i="12"/>
  <c r="B79" i="12"/>
  <c r="B69" i="12"/>
  <c r="B77" i="12"/>
  <c r="E80" i="12"/>
  <c r="I72" i="11"/>
  <c r="M58" i="11"/>
  <c r="H58" i="11"/>
  <c r="I58" i="11" s="1"/>
  <c r="L58" i="11" s="1"/>
  <c r="M63" i="11"/>
  <c r="H63" i="11"/>
  <c r="I63" i="11" s="1"/>
  <c r="L63" i="11" s="1"/>
  <c r="I80" i="11"/>
  <c r="M47" i="11"/>
  <c r="H47" i="11"/>
  <c r="I47" i="11" s="1"/>
  <c r="L47" i="11" s="1"/>
  <c r="B70" i="15"/>
  <c r="E70" i="15"/>
  <c r="E72" i="15"/>
  <c r="B74" i="15"/>
  <c r="E63" i="15"/>
  <c r="B68" i="15"/>
  <c r="E73" i="15"/>
  <c r="B63" i="15"/>
  <c r="E64" i="15"/>
  <c r="E66" i="15"/>
  <c r="E68" i="15"/>
  <c r="B73" i="15"/>
  <c r="E75" i="15"/>
  <c r="E74" i="15"/>
  <c r="B76" i="15"/>
  <c r="E76" i="15"/>
  <c r="B62" i="15"/>
  <c r="B65" i="15"/>
  <c r="B64" i="15"/>
  <c r="B66" i="15"/>
  <c r="E71" i="15"/>
  <c r="B75" i="15"/>
  <c r="E67" i="15"/>
  <c r="E65" i="15"/>
  <c r="B67" i="15"/>
  <c r="B69" i="15"/>
  <c r="B71" i="15"/>
  <c r="E62" i="15"/>
  <c r="B72" i="15"/>
  <c r="E69" i="15"/>
  <c r="E2" i="20"/>
  <c r="R148" i="20"/>
  <c r="R6" i="20"/>
  <c r="R152" i="20"/>
  <c r="R4" i="20"/>
  <c r="R158" i="20"/>
  <c r="R175" i="20"/>
  <c r="R169" i="20"/>
  <c r="W172" i="20"/>
  <c r="B59" i="18"/>
  <c r="B62" i="18"/>
  <c r="E54" i="18"/>
  <c r="E57" i="18"/>
  <c r="E60" i="18"/>
  <c r="B68" i="18"/>
  <c r="E55" i="18"/>
  <c r="E58" i="18"/>
  <c r="B60" i="18"/>
  <c r="B56" i="18"/>
  <c r="E64" i="18"/>
  <c r="B55" i="18"/>
  <c r="B58" i="18"/>
  <c r="B61" i="18"/>
  <c r="E68" i="18"/>
  <c r="B64" i="18"/>
  <c r="E63" i="18"/>
  <c r="B66" i="18"/>
  <c r="B67" i="18"/>
  <c r="B63" i="18"/>
  <c r="E66" i="18"/>
  <c r="E61" i="18"/>
  <c r="E67" i="18"/>
  <c r="E59" i="18"/>
  <c r="E62" i="18"/>
  <c r="B54" i="18"/>
  <c r="B65" i="18"/>
  <c r="B57" i="18"/>
  <c r="E56" i="18"/>
  <c r="E65" i="18"/>
  <c r="I68" i="11"/>
  <c r="I79" i="11"/>
  <c r="M55" i="11"/>
  <c r="H55" i="11"/>
  <c r="I55" i="11" s="1"/>
  <c r="L55" i="11" s="1"/>
  <c r="M52" i="11"/>
  <c r="H52" i="11"/>
  <c r="I52" i="11" s="1"/>
  <c r="H67" i="11"/>
  <c r="I67" i="11" s="1"/>
  <c r="L67" i="11"/>
  <c r="I73" i="11"/>
  <c r="I69" i="11"/>
  <c r="I75" i="11"/>
  <c r="I77" i="11"/>
  <c r="I81" i="11"/>
  <c r="I74" i="11"/>
  <c r="I78" i="11"/>
  <c r="M45" i="11"/>
  <c r="N45" i="11" s="1"/>
  <c r="O45" i="11" s="1"/>
  <c r="P45" i="11" s="1"/>
  <c r="M56" i="11"/>
  <c r="N56" i="11" s="1"/>
  <c r="O56" i="11" s="1"/>
  <c r="P56" i="11" s="1"/>
  <c r="M48" i="11"/>
  <c r="N48" i="11" s="1"/>
  <c r="O48" i="11" s="1"/>
  <c r="P48" i="11" s="1"/>
  <c r="M53" i="11"/>
  <c r="N53" i="11" s="1"/>
  <c r="O53" i="11" s="1"/>
  <c r="P53" i="11" s="1"/>
  <c r="M61" i="11"/>
  <c r="N61" i="11" s="1"/>
  <c r="O61" i="11" s="1"/>
  <c r="P61" i="11" s="1"/>
  <c r="M46" i="11"/>
  <c r="N46" i="11" s="1"/>
  <c r="O46" i="11" s="1"/>
  <c r="P46" i="11" s="1"/>
  <c r="M51" i="11"/>
  <c r="N51" i="11" s="1"/>
  <c r="O51" i="11" s="1"/>
  <c r="P51" i="11" s="1"/>
  <c r="M57" i="11"/>
  <c r="N57" i="11" s="1"/>
  <c r="O57" i="11" s="1"/>
  <c r="P57" i="11" s="1"/>
  <c r="M62" i="11"/>
  <c r="N62" i="11" s="1"/>
  <c r="O62" i="11" s="1"/>
  <c r="P62" i="11" s="1"/>
  <c r="M54" i="11"/>
  <c r="N54" i="11" s="1"/>
  <c r="O54" i="11" s="1"/>
  <c r="P54" i="11" s="1"/>
  <c r="M49" i="11"/>
  <c r="N49" i="11" s="1"/>
  <c r="O49" i="11" s="1"/>
  <c r="P49" i="11" s="1"/>
  <c r="M59" i="11"/>
  <c r="N59" i="11" s="1"/>
  <c r="O59" i="11" s="1"/>
  <c r="P59" i="11" s="1"/>
  <c r="M50" i="11"/>
  <c r="H50" i="11"/>
  <c r="I50" i="11" s="1"/>
  <c r="L50" i="11" s="1"/>
  <c r="B66" i="16"/>
  <c r="E72" i="16"/>
  <c r="E71" i="16"/>
  <c r="B64" i="16"/>
  <c r="B67" i="16"/>
  <c r="E59" i="16"/>
  <c r="E69" i="16"/>
  <c r="B72" i="16"/>
  <c r="B71" i="16"/>
  <c r="B62" i="16"/>
  <c r="E67" i="16"/>
  <c r="B59" i="16"/>
  <c r="E62" i="16"/>
  <c r="B69" i="16"/>
  <c r="E70" i="16"/>
  <c r="B61" i="16"/>
  <c r="E60" i="16"/>
  <c r="B70" i="16"/>
  <c r="E61" i="16"/>
  <c r="B60" i="16"/>
  <c r="B65" i="16"/>
  <c r="B63" i="16"/>
  <c r="B73" i="16"/>
  <c r="E65" i="16"/>
  <c r="E73" i="16"/>
  <c r="E68" i="16"/>
  <c r="E66" i="16"/>
  <c r="E63" i="16"/>
  <c r="E64" i="16"/>
  <c r="B68" i="16"/>
  <c r="B78" i="14"/>
  <c r="B77" i="14"/>
  <c r="B72" i="14"/>
  <c r="E66" i="14"/>
  <c r="B68" i="14"/>
  <c r="E78" i="14"/>
  <c r="E74" i="14"/>
  <c r="B67" i="14"/>
  <c r="E65" i="14"/>
  <c r="B76" i="14"/>
  <c r="B71" i="14"/>
  <c r="E73" i="14"/>
  <c r="E70" i="14"/>
  <c r="E75" i="14"/>
  <c r="B74" i="14"/>
  <c r="E67" i="14"/>
  <c r="B64" i="14"/>
  <c r="B65" i="14"/>
  <c r="B73" i="14"/>
  <c r="B75" i="14"/>
  <c r="B69" i="14"/>
  <c r="E64" i="14"/>
  <c r="E76" i="14"/>
  <c r="E71" i="14"/>
  <c r="E69" i="14"/>
  <c r="E72" i="14"/>
  <c r="B70" i="14"/>
  <c r="B66" i="14"/>
  <c r="E77" i="14"/>
  <c r="E68" i="14"/>
  <c r="E63" i="17"/>
  <c r="B66" i="17"/>
  <c r="E56" i="17"/>
  <c r="B64" i="17"/>
  <c r="B59" i="17"/>
  <c r="E65" i="17"/>
  <c r="E68" i="17"/>
  <c r="B58" i="17"/>
  <c r="B63" i="17"/>
  <c r="E58" i="17"/>
  <c r="B70" i="17"/>
  <c r="E62" i="17"/>
  <c r="B69" i="17"/>
  <c r="E64" i="17"/>
  <c r="B67" i="17"/>
  <c r="B65" i="17"/>
  <c r="E69" i="17"/>
  <c r="E60" i="17"/>
  <c r="E61" i="17"/>
  <c r="E67" i="17"/>
  <c r="E59" i="17"/>
  <c r="E70" i="17"/>
  <c r="B60" i="17"/>
  <c r="B61" i="17"/>
  <c r="B57" i="17"/>
  <c r="B62" i="17"/>
  <c r="E66" i="17"/>
  <c r="B56" i="17"/>
  <c r="B68" i="17"/>
  <c r="E57" i="17"/>
  <c r="E69" i="13"/>
  <c r="B67" i="13"/>
  <c r="E80" i="13"/>
  <c r="E81" i="13"/>
  <c r="B75" i="13"/>
  <c r="E72" i="13"/>
  <c r="E67" i="13"/>
  <c r="E74" i="13"/>
  <c r="B81" i="13"/>
  <c r="B74" i="13"/>
  <c r="E79" i="13"/>
  <c r="E77" i="13"/>
  <c r="B78" i="13"/>
  <c r="E76" i="13"/>
  <c r="B68" i="13"/>
  <c r="B77" i="13"/>
  <c r="B70" i="13"/>
  <c r="E73" i="13"/>
  <c r="B76" i="13"/>
  <c r="E68" i="13"/>
  <c r="B71" i="13"/>
  <c r="E75" i="13"/>
  <c r="E70" i="13"/>
  <c r="B73" i="13"/>
  <c r="B72" i="13"/>
  <c r="B79" i="13"/>
  <c r="E71" i="13"/>
  <c r="B69" i="13"/>
  <c r="B80" i="13"/>
  <c r="E78" i="13"/>
  <c r="I76" i="11"/>
  <c r="M60" i="11"/>
  <c r="H60" i="11"/>
  <c r="I60" i="11" s="1"/>
  <c r="L60" i="11" s="1"/>
  <c r="P169" i="20"/>
  <c r="P173" i="20"/>
  <c r="P179" i="20"/>
  <c r="P171" i="20"/>
  <c r="P174" i="20"/>
  <c r="P28" i="20"/>
  <c r="P23" i="20"/>
  <c r="P29" i="20"/>
  <c r="P33" i="20"/>
  <c r="P24" i="20"/>
  <c r="P34" i="20"/>
  <c r="P27" i="20"/>
  <c r="I8" i="11"/>
  <c r="I16" i="11"/>
  <c r="I11" i="11"/>
  <c r="I15" i="11"/>
  <c r="I4" i="11"/>
  <c r="I5" i="11"/>
  <c r="I10" i="11"/>
  <c r="I14" i="11"/>
  <c r="I6" i="11"/>
  <c r="I9" i="11"/>
  <c r="I13" i="11"/>
  <c r="I17" i="11"/>
  <c r="I7" i="11"/>
  <c r="I12" i="11"/>
  <c r="R154" i="20"/>
  <c r="R166" i="20"/>
  <c r="R177" i="20"/>
  <c r="R149" i="20"/>
  <c r="R162" i="20"/>
  <c r="R168" i="20"/>
  <c r="R150" i="20"/>
  <c r="W152" i="20"/>
  <c r="R172" i="20"/>
  <c r="R157" i="20"/>
  <c r="R151" i="20"/>
  <c r="R155" i="20"/>
  <c r="R180" i="20"/>
  <c r="R174" i="20"/>
  <c r="R167" i="20"/>
  <c r="R159" i="20"/>
  <c r="R153" i="20"/>
  <c r="W180" i="20"/>
  <c r="R179" i="20"/>
  <c r="R176" i="20"/>
  <c r="R170" i="20"/>
  <c r="R161" i="20"/>
  <c r="R171" i="20"/>
  <c r="R178" i="20"/>
  <c r="W162" i="20"/>
  <c r="R173" i="20"/>
  <c r="R156" i="20"/>
  <c r="R160" i="20"/>
  <c r="W166" i="20"/>
  <c r="W148" i="20"/>
  <c r="W159" i="20"/>
  <c r="W157" i="20"/>
  <c r="W149" i="20"/>
  <c r="W155" i="20"/>
  <c r="W150" i="20"/>
  <c r="W151" i="20"/>
  <c r="W153" i="20"/>
  <c r="W154" i="20"/>
  <c r="W160" i="20"/>
  <c r="W156" i="20"/>
  <c r="W158" i="20"/>
  <c r="W161" i="20"/>
  <c r="W173" i="20"/>
  <c r="W176" i="20"/>
  <c r="W169" i="20"/>
  <c r="W175" i="20"/>
  <c r="W177" i="20"/>
  <c r="W179" i="20"/>
  <c r="W171" i="20"/>
  <c r="W167" i="20"/>
  <c r="W178" i="20"/>
  <c r="W170" i="20"/>
  <c r="W168" i="20"/>
  <c r="W174" i="20"/>
  <c r="R13" i="20"/>
  <c r="R16" i="20"/>
  <c r="R5" i="20"/>
  <c r="R18" i="20"/>
  <c r="R7" i="20"/>
  <c r="W4" i="20"/>
  <c r="W18" i="20"/>
  <c r="R15" i="20"/>
  <c r="R10" i="20"/>
  <c r="R9" i="20"/>
  <c r="R12" i="20"/>
  <c r="R8" i="20"/>
  <c r="R17" i="20"/>
  <c r="R14" i="20"/>
  <c r="R11" i="20"/>
  <c r="R27" i="20"/>
  <c r="R32" i="20"/>
  <c r="R25" i="20"/>
  <c r="R29" i="20"/>
  <c r="R35" i="20"/>
  <c r="R28" i="20"/>
  <c r="R22" i="20"/>
  <c r="R23" i="20"/>
  <c r="W32" i="20"/>
  <c r="R31" i="20"/>
  <c r="W28" i="20"/>
  <c r="W22" i="20"/>
  <c r="W36" i="20"/>
  <c r="R36" i="20"/>
  <c r="R33" i="20"/>
  <c r="R30" i="20"/>
  <c r="W30" i="20"/>
  <c r="R26" i="20"/>
  <c r="R24" i="20"/>
  <c r="W25" i="20"/>
  <c r="R34" i="20"/>
  <c r="W35" i="20"/>
  <c r="W34" i="20"/>
  <c r="W29" i="20"/>
  <c r="W13" i="20"/>
  <c r="W14" i="20"/>
  <c r="W15" i="20"/>
  <c r="W33" i="20"/>
  <c r="W5" i="20"/>
  <c r="W7" i="20"/>
  <c r="W8" i="20"/>
  <c r="W11" i="20"/>
  <c r="W23" i="20"/>
  <c r="W9" i="20"/>
  <c r="W26" i="20"/>
  <c r="W16" i="20"/>
  <c r="W6" i="20"/>
  <c r="W24" i="20"/>
  <c r="W17" i="20"/>
  <c r="W12" i="20"/>
  <c r="W10" i="20"/>
  <c r="W27" i="20"/>
  <c r="W31" i="20"/>
  <c r="B27" i="18"/>
  <c r="B31" i="18"/>
  <c r="B43" i="18"/>
  <c r="B25" i="18"/>
  <c r="B37" i="18"/>
  <c r="B47" i="18"/>
  <c r="B49" i="18"/>
  <c r="B41" i="18"/>
  <c r="B45" i="18"/>
  <c r="B23" i="18"/>
  <c r="B35" i="18"/>
  <c r="B29" i="18"/>
  <c r="B39" i="18"/>
  <c r="B33" i="18"/>
  <c r="B49" i="14"/>
  <c r="B47" i="14"/>
  <c r="B45" i="14"/>
  <c r="B25" i="14"/>
  <c r="B43" i="14"/>
  <c r="B33" i="14"/>
  <c r="B27" i="14"/>
  <c r="B39" i="14"/>
  <c r="B31" i="14"/>
  <c r="B41" i="14"/>
  <c r="B29" i="14"/>
  <c r="B35" i="14"/>
  <c r="B51" i="14"/>
  <c r="B37" i="14"/>
  <c r="B43" i="17"/>
  <c r="B31" i="17"/>
  <c r="B25" i="17"/>
  <c r="B33" i="17"/>
  <c r="B27" i="17"/>
  <c r="B41" i="17"/>
  <c r="B37" i="17"/>
  <c r="B49" i="17"/>
  <c r="B47" i="17"/>
  <c r="B39" i="17"/>
  <c r="B29" i="17"/>
  <c r="B45" i="17"/>
  <c r="B35" i="17"/>
  <c r="B51" i="17"/>
  <c r="B41" i="15"/>
  <c r="B39" i="15"/>
  <c r="B43" i="15"/>
  <c r="B27" i="15"/>
  <c r="B45" i="15"/>
  <c r="B35" i="15"/>
  <c r="B37" i="15"/>
  <c r="B33" i="15"/>
  <c r="B29" i="15"/>
  <c r="B49" i="15"/>
  <c r="B51" i="15"/>
  <c r="B25" i="15"/>
  <c r="B31" i="15"/>
  <c r="B47" i="15"/>
  <c r="C11" i="11"/>
  <c r="G3" i="11" s="1"/>
  <c r="L3" i="11" s="1"/>
  <c r="C11" i="17"/>
  <c r="G3" i="17" s="1"/>
  <c r="C11" i="14"/>
  <c r="G3" i="14" s="1"/>
  <c r="C11" i="12"/>
  <c r="G3" i="12" s="1"/>
  <c r="C11" i="16"/>
  <c r="G3" i="16" s="1"/>
  <c r="C11" i="18"/>
  <c r="G3" i="18" s="1"/>
  <c r="C11" i="15"/>
  <c r="G3" i="15" s="1"/>
  <c r="C11" i="13"/>
  <c r="G3" i="13" s="1"/>
  <c r="B29" i="12"/>
  <c r="B35" i="12"/>
  <c r="B47" i="12"/>
  <c r="B45" i="12"/>
  <c r="B49" i="12"/>
  <c r="B39" i="12"/>
  <c r="B25" i="12"/>
  <c r="B37" i="12"/>
  <c r="B51" i="12"/>
  <c r="B27" i="12"/>
  <c r="B33" i="12"/>
  <c r="B31" i="12"/>
  <c r="B43" i="12"/>
  <c r="B41" i="12"/>
  <c r="B39" i="13"/>
  <c r="B33" i="13"/>
  <c r="B49" i="13"/>
  <c r="B35" i="13"/>
  <c r="B25" i="13"/>
  <c r="B47" i="13"/>
  <c r="B37" i="13"/>
  <c r="B45" i="13"/>
  <c r="B41" i="13"/>
  <c r="B31" i="13"/>
  <c r="B29" i="13"/>
  <c r="B27" i="13"/>
  <c r="B51" i="13"/>
  <c r="B43" i="13"/>
  <c r="B29" i="16"/>
  <c r="B43" i="16"/>
  <c r="B45" i="16"/>
  <c r="B35" i="16"/>
  <c r="B39" i="16"/>
  <c r="B27" i="16"/>
  <c r="B47" i="16"/>
  <c r="B31" i="16"/>
  <c r="B49" i="16"/>
  <c r="B51" i="16"/>
  <c r="B33" i="16"/>
  <c r="B25" i="16"/>
  <c r="B41" i="16"/>
  <c r="B37" i="16"/>
  <c r="E71" i="11" l="1"/>
  <c r="N58" i="11"/>
  <c r="O58" i="11" s="1"/>
  <c r="P58" i="11" s="1"/>
  <c r="N60" i="11"/>
  <c r="O60" i="11" s="1"/>
  <c r="P60" i="11" s="1"/>
  <c r="B38" i="16"/>
  <c r="N63" i="11"/>
  <c r="O63" i="11" s="1"/>
  <c r="P63" i="11" s="1"/>
  <c r="N50" i="11"/>
  <c r="O50" i="11" s="1"/>
  <c r="P50" i="11" s="1"/>
  <c r="E73" i="11"/>
  <c r="B73" i="11"/>
  <c r="B68" i="11"/>
  <c r="E68" i="11"/>
  <c r="B78" i="11"/>
  <c r="E78" i="11"/>
  <c r="E67" i="11"/>
  <c r="B67" i="11"/>
  <c r="E80" i="11"/>
  <c r="B80" i="11"/>
  <c r="B76" i="11"/>
  <c r="E76" i="11"/>
  <c r="B74" i="11"/>
  <c r="E74" i="11"/>
  <c r="L52" i="11"/>
  <c r="N52" i="11" s="1"/>
  <c r="O52" i="11" s="1"/>
  <c r="P52" i="11" s="1"/>
  <c r="E81" i="11"/>
  <c r="B81" i="11"/>
  <c r="B77" i="11"/>
  <c r="E77" i="11"/>
  <c r="B75" i="11"/>
  <c r="E75" i="11"/>
  <c r="N55" i="11"/>
  <c r="O55" i="11" s="1"/>
  <c r="P55" i="11" s="1"/>
  <c r="B69" i="11"/>
  <c r="E69" i="11"/>
  <c r="B79" i="11"/>
  <c r="E79" i="11"/>
  <c r="N47" i="11"/>
  <c r="O47" i="11" s="1"/>
  <c r="P47" i="11" s="1"/>
  <c r="E72" i="11"/>
  <c r="B72" i="11"/>
  <c r="G175" i="20" a="1"/>
  <c r="G175" i="20" s="1"/>
  <c r="G192" i="20" s="1"/>
  <c r="J184" i="20" s="1"/>
  <c r="G31" i="20" a="1"/>
  <c r="G31" i="20" s="1"/>
  <c r="G48" i="20" s="1"/>
  <c r="H3" i="18"/>
  <c r="I3" i="18" s="1"/>
  <c r="B21" i="18" s="1"/>
  <c r="L3" i="18"/>
  <c r="B24" i="18"/>
  <c r="B33" i="11"/>
  <c r="B34" i="11"/>
  <c r="B47" i="11"/>
  <c r="B48" i="11"/>
  <c r="B25" i="11"/>
  <c r="B26" i="11"/>
  <c r="B44" i="11"/>
  <c r="B43" i="11"/>
  <c r="B32" i="11"/>
  <c r="B31" i="11"/>
  <c r="B41" i="11"/>
  <c r="B42" i="11"/>
  <c r="B35" i="11"/>
  <c r="B36" i="11"/>
  <c r="B24" i="11"/>
  <c r="B23" i="11"/>
  <c r="J23" i="11"/>
  <c r="K23" i="11" s="1"/>
  <c r="H23" i="11" s="1"/>
  <c r="J31" i="11"/>
  <c r="K31" i="11" s="1"/>
  <c r="J39" i="11"/>
  <c r="K39" i="11" s="1"/>
  <c r="J26" i="11"/>
  <c r="K26" i="11" s="1"/>
  <c r="J34" i="11"/>
  <c r="K34" i="11" s="1"/>
  <c r="J29" i="11"/>
  <c r="K29" i="11" s="1"/>
  <c r="J37" i="11"/>
  <c r="K37" i="11" s="1"/>
  <c r="J24" i="11"/>
  <c r="K24" i="11" s="1"/>
  <c r="J32" i="11"/>
  <c r="K32" i="11" s="1"/>
  <c r="J40" i="11"/>
  <c r="K40" i="11" s="1"/>
  <c r="J25" i="11"/>
  <c r="K25" i="11" s="1"/>
  <c r="J33" i="11"/>
  <c r="K33" i="11" s="1"/>
  <c r="J27" i="11"/>
  <c r="K27" i="11" s="1"/>
  <c r="J35" i="11"/>
  <c r="K35" i="11" s="1"/>
  <c r="J28" i="11"/>
  <c r="K28" i="11" s="1"/>
  <c r="J30" i="11"/>
  <c r="K30" i="11" s="1"/>
  <c r="J38" i="11"/>
  <c r="K38" i="11" s="1"/>
  <c r="J41" i="11"/>
  <c r="K41" i="11" s="1"/>
  <c r="J36" i="11"/>
  <c r="K36" i="11" s="1"/>
  <c r="B27" i="11"/>
  <c r="B28" i="11"/>
  <c r="B45" i="11"/>
  <c r="B46" i="11"/>
  <c r="B49" i="11"/>
  <c r="B50" i="11"/>
  <c r="B40" i="11"/>
  <c r="B39" i="11"/>
  <c r="B38" i="11"/>
  <c r="B37" i="11"/>
  <c r="B30" i="11"/>
  <c r="B29" i="11"/>
  <c r="B46" i="16"/>
  <c r="B36" i="15"/>
  <c r="B44" i="18"/>
  <c r="B30" i="16"/>
  <c r="B48" i="14"/>
  <c r="B38" i="17"/>
  <c r="B34" i="12"/>
  <c r="B48" i="12"/>
  <c r="B32" i="12"/>
  <c r="B36" i="13"/>
  <c r="B36" i="12"/>
  <c r="B52" i="13"/>
  <c r="B46" i="13"/>
  <c r="B30" i="13"/>
  <c r="B50" i="13"/>
  <c r="B32" i="13"/>
  <c r="B40" i="13"/>
  <c r="B42" i="13"/>
  <c r="B34" i="13"/>
  <c r="B44" i="13"/>
  <c r="B26" i="13"/>
  <c r="B38" i="13"/>
  <c r="B42" i="12"/>
  <c r="B46" i="12"/>
  <c r="B46" i="15"/>
  <c r="B28" i="13"/>
  <c r="B48" i="13"/>
  <c r="B26" i="12"/>
  <c r="B52" i="12"/>
  <c r="B30" i="12"/>
  <c r="B34" i="15"/>
  <c r="B34" i="16"/>
  <c r="B44" i="12"/>
  <c r="B50" i="12"/>
  <c r="B28" i="12"/>
  <c r="B42" i="18"/>
  <c r="B42" i="16"/>
  <c r="B50" i="16"/>
  <c r="B52" i="16"/>
  <c r="B26" i="16"/>
  <c r="B32" i="16"/>
  <c r="B44" i="16"/>
  <c r="B30" i="18"/>
  <c r="B40" i="16"/>
  <c r="B40" i="12"/>
  <c r="B36" i="16"/>
  <c r="B48" i="16"/>
  <c r="B38" i="12"/>
  <c r="B28" i="16"/>
  <c r="B50" i="15"/>
  <c r="J37" i="14"/>
  <c r="K37" i="14" s="1"/>
  <c r="J33" i="14"/>
  <c r="K33" i="14" s="1"/>
  <c r="J26" i="14"/>
  <c r="K26" i="14" s="1"/>
  <c r="J31" i="14"/>
  <c r="K31" i="14" s="1"/>
  <c r="J41" i="14"/>
  <c r="K41" i="14" s="1"/>
  <c r="J30" i="14"/>
  <c r="K30" i="14" s="1"/>
  <c r="J34" i="14"/>
  <c r="K34" i="14" s="1"/>
  <c r="J27" i="14"/>
  <c r="K27" i="14" s="1"/>
  <c r="J29" i="14"/>
  <c r="K29" i="14" s="1"/>
  <c r="J35" i="14"/>
  <c r="K35" i="14" s="1"/>
  <c r="J40" i="14"/>
  <c r="K40" i="14" s="1"/>
  <c r="J38" i="14"/>
  <c r="K38" i="14" s="1"/>
  <c r="J36" i="14"/>
  <c r="K36" i="14" s="1"/>
  <c r="J25" i="14"/>
  <c r="K25" i="14" s="1"/>
  <c r="J32" i="14"/>
  <c r="K32" i="14" s="1"/>
  <c r="J28" i="14"/>
  <c r="K28" i="14" s="1"/>
  <c r="J39" i="14"/>
  <c r="K39" i="14" s="1"/>
  <c r="B48" i="15"/>
  <c r="B52" i="15"/>
  <c r="B44" i="15"/>
  <c r="B32" i="17"/>
  <c r="B28" i="14"/>
  <c r="B46" i="14"/>
  <c r="B46" i="18"/>
  <c r="B48" i="18"/>
  <c r="J33" i="17"/>
  <c r="K33" i="17" s="1"/>
  <c r="J25" i="17"/>
  <c r="K25" i="17" s="1"/>
  <c r="J36" i="17"/>
  <c r="K36" i="17" s="1"/>
  <c r="J30" i="17"/>
  <c r="K30" i="17" s="1"/>
  <c r="J27" i="17"/>
  <c r="K27" i="17" s="1"/>
  <c r="J35" i="17"/>
  <c r="K35" i="17" s="1"/>
  <c r="J32" i="17"/>
  <c r="K32" i="17" s="1"/>
  <c r="J29" i="17"/>
  <c r="K29" i="17" s="1"/>
  <c r="J37" i="17"/>
  <c r="K37" i="17" s="1"/>
  <c r="J31" i="17"/>
  <c r="K31" i="17" s="1"/>
  <c r="J26" i="17"/>
  <c r="K26" i="17" s="1"/>
  <c r="J34" i="17"/>
  <c r="K34" i="17" s="1"/>
  <c r="J28" i="17"/>
  <c r="K28" i="17" s="1"/>
  <c r="B48" i="17"/>
  <c r="B44" i="17"/>
  <c r="J36" i="13"/>
  <c r="K36" i="13" s="1"/>
  <c r="J39" i="13"/>
  <c r="K39" i="13" s="1"/>
  <c r="J33" i="13"/>
  <c r="K33" i="13" s="1"/>
  <c r="J25" i="13"/>
  <c r="K25" i="13" s="1"/>
  <c r="J40" i="13"/>
  <c r="K40" i="13" s="1"/>
  <c r="J30" i="13"/>
  <c r="K30" i="13" s="1"/>
  <c r="J27" i="13"/>
  <c r="K27" i="13" s="1"/>
  <c r="J35" i="13"/>
  <c r="K35" i="13" s="1"/>
  <c r="J42" i="13"/>
  <c r="K42" i="13" s="1"/>
  <c r="J38" i="13"/>
  <c r="K38" i="13" s="1"/>
  <c r="J32" i="13"/>
  <c r="K32" i="13" s="1"/>
  <c r="J29" i="13"/>
  <c r="K29" i="13" s="1"/>
  <c r="J28" i="13"/>
  <c r="K28" i="13" s="1"/>
  <c r="J41" i="13"/>
  <c r="K41" i="13" s="1"/>
  <c r="J37" i="13"/>
  <c r="K37" i="13" s="1"/>
  <c r="J34" i="13"/>
  <c r="K34" i="13" s="1"/>
  <c r="J31" i="13"/>
  <c r="K31" i="13" s="1"/>
  <c r="J26" i="13"/>
  <c r="K26" i="13" s="1"/>
  <c r="B32" i="15"/>
  <c r="B52" i="17"/>
  <c r="B42" i="14"/>
  <c r="B50" i="14"/>
  <c r="B26" i="18"/>
  <c r="B28" i="18"/>
  <c r="J40" i="15"/>
  <c r="K40" i="15" s="1"/>
  <c r="J38" i="15"/>
  <c r="K38" i="15" s="1"/>
  <c r="J35" i="15"/>
  <c r="K35" i="15" s="1"/>
  <c r="J30" i="15"/>
  <c r="K30" i="15" s="1"/>
  <c r="J28" i="15"/>
  <c r="K28" i="15" s="1"/>
  <c r="J26" i="15"/>
  <c r="K26" i="15" s="1"/>
  <c r="J37" i="15"/>
  <c r="K37" i="15" s="1"/>
  <c r="J32" i="15"/>
  <c r="K32" i="15" s="1"/>
  <c r="J25" i="15"/>
  <c r="K25" i="15" s="1"/>
  <c r="J39" i="15"/>
  <c r="K39" i="15" s="1"/>
  <c r="J34" i="15"/>
  <c r="K34" i="15" s="1"/>
  <c r="J31" i="15"/>
  <c r="K31" i="15" s="1"/>
  <c r="J27" i="15"/>
  <c r="K27" i="15" s="1"/>
  <c r="J36" i="15"/>
  <c r="K36" i="15" s="1"/>
  <c r="J29" i="15"/>
  <c r="K29" i="15" s="1"/>
  <c r="J33" i="15"/>
  <c r="K33" i="15" s="1"/>
  <c r="B38" i="15"/>
  <c r="B44" i="14"/>
  <c r="B50" i="18"/>
  <c r="J26" i="18"/>
  <c r="K26" i="18" s="1"/>
  <c r="J23" i="18"/>
  <c r="K23" i="18" s="1"/>
  <c r="J34" i="18"/>
  <c r="K34" i="18" s="1"/>
  <c r="J31" i="18"/>
  <c r="K31" i="18" s="1"/>
  <c r="J28" i="18"/>
  <c r="K28" i="18" s="1"/>
  <c r="J25" i="18"/>
  <c r="K25" i="18" s="1"/>
  <c r="J33" i="18"/>
  <c r="K33" i="18" s="1"/>
  <c r="J30" i="18"/>
  <c r="K30" i="18" s="1"/>
  <c r="J27" i="18"/>
  <c r="K27" i="18" s="1"/>
  <c r="J24" i="18"/>
  <c r="K24" i="18" s="1"/>
  <c r="J29" i="18"/>
  <c r="K29" i="18" s="1"/>
  <c r="J32" i="18"/>
  <c r="K32" i="18" s="1"/>
  <c r="B50" i="17"/>
  <c r="B36" i="17"/>
  <c r="B34" i="14"/>
  <c r="B36" i="18"/>
  <c r="J35" i="16"/>
  <c r="K35" i="16" s="1"/>
  <c r="J38" i="16"/>
  <c r="K38" i="16" s="1"/>
  <c r="J32" i="16"/>
  <c r="K32" i="16" s="1"/>
  <c r="J27" i="16"/>
  <c r="K27" i="16" s="1"/>
  <c r="J34" i="16"/>
  <c r="K34" i="16" s="1"/>
  <c r="J30" i="16"/>
  <c r="K30" i="16" s="1"/>
  <c r="J37" i="16"/>
  <c r="K37" i="16" s="1"/>
  <c r="J29" i="16"/>
  <c r="K29" i="16" s="1"/>
  <c r="J28" i="16"/>
  <c r="K28" i="16" s="1"/>
  <c r="J33" i="16"/>
  <c r="K33" i="16" s="1"/>
  <c r="J26" i="16"/>
  <c r="K26" i="16" s="1"/>
  <c r="J31" i="16"/>
  <c r="K31" i="16" s="1"/>
  <c r="J36" i="16"/>
  <c r="K36" i="16" s="1"/>
  <c r="J25" i="16"/>
  <c r="K25" i="16" s="1"/>
  <c r="B28" i="15"/>
  <c r="B46" i="17"/>
  <c r="B42" i="17"/>
  <c r="B52" i="14"/>
  <c r="B36" i="14"/>
  <c r="B26" i="14"/>
  <c r="J35" i="12"/>
  <c r="K35" i="12" s="1"/>
  <c r="J26" i="12"/>
  <c r="K26" i="12" s="1"/>
  <c r="J40" i="12"/>
  <c r="K40" i="12" s="1"/>
  <c r="J38" i="12"/>
  <c r="K38" i="12" s="1"/>
  <c r="J31" i="12"/>
  <c r="K31" i="12" s="1"/>
  <c r="J32" i="12"/>
  <c r="K32" i="12" s="1"/>
  <c r="J29" i="12"/>
  <c r="K29" i="12" s="1"/>
  <c r="J43" i="12"/>
  <c r="K43" i="12" s="1"/>
  <c r="J34" i="12"/>
  <c r="K34" i="12" s="1"/>
  <c r="J28" i="12"/>
  <c r="K28" i="12" s="1"/>
  <c r="J37" i="12"/>
  <c r="K37" i="12" s="1"/>
  <c r="J25" i="12"/>
  <c r="K25" i="12" s="1"/>
  <c r="J36" i="12"/>
  <c r="K36" i="12" s="1"/>
  <c r="J41" i="12"/>
  <c r="K41" i="12" s="1"/>
  <c r="J39" i="12"/>
  <c r="K39" i="12" s="1"/>
  <c r="J33" i="12"/>
  <c r="K33" i="12" s="1"/>
  <c r="J42" i="12"/>
  <c r="K42" i="12" s="1"/>
  <c r="J30" i="12"/>
  <c r="K30" i="12" s="1"/>
  <c r="J27" i="12"/>
  <c r="K27" i="12" s="1"/>
  <c r="B30" i="15"/>
  <c r="B26" i="15"/>
  <c r="B40" i="15"/>
  <c r="B30" i="17"/>
  <c r="B28" i="17"/>
  <c r="B34" i="17"/>
  <c r="B30" i="14"/>
  <c r="B40" i="14"/>
  <c r="B34" i="18"/>
  <c r="B38" i="18"/>
  <c r="B32" i="18"/>
  <c r="B42" i="15"/>
  <c r="B40" i="17"/>
  <c r="B26" i="17"/>
  <c r="B38" i="14"/>
  <c r="B32" i="14"/>
  <c r="B40" i="18"/>
  <c r="G194" i="20" l="1"/>
  <c r="J190" i="20" s="1"/>
  <c r="K184" i="20"/>
  <c r="L184" i="20" s="1"/>
  <c r="R184" i="20" s="1"/>
  <c r="O184" i="20"/>
  <c r="W198" i="20"/>
  <c r="R198" i="20"/>
  <c r="J40" i="20"/>
  <c r="R54" i="20" s="1"/>
  <c r="H36" i="11"/>
  <c r="I36" i="11" s="1"/>
  <c r="L36" i="11" s="1"/>
  <c r="M36" i="11"/>
  <c r="H40" i="11"/>
  <c r="I40" i="11" s="1"/>
  <c r="L40" i="11" s="1"/>
  <c r="M40" i="11"/>
  <c r="H41" i="11"/>
  <c r="I41" i="11" s="1"/>
  <c r="L41" i="11" s="1"/>
  <c r="M41" i="11"/>
  <c r="H29" i="11"/>
  <c r="I29" i="11" s="1"/>
  <c r="L29" i="11" s="1"/>
  <c r="M29" i="11"/>
  <c r="H39" i="11"/>
  <c r="I39" i="11" s="1"/>
  <c r="L39" i="11" s="1"/>
  <c r="M39" i="11"/>
  <c r="H32" i="11"/>
  <c r="I32" i="11" s="1"/>
  <c r="L32" i="11" s="1"/>
  <c r="M32" i="11"/>
  <c r="H28" i="11"/>
  <c r="I28" i="11" s="1"/>
  <c r="L28" i="11" s="1"/>
  <c r="M28" i="11"/>
  <c r="H37" i="11"/>
  <c r="I37" i="11" s="1"/>
  <c r="L37" i="11" s="1"/>
  <c r="M37" i="11"/>
  <c r="H38" i="11"/>
  <c r="I38" i="11" s="1"/>
  <c r="L38" i="11" s="1"/>
  <c r="M38" i="11"/>
  <c r="H35" i="11"/>
  <c r="I35" i="11" s="1"/>
  <c r="L35" i="11" s="1"/>
  <c r="M35" i="11"/>
  <c r="H31" i="11"/>
  <c r="I31" i="11" s="1"/>
  <c r="L31" i="11" s="1"/>
  <c r="M31" i="11"/>
  <c r="H24" i="11"/>
  <c r="I24" i="11" s="1"/>
  <c r="L24" i="11" s="1"/>
  <c r="M24" i="11"/>
  <c r="H34" i="11"/>
  <c r="I34" i="11" s="1"/>
  <c r="L34" i="11" s="1"/>
  <c r="M34" i="11"/>
  <c r="H30" i="11"/>
  <c r="I30" i="11" s="1"/>
  <c r="L30" i="11" s="1"/>
  <c r="M30" i="11"/>
  <c r="H27" i="11"/>
  <c r="I27" i="11" s="1"/>
  <c r="L27" i="11" s="1"/>
  <c r="M27" i="11"/>
  <c r="I23" i="11"/>
  <c r="M23" i="11"/>
  <c r="H25" i="11"/>
  <c r="I25" i="11" s="1"/>
  <c r="L25" i="11" s="1"/>
  <c r="M25" i="11"/>
  <c r="H33" i="11"/>
  <c r="I33" i="11" s="1"/>
  <c r="L33" i="11" s="1"/>
  <c r="M33" i="11"/>
  <c r="H26" i="11"/>
  <c r="I26" i="11" s="1"/>
  <c r="L26" i="11" s="1"/>
  <c r="M26" i="11"/>
  <c r="H3" i="11"/>
  <c r="I3" i="11" s="1"/>
  <c r="H28" i="12"/>
  <c r="I28" i="12" s="1"/>
  <c r="L28" i="12" s="1"/>
  <c r="M28" i="12"/>
  <c r="H27" i="12"/>
  <c r="I27" i="12" s="1"/>
  <c r="L27" i="12" s="1"/>
  <c r="M27" i="12"/>
  <c r="H37" i="12"/>
  <c r="I37" i="12" s="1"/>
  <c r="L37" i="12" s="1"/>
  <c r="M37" i="12"/>
  <c r="H40" i="12"/>
  <c r="I40" i="12" s="1"/>
  <c r="L40" i="12" s="1"/>
  <c r="M40" i="12"/>
  <c r="H25" i="16"/>
  <c r="I25" i="16" s="1"/>
  <c r="L25" i="16" s="1"/>
  <c r="M25" i="16"/>
  <c r="H37" i="16"/>
  <c r="I37" i="16" s="1"/>
  <c r="L37" i="16" s="1"/>
  <c r="M37" i="16"/>
  <c r="H35" i="16"/>
  <c r="I35" i="16" s="1"/>
  <c r="L35" i="16" s="1"/>
  <c r="M35" i="16"/>
  <c r="H29" i="18"/>
  <c r="I29" i="18" s="1"/>
  <c r="L29" i="18" s="1"/>
  <c r="M29" i="18"/>
  <c r="H33" i="18"/>
  <c r="I33" i="18" s="1"/>
  <c r="L33" i="18" s="1"/>
  <c r="M33" i="18"/>
  <c r="H23" i="18"/>
  <c r="I23" i="18" s="1"/>
  <c r="L23" i="18" s="1"/>
  <c r="M23" i="18"/>
  <c r="M33" i="15"/>
  <c r="H33" i="15"/>
  <c r="I33" i="15" s="1"/>
  <c r="L33" i="15" s="1"/>
  <c r="H38" i="15"/>
  <c r="I38" i="15" s="1"/>
  <c r="L38" i="15" s="1"/>
  <c r="M38" i="15"/>
  <c r="H32" i="13"/>
  <c r="I32" i="13" s="1"/>
  <c r="L32" i="13" s="1"/>
  <c r="M32" i="13"/>
  <c r="H33" i="13"/>
  <c r="I33" i="13" s="1"/>
  <c r="L33" i="13" s="1"/>
  <c r="M33" i="13"/>
  <c r="H32" i="17"/>
  <c r="I32" i="17" s="1"/>
  <c r="L32" i="17" s="1"/>
  <c r="M32" i="17"/>
  <c r="H36" i="17"/>
  <c r="I36" i="17" s="1"/>
  <c r="L36" i="17" s="1"/>
  <c r="M36" i="17"/>
  <c r="H40" i="14"/>
  <c r="I40" i="14" s="1"/>
  <c r="L40" i="14" s="1"/>
  <c r="M40" i="14"/>
  <c r="H31" i="14"/>
  <c r="I31" i="14" s="1"/>
  <c r="L31" i="14" s="1"/>
  <c r="M31" i="14"/>
  <c r="H26" i="18"/>
  <c r="I26" i="18" s="1"/>
  <c r="L26" i="18" s="1"/>
  <c r="M26" i="18"/>
  <c r="M40" i="15"/>
  <c r="H40" i="15"/>
  <c r="I40" i="15" s="1"/>
  <c r="L40" i="15" s="1"/>
  <c r="H26" i="13"/>
  <c r="I26" i="13" s="1"/>
  <c r="L26" i="13" s="1"/>
  <c r="M26" i="13"/>
  <c r="H25" i="17"/>
  <c r="I25" i="17" s="1"/>
  <c r="L25" i="17" s="1"/>
  <c r="M25" i="17"/>
  <c r="H39" i="14"/>
  <c r="I39" i="14" s="1"/>
  <c r="L39" i="14" s="1"/>
  <c r="M39" i="14"/>
  <c r="H26" i="14"/>
  <c r="I26" i="14" s="1"/>
  <c r="L26" i="14" s="1"/>
  <c r="M26" i="14"/>
  <c r="H38" i="13"/>
  <c r="I38" i="13" s="1"/>
  <c r="L38" i="13" s="1"/>
  <c r="M38" i="13"/>
  <c r="H39" i="13"/>
  <c r="I39" i="13" s="1"/>
  <c r="L39" i="13" s="1"/>
  <c r="M39" i="13"/>
  <c r="H28" i="17"/>
  <c r="I28" i="17" s="1"/>
  <c r="L28" i="17" s="1"/>
  <c r="M28" i="17"/>
  <c r="H35" i="14"/>
  <c r="I35" i="14" s="1"/>
  <c r="L35" i="14" s="1"/>
  <c r="M35" i="14"/>
  <c r="H42" i="12"/>
  <c r="I42" i="12" s="1"/>
  <c r="L42" i="12" s="1"/>
  <c r="M42" i="12"/>
  <c r="H34" i="12"/>
  <c r="I34" i="12" s="1"/>
  <c r="L34" i="12" s="1"/>
  <c r="M34" i="12"/>
  <c r="H35" i="12"/>
  <c r="I35" i="12" s="1"/>
  <c r="L35" i="12" s="1"/>
  <c r="M35" i="12"/>
  <c r="H31" i="16"/>
  <c r="I31" i="16" s="1"/>
  <c r="L31" i="16" s="1"/>
  <c r="M31" i="16"/>
  <c r="H30" i="16"/>
  <c r="I30" i="16" s="1"/>
  <c r="L30" i="16" s="1"/>
  <c r="M30" i="16"/>
  <c r="H24" i="18"/>
  <c r="I24" i="18" s="1"/>
  <c r="L24" i="18" s="1"/>
  <c r="M24" i="18"/>
  <c r="H25" i="18"/>
  <c r="I25" i="18" s="1"/>
  <c r="L25" i="18" s="1"/>
  <c r="M25" i="18"/>
  <c r="H36" i="15"/>
  <c r="I36" i="15" s="1"/>
  <c r="L36" i="15" s="1"/>
  <c r="M36" i="15"/>
  <c r="M32" i="15"/>
  <c r="H32" i="15"/>
  <c r="I32" i="15" s="1"/>
  <c r="L32" i="15" s="1"/>
  <c r="H31" i="13"/>
  <c r="I31" i="13" s="1"/>
  <c r="L31" i="13" s="1"/>
  <c r="M31" i="13"/>
  <c r="H42" i="13"/>
  <c r="I42" i="13" s="1"/>
  <c r="L42" i="13" s="1"/>
  <c r="M42" i="13"/>
  <c r="H36" i="13"/>
  <c r="I36" i="13" s="1"/>
  <c r="L36" i="13" s="1"/>
  <c r="M36" i="13"/>
  <c r="H33" i="17"/>
  <c r="I33" i="17" s="1"/>
  <c r="L33" i="17" s="1"/>
  <c r="M33" i="17"/>
  <c r="H28" i="14"/>
  <c r="I28" i="14" s="1"/>
  <c r="L28" i="14" s="1"/>
  <c r="M28" i="14"/>
  <c r="H29" i="14"/>
  <c r="I29" i="14" s="1"/>
  <c r="L29" i="14" s="1"/>
  <c r="M29" i="14"/>
  <c r="H33" i="14"/>
  <c r="I33" i="14" s="1"/>
  <c r="L33" i="14" s="1"/>
  <c r="M33" i="14"/>
  <c r="H36" i="16"/>
  <c r="I36" i="16" s="1"/>
  <c r="L36" i="16" s="1"/>
  <c r="M36" i="16"/>
  <c r="M25" i="15"/>
  <c r="H25" i="15"/>
  <c r="I25" i="15" s="1"/>
  <c r="L25" i="15" s="1"/>
  <c r="H33" i="12"/>
  <c r="I33" i="12" s="1"/>
  <c r="L33" i="12" s="1"/>
  <c r="M33" i="12"/>
  <c r="H43" i="12"/>
  <c r="I43" i="12" s="1"/>
  <c r="L43" i="12" s="1"/>
  <c r="M43" i="12"/>
  <c r="H26" i="16"/>
  <c r="I26" i="16" s="1"/>
  <c r="L26" i="16" s="1"/>
  <c r="M26" i="16"/>
  <c r="H34" i="16"/>
  <c r="I34" i="16" s="1"/>
  <c r="L34" i="16" s="1"/>
  <c r="M34" i="16"/>
  <c r="H28" i="18"/>
  <c r="I28" i="18" s="1"/>
  <c r="L28" i="18" s="1"/>
  <c r="M28" i="18"/>
  <c r="H37" i="15"/>
  <c r="I37" i="15" s="1"/>
  <c r="L37" i="15" s="1"/>
  <c r="M37" i="15"/>
  <c r="H34" i="13"/>
  <c r="I34" i="13" s="1"/>
  <c r="L34" i="13" s="1"/>
  <c r="M34" i="13"/>
  <c r="H35" i="13"/>
  <c r="I35" i="13" s="1"/>
  <c r="L35" i="13" s="1"/>
  <c r="M35" i="13"/>
  <c r="H34" i="17"/>
  <c r="I34" i="17" s="1"/>
  <c r="L34" i="17" s="1"/>
  <c r="M34" i="17"/>
  <c r="H32" i="14"/>
  <c r="I32" i="14" s="1"/>
  <c r="L32" i="14" s="1"/>
  <c r="M32" i="14"/>
  <c r="H27" i="14"/>
  <c r="I27" i="14" s="1"/>
  <c r="L27" i="14" s="1"/>
  <c r="M27" i="14"/>
  <c r="H37" i="14"/>
  <c r="I37" i="14" s="1"/>
  <c r="L37" i="14" s="1"/>
  <c r="M37" i="14"/>
  <c r="H29" i="12"/>
  <c r="I29" i="12" s="1"/>
  <c r="L29" i="12" s="1"/>
  <c r="M29" i="12"/>
  <c r="H33" i="16"/>
  <c r="I33" i="16" s="1"/>
  <c r="L33" i="16" s="1"/>
  <c r="M33" i="16"/>
  <c r="H27" i="15"/>
  <c r="I27" i="15" s="1"/>
  <c r="L27" i="15" s="1"/>
  <c r="M27" i="15"/>
  <c r="H26" i="15"/>
  <c r="I26" i="15" s="1"/>
  <c r="L26" i="15" s="1"/>
  <c r="M26" i="15"/>
  <c r="H37" i="13"/>
  <c r="I37" i="13" s="1"/>
  <c r="L37" i="13" s="1"/>
  <c r="M37" i="13"/>
  <c r="H27" i="13"/>
  <c r="I27" i="13" s="1"/>
  <c r="L27" i="13" s="1"/>
  <c r="M27" i="13"/>
  <c r="H26" i="17"/>
  <c r="I26" i="17" s="1"/>
  <c r="L26" i="17" s="1"/>
  <c r="M26" i="17"/>
  <c r="H35" i="17"/>
  <c r="I35" i="17" s="1"/>
  <c r="L35" i="17" s="1"/>
  <c r="M35" i="17"/>
  <c r="H34" i="14"/>
  <c r="I34" i="14" s="1"/>
  <c r="L34" i="14" s="1"/>
  <c r="M34" i="14"/>
  <c r="H30" i="12"/>
  <c r="I30" i="12" s="1"/>
  <c r="L30" i="12" s="1"/>
  <c r="M30" i="12"/>
  <c r="H39" i="12"/>
  <c r="I39" i="12" s="1"/>
  <c r="L39" i="12" s="1"/>
  <c r="M39" i="12"/>
  <c r="H41" i="12"/>
  <c r="I41" i="12" s="1"/>
  <c r="L41" i="12" s="1"/>
  <c r="M41" i="12"/>
  <c r="M32" i="12"/>
  <c r="H32" i="12"/>
  <c r="I32" i="12" s="1"/>
  <c r="L32" i="12" s="1"/>
  <c r="H28" i="16"/>
  <c r="I28" i="16" s="1"/>
  <c r="L28" i="16" s="1"/>
  <c r="M28" i="16"/>
  <c r="H27" i="16"/>
  <c r="I27" i="16" s="1"/>
  <c r="L27" i="16" s="1"/>
  <c r="M27" i="16"/>
  <c r="H27" i="18"/>
  <c r="I27" i="18" s="1"/>
  <c r="L27" i="18" s="1"/>
  <c r="M27" i="18"/>
  <c r="H31" i="15"/>
  <c r="I31" i="15" s="1"/>
  <c r="L31" i="15" s="1"/>
  <c r="M31" i="15"/>
  <c r="H28" i="15"/>
  <c r="I28" i="15" s="1"/>
  <c r="L28" i="15" s="1"/>
  <c r="M28" i="15"/>
  <c r="H41" i="13"/>
  <c r="I41" i="13" s="1"/>
  <c r="L41" i="13" s="1"/>
  <c r="M41" i="13"/>
  <c r="H30" i="13"/>
  <c r="I30" i="13" s="1"/>
  <c r="L30" i="13" s="1"/>
  <c r="M30" i="13"/>
  <c r="H31" i="17"/>
  <c r="I31" i="17" s="1"/>
  <c r="L31" i="17" s="1"/>
  <c r="M31" i="17"/>
  <c r="H27" i="17"/>
  <c r="I27" i="17" s="1"/>
  <c r="L27" i="17" s="1"/>
  <c r="M27" i="17"/>
  <c r="H25" i="14"/>
  <c r="I25" i="14" s="1"/>
  <c r="L25" i="14" s="1"/>
  <c r="M25" i="14"/>
  <c r="H26" i="12"/>
  <c r="I26" i="12" s="1"/>
  <c r="L26" i="12" s="1"/>
  <c r="M26" i="12"/>
  <c r="M29" i="15"/>
  <c r="H29" i="15"/>
  <c r="I29" i="15" s="1"/>
  <c r="L29" i="15" s="1"/>
  <c r="H36" i="12"/>
  <c r="I36" i="12" s="1"/>
  <c r="L36" i="12" s="1"/>
  <c r="M36" i="12"/>
  <c r="H31" i="12"/>
  <c r="I31" i="12" s="1"/>
  <c r="L31" i="12" s="1"/>
  <c r="M31" i="12"/>
  <c r="H29" i="16"/>
  <c r="I29" i="16" s="1"/>
  <c r="L29" i="16" s="1"/>
  <c r="M29" i="16"/>
  <c r="M32" i="16"/>
  <c r="H32" i="16"/>
  <c r="I32" i="16" s="1"/>
  <c r="L32" i="16" s="1"/>
  <c r="H31" i="18"/>
  <c r="I31" i="18" s="1"/>
  <c r="L31" i="18" s="1"/>
  <c r="M31" i="18"/>
  <c r="H34" i="15"/>
  <c r="I34" i="15" s="1"/>
  <c r="L34" i="15" s="1"/>
  <c r="M34" i="15"/>
  <c r="H30" i="15"/>
  <c r="I30" i="15" s="1"/>
  <c r="L30" i="15" s="1"/>
  <c r="M30" i="15"/>
  <c r="H28" i="13"/>
  <c r="I28" i="13" s="1"/>
  <c r="L28" i="13" s="1"/>
  <c r="M28" i="13"/>
  <c r="H40" i="13"/>
  <c r="I40" i="13" s="1"/>
  <c r="L40" i="13" s="1"/>
  <c r="M40" i="13"/>
  <c r="H37" i="17"/>
  <c r="I37" i="17" s="1"/>
  <c r="L37" i="17" s="1"/>
  <c r="M37" i="17"/>
  <c r="H30" i="17"/>
  <c r="I30" i="17" s="1"/>
  <c r="L30" i="17" s="1"/>
  <c r="M30" i="17"/>
  <c r="H36" i="14"/>
  <c r="I36" i="14" s="1"/>
  <c r="L36" i="14" s="1"/>
  <c r="M36" i="14"/>
  <c r="H30" i="14"/>
  <c r="I30" i="14" s="1"/>
  <c r="L30" i="14" s="1"/>
  <c r="M30" i="14"/>
  <c r="H25" i="12"/>
  <c r="I25" i="12" s="1"/>
  <c r="L25" i="12" s="1"/>
  <c r="M25" i="12"/>
  <c r="H38" i="12"/>
  <c r="I38" i="12" s="1"/>
  <c r="L38" i="12" s="1"/>
  <c r="M38" i="12"/>
  <c r="H38" i="16"/>
  <c r="I38" i="16" s="1"/>
  <c r="L38" i="16" s="1"/>
  <c r="M38" i="16"/>
  <c r="H32" i="18"/>
  <c r="I32" i="18" s="1"/>
  <c r="L32" i="18" s="1"/>
  <c r="M32" i="18"/>
  <c r="M30" i="18"/>
  <c r="H30" i="18"/>
  <c r="I30" i="18" s="1"/>
  <c r="L30" i="18" s="1"/>
  <c r="H34" i="18"/>
  <c r="I34" i="18" s="1"/>
  <c r="L34" i="18" s="1"/>
  <c r="M34" i="18"/>
  <c r="H39" i="15"/>
  <c r="I39" i="15" s="1"/>
  <c r="L39" i="15" s="1"/>
  <c r="M39" i="15"/>
  <c r="H35" i="15"/>
  <c r="I35" i="15" s="1"/>
  <c r="L35" i="15" s="1"/>
  <c r="M35" i="15"/>
  <c r="H29" i="13"/>
  <c r="I29" i="13" s="1"/>
  <c r="L29" i="13" s="1"/>
  <c r="M29" i="13"/>
  <c r="H25" i="13"/>
  <c r="I25" i="13" s="1"/>
  <c r="L25" i="13" s="1"/>
  <c r="M25" i="13"/>
  <c r="H29" i="17"/>
  <c r="I29" i="17" s="1"/>
  <c r="L29" i="17" s="1"/>
  <c r="M29" i="17"/>
  <c r="H38" i="14"/>
  <c r="I38" i="14" s="1"/>
  <c r="L38" i="14" s="1"/>
  <c r="M38" i="14"/>
  <c r="H41" i="14"/>
  <c r="I41" i="14" s="1"/>
  <c r="L41" i="14" s="1"/>
  <c r="M41" i="14"/>
  <c r="J193" i="20" l="1"/>
  <c r="K193" i="20" s="1"/>
  <c r="L193" i="20" s="1"/>
  <c r="R193" i="20" s="1"/>
  <c r="J191" i="20"/>
  <c r="O191" i="20" s="1"/>
  <c r="J187" i="20"/>
  <c r="O187" i="20" s="1"/>
  <c r="J197" i="20"/>
  <c r="O197" i="20" s="1"/>
  <c r="J186" i="20"/>
  <c r="K186" i="20" s="1"/>
  <c r="L186" i="20" s="1"/>
  <c r="R186" i="20" s="1"/>
  <c r="J192" i="20"/>
  <c r="J188" i="20"/>
  <c r="O188" i="20" s="1"/>
  <c r="J195" i="20"/>
  <c r="O195" i="20" s="1"/>
  <c r="J194" i="20"/>
  <c r="O194" i="20" s="1"/>
  <c r="J189" i="20"/>
  <c r="J185" i="20"/>
  <c r="K185" i="20" s="1"/>
  <c r="L185" i="20" s="1"/>
  <c r="R185" i="20" s="1"/>
  <c r="J196" i="20"/>
  <c r="K196" i="20" s="1"/>
  <c r="L196" i="20" s="1"/>
  <c r="W196" i="20" s="1"/>
  <c r="K190" i="20"/>
  <c r="L190" i="20" s="1"/>
  <c r="R190" i="20" s="1"/>
  <c r="O190" i="20"/>
  <c r="P184" i="20"/>
  <c r="W184" i="20"/>
  <c r="W54" i="20"/>
  <c r="K40" i="20"/>
  <c r="L40" i="20" s="1"/>
  <c r="R40" i="20" s="1"/>
  <c r="O40" i="20"/>
  <c r="G50" i="20"/>
  <c r="J43" i="20" s="1"/>
  <c r="L23" i="11"/>
  <c r="N23" i="11" s="1"/>
  <c r="N26" i="11"/>
  <c r="O26" i="11" s="1"/>
  <c r="P26" i="11" s="1"/>
  <c r="N27" i="11"/>
  <c r="O27" i="11" s="1"/>
  <c r="P27" i="11" s="1"/>
  <c r="N31" i="11"/>
  <c r="O31" i="11" s="1"/>
  <c r="P31" i="11" s="1"/>
  <c r="N28" i="11"/>
  <c r="O28" i="11" s="1"/>
  <c r="P28" i="11" s="1"/>
  <c r="N41" i="11"/>
  <c r="O41" i="11" s="1"/>
  <c r="P41" i="11" s="1"/>
  <c r="N24" i="11"/>
  <c r="O24" i="11" s="1"/>
  <c r="P24" i="11" s="1"/>
  <c r="N37" i="11"/>
  <c r="O37" i="11" s="1"/>
  <c r="P37" i="11" s="1"/>
  <c r="N29" i="11"/>
  <c r="O29" i="11" s="1"/>
  <c r="P29" i="11" s="1"/>
  <c r="N33" i="11"/>
  <c r="O33" i="11" s="1"/>
  <c r="P33" i="11" s="1"/>
  <c r="N30" i="11"/>
  <c r="O30" i="11" s="1"/>
  <c r="P30" i="11" s="1"/>
  <c r="N35" i="11"/>
  <c r="O35" i="11" s="1"/>
  <c r="P35" i="11" s="1"/>
  <c r="N32" i="11"/>
  <c r="O32" i="11" s="1"/>
  <c r="P32" i="11" s="1"/>
  <c r="N40" i="11"/>
  <c r="O40" i="11" s="1"/>
  <c r="P40" i="11" s="1"/>
  <c r="B21" i="11"/>
  <c r="B22" i="11"/>
  <c r="N25" i="11"/>
  <c r="O25" i="11" s="1"/>
  <c r="P25" i="11" s="1"/>
  <c r="N34" i="11"/>
  <c r="O34" i="11" s="1"/>
  <c r="P34" i="11" s="1"/>
  <c r="N38" i="11"/>
  <c r="O38" i="11" s="1"/>
  <c r="P38" i="11" s="1"/>
  <c r="N39" i="11"/>
  <c r="O39" i="11" s="1"/>
  <c r="P39" i="11" s="1"/>
  <c r="N36" i="11"/>
  <c r="O36" i="11" s="1"/>
  <c r="P36" i="11" s="1"/>
  <c r="L3" i="14"/>
  <c r="H3" i="14"/>
  <c r="I3" i="14" s="1"/>
  <c r="L3" i="15"/>
  <c r="H3" i="15"/>
  <c r="I3" i="15" s="1"/>
  <c r="L3" i="17"/>
  <c r="H3" i="17"/>
  <c r="I3" i="17" s="1"/>
  <c r="L3" i="12"/>
  <c r="H3" i="12"/>
  <c r="I3" i="12" s="1"/>
  <c r="L3" i="13"/>
  <c r="H3" i="13"/>
  <c r="I3" i="13" s="1"/>
  <c r="L3" i="16"/>
  <c r="H3" i="16"/>
  <c r="I3" i="16" s="1"/>
  <c r="N37" i="17"/>
  <c r="O37" i="17" s="1"/>
  <c r="P37" i="17" s="1"/>
  <c r="N37" i="12"/>
  <c r="O37" i="12" s="1"/>
  <c r="P37" i="12" s="1"/>
  <c r="N35" i="13"/>
  <c r="O35" i="13" s="1"/>
  <c r="P35" i="13" s="1"/>
  <c r="N33" i="12"/>
  <c r="O33" i="12" s="1"/>
  <c r="P33" i="12" s="1"/>
  <c r="N30" i="16"/>
  <c r="O30" i="16" s="1"/>
  <c r="P30" i="16" s="1"/>
  <c r="N34" i="13"/>
  <c r="O34" i="13" s="1"/>
  <c r="P34" i="13" s="1"/>
  <c r="N34" i="16"/>
  <c r="O34" i="16" s="1"/>
  <c r="P34" i="16" s="1"/>
  <c r="N35" i="12"/>
  <c r="O35" i="12" s="1"/>
  <c r="P35" i="12" s="1"/>
  <c r="N39" i="13"/>
  <c r="O39" i="13" s="1"/>
  <c r="P39" i="13" s="1"/>
  <c r="N37" i="16"/>
  <c r="O37" i="16" s="1"/>
  <c r="P37" i="16" s="1"/>
  <c r="N34" i="18"/>
  <c r="O34" i="18" s="1"/>
  <c r="P34" i="18" s="1"/>
  <c r="N38" i="16"/>
  <c r="O38" i="16" s="1"/>
  <c r="P38" i="16" s="1"/>
  <c r="N30" i="12"/>
  <c r="O30" i="12" s="1"/>
  <c r="P30" i="12" s="1"/>
  <c r="N26" i="14"/>
  <c r="O26" i="14" s="1"/>
  <c r="P26" i="14" s="1"/>
  <c r="N29" i="18"/>
  <c r="O29" i="18" s="1"/>
  <c r="P29" i="18" s="1"/>
  <c r="N25" i="13"/>
  <c r="O25" i="13" s="1"/>
  <c r="P25" i="13" s="1"/>
  <c r="N34" i="14"/>
  <c r="O34" i="14" s="1"/>
  <c r="P34" i="14" s="1"/>
  <c r="N26" i="15"/>
  <c r="O26" i="15" s="1"/>
  <c r="P26" i="15" s="1"/>
  <c r="N32" i="16"/>
  <c r="O32" i="16" s="1"/>
  <c r="P32" i="16" s="1"/>
  <c r="N25" i="14"/>
  <c r="O25" i="14" s="1"/>
  <c r="P25" i="14" s="1"/>
  <c r="N24" i="18"/>
  <c r="O24" i="18" s="1"/>
  <c r="P24" i="18" s="1"/>
  <c r="N38" i="12"/>
  <c r="O38" i="12" s="1"/>
  <c r="P38" i="12" s="1"/>
  <c r="N27" i="14"/>
  <c r="O27" i="14" s="1"/>
  <c r="P27" i="14" s="1"/>
  <c r="N33" i="15"/>
  <c r="O33" i="15" s="1"/>
  <c r="P33" i="15" s="1"/>
  <c r="N25" i="15"/>
  <c r="O25" i="15" s="1"/>
  <c r="P25" i="15" s="1"/>
  <c r="N42" i="13"/>
  <c r="O42" i="13" s="1"/>
  <c r="P42" i="13" s="1"/>
  <c r="N32" i="17"/>
  <c r="O32" i="17" s="1"/>
  <c r="P32" i="17" s="1"/>
  <c r="N32" i="13"/>
  <c r="O32" i="13" s="1"/>
  <c r="P32" i="13" s="1"/>
  <c r="N38" i="15"/>
  <c r="O38" i="15" s="1"/>
  <c r="P38" i="15" s="1"/>
  <c r="N29" i="14"/>
  <c r="O29" i="14" s="1"/>
  <c r="P29" i="14" s="1"/>
  <c r="N31" i="15"/>
  <c r="O31" i="15" s="1"/>
  <c r="P31" i="15" s="1"/>
  <c r="N29" i="15"/>
  <c r="O29" i="15" s="1"/>
  <c r="P29" i="15" s="1"/>
  <c r="N25" i="12"/>
  <c r="O25" i="12" s="1"/>
  <c r="P25" i="12" s="1"/>
  <c r="N40" i="13"/>
  <c r="O40" i="13" s="1"/>
  <c r="P40" i="13" s="1"/>
  <c r="N33" i="16"/>
  <c r="O33" i="16" s="1"/>
  <c r="P33" i="16" s="1"/>
  <c r="N37" i="15"/>
  <c r="O37" i="15" s="1"/>
  <c r="P37" i="15" s="1"/>
  <c r="N33" i="14"/>
  <c r="O33" i="14" s="1"/>
  <c r="P33" i="14" s="1"/>
  <c r="N33" i="17"/>
  <c r="O33" i="17" s="1"/>
  <c r="P33" i="17" s="1"/>
  <c r="N36" i="13"/>
  <c r="O36" i="13" s="1"/>
  <c r="P36" i="13" s="1"/>
  <c r="N41" i="14"/>
  <c r="O41" i="14" s="1"/>
  <c r="P41" i="14" s="1"/>
  <c r="N31" i="18"/>
  <c r="O31" i="18" s="1"/>
  <c r="P31" i="18" s="1"/>
  <c r="N32" i="15"/>
  <c r="O32" i="15" s="1"/>
  <c r="P32" i="15" s="1"/>
  <c r="N40" i="14"/>
  <c r="O40" i="14" s="1"/>
  <c r="P40" i="14" s="1"/>
  <c r="N23" i="18"/>
  <c r="O23" i="18" s="1"/>
  <c r="P23" i="18" s="1"/>
  <c r="N30" i="18"/>
  <c r="O30" i="18" s="1"/>
  <c r="P30" i="18" s="1"/>
  <c r="N29" i="13"/>
  <c r="O29" i="13" s="1"/>
  <c r="P29" i="13" s="1"/>
  <c r="N32" i="18"/>
  <c r="O32" i="18" s="1"/>
  <c r="P32" i="18" s="1"/>
  <c r="N28" i="13"/>
  <c r="O28" i="13" s="1"/>
  <c r="P28" i="13" s="1"/>
  <c r="N30" i="15"/>
  <c r="O30" i="15" s="1"/>
  <c r="P30" i="15" s="1"/>
  <c r="N26" i="12"/>
  <c r="O26" i="12" s="1"/>
  <c r="P26" i="12" s="1"/>
  <c r="N27" i="13"/>
  <c r="O27" i="13" s="1"/>
  <c r="P27" i="13" s="1"/>
  <c r="N27" i="15"/>
  <c r="O27" i="15" s="1"/>
  <c r="P27" i="15" s="1"/>
  <c r="N32" i="14"/>
  <c r="O32" i="14" s="1"/>
  <c r="P32" i="14" s="1"/>
  <c r="N34" i="17"/>
  <c r="O34" i="17" s="1"/>
  <c r="P34" i="17" s="1"/>
  <c r="N36" i="15"/>
  <c r="O36" i="15" s="1"/>
  <c r="P36" i="15" s="1"/>
  <c r="N31" i="16"/>
  <c r="O31" i="16" s="1"/>
  <c r="P31" i="16" s="1"/>
  <c r="N34" i="12"/>
  <c r="O34" i="12" s="1"/>
  <c r="P34" i="12" s="1"/>
  <c r="N38" i="13"/>
  <c r="O38" i="13" s="1"/>
  <c r="P38" i="13" s="1"/>
  <c r="N25" i="17"/>
  <c r="O25" i="17" s="1"/>
  <c r="P25" i="17" s="1"/>
  <c r="N26" i="18"/>
  <c r="O26" i="18" s="1"/>
  <c r="P26" i="18" s="1"/>
  <c r="N33" i="18"/>
  <c r="O33" i="18" s="1"/>
  <c r="P33" i="18" s="1"/>
  <c r="N35" i="16"/>
  <c r="O35" i="16" s="1"/>
  <c r="P35" i="16" s="1"/>
  <c r="N40" i="12"/>
  <c r="O40" i="12" s="1"/>
  <c r="P40" i="12" s="1"/>
  <c r="N29" i="17"/>
  <c r="O29" i="17" s="1"/>
  <c r="P29" i="17" s="1"/>
  <c r="N34" i="15"/>
  <c r="O34" i="15" s="1"/>
  <c r="P34" i="15" s="1"/>
  <c r="N27" i="16"/>
  <c r="O27" i="16" s="1"/>
  <c r="P27" i="16" s="1"/>
  <c r="N32" i="12"/>
  <c r="O32" i="12" s="1"/>
  <c r="P32" i="12" s="1"/>
  <c r="N35" i="17"/>
  <c r="O35" i="17" s="1"/>
  <c r="P35" i="17" s="1"/>
  <c r="N37" i="13"/>
  <c r="O37" i="13" s="1"/>
  <c r="P37" i="13" s="1"/>
  <c r="N43" i="12"/>
  <c r="O43" i="12" s="1"/>
  <c r="P43" i="12" s="1"/>
  <c r="N42" i="12"/>
  <c r="O42" i="12" s="1"/>
  <c r="P42" i="12" s="1"/>
  <c r="N35" i="14"/>
  <c r="O35" i="14" s="1"/>
  <c r="P35" i="14" s="1"/>
  <c r="N38" i="14"/>
  <c r="O38" i="14" s="1"/>
  <c r="P38" i="14" s="1"/>
  <c r="N35" i="15"/>
  <c r="O35" i="15" s="1"/>
  <c r="P35" i="15" s="1"/>
  <c r="N30" i="14"/>
  <c r="O30" i="14" s="1"/>
  <c r="P30" i="14" s="1"/>
  <c r="N31" i="12"/>
  <c r="O31" i="12" s="1"/>
  <c r="P31" i="12" s="1"/>
  <c r="N27" i="17"/>
  <c r="O27" i="17" s="1"/>
  <c r="P27" i="17" s="1"/>
  <c r="N30" i="13"/>
  <c r="O30" i="13" s="1"/>
  <c r="P30" i="13" s="1"/>
  <c r="N28" i="15"/>
  <c r="O28" i="15" s="1"/>
  <c r="P28" i="15" s="1"/>
  <c r="N28" i="16"/>
  <c r="O28" i="16" s="1"/>
  <c r="P28" i="16" s="1"/>
  <c r="N41" i="12"/>
  <c r="O41" i="12" s="1"/>
  <c r="P41" i="12" s="1"/>
  <c r="N26" i="17"/>
  <c r="O26" i="17" s="1"/>
  <c r="P26" i="17" s="1"/>
  <c r="N29" i="12"/>
  <c r="O29" i="12" s="1"/>
  <c r="P29" i="12" s="1"/>
  <c r="N37" i="14"/>
  <c r="O37" i="14" s="1"/>
  <c r="P37" i="14" s="1"/>
  <c r="N36" i="16"/>
  <c r="O36" i="16" s="1"/>
  <c r="P36" i="16" s="1"/>
  <c r="N28" i="17"/>
  <c r="O28" i="17" s="1"/>
  <c r="P28" i="17" s="1"/>
  <c r="N39" i="14"/>
  <c r="O39" i="14" s="1"/>
  <c r="P39" i="14" s="1"/>
  <c r="N36" i="17"/>
  <c r="O36" i="17" s="1"/>
  <c r="P36" i="17" s="1"/>
  <c r="N33" i="13"/>
  <c r="O33" i="13" s="1"/>
  <c r="P33" i="13" s="1"/>
  <c r="N28" i="12"/>
  <c r="O28" i="12" s="1"/>
  <c r="P28" i="12" s="1"/>
  <c r="N39" i="15"/>
  <c r="O39" i="15" s="1"/>
  <c r="P39" i="15" s="1"/>
  <c r="N36" i="14"/>
  <c r="O36" i="14" s="1"/>
  <c r="P36" i="14" s="1"/>
  <c r="N30" i="17"/>
  <c r="O30" i="17" s="1"/>
  <c r="P30" i="17" s="1"/>
  <c r="N29" i="16"/>
  <c r="O29" i="16" s="1"/>
  <c r="P29" i="16" s="1"/>
  <c r="N36" i="12"/>
  <c r="O36" i="12" s="1"/>
  <c r="P36" i="12" s="1"/>
  <c r="N31" i="17"/>
  <c r="O31" i="17" s="1"/>
  <c r="P31" i="17" s="1"/>
  <c r="N41" i="13"/>
  <c r="O41" i="13" s="1"/>
  <c r="P41" i="13" s="1"/>
  <c r="N27" i="18"/>
  <c r="O27" i="18" s="1"/>
  <c r="P27" i="18" s="1"/>
  <c r="N39" i="12"/>
  <c r="O39" i="12" s="1"/>
  <c r="P39" i="12" s="1"/>
  <c r="N28" i="18"/>
  <c r="O28" i="18" s="1"/>
  <c r="P28" i="18" s="1"/>
  <c r="N26" i="16"/>
  <c r="O26" i="16" s="1"/>
  <c r="P26" i="16" s="1"/>
  <c r="N28" i="14"/>
  <c r="O28" i="14" s="1"/>
  <c r="P28" i="14" s="1"/>
  <c r="N31" i="13"/>
  <c r="O31" i="13" s="1"/>
  <c r="P31" i="13" s="1"/>
  <c r="N25" i="18"/>
  <c r="O25" i="18" s="1"/>
  <c r="P25" i="18" s="1"/>
  <c r="N26" i="13"/>
  <c r="O26" i="13" s="1"/>
  <c r="P26" i="13" s="1"/>
  <c r="N40" i="15"/>
  <c r="O40" i="15" s="1"/>
  <c r="P40" i="15" s="1"/>
  <c r="N31" i="14"/>
  <c r="O31" i="14" s="1"/>
  <c r="P31" i="14" s="1"/>
  <c r="N25" i="16"/>
  <c r="O25" i="16" s="1"/>
  <c r="P25" i="16" s="1"/>
  <c r="N27" i="12"/>
  <c r="O27" i="12" s="1"/>
  <c r="P27" i="12" s="1"/>
  <c r="K189" i="20" l="1"/>
  <c r="L189" i="20" s="1"/>
  <c r="R189" i="20" s="1"/>
  <c r="K187" i="20"/>
  <c r="L187" i="20" s="1"/>
  <c r="R187" i="20" s="1"/>
  <c r="O193" i="20"/>
  <c r="P193" i="20" s="1"/>
  <c r="K191" i="20"/>
  <c r="L191" i="20" s="1"/>
  <c r="W191" i="20" s="1"/>
  <c r="K197" i="20"/>
  <c r="L197" i="20" s="1"/>
  <c r="R197" i="20" s="1"/>
  <c r="O196" i="20"/>
  <c r="P196" i="20" s="1"/>
  <c r="K188" i="20"/>
  <c r="L188" i="20" s="1"/>
  <c r="P188" i="20" s="1"/>
  <c r="K192" i="20"/>
  <c r="L192" i="20" s="1"/>
  <c r="W192" i="20" s="1"/>
  <c r="O192" i="20"/>
  <c r="W186" i="20"/>
  <c r="W190" i="20"/>
  <c r="O186" i="20"/>
  <c r="P186" i="20" s="1"/>
  <c r="O185" i="20"/>
  <c r="P185" i="20" s="1"/>
  <c r="R196" i="20"/>
  <c r="W185" i="20"/>
  <c r="O189" i="20"/>
  <c r="K194" i="20"/>
  <c r="L194" i="20" s="1"/>
  <c r="P194" i="20" s="1"/>
  <c r="K195" i="20"/>
  <c r="L195" i="20" s="1"/>
  <c r="W195" i="20" s="1"/>
  <c r="W193" i="20"/>
  <c r="P190" i="20"/>
  <c r="J53" i="20"/>
  <c r="K53" i="20" s="1"/>
  <c r="L53" i="20" s="1"/>
  <c r="R53" i="20" s="1"/>
  <c r="J45" i="20"/>
  <c r="K45" i="20" s="1"/>
  <c r="L45" i="20" s="1"/>
  <c r="W45" i="20" s="1"/>
  <c r="J50" i="20"/>
  <c r="O50" i="20" s="1"/>
  <c r="J42" i="20"/>
  <c r="K42" i="20" s="1"/>
  <c r="L42" i="20" s="1"/>
  <c r="W42" i="20" s="1"/>
  <c r="J52" i="20"/>
  <c r="O52" i="20" s="1"/>
  <c r="J49" i="20"/>
  <c r="O49" i="20" s="1"/>
  <c r="J48" i="20"/>
  <c r="O48" i="20" s="1"/>
  <c r="J44" i="20"/>
  <c r="K44" i="20" s="1"/>
  <c r="L44" i="20" s="1"/>
  <c r="J47" i="20"/>
  <c r="K47" i="20" s="1"/>
  <c r="L47" i="20" s="1"/>
  <c r="R47" i="20" s="1"/>
  <c r="J41" i="20"/>
  <c r="K41" i="20" s="1"/>
  <c r="L41" i="20" s="1"/>
  <c r="R41" i="20" s="1"/>
  <c r="J51" i="20"/>
  <c r="O51" i="20" s="1"/>
  <c r="J46" i="20"/>
  <c r="O46" i="20" s="1"/>
  <c r="P40" i="20"/>
  <c r="W40" i="20"/>
  <c r="O43" i="20"/>
  <c r="K43" i="20"/>
  <c r="L43" i="20" s="1"/>
  <c r="W43" i="20" s="1"/>
  <c r="O23" i="11"/>
  <c r="B23" i="17"/>
  <c r="B24" i="17"/>
  <c r="B23" i="15"/>
  <c r="B24" i="15"/>
  <c r="B23" i="13"/>
  <c r="B24" i="13"/>
  <c r="B22" i="18"/>
  <c r="B23" i="14"/>
  <c r="B24" i="14"/>
  <c r="B23" i="16"/>
  <c r="B24" i="16"/>
  <c r="B23" i="12"/>
  <c r="B24" i="12"/>
  <c r="P189" i="20" l="1"/>
  <c r="W189" i="20"/>
  <c r="W187" i="20"/>
  <c r="P187" i="20"/>
  <c r="W197" i="20"/>
  <c r="R191" i="20"/>
  <c r="W188" i="20"/>
  <c r="P197" i="20"/>
  <c r="P191" i="20"/>
  <c r="R188" i="20"/>
  <c r="W194" i="20"/>
  <c r="P192" i="20"/>
  <c r="R192" i="20"/>
  <c r="R195" i="20"/>
  <c r="R194" i="20"/>
  <c r="P195" i="20"/>
  <c r="K51" i="20"/>
  <c r="L51" i="20" s="1"/>
  <c r="R51" i="20" s="1"/>
  <c r="O45" i="20"/>
  <c r="P45" i="20" s="1"/>
  <c r="O53" i="20"/>
  <c r="P53" i="20" s="1"/>
  <c r="O47" i="20"/>
  <c r="P47" i="20" s="1"/>
  <c r="K50" i="20"/>
  <c r="L50" i="20" s="1"/>
  <c r="R50" i="20" s="1"/>
  <c r="O41" i="20"/>
  <c r="P41" i="20" s="1"/>
  <c r="O42" i="20"/>
  <c r="P42" i="20" s="1"/>
  <c r="K46" i="20"/>
  <c r="L46" i="20" s="1"/>
  <c r="W46" i="20" s="1"/>
  <c r="K49" i="20"/>
  <c r="L49" i="20" s="1"/>
  <c r="W49" i="20" s="1"/>
  <c r="K48" i="20"/>
  <c r="L48" i="20" s="1"/>
  <c r="P48" i="20" s="1"/>
  <c r="K52" i="20"/>
  <c r="L52" i="20" s="1"/>
  <c r="R52" i="20" s="1"/>
  <c r="R43" i="20"/>
  <c r="W53" i="20"/>
  <c r="R45" i="20"/>
  <c r="O44" i="20"/>
  <c r="P44" i="20" s="1"/>
  <c r="W47" i="20"/>
  <c r="W41" i="20"/>
  <c r="R44" i="20"/>
  <c r="W44" i="20"/>
  <c r="R42" i="20"/>
  <c r="P43" i="20"/>
  <c r="P23" i="11"/>
  <c r="G193" i="20" l="1" a="1"/>
  <c r="G193" i="20" s="1"/>
  <c r="G210" i="20" s="1"/>
  <c r="J202" i="20" s="1"/>
  <c r="R216" i="20" s="1"/>
  <c r="P51" i="20"/>
  <c r="W51" i="20"/>
  <c r="P50" i="20"/>
  <c r="P49" i="20"/>
  <c r="R49" i="20"/>
  <c r="W50" i="20"/>
  <c r="P52" i="20"/>
  <c r="W48" i="20"/>
  <c r="R48" i="20"/>
  <c r="W52" i="20"/>
  <c r="R46" i="20"/>
  <c r="P46" i="20"/>
  <c r="G212" i="20" l="1"/>
  <c r="J214" i="20" s="1"/>
  <c r="K214" i="20" s="1"/>
  <c r="L214" i="20" s="1"/>
  <c r="W214" i="20" s="1"/>
  <c r="O202" i="20"/>
  <c r="K202" i="20"/>
  <c r="L202" i="20" s="1"/>
  <c r="R202" i="20" s="1"/>
  <c r="W216" i="20"/>
  <c r="G49" i="20" a="1"/>
  <c r="G49" i="20" s="1"/>
  <c r="G66" i="20" s="1"/>
  <c r="J58" i="20" s="1"/>
  <c r="R72" i="20" s="1"/>
  <c r="W202" i="20" l="1"/>
  <c r="P202" i="20"/>
  <c r="J203" i="20"/>
  <c r="K203" i="20" s="1"/>
  <c r="L203" i="20" s="1"/>
  <c r="R203" i="20" s="1"/>
  <c r="J207" i="20"/>
  <c r="O207" i="20" s="1"/>
  <c r="J213" i="20"/>
  <c r="K213" i="20" s="1"/>
  <c r="L213" i="20" s="1"/>
  <c r="J204" i="20"/>
  <c r="K204" i="20" s="1"/>
  <c r="L204" i="20" s="1"/>
  <c r="R204" i="20" s="1"/>
  <c r="J205" i="20"/>
  <c r="O205" i="20" s="1"/>
  <c r="J210" i="20"/>
  <c r="O210" i="20" s="1"/>
  <c r="J206" i="20"/>
  <c r="K206" i="20" s="1"/>
  <c r="L206" i="20" s="1"/>
  <c r="J212" i="20"/>
  <c r="O212" i="20" s="1"/>
  <c r="J211" i="20"/>
  <c r="K211" i="20" s="1"/>
  <c r="L211" i="20" s="1"/>
  <c r="J209" i="20"/>
  <c r="O209" i="20" s="1"/>
  <c r="J208" i="20"/>
  <c r="K208" i="20" s="1"/>
  <c r="L208" i="20" s="1"/>
  <c r="R208" i="20" s="1"/>
  <c r="O214" i="20"/>
  <c r="P214" i="20" s="1"/>
  <c r="J215" i="20"/>
  <c r="O215" i="20" s="1"/>
  <c r="R214" i="20"/>
  <c r="W72" i="20"/>
  <c r="K58" i="20"/>
  <c r="L58" i="20" s="1"/>
  <c r="W58" i="20" s="1"/>
  <c r="O58" i="20"/>
  <c r="G68" i="20"/>
  <c r="J61" i="20" s="1"/>
  <c r="K207" i="20" l="1"/>
  <c r="L207" i="20" s="1"/>
  <c r="R207" i="20" s="1"/>
  <c r="K209" i="20"/>
  <c r="L209" i="20" s="1"/>
  <c r="W209" i="20" s="1"/>
  <c r="W213" i="20"/>
  <c r="W208" i="20"/>
  <c r="O208" i="20"/>
  <c r="P208" i="20" s="1"/>
  <c r="K210" i="20"/>
  <c r="L210" i="20" s="1"/>
  <c r="R210" i="20" s="1"/>
  <c r="O204" i="20"/>
  <c r="P204" i="20" s="1"/>
  <c r="K215" i="20"/>
  <c r="L215" i="20" s="1"/>
  <c r="W215" i="20" s="1"/>
  <c r="K205" i="20"/>
  <c r="L205" i="20" s="1"/>
  <c r="R205" i="20" s="1"/>
  <c r="W204" i="20"/>
  <c r="R213" i="20"/>
  <c r="O213" i="20"/>
  <c r="P213" i="20" s="1"/>
  <c r="R211" i="20"/>
  <c r="O203" i="20"/>
  <c r="P203" i="20" s="1"/>
  <c r="W211" i="20"/>
  <c r="W203" i="20"/>
  <c r="O211" i="20"/>
  <c r="P211" i="20" s="1"/>
  <c r="R206" i="20"/>
  <c r="O206" i="20"/>
  <c r="P206" i="20" s="1"/>
  <c r="W206" i="20"/>
  <c r="K212" i="20"/>
  <c r="L212" i="20" s="1"/>
  <c r="R212" i="20" s="1"/>
  <c r="J63" i="20"/>
  <c r="O63" i="20" s="1"/>
  <c r="J59" i="20"/>
  <c r="O59" i="20" s="1"/>
  <c r="J65" i="20"/>
  <c r="K65" i="20" s="1"/>
  <c r="L65" i="20" s="1"/>
  <c r="J70" i="20"/>
  <c r="K70" i="20" s="1"/>
  <c r="L70" i="20" s="1"/>
  <c r="J71" i="20"/>
  <c r="K71" i="20" s="1"/>
  <c r="L71" i="20" s="1"/>
  <c r="J62" i="20"/>
  <c r="O62" i="20" s="1"/>
  <c r="J66" i="20"/>
  <c r="K66" i="20" s="1"/>
  <c r="L66" i="20" s="1"/>
  <c r="R66" i="20" s="1"/>
  <c r="P58" i="20"/>
  <c r="J69" i="20"/>
  <c r="O69" i="20" s="1"/>
  <c r="J68" i="20"/>
  <c r="O68" i="20" s="1"/>
  <c r="R58" i="20"/>
  <c r="J64" i="20"/>
  <c r="J60" i="20"/>
  <c r="O61" i="20"/>
  <c r="K61" i="20"/>
  <c r="L61" i="20" s="1"/>
  <c r="R61" i="20" s="1"/>
  <c r="J67" i="20"/>
  <c r="R209" i="20" l="1"/>
  <c r="P209" i="20"/>
  <c r="W207" i="20"/>
  <c r="P207" i="20"/>
  <c r="P210" i="20"/>
  <c r="W210" i="20"/>
  <c r="R215" i="20"/>
  <c r="W205" i="20"/>
  <c r="P215" i="20"/>
  <c r="P205" i="20"/>
  <c r="P212" i="20"/>
  <c r="W212" i="20"/>
  <c r="O65" i="20"/>
  <c r="P65" i="20" s="1"/>
  <c r="K63" i="20"/>
  <c r="L63" i="20" s="1"/>
  <c r="P63" i="20" s="1"/>
  <c r="O71" i="20"/>
  <c r="P71" i="20" s="1"/>
  <c r="K59" i="20"/>
  <c r="L59" i="20" s="1"/>
  <c r="P59" i="20" s="1"/>
  <c r="O70" i="20"/>
  <c r="P70" i="20" s="1"/>
  <c r="K62" i="20"/>
  <c r="L62" i="20" s="1"/>
  <c r="R62" i="20" s="1"/>
  <c r="W71" i="20"/>
  <c r="K68" i="20"/>
  <c r="L68" i="20" s="1"/>
  <c r="P68" i="20" s="1"/>
  <c r="R70" i="20"/>
  <c r="W70" i="20"/>
  <c r="K69" i="20"/>
  <c r="L69" i="20" s="1"/>
  <c r="R69" i="20" s="1"/>
  <c r="O66" i="20"/>
  <c r="P66" i="20" s="1"/>
  <c r="P61" i="20"/>
  <c r="R65" i="20"/>
  <c r="R71" i="20"/>
  <c r="O64" i="20"/>
  <c r="K64" i="20"/>
  <c r="L64" i="20" s="1"/>
  <c r="W64" i="20" s="1"/>
  <c r="W66" i="20"/>
  <c r="O60" i="20"/>
  <c r="K60" i="20"/>
  <c r="L60" i="20" s="1"/>
  <c r="W60" i="20" s="1"/>
  <c r="O67" i="20"/>
  <c r="K67" i="20"/>
  <c r="L67" i="20" s="1"/>
  <c r="W67" i="20" s="1"/>
  <c r="W61" i="20"/>
  <c r="W65" i="20"/>
  <c r="G211" i="20" l="1" a="1"/>
  <c r="G211" i="20" s="1"/>
  <c r="G228" i="20" s="1"/>
  <c r="J220" i="20" s="1"/>
  <c r="W234" i="20" s="1"/>
  <c r="W59" i="20"/>
  <c r="R59" i="20"/>
  <c r="R60" i="20"/>
  <c r="R63" i="20"/>
  <c r="W63" i="20"/>
  <c r="R68" i="20"/>
  <c r="W68" i="20"/>
  <c r="P62" i="20"/>
  <c r="P60" i="20"/>
  <c r="W62" i="20"/>
  <c r="R67" i="20"/>
  <c r="P69" i="20"/>
  <c r="R64" i="20"/>
  <c r="W69" i="20"/>
  <c r="P67" i="20"/>
  <c r="P64" i="20"/>
  <c r="R234" i="20" l="1"/>
  <c r="G230" i="20"/>
  <c r="J223" i="20" s="1"/>
  <c r="O220" i="20"/>
  <c r="K220" i="20"/>
  <c r="L220" i="20" s="1"/>
  <c r="R220" i="20" s="1"/>
  <c r="G67" i="20" a="1"/>
  <c r="G67" i="20" s="1"/>
  <c r="G84" i="20" s="1"/>
  <c r="J76" i="20" s="1"/>
  <c r="R90" i="20" s="1"/>
  <c r="J229" i="20" l="1"/>
  <c r="O229" i="20" s="1"/>
  <c r="J227" i="20"/>
  <c r="K227" i="20" s="1"/>
  <c r="L227" i="20" s="1"/>
  <c r="J232" i="20"/>
  <c r="K232" i="20" s="1"/>
  <c r="L232" i="20" s="1"/>
  <c r="R232" i="20" s="1"/>
  <c r="J231" i="20"/>
  <c r="O231" i="20" s="1"/>
  <c r="W220" i="20"/>
  <c r="J225" i="20"/>
  <c r="J224" i="20"/>
  <c r="J228" i="20"/>
  <c r="J230" i="20"/>
  <c r="J233" i="20"/>
  <c r="O223" i="20"/>
  <c r="K223" i="20"/>
  <c r="L223" i="20" s="1"/>
  <c r="J221" i="20"/>
  <c r="P220" i="20"/>
  <c r="J222" i="20"/>
  <c r="J226" i="20"/>
  <c r="W90" i="20"/>
  <c r="O76" i="20"/>
  <c r="K76" i="20"/>
  <c r="L76" i="20" s="1"/>
  <c r="G86" i="20"/>
  <c r="J79" i="20" s="1"/>
  <c r="K229" i="20" l="1"/>
  <c r="L229" i="20" s="1"/>
  <c r="R229" i="20" s="1"/>
  <c r="O232" i="20"/>
  <c r="P232" i="20" s="1"/>
  <c r="O227" i="20"/>
  <c r="P227" i="20" s="1"/>
  <c r="W227" i="20"/>
  <c r="R227" i="20"/>
  <c r="W232" i="20"/>
  <c r="K231" i="20"/>
  <c r="L231" i="20" s="1"/>
  <c r="W231" i="20" s="1"/>
  <c r="K228" i="20"/>
  <c r="L228" i="20" s="1"/>
  <c r="R228" i="20" s="1"/>
  <c r="O228" i="20"/>
  <c r="K224" i="20"/>
  <c r="L224" i="20" s="1"/>
  <c r="R224" i="20" s="1"/>
  <c r="O224" i="20"/>
  <c r="K225" i="20"/>
  <c r="L225" i="20" s="1"/>
  <c r="R225" i="20" s="1"/>
  <c r="O225" i="20"/>
  <c r="O230" i="20"/>
  <c r="K230" i="20"/>
  <c r="L230" i="20" s="1"/>
  <c r="O226" i="20"/>
  <c r="K226" i="20"/>
  <c r="L226" i="20" s="1"/>
  <c r="O221" i="20"/>
  <c r="K221" i="20"/>
  <c r="L221" i="20" s="1"/>
  <c r="R223" i="20"/>
  <c r="P223" i="20"/>
  <c r="O222" i="20"/>
  <c r="K222" i="20"/>
  <c r="L222" i="20" s="1"/>
  <c r="R222" i="20" s="1"/>
  <c r="W223" i="20"/>
  <c r="O233" i="20"/>
  <c r="K233" i="20"/>
  <c r="L233" i="20" s="1"/>
  <c r="J82" i="20"/>
  <c r="O82" i="20" s="1"/>
  <c r="J88" i="20"/>
  <c r="K88" i="20" s="1"/>
  <c r="L88" i="20" s="1"/>
  <c r="J80" i="20"/>
  <c r="O80" i="20" s="1"/>
  <c r="J78" i="20"/>
  <c r="O78" i="20" s="1"/>
  <c r="P76" i="20"/>
  <c r="J83" i="20"/>
  <c r="K83" i="20" s="1"/>
  <c r="L83" i="20" s="1"/>
  <c r="J84" i="20"/>
  <c r="O84" i="20" s="1"/>
  <c r="J85" i="20"/>
  <c r="O85" i="20" s="1"/>
  <c r="J87" i="20"/>
  <c r="O87" i="20" s="1"/>
  <c r="J77" i="20"/>
  <c r="K77" i="20" s="1"/>
  <c r="L77" i="20" s="1"/>
  <c r="J81" i="20"/>
  <c r="O81" i="20" s="1"/>
  <c r="J86" i="20"/>
  <c r="K86" i="20" s="1"/>
  <c r="L86" i="20" s="1"/>
  <c r="J89" i="20"/>
  <c r="W76" i="20"/>
  <c r="R76" i="20"/>
  <c r="O79" i="20"/>
  <c r="K79" i="20"/>
  <c r="L79" i="20" s="1"/>
  <c r="W229" i="20" l="1"/>
  <c r="P229" i="20"/>
  <c r="P225" i="20"/>
  <c r="P231" i="20"/>
  <c r="W225" i="20"/>
  <c r="R231" i="20"/>
  <c r="P226" i="20"/>
  <c r="R230" i="20"/>
  <c r="P230" i="20"/>
  <c r="W230" i="20"/>
  <c r="R226" i="20"/>
  <c r="W224" i="20"/>
  <c r="P224" i="20"/>
  <c r="W226" i="20"/>
  <c r="W228" i="20"/>
  <c r="P228" i="20"/>
  <c r="R221" i="20"/>
  <c r="W221" i="20"/>
  <c r="P221" i="20"/>
  <c r="P233" i="20"/>
  <c r="R233" i="20"/>
  <c r="W233" i="20"/>
  <c r="W222" i="20"/>
  <c r="P222" i="20"/>
  <c r="K82" i="20"/>
  <c r="L82" i="20" s="1"/>
  <c r="R82" i="20" s="1"/>
  <c r="K80" i="20"/>
  <c r="L80" i="20" s="1"/>
  <c r="W80" i="20" s="1"/>
  <c r="K84" i="20"/>
  <c r="L84" i="20" s="1"/>
  <c r="R84" i="20" s="1"/>
  <c r="O83" i="20"/>
  <c r="P83" i="20" s="1"/>
  <c r="K85" i="20"/>
  <c r="L85" i="20" s="1"/>
  <c r="R85" i="20" s="1"/>
  <c r="O88" i="20"/>
  <c r="P88" i="20" s="1"/>
  <c r="P79" i="20"/>
  <c r="K87" i="20"/>
  <c r="L87" i="20" s="1"/>
  <c r="P87" i="20" s="1"/>
  <c r="K81" i="20"/>
  <c r="L81" i="20" s="1"/>
  <c r="W81" i="20" s="1"/>
  <c r="K78" i="20"/>
  <c r="L78" i="20" s="1"/>
  <c r="P78" i="20" s="1"/>
  <c r="O77" i="20"/>
  <c r="P77" i="20" s="1"/>
  <c r="O86" i="20"/>
  <c r="P86" i="20" s="1"/>
  <c r="W83" i="20"/>
  <c r="K89" i="20"/>
  <c r="L89" i="20" s="1"/>
  <c r="W89" i="20" s="1"/>
  <c r="O89" i="20"/>
  <c r="W77" i="20"/>
  <c r="R77" i="20"/>
  <c r="R79" i="20"/>
  <c r="W79" i="20"/>
  <c r="R83" i="20"/>
  <c r="W88" i="20"/>
  <c r="R88" i="20"/>
  <c r="R86" i="20"/>
  <c r="W86" i="20"/>
  <c r="G229" i="20" l="1" a="1"/>
  <c r="G229" i="20" s="1"/>
  <c r="G246" i="20" s="1"/>
  <c r="J238" i="20" s="1"/>
  <c r="R252" i="20" s="1"/>
  <c r="P82" i="20"/>
  <c r="W84" i="20"/>
  <c r="R80" i="20"/>
  <c r="W82" i="20"/>
  <c r="W85" i="20"/>
  <c r="P80" i="20"/>
  <c r="P84" i="20"/>
  <c r="R87" i="20"/>
  <c r="P85" i="20"/>
  <c r="W78" i="20"/>
  <c r="W87" i="20"/>
  <c r="R78" i="20"/>
  <c r="R81" i="20"/>
  <c r="P81" i="20"/>
  <c r="R89" i="20"/>
  <c r="P89" i="20"/>
  <c r="W252" i="20" l="1"/>
  <c r="K238" i="20"/>
  <c r="L238" i="20" s="1"/>
  <c r="R238" i="20" s="1"/>
  <c r="G248" i="20"/>
  <c r="J244" i="20" s="1"/>
  <c r="K244" i="20" s="1"/>
  <c r="L244" i="20" s="1"/>
  <c r="W244" i="20" s="1"/>
  <c r="O238" i="20"/>
  <c r="G85" i="20" a="1"/>
  <c r="G85" i="20" s="1"/>
  <c r="G102" i="20" s="1"/>
  <c r="J94" i="20" s="1"/>
  <c r="G104" i="20" s="1"/>
  <c r="J97" i="20" s="1"/>
  <c r="J243" i="20" l="1"/>
  <c r="K243" i="20" s="1"/>
  <c r="L243" i="20" s="1"/>
  <c r="J246" i="20"/>
  <c r="K246" i="20" s="1"/>
  <c r="L246" i="20" s="1"/>
  <c r="R246" i="20" s="1"/>
  <c r="J247" i="20"/>
  <c r="K247" i="20" s="1"/>
  <c r="L247" i="20" s="1"/>
  <c r="R247" i="20" s="1"/>
  <c r="J249" i="20"/>
  <c r="O249" i="20" s="1"/>
  <c r="J251" i="20"/>
  <c r="O251" i="20" s="1"/>
  <c r="J248" i="20"/>
  <c r="K248" i="20" s="1"/>
  <c r="L248" i="20" s="1"/>
  <c r="W248" i="20" s="1"/>
  <c r="R244" i="20"/>
  <c r="J245" i="20"/>
  <c r="K245" i="20" s="1"/>
  <c r="L245" i="20" s="1"/>
  <c r="W245" i="20" s="1"/>
  <c r="J242" i="20"/>
  <c r="O242" i="20" s="1"/>
  <c r="J250" i="20"/>
  <c r="O250" i="20" s="1"/>
  <c r="J240" i="20"/>
  <c r="O240" i="20" s="1"/>
  <c r="O244" i="20"/>
  <c r="P244" i="20" s="1"/>
  <c r="J241" i="20"/>
  <c r="J239" i="20"/>
  <c r="K239" i="20" s="1"/>
  <c r="L239" i="20" s="1"/>
  <c r="P238" i="20"/>
  <c r="W238" i="20"/>
  <c r="O94" i="20"/>
  <c r="W108" i="20"/>
  <c r="K94" i="20"/>
  <c r="L94" i="20" s="1"/>
  <c r="R94" i="20" s="1"/>
  <c r="R108" i="20"/>
  <c r="J103" i="20"/>
  <c r="K103" i="20" s="1"/>
  <c r="L103" i="20" s="1"/>
  <c r="J106" i="20"/>
  <c r="O106" i="20" s="1"/>
  <c r="J105" i="20"/>
  <c r="K105" i="20" s="1"/>
  <c r="L105" i="20" s="1"/>
  <c r="J98" i="20"/>
  <c r="O98" i="20" s="1"/>
  <c r="J102" i="20"/>
  <c r="O102" i="20" s="1"/>
  <c r="J99" i="20"/>
  <c r="K99" i="20" s="1"/>
  <c r="L99" i="20" s="1"/>
  <c r="J107" i="20"/>
  <c r="K107" i="20" s="1"/>
  <c r="L107" i="20" s="1"/>
  <c r="W107" i="20" s="1"/>
  <c r="J104" i="20"/>
  <c r="K104" i="20" s="1"/>
  <c r="L104" i="20" s="1"/>
  <c r="R104" i="20" s="1"/>
  <c r="J101" i="20"/>
  <c r="K101" i="20" s="1"/>
  <c r="L101" i="20" s="1"/>
  <c r="J96" i="20"/>
  <c r="O96" i="20" s="1"/>
  <c r="J95" i="20"/>
  <c r="O95" i="20" s="1"/>
  <c r="J100" i="20"/>
  <c r="O100" i="20" s="1"/>
  <c r="O97" i="20"/>
  <c r="K97" i="20"/>
  <c r="L97" i="20" s="1"/>
  <c r="R97" i="20" s="1"/>
  <c r="O246" i="20" l="1"/>
  <c r="P246" i="20" s="1"/>
  <c r="W246" i="20"/>
  <c r="O247" i="20"/>
  <c r="P247" i="20" s="1"/>
  <c r="W247" i="20"/>
  <c r="W243" i="20"/>
  <c r="O243" i="20"/>
  <c r="P243" i="20" s="1"/>
  <c r="R243" i="20"/>
  <c r="O248" i="20"/>
  <c r="P248" i="20" s="1"/>
  <c r="R245" i="20"/>
  <c r="O245" i="20"/>
  <c r="P245" i="20" s="1"/>
  <c r="K251" i="20"/>
  <c r="L251" i="20" s="1"/>
  <c r="R251" i="20" s="1"/>
  <c r="K242" i="20"/>
  <c r="L242" i="20" s="1"/>
  <c r="W242" i="20" s="1"/>
  <c r="K249" i="20"/>
  <c r="L249" i="20" s="1"/>
  <c r="W249" i="20" s="1"/>
  <c r="R248" i="20"/>
  <c r="K240" i="20"/>
  <c r="L240" i="20" s="1"/>
  <c r="R240" i="20" s="1"/>
  <c r="K250" i="20"/>
  <c r="L250" i="20" s="1"/>
  <c r="W250" i="20" s="1"/>
  <c r="W239" i="20"/>
  <c r="O239" i="20"/>
  <c r="P239" i="20" s="1"/>
  <c r="K241" i="20"/>
  <c r="L241" i="20" s="1"/>
  <c r="O241" i="20"/>
  <c r="R239" i="20"/>
  <c r="W94" i="20"/>
  <c r="P94" i="20"/>
  <c r="K106" i="20"/>
  <c r="L106" i="20" s="1"/>
  <c r="R106" i="20" s="1"/>
  <c r="K96" i="20"/>
  <c r="L96" i="20" s="1"/>
  <c r="R96" i="20" s="1"/>
  <c r="O99" i="20"/>
  <c r="P99" i="20" s="1"/>
  <c r="K98" i="20"/>
  <c r="L98" i="20" s="1"/>
  <c r="P98" i="20" s="1"/>
  <c r="K95" i="20"/>
  <c r="L95" i="20" s="1"/>
  <c r="R95" i="20" s="1"/>
  <c r="K100" i="20"/>
  <c r="L100" i="20" s="1"/>
  <c r="W100" i="20" s="1"/>
  <c r="O105" i="20"/>
  <c r="P105" i="20" s="1"/>
  <c r="O107" i="20"/>
  <c r="P107" i="20" s="1"/>
  <c r="O104" i="20"/>
  <c r="P104" i="20" s="1"/>
  <c r="R99" i="20"/>
  <c r="W99" i="20"/>
  <c r="W101" i="20"/>
  <c r="R101" i="20"/>
  <c r="O103" i="20"/>
  <c r="P103" i="20" s="1"/>
  <c r="O101" i="20"/>
  <c r="P101" i="20" s="1"/>
  <c r="W104" i="20"/>
  <c r="K102" i="20"/>
  <c r="L102" i="20" s="1"/>
  <c r="W102" i="20" s="1"/>
  <c r="R107" i="20"/>
  <c r="W97" i="20"/>
  <c r="W105" i="20"/>
  <c r="R105" i="20"/>
  <c r="W103" i="20"/>
  <c r="P97" i="20"/>
  <c r="R103" i="20"/>
  <c r="W251" i="20" l="1"/>
  <c r="P251" i="20"/>
  <c r="W240" i="20"/>
  <c r="P240" i="20"/>
  <c r="R242" i="20"/>
  <c r="P242" i="20"/>
  <c r="R249" i="20"/>
  <c r="P249" i="20"/>
  <c r="R250" i="20"/>
  <c r="P250" i="20"/>
  <c r="W241" i="20"/>
  <c r="P241" i="20"/>
  <c r="R241" i="20"/>
  <c r="P96" i="20"/>
  <c r="W96" i="20"/>
  <c r="W106" i="20"/>
  <c r="P106" i="20"/>
  <c r="P100" i="20"/>
  <c r="R100" i="20"/>
  <c r="P95" i="20"/>
  <c r="R98" i="20"/>
  <c r="W98" i="20"/>
  <c r="W95" i="20"/>
  <c r="R102" i="20"/>
  <c r="P102" i="20"/>
  <c r="G247" i="20" l="1" a="1"/>
  <c r="G247" i="20" s="1"/>
  <c r="G264" i="20" s="1"/>
  <c r="J256" i="20" s="1"/>
  <c r="R270" i="20" s="1"/>
  <c r="G103" i="20" a="1"/>
  <c r="G103" i="20" s="1"/>
  <c r="G120" i="20" s="1"/>
  <c r="J112" i="20" s="1"/>
  <c r="O112" i="20" s="1"/>
  <c r="W270" i="20" l="1"/>
  <c r="O256" i="20"/>
  <c r="G266" i="20"/>
  <c r="K256" i="20"/>
  <c r="L256" i="20" s="1"/>
  <c r="G122" i="20"/>
  <c r="J115" i="20" s="1"/>
  <c r="K115" i="20" s="1"/>
  <c r="L115" i="20" s="1"/>
  <c r="W115" i="20" s="1"/>
  <c r="R126" i="20"/>
  <c r="K112" i="20"/>
  <c r="L112" i="20" s="1"/>
  <c r="R112" i="20" s="1"/>
  <c r="W126" i="20"/>
  <c r="W256" i="20" l="1"/>
  <c r="R256" i="20"/>
  <c r="P256" i="20"/>
  <c r="J263" i="20"/>
  <c r="J260" i="20"/>
  <c r="J264" i="20"/>
  <c r="J266" i="20"/>
  <c r="J261" i="20"/>
  <c r="J257" i="20"/>
  <c r="J262" i="20"/>
  <c r="J259" i="20"/>
  <c r="J269" i="20"/>
  <c r="J268" i="20"/>
  <c r="J265" i="20"/>
  <c r="J258" i="20"/>
  <c r="J267" i="20"/>
  <c r="W112" i="20"/>
  <c r="P112" i="20"/>
  <c r="J124" i="20"/>
  <c r="O124" i="20" s="1"/>
  <c r="J114" i="20"/>
  <c r="K114" i="20" s="1"/>
  <c r="L114" i="20" s="1"/>
  <c r="O115" i="20"/>
  <c r="P115" i="20" s="1"/>
  <c r="J117" i="20"/>
  <c r="O117" i="20" s="1"/>
  <c r="J113" i="20"/>
  <c r="K113" i="20" s="1"/>
  <c r="L113" i="20" s="1"/>
  <c r="R113" i="20" s="1"/>
  <c r="J121" i="20"/>
  <c r="O121" i="20" s="1"/>
  <c r="J125" i="20"/>
  <c r="O125" i="20" s="1"/>
  <c r="J123" i="20"/>
  <c r="O123" i="20" s="1"/>
  <c r="J118" i="20"/>
  <c r="O118" i="20" s="1"/>
  <c r="J122" i="20"/>
  <c r="O122" i="20" s="1"/>
  <c r="J116" i="20"/>
  <c r="O116" i="20" s="1"/>
  <c r="J120" i="20"/>
  <c r="O120" i="20" s="1"/>
  <c r="J119" i="20"/>
  <c r="O119" i="20" s="1"/>
  <c r="R115" i="20"/>
  <c r="O261" i="20" l="1"/>
  <c r="K261" i="20"/>
  <c r="L261" i="20" s="1"/>
  <c r="R261" i="20" s="1"/>
  <c r="K266" i="20"/>
  <c r="L266" i="20" s="1"/>
  <c r="W266" i="20" s="1"/>
  <c r="O266" i="20"/>
  <c r="O265" i="20"/>
  <c r="K265" i="20"/>
  <c r="L265" i="20" s="1"/>
  <c r="W265" i="20" s="1"/>
  <c r="O268" i="20"/>
  <c r="K268" i="20"/>
  <c r="L268" i="20" s="1"/>
  <c r="O260" i="20"/>
  <c r="K260" i="20"/>
  <c r="L260" i="20" s="1"/>
  <c r="O258" i="20"/>
  <c r="K258" i="20"/>
  <c r="L258" i="20" s="1"/>
  <c r="R258" i="20" s="1"/>
  <c r="K269" i="20"/>
  <c r="L269" i="20" s="1"/>
  <c r="R269" i="20" s="1"/>
  <c r="O269" i="20"/>
  <c r="K263" i="20"/>
  <c r="L263" i="20" s="1"/>
  <c r="W263" i="20" s="1"/>
  <c r="O263" i="20"/>
  <c r="K259" i="20"/>
  <c r="L259" i="20" s="1"/>
  <c r="R259" i="20" s="1"/>
  <c r="O259" i="20"/>
  <c r="K264" i="20"/>
  <c r="L264" i="20" s="1"/>
  <c r="R264" i="20" s="1"/>
  <c r="O264" i="20"/>
  <c r="O262" i="20"/>
  <c r="K262" i="20"/>
  <c r="L262" i="20" s="1"/>
  <c r="O267" i="20"/>
  <c r="K267" i="20"/>
  <c r="L267" i="20" s="1"/>
  <c r="K257" i="20"/>
  <c r="L257" i="20" s="1"/>
  <c r="R257" i="20" s="1"/>
  <c r="O257" i="20"/>
  <c r="K122" i="20"/>
  <c r="L122" i="20" s="1"/>
  <c r="W122" i="20" s="1"/>
  <c r="O114" i="20"/>
  <c r="P114" i="20" s="1"/>
  <c r="K117" i="20"/>
  <c r="L117" i="20" s="1"/>
  <c r="R117" i="20" s="1"/>
  <c r="K116" i="20"/>
  <c r="L116" i="20" s="1"/>
  <c r="W116" i="20" s="1"/>
  <c r="O113" i="20"/>
  <c r="P113" i="20" s="1"/>
  <c r="K118" i="20"/>
  <c r="L118" i="20" s="1"/>
  <c r="R118" i="20" s="1"/>
  <c r="K124" i="20"/>
  <c r="L124" i="20" s="1"/>
  <c r="W124" i="20" s="1"/>
  <c r="K123" i="20"/>
  <c r="L123" i="20" s="1"/>
  <c r="P123" i="20" s="1"/>
  <c r="K125" i="20"/>
  <c r="L125" i="20" s="1"/>
  <c r="W125" i="20" s="1"/>
  <c r="K120" i="20"/>
  <c r="L120" i="20" s="1"/>
  <c r="R120" i="20" s="1"/>
  <c r="K119" i="20"/>
  <c r="L119" i="20" s="1"/>
  <c r="R119" i="20" s="1"/>
  <c r="K121" i="20"/>
  <c r="L121" i="20" s="1"/>
  <c r="P121" i="20" s="1"/>
  <c r="W114" i="20"/>
  <c r="R114" i="20"/>
  <c r="W113" i="20"/>
  <c r="P266" i="20" l="1"/>
  <c r="R266" i="20"/>
  <c r="P263" i="20"/>
  <c r="P257" i="20"/>
  <c r="P260" i="20"/>
  <c r="P261" i="20"/>
  <c r="W261" i="20"/>
  <c r="W259" i="20"/>
  <c r="W269" i="20"/>
  <c r="W257" i="20"/>
  <c r="P269" i="20"/>
  <c r="R263" i="20"/>
  <c r="R260" i="20"/>
  <c r="W264" i="20"/>
  <c r="P264" i="20"/>
  <c r="R268" i="20"/>
  <c r="W268" i="20"/>
  <c r="P268" i="20"/>
  <c r="W267" i="20"/>
  <c r="P267" i="20"/>
  <c r="P259" i="20"/>
  <c r="R262" i="20"/>
  <c r="W262" i="20"/>
  <c r="P262" i="20"/>
  <c r="W260" i="20"/>
  <c r="W258" i="20"/>
  <c r="P258" i="20"/>
  <c r="R265" i="20"/>
  <c r="P265" i="20"/>
  <c r="R267" i="20"/>
  <c r="W117" i="20"/>
  <c r="P117" i="20"/>
  <c r="R122" i="20"/>
  <c r="P122" i="20"/>
  <c r="P116" i="20"/>
  <c r="W121" i="20"/>
  <c r="P118" i="20"/>
  <c r="W123" i="20"/>
  <c r="W118" i="20"/>
  <c r="W120" i="20"/>
  <c r="P120" i="20"/>
  <c r="R116" i="20"/>
  <c r="R124" i="20"/>
  <c r="P125" i="20"/>
  <c r="R125" i="20"/>
  <c r="P124" i="20"/>
  <c r="R123" i="20"/>
  <c r="R121" i="20"/>
  <c r="P119" i="20"/>
  <c r="W119" i="20"/>
  <c r="G265" i="20" l="1" a="1"/>
  <c r="G265" i="20" s="1"/>
  <c r="G282" i="20" s="1"/>
  <c r="J274" i="20" s="1"/>
  <c r="W288" i="20" s="1"/>
  <c r="G121" i="20" a="1"/>
  <c r="G121" i="20" s="1"/>
  <c r="G138" i="20" s="1"/>
  <c r="J130" i="20" s="1"/>
  <c r="W144" i="20" s="1"/>
  <c r="R288" i="20" l="1"/>
  <c r="O274" i="20"/>
  <c r="K274" i="20"/>
  <c r="L274" i="20" s="1"/>
  <c r="W274" i="20" s="1"/>
  <c r="G283" i="20"/>
  <c r="R144" i="20"/>
  <c r="O130" i="20"/>
  <c r="K130" i="20"/>
  <c r="L130" i="20" s="1"/>
  <c r="W130" i="20" s="1"/>
  <c r="G139" i="20"/>
  <c r="J138" i="20" s="1"/>
  <c r="J278" i="20" l="1"/>
  <c r="J283" i="20"/>
  <c r="J284" i="20"/>
  <c r="J286" i="20"/>
  <c r="J280" i="20"/>
  <c r="J277" i="20"/>
  <c r="J287" i="20"/>
  <c r="J275" i="20"/>
  <c r="J285" i="20"/>
  <c r="J279" i="20"/>
  <c r="J282" i="20"/>
  <c r="J281" i="20"/>
  <c r="J276" i="20"/>
  <c r="R274" i="20"/>
  <c r="P274" i="20"/>
  <c r="R130" i="20"/>
  <c r="J141" i="20"/>
  <c r="K141" i="20" s="1"/>
  <c r="L141" i="20" s="1"/>
  <c r="R141" i="20" s="1"/>
  <c r="J131" i="20"/>
  <c r="K131" i="20" s="1"/>
  <c r="L131" i="20" s="1"/>
  <c r="J132" i="20"/>
  <c r="K132" i="20" s="1"/>
  <c r="L132" i="20" s="1"/>
  <c r="W132" i="20" s="1"/>
  <c r="J134" i="20"/>
  <c r="O134" i="20" s="1"/>
  <c r="J137" i="20"/>
  <c r="K137" i="20" s="1"/>
  <c r="L137" i="20" s="1"/>
  <c r="J135" i="20"/>
  <c r="K135" i="20" s="1"/>
  <c r="L135" i="20" s="1"/>
  <c r="R135" i="20" s="1"/>
  <c r="J133" i="20"/>
  <c r="O133" i="20" s="1"/>
  <c r="P130" i="20"/>
  <c r="O138" i="20"/>
  <c r="K138" i="20"/>
  <c r="L138" i="20" s="1"/>
  <c r="R138" i="20" s="1"/>
  <c r="J143" i="20"/>
  <c r="J139" i="20"/>
  <c r="J142" i="20"/>
  <c r="J136" i="20"/>
  <c r="J140" i="20"/>
  <c r="K275" i="20" l="1"/>
  <c r="L275" i="20" s="1"/>
  <c r="R275" i="20" s="1"/>
  <c r="O275" i="20"/>
  <c r="K277" i="20"/>
  <c r="L277" i="20" s="1"/>
  <c r="R277" i="20" s="1"/>
  <c r="O277" i="20"/>
  <c r="K281" i="20"/>
  <c r="L281" i="20" s="1"/>
  <c r="R281" i="20" s="1"/>
  <c r="O281" i="20"/>
  <c r="K280" i="20"/>
  <c r="L280" i="20" s="1"/>
  <c r="R280" i="20" s="1"/>
  <c r="O280" i="20"/>
  <c r="K286" i="20"/>
  <c r="L286" i="20" s="1"/>
  <c r="R286" i="20" s="1"/>
  <c r="O286" i="20"/>
  <c r="O279" i="20"/>
  <c r="K279" i="20"/>
  <c r="L279" i="20" s="1"/>
  <c r="O283" i="20"/>
  <c r="K283" i="20"/>
  <c r="L283" i="20" s="1"/>
  <c r="R283" i="20" s="1"/>
  <c r="K287" i="20"/>
  <c r="L287" i="20" s="1"/>
  <c r="W287" i="20" s="1"/>
  <c r="O287" i="20"/>
  <c r="K276" i="20"/>
  <c r="L276" i="20" s="1"/>
  <c r="R276" i="20" s="1"/>
  <c r="O276" i="20"/>
  <c r="K282" i="20"/>
  <c r="L282" i="20" s="1"/>
  <c r="W282" i="20" s="1"/>
  <c r="O282" i="20"/>
  <c r="O284" i="20"/>
  <c r="K284" i="20"/>
  <c r="L284" i="20" s="1"/>
  <c r="O285" i="20"/>
  <c r="K285" i="20"/>
  <c r="L285" i="20" s="1"/>
  <c r="W285" i="20" s="1"/>
  <c r="K278" i="20"/>
  <c r="L278" i="20" s="1"/>
  <c r="W278" i="20" s="1"/>
  <c r="O278" i="20"/>
  <c r="W138" i="20"/>
  <c r="O141" i="20"/>
  <c r="P141" i="20" s="1"/>
  <c r="K133" i="20"/>
  <c r="L133" i="20" s="1"/>
  <c r="R133" i="20" s="1"/>
  <c r="O131" i="20"/>
  <c r="P131" i="20" s="1"/>
  <c r="O135" i="20"/>
  <c r="P135" i="20" s="1"/>
  <c r="O132" i="20"/>
  <c r="P132" i="20" s="1"/>
  <c r="O137" i="20"/>
  <c r="P137" i="20" s="1"/>
  <c r="R132" i="20"/>
  <c r="K134" i="20"/>
  <c r="L134" i="20" s="1"/>
  <c r="W134" i="20" s="1"/>
  <c r="W141" i="20"/>
  <c r="W137" i="20"/>
  <c r="R137" i="20"/>
  <c r="R131" i="20"/>
  <c r="P138" i="20"/>
  <c r="W131" i="20"/>
  <c r="O136" i="20"/>
  <c r="K136" i="20"/>
  <c r="L136" i="20" s="1"/>
  <c r="O140" i="20"/>
  <c r="K140" i="20"/>
  <c r="L140" i="20" s="1"/>
  <c r="O142" i="20"/>
  <c r="K142" i="20"/>
  <c r="L142" i="20" s="1"/>
  <c r="W135" i="20"/>
  <c r="K139" i="20"/>
  <c r="L139" i="20" s="1"/>
  <c r="O139" i="20"/>
  <c r="O143" i="20"/>
  <c r="K143" i="20"/>
  <c r="L143" i="20" s="1"/>
  <c r="R143" i="20" s="1"/>
  <c r="P275" i="20" l="1"/>
  <c r="P282" i="20"/>
  <c r="R287" i="20"/>
  <c r="P286" i="20"/>
  <c r="W280" i="20"/>
  <c r="W275" i="20"/>
  <c r="R282" i="20"/>
  <c r="W277" i="20"/>
  <c r="P277" i="20"/>
  <c r="P280" i="20"/>
  <c r="P276" i="20"/>
  <c r="W276" i="20"/>
  <c r="P283" i="20"/>
  <c r="W283" i="20"/>
  <c r="R285" i="20"/>
  <c r="P285" i="20"/>
  <c r="W284" i="20"/>
  <c r="R284" i="20"/>
  <c r="P284" i="20"/>
  <c r="P279" i="20"/>
  <c r="R279" i="20"/>
  <c r="W279" i="20"/>
  <c r="W281" i="20"/>
  <c r="P278" i="20"/>
  <c r="R278" i="20"/>
  <c r="P287" i="20"/>
  <c r="W286" i="20"/>
  <c r="P281" i="20"/>
  <c r="P133" i="20"/>
  <c r="W133" i="20"/>
  <c r="P142" i="20"/>
  <c r="R134" i="20"/>
  <c r="W143" i="20"/>
  <c r="P134" i="20"/>
  <c r="R142" i="20"/>
  <c r="W142" i="20"/>
  <c r="P139" i="20"/>
  <c r="P140" i="20"/>
  <c r="P136" i="20"/>
  <c r="W136" i="20"/>
  <c r="R140" i="20"/>
  <c r="W140" i="20"/>
  <c r="R139" i="20"/>
  <c r="R136" i="20"/>
  <c r="P143" i="20"/>
  <c r="W139" i="20"/>
  <c r="AO4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BD0437-4B8A-4D88-A146-DA1833172A2A}" name="V Iksra" type="6" refreshedVersion="8" background="1" saveData="1">
    <textPr codePage="852" sourceFile="C:\Users\Sebastian\Desktop\OBRONA\praca\Praca\ofertowy\V Iksra.txt" decimal="," thousands=" " semicolon="1">
      <textFields count="2">
        <textField/>
        <textField/>
      </textFields>
    </textPr>
  </connection>
  <connection id="2" xr16:uid="{DCE7597A-7CB6-4D67-BFDB-4F9B3EA8FED6}" name="V2 Iksra" type="6" refreshedVersion="8" background="1" saveData="1">
    <textPr codePage="852" sourceFile="C:\Users\Sebastian\Desktop\OBRONA\praca\Praca\ofertowy\V2 Iksra.txt" decimal="," thousands=" " semicolon="1">
      <textFields count="2"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<sst xmlns="http://schemas.openxmlformats.org/spreadsheetml/2006/main" count="1534" uniqueCount="203">
  <si>
    <t>kg</t>
  </si>
  <si>
    <t>Cz</t>
  </si>
  <si>
    <t>E</t>
  </si>
  <si>
    <t>m</t>
  </si>
  <si>
    <t>g</t>
  </si>
  <si>
    <t>S</t>
  </si>
  <si>
    <t>h</t>
  </si>
  <si>
    <t>Cx</t>
  </si>
  <si>
    <t>-</t>
  </si>
  <si>
    <t>h [m]</t>
  </si>
  <si>
    <t>wysokość lotu</t>
  </si>
  <si>
    <t>kąt pochylenia osi silnika fi</t>
  </si>
  <si>
    <t>masa samolotu</t>
  </si>
  <si>
    <t>Q</t>
  </si>
  <si>
    <t>Obroty silnika</t>
  </si>
  <si>
    <t>wydłużenie Oswalda</t>
  </si>
  <si>
    <t>Powierzchnia nośna</t>
  </si>
  <si>
    <t>Współczynnik kierunkowy prostej Cz(a)</t>
  </si>
  <si>
    <t>Minimalny współczynnik Cx z danych</t>
  </si>
  <si>
    <t>Ciężar samolotu</t>
  </si>
  <si>
    <t>Moc na wysokości przelotowej</t>
  </si>
  <si>
    <t>gęstość powietrza na wysokości h</t>
  </si>
  <si>
    <t>φ</t>
  </si>
  <si>
    <r>
      <t>α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</si>
  <si>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t>ρ</t>
  </si>
  <si>
    <t>gęstość powietrza przy ziemii</t>
  </si>
  <si>
    <t>1/rad</t>
  </si>
  <si>
    <t>1/s</t>
  </si>
  <si>
    <t>N</t>
  </si>
  <si>
    <t>rad</t>
  </si>
  <si>
    <t>Kąt zerowej siły nośnej</t>
  </si>
  <si>
    <r>
      <t>m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</si>
  <si>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t</t>
    </r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</si>
  <si>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p</t>
    </r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</si>
  <si>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hp</t>
    </r>
  </si>
  <si>
    <r>
      <t>ρ</t>
    </r>
    <r>
      <rPr>
        <vertAlign val="subscript"/>
        <sz val="11"/>
        <color theme="1"/>
        <rFont val="Calibri Light"/>
        <family val="2"/>
        <charset val="238"/>
      </rPr>
      <t>0</t>
    </r>
  </si>
  <si>
    <r>
      <t>q</t>
    </r>
    <r>
      <rPr>
        <vertAlign val="subscript"/>
        <sz val="11"/>
        <color theme="1"/>
        <rFont val="Calibri"/>
        <family val="2"/>
        <charset val="238"/>
        <scheme val="minor"/>
      </rPr>
      <t>t</t>
    </r>
  </si>
  <si>
    <r>
      <t>m</t>
    </r>
    <r>
      <rPr>
        <b/>
        <vertAlign val="subscript"/>
        <sz val="11"/>
        <color theme="1"/>
        <rFont val="Calibri"/>
        <family val="2"/>
        <charset val="238"/>
        <scheme val="minor"/>
      </rPr>
      <t>pal</t>
    </r>
  </si>
  <si>
    <t>Δt</t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</si>
  <si>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obl</t>
    </r>
  </si>
  <si>
    <t>min</t>
  </si>
  <si>
    <r>
      <t>q</t>
    </r>
    <r>
      <rPr>
        <vertAlign val="subscript"/>
        <sz val="11"/>
        <color theme="1"/>
        <rFont val="Calibri"/>
        <family val="2"/>
        <charset val="238"/>
        <scheme val="minor"/>
      </rPr>
      <t>N</t>
    </r>
  </si>
  <si>
    <r>
      <t>q</t>
    </r>
    <r>
      <rPr>
        <vertAlign val="subscript"/>
        <sz val="11"/>
        <color theme="1"/>
        <rFont val="Calibri"/>
        <family val="2"/>
        <charset val="238"/>
        <scheme val="minor"/>
      </rPr>
      <t>e</t>
    </r>
  </si>
  <si>
    <r>
      <t>m</t>
    </r>
    <r>
      <rPr>
        <b/>
        <vertAlign val="subscript"/>
        <sz val="11"/>
        <color theme="1"/>
        <rFont val="Calibri"/>
        <family val="2"/>
        <charset val="238"/>
        <scheme val="minor"/>
      </rPr>
      <t>k</t>
    </r>
  </si>
  <si>
    <r>
      <t>n</t>
    </r>
    <r>
      <rPr>
        <b/>
        <vertAlign val="subscript"/>
        <sz val="11"/>
        <color theme="1"/>
        <rFont val="Calibri"/>
        <family val="2"/>
        <charset val="238"/>
        <scheme val="minor"/>
      </rPr>
      <t>s</t>
    </r>
  </si>
  <si>
    <r>
      <t>Λ</t>
    </r>
    <r>
      <rPr>
        <b/>
        <vertAlign val="subscript"/>
        <sz val="11"/>
        <color theme="1"/>
        <rFont val="Calibri"/>
        <family val="2"/>
        <charset val="238"/>
        <scheme val="minor"/>
      </rPr>
      <t>e</t>
    </r>
  </si>
  <si>
    <r>
      <t>(Cx)</t>
    </r>
    <r>
      <rPr>
        <b/>
        <vertAlign val="subscript"/>
        <sz val="11"/>
        <color theme="1"/>
        <rFont val="Calibri"/>
        <family val="2"/>
        <charset val="238"/>
        <scheme val="minor"/>
      </rPr>
      <t>min</t>
    </r>
  </si>
  <si>
    <r>
      <t>a</t>
    </r>
    <r>
      <rPr>
        <b/>
        <vertAlign val="subscript"/>
        <sz val="11"/>
        <color theme="1"/>
        <rFont val="Calibri"/>
        <family val="2"/>
        <charset val="238"/>
        <scheme val="minor"/>
      </rPr>
      <t>∞</t>
    </r>
  </si>
  <si>
    <r>
      <t>α</t>
    </r>
    <r>
      <rPr>
        <b/>
        <vertAlign val="subscript"/>
        <sz val="11"/>
        <color theme="1"/>
        <rFont val="Calibri"/>
        <family val="2"/>
        <charset val="238"/>
        <scheme val="minor"/>
      </rPr>
      <t>0</t>
    </r>
  </si>
  <si>
    <t>°</t>
  </si>
  <si>
    <r>
      <t>ρ</t>
    </r>
    <r>
      <rPr>
        <b/>
        <vertAlign val="subscript"/>
        <sz val="11"/>
        <color theme="1"/>
        <rFont val="Calibri Light"/>
        <family val="2"/>
        <charset val="238"/>
      </rPr>
      <t>pal</t>
    </r>
  </si>
  <si>
    <r>
      <t>P</t>
    </r>
    <r>
      <rPr>
        <b/>
        <vertAlign val="subscript"/>
        <sz val="11"/>
        <color theme="1"/>
        <rFont val="Calibri"/>
        <family val="2"/>
        <charset val="238"/>
        <scheme val="minor"/>
      </rPr>
      <t>nom</t>
    </r>
  </si>
  <si>
    <r>
      <t>P</t>
    </r>
    <r>
      <rPr>
        <b/>
        <vertAlign val="subscript"/>
        <sz val="11"/>
        <color theme="1"/>
        <rFont val="Calibri"/>
        <family val="2"/>
        <charset val="238"/>
        <scheme val="minor"/>
      </rPr>
      <t>r-0</t>
    </r>
  </si>
  <si>
    <t>Ma</t>
  </si>
  <si>
    <t>Prędkość dźwięku na wysokości h</t>
  </si>
  <si>
    <t>m/s</t>
  </si>
  <si>
    <t>K</t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</si>
  <si>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</si>
  <si>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</si>
  <si>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t>Prędkość dźwięku na poziomie morza</t>
  </si>
  <si>
    <t>Tempratura na poziomie morza</t>
  </si>
  <si>
    <t>Temperatura na wysokości h</t>
  </si>
  <si>
    <t>Ciąg silnika przy ziemii</t>
  </si>
  <si>
    <t>V [m/s]</t>
  </si>
  <si>
    <t>w [m/s]</t>
  </si>
  <si>
    <r>
      <t>P</t>
    </r>
    <r>
      <rPr>
        <b/>
        <vertAlign val="subscript"/>
        <sz val="12"/>
        <color theme="1"/>
        <rFont val="Arial"/>
        <family val="2"/>
        <charset val="238"/>
      </rPr>
      <t>s</t>
    </r>
    <r>
      <rPr>
        <b/>
        <sz val="12"/>
        <color theme="1"/>
        <rFont val="Arial"/>
        <family val="2"/>
        <charset val="238"/>
      </rPr>
      <t xml:space="preserve"> [N]</t>
    </r>
  </si>
  <si>
    <t>α [°]</t>
  </si>
  <si>
    <r>
      <t>P</t>
    </r>
    <r>
      <rPr>
        <b/>
        <vertAlign val="subscript"/>
        <sz val="12"/>
        <color theme="1"/>
        <rFont val="Arial"/>
        <family val="2"/>
        <charset val="238"/>
      </rPr>
      <t>n</t>
    </r>
    <r>
      <rPr>
        <b/>
        <sz val="12"/>
        <color theme="1"/>
        <rFont val="Arial"/>
        <family val="2"/>
        <charset val="238"/>
      </rPr>
      <t xml:space="preserve"> [N]</t>
    </r>
  </si>
  <si>
    <t>ΔP [N]</t>
  </si>
  <si>
    <r>
      <t>a</t>
    </r>
    <r>
      <rPr>
        <b/>
        <vertAlign val="subscript"/>
        <sz val="12"/>
        <color theme="1"/>
        <rFont val="Arial"/>
        <family val="2"/>
        <charset val="238"/>
      </rPr>
      <t>∞</t>
    </r>
  </si>
  <si>
    <r>
      <t>P</t>
    </r>
    <r>
      <rPr>
        <b/>
        <vertAlign val="subscript"/>
        <sz val="12"/>
        <color theme="1"/>
        <rFont val="Arial"/>
        <family val="2"/>
        <charset val="238"/>
      </rPr>
      <t>r-0</t>
    </r>
  </si>
  <si>
    <r>
      <t>m</t>
    </r>
    <r>
      <rPr>
        <b/>
        <vertAlign val="superscript"/>
        <sz val="12"/>
        <color theme="1"/>
        <rFont val="Arial"/>
        <family val="2"/>
        <charset val="238"/>
      </rPr>
      <t>2</t>
    </r>
  </si>
  <si>
    <r>
      <t>α</t>
    </r>
    <r>
      <rPr>
        <b/>
        <vertAlign val="subscript"/>
        <sz val="12"/>
        <color theme="1"/>
        <rFont val="Arial"/>
        <family val="2"/>
        <charset val="238"/>
      </rPr>
      <t>0</t>
    </r>
  </si>
  <si>
    <r>
      <t>Λ</t>
    </r>
    <r>
      <rPr>
        <b/>
        <vertAlign val="subscript"/>
        <sz val="12"/>
        <color theme="1"/>
        <rFont val="Arial"/>
        <family val="2"/>
        <charset val="238"/>
      </rPr>
      <t>e</t>
    </r>
  </si>
  <si>
    <r>
      <t>(Cx)</t>
    </r>
    <r>
      <rPr>
        <b/>
        <vertAlign val="subscript"/>
        <sz val="12"/>
        <color theme="1"/>
        <rFont val="Arial"/>
        <family val="2"/>
        <charset val="238"/>
      </rPr>
      <t>min</t>
    </r>
  </si>
  <si>
    <r>
      <t>n</t>
    </r>
    <r>
      <rPr>
        <b/>
        <vertAlign val="subscript"/>
        <sz val="12"/>
        <color theme="1"/>
        <rFont val="Arial"/>
        <family val="2"/>
        <charset val="238"/>
      </rPr>
      <t>s</t>
    </r>
  </si>
  <si>
    <r>
      <t>kg/m</t>
    </r>
    <r>
      <rPr>
        <b/>
        <vertAlign val="superscript"/>
        <sz val="12"/>
        <color theme="1"/>
        <rFont val="Arial"/>
        <family val="2"/>
        <charset val="238"/>
      </rPr>
      <t>3</t>
    </r>
  </si>
  <si>
    <r>
      <t>a</t>
    </r>
    <r>
      <rPr>
        <b/>
        <vertAlign val="subscript"/>
        <sz val="12"/>
        <color theme="1"/>
        <rFont val="Arial"/>
        <family val="2"/>
        <charset val="238"/>
      </rPr>
      <t>0</t>
    </r>
  </si>
  <si>
    <r>
      <t>T</t>
    </r>
    <r>
      <rPr>
        <b/>
        <vertAlign val="subscript"/>
        <sz val="12"/>
        <color theme="1"/>
        <rFont val="Arial"/>
        <family val="2"/>
        <charset val="238"/>
      </rPr>
      <t>0</t>
    </r>
  </si>
  <si>
    <r>
      <t>ρ</t>
    </r>
    <r>
      <rPr>
        <vertAlign val="subscript"/>
        <sz val="12"/>
        <color theme="1"/>
        <rFont val="Arial"/>
        <family val="2"/>
        <charset val="238"/>
      </rPr>
      <t>h</t>
    </r>
  </si>
  <si>
    <r>
      <t>kg/m</t>
    </r>
    <r>
      <rPr>
        <vertAlign val="superscript"/>
        <sz val="12"/>
        <color theme="1"/>
        <rFont val="Arial"/>
        <family val="2"/>
        <charset val="238"/>
      </rPr>
      <t>3</t>
    </r>
  </si>
  <si>
    <r>
      <t>P</t>
    </r>
    <r>
      <rPr>
        <vertAlign val="subscript"/>
        <sz val="12"/>
        <color theme="1"/>
        <rFont val="Arial"/>
        <family val="2"/>
        <charset val="238"/>
      </rPr>
      <t>h</t>
    </r>
  </si>
  <si>
    <r>
      <t>T</t>
    </r>
    <r>
      <rPr>
        <vertAlign val="subscript"/>
        <sz val="12"/>
        <color theme="1"/>
        <rFont val="Arial"/>
        <family val="2"/>
        <charset val="238"/>
      </rPr>
      <t>h</t>
    </r>
  </si>
  <si>
    <r>
      <t>a</t>
    </r>
    <r>
      <rPr>
        <vertAlign val="subscript"/>
        <sz val="12"/>
        <color theme="1"/>
        <rFont val="Arial"/>
        <family val="2"/>
        <charset val="238"/>
      </rPr>
      <t>h</t>
    </r>
  </si>
  <si>
    <t>γ [°]</t>
  </si>
  <si>
    <t>γ</t>
  </si>
  <si>
    <t>[rad]</t>
  </si>
  <si>
    <t>[°]</t>
  </si>
  <si>
    <t xml:space="preserve">α </t>
  </si>
  <si>
    <t>Przyspieszenie grawitacyjne</t>
  </si>
  <si>
    <r>
      <t>m/s</t>
    </r>
    <r>
      <rPr>
        <b/>
        <vertAlign val="subscript"/>
        <sz val="12"/>
        <color theme="1"/>
        <rFont val="Arial"/>
        <family val="2"/>
        <charset val="238"/>
      </rPr>
      <t>2</t>
    </r>
  </si>
  <si>
    <t>Masa paliwa</t>
  </si>
  <si>
    <r>
      <t>m</t>
    </r>
    <r>
      <rPr>
        <b/>
        <vertAlign val="subscript"/>
        <sz val="12"/>
        <color theme="1"/>
        <rFont val="Arial"/>
        <family val="2"/>
        <charset val="238"/>
      </rPr>
      <t>p</t>
    </r>
  </si>
  <si>
    <r>
      <t>m</t>
    </r>
    <r>
      <rPr>
        <b/>
        <vertAlign val="subscript"/>
        <sz val="12"/>
        <color theme="1"/>
        <rFont val="Arial"/>
        <family val="2"/>
        <charset val="238"/>
      </rPr>
      <t>min</t>
    </r>
  </si>
  <si>
    <t>maksymalny współczynnik siły nośnej</t>
  </si>
  <si>
    <r>
      <t>Cz</t>
    </r>
    <r>
      <rPr>
        <b/>
        <vertAlign val="subscript"/>
        <sz val="12"/>
        <color theme="1"/>
        <rFont val="Arial"/>
        <family val="2"/>
        <charset val="238"/>
      </rPr>
      <t>max</t>
    </r>
  </si>
  <si>
    <t>Masa pełnego samolotu bez paliwa</t>
  </si>
  <si>
    <r>
      <t>kg/m</t>
    </r>
    <r>
      <rPr>
        <b/>
        <vertAlign val="superscript"/>
        <sz val="11"/>
        <color theme="1"/>
        <rFont val="Calibri"/>
        <family val="2"/>
        <charset val="238"/>
        <scheme val="minor"/>
      </rPr>
      <t>3</t>
    </r>
  </si>
  <si>
    <r>
      <t>m</t>
    </r>
    <r>
      <rPr>
        <b/>
        <vertAlign val="superscript"/>
        <sz val="11"/>
        <color theme="1"/>
        <rFont val="Calibri"/>
        <family val="2"/>
        <charset val="238"/>
        <scheme val="minor"/>
      </rPr>
      <t>2</t>
    </r>
  </si>
  <si>
    <r>
      <t>kg/m</t>
    </r>
    <r>
      <rPr>
        <vertAlign val="superscript"/>
        <sz val="11"/>
        <color theme="1"/>
        <rFont val="Calibri"/>
        <family val="2"/>
        <charset val="238"/>
        <scheme val="minor"/>
      </rPr>
      <t>3</t>
    </r>
  </si>
  <si>
    <r>
      <t>m/s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</si>
  <si>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r>
      <t>Cz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</si>
  <si>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t>Metoda ciągu, zmienna masa, h=2km</t>
  </si>
  <si>
    <t>Metoda ciągu, zmienna masa, h=4km</t>
  </si>
  <si>
    <t>Metoda ciągu, zmienna masa, h=6km</t>
  </si>
  <si>
    <t>Metoda ciągu, zmienna masa, h=8km</t>
  </si>
  <si>
    <t>Metoda ciągu, zmienna masa, h=10km</t>
  </si>
  <si>
    <t>Metoda ciągu, zmienna masa, h=12km</t>
  </si>
  <si>
    <t>Metoda ciągu, zmienna masa, h=14km</t>
  </si>
  <si>
    <t>Cx~</t>
  </si>
  <si>
    <t>Metoda ciągu, zmienna masa, h=14km, ściśliwość</t>
  </si>
  <si>
    <t>Metoda ciągu, zmienna masa, h=12km, ściśliwość</t>
  </si>
  <si>
    <t>Metoda ciągu, zmienna masa, h=10km, ściśliwość</t>
  </si>
  <si>
    <t>Metoda ciągu, zmienna masa, h=8km, ściśliwość</t>
  </si>
  <si>
    <t>Metoda ciągu, zmienna masa, h=6km, ściśliwość</t>
  </si>
  <si>
    <t>Metoda ciągu, zmienna masa, h=4km, ściśliwość</t>
  </si>
  <si>
    <t>Metoda ciągu, zmienna masa, h=2km, ściśliwość</t>
  </si>
  <si>
    <t>Metoda ciągu, zmienna masa, h=0m, ściśliwość</t>
  </si>
  <si>
    <t>Metoda ciągu, zmienna masa, h=0km</t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</si>
  <si>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min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</si>
  <si>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min</t>
    </r>
    <r>
      <rPr>
        <b/>
        <sz val="11"/>
        <color theme="1"/>
        <rFont val="Calibri"/>
        <family val="2"/>
        <charset val="238"/>
        <scheme val="minor"/>
      </rPr>
      <t xml:space="preserve"> [km/h]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</si>
  <si>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</si>
  <si>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  <r>
      <rPr>
        <b/>
        <sz val="11"/>
        <color theme="1"/>
        <rFont val="Calibri"/>
        <family val="2"/>
        <charset val="238"/>
        <scheme val="minor"/>
      </rPr>
      <t xml:space="preserve"> [km/h]</t>
    </r>
  </si>
  <si>
    <r>
      <t>w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</si>
  <si>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10·w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</si>
  <si>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w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</si>
  <si>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w</t>
    </r>
    <r>
      <rPr>
        <b/>
        <sz val="11"/>
        <color theme="1"/>
        <rFont val="Calibri"/>
        <family val="2"/>
        <charset val="238"/>
        <scheme val="minor"/>
      </rPr>
      <t xml:space="preserve"> [km/h]</t>
    </r>
  </si>
  <si>
    <r>
      <t>γ</t>
    </r>
    <r>
      <rPr>
        <b/>
        <vertAlign val="subscript"/>
        <sz val="11"/>
        <color theme="1"/>
        <rFont val="Calibri"/>
        <family val="2"/>
        <charset val="238"/>
      </rPr>
      <t>max</t>
    </r>
    <r>
      <rPr>
        <b/>
        <sz val="11"/>
        <color theme="1"/>
        <rFont val="Calibri"/>
        <family val="2"/>
        <charset val="238"/>
      </rPr>
      <t xml:space="preserve"> [°]</t>
    </r>
  </si>
  <si>
    <r>
      <t>10·γ</t>
    </r>
    <r>
      <rPr>
        <b/>
        <vertAlign val="subscript"/>
        <sz val="11"/>
        <color theme="1"/>
        <rFont val="Calibri"/>
        <family val="2"/>
        <charset val="238"/>
      </rPr>
      <t>max</t>
    </r>
    <r>
      <rPr>
        <b/>
        <sz val="11"/>
        <color theme="1"/>
        <rFont val="Calibri"/>
        <family val="2"/>
        <charset val="238"/>
      </rPr>
      <t xml:space="preserve"> [°]</t>
    </r>
  </si>
  <si>
    <r>
      <t>V</t>
    </r>
    <r>
      <rPr>
        <b/>
        <vertAlign val="subscript"/>
        <sz val="11"/>
        <color theme="1"/>
        <rFont val="Calibri"/>
        <family val="2"/>
        <charset val="238"/>
      </rPr>
      <t>γ</t>
    </r>
    <r>
      <rPr>
        <b/>
        <sz val="11"/>
        <color theme="1"/>
        <rFont val="Calibri"/>
        <family val="2"/>
        <charset val="238"/>
      </rPr>
      <t xml:space="preserve"> [m/s]</t>
    </r>
  </si>
  <si>
    <r>
      <t>V</t>
    </r>
    <r>
      <rPr>
        <b/>
        <vertAlign val="subscript"/>
        <sz val="11"/>
        <color theme="1"/>
        <rFont val="Calibri"/>
        <family val="2"/>
        <charset val="238"/>
      </rPr>
      <t>γ</t>
    </r>
    <r>
      <rPr>
        <b/>
        <sz val="11"/>
        <color theme="1"/>
        <rFont val="Calibri"/>
        <family val="2"/>
        <charset val="238"/>
      </rPr>
      <t xml:space="preserve"> [km/h]</t>
    </r>
  </si>
  <si>
    <r>
      <t>1/w</t>
    </r>
    <r>
      <rPr>
        <b/>
        <vertAlign val="subscript"/>
        <sz val="11"/>
        <color theme="1"/>
        <rFont val="Calibri"/>
        <family val="2"/>
        <charset val="238"/>
      </rPr>
      <t>max</t>
    </r>
  </si>
  <si>
    <t>ciągu</t>
  </si>
  <si>
    <t>m zmienna</t>
  </si>
  <si>
    <t>mocy</t>
  </si>
  <si>
    <t>Vmin</t>
  </si>
  <si>
    <t>Vmax</t>
  </si>
  <si>
    <t>Vw</t>
  </si>
  <si>
    <t>Vy</t>
  </si>
  <si>
    <t>w</t>
  </si>
  <si>
    <t>ht1</t>
  </si>
  <si>
    <t>hp1</t>
  </si>
  <si>
    <t>ht2</t>
  </si>
  <si>
    <t>hp2</t>
  </si>
  <si>
    <t>ht3</t>
  </si>
  <si>
    <t>hp3</t>
  </si>
  <si>
    <t>Jednostkowe zużycie paliwa</t>
  </si>
  <si>
    <t>qe</t>
  </si>
  <si>
    <t>kg/kNs</t>
  </si>
  <si>
    <t>mp</t>
  </si>
  <si>
    <t>dmp</t>
  </si>
  <si>
    <t>Ps/w</t>
  </si>
  <si>
    <t>v</t>
  </si>
  <si>
    <r>
      <t>10t</t>
    </r>
    <r>
      <rPr>
        <b/>
        <vertAlign val="subscript"/>
        <sz val="11"/>
        <color theme="1"/>
        <rFont val="Calibri"/>
        <family val="2"/>
        <charset val="238"/>
      </rPr>
      <t xml:space="preserve">h </t>
    </r>
    <r>
      <rPr>
        <b/>
        <sz val="11"/>
        <color theme="1"/>
        <rFont val="Calibri"/>
        <family val="2"/>
        <charset val="238"/>
      </rPr>
      <t>[min]</t>
    </r>
  </si>
  <si>
    <t>10th [min]</t>
  </si>
  <si>
    <t>Maksymalny ciężar samolotu</t>
  </si>
  <si>
    <t>Qmax</t>
  </si>
  <si>
    <r>
      <t>Q</t>
    </r>
    <r>
      <rPr>
        <vertAlign val="subscript"/>
        <sz val="12"/>
        <color theme="1"/>
        <rFont val="Arial"/>
        <family val="2"/>
        <charset val="238"/>
      </rPr>
      <t>max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</si>
  <si>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h=14km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</si>
  <si>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h=12km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</si>
  <si>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h=10km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</si>
  <si>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h=8km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</si>
  <si>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h=6km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</si>
  <si>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h=4km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</si>
  <si>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h=2km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</si>
  <si>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h=0km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</si>
  <si>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h=0km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</si>
  <si>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h=14km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</si>
  <si>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h=12km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</si>
  <si>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h=10km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</si>
  <si>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h=8km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</si>
  <si>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h=6km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</si>
  <si>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h=4km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</si>
  <si>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h=2km</t>
    </r>
  </si>
  <si>
    <t>Równanie 1</t>
  </si>
  <si>
    <t xml:space="preserve">gamma </t>
  </si>
  <si>
    <t>alfa</t>
  </si>
  <si>
    <t>Równ 2</t>
  </si>
  <si>
    <t>ht4</t>
  </si>
  <si>
    <t>hp4</t>
  </si>
  <si>
    <t>ht5</t>
  </si>
  <si>
    <t>ht6</t>
  </si>
  <si>
    <t>hp6</t>
  </si>
  <si>
    <t>hp5</t>
  </si>
  <si>
    <t>mśr</t>
  </si>
  <si>
    <t>bez ściśli</t>
  </si>
  <si>
    <t>mmax</t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</si>
  <si>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h=0km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</si>
  <si>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h=0km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</si>
  <si>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h=2km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</si>
  <si>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h=2km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</si>
  <si>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h=4km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</si>
  <si>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h=4km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</si>
  <si>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h=6km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</si>
  <si>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h=6km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</si>
  <si>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h=8km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</si>
  <si>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h=8km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</si>
  <si>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h=10km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</si>
  <si>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h=10km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</si>
  <si>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h=12km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</si>
  <si>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h=12km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</si>
  <si>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h=14km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</si>
  <si>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h=14km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</si>
</sst>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9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alibri Light"/>
      <family val="2"/>
      <charset val="238"/>
    </font>
    <font>
      <b/>
      <vertAlign val="sub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 Light"/>
      <family val="2"/>
      <charset val="238"/>
    </font>
    <font>
      <b/>
      <sz val="11"/>
      <color theme="1"/>
      <name val="Calibri"/>
      <family val="2"/>
      <charset val="238"/>
    </font>
    <font>
      <b/>
      <sz val="11"/>
      <color theme="1"/>
      <name val="Calibri Light"/>
      <family val="2"/>
      <charset val="238"/>
    </font>
    <font>
      <b/>
      <vertAlign val="subscript"/>
      <sz val="11"/>
      <color theme="1"/>
      <name val="Calibri Light"/>
      <family val="2"/>
      <charset val="238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vertAlign val="subscript"/>
      <sz val="12"/>
      <color theme="1"/>
      <name val="Arial"/>
      <family val="2"/>
      <charset val="238"/>
    </font>
    <font>
      <b/>
      <vertAlign val="superscript"/>
      <sz val="12"/>
      <color theme="1"/>
      <name val="Arial"/>
      <family val="2"/>
      <charset val="238"/>
    </font>
    <font>
      <vertAlign val="subscript"/>
      <sz val="12"/>
      <color theme="1"/>
      <name val="Arial"/>
      <family val="2"/>
      <charset val="238"/>
    </font>
    <font>
      <vertAlign val="superscript"/>
      <sz val="12"/>
      <color theme="1"/>
      <name val="Arial"/>
      <family val="2"/>
      <charset val="238"/>
    </font>
    <font>
      <sz val="12"/>
      <color theme="1"/>
      <name val="Calibri"/>
      <family val="2"/>
      <charset val="238"/>
    </font>
    <font>
      <b/>
      <vertAlign val="superscript"/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b/>
      <vertAlign val="subscript"/>
      <sz val="11"/>
      <color theme="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9" fillId="5" borderId="5" xfId="0" applyFont="1" applyFill="1" applyBorder="1"/>
    <xf numFmtId="165" fontId="9" fillId="5" borderId="6" xfId="0" applyNumberFormat="1" applyFont="1" applyFill="1" applyBorder="1"/>
    <xf numFmtId="164" fontId="9" fillId="5" borderId="6" xfId="0" applyNumberFormat="1" applyFont="1" applyFill="1" applyBorder="1"/>
    <xf numFmtId="2" fontId="9" fillId="5" borderId="7" xfId="0" applyNumberFormat="1" applyFont="1" applyFill="1" applyBorder="1"/>
    <xf numFmtId="0" fontId="9" fillId="6" borderId="8" xfId="0" applyFont="1" applyFill="1" applyBorder="1"/>
    <xf numFmtId="165" fontId="9" fillId="6" borderId="4" xfId="0" applyNumberFormat="1" applyFont="1" applyFill="1" applyBorder="1"/>
    <xf numFmtId="164" fontId="9" fillId="6" borderId="4" xfId="0" applyNumberFormat="1" applyFont="1" applyFill="1" applyBorder="1"/>
    <xf numFmtId="2" fontId="9" fillId="6" borderId="9" xfId="0" applyNumberFormat="1" applyFont="1" applyFill="1" applyBorder="1"/>
    <xf numFmtId="0" fontId="9" fillId="5" borderId="11" xfId="0" applyFont="1" applyFill="1" applyBorder="1"/>
    <xf numFmtId="164" fontId="9" fillId="5" borderId="0" xfId="0" applyNumberFormat="1" applyFont="1" applyFill="1"/>
    <xf numFmtId="2" fontId="9" fillId="5" borderId="10" xfId="0" applyNumberFormat="1" applyFont="1" applyFill="1" applyBorder="1"/>
    <xf numFmtId="0" fontId="9" fillId="6" borderId="11" xfId="0" applyFont="1" applyFill="1" applyBorder="1"/>
    <xf numFmtId="164" fontId="9" fillId="6" borderId="0" xfId="0" applyNumberFormat="1" applyFont="1" applyFill="1"/>
    <xf numFmtId="2" fontId="9" fillId="6" borderId="10" xfId="0" applyNumberFormat="1" applyFont="1" applyFill="1" applyBorder="1"/>
    <xf numFmtId="1" fontId="9" fillId="2" borderId="1" xfId="0" applyNumberFormat="1" applyFont="1" applyFill="1" applyBorder="1" applyAlignment="1">
      <alignment horizontal="center" vertical="center"/>
    </xf>
    <xf numFmtId="0" fontId="15" fillId="0" borderId="0" xfId="0" applyFont="1"/>
    <xf numFmtId="164" fontId="9" fillId="3" borderId="3" xfId="0" applyNumberFormat="1" applyFont="1" applyFill="1" applyBorder="1" applyAlignment="1">
      <alignment horizontal="center" vertical="center"/>
    </xf>
    <xf numFmtId="2" fontId="9" fillId="3" borderId="3" xfId="0" applyNumberFormat="1" applyFont="1" applyFill="1" applyBorder="1" applyAlignment="1">
      <alignment horizontal="center" vertical="center"/>
    </xf>
    <xf numFmtId="165" fontId="9" fillId="3" borderId="3" xfId="0" applyNumberFormat="1" applyFont="1" applyFill="1" applyBorder="1" applyAlignment="1">
      <alignment horizontal="center" vertical="center"/>
    </xf>
    <xf numFmtId="166" fontId="9" fillId="3" borderId="3" xfId="0" applyNumberFormat="1" applyFont="1" applyFill="1" applyBorder="1" applyAlignment="1">
      <alignment horizontal="center" vertical="center"/>
    </xf>
    <xf numFmtId="1" fontId="9" fillId="3" borderId="3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" fontId="9" fillId="2" borderId="3" xfId="0" applyNumberFormat="1" applyFont="1" applyFill="1" applyBorder="1" applyAlignment="1">
      <alignment horizontal="center" vertical="center"/>
    </xf>
    <xf numFmtId="2" fontId="9" fillId="2" borderId="3" xfId="0" applyNumberFormat="1" applyFont="1" applyFill="1" applyBorder="1" applyAlignment="1">
      <alignment horizontal="center" vertical="center"/>
    </xf>
    <xf numFmtId="2" fontId="9" fillId="5" borderId="0" xfId="0" applyNumberFormat="1" applyFont="1" applyFill="1" applyAlignment="1">
      <alignment horizontal="center" vertical="center"/>
    </xf>
    <xf numFmtId="2" fontId="9" fillId="6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2" fontId="9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1" fontId="9" fillId="3" borderId="0" xfId="0" applyNumberFormat="1" applyFont="1" applyFill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10" fillId="4" borderId="16" xfId="0" applyNumberFormat="1" applyFont="1" applyFill="1" applyBorder="1" applyAlignment="1">
      <alignment horizontal="center" vertical="center"/>
    </xf>
    <xf numFmtId="164" fontId="9" fillId="3" borderId="12" xfId="0" applyNumberFormat="1" applyFont="1" applyFill="1" applyBorder="1" applyAlignment="1">
      <alignment horizontal="center" vertical="center"/>
    </xf>
    <xf numFmtId="2" fontId="9" fillId="3" borderId="12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65" fontId="9" fillId="3" borderId="12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1" fillId="2" borderId="18" xfId="0" applyNumberFormat="1" applyFont="1" applyFill="1" applyBorder="1" applyAlignment="1">
      <alignment horizontal="center" vertical="center"/>
    </xf>
    <xf numFmtId="2" fontId="1" fillId="2" borderId="19" xfId="0" applyNumberFormat="1" applyFont="1" applyFill="1" applyBorder="1" applyAlignment="1">
      <alignment horizontal="center" vertical="center"/>
    </xf>
    <xf numFmtId="2" fontId="0" fillId="3" borderId="21" xfId="0" applyNumberFormat="1" applyFill="1" applyBorder="1" applyAlignment="1">
      <alignment horizontal="center" vertical="center"/>
    </xf>
    <xf numFmtId="2" fontId="0" fillId="3" borderId="22" xfId="0" applyNumberFormat="1" applyFill="1" applyBorder="1" applyAlignment="1">
      <alignment horizontal="center" vertical="center"/>
    </xf>
    <xf numFmtId="2" fontId="0" fillId="3" borderId="29" xfId="0" applyNumberFormat="1" applyFill="1" applyBorder="1" applyAlignment="1">
      <alignment horizontal="center" vertical="center"/>
    </xf>
    <xf numFmtId="2" fontId="0" fillId="3" borderId="30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 vertical="center"/>
    </xf>
    <xf numFmtId="2" fontId="1" fillId="2" borderId="17" xfId="0" applyNumberFormat="1" applyFont="1" applyFill="1" applyBorder="1" applyAlignment="1">
      <alignment horizontal="center" vertical="center"/>
    </xf>
    <xf numFmtId="1" fontId="0" fillId="3" borderId="20" xfId="0" applyNumberFormat="1" applyFill="1" applyBorder="1" applyAlignment="1">
      <alignment horizontal="center" vertical="center"/>
    </xf>
    <xf numFmtId="1" fontId="0" fillId="3" borderId="28" xfId="0" applyNumberForma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164" fontId="10" fillId="2" borderId="16" xfId="0" applyNumberFormat="1" applyFont="1" applyFill="1" applyBorder="1" applyAlignment="1">
      <alignment horizontal="center" vertical="center"/>
    </xf>
    <xf numFmtId="164" fontId="9" fillId="0" borderId="0" xfId="0" applyNumberFormat="1" applyFont="1"/>
    <xf numFmtId="0" fontId="10" fillId="2" borderId="2" xfId="0" applyFont="1" applyFill="1" applyBorder="1" applyAlignment="1">
      <alignment horizontal="center" vertical="center"/>
    </xf>
    <xf numFmtId="166" fontId="9" fillId="3" borderId="12" xfId="0" applyNumberFormat="1" applyFont="1" applyFill="1" applyBorder="1" applyAlignment="1">
      <alignment horizontal="center" vertical="center"/>
    </xf>
    <xf numFmtId="1" fontId="9" fillId="3" borderId="12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0" fillId="3" borderId="0" xfId="0" applyFont="1" applyFill="1"/>
    <xf numFmtId="0" fontId="10" fillId="3" borderId="0" xfId="0" applyFont="1" applyFill="1" applyAlignment="1">
      <alignment horizontal="center" vertical="center"/>
    </xf>
    <xf numFmtId="166" fontId="9" fillId="3" borderId="0" xfId="0" applyNumberFormat="1" applyFont="1" applyFill="1" applyAlignment="1">
      <alignment horizontal="center" vertical="center"/>
    </xf>
    <xf numFmtId="0" fontId="9" fillId="3" borderId="0" xfId="0" applyFont="1" applyFill="1"/>
    <xf numFmtId="164" fontId="9" fillId="0" borderId="3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164" fontId="9" fillId="3" borderId="0" xfId="0" applyNumberFormat="1" applyFont="1" applyFill="1"/>
    <xf numFmtId="2" fontId="9" fillId="3" borderId="0" xfId="0" applyNumberFormat="1" applyFont="1" applyFill="1"/>
    <xf numFmtId="165" fontId="9" fillId="6" borderId="0" xfId="0" applyNumberFormat="1" applyFont="1" applyFill="1"/>
    <xf numFmtId="0" fontId="10" fillId="3" borderId="0" xfId="0" applyFont="1" applyFill="1" applyAlignment="1">
      <alignment vertical="center"/>
    </xf>
    <xf numFmtId="165" fontId="9" fillId="3" borderId="0" xfId="0" applyNumberFormat="1" applyFont="1" applyFill="1"/>
    <xf numFmtId="2" fontId="1" fillId="2" borderId="31" xfId="0" applyNumberFormat="1" applyFont="1" applyFill="1" applyBorder="1" applyAlignment="1">
      <alignment horizontal="center" vertical="center"/>
    </xf>
    <xf numFmtId="2" fontId="1" fillId="2" borderId="32" xfId="0" applyNumberFormat="1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2" fontId="1" fillId="2" borderId="33" xfId="0" applyNumberFormat="1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/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36" xfId="0" applyBorder="1"/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" fontId="0" fillId="3" borderId="37" xfId="0" applyNumberFormat="1" applyFill="1" applyBorder="1" applyAlignment="1">
      <alignment horizontal="center" vertical="center"/>
    </xf>
    <xf numFmtId="2" fontId="0" fillId="3" borderId="38" xfId="0" applyNumberFormat="1" applyFill="1" applyBorder="1" applyAlignment="1">
      <alignment horizontal="center" vertical="center"/>
    </xf>
    <xf numFmtId="2" fontId="0" fillId="3" borderId="39" xfId="0" applyNumberFormat="1" applyFill="1" applyBorder="1" applyAlignment="1">
      <alignment horizontal="center" vertical="center"/>
    </xf>
    <xf numFmtId="1" fontId="0" fillId="3" borderId="25" xfId="0" applyNumberFormat="1" applyFill="1" applyBorder="1" applyAlignment="1">
      <alignment horizontal="center" vertical="center"/>
    </xf>
    <xf numFmtId="2" fontId="0" fillId="3" borderId="25" xfId="0" applyNumberForma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1" fontId="0" fillId="3" borderId="40" xfId="0" applyNumberFormat="1" applyFill="1" applyBorder="1" applyAlignment="1">
      <alignment horizontal="center" vertical="center"/>
    </xf>
    <xf numFmtId="2" fontId="0" fillId="3" borderId="41" xfId="0" applyNumberFormat="1" applyFill="1" applyBorder="1" applyAlignment="1">
      <alignment horizontal="center" vertical="center"/>
    </xf>
    <xf numFmtId="2" fontId="0" fillId="3" borderId="42" xfId="0" applyNumberForma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34" xfId="0" applyBorder="1"/>
    <xf numFmtId="0" fontId="1" fillId="0" borderId="0" xfId="0" applyFont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Iskra </a:t>
            </a:r>
            <a:r>
              <a:rPr lang="el-GR"/>
              <a:t>γ</a:t>
            </a:r>
            <a:r>
              <a:rPr lang="pl-PL"/>
              <a:t>(V) dla średniej masy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001476845308867"/>
          <c:y val="0.11038690476190476"/>
          <c:w val="0.85398935175838042"/>
          <c:h val="0.85588887326584173"/>
        </c:manualLayout>
      </c:layout>
      <c:scatterChart>
        <c:scatterStyle val="smoothMarker"/>
        <c:varyColors val="0"/>
        <c:ser>
          <c:idx val="0"/>
          <c:order val="0"/>
          <c:tx>
            <c:v>h=0km, m. mocy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'h=0km'!$J$23:$J$41</c:f>
              <c:numCache>
                <c:formatCode>0.0</c:formatCode>
                <c:ptCount val="19"/>
                <c:pt idx="0">
                  <c:v>45.931239174747347</c:v>
                </c:pt>
                <c:pt idx="1">
                  <c:v>46.753753171001605</c:v>
                </c:pt>
                <c:pt idx="2">
                  <c:v>47.713451350907093</c:v>
                </c:pt>
                <c:pt idx="3">
                  <c:v>49.845516744372453</c:v>
                </c:pt>
                <c:pt idx="4">
                  <c:v>52.028255570921075</c:v>
                </c:pt>
                <c:pt idx="5">
                  <c:v>54.52538557089337</c:v>
                </c:pt>
                <c:pt idx="6">
                  <c:v>60.831715833399635</c:v>
                </c:pt>
                <c:pt idx="7">
                  <c:v>69.65073750571058</c:v>
                </c:pt>
                <c:pt idx="8">
                  <c:v>77.697237598430291</c:v>
                </c:pt>
                <c:pt idx="9">
                  <c:v>87.403829604220221</c:v>
                </c:pt>
                <c:pt idx="10">
                  <c:v>109.76876320968472</c:v>
                </c:pt>
                <c:pt idx="11">
                  <c:v>121.73944756404192</c:v>
                </c:pt>
                <c:pt idx="12">
                  <c:v>140.10636022829706</c:v>
                </c:pt>
                <c:pt idx="13">
                  <c:v>157.1649509973418</c:v>
                </c:pt>
                <c:pt idx="14">
                  <c:v>177.57523483887357</c:v>
                </c:pt>
                <c:pt idx="15">
                  <c:v>193.70140856220578</c:v>
                </c:pt>
                <c:pt idx="16">
                  <c:v>215.2069722760954</c:v>
                </c:pt>
                <c:pt idx="17">
                  <c:v>236.48760862027481</c:v>
                </c:pt>
                <c:pt idx="18">
                  <c:v>256.64929026200639</c:v>
                </c:pt>
              </c:numCache>
            </c:numRef>
          </c:xVal>
          <c:yVal>
            <c:numRef>
              <c:f>'h=0km'!$P$23:$P$41</c:f>
              <c:numCache>
                <c:formatCode>0.00</c:formatCode>
                <c:ptCount val="19"/>
                <c:pt idx="0">
                  <c:v>10.73266409448583</c:v>
                </c:pt>
                <c:pt idx="1">
                  <c:v>10.856129187627817</c:v>
                </c:pt>
                <c:pt idx="2">
                  <c:v>11.015656382473013</c:v>
                </c:pt>
                <c:pt idx="3">
                  <c:v>11.297011852574007</c:v>
                </c:pt>
                <c:pt idx="4">
                  <c:v>11.543245891454635</c:v>
                </c:pt>
                <c:pt idx="5">
                  <c:v>11.741492302050027</c:v>
                </c:pt>
                <c:pt idx="6">
                  <c:v>12.065967232805786</c:v>
                </c:pt>
                <c:pt idx="7">
                  <c:v>12.217688873856957</c:v>
                </c:pt>
                <c:pt idx="8">
                  <c:v>12.185433162938734</c:v>
                </c:pt>
                <c:pt idx="9">
                  <c:v>12.002818375593382</c:v>
                </c:pt>
                <c:pt idx="10">
                  <c:v>10.992291862783986</c:v>
                </c:pt>
                <c:pt idx="11">
                  <c:v>10.166074476829049</c:v>
                </c:pt>
                <c:pt idx="12">
                  <c:v>8.6829290764418818</c:v>
                </c:pt>
                <c:pt idx="13">
                  <c:v>6.8107880995113605</c:v>
                </c:pt>
                <c:pt idx="14">
                  <c:v>4.3623981096041033</c:v>
                </c:pt>
                <c:pt idx="15">
                  <c:v>1.9714462974080442</c:v>
                </c:pt>
                <c:pt idx="16">
                  <c:v>-1.7689033802147709</c:v>
                </c:pt>
                <c:pt idx="17">
                  <c:v>-6.5928139924485389</c:v>
                </c:pt>
                <c:pt idx="18">
                  <c:v>-13.282273563743974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E2-4902-8B25-BB2B15D27621}"/>
            </c:ext>
          </c:extLst>
        </c:ser>
        <c:ser>
          <c:idx val="1"/>
          <c:order val="1"/>
          <c:tx>
            <c:v>h=0km, m. ciągu, m=const.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'h=0km'!$G$3:$G$17</c:f>
              <c:numCache>
                <c:formatCode>0.0</c:formatCode>
                <c:ptCount val="15"/>
                <c:pt idx="0">
                  <c:v>45.931239174747347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'h=0km'!$K$3:$K$17</c:f>
              <c:numCache>
                <c:formatCode>0.00</c:formatCode>
                <c:ptCount val="15"/>
                <c:pt idx="0">
                  <c:v>11.285434100115996</c:v>
                </c:pt>
                <c:pt idx="1">
                  <c:v>12.519934957973641</c:v>
                </c:pt>
                <c:pt idx="2">
                  <c:v>12.484885826133842</c:v>
                </c:pt>
                <c:pt idx="3">
                  <c:v>12.054828549213855</c:v>
                </c:pt>
                <c:pt idx="4">
                  <c:v>11.320569014344034</c:v>
                </c:pt>
                <c:pt idx="5">
                  <c:v>10.447041493427335</c:v>
                </c:pt>
                <c:pt idx="6">
                  <c:v>9.4124859848353584</c:v>
                </c:pt>
                <c:pt idx="7">
                  <c:v>8.12407442886221</c:v>
                </c:pt>
                <c:pt idx="8">
                  <c:v>6.6470958819319073</c:v>
                </c:pt>
                <c:pt idx="9">
                  <c:v>5.0895245037582635</c:v>
                </c:pt>
                <c:pt idx="10">
                  <c:v>3.1816993387095391</c:v>
                </c:pt>
                <c:pt idx="11">
                  <c:v>0.82007732955849288</c:v>
                </c:pt>
                <c:pt idx="12">
                  <c:v>-1.5554526029645968</c:v>
                </c:pt>
                <c:pt idx="13">
                  <c:v>-4.5515948521004326</c:v>
                </c:pt>
                <c:pt idx="14">
                  <c:v>-7.8694159127469661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E2-4902-8B25-BB2B15D27621}"/>
            </c:ext>
          </c:extLst>
        </c:ser>
        <c:ser>
          <c:idx val="2"/>
          <c:order val="2"/>
          <c:tx>
            <c:v>h=0km, m. ciągu, zmienna masa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50.003599658606447</c:v>
                </c:pt>
                <c:pt idx="1">
                  <c:v>61.431913968705985</c:v>
                </c:pt>
                <c:pt idx="2">
                  <c:v>72.860228278805522</c:v>
                </c:pt>
                <c:pt idx="3">
                  <c:v>84.288542588905074</c:v>
                </c:pt>
                <c:pt idx="4">
                  <c:v>95.716856899004597</c:v>
                </c:pt>
                <c:pt idx="5">
                  <c:v>107.14517120910415</c:v>
                </c:pt>
                <c:pt idx="6">
                  <c:v>118.57348551920369</c:v>
                </c:pt>
                <c:pt idx="7">
                  <c:v>130.00179982930322</c:v>
                </c:pt>
                <c:pt idx="8">
                  <c:v>141.43011413940275</c:v>
                </c:pt>
                <c:pt idx="9">
                  <c:v>152.8584284495023</c:v>
                </c:pt>
                <c:pt idx="10">
                  <c:v>164.28674275960185</c:v>
                </c:pt>
                <c:pt idx="11">
                  <c:v>175.71505706970137</c:v>
                </c:pt>
                <c:pt idx="12">
                  <c:v>187.14337137980093</c:v>
                </c:pt>
                <c:pt idx="13">
                  <c:v>198.57168568990045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masa'!$N$4:$N$18</c:f>
              <c:numCache>
                <c:formatCode>0.00</c:formatCode>
                <c:ptCount val="15"/>
                <c:pt idx="0">
                  <c:v>8.475958446765679</c:v>
                </c:pt>
                <c:pt idx="1">
                  <c:v>9.8404246272464171</c:v>
                </c:pt>
                <c:pt idx="2">
                  <c:v>10.433763361660441</c:v>
                </c:pt>
                <c:pt idx="3">
                  <c:v>10.603235474683798</c:v>
                </c:pt>
                <c:pt idx="4">
                  <c:v>10.499870165516411</c:v>
                </c:pt>
                <c:pt idx="5">
                  <c:v>10.193733446645203</c:v>
                </c:pt>
                <c:pt idx="6">
                  <c:v>9.7167485112945258</c:v>
                </c:pt>
                <c:pt idx="7">
                  <c:v>9.0804259324614662</c:v>
                </c:pt>
                <c:pt idx="8">
                  <c:v>8.2837074207152543</c:v>
                </c:pt>
                <c:pt idx="9">
                  <c:v>7.3164116029566948</c:v>
                </c:pt>
                <c:pt idx="10">
                  <c:v>6.160440170009406</c:v>
                </c:pt>
                <c:pt idx="11">
                  <c:v>4.7895935020542142</c:v>
                </c:pt>
                <c:pt idx="12">
                  <c:v>3.1682434851268049</c:v>
                </c:pt>
                <c:pt idx="13">
                  <c:v>1.2487324768207024</c:v>
                </c:pt>
                <c:pt idx="14">
                  <c:v>-1.0330159437384936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E2-4902-8B25-BB2B15D27621}"/>
            </c:ext>
          </c:extLst>
        </c:ser>
        <c:ser>
          <c:idx val="3"/>
          <c:order val="3"/>
          <c:tx>
            <c:v>h=2km, m. mocy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'h=2km'!$J$25:$J$43</c:f>
              <c:numCache>
                <c:formatCode>0.0</c:formatCode>
                <c:ptCount val="19"/>
                <c:pt idx="0">
                  <c:v>50.676077307156149</c:v>
                </c:pt>
                <c:pt idx="1">
                  <c:v>51.583559526432204</c:v>
                </c:pt>
                <c:pt idx="2">
                  <c:v>52.642397477034805</c:v>
                </c:pt>
                <c:pt idx="3">
                  <c:v>54.994711776505412</c:v>
                </c:pt>
                <c:pt idx="4">
                  <c:v>57.402934230393036</c:v>
                </c:pt>
                <c:pt idx="5">
                  <c:v>60.158025431899048</c:v>
                </c:pt>
                <c:pt idx="6">
                  <c:v>67.115818986986241</c:v>
                </c:pt>
                <c:pt idx="7">
                  <c:v>76.845872694860617</c:v>
                </c:pt>
                <c:pt idx="8">
                  <c:v>85.723600970367059</c:v>
                </c:pt>
                <c:pt idx="9">
                  <c:v>96.43291375426584</c:v>
                </c:pt>
                <c:pt idx="10">
                  <c:v>121.10821371837065</c:v>
                </c:pt>
                <c:pt idx="11">
                  <c:v>134.31550654696235</c:v>
                </c:pt>
                <c:pt idx="12">
                  <c:v>154.57977772254398</c:v>
                </c:pt>
                <c:pt idx="13">
                  <c:v>173.40057333126614</c:v>
                </c:pt>
                <c:pt idx="14">
                  <c:v>195.91930220508064</c:v>
                </c:pt>
                <c:pt idx="15">
                  <c:v>213.71135922237772</c:v>
                </c:pt>
                <c:pt idx="16">
                  <c:v>237.438513744658</c:v>
                </c:pt>
                <c:pt idx="17">
                  <c:v>260.91750520883818</c:v>
                </c:pt>
                <c:pt idx="18">
                  <c:v>283.16195051177249</c:v>
                </c:pt>
              </c:numCache>
            </c:numRef>
          </c:xVal>
          <c:yVal>
            <c:numRef>
              <c:f>'h=2km'!$P$25:$P$43</c:f>
              <c:numCache>
                <c:formatCode>0.00</c:formatCode>
                <c:ptCount val="19"/>
                <c:pt idx="0">
                  <c:v>8.0455637102699935</c:v>
                </c:pt>
                <c:pt idx="1">
                  <c:v>8.1697230478918037</c:v>
                </c:pt>
                <c:pt idx="2">
                  <c:v>8.3299995123073014</c:v>
                </c:pt>
                <c:pt idx="3">
                  <c:v>8.6134814192828628</c:v>
                </c:pt>
                <c:pt idx="4">
                  <c:v>8.8622322855909577</c:v>
                </c:pt>
                <c:pt idx="5">
                  <c:v>9.0639358298498749</c:v>
                </c:pt>
                <c:pt idx="6">
                  <c:v>9.3986500491109783</c:v>
                </c:pt>
                <c:pt idx="7">
                  <c:v>9.5672092552942356</c:v>
                </c:pt>
                <c:pt idx="8">
                  <c:v>9.5516076920564839</c:v>
                </c:pt>
                <c:pt idx="9">
                  <c:v>9.3895174901937484</c:v>
                </c:pt>
                <c:pt idx="10">
                  <c:v>8.4196026591168174</c:v>
                </c:pt>
                <c:pt idx="11">
                  <c:v>7.6043498531875633</c:v>
                </c:pt>
                <c:pt idx="12">
                  <c:v>6.1110504453636878</c:v>
                </c:pt>
                <c:pt idx="13">
                  <c:v>4.1728425651410506</c:v>
                </c:pt>
                <c:pt idx="14">
                  <c:v>1.5375063769229413</c:v>
                </c:pt>
                <c:pt idx="15">
                  <c:v>-1.1565926195738492</c:v>
                </c:pt>
                <c:pt idx="16">
                  <c:v>-5.686456256846494</c:v>
                </c:pt>
                <c:pt idx="17">
                  <c:v>-12.249194422557752</c:v>
                </c:pt>
                <c:pt idx="18">
                  <c:v>-23.161530218468361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E2-4902-8B25-BB2B15D27621}"/>
            </c:ext>
          </c:extLst>
        </c:ser>
        <c:ser>
          <c:idx val="4"/>
          <c:order val="4"/>
          <c:tx>
            <c:v>h=2km, m. ciągu, m=const.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'h=2km'!$G$3:$G$17</c:f>
              <c:numCache>
                <c:formatCode>0.0</c:formatCode>
                <c:ptCount val="15"/>
                <c:pt idx="0">
                  <c:v>50.676077307156149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'h=2km'!$K$3:$K$17</c:f>
              <c:numCache>
                <c:formatCode>0.00</c:formatCode>
                <c:ptCount val="15"/>
                <c:pt idx="0">
                  <c:v>8.4785894798649384</c:v>
                </c:pt>
                <c:pt idx="1">
                  <c:v>9.5688619351921904</c:v>
                </c:pt>
                <c:pt idx="2">
                  <c:v>9.8775863372976502</c:v>
                </c:pt>
                <c:pt idx="3">
                  <c:v>9.7101638418609646</c:v>
                </c:pt>
                <c:pt idx="4">
                  <c:v>9.2363886368049872</c:v>
                </c:pt>
                <c:pt idx="5">
                  <c:v>8.600947790051185</c:v>
                </c:pt>
                <c:pt idx="6">
                  <c:v>7.8100490340690687</c:v>
                </c:pt>
                <c:pt idx="7">
                  <c:v>6.7969124125720555</c:v>
                </c:pt>
                <c:pt idx="8">
                  <c:v>5.6138786465575343</c:v>
                </c:pt>
                <c:pt idx="9">
                  <c:v>4.3501277043174396</c:v>
                </c:pt>
                <c:pt idx="10">
                  <c:v>2.7856377262148779</c:v>
                </c:pt>
                <c:pt idx="11">
                  <c:v>0.8285633250032155</c:v>
                </c:pt>
                <c:pt idx="12">
                  <c:v>-1.1601236737056397</c:v>
                </c:pt>
                <c:pt idx="13">
                  <c:v>-3.6951687282374004</c:v>
                </c:pt>
                <c:pt idx="14">
                  <c:v>-6.5363174489245219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FE2-4902-8B25-BB2B15D27621}"/>
            </c:ext>
          </c:extLst>
        </c:ser>
        <c:ser>
          <c:idx val="5"/>
          <c:order val="5"/>
          <c:tx>
            <c:v>h=2km, m. ciągu, zmienna masa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masa'!$J$22:$J$36</c:f>
              <c:numCache>
                <c:formatCode>0.0</c:formatCode>
                <c:ptCount val="15"/>
                <c:pt idx="0">
                  <c:v>54.991165562477157</c:v>
                </c:pt>
                <c:pt idx="1">
                  <c:v>66.063225165157363</c:v>
                </c:pt>
                <c:pt idx="2">
                  <c:v>77.135284767837561</c:v>
                </c:pt>
                <c:pt idx="3">
                  <c:v>88.207344370517774</c:v>
                </c:pt>
                <c:pt idx="4">
                  <c:v>99.279403973197958</c:v>
                </c:pt>
                <c:pt idx="5">
                  <c:v>110.35146357587817</c:v>
                </c:pt>
                <c:pt idx="6">
                  <c:v>121.42352317855838</c:v>
                </c:pt>
                <c:pt idx="7">
                  <c:v>132.49558278123857</c:v>
                </c:pt>
                <c:pt idx="8">
                  <c:v>143.56764238391878</c:v>
                </c:pt>
                <c:pt idx="9">
                  <c:v>154.63970198659896</c:v>
                </c:pt>
                <c:pt idx="10">
                  <c:v>165.71176158927918</c:v>
                </c:pt>
                <c:pt idx="11">
                  <c:v>176.78382119195939</c:v>
                </c:pt>
                <c:pt idx="12">
                  <c:v>187.8558807946396</c:v>
                </c:pt>
                <c:pt idx="13">
                  <c:v>198.92794039731979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masa'!$N$22:$N$36</c:f>
              <c:numCache>
                <c:formatCode>0.00</c:formatCode>
                <c:ptCount val="15"/>
                <c:pt idx="0">
                  <c:v>6.224459527382038</c:v>
                </c:pt>
                <c:pt idx="1">
                  <c:v>7.5043407650154839</c:v>
                </c:pt>
                <c:pt idx="2">
                  <c:v>8.1313792559775706</c:v>
                </c:pt>
                <c:pt idx="3">
                  <c:v>8.3810080826249251</c:v>
                </c:pt>
                <c:pt idx="4">
                  <c:v>8.3825958500569602</c:v>
                </c:pt>
                <c:pt idx="5">
                  <c:v>8.2002054525738757</c:v>
                </c:pt>
                <c:pt idx="6">
                  <c:v>7.8652795316857631</c:v>
                </c:pt>
                <c:pt idx="7">
                  <c:v>7.3910822519492712</c:v>
                </c:pt>
                <c:pt idx="8">
                  <c:v>6.7794357537980741</c:v>
                </c:pt>
                <c:pt idx="9">
                  <c:v>6.0238366726531352</c:v>
                </c:pt>
                <c:pt idx="10">
                  <c:v>5.1106551621007066</c:v>
                </c:pt>
                <c:pt idx="11">
                  <c:v>4.0191204416315243</c:v>
                </c:pt>
                <c:pt idx="12">
                  <c:v>2.7203153879479718</c:v>
                </c:pt>
                <c:pt idx="13">
                  <c:v>1.1750941226728557</c:v>
                </c:pt>
                <c:pt idx="14">
                  <c:v>-0.66947190841436266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FE2-4902-8B25-BB2B15D27621}"/>
            </c:ext>
          </c:extLst>
        </c:ser>
        <c:ser>
          <c:idx val="6"/>
          <c:order val="6"/>
          <c:tx>
            <c:v>h=4km, m. mocy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'h=4km'!$J$25:$J$43</c:f>
              <c:numCache>
                <c:formatCode>0.0</c:formatCode>
                <c:ptCount val="19"/>
                <c:pt idx="0">
                  <c:v>56.177984453296382</c:v>
                </c:pt>
                <c:pt idx="1">
                  <c:v>57.183992114408973</c:v>
                </c:pt>
                <c:pt idx="2">
                  <c:v>58.357788214824851</c:v>
                </c:pt>
                <c:pt idx="3">
                  <c:v>60.965493529976882</c:v>
                </c:pt>
                <c:pt idx="4">
                  <c:v>63.635176953864821</c:v>
                </c:pt>
                <c:pt idx="5">
                  <c:v>66.689388702487321</c:v>
                </c:pt>
                <c:pt idx="6">
                  <c:v>74.402590649784401</c:v>
                </c:pt>
                <c:pt idx="7">
                  <c:v>85.189037331866416</c:v>
                </c:pt>
                <c:pt idx="8">
                  <c:v>95.030621518011813</c:v>
                </c:pt>
                <c:pt idx="9">
                  <c:v>106.90264553898702</c:v>
                </c:pt>
                <c:pt idx="10">
                  <c:v>134.25694546559467</c:v>
                </c:pt>
                <c:pt idx="11">
                  <c:v>148.89815549251958</c:v>
                </c:pt>
                <c:pt idx="12">
                  <c:v>171.36252076213466</c:v>
                </c:pt>
                <c:pt idx="13">
                  <c:v>192.22669216784359</c:v>
                </c:pt>
                <c:pt idx="14">
                  <c:v>217.1902818496855</c:v>
                </c:pt>
                <c:pt idx="15">
                  <c:v>236.91402440480891</c:v>
                </c:pt>
                <c:pt idx="16">
                  <c:v>263.21723863732393</c:v>
                </c:pt>
                <c:pt idx="17">
                  <c:v>289.24534672191584</c:v>
                </c:pt>
              </c:numCache>
            </c:numRef>
          </c:xVal>
          <c:yVal>
            <c:numRef>
              <c:f>'h=4km'!$P$25:$P$43</c:f>
              <c:numCache>
                <c:formatCode>0.00</c:formatCode>
                <c:ptCount val="19"/>
                <c:pt idx="0">
                  <c:v>5.6913016351416461</c:v>
                </c:pt>
                <c:pt idx="1">
                  <c:v>5.816506454939856</c:v>
                </c:pt>
                <c:pt idx="2">
                  <c:v>5.9780111646326359</c:v>
                </c:pt>
                <c:pt idx="3">
                  <c:v>6.2644438773723081</c:v>
                </c:pt>
                <c:pt idx="4">
                  <c:v>6.5164381501781783</c:v>
                </c:pt>
                <c:pt idx="5">
                  <c:v>6.7221356659478859</c:v>
                </c:pt>
                <c:pt idx="6">
                  <c:v>7.0678249776784643</c:v>
                </c:pt>
                <c:pt idx="7">
                  <c:v>7.2529835066497865</c:v>
                </c:pt>
                <c:pt idx="8">
                  <c:v>7.2528482968648023</c:v>
                </c:pt>
                <c:pt idx="9">
                  <c:v>7.1085730726241518</c:v>
                </c:pt>
                <c:pt idx="10">
                  <c:v>6.1638586239557167</c:v>
                </c:pt>
                <c:pt idx="11">
                  <c:v>5.3425991540245938</c:v>
                </c:pt>
                <c:pt idx="12">
                  <c:v>3.7929457162690192</c:v>
                </c:pt>
                <c:pt idx="13">
                  <c:v>1.6998495985475501</c:v>
                </c:pt>
                <c:pt idx="14">
                  <c:v>-1.3390320645964935</c:v>
                </c:pt>
                <c:pt idx="15">
                  <c:v>-4.7068408168170057</c:v>
                </c:pt>
                <c:pt idx="16">
                  <c:v>-11.263247096025809</c:v>
                </c:pt>
                <c:pt idx="17">
                  <c:v>-24.157178314624641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FE2-4902-8B25-BB2B15D27621}"/>
            </c:ext>
          </c:extLst>
        </c:ser>
        <c:ser>
          <c:idx val="7"/>
          <c:order val="7"/>
          <c:tx>
            <c:v>h=4km, m. ciągu, m=const.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'h=4km'!$G$3:$G$17</c:f>
              <c:numCache>
                <c:formatCode>0.0</c:formatCode>
                <c:ptCount val="15"/>
                <c:pt idx="0">
                  <c:v>56.177984453296389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'h=4km'!$K$3:$K$17</c:f>
              <c:numCache>
                <c:formatCode>0.00</c:formatCode>
                <c:ptCount val="15"/>
                <c:pt idx="0">
                  <c:v>6.0389377887026239</c:v>
                </c:pt>
                <c:pt idx="1">
                  <c:v>6.7470711480427781</c:v>
                </c:pt>
                <c:pt idx="2">
                  <c:v>7.4263027908475916</c:v>
                </c:pt>
                <c:pt idx="3">
                  <c:v>7.5251818668755179</c:v>
                </c:pt>
                <c:pt idx="4">
                  <c:v>7.3024799340977644</c:v>
                </c:pt>
                <c:pt idx="5">
                  <c:v>6.8881376795145348</c:v>
                </c:pt>
                <c:pt idx="6">
                  <c:v>6.3180724095682432</c:v>
                </c:pt>
                <c:pt idx="7">
                  <c:v>5.5503883734912502</c:v>
                </c:pt>
                <c:pt idx="8">
                  <c:v>4.626769859315818</c:v>
                </c:pt>
                <c:pt idx="9">
                  <c:v>3.6208589952558032</c:v>
                </c:pt>
                <c:pt idx="10">
                  <c:v>2.356747806294432</c:v>
                </c:pt>
                <c:pt idx="11">
                  <c:v>0.75297086629585519</c:v>
                </c:pt>
                <c:pt idx="12">
                  <c:v>-0.89843760289654606</c:v>
                </c:pt>
                <c:pt idx="13">
                  <c:v>-3.0328060998187776</c:v>
                </c:pt>
                <c:pt idx="14">
                  <c:v>-5.4630550545160217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FE2-4902-8B25-BB2B15D27621}"/>
            </c:ext>
          </c:extLst>
        </c:ser>
        <c:ser>
          <c:idx val="8"/>
          <c:order val="8"/>
          <c:tx>
            <c:v>h=4km, m. ciągu, zmienna masa</c:v>
          </c:tx>
          <c:spPr>
            <a:ln w="19050" cap="rnd">
              <a:solidFill>
                <a:schemeClr val="accent3">
                  <a:alpha val="9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masa'!$J$40:$J$54</c:f>
              <c:numCache>
                <c:formatCode>0.0</c:formatCode>
                <c:ptCount val="15"/>
                <c:pt idx="0">
                  <c:v>60.760126838427631</c:v>
                </c:pt>
                <c:pt idx="1">
                  <c:v>71.420117778539947</c:v>
                </c:pt>
                <c:pt idx="2">
                  <c:v>82.080108718652255</c:v>
                </c:pt>
                <c:pt idx="3">
                  <c:v>92.740099658764564</c:v>
                </c:pt>
                <c:pt idx="4">
                  <c:v>103.40009059887689</c:v>
                </c:pt>
                <c:pt idx="5">
                  <c:v>114.06008153898918</c:v>
                </c:pt>
                <c:pt idx="6">
                  <c:v>124.7200724791015</c:v>
                </c:pt>
                <c:pt idx="7">
                  <c:v>135.38006341921383</c:v>
                </c:pt>
                <c:pt idx="8">
                  <c:v>146.04005435932612</c:v>
                </c:pt>
                <c:pt idx="9">
                  <c:v>156.70004529943844</c:v>
                </c:pt>
                <c:pt idx="10">
                  <c:v>167.36003623955074</c:v>
                </c:pt>
                <c:pt idx="11">
                  <c:v>178.02002717966306</c:v>
                </c:pt>
                <c:pt idx="12">
                  <c:v>188.68001811977538</c:v>
                </c:pt>
                <c:pt idx="13">
                  <c:v>199.34000905988768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masa'!$N$40:$N$54</c:f>
              <c:numCache>
                <c:formatCode>0.00</c:formatCode>
                <c:ptCount val="15"/>
                <c:pt idx="0">
                  <c:v>4.2434963440040381</c:v>
                </c:pt>
                <c:pt idx="1">
                  <c:v>5.4266228435058625</c:v>
                </c:pt>
                <c:pt idx="2">
                  <c:v>6.0696448966466887</c:v>
                </c:pt>
                <c:pt idx="3">
                  <c:v>6.3833476760068892</c:v>
                </c:pt>
                <c:pt idx="4">
                  <c:v>6.4746226298345091</c:v>
                </c:pt>
                <c:pt idx="5">
                  <c:v>6.3999637867512993</c:v>
                </c:pt>
                <c:pt idx="6">
                  <c:v>6.1890813449344293</c:v>
                </c:pt>
                <c:pt idx="7">
                  <c:v>5.8560714865164201</c:v>
                </c:pt>
                <c:pt idx="8">
                  <c:v>5.4049179659851205</c:v>
                </c:pt>
                <c:pt idx="9">
                  <c:v>4.8321708863969972</c:v>
                </c:pt>
                <c:pt idx="10">
                  <c:v>4.1280554972928325</c:v>
                </c:pt>
                <c:pt idx="11">
                  <c:v>3.2765549644279632</c:v>
                </c:pt>
                <c:pt idx="12">
                  <c:v>2.2546458739388497</c:v>
                </c:pt>
                <c:pt idx="13">
                  <c:v>1.0306194645703617</c:v>
                </c:pt>
                <c:pt idx="14">
                  <c:v>-0.43882912543667807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FE2-4902-8B25-BB2B15D27621}"/>
            </c:ext>
          </c:extLst>
        </c:ser>
        <c:ser>
          <c:idx val="9"/>
          <c:order val="9"/>
          <c:tx>
            <c:v>h=6km, m. mocy</c:v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'h=6km'!$J$25:$J$42</c:f>
              <c:numCache>
                <c:formatCode>0.0</c:formatCode>
                <c:ptCount val="18"/>
                <c:pt idx="0">
                  <c:v>62.604896336843368</c:v>
                </c:pt>
                <c:pt idx="1">
                  <c:v>63.725993968788195</c:v>
                </c:pt>
                <c:pt idx="2">
                  <c:v>65.034075486882159</c:v>
                </c:pt>
                <c:pt idx="3">
                  <c:v>67.940109274332301</c:v>
                </c:pt>
                <c:pt idx="4">
                  <c:v>70.915211632154367</c:v>
                </c:pt>
                <c:pt idx="5">
                  <c:v>74.318833384946899</c:v>
                </c:pt>
                <c:pt idx="6">
                  <c:v>82.914446293365131</c:v>
                </c:pt>
                <c:pt idx="7">
                  <c:v>94.934891365331538</c:v>
                </c:pt>
                <c:pt idx="8">
                  <c:v>105.90237914119098</c:v>
                </c:pt>
                <c:pt idx="9">
                  <c:v>119.13259450713322</c:v>
                </c:pt>
                <c:pt idx="10">
                  <c:v>149.61629960865557</c:v>
                </c:pt>
                <c:pt idx="11">
                  <c:v>165.93250327636838</c:v>
                </c:pt>
                <c:pt idx="12">
                  <c:v>190.96685209937448</c:v>
                </c:pt>
                <c:pt idx="13">
                  <c:v>214.21794059462744</c:v>
                </c:pt>
                <c:pt idx="14">
                  <c:v>242.03743179631834</c:v>
                </c:pt>
                <c:pt idx="15">
                  <c:v>264.01762332605608</c:v>
                </c:pt>
                <c:pt idx="16">
                  <c:v>293.3299957149477</c:v>
                </c:pt>
              </c:numCache>
            </c:numRef>
          </c:xVal>
          <c:yVal>
            <c:numRef>
              <c:f>'h=6km'!$P$25:$P$42</c:f>
              <c:numCache>
                <c:formatCode>0.00</c:formatCode>
                <c:ptCount val="18"/>
                <c:pt idx="0">
                  <c:v>3.6350851673154096</c:v>
                </c:pt>
                <c:pt idx="1">
                  <c:v>3.7615753851866494</c:v>
                </c:pt>
                <c:pt idx="2">
                  <c:v>3.9246544443581488</c:v>
                </c:pt>
                <c:pt idx="3">
                  <c:v>4.2146050019616945</c:v>
                </c:pt>
                <c:pt idx="4">
                  <c:v>4.4703332307158083</c:v>
                </c:pt>
                <c:pt idx="5">
                  <c:v>4.6803279831873565</c:v>
                </c:pt>
                <c:pt idx="6">
                  <c:v>5.037201716319454</c:v>
                </c:pt>
                <c:pt idx="7">
                  <c:v>5.2379622947742837</c:v>
                </c:pt>
                <c:pt idx="8">
                  <c:v>5.2511900455656182</c:v>
                </c:pt>
                <c:pt idx="9">
                  <c:v>5.1203338463154662</c:v>
                </c:pt>
                <c:pt idx="10">
                  <c:v>4.1755846728613166</c:v>
                </c:pt>
                <c:pt idx="11">
                  <c:v>3.3186471755359008</c:v>
                </c:pt>
                <c:pt idx="12">
                  <c:v>1.6237568159762494</c:v>
                </c:pt>
                <c:pt idx="13">
                  <c:v>-0.81635152922418741</c:v>
                </c:pt>
                <c:pt idx="14">
                  <c:v>-4.8295685089539635</c:v>
                </c:pt>
                <c:pt idx="15">
                  <c:v>-10.144100832969864</c:v>
                </c:pt>
                <c:pt idx="16">
                  <c:v>-26.619317856287108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FE2-4902-8B25-BB2B15D27621}"/>
            </c:ext>
          </c:extLst>
        </c:ser>
        <c:ser>
          <c:idx val="10"/>
          <c:order val="10"/>
          <c:tx>
            <c:v>h=6km, m. ciągu, m=const.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'h=6km'!$G$3:$G$17</c:f>
              <c:numCache>
                <c:formatCode>0.0</c:formatCode>
                <c:ptCount val="15"/>
                <c:pt idx="0">
                  <c:v>62.604896336843368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'h=6km'!$K$3:$K$17</c:f>
              <c:numCache>
                <c:formatCode>0.00</c:formatCode>
                <c:ptCount val="15"/>
                <c:pt idx="0">
                  <c:v>3.9229721302894571</c:v>
                </c:pt>
                <c:pt idx="1">
                  <c:v>3.9698775424966462</c:v>
                </c:pt>
                <c:pt idx="2">
                  <c:v>5.0663451241902635</c:v>
                </c:pt>
                <c:pt idx="3">
                  <c:v>5.448262679376394</c:v>
                </c:pt>
                <c:pt idx="4">
                  <c:v>5.4779211918835875</c:v>
                </c:pt>
                <c:pt idx="5">
                  <c:v>5.275756420008701</c:v>
                </c:pt>
                <c:pt idx="6">
                  <c:v>4.9106480749629426</c:v>
                </c:pt>
                <c:pt idx="7">
                  <c:v>4.3652468430786131</c:v>
                </c:pt>
                <c:pt idx="8">
                  <c:v>3.6725856233559653</c:v>
                </c:pt>
                <c:pt idx="9">
                  <c:v>2.8938131841183794</c:v>
                </c:pt>
                <c:pt idx="10">
                  <c:v>1.8925620698361791</c:v>
                </c:pt>
                <c:pt idx="11">
                  <c:v>0.59654819574171225</c:v>
                </c:pt>
                <c:pt idx="12">
                  <c:v>-0.76211018857115975</c:v>
                </c:pt>
                <c:pt idx="13">
                  <c:v>-2.5504638436246041</c:v>
                </c:pt>
                <c:pt idx="14">
                  <c:v>-4.6297028673702378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FE2-4902-8B25-BB2B15D27621}"/>
            </c:ext>
          </c:extLst>
        </c:ser>
        <c:ser>
          <c:idx val="11"/>
          <c:order val="11"/>
          <c:tx>
            <c:v>h=6km, m. ciągu, zmienna masa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masa'!$J$58:$J$72</c:f>
              <c:numCache>
                <c:formatCode>0.0</c:formatCode>
                <c:ptCount val="15"/>
                <c:pt idx="0">
                  <c:v>67.478052266794421</c:v>
                </c:pt>
                <c:pt idx="1">
                  <c:v>77.658191390594823</c:v>
                </c:pt>
                <c:pt idx="2">
                  <c:v>87.838330514395224</c:v>
                </c:pt>
                <c:pt idx="3">
                  <c:v>98.018469638195626</c:v>
                </c:pt>
                <c:pt idx="4">
                  <c:v>108.19860876199601</c:v>
                </c:pt>
                <c:pt idx="5">
                  <c:v>118.37874788579643</c:v>
                </c:pt>
                <c:pt idx="6">
                  <c:v>128.55888700959682</c:v>
                </c:pt>
                <c:pt idx="7">
                  <c:v>138.7390261333972</c:v>
                </c:pt>
                <c:pt idx="8">
                  <c:v>148.91916525719762</c:v>
                </c:pt>
                <c:pt idx="9">
                  <c:v>159.09930438099803</c:v>
                </c:pt>
                <c:pt idx="10">
                  <c:v>169.27944350479842</c:v>
                </c:pt>
                <c:pt idx="11">
                  <c:v>179.45958262859881</c:v>
                </c:pt>
                <c:pt idx="12">
                  <c:v>189.63972175239923</c:v>
                </c:pt>
                <c:pt idx="13">
                  <c:v>199.81986087619964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masa'!$N$58:$N$72</c:f>
              <c:numCache>
                <c:formatCode>0.00</c:formatCode>
                <c:ptCount val="15"/>
                <c:pt idx="0">
                  <c:v>2.5061431139000225</c:v>
                </c:pt>
                <c:pt idx="1">
                  <c:v>3.5826795641441556</c:v>
                </c:pt>
                <c:pt idx="2">
                  <c:v>4.2242834047092623</c:v>
                </c:pt>
                <c:pt idx="3">
                  <c:v>4.5855617829776198</c:v>
                </c:pt>
                <c:pt idx="4">
                  <c:v>4.7511384230513158</c:v>
                </c:pt>
                <c:pt idx="5">
                  <c:v>4.7687405478940246</c:v>
                </c:pt>
                <c:pt idx="6">
                  <c:v>4.6651710126385071</c:v>
                </c:pt>
                <c:pt idx="7">
                  <c:v>4.4544041454189971</c:v>
                </c:pt>
                <c:pt idx="8">
                  <c:v>4.1418101843304438</c:v>
                </c:pt>
                <c:pt idx="9">
                  <c:v>3.7263167370956767</c:v>
                </c:pt>
                <c:pt idx="10">
                  <c:v>3.201356362602207</c:v>
                </c:pt>
                <c:pt idx="11">
                  <c:v>2.5549841920189889</c:v>
                </c:pt>
                <c:pt idx="12">
                  <c:v>1.769290429103501</c:v>
                </c:pt>
                <c:pt idx="13">
                  <c:v>0.81904428701554555</c:v>
                </c:pt>
                <c:pt idx="14">
                  <c:v>-0.33069690101894095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FE2-4902-8B25-BB2B15D27621}"/>
            </c:ext>
          </c:extLst>
        </c:ser>
        <c:ser>
          <c:idx val="12"/>
          <c:order val="12"/>
          <c:tx>
            <c:v>h=8km, m. mocy</c:v>
          </c:tx>
          <c:spPr>
            <a:ln w="1905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'h=8km'!$J$25:$J$41</c:f>
              <c:numCache>
                <c:formatCode>0.0</c:formatCode>
                <c:ptCount val="17"/>
                <c:pt idx="0">
                  <c:v>70.173638246544257</c:v>
                </c:pt>
                <c:pt idx="1">
                  <c:v>71.430273178736542</c:v>
                </c:pt>
                <c:pt idx="2">
                  <c:v>72.896497781263278</c:v>
                </c:pt>
                <c:pt idx="3">
                  <c:v>76.153862231410116</c:v>
                </c:pt>
                <c:pt idx="4">
                  <c:v>79.488645432406841</c:v>
                </c:pt>
                <c:pt idx="5">
                  <c:v>83.303754722316654</c:v>
                </c:pt>
                <c:pt idx="6">
                  <c:v>92.93855113659788</c:v>
                </c:pt>
                <c:pt idx="7">
                  <c:v>106.41223152581387</c:v>
                </c:pt>
                <c:pt idx="8">
                  <c:v>118.7056552784162</c:v>
                </c:pt>
                <c:pt idx="9">
                  <c:v>133.53536351750049</c:v>
                </c:pt>
                <c:pt idx="10">
                  <c:v>167.70445602264468</c:v>
                </c:pt>
                <c:pt idx="11">
                  <c:v>185.99323918066736</c:v>
                </c:pt>
                <c:pt idx="12">
                  <c:v>214.05416477650726</c:v>
                </c:pt>
                <c:pt idx="13">
                  <c:v>240.11623928463251</c:v>
                </c:pt>
                <c:pt idx="14">
                  <c:v>271.29902251753913</c:v>
                </c:pt>
                <c:pt idx="15">
                  <c:v>295.93655247523742</c:v>
                </c:pt>
              </c:numCache>
            </c:numRef>
          </c:xVal>
          <c:yVal>
            <c:numRef>
              <c:f>'h=8km'!$P$25:$P$41</c:f>
              <c:numCache>
                <c:formatCode>0.00</c:formatCode>
                <c:ptCount val="17"/>
                <c:pt idx="0">
                  <c:v>1.8452930892130239</c:v>
                </c:pt>
                <c:pt idx="1">
                  <c:v>1.9731975413779475</c:v>
                </c:pt>
                <c:pt idx="2">
                  <c:v>2.1380731764968637</c:v>
                </c:pt>
                <c:pt idx="3">
                  <c:v>2.4318422160018272</c:v>
                </c:pt>
                <c:pt idx="4">
                  <c:v>2.6915344693107142</c:v>
                </c:pt>
                <c:pt idx="5">
                  <c:v>2.9058267970291429</c:v>
                </c:pt>
                <c:pt idx="6">
                  <c:v>3.2732775628046724</c:v>
                </c:pt>
                <c:pt idx="7">
                  <c:v>3.4871506543767694</c:v>
                </c:pt>
                <c:pt idx="8">
                  <c:v>3.5096407412582957</c:v>
                </c:pt>
                <c:pt idx="9">
                  <c:v>3.384017015328733</c:v>
                </c:pt>
                <c:pt idx="10">
                  <c:v>2.3912483850601447</c:v>
                </c:pt>
                <c:pt idx="11">
                  <c:v>1.43776844132926</c:v>
                </c:pt>
                <c:pt idx="12">
                  <c:v>-0.61009508681326929</c:v>
                </c:pt>
                <c:pt idx="13">
                  <c:v>-3.9461255430266902</c:v>
                </c:pt>
                <c:pt idx="14">
                  <c:v>-11.42642537321491</c:v>
                </c:pt>
                <c:pt idx="15">
                  <c:v>-33.194875607111129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FE2-4902-8B25-BB2B15D27621}"/>
            </c:ext>
          </c:extLst>
        </c:ser>
        <c:ser>
          <c:idx val="13"/>
          <c:order val="13"/>
          <c:tx>
            <c:v>h=8km, m. ciągu, m=const.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'h=8km'!$G$3:$G$17</c:f>
              <c:numCache>
                <c:formatCode>0.0</c:formatCode>
                <c:ptCount val="15"/>
                <c:pt idx="0">
                  <c:v>70.173638246544257</c:v>
                </c:pt>
                <c:pt idx="1">
                  <c:v>75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'h=8km'!$K$3:$K$17</c:f>
              <c:numCache>
                <c:formatCode>0.00</c:formatCode>
                <c:ptCount val="15"/>
                <c:pt idx="0">
                  <c:v>2.0926149391012951</c:v>
                </c:pt>
                <c:pt idx="1">
                  <c:v>2.5591155570401405</c:v>
                </c:pt>
                <c:pt idx="2">
                  <c:v>2.7196675400873969</c:v>
                </c:pt>
                <c:pt idx="3">
                  <c:v>3.4174089545356527</c:v>
                </c:pt>
                <c:pt idx="4">
                  <c:v>3.7134423266052194</c:v>
                </c:pt>
                <c:pt idx="5">
                  <c:v>3.7237677495238017</c:v>
                </c:pt>
                <c:pt idx="6">
                  <c:v>3.5554132543168082</c:v>
                </c:pt>
                <c:pt idx="7">
                  <c:v>3.216259692177827</c:v>
                </c:pt>
                <c:pt idx="8">
                  <c:v>2.7324496331513797</c:v>
                </c:pt>
                <c:pt idx="9">
                  <c:v>2.1555351022022537</c:v>
                </c:pt>
                <c:pt idx="10">
                  <c:v>1.3851092600821724</c:v>
                </c:pt>
                <c:pt idx="11">
                  <c:v>0.35693009288684702</c:v>
                </c:pt>
                <c:pt idx="12">
                  <c:v>-0.74880417415754663</c:v>
                </c:pt>
                <c:pt idx="13">
                  <c:v>-2.2409133309261127</c:v>
                </c:pt>
                <c:pt idx="14">
                  <c:v>-4.0250917146720946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FE2-4902-8B25-BB2B15D27621}"/>
            </c:ext>
          </c:extLst>
        </c:ser>
        <c:ser>
          <c:idx val="14"/>
          <c:order val="14"/>
          <c:tx>
            <c:v>h=8km, m. ciągu, zmienna masa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masa'!$J$76:$J$90</c:f>
              <c:numCache>
                <c:formatCode>0.0</c:formatCode>
                <c:ptCount val="15"/>
                <c:pt idx="0">
                  <c:v>75.356120124418212</c:v>
                </c:pt>
                <c:pt idx="1">
                  <c:v>84.973540115531193</c:v>
                </c:pt>
                <c:pt idx="2">
                  <c:v>94.590960106644175</c:v>
                </c:pt>
                <c:pt idx="3">
                  <c:v>104.20838009775716</c:v>
                </c:pt>
                <c:pt idx="4">
                  <c:v>113.82580008887015</c:v>
                </c:pt>
                <c:pt idx="5">
                  <c:v>123.44322007998312</c:v>
                </c:pt>
                <c:pt idx="6">
                  <c:v>133.06064007109612</c:v>
                </c:pt>
                <c:pt idx="7">
                  <c:v>142.67806006220911</c:v>
                </c:pt>
                <c:pt idx="8">
                  <c:v>152.29548005332208</c:v>
                </c:pt>
                <c:pt idx="9">
                  <c:v>161.91290004443505</c:v>
                </c:pt>
                <c:pt idx="10">
                  <c:v>171.53032003554804</c:v>
                </c:pt>
                <c:pt idx="11">
                  <c:v>181.14774002666104</c:v>
                </c:pt>
                <c:pt idx="12">
                  <c:v>190.76516001777401</c:v>
                </c:pt>
                <c:pt idx="13">
                  <c:v>200.382580008887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masa'!$N$76:$N$90</c:f>
              <c:numCache>
                <c:formatCode>0.00</c:formatCode>
                <c:ptCount val="15"/>
                <c:pt idx="0">
                  <c:v>0.98742175619971462</c:v>
                </c:pt>
                <c:pt idx="1">
                  <c:v>1.9494770071794729</c:v>
                </c:pt>
                <c:pt idx="2">
                  <c:v>2.5724490113481218</c:v>
                </c:pt>
                <c:pt idx="3">
                  <c:v>2.9640327725234963</c:v>
                </c:pt>
                <c:pt idx="4">
                  <c:v>3.1877922457605918</c:v>
                </c:pt>
                <c:pt idx="5">
                  <c:v>3.2819909566188792</c:v>
                </c:pt>
                <c:pt idx="6">
                  <c:v>3.269515369251943</c:v>
                </c:pt>
                <c:pt idx="7">
                  <c:v>3.1632886855669682</c:v>
                </c:pt>
                <c:pt idx="8">
                  <c:v>2.9692651726830106</c:v>
                </c:pt>
                <c:pt idx="9">
                  <c:v>2.6880371630044855</c:v>
                </c:pt>
                <c:pt idx="10">
                  <c:v>2.3155692556839607</c:v>
                </c:pt>
                <c:pt idx="11">
                  <c:v>1.8432990886612715</c:v>
                </c:pt>
                <c:pt idx="12">
                  <c:v>1.257674701872199</c:v>
                </c:pt>
                <c:pt idx="13">
                  <c:v>0.53906108933928476</c:v>
                </c:pt>
                <c:pt idx="14">
                  <c:v>-0.34021220890001153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FE2-4902-8B25-BB2B15D27621}"/>
            </c:ext>
          </c:extLst>
        </c:ser>
        <c:ser>
          <c:idx val="15"/>
          <c:order val="15"/>
          <c:tx>
            <c:v>h=10km, m. mocy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'h=10km'!$J$25:$J$39</c:f>
              <c:numCache>
                <c:formatCode>0.0</c:formatCode>
                <c:ptCount val="15"/>
                <c:pt idx="0">
                  <c:v>79.167950910162872</c:v>
                </c:pt>
                <c:pt idx="1">
                  <c:v>80.585651561143351</c:v>
                </c:pt>
                <c:pt idx="2">
                  <c:v>82.239805460764302</c:v>
                </c:pt>
                <c:pt idx="3">
                  <c:v>85.914673621079956</c:v>
                </c:pt>
                <c:pt idx="4">
                  <c:v>89.676883467247436</c:v>
                </c:pt>
                <c:pt idx="5">
                  <c:v>93.980983874858282</c:v>
                </c:pt>
                <c:pt idx="6">
                  <c:v>104.8506937632834</c:v>
                </c:pt>
                <c:pt idx="7">
                  <c:v>120.05132599906754</c:v>
                </c:pt>
                <c:pt idx="8">
                  <c:v>133.92042545696518</c:v>
                </c:pt>
                <c:pt idx="9">
                  <c:v>150.65089067467358</c:v>
                </c:pt>
                <c:pt idx="10">
                  <c:v>189.1995124318658</c:v>
                </c:pt>
                <c:pt idx="11">
                  <c:v>209.832409962047</c:v>
                </c:pt>
                <c:pt idx="12">
                  <c:v>241.48996735219114</c:v>
                </c:pt>
                <c:pt idx="13">
                  <c:v>270.89247642585843</c:v>
                </c:pt>
              </c:numCache>
            </c:numRef>
          </c:xVal>
          <c:yVal>
            <c:numRef>
              <c:f>'h=10km'!$P$25:$P$39</c:f>
              <c:numCache>
                <c:formatCode>0.00</c:formatCode>
                <c:ptCount val="15"/>
                <c:pt idx="0">
                  <c:v>0.29118608737664925</c:v>
                </c:pt>
                <c:pt idx="1">
                  <c:v>0.42049133020635715</c:v>
                </c:pt>
                <c:pt idx="2">
                  <c:v>0.58723658362022224</c:v>
                </c:pt>
                <c:pt idx="3">
                  <c:v>0.88476485548018124</c:v>
                </c:pt>
                <c:pt idx="4">
                  <c:v>1.1482738911025714</c:v>
                </c:pt>
                <c:pt idx="5">
                  <c:v>1.3663681977733868</c:v>
                </c:pt>
                <c:pt idx="6">
                  <c:v>1.7422881606911615</c:v>
                </c:pt>
                <c:pt idx="7">
                  <c:v>1.9636942039749685</c:v>
                </c:pt>
                <c:pt idx="8">
                  <c:v>1.9869475323257559</c:v>
                </c:pt>
                <c:pt idx="9">
                  <c:v>1.8496387794723506</c:v>
                </c:pt>
                <c:pt idx="10">
                  <c:v>0.70248287519916719</c:v>
                </c:pt>
                <c:pt idx="11">
                  <c:v>-0.50122328723812903</c:v>
                </c:pt>
                <c:pt idx="12">
                  <c:v>-3.5743824955671282</c:v>
                </c:pt>
                <c:pt idx="13">
                  <c:v>-10.772060442133816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FE2-4902-8B25-BB2B15D27621}"/>
            </c:ext>
          </c:extLst>
        </c:ser>
        <c:ser>
          <c:idx val="16"/>
          <c:order val="16"/>
          <c:tx>
            <c:v>h=10km, m. ciągu, m=const.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'h=10km'!$G$3:$G$17</c:f>
              <c:numCache>
                <c:formatCode>0.0</c:formatCode>
                <c:ptCount val="15"/>
                <c:pt idx="0">
                  <c:v>79.167950910162872</c:v>
                </c:pt>
                <c:pt idx="1">
                  <c:v>80</c:v>
                </c:pt>
                <c:pt idx="2">
                  <c:v>85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'h=10km'!$K$3:$K$17</c:f>
              <c:numCache>
                <c:formatCode>0.00</c:formatCode>
                <c:ptCount val="15"/>
                <c:pt idx="0">
                  <c:v>0.51237311468088198</c:v>
                </c:pt>
                <c:pt idx="1">
                  <c:v>0.59317945623632018</c:v>
                </c:pt>
                <c:pt idx="2">
                  <c:v>1.017904724115779</c:v>
                </c:pt>
                <c:pt idx="3">
                  <c:v>1.3533210507636402</c:v>
                </c:pt>
                <c:pt idx="4">
                  <c:v>1.9458510370959026</c:v>
                </c:pt>
                <c:pt idx="5">
                  <c:v>2.18033731517209</c:v>
                </c:pt>
                <c:pt idx="6">
                  <c:v>2.2096644600033546</c:v>
                </c:pt>
                <c:pt idx="7">
                  <c:v>2.0689021778925527</c:v>
                </c:pt>
                <c:pt idx="8">
                  <c:v>1.7788592789560089</c:v>
                </c:pt>
                <c:pt idx="9">
                  <c:v>1.3843122958556413</c:v>
                </c:pt>
                <c:pt idx="10">
                  <c:v>0.8183247092202407</c:v>
                </c:pt>
                <c:pt idx="11">
                  <c:v>2.3528250024683207E-2</c:v>
                </c:pt>
                <c:pt idx="12">
                  <c:v>-0.86486808512013946</c:v>
                </c:pt>
                <c:pt idx="13">
                  <c:v>-2.1068646537390743</c:v>
                </c:pt>
                <c:pt idx="14">
                  <c:v>-3.6507081837729705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FE2-4902-8B25-BB2B15D27621}"/>
            </c:ext>
          </c:extLst>
        </c:ser>
        <c:ser>
          <c:idx val="17"/>
          <c:order val="17"/>
          <c:tx>
            <c:v>h=10km, m. ciągu, zmienna masa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masa'!$J$94:$J$108</c:f>
              <c:numCache>
                <c:formatCode>0.0</c:formatCode>
                <c:ptCount val="15"/>
                <c:pt idx="0">
                  <c:v>84.65692418067519</c:v>
                </c:pt>
                <c:pt idx="1">
                  <c:v>93.610001024912677</c:v>
                </c:pt>
                <c:pt idx="2">
                  <c:v>102.56307786915016</c:v>
                </c:pt>
                <c:pt idx="3">
                  <c:v>111.51615471338765</c:v>
                </c:pt>
                <c:pt idx="4">
                  <c:v>120.46923155762514</c:v>
                </c:pt>
                <c:pt idx="5">
                  <c:v>129.42230840186261</c:v>
                </c:pt>
                <c:pt idx="6">
                  <c:v>138.37538524610011</c:v>
                </c:pt>
                <c:pt idx="7">
                  <c:v>147.32846209033761</c:v>
                </c:pt>
                <c:pt idx="8">
                  <c:v>156.28153893457508</c:v>
                </c:pt>
                <c:pt idx="9">
                  <c:v>165.23461577881255</c:v>
                </c:pt>
                <c:pt idx="10">
                  <c:v>174.18769262305005</c:v>
                </c:pt>
                <c:pt idx="11">
                  <c:v>183.14076946728756</c:v>
                </c:pt>
                <c:pt idx="12">
                  <c:v>192.09384631152503</c:v>
                </c:pt>
                <c:pt idx="13">
                  <c:v>201.0469231557625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masa'!$N$94:$N$108</c:f>
              <c:numCache>
                <c:formatCode>0.00</c:formatCode>
                <c:ptCount val="15"/>
                <c:pt idx="0">
                  <c:v>-0.33703252075205159</c:v>
                </c:pt>
                <c:pt idx="1">
                  <c:v>0.50429213300579834</c:v>
                </c:pt>
                <c:pt idx="2">
                  <c:v>1.0915800996535281</c:v>
                </c:pt>
                <c:pt idx="3">
                  <c:v>1.4951352851204776</c:v>
                </c:pt>
                <c:pt idx="4">
                  <c:v>1.7596400701473469</c:v>
                </c:pt>
                <c:pt idx="5">
                  <c:v>1.913790335897938</c:v>
                </c:pt>
                <c:pt idx="6">
                  <c:v>1.9758293849182271</c:v>
                </c:pt>
                <c:pt idx="7">
                  <c:v>1.9568016426675021</c:v>
                </c:pt>
                <c:pt idx="8">
                  <c:v>1.8624610945802194</c:v>
                </c:pt>
                <c:pt idx="9">
                  <c:v>1.6943371693435449</c:v>
                </c:pt>
                <c:pt idx="10">
                  <c:v>1.4502328065914312</c:v>
                </c:pt>
                <c:pt idx="11">
                  <c:v>1.1242702597520497</c:v>
                </c:pt>
                <c:pt idx="12">
                  <c:v>0.70651227272565764</c:v>
                </c:pt>
                <c:pt idx="13">
                  <c:v>0.18208494582551227</c:v>
                </c:pt>
                <c:pt idx="14">
                  <c:v>-0.47039314858679115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0FE2-4902-8B25-BB2B15D27621}"/>
            </c:ext>
          </c:extLst>
        </c:ser>
        <c:ser>
          <c:idx val="18"/>
          <c:order val="18"/>
          <c:tx>
            <c:v>h=12km, m. mocy</c:v>
          </c:tx>
          <c:spPr>
            <a:ln w="19050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'h=12km'!$J$25:$J$38</c:f>
              <c:numCache>
                <c:formatCode>0.0</c:formatCode>
                <c:ptCount val="14"/>
                <c:pt idx="0">
                  <c:v>89.964738979971202</c:v>
                </c:pt>
                <c:pt idx="1">
                  <c:v>91.575783191055109</c:v>
                </c:pt>
                <c:pt idx="2">
                  <c:v>93.455527735422194</c:v>
                </c:pt>
                <c:pt idx="3">
                  <c:v>97.631568052592556</c:v>
                </c:pt>
                <c:pt idx="4">
                  <c:v>101.90686156350351</c:v>
                </c:pt>
                <c:pt idx="5">
                  <c:v>106.79794773237124</c:v>
                </c:pt>
                <c:pt idx="6">
                  <c:v>119.15004983502457</c:v>
                </c:pt>
                <c:pt idx="7">
                  <c:v>136.42371797599583</c:v>
                </c:pt>
                <c:pt idx="8">
                  <c:v>152.18426120431434</c:v>
                </c:pt>
                <c:pt idx="9">
                  <c:v>171.19639830045594</c:v>
                </c:pt>
                <c:pt idx="10">
                  <c:v>215.00221434789697</c:v>
                </c:pt>
                <c:pt idx="11">
                  <c:v>238.44899071842138</c:v>
                </c:pt>
                <c:pt idx="12">
                  <c:v>274.42395097196714</c:v>
                </c:pt>
              </c:numCache>
            </c:numRef>
          </c:xVal>
          <c:yVal>
            <c:numRef>
              <c:f>'h=12km'!$P$25:$P$38</c:f>
              <c:numCache>
                <c:formatCode>0.00</c:formatCode>
                <c:ptCount val="14"/>
                <c:pt idx="0">
                  <c:v>-1.059902579747394</c:v>
                </c:pt>
                <c:pt idx="1">
                  <c:v>-0.92944750301015733</c:v>
                </c:pt>
                <c:pt idx="2">
                  <c:v>-0.76100356240978595</c:v>
                </c:pt>
                <c:pt idx="3">
                  <c:v>-0.46040894749372019</c:v>
                </c:pt>
                <c:pt idx="4">
                  <c:v>-0.19393048456598028</c:v>
                </c:pt>
                <c:pt idx="5">
                  <c:v>2.6492370509082659E-2</c:v>
                </c:pt>
                <c:pt idx="6">
                  <c:v>0.40561347205884568</c:v>
                </c:pt>
                <c:pt idx="7">
                  <c:v>0.62196370085171193</c:v>
                </c:pt>
                <c:pt idx="8">
                  <c:v>0.62684132686790817</c:v>
                </c:pt>
                <c:pt idx="9">
                  <c:v>0.43815279995892636</c:v>
                </c:pt>
                <c:pt idx="10">
                  <c:v>-1.1605268968055562</c:v>
                </c:pt>
                <c:pt idx="11">
                  <c:v>-3.1848313974667519</c:v>
                </c:pt>
                <c:pt idx="12">
                  <c:v>-12.842344628792057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FE2-4902-8B25-BB2B15D27621}"/>
            </c:ext>
          </c:extLst>
        </c:ser>
        <c:ser>
          <c:idx val="19"/>
          <c:order val="19"/>
          <c:tx>
            <c:v>h=12km, m. ciągu, m=const.</c:v>
          </c:tx>
          <c:spPr>
            <a:ln w="19050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'h=12km'!$G$3:$G$17</c:f>
              <c:numCache>
                <c:formatCode>0.0</c:formatCode>
                <c:ptCount val="15"/>
                <c:pt idx="0">
                  <c:v>89.964738979971202</c:v>
                </c:pt>
                <c:pt idx="1">
                  <c:v>93</c:v>
                </c:pt>
                <c:pt idx="2">
                  <c:v>96</c:v>
                </c:pt>
                <c:pt idx="3">
                  <c:v>99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'h=12km'!$K$3:$K$17</c:f>
              <c:numCache>
                <c:formatCode>0.00</c:formatCode>
                <c:ptCount val="15"/>
                <c:pt idx="0">
                  <c:v>-0.85375164991066255</c:v>
                </c:pt>
                <c:pt idx="1">
                  <c:v>-0.60130222287390744</c:v>
                </c:pt>
                <c:pt idx="2">
                  <c:v>-0.38069537518197821</c:v>
                </c:pt>
                <c:pt idx="3">
                  <c:v>-0.18568184327673609</c:v>
                </c:pt>
                <c:pt idx="4">
                  <c:v>8.9609623407613498E-2</c:v>
                </c:pt>
                <c:pt idx="5">
                  <c:v>0.57468229532239989</c:v>
                </c:pt>
                <c:pt idx="6">
                  <c:v>0.81417620023315518</c:v>
                </c:pt>
                <c:pt idx="7">
                  <c:v>0.87395152160123302</c:v>
                </c:pt>
                <c:pt idx="8">
                  <c:v>0.77081672647254074</c:v>
                </c:pt>
                <c:pt idx="9">
                  <c:v>0.54561341156002563</c:v>
                </c:pt>
                <c:pt idx="10">
                  <c:v>0.16362349119673655</c:v>
                </c:pt>
                <c:pt idx="11">
                  <c:v>-0.42698422277695375</c:v>
                </c:pt>
                <c:pt idx="12">
                  <c:v>-1.1302535782077927</c:v>
                </c:pt>
                <c:pt idx="13">
                  <c:v>-2.1668570218858165</c:v>
                </c:pt>
                <c:pt idx="14">
                  <c:v>-3.5291408746934261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FE2-4902-8B25-BB2B15D27621}"/>
            </c:ext>
          </c:extLst>
        </c:ser>
        <c:ser>
          <c:idx val="20"/>
          <c:order val="20"/>
          <c:tx>
            <c:v>h=12km, m. ciągu, zmienna masa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masa'!$J$112:$J$126</c:f>
              <c:numCache>
                <c:formatCode>0.0</c:formatCode>
                <c:ptCount val="15"/>
                <c:pt idx="0">
                  <c:v>95.682662323055354</c:v>
                </c:pt>
                <c:pt idx="1">
                  <c:v>103.1339007285514</c:v>
                </c:pt>
                <c:pt idx="2">
                  <c:v>110.58513913404745</c:v>
                </c:pt>
                <c:pt idx="3">
                  <c:v>118.03637753954349</c:v>
                </c:pt>
                <c:pt idx="4">
                  <c:v>125.48761594503954</c:v>
                </c:pt>
                <c:pt idx="5">
                  <c:v>132.93885435053559</c:v>
                </c:pt>
                <c:pt idx="6">
                  <c:v>140.39009275603163</c:v>
                </c:pt>
                <c:pt idx="7">
                  <c:v>147.84133116152768</c:v>
                </c:pt>
                <c:pt idx="8">
                  <c:v>155.29256956702372</c:v>
                </c:pt>
                <c:pt idx="9">
                  <c:v>162.74380797251979</c:v>
                </c:pt>
                <c:pt idx="10">
                  <c:v>170.19504637801583</c:v>
                </c:pt>
                <c:pt idx="11">
                  <c:v>177.64628478351187</c:v>
                </c:pt>
                <c:pt idx="12">
                  <c:v>185.09752318900792</c:v>
                </c:pt>
                <c:pt idx="13">
                  <c:v>192.54876159450396</c:v>
                </c:pt>
                <c:pt idx="14">
                  <c:v>200</c:v>
                </c:pt>
              </c:numCache>
            </c:numRef>
          </c:xVal>
          <c:yVal>
            <c:numRef>
              <c:f>'Metoda CIągu, zmienna masa'!$N$112:$N$126</c:f>
              <c:numCache>
                <c:formatCode>0.00</c:formatCode>
                <c:ptCount val="15"/>
                <c:pt idx="0">
                  <c:v>-1.491697454079969</c:v>
                </c:pt>
                <c:pt idx="1">
                  <c:v>-0.81907383329971362</c:v>
                </c:pt>
                <c:pt idx="2">
                  <c:v>-0.30229483362385207</c:v>
                </c:pt>
                <c:pt idx="3">
                  <c:v>9.2600580694849235E-2</c:v>
                </c:pt>
                <c:pt idx="4">
                  <c:v>0.38955112892729887</c:v>
                </c:pt>
                <c:pt idx="5">
                  <c:v>0.6054698626180175</c:v>
                </c:pt>
                <c:pt idx="6">
                  <c:v>0.75220987326624633</c:v>
                </c:pt>
                <c:pt idx="7">
                  <c:v>0.83784868185189465</c:v>
                </c:pt>
                <c:pt idx="8">
                  <c:v>0.86752460905814566</c:v>
                </c:pt>
                <c:pt idx="9">
                  <c:v>0.84396237027627097</c:v>
                </c:pt>
                <c:pt idx="10">
                  <c:v>0.76776901924939744</c:v>
                </c:pt>
                <c:pt idx="11">
                  <c:v>0.63754318121717535</c:v>
                </c:pt>
                <c:pt idx="12">
                  <c:v>0.44981450536543255</c:v>
                </c:pt>
                <c:pt idx="13">
                  <c:v>0.19879771375495933</c:v>
                </c:pt>
                <c:pt idx="14">
                  <c:v>-0.12407852162061309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FE2-4902-8B25-BB2B15D27621}"/>
            </c:ext>
          </c:extLst>
        </c:ser>
        <c:ser>
          <c:idx val="21"/>
          <c:order val="21"/>
          <c:tx>
            <c:v>h=14km, m. mocy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'h=14km'!$J$23:$J$35</c:f>
              <c:numCache>
                <c:formatCode>0.0</c:formatCode>
                <c:ptCount val="13"/>
                <c:pt idx="0">
                  <c:v>103.07310957548691</c:v>
                </c:pt>
                <c:pt idx="1">
                  <c:v>104.91889202739816</c:v>
                </c:pt>
                <c:pt idx="2">
                  <c:v>107.0725259687872</c:v>
                </c:pt>
                <c:pt idx="3">
                  <c:v>111.85703894669048</c:v>
                </c:pt>
                <c:pt idx="4">
                  <c:v>116.75526686925021</c:v>
                </c:pt>
                <c:pt idx="5">
                  <c:v>122.35901191806414</c:v>
                </c:pt>
                <c:pt idx="6">
                  <c:v>136.51088506247279</c:v>
                </c:pt>
                <c:pt idx="7">
                  <c:v>156.30142421427655</c:v>
                </c:pt>
                <c:pt idx="8">
                  <c:v>174.35836760743564</c:v>
                </c:pt>
                <c:pt idx="9">
                  <c:v>196.14068046015294</c:v>
                </c:pt>
                <c:pt idx="10">
                  <c:v>246.32925132353006</c:v>
                </c:pt>
                <c:pt idx="11">
                  <c:v>273.19235544001106</c:v>
                </c:pt>
              </c:numCache>
            </c:numRef>
          </c:xVal>
          <c:yVal>
            <c:numRef>
              <c:f>'h=14km'!$P$23:$P$35</c:f>
              <c:numCache>
                <c:formatCode>0.00</c:formatCode>
                <c:ptCount val="13"/>
                <c:pt idx="0">
                  <c:v>-2.2473504167374627</c:v>
                </c:pt>
                <c:pt idx="1">
                  <c:v>-2.1164921056769583</c:v>
                </c:pt>
                <c:pt idx="2">
                  <c:v>-1.9470400106720969</c:v>
                </c:pt>
                <c:pt idx="3">
                  <c:v>-1.6454552636013311</c:v>
                </c:pt>
                <c:pt idx="4">
                  <c:v>-1.3784371615684325</c:v>
                </c:pt>
                <c:pt idx="5">
                  <c:v>-1.159419577713688</c:v>
                </c:pt>
                <c:pt idx="6">
                  <c:v>-0.79003415052384085</c:v>
                </c:pt>
                <c:pt idx="7">
                  <c:v>-0.60969102080714188</c:v>
                </c:pt>
                <c:pt idx="8">
                  <c:v>-0.67308449706179962</c:v>
                </c:pt>
                <c:pt idx="9">
                  <c:v>-1.0285614103937586</c:v>
                </c:pt>
                <c:pt idx="10">
                  <c:v>-4.4670984080920304</c:v>
                </c:pt>
                <c:pt idx="11">
                  <c:v>-16.124048786988602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0FE2-4902-8B25-BB2B15D27621}"/>
            </c:ext>
          </c:extLst>
        </c:ser>
        <c:ser>
          <c:idx val="22"/>
          <c:order val="22"/>
          <c:tx>
            <c:v>h=14km, m. ciągu, m=const.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'h=14km'!$G$3:$G$17</c:f>
              <c:numCache>
                <c:formatCode>0.0</c:formatCode>
                <c:ptCount val="15"/>
                <c:pt idx="0">
                  <c:v>103.07310957548691</c:v>
                </c:pt>
                <c:pt idx="1">
                  <c:v>106</c:v>
                </c:pt>
                <c:pt idx="2">
                  <c:v>109</c:v>
                </c:pt>
                <c:pt idx="3">
                  <c:v>112</c:v>
                </c:pt>
                <c:pt idx="4">
                  <c:v>115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'h=14km'!$K$3:$K$17</c:f>
              <c:numCache>
                <c:formatCode>0.00</c:formatCode>
                <c:ptCount val="15"/>
                <c:pt idx="0">
                  <c:v>-2.0470694086162244</c:v>
                </c:pt>
                <c:pt idx="1">
                  <c:v>-1.8307876275507244</c:v>
                </c:pt>
                <c:pt idx="2">
                  <c:v>-1.6313583469106128</c:v>
                </c:pt>
                <c:pt idx="3">
                  <c:v>-1.4523364922136446</c:v>
                </c:pt>
                <c:pt idx="4">
                  <c:v>-1.2918528836638885</c:v>
                </c:pt>
                <c:pt idx="5">
                  <c:v>-1.1943487036140106</c:v>
                </c:pt>
                <c:pt idx="6">
                  <c:v>-0.71688902406063193</c:v>
                </c:pt>
                <c:pt idx="7">
                  <c:v>-0.44152428829305562</c:v>
                </c:pt>
                <c:pt idx="8">
                  <c:v>-0.35444203794199602</c:v>
                </c:pt>
                <c:pt idx="9">
                  <c:v>-0.41579089808722636</c:v>
                </c:pt>
                <c:pt idx="10">
                  <c:v>-0.62789275220655161</c:v>
                </c:pt>
                <c:pt idx="11">
                  <c:v>-1.0388784755006617</c:v>
                </c:pt>
                <c:pt idx="12">
                  <c:v>-1.5877327844160469</c:v>
                </c:pt>
                <c:pt idx="13">
                  <c:v>-2.4672071489654099</c:v>
                </c:pt>
                <c:pt idx="14">
                  <c:v>-3.7230555079759431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0FE2-4902-8B25-BB2B15D27621}"/>
            </c:ext>
          </c:extLst>
        </c:ser>
        <c:ser>
          <c:idx val="23"/>
          <c:order val="23"/>
          <c:tx>
            <c:v>h=14km, m. ciągu, zmienna masa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masa'!$J$130:$J$144</c:f>
              <c:numCache>
                <c:formatCode>0.0</c:formatCode>
                <c:ptCount val="15"/>
                <c:pt idx="0">
                  <c:v>108.5936341211916</c:v>
                </c:pt>
                <c:pt idx="1">
                  <c:v>114.40837454110648</c:v>
                </c:pt>
                <c:pt idx="2">
                  <c:v>120.22311496102137</c:v>
                </c:pt>
                <c:pt idx="3">
                  <c:v>126.03785538093626</c:v>
                </c:pt>
                <c:pt idx="4">
                  <c:v>131.85259580085113</c:v>
                </c:pt>
                <c:pt idx="5">
                  <c:v>137.66733622076603</c:v>
                </c:pt>
                <c:pt idx="6">
                  <c:v>143.48207664068093</c:v>
                </c:pt>
                <c:pt idx="7">
                  <c:v>149.2968170605958</c:v>
                </c:pt>
                <c:pt idx="8">
                  <c:v>155.11155748051067</c:v>
                </c:pt>
                <c:pt idx="9">
                  <c:v>160.92629790042557</c:v>
                </c:pt>
                <c:pt idx="10">
                  <c:v>166.74103832034046</c:v>
                </c:pt>
                <c:pt idx="11">
                  <c:v>172.55577874025533</c:v>
                </c:pt>
                <c:pt idx="12">
                  <c:v>178.37051916017023</c:v>
                </c:pt>
                <c:pt idx="13">
                  <c:v>184.18525958008513</c:v>
                </c:pt>
                <c:pt idx="14">
                  <c:v>190</c:v>
                </c:pt>
              </c:numCache>
            </c:numRef>
          </c:xVal>
          <c:yVal>
            <c:numRef>
              <c:f>'Metoda CIągu, zmienna masa'!$N$130:$N$144</c:f>
              <c:numCache>
                <c:formatCode>0.00</c:formatCode>
                <c:ptCount val="15"/>
                <c:pt idx="0">
                  <c:v>-2.4944066395290609</c:v>
                </c:pt>
                <c:pt idx="1">
                  <c:v>-1.9903878119742717</c:v>
                </c:pt>
                <c:pt idx="2">
                  <c:v>-1.5703276359457032</c:v>
                </c:pt>
                <c:pt idx="3">
                  <c:v>-1.2209626855075844</c:v>
                </c:pt>
                <c:pt idx="4">
                  <c:v>-0.93200545117106481</c:v>
                </c:pt>
                <c:pt idx="5">
                  <c:v>-0.69548859128302054</c:v>
                </c:pt>
                <c:pt idx="6">
                  <c:v>-0.50529874336657299</c:v>
                </c:pt>
                <c:pt idx="7">
                  <c:v>-0.3568196780961283</c:v>
                </c:pt>
                <c:pt idx="8">
                  <c:v>-0.24668437482430278</c:v>
                </c:pt>
                <c:pt idx="9">
                  <c:v>-0.17259983034550583</c:v>
                </c:pt>
                <c:pt idx="10">
                  <c:v>-0.13323257391899199</c:v>
                </c:pt>
                <c:pt idx="11">
                  <c:v>-0.12814713372100536</c:v>
                </c:pt>
                <c:pt idx="12">
                  <c:v>-0.15779325123499754</c:v>
                </c:pt>
                <c:pt idx="13">
                  <c:v>-0.22354281495753445</c:v>
                </c:pt>
                <c:pt idx="14">
                  <c:v>-0.32778253512959044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0FE2-4902-8B25-BB2B15D27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439919"/>
        <c:axId val="2018443391"/>
      </c:scatterChart>
      <c:valAx>
        <c:axId val="1356439919"/>
        <c:scaling>
          <c:orientation val="minMax"/>
          <c:max val="22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443391"/>
        <c:crosses val="autoZero"/>
        <c:crossBetween val="midCat"/>
        <c:majorUnit val="20"/>
      </c:valAx>
      <c:valAx>
        <c:axId val="2018443391"/>
        <c:scaling>
          <c:orientation val="minMax"/>
          <c:max val="1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γ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6439919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Iskra w(V) dla średniej masy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742277264846843"/>
          <c:y val="0.11038690476190476"/>
          <c:w val="0.86230848619170131"/>
          <c:h val="0.85588887326584173"/>
        </c:manualLayout>
      </c:layout>
      <c:scatterChart>
        <c:scatterStyle val="smoothMarker"/>
        <c:varyColors val="0"/>
        <c:ser>
          <c:idx val="0"/>
          <c:order val="0"/>
          <c:tx>
            <c:v>h=0km, m. mocy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'h=0km'!$J$23:$J$41</c:f>
              <c:numCache>
                <c:formatCode>0.0</c:formatCode>
                <c:ptCount val="19"/>
                <c:pt idx="0">
                  <c:v>45.931239174747347</c:v>
                </c:pt>
                <c:pt idx="1">
                  <c:v>46.753753171001605</c:v>
                </c:pt>
                <c:pt idx="2">
                  <c:v>47.713451350907093</c:v>
                </c:pt>
                <c:pt idx="3">
                  <c:v>49.845516744372453</c:v>
                </c:pt>
                <c:pt idx="4">
                  <c:v>52.028255570921075</c:v>
                </c:pt>
                <c:pt idx="5">
                  <c:v>54.52538557089337</c:v>
                </c:pt>
                <c:pt idx="6">
                  <c:v>60.831715833399635</c:v>
                </c:pt>
                <c:pt idx="7">
                  <c:v>69.65073750571058</c:v>
                </c:pt>
                <c:pt idx="8">
                  <c:v>77.697237598430291</c:v>
                </c:pt>
                <c:pt idx="9">
                  <c:v>87.403829604220221</c:v>
                </c:pt>
                <c:pt idx="10">
                  <c:v>109.76876320968472</c:v>
                </c:pt>
                <c:pt idx="11">
                  <c:v>121.73944756404192</c:v>
                </c:pt>
                <c:pt idx="12">
                  <c:v>140.10636022829706</c:v>
                </c:pt>
                <c:pt idx="13">
                  <c:v>157.1649509973418</c:v>
                </c:pt>
                <c:pt idx="14">
                  <c:v>177.57523483887357</c:v>
                </c:pt>
                <c:pt idx="15">
                  <c:v>193.70140856220578</c:v>
                </c:pt>
                <c:pt idx="16">
                  <c:v>215.2069722760954</c:v>
                </c:pt>
                <c:pt idx="17">
                  <c:v>236.48760862027481</c:v>
                </c:pt>
                <c:pt idx="18">
                  <c:v>256.64929026200639</c:v>
                </c:pt>
              </c:numCache>
            </c:numRef>
          </c:xVal>
          <c:yVal>
            <c:numRef>
              <c:f>'h=0km'!$O$23:$O$41</c:f>
              <c:numCache>
                <c:formatCode>0.00</c:formatCode>
                <c:ptCount val="19"/>
                <c:pt idx="0">
                  <c:v>8.5536262586962355</c:v>
                </c:pt>
                <c:pt idx="1">
                  <c:v>8.805766050174002</c:v>
                </c:pt>
                <c:pt idx="2">
                  <c:v>9.1169537934596221</c:v>
                </c:pt>
                <c:pt idx="3">
                  <c:v>9.7644876007781889</c:v>
                </c:pt>
                <c:pt idx="4">
                  <c:v>10.411244581178821</c:v>
                </c:pt>
                <c:pt idx="5">
                  <c:v>11.095718202109621</c:v>
                </c:pt>
                <c:pt idx="6">
                  <c:v>12.716124307908188</c:v>
                </c:pt>
                <c:pt idx="7">
                  <c:v>14.739944802622405</c:v>
                </c:pt>
                <c:pt idx="8">
                  <c:v>16.400044820747812</c:v>
                </c:pt>
                <c:pt idx="9">
                  <c:v>18.176483411598003</c:v>
                </c:pt>
                <c:pt idx="10">
                  <c:v>20.930371109697354</c:v>
                </c:pt>
                <c:pt idx="11">
                  <c:v>21.48725052033932</c:v>
                </c:pt>
                <c:pt idx="12">
                  <c:v>21.151338514610458</c:v>
                </c:pt>
                <c:pt idx="13">
                  <c:v>18.638337632029327</c:v>
                </c:pt>
                <c:pt idx="14">
                  <c:v>13.507201473101391</c:v>
                </c:pt>
                <c:pt idx="15">
                  <c:v>6.6636073556173354</c:v>
                </c:pt>
                <c:pt idx="16">
                  <c:v>-6.6430699143899652</c:v>
                </c:pt>
                <c:pt idx="17">
                  <c:v>-27.151748057086103</c:v>
                </c:pt>
                <c:pt idx="18">
                  <c:v>-58.964825279511615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DE-49DA-A626-A8F9040C8032}"/>
            </c:ext>
          </c:extLst>
        </c:ser>
        <c:ser>
          <c:idx val="1"/>
          <c:order val="1"/>
          <c:tx>
            <c:v>h=0km, m. ciągu, m=const.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'h=0km'!$G$3:$G$17</c:f>
              <c:numCache>
                <c:formatCode>0.0</c:formatCode>
                <c:ptCount val="15"/>
                <c:pt idx="0">
                  <c:v>45.931239174747347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'h=0km'!$L$3:$L$17</c:f>
              <c:numCache>
                <c:formatCode>0.00</c:formatCode>
                <c:ptCount val="15"/>
                <c:pt idx="0">
                  <c:v>8.988598510749636</c:v>
                </c:pt>
                <c:pt idx="1">
                  <c:v>13.657094900680693</c:v>
                </c:pt>
                <c:pt idx="2">
                  <c:v>16.646019177387522</c:v>
                </c:pt>
                <c:pt idx="3">
                  <c:v>18.79628605023618</c:v>
                </c:pt>
                <c:pt idx="4">
                  <c:v>20.41500961267004</c:v>
                </c:pt>
                <c:pt idx="5">
                  <c:v>21.215215120819067</c:v>
                </c:pt>
                <c:pt idx="6">
                  <c:v>21.260323979985298</c:v>
                </c:pt>
                <c:pt idx="7">
                  <c:v>20.349677620290091</c:v>
                </c:pt>
                <c:pt idx="8">
                  <c:v>18.289075488771584</c:v>
                </c:pt>
                <c:pt idx="9">
                  <c:v>15.169784028476812</c:v>
                </c:pt>
                <c:pt idx="10">
                  <c:v>10.267979776560965</c:v>
                </c:pt>
                <c:pt idx="11">
                  <c:v>2.8625121646929066</c:v>
                </c:pt>
                <c:pt idx="12">
                  <c:v>-5.7817646009204191</c:v>
                </c:pt>
                <c:pt idx="13">
                  <c:v>-18.013990853386808</c:v>
                </c:pt>
                <c:pt idx="14">
                  <c:v>-32.859791866052333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DE-49DA-A626-A8F9040C8032}"/>
            </c:ext>
          </c:extLst>
        </c:ser>
        <c:ser>
          <c:idx val="2"/>
          <c:order val="2"/>
          <c:tx>
            <c:v>h=0km, m. ciągu, zmienna masa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50.003599658606447</c:v>
                </c:pt>
                <c:pt idx="1">
                  <c:v>61.431913968705985</c:v>
                </c:pt>
                <c:pt idx="2">
                  <c:v>72.860228278805522</c:v>
                </c:pt>
                <c:pt idx="3">
                  <c:v>84.288542588905074</c:v>
                </c:pt>
                <c:pt idx="4">
                  <c:v>95.716856899004597</c:v>
                </c:pt>
                <c:pt idx="5">
                  <c:v>107.14517120910415</c:v>
                </c:pt>
                <c:pt idx="6">
                  <c:v>118.57348551920369</c:v>
                </c:pt>
                <c:pt idx="7">
                  <c:v>130.00179982930322</c:v>
                </c:pt>
                <c:pt idx="8">
                  <c:v>141.43011413940275</c:v>
                </c:pt>
                <c:pt idx="9">
                  <c:v>152.8584284495023</c:v>
                </c:pt>
                <c:pt idx="10">
                  <c:v>164.28674275960185</c:v>
                </c:pt>
                <c:pt idx="11">
                  <c:v>175.71505706970137</c:v>
                </c:pt>
                <c:pt idx="12">
                  <c:v>187.14337137980093</c:v>
                </c:pt>
                <c:pt idx="13">
                  <c:v>198.57168568990045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masa'!$O$4:$O$18</c:f>
              <c:numCache>
                <c:formatCode>0.00</c:formatCode>
                <c:ptCount val="15"/>
                <c:pt idx="0">
                  <c:v>7.3702507124738617</c:v>
                </c:pt>
                <c:pt idx="1">
                  <c:v>10.499003087444358</c:v>
                </c:pt>
                <c:pt idx="2">
                  <c:v>13.194893691702633</c:v>
                </c:pt>
                <c:pt idx="3">
                  <c:v>15.509669749794682</c:v>
                </c:pt>
                <c:pt idx="4">
                  <c:v>17.442798449229731</c:v>
                </c:pt>
                <c:pt idx="5">
                  <c:v>18.962241232755577</c:v>
                </c:pt>
                <c:pt idx="6">
                  <c:v>20.012537627862194</c:v>
                </c:pt>
                <c:pt idx="7">
                  <c:v>20.516978423923938</c:v>
                </c:pt>
                <c:pt idx="8">
                  <c:v>20.376517452844443</c:v>
                </c:pt>
                <c:pt idx="9">
                  <c:v>19.466324923680027</c:v>
                </c:pt>
                <c:pt idx="10">
                  <c:v>17.630089950686052</c:v>
                </c:pt>
                <c:pt idx="11">
                  <c:v>14.671653990281284</c:v>
                </c:pt>
                <c:pt idx="12">
                  <c:v>10.343059484359541</c:v>
                </c:pt>
                <c:pt idx="13">
                  <c:v>4.3274266460251809</c:v>
                </c:pt>
                <c:pt idx="14">
                  <c:v>-3.785996060298269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DE-49DA-A626-A8F9040C8032}"/>
            </c:ext>
          </c:extLst>
        </c:ser>
        <c:ser>
          <c:idx val="3"/>
          <c:order val="3"/>
          <c:tx>
            <c:v>h=2km, m. mocy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'h=2km'!$J$25:$J$43</c:f>
              <c:numCache>
                <c:formatCode>0.0</c:formatCode>
                <c:ptCount val="19"/>
                <c:pt idx="0">
                  <c:v>50.676077307156149</c:v>
                </c:pt>
                <c:pt idx="1">
                  <c:v>51.583559526432204</c:v>
                </c:pt>
                <c:pt idx="2">
                  <c:v>52.642397477034805</c:v>
                </c:pt>
                <c:pt idx="3">
                  <c:v>54.994711776505412</c:v>
                </c:pt>
                <c:pt idx="4">
                  <c:v>57.402934230393036</c:v>
                </c:pt>
                <c:pt idx="5">
                  <c:v>60.158025431899048</c:v>
                </c:pt>
                <c:pt idx="6">
                  <c:v>67.115818986986241</c:v>
                </c:pt>
                <c:pt idx="7">
                  <c:v>76.845872694860617</c:v>
                </c:pt>
                <c:pt idx="8">
                  <c:v>85.723600970367059</c:v>
                </c:pt>
                <c:pt idx="9">
                  <c:v>96.43291375426584</c:v>
                </c:pt>
                <c:pt idx="10">
                  <c:v>121.10821371837065</c:v>
                </c:pt>
                <c:pt idx="11">
                  <c:v>134.31550654696235</c:v>
                </c:pt>
                <c:pt idx="12">
                  <c:v>154.57977772254398</c:v>
                </c:pt>
                <c:pt idx="13">
                  <c:v>173.40057333126614</c:v>
                </c:pt>
                <c:pt idx="14">
                  <c:v>195.91930220508064</c:v>
                </c:pt>
                <c:pt idx="15">
                  <c:v>213.71135922237772</c:v>
                </c:pt>
                <c:pt idx="16">
                  <c:v>237.438513744658</c:v>
                </c:pt>
                <c:pt idx="17">
                  <c:v>260.91750520883818</c:v>
                </c:pt>
                <c:pt idx="18">
                  <c:v>283.16195051177249</c:v>
                </c:pt>
              </c:numCache>
            </c:numRef>
          </c:xVal>
          <c:yVal>
            <c:numRef>
              <c:f>'h=2km'!$O$25:$O$43</c:f>
              <c:numCache>
                <c:formatCode>0.00</c:formatCode>
                <c:ptCount val="19"/>
                <c:pt idx="0">
                  <c:v>7.0926518769841458</c:v>
                </c:pt>
                <c:pt idx="1">
                  <c:v>7.3303273204928168</c:v>
                </c:pt>
                <c:pt idx="2">
                  <c:v>7.6265298140798201</c:v>
                </c:pt>
                <c:pt idx="3">
                  <c:v>8.2364473822100202</c:v>
                </c:pt>
                <c:pt idx="4">
                  <c:v>8.84344543392322</c:v>
                </c:pt>
                <c:pt idx="5">
                  <c:v>9.4770859578795399</c:v>
                </c:pt>
                <c:pt idx="6">
                  <c:v>10.960195626673077</c:v>
                </c:pt>
                <c:pt idx="7">
                  <c:v>12.772124279659636</c:v>
                </c:pt>
                <c:pt idx="8">
                  <c:v>14.224623739315433</c:v>
                </c:pt>
                <c:pt idx="9">
                  <c:v>15.732592254883478</c:v>
                </c:pt>
                <c:pt idx="10">
                  <c:v>17.732843975507944</c:v>
                </c:pt>
                <c:pt idx="11">
                  <c:v>17.77419155781979</c:v>
                </c:pt>
                <c:pt idx="12">
                  <c:v>16.455920701594508</c:v>
                </c:pt>
                <c:pt idx="13">
                  <c:v>12.617575112443062</c:v>
                </c:pt>
                <c:pt idx="14">
                  <c:v>5.2567750789647629</c:v>
                </c:pt>
                <c:pt idx="15">
                  <c:v>-4.3137591680770013</c:v>
                </c:pt>
                <c:pt idx="16">
                  <c:v>-23.526484212300808</c:v>
                </c:pt>
                <c:pt idx="17">
                  <c:v>-55.357283907591416</c:v>
                </c:pt>
                <c:pt idx="18">
                  <c:v>-111.37458668595167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DE-49DA-A626-A8F9040C8032}"/>
            </c:ext>
          </c:extLst>
        </c:ser>
        <c:ser>
          <c:idx val="4"/>
          <c:order val="4"/>
          <c:tx>
            <c:v>h=2km, m. ciągu, m=const.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'h=2km'!$G$3:$G$17</c:f>
              <c:numCache>
                <c:formatCode>0.0</c:formatCode>
                <c:ptCount val="15"/>
                <c:pt idx="0">
                  <c:v>50.676077307156149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'h=2km'!$L$3:$L$17</c:f>
              <c:numCache>
                <c:formatCode>0.00</c:formatCode>
                <c:ptCount val="15"/>
                <c:pt idx="0">
                  <c:v>7.4716717845893363</c:v>
                </c:pt>
                <c:pt idx="1">
                  <c:v>10.472670871708774</c:v>
                </c:pt>
                <c:pt idx="2">
                  <c:v>13.208866442927064</c:v>
                </c:pt>
                <c:pt idx="3">
                  <c:v>15.179780998868225</c:v>
                </c:pt>
                <c:pt idx="4">
                  <c:v>16.692841063626801</c:v>
                </c:pt>
                <c:pt idx="5">
                  <c:v>17.497548840057917</c:v>
                </c:pt>
                <c:pt idx="6">
                  <c:v>17.665613725845322</c:v>
                </c:pt>
                <c:pt idx="7">
                  <c:v>17.042466045129036</c:v>
                </c:pt>
                <c:pt idx="8">
                  <c:v>15.456187088475248</c:v>
                </c:pt>
                <c:pt idx="9">
                  <c:v>12.970543024404115</c:v>
                </c:pt>
                <c:pt idx="10">
                  <c:v>8.9908887340058499</c:v>
                </c:pt>
                <c:pt idx="11">
                  <c:v>2.8921308112019721</c:v>
                </c:pt>
                <c:pt idx="12">
                  <c:v>-4.3125245898372349</c:v>
                </c:pt>
                <c:pt idx="13">
                  <c:v>-14.629732815478791</c:v>
                </c:pt>
                <c:pt idx="14">
                  <c:v>-27.319914121592564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6DE-49DA-A626-A8F9040C8032}"/>
            </c:ext>
          </c:extLst>
        </c:ser>
        <c:ser>
          <c:idx val="5"/>
          <c:order val="5"/>
          <c:tx>
            <c:v>h=2km, m. ciągu, zmienna masa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masa'!$J$22:$J$36</c:f>
              <c:numCache>
                <c:formatCode>0.0</c:formatCode>
                <c:ptCount val="15"/>
                <c:pt idx="0">
                  <c:v>54.991165562477157</c:v>
                </c:pt>
                <c:pt idx="1">
                  <c:v>66.063225165157363</c:v>
                </c:pt>
                <c:pt idx="2">
                  <c:v>77.135284767837561</c:v>
                </c:pt>
                <c:pt idx="3">
                  <c:v>88.207344370517774</c:v>
                </c:pt>
                <c:pt idx="4">
                  <c:v>99.279403973197958</c:v>
                </c:pt>
                <c:pt idx="5">
                  <c:v>110.35146357587817</c:v>
                </c:pt>
                <c:pt idx="6">
                  <c:v>121.42352317855838</c:v>
                </c:pt>
                <c:pt idx="7">
                  <c:v>132.49558278123857</c:v>
                </c:pt>
                <c:pt idx="8">
                  <c:v>143.56764238391878</c:v>
                </c:pt>
                <c:pt idx="9">
                  <c:v>154.63970198659896</c:v>
                </c:pt>
                <c:pt idx="10">
                  <c:v>165.71176158927918</c:v>
                </c:pt>
                <c:pt idx="11">
                  <c:v>176.78382119195939</c:v>
                </c:pt>
                <c:pt idx="12">
                  <c:v>187.8558807946396</c:v>
                </c:pt>
                <c:pt idx="13">
                  <c:v>198.92794039731979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masa'!$O$22:$O$36</c:f>
              <c:numCache>
                <c:formatCode>0.00</c:formatCode>
                <c:ptCount val="15"/>
                <c:pt idx="0">
                  <c:v>5.9623482875690117</c:v>
                </c:pt>
                <c:pt idx="1">
                  <c:v>8.6279433757524959</c:v>
                </c:pt>
                <c:pt idx="2">
                  <c:v>10.910278353441688</c:v>
                </c:pt>
                <c:pt idx="3">
                  <c:v>12.856670737797735</c:v>
                </c:pt>
                <c:pt idx="4">
                  <c:v>14.473201768838477</c:v>
                </c:pt>
                <c:pt idx="5">
                  <c:v>15.739703237926438</c:v>
                </c:pt>
                <c:pt idx="6">
                  <c:v>16.616115270423947</c:v>
                </c:pt>
                <c:pt idx="7">
                  <c:v>17.04439702898884</c:v>
                </c:pt>
                <c:pt idx="8">
                  <c:v>16.947811552320999</c:v>
                </c:pt>
                <c:pt idx="9">
                  <c:v>16.228231087914313</c:v>
                </c:pt>
                <c:pt idx="10">
                  <c:v>14.761525300176732</c:v>
                </c:pt>
                <c:pt idx="11">
                  <c:v>12.390666936829433</c:v>
                </c:pt>
                <c:pt idx="12">
                  <c:v>8.9157574245469124</c:v>
                </c:pt>
                <c:pt idx="13">
                  <c:v>4.0795791288031555</c:v>
                </c:pt>
                <c:pt idx="14">
                  <c:v>-2.4536868673790679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6DE-49DA-A626-A8F9040C8032}"/>
            </c:ext>
          </c:extLst>
        </c:ser>
        <c:ser>
          <c:idx val="6"/>
          <c:order val="6"/>
          <c:tx>
            <c:v>h=4km, m. mocy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'h=4km'!$J$25:$J$43</c:f>
              <c:numCache>
                <c:formatCode>0.0</c:formatCode>
                <c:ptCount val="19"/>
                <c:pt idx="0">
                  <c:v>56.177984453296382</c:v>
                </c:pt>
                <c:pt idx="1">
                  <c:v>57.183992114408973</c:v>
                </c:pt>
                <c:pt idx="2">
                  <c:v>58.357788214824851</c:v>
                </c:pt>
                <c:pt idx="3">
                  <c:v>60.965493529976882</c:v>
                </c:pt>
                <c:pt idx="4">
                  <c:v>63.635176953864821</c:v>
                </c:pt>
                <c:pt idx="5">
                  <c:v>66.689388702487321</c:v>
                </c:pt>
                <c:pt idx="6">
                  <c:v>74.402590649784401</c:v>
                </c:pt>
                <c:pt idx="7">
                  <c:v>85.189037331866416</c:v>
                </c:pt>
                <c:pt idx="8">
                  <c:v>95.030621518011813</c:v>
                </c:pt>
                <c:pt idx="9">
                  <c:v>106.90264553898702</c:v>
                </c:pt>
                <c:pt idx="10">
                  <c:v>134.25694546559467</c:v>
                </c:pt>
                <c:pt idx="11">
                  <c:v>148.89815549251958</c:v>
                </c:pt>
                <c:pt idx="12">
                  <c:v>171.36252076213466</c:v>
                </c:pt>
                <c:pt idx="13">
                  <c:v>192.22669216784359</c:v>
                </c:pt>
                <c:pt idx="14">
                  <c:v>217.1902818496855</c:v>
                </c:pt>
                <c:pt idx="15">
                  <c:v>236.91402440480891</c:v>
                </c:pt>
                <c:pt idx="16">
                  <c:v>263.21723863732393</c:v>
                </c:pt>
                <c:pt idx="17">
                  <c:v>289.24534672191584</c:v>
                </c:pt>
              </c:numCache>
            </c:numRef>
          </c:xVal>
          <c:yVal>
            <c:numRef>
              <c:f>'h=4km'!$O$25:$O$43</c:f>
              <c:numCache>
                <c:formatCode>0.00</c:formatCode>
                <c:ptCount val="19"/>
                <c:pt idx="0">
                  <c:v>5.5710967954506287</c:v>
                </c:pt>
                <c:pt idx="1">
                  <c:v>5.7951921745867505</c:v>
                </c:pt>
                <c:pt idx="2">
                  <c:v>6.0777757525055813</c:v>
                </c:pt>
                <c:pt idx="3">
                  <c:v>6.6524001826776287</c:v>
                </c:pt>
                <c:pt idx="4">
                  <c:v>7.2218458073246596</c:v>
                </c:pt>
                <c:pt idx="5">
                  <c:v>7.8062883937988587</c:v>
                </c:pt>
                <c:pt idx="6">
                  <c:v>9.1548074886246766</c:v>
                </c:pt>
                <c:pt idx="7">
                  <c:v>10.755169177386023</c:v>
                </c:pt>
                <c:pt idx="8">
                  <c:v>11.997452864360652</c:v>
                </c:pt>
                <c:pt idx="9">
                  <c:v>13.229197718205205</c:v>
                </c:pt>
                <c:pt idx="10">
                  <c:v>14.41546866725302</c:v>
                </c:pt>
                <c:pt idx="11">
                  <c:v>13.864038091209963</c:v>
                </c:pt>
                <c:pt idx="12">
                  <c:v>11.335810697020314</c:v>
                </c:pt>
                <c:pt idx="13">
                  <c:v>5.7021395964257975</c:v>
                </c:pt>
                <c:pt idx="14">
                  <c:v>-5.0753874173283329</c:v>
                </c:pt>
                <c:pt idx="15">
                  <c:v>-19.440572876073663</c:v>
                </c:pt>
                <c:pt idx="16">
                  <c:v>-51.410822375755423</c:v>
                </c:pt>
                <c:pt idx="17">
                  <c:v>-118.37111846545886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6DE-49DA-A626-A8F9040C8032}"/>
            </c:ext>
          </c:extLst>
        </c:ser>
        <c:ser>
          <c:idx val="7"/>
          <c:order val="7"/>
          <c:tx>
            <c:v>h=4km, m. ciągu, m=const.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'h=4km'!$G$3:$G$17</c:f>
              <c:numCache>
                <c:formatCode>0.0</c:formatCode>
                <c:ptCount val="15"/>
                <c:pt idx="0">
                  <c:v>56.177984453296389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'h=4km'!$L$3:$L$17</c:f>
              <c:numCache>
                <c:formatCode>0.00</c:formatCode>
                <c:ptCount val="15"/>
                <c:pt idx="0">
                  <c:v>5.9101660249976566</c:v>
                </c:pt>
                <c:pt idx="1">
                  <c:v>7.4016579118681136</c:v>
                </c:pt>
                <c:pt idx="2">
                  <c:v>9.9523138923493963</c:v>
                </c:pt>
                <c:pt idx="3">
                  <c:v>11.78657334443278</c:v>
                </c:pt>
                <c:pt idx="4">
                  <c:v>13.21918422911715</c:v>
                </c:pt>
                <c:pt idx="5">
                  <c:v>14.031962007204026</c:v>
                </c:pt>
                <c:pt idx="6">
                  <c:v>14.306217097107112</c:v>
                </c:pt>
                <c:pt idx="7">
                  <c:v>13.92783978006697</c:v>
                </c:pt>
                <c:pt idx="8">
                  <c:v>12.745011976751448</c:v>
                </c:pt>
                <c:pt idx="9">
                  <c:v>10.799309225604452</c:v>
                </c:pt>
                <c:pt idx="10">
                  <c:v>7.6074610072200848</c:v>
                </c:pt>
                <c:pt idx="11">
                  <c:v>2.6282885019978353</c:v>
                </c:pt>
                <c:pt idx="12">
                  <c:v>-3.3398510113355036</c:v>
                </c:pt>
                <c:pt idx="13">
                  <c:v>-12.010056388877096</c:v>
                </c:pt>
                <c:pt idx="14">
                  <c:v>-22.848933667264809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6DE-49DA-A626-A8F9040C8032}"/>
            </c:ext>
          </c:extLst>
        </c:ser>
        <c:ser>
          <c:idx val="8"/>
          <c:order val="8"/>
          <c:tx>
            <c:v>h=4km, m. ciągu, zmienna masa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masa'!$J$40:$J$54</c:f>
              <c:numCache>
                <c:formatCode>0.0</c:formatCode>
                <c:ptCount val="15"/>
                <c:pt idx="0">
                  <c:v>60.760126838427631</c:v>
                </c:pt>
                <c:pt idx="1">
                  <c:v>71.420117778539947</c:v>
                </c:pt>
                <c:pt idx="2">
                  <c:v>82.080108718652255</c:v>
                </c:pt>
                <c:pt idx="3">
                  <c:v>92.740099658764564</c:v>
                </c:pt>
                <c:pt idx="4">
                  <c:v>103.40009059887689</c:v>
                </c:pt>
                <c:pt idx="5">
                  <c:v>114.06008153898918</c:v>
                </c:pt>
                <c:pt idx="6">
                  <c:v>124.7200724791015</c:v>
                </c:pt>
                <c:pt idx="7">
                  <c:v>135.38006341921383</c:v>
                </c:pt>
                <c:pt idx="8">
                  <c:v>146.04005435932612</c:v>
                </c:pt>
                <c:pt idx="9">
                  <c:v>156.70004529943844</c:v>
                </c:pt>
                <c:pt idx="10">
                  <c:v>167.36003623955074</c:v>
                </c:pt>
                <c:pt idx="11">
                  <c:v>178.02002717966306</c:v>
                </c:pt>
                <c:pt idx="12">
                  <c:v>188.68001811977538</c:v>
                </c:pt>
                <c:pt idx="13">
                  <c:v>199.34000905988768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masa'!$O$40:$O$54</c:f>
              <c:numCache>
                <c:formatCode>0.00</c:formatCode>
                <c:ptCount val="15"/>
                <c:pt idx="0">
                  <c:v>4.495963305476808</c:v>
                </c:pt>
                <c:pt idx="1">
                  <c:v>6.7542646205201482</c:v>
                </c:pt>
                <c:pt idx="2">
                  <c:v>8.6789257706901868</c:v>
                </c:pt>
                <c:pt idx="3">
                  <c:v>10.310853637487972</c:v>
                </c:pt>
                <c:pt idx="4">
                  <c:v>11.659717978010365</c:v>
                </c:pt>
                <c:pt idx="5">
                  <c:v>12.714083855207191</c:v>
                </c:pt>
                <c:pt idx="6">
                  <c:v>13.44605877838003</c:v>
                </c:pt>
                <c:pt idx="7">
                  <c:v>13.81281037812866</c:v>
                </c:pt>
                <c:pt idx="8">
                  <c:v>13.75606281403244</c:v>
                </c:pt>
                <c:pt idx="9">
                  <c:v>13.199996370712345</c:v>
                </c:pt>
                <c:pt idx="10">
                  <c:v>12.047553359245509</c:v>
                </c:pt>
                <c:pt idx="11">
                  <c:v>10.174825017291409</c:v>
                </c:pt>
                <c:pt idx="12">
                  <c:v>7.4228301988708276</c:v>
                </c:pt>
                <c:pt idx="13">
                  <c:v>3.5854755188470953</c:v>
                </c:pt>
                <c:pt idx="14">
                  <c:v>-1.6083770246258724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6DE-49DA-A626-A8F9040C8032}"/>
            </c:ext>
          </c:extLst>
        </c:ser>
        <c:ser>
          <c:idx val="9"/>
          <c:order val="9"/>
          <c:tx>
            <c:v>h=6km, m. mocy</c:v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'h=6km'!$J$25:$J$42</c:f>
              <c:numCache>
                <c:formatCode>0.0</c:formatCode>
                <c:ptCount val="18"/>
                <c:pt idx="0">
                  <c:v>62.604896336843368</c:v>
                </c:pt>
                <c:pt idx="1">
                  <c:v>63.725993968788195</c:v>
                </c:pt>
                <c:pt idx="2">
                  <c:v>65.034075486882159</c:v>
                </c:pt>
                <c:pt idx="3">
                  <c:v>67.940109274332301</c:v>
                </c:pt>
                <c:pt idx="4">
                  <c:v>70.915211632154367</c:v>
                </c:pt>
                <c:pt idx="5">
                  <c:v>74.318833384946899</c:v>
                </c:pt>
                <c:pt idx="6">
                  <c:v>82.914446293365131</c:v>
                </c:pt>
                <c:pt idx="7">
                  <c:v>94.934891365331538</c:v>
                </c:pt>
                <c:pt idx="8">
                  <c:v>105.90237914119098</c:v>
                </c:pt>
                <c:pt idx="9">
                  <c:v>119.13259450713322</c:v>
                </c:pt>
                <c:pt idx="10">
                  <c:v>149.61629960865557</c:v>
                </c:pt>
                <c:pt idx="11">
                  <c:v>165.93250327636838</c:v>
                </c:pt>
                <c:pt idx="12">
                  <c:v>190.96685209937448</c:v>
                </c:pt>
                <c:pt idx="13">
                  <c:v>214.21794059462744</c:v>
                </c:pt>
                <c:pt idx="14">
                  <c:v>242.03743179631834</c:v>
                </c:pt>
                <c:pt idx="15">
                  <c:v>264.01762332605608</c:v>
                </c:pt>
                <c:pt idx="16">
                  <c:v>293.3299957149477</c:v>
                </c:pt>
              </c:numCache>
            </c:numRef>
          </c:xVal>
          <c:yVal>
            <c:numRef>
              <c:f>'h=6km'!$O$25:$O$42</c:f>
              <c:numCache>
                <c:formatCode>0.00</c:formatCode>
                <c:ptCount val="18"/>
                <c:pt idx="0">
                  <c:v>3.9692537928711364</c:v>
                </c:pt>
                <c:pt idx="1">
                  <c:v>4.1807262407879495</c:v>
                </c:pt>
                <c:pt idx="2">
                  <c:v>4.4512305759415316</c:v>
                </c:pt>
                <c:pt idx="3">
                  <c:v>4.9930827441712538</c:v>
                </c:pt>
                <c:pt idx="4">
                  <c:v>5.5273371482119042</c:v>
                </c:pt>
                <c:pt idx="5">
                  <c:v>6.0641430781244514</c:v>
                </c:pt>
                <c:pt idx="6">
                  <c:v>7.280099485901836</c:v>
                </c:pt>
                <c:pt idx="7">
                  <c:v>8.6668341172540515</c:v>
                </c:pt>
                <c:pt idx="8">
                  <c:v>9.6924294971007132</c:v>
                </c:pt>
                <c:pt idx="9">
                  <c:v>10.632319446290291</c:v>
                </c:pt>
                <c:pt idx="10">
                  <c:v>10.894042597051016</c:v>
                </c:pt>
                <c:pt idx="11">
                  <c:v>9.6056565355744983</c:v>
                </c:pt>
                <c:pt idx="12">
                  <c:v>5.4112575957281344</c:v>
                </c:pt>
                <c:pt idx="13">
                  <c:v>-3.0520786711070045</c:v>
                </c:pt>
                <c:pt idx="14">
                  <c:v>-20.377637260602469</c:v>
                </c:pt>
                <c:pt idx="15">
                  <c:v>-46.499958918260361</c:v>
                </c:pt>
                <c:pt idx="16" formatCode="0.0">
                  <c:v>-131.42959498800178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6DE-49DA-A626-A8F9040C8032}"/>
            </c:ext>
          </c:extLst>
        </c:ser>
        <c:ser>
          <c:idx val="10"/>
          <c:order val="10"/>
          <c:tx>
            <c:v>h=6km, m. ciągu, m=const.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'h=6km'!$G$3:$G$17</c:f>
              <c:numCache>
                <c:formatCode>0.0</c:formatCode>
                <c:ptCount val="15"/>
                <c:pt idx="0">
                  <c:v>62.604896336843368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'h=6km'!$L$3:$L$17</c:f>
              <c:numCache>
                <c:formatCode>0.00</c:formatCode>
                <c:ptCount val="15"/>
                <c:pt idx="0">
                  <c:v>4.2831325160521168</c:v>
                </c:pt>
                <c:pt idx="1">
                  <c:v>4.3616165501408695</c:v>
                </c:pt>
                <c:pt idx="2">
                  <c:v>6.7998098325616132</c:v>
                </c:pt>
                <c:pt idx="3">
                  <c:v>8.5452195732202387</c:v>
                </c:pt>
                <c:pt idx="4">
                  <c:v>9.9280658445522558</c:v>
                </c:pt>
                <c:pt idx="5">
                  <c:v>10.758063175065899</c:v>
                </c:pt>
                <c:pt idx="6">
                  <c:v>11.128271235079136</c:v>
                </c:pt>
                <c:pt idx="7">
                  <c:v>10.960451238393684</c:v>
                </c:pt>
                <c:pt idx="8">
                  <c:v>10.120662676429108</c:v>
                </c:pt>
                <c:pt idx="9">
                  <c:v>8.6329517167596475</c:v>
                </c:pt>
                <c:pt idx="10">
                  <c:v>6.1097051252759069</c:v>
                </c:pt>
                <c:pt idx="11">
                  <c:v>2.0823084102255613</c:v>
                </c:pt>
                <c:pt idx="12">
                  <c:v>-2.8331001844373835</c:v>
                </c:pt>
                <c:pt idx="13">
                  <c:v>-10.101339345026506</c:v>
                </c:pt>
                <c:pt idx="14">
                  <c:v>-19.37175755785373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6DE-49DA-A626-A8F9040C8032}"/>
            </c:ext>
          </c:extLst>
        </c:ser>
        <c:ser>
          <c:idx val="11"/>
          <c:order val="11"/>
          <c:tx>
            <c:v>h=6km, m. ciągu, zmienna masa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masa'!$J$58:$J$72</c:f>
              <c:numCache>
                <c:formatCode>0.0</c:formatCode>
                <c:ptCount val="15"/>
                <c:pt idx="0">
                  <c:v>67.478052266794421</c:v>
                </c:pt>
                <c:pt idx="1">
                  <c:v>77.658191390594823</c:v>
                </c:pt>
                <c:pt idx="2">
                  <c:v>87.838330514395224</c:v>
                </c:pt>
                <c:pt idx="3">
                  <c:v>98.018469638195626</c:v>
                </c:pt>
                <c:pt idx="4">
                  <c:v>108.19860876199601</c:v>
                </c:pt>
                <c:pt idx="5">
                  <c:v>118.37874788579643</c:v>
                </c:pt>
                <c:pt idx="6">
                  <c:v>128.55888700959682</c:v>
                </c:pt>
                <c:pt idx="7">
                  <c:v>138.7390261333972</c:v>
                </c:pt>
                <c:pt idx="8">
                  <c:v>148.91916525719762</c:v>
                </c:pt>
                <c:pt idx="9">
                  <c:v>159.09930438099803</c:v>
                </c:pt>
                <c:pt idx="10">
                  <c:v>169.27944350479842</c:v>
                </c:pt>
                <c:pt idx="11">
                  <c:v>179.45958262859881</c:v>
                </c:pt>
                <c:pt idx="12">
                  <c:v>189.63972175239923</c:v>
                </c:pt>
                <c:pt idx="13">
                  <c:v>199.81986087619964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masa'!$O$58:$O$72</c:f>
              <c:numCache>
                <c:formatCode>0.00</c:formatCode>
                <c:ptCount val="15"/>
                <c:pt idx="0">
                  <c:v>2.9505792299741671</c:v>
                </c:pt>
                <c:pt idx="1">
                  <c:v>4.8527683199869056</c:v>
                </c:pt>
                <c:pt idx="2">
                  <c:v>6.4702485222944768</c:v>
                </c:pt>
                <c:pt idx="3">
                  <c:v>7.8363550341524988</c:v>
                </c:pt>
                <c:pt idx="4">
                  <c:v>8.9618752846644707</c:v>
                </c:pt>
                <c:pt idx="5">
                  <c:v>9.8413182374313344</c:v>
                </c:pt>
                <c:pt idx="6">
                  <c:v>10.456035873133004</c:v>
                </c:pt>
                <c:pt idx="7">
                  <c:v>10.775267238995767</c:v>
                </c:pt>
                <c:pt idx="8">
                  <c:v>10.755728867291857</c:v>
                </c:pt>
                <c:pt idx="9">
                  <c:v>10.339968440127919</c:v>
                </c:pt>
                <c:pt idx="10">
                  <c:v>9.4534344009145794</c:v>
                </c:pt>
                <c:pt idx="11">
                  <c:v>7.9999688249217744</c:v>
                </c:pt>
                <c:pt idx="12">
                  <c:v>5.8551332253766653</c:v>
                </c:pt>
                <c:pt idx="13">
                  <c:v>2.8563315302614809</c:v>
                </c:pt>
                <c:pt idx="14">
                  <c:v>-1.2120607176651916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6DE-49DA-A626-A8F9040C8032}"/>
            </c:ext>
          </c:extLst>
        </c:ser>
        <c:ser>
          <c:idx val="12"/>
          <c:order val="12"/>
          <c:tx>
            <c:v>h=8km, m. mocy</c:v>
          </c:tx>
          <c:spPr>
            <a:ln w="1905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'h=8km'!$J$25:$J$41</c:f>
              <c:numCache>
                <c:formatCode>0.0</c:formatCode>
                <c:ptCount val="17"/>
                <c:pt idx="0">
                  <c:v>70.173638246544257</c:v>
                </c:pt>
                <c:pt idx="1">
                  <c:v>71.430273178736542</c:v>
                </c:pt>
                <c:pt idx="2">
                  <c:v>72.896497781263278</c:v>
                </c:pt>
                <c:pt idx="3">
                  <c:v>76.153862231410116</c:v>
                </c:pt>
                <c:pt idx="4">
                  <c:v>79.488645432406841</c:v>
                </c:pt>
                <c:pt idx="5">
                  <c:v>83.303754722316654</c:v>
                </c:pt>
                <c:pt idx="6">
                  <c:v>92.93855113659788</c:v>
                </c:pt>
                <c:pt idx="7">
                  <c:v>106.41223152581387</c:v>
                </c:pt>
                <c:pt idx="8">
                  <c:v>118.7056552784162</c:v>
                </c:pt>
                <c:pt idx="9">
                  <c:v>133.53536351750049</c:v>
                </c:pt>
                <c:pt idx="10">
                  <c:v>167.70445602264468</c:v>
                </c:pt>
                <c:pt idx="11">
                  <c:v>185.99323918066736</c:v>
                </c:pt>
                <c:pt idx="12">
                  <c:v>214.05416477650726</c:v>
                </c:pt>
                <c:pt idx="13">
                  <c:v>240.11623928463251</c:v>
                </c:pt>
                <c:pt idx="14">
                  <c:v>271.29902251753913</c:v>
                </c:pt>
                <c:pt idx="15">
                  <c:v>295.93655247523742</c:v>
                </c:pt>
              </c:numCache>
            </c:numRef>
          </c:xVal>
          <c:yVal>
            <c:numRef>
              <c:f>'h=8km'!$O$25:$O$41</c:f>
              <c:numCache>
                <c:formatCode>0.00</c:formatCode>
                <c:ptCount val="17"/>
                <c:pt idx="0">
                  <c:v>2.2596523882707027</c:v>
                </c:pt>
                <c:pt idx="1">
                  <c:v>2.4594862172243381</c:v>
                </c:pt>
                <c:pt idx="2">
                  <c:v>2.7196047940377568</c:v>
                </c:pt>
                <c:pt idx="3">
                  <c:v>3.2312777701144806</c:v>
                </c:pt>
                <c:pt idx="4">
                  <c:v>3.732696397804725</c:v>
                </c:pt>
                <c:pt idx="5">
                  <c:v>4.2230427244697761</c:v>
                </c:pt>
                <c:pt idx="6">
                  <c:v>5.3066425282628122</c:v>
                </c:pt>
                <c:pt idx="7">
                  <c:v>6.4724913044378347</c:v>
                </c:pt>
                <c:pt idx="8">
                  <c:v>7.2667432629257771</c:v>
                </c:pt>
                <c:pt idx="9">
                  <c:v>7.8823129622108805</c:v>
                </c:pt>
                <c:pt idx="10">
                  <c:v>6.9971401844097567</c:v>
                </c:pt>
                <c:pt idx="11">
                  <c:v>4.6667860633554561</c:v>
                </c:pt>
                <c:pt idx="12">
                  <c:v>-2.2792416389170285</c:v>
                </c:pt>
                <c:pt idx="13">
                  <c:v>-16.524426658058925</c:v>
                </c:pt>
                <c:pt idx="14">
                  <c:v>-53.746894705756795</c:v>
                </c:pt>
                <c:pt idx="15">
                  <c:v>-162.02182463582989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6DE-49DA-A626-A8F9040C8032}"/>
            </c:ext>
          </c:extLst>
        </c:ser>
        <c:ser>
          <c:idx val="13"/>
          <c:order val="13"/>
          <c:tx>
            <c:v>h=8km, m. ciągu, m=const.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'h=8km'!$G$3:$G$17</c:f>
              <c:numCache>
                <c:formatCode>0.0</c:formatCode>
                <c:ptCount val="15"/>
                <c:pt idx="0">
                  <c:v>70.173638246544257</c:v>
                </c:pt>
                <c:pt idx="1">
                  <c:v>75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'h=8km'!$L$3:$L$17</c:f>
              <c:numCache>
                <c:formatCode>0.00</c:formatCode>
                <c:ptCount val="15"/>
                <c:pt idx="0">
                  <c:v>2.562383477251339</c:v>
                </c:pt>
                <c:pt idx="1">
                  <c:v>3.3487607300178657</c:v>
                </c:pt>
                <c:pt idx="2">
                  <c:v>3.6535984248390334</c:v>
                </c:pt>
                <c:pt idx="3">
                  <c:v>5.3648711633415962</c:v>
                </c:pt>
                <c:pt idx="4">
                  <c:v>6.7357087522828873</c:v>
                </c:pt>
                <c:pt idx="5">
                  <c:v>7.598712831727501</c:v>
                </c:pt>
                <c:pt idx="6">
                  <c:v>8.0618005847628122</c:v>
                </c:pt>
                <c:pt idx="7">
                  <c:v>8.0790977401152979</c:v>
                </c:pt>
                <c:pt idx="8">
                  <c:v>7.5322024399643963</c:v>
                </c:pt>
                <c:pt idx="9">
                  <c:v>6.4317051395534559</c:v>
                </c:pt>
                <c:pt idx="10">
                  <c:v>4.4718870572049783</c:v>
                </c:pt>
                <c:pt idx="11">
                  <c:v>1.2459130054667742</c:v>
                </c:pt>
                <c:pt idx="12">
                  <c:v>-2.7836386930267172</c:v>
                </c:pt>
                <c:pt idx="13">
                  <c:v>-8.8760053698303025</c:v>
                </c:pt>
                <c:pt idx="14">
                  <c:v>-16.846399990598503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6DE-49DA-A626-A8F9040C8032}"/>
            </c:ext>
          </c:extLst>
        </c:ser>
        <c:ser>
          <c:idx val="14"/>
          <c:order val="14"/>
          <c:tx>
            <c:v>h=8km, m. ciągu, zmienna masa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masa'!$J$76:$J$90</c:f>
              <c:numCache>
                <c:formatCode>0.0</c:formatCode>
                <c:ptCount val="15"/>
                <c:pt idx="0">
                  <c:v>75.356120124418212</c:v>
                </c:pt>
                <c:pt idx="1">
                  <c:v>84.973540115531193</c:v>
                </c:pt>
                <c:pt idx="2">
                  <c:v>94.590960106644175</c:v>
                </c:pt>
                <c:pt idx="3">
                  <c:v>104.20838009775716</c:v>
                </c:pt>
                <c:pt idx="4">
                  <c:v>113.82580008887015</c:v>
                </c:pt>
                <c:pt idx="5">
                  <c:v>123.44322007998312</c:v>
                </c:pt>
                <c:pt idx="6">
                  <c:v>133.06064007109612</c:v>
                </c:pt>
                <c:pt idx="7">
                  <c:v>142.67806006220911</c:v>
                </c:pt>
                <c:pt idx="8">
                  <c:v>152.29548005332208</c:v>
                </c:pt>
                <c:pt idx="9">
                  <c:v>161.91290004443505</c:v>
                </c:pt>
                <c:pt idx="10">
                  <c:v>171.53032003554804</c:v>
                </c:pt>
                <c:pt idx="11">
                  <c:v>181.14774002666104</c:v>
                </c:pt>
                <c:pt idx="12">
                  <c:v>190.76516001777401</c:v>
                </c:pt>
                <c:pt idx="13">
                  <c:v>200.382580008887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masa'!$O$76:$O$90</c:f>
              <c:numCache>
                <c:formatCode>0.00</c:formatCode>
                <c:ptCount val="15"/>
                <c:pt idx="0">
                  <c:v>1.2986050616650862</c:v>
                </c:pt>
                <c:pt idx="1">
                  <c:v>2.8906492480251651</c:v>
                </c:pt>
                <c:pt idx="2">
                  <c:v>4.2454903492987652</c:v>
                </c:pt>
                <c:pt idx="3">
                  <c:v>5.3885173513368496</c:v>
                </c:pt>
                <c:pt idx="4">
                  <c:v>6.3297127874424328</c:v>
                </c:pt>
                <c:pt idx="5">
                  <c:v>7.0671525211080697</c:v>
                </c:pt>
                <c:pt idx="6">
                  <c:v>7.5888267153990645</c:v>
                </c:pt>
                <c:pt idx="7">
                  <c:v>7.8732263710559476</c:v>
                </c:pt>
                <c:pt idx="8">
                  <c:v>7.8889454571028219</c:v>
                </c:pt>
                <c:pt idx="9">
                  <c:v>7.5933734689542423</c:v>
                </c:pt>
                <c:pt idx="10">
                  <c:v>6.9303921648466016</c:v>
                </c:pt>
                <c:pt idx="11">
                  <c:v>5.8268142914458707</c:v>
                </c:pt>
                <c:pt idx="12">
                  <c:v>4.1870666835777284</c:v>
                </c:pt>
                <c:pt idx="13">
                  <c:v>1.8852498246164235</c:v>
                </c:pt>
                <c:pt idx="14">
                  <c:v>-1.2469355447795512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6DE-49DA-A626-A8F9040C8032}"/>
            </c:ext>
          </c:extLst>
        </c:ser>
        <c:ser>
          <c:idx val="15"/>
          <c:order val="15"/>
          <c:tx>
            <c:v>h=10km, m. mocy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'h=10km'!$J$25:$J$39</c:f>
              <c:numCache>
                <c:formatCode>0.0</c:formatCode>
                <c:ptCount val="15"/>
                <c:pt idx="0">
                  <c:v>79.167950910162872</c:v>
                </c:pt>
                <c:pt idx="1">
                  <c:v>80.585651561143351</c:v>
                </c:pt>
                <c:pt idx="2">
                  <c:v>82.239805460764302</c:v>
                </c:pt>
                <c:pt idx="3">
                  <c:v>85.914673621079956</c:v>
                </c:pt>
                <c:pt idx="4">
                  <c:v>89.676883467247436</c:v>
                </c:pt>
                <c:pt idx="5">
                  <c:v>93.980983874858282</c:v>
                </c:pt>
                <c:pt idx="6">
                  <c:v>104.8506937632834</c:v>
                </c:pt>
                <c:pt idx="7">
                  <c:v>120.05132599906754</c:v>
                </c:pt>
                <c:pt idx="8">
                  <c:v>133.92042545696518</c:v>
                </c:pt>
                <c:pt idx="9">
                  <c:v>150.65089067467358</c:v>
                </c:pt>
                <c:pt idx="10">
                  <c:v>189.1995124318658</c:v>
                </c:pt>
                <c:pt idx="11">
                  <c:v>209.832409962047</c:v>
                </c:pt>
                <c:pt idx="12">
                  <c:v>241.48996735219114</c:v>
                </c:pt>
                <c:pt idx="13">
                  <c:v>270.89247642585843</c:v>
                </c:pt>
              </c:numCache>
            </c:numRef>
          </c:xVal>
          <c:yVal>
            <c:numRef>
              <c:f>'h=10km'!$O$25:$O$39</c:f>
              <c:numCache>
                <c:formatCode>0.00</c:formatCode>
                <c:ptCount val="15"/>
                <c:pt idx="0">
                  <c:v>0.4023421416415055</c:v>
                </c:pt>
                <c:pt idx="1">
                  <c:v>0.59140941842654826</c:v>
                </c:pt>
                <c:pt idx="2">
                  <c:v>0.8428784334432261</c:v>
                </c:pt>
                <c:pt idx="3">
                  <c:v>1.3266468044639967</c:v>
                </c:pt>
                <c:pt idx="4">
                  <c:v>1.797108473625538</c:v>
                </c:pt>
                <c:pt idx="5">
                  <c:v>2.2410107241118871</c:v>
                </c:pt>
                <c:pt idx="6">
                  <c:v>3.1878782623283226</c:v>
                </c:pt>
                <c:pt idx="7">
                  <c:v>4.1137051559218563</c:v>
                </c:pt>
                <c:pt idx="8">
                  <c:v>4.6432656942803909</c:v>
                </c:pt>
                <c:pt idx="9">
                  <c:v>4.8625105634610293</c:v>
                </c:pt>
                <c:pt idx="10">
                  <c:v>2.319648824704323</c:v>
                </c:pt>
                <c:pt idx="11">
                  <c:v>-1.8355898070286076</c:v>
                </c:pt>
                <c:pt idx="12">
                  <c:v>-15.055519527610237</c:v>
                </c:pt>
                <c:pt idx="13">
                  <c:v>-50.630424850499949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E6DE-49DA-A626-A8F9040C8032}"/>
            </c:ext>
          </c:extLst>
        </c:ser>
        <c:ser>
          <c:idx val="16"/>
          <c:order val="16"/>
          <c:tx>
            <c:v>h=10km, m. ciągu, m=const.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'h=10km'!$G$3:$G$17</c:f>
              <c:numCache>
                <c:formatCode>0.0</c:formatCode>
                <c:ptCount val="15"/>
                <c:pt idx="0">
                  <c:v>79.167950910162872</c:v>
                </c:pt>
                <c:pt idx="1">
                  <c:v>80</c:v>
                </c:pt>
                <c:pt idx="2">
                  <c:v>85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'h=10km'!$L$3:$L$17</c:f>
              <c:numCache>
                <c:formatCode>0.00</c:formatCode>
                <c:ptCount val="15"/>
                <c:pt idx="0">
                  <c:v>0.70795771159757304</c:v>
                </c:pt>
                <c:pt idx="1">
                  <c:v>0.82821996991747349</c:v>
                </c:pt>
                <c:pt idx="2">
                  <c:v>1.5100126216895111</c:v>
                </c:pt>
                <c:pt idx="3">
                  <c:v>2.1255940778039464</c:v>
                </c:pt>
                <c:pt idx="4">
                  <c:v>3.5313178455417291</c:v>
                </c:pt>
                <c:pt idx="5">
                  <c:v>4.4512510998188954</c:v>
                </c:pt>
                <c:pt idx="6">
                  <c:v>5.0123269117111304</c:v>
                </c:pt>
                <c:pt idx="7">
                  <c:v>5.1985884197374412</c:v>
                </c:pt>
                <c:pt idx="8">
                  <c:v>4.9046302846411214</c:v>
                </c:pt>
                <c:pt idx="9">
                  <c:v>4.1310961270932562</c:v>
                </c:pt>
                <c:pt idx="10">
                  <c:v>2.6421653665940545</c:v>
                </c:pt>
                <c:pt idx="11">
                  <c:v>8.2129083724398394E-2</c:v>
                </c:pt>
                <c:pt idx="12">
                  <c:v>-3.2150693829667345</c:v>
                </c:pt>
                <c:pt idx="13">
                  <c:v>-8.3453006047255798</c:v>
                </c:pt>
                <c:pt idx="14">
                  <c:v>-15.281705566419749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E6DE-49DA-A626-A8F9040C8032}"/>
            </c:ext>
          </c:extLst>
        </c:ser>
        <c:ser>
          <c:idx val="17"/>
          <c:order val="17"/>
          <c:tx>
            <c:v>h=10km, m. ciągu, zmienna masa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masa'!$J$94:$J$108</c:f>
              <c:numCache>
                <c:formatCode>0.0</c:formatCode>
                <c:ptCount val="15"/>
                <c:pt idx="0">
                  <c:v>84.65692418067519</c:v>
                </c:pt>
                <c:pt idx="1">
                  <c:v>93.610001024912677</c:v>
                </c:pt>
                <c:pt idx="2">
                  <c:v>102.56307786915016</c:v>
                </c:pt>
                <c:pt idx="3">
                  <c:v>111.51615471338765</c:v>
                </c:pt>
                <c:pt idx="4">
                  <c:v>120.46923155762514</c:v>
                </c:pt>
                <c:pt idx="5">
                  <c:v>129.42230840186261</c:v>
                </c:pt>
                <c:pt idx="6">
                  <c:v>138.37538524610011</c:v>
                </c:pt>
                <c:pt idx="7">
                  <c:v>147.32846209033761</c:v>
                </c:pt>
                <c:pt idx="8">
                  <c:v>156.28153893457508</c:v>
                </c:pt>
                <c:pt idx="9">
                  <c:v>165.23461577881255</c:v>
                </c:pt>
                <c:pt idx="10">
                  <c:v>174.18769262305005</c:v>
                </c:pt>
                <c:pt idx="11">
                  <c:v>183.14076946728756</c:v>
                </c:pt>
                <c:pt idx="12">
                  <c:v>192.09384631152503</c:v>
                </c:pt>
                <c:pt idx="13">
                  <c:v>201.0469231557625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masa'!$O$94:$O$108</c:f>
              <c:numCache>
                <c:formatCode>0.00</c:formatCode>
                <c:ptCount val="15"/>
                <c:pt idx="0">
                  <c:v>-0.49797685370082662</c:v>
                </c:pt>
                <c:pt idx="1">
                  <c:v>0.82390322625890877</c:v>
                </c:pt>
                <c:pt idx="2">
                  <c:v>1.9538793806970549</c:v>
                </c:pt>
                <c:pt idx="3">
                  <c:v>2.9096875398100739</c:v>
                </c:pt>
                <c:pt idx="4">
                  <c:v>3.699210777819526</c:v>
                </c:pt>
                <c:pt idx="5">
                  <c:v>4.322152708930755</c:v>
                </c:pt>
                <c:pt idx="6">
                  <c:v>4.7708918339990474</c:v>
                </c:pt>
                <c:pt idx="7">
                  <c:v>5.0306765727533129</c:v>
                </c:pt>
                <c:pt idx="8">
                  <c:v>5.0792053434599982</c:v>
                </c:pt>
                <c:pt idx="9">
                  <c:v>4.885566637150073</c:v>
                </c:pt>
                <c:pt idx="10">
                  <c:v>4.4084527002552703</c:v>
                </c:pt>
                <c:pt idx="11">
                  <c:v>3.593397445448872</c:v>
                </c:pt>
                <c:pt idx="12">
                  <c:v>2.3686425381776206</c:v>
                </c:pt>
                <c:pt idx="13">
                  <c:v>0.63892239187852484</c:v>
                </c:pt>
                <c:pt idx="14">
                  <c:v>-1.7240615686887151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6DE-49DA-A626-A8F9040C8032}"/>
            </c:ext>
          </c:extLst>
        </c:ser>
        <c:ser>
          <c:idx val="18"/>
          <c:order val="18"/>
          <c:tx>
            <c:v>h=12km, m. mocy</c:v>
          </c:tx>
          <c:spPr>
            <a:ln w="19050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'h=12km'!$J$25:$J$38</c:f>
              <c:numCache>
                <c:formatCode>0.0</c:formatCode>
                <c:ptCount val="14"/>
                <c:pt idx="0">
                  <c:v>89.964738979971202</c:v>
                </c:pt>
                <c:pt idx="1">
                  <c:v>91.575783191055109</c:v>
                </c:pt>
                <c:pt idx="2">
                  <c:v>93.455527735422194</c:v>
                </c:pt>
                <c:pt idx="3">
                  <c:v>97.631568052592556</c:v>
                </c:pt>
                <c:pt idx="4">
                  <c:v>101.90686156350351</c:v>
                </c:pt>
                <c:pt idx="5">
                  <c:v>106.79794773237124</c:v>
                </c:pt>
                <c:pt idx="6">
                  <c:v>119.15004983502457</c:v>
                </c:pt>
                <c:pt idx="7">
                  <c:v>136.42371797599583</c:v>
                </c:pt>
                <c:pt idx="8">
                  <c:v>152.18426120431434</c:v>
                </c:pt>
                <c:pt idx="9">
                  <c:v>171.19639830045594</c:v>
                </c:pt>
                <c:pt idx="10">
                  <c:v>215.00221434789697</c:v>
                </c:pt>
                <c:pt idx="11">
                  <c:v>238.44899071842138</c:v>
                </c:pt>
                <c:pt idx="12">
                  <c:v>274.42395097196714</c:v>
                </c:pt>
              </c:numCache>
            </c:numRef>
          </c:xVal>
          <c:yVal>
            <c:numRef>
              <c:f>'h=12km'!$O$25:$O$38</c:f>
              <c:numCache>
                <c:formatCode>0.00</c:formatCode>
                <c:ptCount val="14"/>
                <c:pt idx="0">
                  <c:v>-1.664143875920733</c:v>
                </c:pt>
                <c:pt idx="1">
                  <c:v>-1.4854697988099015</c:v>
                </c:pt>
                <c:pt idx="2">
                  <c:v>-1.2412414856116818</c:v>
                </c:pt>
                <c:pt idx="3">
                  <c:v>-0.78452486585086134</c:v>
                </c:pt>
                <c:pt idx="4">
                  <c:v>-0.34492609187815892</c:v>
                </c:pt>
                <c:pt idx="5">
                  <c:v>4.9381136344846234E-2</c:v>
                </c:pt>
                <c:pt idx="6">
                  <c:v>0.8434907796617418</c:v>
                </c:pt>
                <c:pt idx="7">
                  <c:v>1.480893266690674</c:v>
                </c:pt>
                <c:pt idx="8">
                  <c:v>1.6649303318989264</c:v>
                </c:pt>
                <c:pt idx="9">
                  <c:v>1.3091618754648451</c:v>
                </c:pt>
                <c:pt idx="10">
                  <c:v>-4.354575394498152</c:v>
                </c:pt>
                <c:pt idx="11">
                  <c:v>-13.247552014579556</c:v>
                </c:pt>
                <c:pt idx="12">
                  <c:v>-60.995971267542174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E6DE-49DA-A626-A8F9040C8032}"/>
            </c:ext>
          </c:extLst>
        </c:ser>
        <c:ser>
          <c:idx val="19"/>
          <c:order val="19"/>
          <c:tx>
            <c:v>h=12km, m. ciągu, m=const.</c:v>
          </c:tx>
          <c:spPr>
            <a:ln w="19050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'h=12km'!$G$3:$G$17</c:f>
              <c:numCache>
                <c:formatCode>0.0</c:formatCode>
                <c:ptCount val="15"/>
                <c:pt idx="0">
                  <c:v>89.964738979971202</c:v>
                </c:pt>
                <c:pt idx="1">
                  <c:v>93</c:v>
                </c:pt>
                <c:pt idx="2">
                  <c:v>96</c:v>
                </c:pt>
                <c:pt idx="3">
                  <c:v>99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'h=12km'!$L$3:$L$17</c:f>
              <c:numCache>
                <c:formatCode>0.00</c:formatCode>
                <c:ptCount val="15"/>
                <c:pt idx="0">
                  <c:v>-1.3404949320616575</c:v>
                </c:pt>
                <c:pt idx="1">
                  <c:v>-0.97598951780025411</c:v>
                </c:pt>
                <c:pt idx="2">
                  <c:v>-0.63785653006723264</c:v>
                </c:pt>
                <c:pt idx="3">
                  <c:v>-0.32083463151259578</c:v>
                </c:pt>
                <c:pt idx="4">
                  <c:v>0.16265416256338622</c:v>
                </c:pt>
                <c:pt idx="5">
                  <c:v>1.1735018136304163</c:v>
                </c:pt>
                <c:pt idx="6">
                  <c:v>1.8472450309436257</c:v>
                </c:pt>
                <c:pt idx="7">
                  <c:v>2.1963945712032751</c:v>
                </c:pt>
                <c:pt idx="8">
                  <c:v>2.1255556703123699</c:v>
                </c:pt>
                <c:pt idx="9">
                  <c:v>1.6283657201363408</c:v>
                </c:pt>
                <c:pt idx="10">
                  <c:v>0.52831648306599266</c:v>
                </c:pt>
                <c:pt idx="11">
                  <c:v>-1.4904423125613862</c:v>
                </c:pt>
                <c:pt idx="12">
                  <c:v>-4.2015031583585767</c:v>
                </c:pt>
                <c:pt idx="13">
                  <c:v>-8.5828189191682238</c:v>
                </c:pt>
                <c:pt idx="14">
                  <c:v>-14.773484922705999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6DE-49DA-A626-A8F9040C8032}"/>
            </c:ext>
          </c:extLst>
        </c:ser>
        <c:ser>
          <c:idx val="20"/>
          <c:order val="20"/>
          <c:tx>
            <c:v>h=12km, m. ciągu, zmienna masa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masa'!$J$112:$J$126</c:f>
              <c:numCache>
                <c:formatCode>0.0</c:formatCode>
                <c:ptCount val="15"/>
                <c:pt idx="0">
                  <c:v>95.682662323055354</c:v>
                </c:pt>
                <c:pt idx="1">
                  <c:v>103.1339007285514</c:v>
                </c:pt>
                <c:pt idx="2">
                  <c:v>110.58513913404745</c:v>
                </c:pt>
                <c:pt idx="3">
                  <c:v>118.03637753954349</c:v>
                </c:pt>
                <c:pt idx="4">
                  <c:v>125.48761594503954</c:v>
                </c:pt>
                <c:pt idx="5">
                  <c:v>132.93885435053559</c:v>
                </c:pt>
                <c:pt idx="6">
                  <c:v>140.39009275603163</c:v>
                </c:pt>
                <c:pt idx="7">
                  <c:v>147.84133116152768</c:v>
                </c:pt>
                <c:pt idx="8">
                  <c:v>155.29256956702372</c:v>
                </c:pt>
                <c:pt idx="9">
                  <c:v>162.74380797251979</c:v>
                </c:pt>
                <c:pt idx="10">
                  <c:v>170.19504637801583</c:v>
                </c:pt>
                <c:pt idx="11">
                  <c:v>177.64628478351187</c:v>
                </c:pt>
                <c:pt idx="12">
                  <c:v>185.09752318900792</c:v>
                </c:pt>
                <c:pt idx="13">
                  <c:v>192.54876159450396</c:v>
                </c:pt>
                <c:pt idx="14">
                  <c:v>200</c:v>
                </c:pt>
              </c:numCache>
            </c:numRef>
          </c:xVal>
          <c:yVal>
            <c:numRef>
              <c:f>'Metoda CIągu, zmienna masa'!$O$112:$O$126</c:f>
              <c:numCache>
                <c:formatCode>0.00</c:formatCode>
                <c:ptCount val="15"/>
                <c:pt idx="0">
                  <c:v>-2.4908197657192126</c:v>
                </c:pt>
                <c:pt idx="1">
                  <c:v>-1.4743040924381174</c:v>
                </c:pt>
                <c:pt idx="2">
                  <c:v>-0.58344892812388938</c:v>
                </c:pt>
                <c:pt idx="3">
                  <c:v>0.19076854242620331</c:v>
                </c:pt>
                <c:pt idx="4">
                  <c:v>0.85317742875583669</c:v>
                </c:pt>
                <c:pt idx="5">
                  <c:v>1.4047975697248258</c:v>
                </c:pt>
                <c:pt idx="6">
                  <c:v>1.8430638558784707</c:v>
                </c:pt>
                <c:pt idx="7">
                  <c:v>2.1618389851459288</c:v>
                </c:pt>
                <c:pt idx="8">
                  <c:v>2.3512199217640668</c:v>
                </c:pt>
                <c:pt idx="9">
                  <c:v>2.3971169314604004</c:v>
                </c:pt>
                <c:pt idx="10">
                  <c:v>2.2805619261229753</c:v>
                </c:pt>
                <c:pt idx="11">
                  <c:v>1.9766698585710696</c:v>
                </c:pt>
                <c:pt idx="12">
                  <c:v>1.4531383685747512</c:v>
                </c:pt>
                <c:pt idx="13">
                  <c:v>0.66808021661716377</c:v>
                </c:pt>
                <c:pt idx="14">
                  <c:v>-0.4331154081246712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6DE-49DA-A626-A8F9040C8032}"/>
            </c:ext>
          </c:extLst>
        </c:ser>
        <c:ser>
          <c:idx val="21"/>
          <c:order val="21"/>
          <c:tx>
            <c:v>h=14km, m. mocy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'h=14km'!$J$23:$J$35</c:f>
              <c:numCache>
                <c:formatCode>0.0</c:formatCode>
                <c:ptCount val="13"/>
                <c:pt idx="0">
                  <c:v>103.07310957548691</c:v>
                </c:pt>
                <c:pt idx="1">
                  <c:v>104.91889202739816</c:v>
                </c:pt>
                <c:pt idx="2">
                  <c:v>107.0725259687872</c:v>
                </c:pt>
                <c:pt idx="3">
                  <c:v>111.85703894669048</c:v>
                </c:pt>
                <c:pt idx="4">
                  <c:v>116.75526686925021</c:v>
                </c:pt>
                <c:pt idx="5">
                  <c:v>122.35901191806414</c:v>
                </c:pt>
                <c:pt idx="6">
                  <c:v>136.51088506247279</c:v>
                </c:pt>
                <c:pt idx="7">
                  <c:v>156.30142421427655</c:v>
                </c:pt>
                <c:pt idx="8">
                  <c:v>174.35836760743564</c:v>
                </c:pt>
                <c:pt idx="9">
                  <c:v>196.14068046015294</c:v>
                </c:pt>
                <c:pt idx="10">
                  <c:v>246.32925132353006</c:v>
                </c:pt>
                <c:pt idx="11">
                  <c:v>273.19235544001106</c:v>
                </c:pt>
              </c:numCache>
            </c:numRef>
          </c:xVal>
          <c:yVal>
            <c:numRef>
              <c:f>'h=14km'!$O$23:$O$35</c:f>
              <c:numCache>
                <c:formatCode>0.00</c:formatCode>
                <c:ptCount val="13"/>
                <c:pt idx="0">
                  <c:v>-4.0418684542229979</c:v>
                </c:pt>
                <c:pt idx="1">
                  <c:v>-3.8747968910068105</c:v>
                </c:pt>
                <c:pt idx="2">
                  <c:v>-3.6378660350513559</c:v>
                </c:pt>
                <c:pt idx="3">
                  <c:v>-3.2119373512261258</c:v>
                </c:pt>
                <c:pt idx="4">
                  <c:v>-2.8086584238267336</c:v>
                </c:pt>
                <c:pt idx="5">
                  <c:v>-2.4758499389436541</c:v>
                </c:pt>
                <c:pt idx="6">
                  <c:v>-1.8822476030145374</c:v>
                </c:pt>
                <c:pt idx="7">
                  <c:v>-1.6631901557740409</c:v>
                </c:pt>
                <c:pt idx="8">
                  <c:v>-2.0482348937627153</c:v>
                </c:pt>
                <c:pt idx="9">
                  <c:v>-3.5208858487864449</c:v>
                </c:pt>
                <c:pt idx="10">
                  <c:v>-19.18575079967113</c:v>
                </c:pt>
                <c:pt idx="11">
                  <c:v>-75.87040648146619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6DE-49DA-A626-A8F9040C8032}"/>
            </c:ext>
          </c:extLst>
        </c:ser>
        <c:ser>
          <c:idx val="22"/>
          <c:order val="22"/>
          <c:tx>
            <c:v>h=14km, m. ciągu, m=const.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'h=14km'!$G$3:$G$17</c:f>
              <c:numCache>
                <c:formatCode>0.0</c:formatCode>
                <c:ptCount val="15"/>
                <c:pt idx="0">
                  <c:v>103.07310957548691</c:v>
                </c:pt>
                <c:pt idx="1">
                  <c:v>106</c:v>
                </c:pt>
                <c:pt idx="2">
                  <c:v>109</c:v>
                </c:pt>
                <c:pt idx="3">
                  <c:v>112</c:v>
                </c:pt>
                <c:pt idx="4">
                  <c:v>115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'h=14km'!$L$3:$L$17</c:f>
              <c:numCache>
                <c:formatCode>0.00</c:formatCode>
                <c:ptCount val="15"/>
                <c:pt idx="0">
                  <c:v>-3.6818230668058329</c:v>
                </c:pt>
                <c:pt idx="1">
                  <c:v>-3.3864704929970104</c:v>
                </c:pt>
                <c:pt idx="2">
                  <c:v>-3.1030913007057501</c:v>
                </c:pt>
                <c:pt idx="3">
                  <c:v>-2.8386779980691976</c:v>
                </c:pt>
                <c:pt idx="4">
                  <c:v>-2.5926952329509914</c:v>
                </c:pt>
                <c:pt idx="5">
                  <c:v>-2.4387254991112606</c:v>
                </c:pt>
                <c:pt idx="6">
                  <c:v>-1.6265271592451331</c:v>
                </c:pt>
                <c:pt idx="7">
                  <c:v>-1.1096605857689898</c:v>
                </c:pt>
                <c:pt idx="8">
                  <c:v>-0.97741029590559114</c:v>
                </c:pt>
                <c:pt idx="9">
                  <c:v>-1.2409224574898396</c:v>
                </c:pt>
                <c:pt idx="10">
                  <c:v>-2.0273366574802796</c:v>
                </c:pt>
                <c:pt idx="11">
                  <c:v>-3.6261712850775387</c:v>
                </c:pt>
                <c:pt idx="12">
                  <c:v>-5.9017226891461751</c:v>
                </c:pt>
                <c:pt idx="13">
                  <c:v>-9.7718010628028367</c:v>
                </c:pt>
                <c:pt idx="14">
                  <c:v>-15.584126111675252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E6DE-49DA-A626-A8F9040C8032}"/>
            </c:ext>
          </c:extLst>
        </c:ser>
        <c:ser>
          <c:idx val="23"/>
          <c:order val="23"/>
          <c:tx>
            <c:v>h=14km, m. ciągu, zmienna masa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masa'!$J$130:$J$144</c:f>
              <c:numCache>
                <c:formatCode>0.0</c:formatCode>
                <c:ptCount val="15"/>
                <c:pt idx="0">
                  <c:v>108.5936341211916</c:v>
                </c:pt>
                <c:pt idx="1">
                  <c:v>114.40837454110648</c:v>
                </c:pt>
                <c:pt idx="2">
                  <c:v>120.22311496102137</c:v>
                </c:pt>
                <c:pt idx="3">
                  <c:v>126.03785538093626</c:v>
                </c:pt>
                <c:pt idx="4">
                  <c:v>131.85259580085113</c:v>
                </c:pt>
                <c:pt idx="5">
                  <c:v>137.66733622076603</c:v>
                </c:pt>
                <c:pt idx="6">
                  <c:v>143.48207664068093</c:v>
                </c:pt>
                <c:pt idx="7">
                  <c:v>149.2968170605958</c:v>
                </c:pt>
                <c:pt idx="8">
                  <c:v>155.11155748051067</c:v>
                </c:pt>
                <c:pt idx="9">
                  <c:v>160.92629790042557</c:v>
                </c:pt>
                <c:pt idx="10">
                  <c:v>166.74103832034046</c:v>
                </c:pt>
                <c:pt idx="11">
                  <c:v>172.55577874025533</c:v>
                </c:pt>
                <c:pt idx="12">
                  <c:v>178.37051916017023</c:v>
                </c:pt>
                <c:pt idx="13">
                  <c:v>184.18525958008513</c:v>
                </c:pt>
                <c:pt idx="14">
                  <c:v>190</c:v>
                </c:pt>
              </c:numCache>
            </c:numRef>
          </c:xVal>
          <c:yVal>
            <c:numRef>
              <c:f>'Metoda CIągu, zmienna masa'!$O$130:$O$144</c:f>
              <c:numCache>
                <c:formatCode>0.00</c:formatCode>
                <c:ptCount val="15"/>
                <c:pt idx="0">
                  <c:v>-4.7261966713904355</c:v>
                </c:pt>
                <c:pt idx="1">
                  <c:v>-3.9736126819577762</c:v>
                </c:pt>
                <c:pt idx="2">
                  <c:v>-3.2945890086727427</c:v>
                </c:pt>
                <c:pt idx="3">
                  <c:v>-2.6856406007271487</c:v>
                </c:pt>
                <c:pt idx="4">
                  <c:v>-2.1446940734442057</c:v>
                </c:pt>
                <c:pt idx="5">
                  <c:v>-1.6710429857913305</c:v>
                </c:pt>
                <c:pt idx="6">
                  <c:v>-1.2653702213242568</c:v>
                </c:pt>
                <c:pt idx="7">
                  <c:v>-0.92976652569278551</c:v>
                </c:pt>
                <c:pt idx="8">
                  <c:v>-0.66782369827923138</c:v>
                </c:pt>
                <c:pt idx="9">
                  <c:v>-0.48477933177478705</c:v>
                </c:pt>
                <c:pt idx="10">
                  <c:v>-0.38773043811490915</c:v>
                </c:pt>
                <c:pt idx="11">
                  <c:v>-0.38593610567447184</c:v>
                </c:pt>
                <c:pt idx="12">
                  <c:v>-0.49123388848388988</c:v>
                </c:pt>
                <c:pt idx="13">
                  <c:v>-0.71860767568725747</c:v>
                </c:pt>
                <c:pt idx="14">
                  <c:v>-1.0869621198908894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E6DE-49DA-A626-A8F9040C8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439919"/>
        <c:axId val="2018443391"/>
      </c:scatterChart>
      <c:valAx>
        <c:axId val="1356439919"/>
        <c:scaling>
          <c:orientation val="minMax"/>
          <c:max val="22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443391"/>
        <c:crosses val="autoZero"/>
        <c:crossBetween val="midCat"/>
        <c:majorUnit val="20"/>
      </c:valAx>
      <c:valAx>
        <c:axId val="2018443391"/>
        <c:scaling>
          <c:orientation val="minMax"/>
          <c:max val="24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</a:t>
                </a:r>
                <a:r>
                  <a:rPr lang="el-GR"/>
                  <a:t> [</a:t>
                </a:r>
                <a:r>
                  <a:rPr lang="pl-PL"/>
                  <a:t>m/s</a:t>
                </a:r>
                <a:r>
                  <a:rPr lang="el-GR"/>
                  <a:t>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6439919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ofertowy samolotu Iskra wpływ ściśliwości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0553243689356174E-2"/>
          <c:y val="8.277635118128146E-2"/>
          <c:w val="0.92643151117608191"/>
          <c:h val="0.85340263004457939"/>
        </c:manualLayout>
      </c:layout>
      <c:scatterChart>
        <c:scatterStyle val="smoothMarker"/>
        <c:varyColors val="0"/>
        <c:ser>
          <c:idx val="0"/>
          <c:order val="0"/>
          <c:tx>
            <c:v>Vmin1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Podsumowanie!$P$4:$P$11</c:f>
              <c:numCache>
                <c:formatCode>0.00</c:formatCode>
                <c:ptCount val="8"/>
                <c:pt idx="0">
                  <c:v>179.88039867109609</c:v>
                </c:pt>
                <c:pt idx="1">
                  <c:v>198.53820598006621</c:v>
                </c:pt>
                <c:pt idx="2">
                  <c:v>219.34883720930222</c:v>
                </c:pt>
                <c:pt idx="3">
                  <c:v>243.02990033222582</c:v>
                </c:pt>
                <c:pt idx="4">
                  <c:v>271.73421926910294</c:v>
                </c:pt>
                <c:pt idx="5">
                  <c:v>315.50830564784042</c:v>
                </c:pt>
                <c:pt idx="6">
                  <c:v>418.1262458471748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D0-4F67-BF8A-58690DD7D07E}"/>
            </c:ext>
          </c:extLst>
        </c:ser>
        <c:ser>
          <c:idx val="13"/>
          <c:order val="1"/>
          <c:tx>
            <c:v>Vmin2</c:v>
          </c:tx>
          <c:spPr>
            <a:ln w="19050" cap="rnd">
              <a:solidFill>
                <a:schemeClr val="accent1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Podsumowanie!$P$35:$P$43</c:f>
              <c:numCache>
                <c:formatCode>0.00</c:formatCode>
                <c:ptCount val="9"/>
                <c:pt idx="0">
                  <c:v>179.88906009244968</c:v>
                </c:pt>
                <c:pt idx="1">
                  <c:v>197.19568567026178</c:v>
                </c:pt>
                <c:pt idx="2">
                  <c:v>218.49614791987645</c:v>
                </c:pt>
                <c:pt idx="3">
                  <c:v>242.45916795069334</c:v>
                </c:pt>
                <c:pt idx="4">
                  <c:v>273.07858243451437</c:v>
                </c:pt>
                <c:pt idx="5">
                  <c:v>311.68567026194148</c:v>
                </c:pt>
                <c:pt idx="6">
                  <c:v>403.54391371340517</c:v>
                </c:pt>
                <c:pt idx="7">
                  <c:v>547.32203389830238</c:v>
                </c:pt>
                <c:pt idx="8" formatCode="General">
                  <c:v>830</c:v>
                </c:pt>
              </c:numCache>
            </c:numRef>
          </c:xVal>
          <c:yVal>
            <c:numRef>
              <c:f>Podsumowanie!$N$35:$N$43</c:f>
              <c:numCache>
                <c:formatCode>General</c:formatCode>
                <c:ptCount val="9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15330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D0-4F67-BF8A-58690DD7D07E}"/>
            </c:ext>
          </c:extLst>
        </c:ser>
        <c:ser>
          <c:idx val="1"/>
          <c:order val="2"/>
          <c:tx>
            <c:v>Vmax1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Podsumowanie!$R$4:$R$11</c:f>
              <c:numCache>
                <c:formatCode>0.00</c:formatCode>
                <c:ptCount val="8"/>
                <c:pt idx="0">
                  <c:v>737.96334012219961</c:v>
                </c:pt>
                <c:pt idx="1">
                  <c:v>742.14256619144521</c:v>
                </c:pt>
                <c:pt idx="2">
                  <c:v>745.88187372708603</c:v>
                </c:pt>
                <c:pt idx="3">
                  <c:v>745.07535641547713</c:v>
                </c:pt>
                <c:pt idx="4">
                  <c:v>742.80244399185244</c:v>
                </c:pt>
                <c:pt idx="5">
                  <c:v>733.12423625254314</c:v>
                </c:pt>
                <c:pt idx="6">
                  <c:v>709.80855397148514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D0-4F67-BF8A-58690DD7D07E}"/>
            </c:ext>
          </c:extLst>
        </c:ser>
        <c:ser>
          <c:idx val="14"/>
          <c:order val="3"/>
          <c:tx>
            <c:v>Vmax2</c:v>
          </c:tx>
          <c:spPr>
            <a:ln w="19050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Podsumowanie!$R$35:$R$43</c:f>
              <c:numCache>
                <c:formatCode>0.00</c:formatCode>
                <c:ptCount val="9"/>
                <c:pt idx="0">
                  <c:v>841.5346687211088</c:v>
                </c:pt>
                <c:pt idx="1">
                  <c:v>858.84129429891846</c:v>
                </c:pt>
                <c:pt idx="2">
                  <c:v>877.47919876733397</c:v>
                </c:pt>
                <c:pt idx="3">
                  <c:v>896.11710323574607</c:v>
                </c:pt>
                <c:pt idx="4">
                  <c:v>917.41756548535932</c:v>
                </c:pt>
                <c:pt idx="5">
                  <c:v>938.71802773497598</c:v>
                </c:pt>
                <c:pt idx="6">
                  <c:v>958.68721109399041</c:v>
                </c:pt>
                <c:pt idx="7">
                  <c:v>964.01232665639293</c:v>
                </c:pt>
                <c:pt idx="8" formatCode="General">
                  <c:v>830</c:v>
                </c:pt>
              </c:numCache>
            </c:numRef>
          </c:xVal>
          <c:yVal>
            <c:numRef>
              <c:f>Podsumowanie!$N$35:$N$43</c:f>
              <c:numCache>
                <c:formatCode>General</c:formatCode>
                <c:ptCount val="9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15330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2D0-4F67-BF8A-58690DD7D07E}"/>
            </c:ext>
          </c:extLst>
        </c:ser>
        <c:ser>
          <c:idx val="2"/>
          <c:order val="4"/>
          <c:tx>
            <c:v>Vw1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Podsumowanie!$V$4:$V$11</c:f>
              <c:numCache>
                <c:formatCode>0.00</c:formatCode>
                <c:ptCount val="8"/>
                <c:pt idx="0">
                  <c:v>484.86378737541236</c:v>
                </c:pt>
                <c:pt idx="1">
                  <c:v>497.78073089700843</c:v>
                </c:pt>
                <c:pt idx="2">
                  <c:v>513.568106312292</c:v>
                </c:pt>
                <c:pt idx="3">
                  <c:v>529.35548172757194</c:v>
                </c:pt>
                <c:pt idx="4">
                  <c:v>549.44850498338519</c:v>
                </c:pt>
                <c:pt idx="5">
                  <c:v>574.56478405315443</c:v>
                </c:pt>
                <c:pt idx="6">
                  <c:v>602.55149501661117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2D0-4F67-BF8A-58690DD7D07E}"/>
            </c:ext>
          </c:extLst>
        </c:ser>
        <c:ser>
          <c:idx val="15"/>
          <c:order val="5"/>
          <c:tx>
            <c:v>Vw2</c:v>
          </c:tx>
          <c:spPr>
            <a:ln w="1905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Podsumowanie!$V$35:$V$43</c:f>
              <c:numCache>
                <c:formatCode>0.00</c:formatCode>
                <c:ptCount val="9"/>
                <c:pt idx="0">
                  <c:v>514.04006163327836</c:v>
                </c:pt>
                <c:pt idx="1">
                  <c:v>538.0030816640965</c:v>
                </c:pt>
                <c:pt idx="2">
                  <c:v>564.62865947611567</c:v>
                </c:pt>
                <c:pt idx="3">
                  <c:v>592.58551617873366</c:v>
                </c:pt>
                <c:pt idx="4">
                  <c:v>617.87981510015402</c:v>
                </c:pt>
                <c:pt idx="5">
                  <c:v>656.48690292758045</c:v>
                </c:pt>
                <c:pt idx="6">
                  <c:v>705.74422187981156</c:v>
                </c:pt>
                <c:pt idx="7">
                  <c:v>773.63944530046194</c:v>
                </c:pt>
                <c:pt idx="8" formatCode="General">
                  <c:v>830</c:v>
                </c:pt>
              </c:numCache>
            </c:numRef>
          </c:xVal>
          <c:yVal>
            <c:numRef>
              <c:f>Podsumowanie!$N$35:$N$43</c:f>
              <c:numCache>
                <c:formatCode>General</c:formatCode>
                <c:ptCount val="9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15330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2D0-4F67-BF8A-58690DD7D07E}"/>
            </c:ext>
          </c:extLst>
        </c:ser>
        <c:ser>
          <c:idx val="3"/>
          <c:order val="6"/>
          <c:tx>
            <c:v>Vy1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Podsumowanie!$Z$4:$Z$11</c:f>
              <c:numCache>
                <c:formatCode>0.00</c:formatCode>
                <c:ptCount val="8"/>
                <c:pt idx="0">
                  <c:v>308.18918918918916</c:v>
                </c:pt>
                <c:pt idx="1">
                  <c:v>353.43243243243217</c:v>
                </c:pt>
                <c:pt idx="2">
                  <c:v>386.27027027026924</c:v>
                </c:pt>
                <c:pt idx="3">
                  <c:v>428.59459459459441</c:v>
                </c:pt>
                <c:pt idx="4">
                  <c:v>465.8108108108076</c:v>
                </c:pt>
                <c:pt idx="5">
                  <c:v>519.81081081080754</c:v>
                </c:pt>
                <c:pt idx="6">
                  <c:v>578.91891891891601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2D0-4F67-BF8A-58690DD7D07E}"/>
            </c:ext>
          </c:extLst>
        </c:ser>
        <c:ser>
          <c:idx val="16"/>
          <c:order val="7"/>
          <c:tx>
            <c:v>Vy2</c:v>
          </c:tx>
          <c:spPr>
            <a:ln w="19050" cap="rnd">
              <a:solidFill>
                <a:schemeClr val="accent4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Podsumowanie!$Z$35:$Z$43</c:f>
              <c:numCache>
                <c:formatCode>0.00</c:formatCode>
                <c:ptCount val="9"/>
                <c:pt idx="0">
                  <c:v>308.03940886699479</c:v>
                </c:pt>
                <c:pt idx="1">
                  <c:v>344.92610837438423</c:v>
                </c:pt>
                <c:pt idx="2">
                  <c:v>390.32512315270918</c:v>
                </c:pt>
                <c:pt idx="3">
                  <c:v>438.56157635467918</c:v>
                </c:pt>
                <c:pt idx="4">
                  <c:v>489.63546798029279</c:v>
                </c:pt>
                <c:pt idx="5">
                  <c:v>553.47783251231522</c:v>
                </c:pt>
                <c:pt idx="6">
                  <c:v>641.43842364531724</c:v>
                </c:pt>
                <c:pt idx="7">
                  <c:v>752.09852216748595</c:v>
                </c:pt>
                <c:pt idx="8" formatCode="General">
                  <c:v>830</c:v>
                </c:pt>
              </c:numCache>
            </c:numRef>
          </c:xVal>
          <c:yVal>
            <c:numRef>
              <c:f>Podsumowanie!$N$35:$N$43</c:f>
              <c:numCache>
                <c:formatCode>General</c:formatCode>
                <c:ptCount val="9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15330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2D0-4F67-BF8A-58690DD7D07E}"/>
            </c:ext>
          </c:extLst>
        </c:ser>
        <c:ser>
          <c:idx val="4"/>
          <c:order val="8"/>
          <c:tx>
            <c:v>10wmax1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Podsumowanie!$T$4:$T$11</c:f>
              <c:numCache>
                <c:formatCode>0.00</c:formatCode>
                <c:ptCount val="8"/>
                <c:pt idx="0">
                  <c:v>205.452755905511</c:v>
                </c:pt>
                <c:pt idx="1">
                  <c:v>170.72834645669201</c:v>
                </c:pt>
                <c:pt idx="2">
                  <c:v>138.07086614173198</c:v>
                </c:pt>
                <c:pt idx="3">
                  <c:v>107.480314960629</c:v>
                </c:pt>
                <c:pt idx="4">
                  <c:v>78.956692913385794</c:v>
                </c:pt>
                <c:pt idx="5">
                  <c:v>50.8464566929133</c:v>
                </c:pt>
                <c:pt idx="6">
                  <c:v>23.976377952755801</c:v>
                </c:pt>
                <c:pt idx="7" formatCode="General">
                  <c:v>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2D0-4F67-BF8A-58690DD7D07E}"/>
            </c:ext>
          </c:extLst>
        </c:ser>
        <c:ser>
          <c:idx val="17"/>
          <c:order val="9"/>
          <c:tx>
            <c:v>10wmax2</c:v>
          </c:tx>
          <c:spPr>
            <a:ln w="19050" cap="rnd">
              <a:solidFill>
                <a:schemeClr val="accent5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Podsumowanie!$T$35:$T$43</c:f>
              <c:numCache>
                <c:formatCode>0.00</c:formatCode>
                <c:ptCount val="9"/>
                <c:pt idx="0">
                  <c:v>213.34453781512599</c:v>
                </c:pt>
                <c:pt idx="1">
                  <c:v>178.588235294117</c:v>
                </c:pt>
                <c:pt idx="2">
                  <c:v>146.78991596638599</c:v>
                </c:pt>
                <c:pt idx="3">
                  <c:v>116.840336134453</c:v>
                </c:pt>
                <c:pt idx="4">
                  <c:v>90.588235294117595</c:v>
                </c:pt>
                <c:pt idx="5">
                  <c:v>65.075630252100794</c:v>
                </c:pt>
                <c:pt idx="6">
                  <c:v>40.672268907562895</c:v>
                </c:pt>
                <c:pt idx="7">
                  <c:v>18.487394957983099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Podsumowanie!$N$35:$N$43</c:f>
              <c:numCache>
                <c:formatCode>General</c:formatCode>
                <c:ptCount val="9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15330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2D0-4F67-BF8A-58690DD7D07E}"/>
            </c:ext>
          </c:extLst>
        </c:ser>
        <c:ser>
          <c:idx val="5"/>
          <c:order val="10"/>
          <c:tx>
            <c:v>10ymax1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Podsumowanie!$X$4:$X$11</c:f>
              <c:numCache>
                <c:formatCode>0.00</c:formatCode>
                <c:ptCount val="8"/>
                <c:pt idx="0">
                  <c:v>106.14754098360599</c:v>
                </c:pt>
                <c:pt idx="1">
                  <c:v>83.811475409835992</c:v>
                </c:pt>
                <c:pt idx="2">
                  <c:v>64.959016393442596</c:v>
                </c:pt>
                <c:pt idx="3">
                  <c:v>47.950819672131104</c:v>
                </c:pt>
                <c:pt idx="4">
                  <c:v>32.581967213114702</c:v>
                </c:pt>
                <c:pt idx="5">
                  <c:v>19.262295081967199</c:v>
                </c:pt>
                <c:pt idx="6">
                  <c:v>8.401639344262291</c:v>
                </c:pt>
                <c:pt idx="7" formatCode="General">
                  <c:v>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2D0-4F67-BF8A-58690DD7D07E}"/>
            </c:ext>
          </c:extLst>
        </c:ser>
        <c:ser>
          <c:idx val="18"/>
          <c:order val="11"/>
          <c:tx>
            <c:v>10ymax2</c:v>
          </c:tx>
          <c:spPr>
            <a:ln w="19050" cap="rnd">
              <a:solidFill>
                <a:schemeClr val="accent6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Podsumowanie!$X$35:$X$43</c:f>
              <c:numCache>
                <c:formatCode>0.00</c:formatCode>
                <c:ptCount val="9"/>
                <c:pt idx="0">
                  <c:v>106.006378678792</c:v>
                </c:pt>
                <c:pt idx="1">
                  <c:v>84.091511936339487</c:v>
                </c:pt>
                <c:pt idx="2">
                  <c:v>65.063155235568999</c:v>
                </c:pt>
                <c:pt idx="3">
                  <c:v>48.727737779461897</c:v>
                </c:pt>
                <c:pt idx="4">
                  <c:v>34.700644183402801</c:v>
                </c:pt>
                <c:pt idx="5">
                  <c:v>22.791777188328901</c:v>
                </c:pt>
                <c:pt idx="6">
                  <c:v>13.003663003662901</c:v>
                </c:pt>
                <c:pt idx="7">
                  <c:v>5.1436781609195306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Podsumowanie!$N$35:$N$43</c:f>
              <c:numCache>
                <c:formatCode>General</c:formatCode>
                <c:ptCount val="9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15330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2D0-4F67-BF8A-58690DD7D07E}"/>
            </c:ext>
          </c:extLst>
        </c:ser>
        <c:ser>
          <c:idx val="6"/>
          <c:order val="12"/>
          <c:tx>
            <c:v>10th1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Podsumowanie!$AB$4:$AB$11</c:f>
              <c:numCache>
                <c:formatCode>0.00</c:formatCode>
                <c:ptCount val="8"/>
                <c:pt idx="0">
                  <c:v>0</c:v>
                </c:pt>
                <c:pt idx="1">
                  <c:v>17.874261982982183</c:v>
                </c:pt>
                <c:pt idx="2">
                  <c:v>39.70745481558064</c:v>
                </c:pt>
                <c:pt idx="3">
                  <c:v>67.28526622572754</c:v>
                </c:pt>
                <c:pt idx="4">
                  <c:v>103.90059969969991</c:v>
                </c:pt>
                <c:pt idx="5">
                  <c:v>157.78764068928214</c:v>
                </c:pt>
                <c:pt idx="6">
                  <c:v>260.07892632791885</c:v>
                </c:pt>
                <c:pt idx="7" formatCode="General">
                  <c:v>1100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2D0-4F67-BF8A-58690DD7D07E}"/>
            </c:ext>
          </c:extLst>
        </c:ser>
        <c:ser>
          <c:idx val="19"/>
          <c:order val="13"/>
          <c:tx>
            <c:v>10th2</c:v>
          </c:tx>
          <c:spPr>
            <a:ln w="1270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Podsumowanie!$AB$35:$AB$43</c:f>
              <c:numCache>
                <c:formatCode>0.00</c:formatCode>
                <c:ptCount val="9"/>
                <c:pt idx="0">
                  <c:v>0</c:v>
                </c:pt>
                <c:pt idx="1">
                  <c:v>17.144544685800089</c:v>
                </c:pt>
                <c:pt idx="2">
                  <c:v>37.831094777672782</c:v>
                </c:pt>
                <c:pt idx="3">
                  <c:v>63.449670130409544</c:v>
                </c:pt>
                <c:pt idx="4">
                  <c:v>96.112418774170948</c:v>
                </c:pt>
                <c:pt idx="5">
                  <c:v>140.12191306775617</c:v>
                </c:pt>
                <c:pt idx="6">
                  <c:v>206.71110039557999</c:v>
                </c:pt>
                <c:pt idx="7">
                  <c:v>337.84057697960259</c:v>
                </c:pt>
                <c:pt idx="8" formatCode="General">
                  <c:v>1100</c:v>
                </c:pt>
              </c:numCache>
            </c:numRef>
          </c:xVal>
          <c:yVal>
            <c:numRef>
              <c:f>Podsumowanie!$N$35:$N$43</c:f>
              <c:numCache>
                <c:formatCode>General</c:formatCode>
                <c:ptCount val="9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15330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2D0-4F67-BF8A-58690DD7D07E}"/>
            </c:ext>
          </c:extLst>
        </c:ser>
        <c:ser>
          <c:idx val="7"/>
          <c:order val="14"/>
          <c:tx>
            <c:v>ht1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Podsumowanie!$AD$40:$AD$41</c:f>
              <c:numCache>
                <c:formatCode>General</c:formatCode>
                <c:ptCount val="2"/>
                <c:pt idx="0">
                  <c:v>13600</c:v>
                </c:pt>
                <c:pt idx="1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82D0-4F67-BF8A-58690DD7D07E}"/>
            </c:ext>
          </c:extLst>
        </c:ser>
        <c:ser>
          <c:idx val="9"/>
          <c:order val="15"/>
          <c:tx>
            <c:v>ht2</c:v>
          </c:tx>
          <c:spPr>
            <a:ln w="1270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Podsumowanie!$AJ$40:$AJ$41</c:f>
              <c:numCache>
                <c:formatCode>General</c:formatCode>
                <c:ptCount val="2"/>
                <c:pt idx="0">
                  <c:v>15330</c:v>
                </c:pt>
                <c:pt idx="1">
                  <c:v>15330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82D0-4F67-BF8A-58690DD7D07E}"/>
            </c:ext>
          </c:extLst>
        </c:ser>
        <c:ser>
          <c:idx val="8"/>
          <c:order val="16"/>
          <c:tx>
            <c:v>hp1</c:v>
          </c:tx>
          <c:spPr>
            <a:ln w="127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Podsumowanie!$AE$40:$AE$41</c:f>
              <c:numCache>
                <c:formatCode>General</c:formatCode>
                <c:ptCount val="2"/>
                <c:pt idx="0">
                  <c:v>13269.38</c:v>
                </c:pt>
                <c:pt idx="1">
                  <c:v>13269.38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82D0-4F67-BF8A-58690DD7D07E}"/>
            </c:ext>
          </c:extLst>
        </c:ser>
        <c:ser>
          <c:idx val="10"/>
          <c:order val="17"/>
          <c:tx>
            <c:v>hp2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Podsumowanie!$AK$40:$AK$41</c:f>
              <c:numCache>
                <c:formatCode>General</c:formatCode>
                <c:ptCount val="2"/>
                <c:pt idx="0">
                  <c:v>14970.76</c:v>
                </c:pt>
                <c:pt idx="1">
                  <c:v>14970.76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82D0-4F67-BF8A-58690DD7D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5119"/>
        <c:axId val="1641619439"/>
      </c:scatterChart>
      <c:valAx>
        <c:axId val="1494335119"/>
        <c:scaling>
          <c:orientation val="minMax"/>
          <c:max val="1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 [km/h]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 [m/s]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 [min]</a:t>
                </a:r>
              </a:p>
              <a:p>
                <a:pPr>
                  <a:defRPr/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[°]</a:t>
                </a:r>
              </a:p>
            </c:rich>
          </c:tx>
          <c:layout>
            <c:manualLayout>
              <c:xMode val="edge"/>
              <c:yMode val="edge"/>
              <c:x val="0.90731314788556294"/>
              <c:y val="0.839097092555244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19439"/>
        <c:crosses val="autoZero"/>
        <c:crossBetween val="midCat"/>
        <c:majorUnit val="25"/>
      </c:valAx>
      <c:valAx>
        <c:axId val="1641619439"/>
        <c:scaling>
          <c:orientation val="minMax"/>
          <c:max val="15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5119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zmienna masa h(w)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440389269293343"/>
                  <c:y val="-0.658683335022593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(Podsumowanie!$S$4,Podsumowanie!$S$10)</c:f>
              <c:numCache>
                <c:formatCode>0.00</c:formatCode>
                <c:ptCount val="2"/>
                <c:pt idx="0">
                  <c:v>20.5452755905511</c:v>
                </c:pt>
                <c:pt idx="1">
                  <c:v>2.3976377952755801</c:v>
                </c:pt>
              </c:numCache>
            </c:numRef>
          </c:xVal>
          <c:yVal>
            <c:numRef>
              <c:f>(Podsumowanie!$N$4,Podsumowanie!$N$10)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36-4701-8929-7A1249366B1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Podsumowanie!$AE$44:$AE$45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36-4701-8929-7A1249366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9439"/>
        <c:axId val="1373292671"/>
      </c:scatterChart>
      <c:valAx>
        <c:axId val="1494339439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292671"/>
        <c:crosses val="autoZero"/>
        <c:crossBetween val="midCat"/>
      </c:valAx>
      <c:valAx>
        <c:axId val="1373292671"/>
        <c:scaling>
          <c:orientation val="minMax"/>
          <c:max val="1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9439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ciągu mśr h(w)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2844610093382"/>
                  <c:y val="-0.65115316431063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(Podsumowanie!$S$14,Podsumowanie!$S$20)</c:f>
              <c:numCache>
                <c:formatCode>0.00</c:formatCode>
                <c:ptCount val="2"/>
                <c:pt idx="0">
                  <c:v>21.384328358208901</c:v>
                </c:pt>
                <c:pt idx="1">
                  <c:v>2.2164179104477499</c:v>
                </c:pt>
              </c:numCache>
            </c:numRef>
          </c:xVal>
          <c:yVal>
            <c:numRef>
              <c:f>(Podsumowanie!$N$14,Podsumowanie!$N$20)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19-44E9-B42B-5876933ACD1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Podsumowanie!$AE$44:$AE$45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19-44E9-B42B-5876933AC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9439"/>
        <c:axId val="1373292671"/>
      </c:scatterChart>
      <c:valAx>
        <c:axId val="1494339439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292671"/>
        <c:crosses val="autoZero"/>
        <c:crossBetween val="midCat"/>
      </c:valAx>
      <c:valAx>
        <c:axId val="1373292671"/>
        <c:scaling>
          <c:orientation val="minMax"/>
          <c:max val="1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9439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mocy mśr h(w)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412832920489448"/>
                  <c:y val="-0.678613467098225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(Podsumowanie!$S$24,Podsumowanie!$S$30)</c:f>
              <c:numCache>
                <c:formatCode>0.00</c:formatCode>
                <c:ptCount val="2"/>
                <c:pt idx="0">
                  <c:v>21.548507462686501</c:v>
                </c:pt>
                <c:pt idx="1">
                  <c:v>1.76492537313432</c:v>
                </c:pt>
              </c:numCache>
            </c:numRef>
          </c:xVal>
          <c:yVal>
            <c:numRef>
              <c:f>(Podsumowanie!$N$24,Podsumowanie!$N$30)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EC-4276-BE88-6648AAE6329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Podsumowanie!$AE$44:$AE$45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EC-4276-BE88-6648AAE63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9439"/>
        <c:axId val="1373292671"/>
      </c:scatterChart>
      <c:valAx>
        <c:axId val="1494339439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292671"/>
        <c:crosses val="autoZero"/>
        <c:crossBetween val="midCat"/>
      </c:valAx>
      <c:valAx>
        <c:axId val="1373292671"/>
        <c:scaling>
          <c:orientation val="minMax"/>
          <c:max val="1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9439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ofertowy samolotu Iskra</a:t>
            </a:r>
            <a:r>
              <a:rPr lang="pl-PL" baseline="0"/>
              <a:t> w otoczeniu pułapu samolotu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0553237624689336E-2"/>
          <c:y val="6.6571788151444766E-2"/>
          <c:w val="0.85026377588115487"/>
          <c:h val="0.87847779790163927"/>
        </c:manualLayout>
      </c:layout>
      <c:scatterChart>
        <c:scatterStyle val="smoothMarker"/>
        <c:varyColors val="0"/>
        <c:ser>
          <c:idx val="0"/>
          <c:order val="0"/>
          <c:tx>
            <c:v>Vmin1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Podsumowanie!$P$4:$P$11</c:f>
              <c:numCache>
                <c:formatCode>0.00</c:formatCode>
                <c:ptCount val="8"/>
                <c:pt idx="0">
                  <c:v>179.88039867109609</c:v>
                </c:pt>
                <c:pt idx="1">
                  <c:v>198.53820598006621</c:v>
                </c:pt>
                <c:pt idx="2">
                  <c:v>219.34883720930222</c:v>
                </c:pt>
                <c:pt idx="3">
                  <c:v>243.02990033222582</c:v>
                </c:pt>
                <c:pt idx="4">
                  <c:v>271.73421926910294</c:v>
                </c:pt>
                <c:pt idx="5">
                  <c:v>315.50830564784042</c:v>
                </c:pt>
                <c:pt idx="6">
                  <c:v>418.1262458471748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F1-479B-ADB5-975742E5CB0F}"/>
            </c:ext>
          </c:extLst>
        </c:ser>
        <c:ser>
          <c:idx val="13"/>
          <c:order val="1"/>
          <c:tx>
            <c:v>Vmin2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Podsumowanie!$P$14:$P$21</c:f>
              <c:numCache>
                <c:formatCode>0.00</c:formatCode>
                <c:ptCount val="8"/>
                <c:pt idx="0">
                  <c:v>165.47945205479436</c:v>
                </c:pt>
                <c:pt idx="1">
                  <c:v>182.35616438356163</c:v>
                </c:pt>
                <c:pt idx="2">
                  <c:v>202.30136986301352</c:v>
                </c:pt>
                <c:pt idx="3">
                  <c:v>225.31506849315036</c:v>
                </c:pt>
                <c:pt idx="4">
                  <c:v>252.16438356164375</c:v>
                </c:pt>
                <c:pt idx="5">
                  <c:v>285.91780821917797</c:v>
                </c:pt>
                <c:pt idx="6">
                  <c:v>367.23287671232765</c:v>
                </c:pt>
                <c:pt idx="7" formatCode="General">
                  <c:v>550</c:v>
                </c:pt>
              </c:numCache>
            </c:numRef>
          </c:xVal>
          <c:yVal>
            <c:numRef>
              <c:f>Podsumowanie!$N$14:$N$21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13390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F1-479B-ADB5-975742E5CB0F}"/>
            </c:ext>
          </c:extLst>
        </c:ser>
        <c:ser>
          <c:idx val="20"/>
          <c:order val="2"/>
          <c:tx>
            <c:v>Vmin3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Podsumowanie!$P$24:$P$31</c:f>
              <c:numCache>
                <c:formatCode>0.00</c:formatCode>
                <c:ptCount val="8"/>
                <c:pt idx="0">
                  <c:v>165.47945205479436</c:v>
                </c:pt>
                <c:pt idx="1">
                  <c:v>182.35616438356163</c:v>
                </c:pt>
                <c:pt idx="2">
                  <c:v>202.30136986301352</c:v>
                </c:pt>
                <c:pt idx="3">
                  <c:v>225.31506849315036</c:v>
                </c:pt>
                <c:pt idx="4">
                  <c:v>251.39726027397253</c:v>
                </c:pt>
                <c:pt idx="5">
                  <c:v>285.1506849315067</c:v>
                </c:pt>
                <c:pt idx="6">
                  <c:v>382.57534246575239</c:v>
                </c:pt>
                <c:pt idx="7" formatCode="General">
                  <c:v>560</c:v>
                </c:pt>
              </c:numCache>
            </c:numRef>
          </c:xVal>
          <c:yVal>
            <c:numRef>
              <c:f>Podsumowanie!$N$24:$N$31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F1-479B-ADB5-975742E5CB0F}"/>
            </c:ext>
          </c:extLst>
        </c:ser>
        <c:ser>
          <c:idx val="1"/>
          <c:order val="3"/>
          <c:tx>
            <c:v>Vmax1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Podsumowanie!$R$4:$R$11</c:f>
              <c:numCache>
                <c:formatCode>0.00</c:formatCode>
                <c:ptCount val="8"/>
                <c:pt idx="0">
                  <c:v>737.96334012219961</c:v>
                </c:pt>
                <c:pt idx="1">
                  <c:v>742.14256619144521</c:v>
                </c:pt>
                <c:pt idx="2">
                  <c:v>745.88187372708603</c:v>
                </c:pt>
                <c:pt idx="3">
                  <c:v>745.07535641547713</c:v>
                </c:pt>
                <c:pt idx="4">
                  <c:v>742.80244399185244</c:v>
                </c:pt>
                <c:pt idx="5">
                  <c:v>733.12423625254314</c:v>
                </c:pt>
                <c:pt idx="6">
                  <c:v>709.80855397148514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F1-479B-ADB5-975742E5CB0F}"/>
            </c:ext>
          </c:extLst>
        </c:ser>
        <c:ser>
          <c:idx val="14"/>
          <c:order val="4"/>
          <c:tx>
            <c:v>Vmax2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Podsumowanie!$R$14:$R$21</c:f>
              <c:numCache>
                <c:formatCode>0.00</c:formatCode>
                <c:ptCount val="8"/>
                <c:pt idx="0">
                  <c:v>737.23531972142882</c:v>
                </c:pt>
                <c:pt idx="1">
                  <c:v>740.75947689142083</c:v>
                </c:pt>
                <c:pt idx="2">
                  <c:v>742.73795109211676</c:v>
                </c:pt>
                <c:pt idx="3">
                  <c:v>741.99602326685397</c:v>
                </c:pt>
                <c:pt idx="4">
                  <c:v>736.55521921493994</c:v>
                </c:pt>
                <c:pt idx="5">
                  <c:v>721.46935343463122</c:v>
                </c:pt>
                <c:pt idx="6">
                  <c:v>682.57996992718927</c:v>
                </c:pt>
                <c:pt idx="7" formatCode="General">
                  <c:v>550</c:v>
                </c:pt>
              </c:numCache>
            </c:numRef>
          </c:xVal>
          <c:yVal>
            <c:numRef>
              <c:f>Podsumowanie!$N$14:$N$21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13390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AF1-479B-ADB5-975742E5CB0F}"/>
            </c:ext>
          </c:extLst>
        </c:ser>
        <c:ser>
          <c:idx val="21"/>
          <c:order val="5"/>
          <c:tx>
            <c:v>Vmax3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Podsumowanie!$R$24:$R$31</c:f>
              <c:numCache>
                <c:formatCode>0.00</c:formatCode>
                <c:ptCount val="8"/>
                <c:pt idx="0">
                  <c:v>740.14120370370244</c:v>
                </c:pt>
                <c:pt idx="1">
                  <c:v>745.02556188667211</c:v>
                </c:pt>
                <c:pt idx="2">
                  <c:v>745.45835311807207</c:v>
                </c:pt>
                <c:pt idx="3">
                  <c:v>747.37499999999761</c:v>
                </c:pt>
                <c:pt idx="4">
                  <c:v>746.01479898702007</c:v>
                </c:pt>
                <c:pt idx="5">
                  <c:v>731.60903371320001</c:v>
                </c:pt>
                <c:pt idx="6">
                  <c:v>662.85705523899958</c:v>
                </c:pt>
                <c:pt idx="7" formatCode="General">
                  <c:v>560</c:v>
                </c:pt>
              </c:numCache>
            </c:numRef>
          </c:xVal>
          <c:yVal>
            <c:numRef>
              <c:f>Podsumowanie!$N$24:$N$31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AF1-479B-ADB5-975742E5CB0F}"/>
            </c:ext>
          </c:extLst>
        </c:ser>
        <c:ser>
          <c:idx val="2"/>
          <c:order val="6"/>
          <c:tx>
            <c:v>Vw1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Podsumowanie!$V$4:$V$11</c:f>
              <c:numCache>
                <c:formatCode>0.00</c:formatCode>
                <c:ptCount val="8"/>
                <c:pt idx="0">
                  <c:v>484.86378737541236</c:v>
                </c:pt>
                <c:pt idx="1">
                  <c:v>497.78073089700843</c:v>
                </c:pt>
                <c:pt idx="2">
                  <c:v>513.568106312292</c:v>
                </c:pt>
                <c:pt idx="3">
                  <c:v>529.35548172757194</c:v>
                </c:pt>
                <c:pt idx="4">
                  <c:v>549.44850498338519</c:v>
                </c:pt>
                <c:pt idx="5">
                  <c:v>574.56478405315443</c:v>
                </c:pt>
                <c:pt idx="6">
                  <c:v>602.55149501661117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AF1-479B-ADB5-975742E5CB0F}"/>
            </c:ext>
          </c:extLst>
        </c:ser>
        <c:ser>
          <c:idx val="15"/>
          <c:order val="7"/>
          <c:tx>
            <c:v>Vw2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Podsumowanie!$V$14:$V$21</c:f>
              <c:numCache>
                <c:formatCode>0.00</c:formatCode>
                <c:ptCount val="8"/>
                <c:pt idx="0">
                  <c:v>447.0136986301344</c:v>
                </c:pt>
                <c:pt idx="1">
                  <c:v>453.15068493150363</c:v>
                </c:pt>
                <c:pt idx="2">
                  <c:v>466.19178082191723</c:v>
                </c:pt>
                <c:pt idx="3">
                  <c:v>476.93150684931237</c:v>
                </c:pt>
                <c:pt idx="4">
                  <c:v>489.97260273972603</c:v>
                </c:pt>
                <c:pt idx="5">
                  <c:v>502.24657534246438</c:v>
                </c:pt>
                <c:pt idx="6">
                  <c:v>524.49315068493001</c:v>
                </c:pt>
                <c:pt idx="7" formatCode="General">
                  <c:v>550</c:v>
                </c:pt>
              </c:numCache>
            </c:numRef>
          </c:xVal>
          <c:yVal>
            <c:numRef>
              <c:f>Podsumowanie!$N$14:$N$21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13390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AF1-479B-ADB5-975742E5CB0F}"/>
            </c:ext>
          </c:extLst>
        </c:ser>
        <c:ser>
          <c:idx val="22"/>
          <c:order val="8"/>
          <c:tx>
            <c:v>Vw3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Podsumowanie!$V$24:$V$31</c:f>
              <c:numCache>
                <c:formatCode>0.00</c:formatCode>
                <c:ptCount val="8"/>
                <c:pt idx="0">
                  <c:v>464.65753424657407</c:v>
                </c:pt>
                <c:pt idx="1">
                  <c:v>473.09589041095802</c:v>
                </c:pt>
                <c:pt idx="2">
                  <c:v>486.90410958903959</c:v>
                </c:pt>
                <c:pt idx="3">
                  <c:v>497.64383561643837</c:v>
                </c:pt>
                <c:pt idx="4">
                  <c:v>514.52054794520279</c:v>
                </c:pt>
                <c:pt idx="5">
                  <c:v>527.56164383561645</c:v>
                </c:pt>
                <c:pt idx="6">
                  <c:v>554.41095890410804</c:v>
                </c:pt>
                <c:pt idx="7" formatCode="General">
                  <c:v>560</c:v>
                </c:pt>
              </c:numCache>
            </c:numRef>
          </c:xVal>
          <c:yVal>
            <c:numRef>
              <c:f>Podsumowanie!$N$24:$N$31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AF1-479B-ADB5-975742E5CB0F}"/>
            </c:ext>
          </c:extLst>
        </c:ser>
        <c:ser>
          <c:idx val="3"/>
          <c:order val="9"/>
          <c:tx>
            <c:v>Vy1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Podsumowanie!$Z$4:$Z$11</c:f>
              <c:numCache>
                <c:formatCode>0.00</c:formatCode>
                <c:ptCount val="8"/>
                <c:pt idx="0">
                  <c:v>308.18918918918916</c:v>
                </c:pt>
                <c:pt idx="1">
                  <c:v>353.43243243243217</c:v>
                </c:pt>
                <c:pt idx="2">
                  <c:v>386.27027027026924</c:v>
                </c:pt>
                <c:pt idx="3">
                  <c:v>428.59459459459441</c:v>
                </c:pt>
                <c:pt idx="4">
                  <c:v>465.8108108108076</c:v>
                </c:pt>
                <c:pt idx="5">
                  <c:v>519.81081081080754</c:v>
                </c:pt>
                <c:pt idx="6">
                  <c:v>578.91891891891601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AF1-479B-ADB5-975742E5CB0F}"/>
            </c:ext>
          </c:extLst>
        </c:ser>
        <c:ser>
          <c:idx val="16"/>
          <c:order val="10"/>
          <c:tx>
            <c:v>Vy2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Podsumowanie!$Z$14:$Z$21</c:f>
              <c:numCache>
                <c:formatCode>0.00</c:formatCode>
                <c:ptCount val="8"/>
                <c:pt idx="0">
                  <c:v>242.17177914110411</c:v>
                </c:pt>
                <c:pt idx="1">
                  <c:v>270</c:v>
                </c:pt>
                <c:pt idx="2">
                  <c:v>302.46625766871142</c:v>
                </c:pt>
                <c:pt idx="3">
                  <c:v>337.25153374233122</c:v>
                </c:pt>
                <c:pt idx="4">
                  <c:v>375.90184049079602</c:v>
                </c:pt>
                <c:pt idx="5">
                  <c:v>426.14723926380242</c:v>
                </c:pt>
                <c:pt idx="6">
                  <c:v>489.53374233128642</c:v>
                </c:pt>
                <c:pt idx="7" formatCode="General">
                  <c:v>550</c:v>
                </c:pt>
              </c:numCache>
            </c:numRef>
          </c:xVal>
          <c:yVal>
            <c:numRef>
              <c:f>Podsumowanie!$N$14:$N$21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13390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AF1-479B-ADB5-975742E5CB0F}"/>
            </c:ext>
          </c:extLst>
        </c:ser>
        <c:ser>
          <c:idx val="23"/>
          <c:order val="11"/>
          <c:tx>
            <c:v>Vy3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Podsumowanie!$Z$24:$Z$31</c:f>
              <c:numCache>
                <c:formatCode>0.00</c:formatCode>
                <c:ptCount val="8"/>
                <c:pt idx="0">
                  <c:v>260.7239263803678</c:v>
                </c:pt>
                <c:pt idx="1">
                  <c:v>292.41717791411014</c:v>
                </c:pt>
                <c:pt idx="2">
                  <c:v>325.65644171779144</c:v>
                </c:pt>
                <c:pt idx="3">
                  <c:v>362.76073619631842</c:v>
                </c:pt>
                <c:pt idx="4">
                  <c:v>403.7300613496908</c:v>
                </c:pt>
                <c:pt idx="5">
                  <c:v>457.84049079754442</c:v>
                </c:pt>
                <c:pt idx="6">
                  <c:v>528.18404907975116</c:v>
                </c:pt>
                <c:pt idx="7" formatCode="General">
                  <c:v>560</c:v>
                </c:pt>
              </c:numCache>
            </c:numRef>
          </c:xVal>
          <c:yVal>
            <c:numRef>
              <c:f>Podsumowanie!$N$24:$N$31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AF1-479B-ADB5-975742E5CB0F}"/>
            </c:ext>
          </c:extLst>
        </c:ser>
        <c:ser>
          <c:idx val="7"/>
          <c:order val="21"/>
          <c:tx>
            <c:v>ht1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Podsumowanie!$AD$40:$AD$41</c:f>
              <c:numCache>
                <c:formatCode>General</c:formatCode>
                <c:ptCount val="2"/>
                <c:pt idx="0">
                  <c:v>13600</c:v>
                </c:pt>
                <c:pt idx="1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AF1-479B-ADB5-975742E5CB0F}"/>
            </c:ext>
          </c:extLst>
        </c:ser>
        <c:ser>
          <c:idx val="9"/>
          <c:order val="22"/>
          <c:tx>
            <c:v>ht2</c:v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Podsumowanie!$AF$40:$AF$41</c:f>
              <c:numCache>
                <c:formatCode>General</c:formatCode>
                <c:ptCount val="2"/>
                <c:pt idx="0">
                  <c:v>13390</c:v>
                </c:pt>
                <c:pt idx="1">
                  <c:v>13390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2AF1-479B-ADB5-975742E5CB0F}"/>
            </c:ext>
          </c:extLst>
        </c:ser>
        <c:ser>
          <c:idx val="11"/>
          <c:order val="23"/>
          <c:tx>
            <c:v>ht3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Podsumowanie!$AH$40:$AH$41</c:f>
              <c:numCache>
                <c:formatCode>General</c:formatCode>
                <c:ptCount val="2"/>
                <c:pt idx="0">
                  <c:v>13070</c:v>
                </c:pt>
                <c:pt idx="1">
                  <c:v>13070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2AF1-479B-ADB5-975742E5CB0F}"/>
            </c:ext>
          </c:extLst>
        </c:ser>
        <c:ser>
          <c:idx val="8"/>
          <c:order val="24"/>
          <c:tx>
            <c:v>hp1</c:v>
          </c:tx>
          <c:spPr>
            <a:ln w="127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Podsumowanie!$AE$40:$AE$41</c:f>
              <c:numCache>
                <c:formatCode>General</c:formatCode>
                <c:ptCount val="2"/>
                <c:pt idx="0">
                  <c:v>13269.38</c:v>
                </c:pt>
                <c:pt idx="1">
                  <c:v>13269.38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2AF1-479B-ADB5-975742E5CB0F}"/>
            </c:ext>
          </c:extLst>
        </c:ser>
        <c:ser>
          <c:idx val="10"/>
          <c:order val="25"/>
          <c:tx>
            <c:v>hp2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Podsumowanie!$AG$40:$AG$41</c:f>
              <c:numCache>
                <c:formatCode>General</c:formatCode>
                <c:ptCount val="2"/>
                <c:pt idx="0">
                  <c:v>13076.975</c:v>
                </c:pt>
                <c:pt idx="1">
                  <c:v>13076.975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2AF1-479B-ADB5-975742E5CB0F}"/>
            </c:ext>
          </c:extLst>
        </c:ser>
        <c:ser>
          <c:idx val="12"/>
          <c:order val="26"/>
          <c:tx>
            <c:v>hp3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Podsumowanie!$AI$40:$AI$41</c:f>
              <c:numCache>
                <c:formatCode>General</c:formatCode>
                <c:ptCount val="2"/>
                <c:pt idx="0">
                  <c:v>12766.72</c:v>
                </c:pt>
                <c:pt idx="1">
                  <c:v>12766.72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2AF1-479B-ADB5-975742E5C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5119"/>
        <c:axId val="1641619439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2"/>
                <c:tx>
                  <c:v>10wmax1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Podsumowanie!$T$4:$T$11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205.452755905511</c:v>
                      </c:pt>
                      <c:pt idx="1">
                        <c:v>170.72834645669201</c:v>
                      </c:pt>
                      <c:pt idx="2">
                        <c:v>138.07086614173198</c:v>
                      </c:pt>
                      <c:pt idx="3">
                        <c:v>107.480314960629</c:v>
                      </c:pt>
                      <c:pt idx="4">
                        <c:v>78.956692913385794</c:v>
                      </c:pt>
                      <c:pt idx="5">
                        <c:v>50.8464566929133</c:v>
                      </c:pt>
                      <c:pt idx="6">
                        <c:v>23.976377952755801</c:v>
                      </c:pt>
                      <c:pt idx="7" formatCode="General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Podsumowanie!$N$4:$N$11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13600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C-2AF1-479B-ADB5-975742E5CB0F}"/>
                  </c:ext>
                </c:extLst>
              </c15:ser>
            </c15:filteredScatterSeries>
            <c15:filteredScatterSeries>
              <c15:ser>
                <c:idx val="17"/>
                <c:order val="13"/>
                <c:tx>
                  <c:v>10wmax2</c:v>
                </c:tx>
                <c:spPr>
                  <a:ln w="19050" cap="rnd">
                    <a:solidFill>
                      <a:schemeClr val="accent5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Podsumowanie!$T$14:$T$21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213.84328358208901</c:v>
                      </c:pt>
                      <c:pt idx="1">
                        <c:v>177.31343283581998</c:v>
                      </c:pt>
                      <c:pt idx="2">
                        <c:v>144.067164179104</c:v>
                      </c:pt>
                      <c:pt idx="3">
                        <c:v>111.641791044776</c:v>
                      </c:pt>
                      <c:pt idx="4">
                        <c:v>81.679104477611901</c:v>
                      </c:pt>
                      <c:pt idx="5">
                        <c:v>52.126865671641802</c:v>
                      </c:pt>
                      <c:pt idx="6">
                        <c:v>22.164179104477498</c:v>
                      </c:pt>
                      <c:pt idx="7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Podsumowanie!$N$14:$N$21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13390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AF1-479B-ADB5-975742E5CB0F}"/>
                  </c:ext>
                </c:extLst>
              </c15:ser>
            </c15:filteredScatterSeries>
            <c15:filteredScatterSeries>
              <c15:ser>
                <c:idx val="24"/>
                <c:order val="14"/>
                <c:tx>
                  <c:v>10wmax3</c:v>
                </c:tx>
                <c:spPr>
                  <a:ln w="19050" cap="rnd">
                    <a:solidFill>
                      <a:schemeClr val="accent5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Podsumowanie!$T$24:$T$31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215.48507462686501</c:v>
                      </c:pt>
                      <c:pt idx="1">
                        <c:v>179.77611940298502</c:v>
                      </c:pt>
                      <c:pt idx="2">
                        <c:v>145.70895522388</c:v>
                      </c:pt>
                      <c:pt idx="3">
                        <c:v>110.41044776119399</c:v>
                      </c:pt>
                      <c:pt idx="4">
                        <c:v>79.216417910447703</c:v>
                      </c:pt>
                      <c:pt idx="5">
                        <c:v>50.895522388059703</c:v>
                      </c:pt>
                      <c:pt idx="6">
                        <c:v>17.649253731343201</c:v>
                      </c:pt>
                      <c:pt idx="7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Podsumowanie!$N$24:$N$31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13070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AF1-479B-ADB5-975742E5CB0F}"/>
                  </c:ext>
                </c:extLst>
              </c15:ser>
            </c15:filteredScatterSeries>
            <c15:filteredScatterSeries>
              <c15:ser>
                <c:idx val="5"/>
                <c:order val="15"/>
                <c:tx>
                  <c:v>10ymax1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Podsumowanie!$X$4:$X$11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106.14754098360599</c:v>
                      </c:pt>
                      <c:pt idx="1">
                        <c:v>83.811475409835992</c:v>
                      </c:pt>
                      <c:pt idx="2">
                        <c:v>64.959016393442596</c:v>
                      </c:pt>
                      <c:pt idx="3">
                        <c:v>47.950819672131104</c:v>
                      </c:pt>
                      <c:pt idx="4">
                        <c:v>32.581967213114702</c:v>
                      </c:pt>
                      <c:pt idx="5">
                        <c:v>19.262295081967199</c:v>
                      </c:pt>
                      <c:pt idx="6">
                        <c:v>8.401639344262291</c:v>
                      </c:pt>
                      <c:pt idx="7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Podsumowanie!$N$4:$N$11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13600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AF1-479B-ADB5-975742E5CB0F}"/>
                  </c:ext>
                </c:extLst>
              </c15:ser>
            </c15:filteredScatterSeries>
            <c15:filteredScatterSeries>
              <c15:ser>
                <c:idx val="18"/>
                <c:order val="16"/>
                <c:tx>
                  <c:v>10ymax2</c:v>
                </c:tx>
                <c:spPr>
                  <a:ln w="19050" cap="rnd">
                    <a:solidFill>
                      <a:schemeClr val="accent6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Podsumowanie!$X$14:$X$21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126.42857142857099</c:v>
                      </c:pt>
                      <c:pt idx="1">
                        <c:v>99.047619047618994</c:v>
                      </c:pt>
                      <c:pt idx="2">
                        <c:v>75.714285714285708</c:v>
                      </c:pt>
                      <c:pt idx="3">
                        <c:v>55.238095238095198</c:v>
                      </c:pt>
                      <c:pt idx="4">
                        <c:v>37.619047619047599</c:v>
                      </c:pt>
                      <c:pt idx="5">
                        <c:v>22.380952380952301</c:v>
                      </c:pt>
                      <c:pt idx="6">
                        <c:v>8.8095238095238102</c:v>
                      </c:pt>
                      <c:pt idx="7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Podsumowanie!$N$14:$N$21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13390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AF1-479B-ADB5-975742E5CB0F}"/>
                  </c:ext>
                </c:extLst>
              </c15:ser>
            </c15:filteredScatterSeries>
            <c15:filteredScatterSeries>
              <c15:ser>
                <c:idx val="25"/>
                <c:order val="17"/>
                <c:tx>
                  <c:v>10ymax3</c:v>
                </c:tx>
                <c:spPr>
                  <a:ln w="19050" cap="rnd">
                    <a:solidFill>
                      <a:schemeClr val="accent6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Podsumowanie!$X$24:$X$31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122.380952380952</c:v>
                      </c:pt>
                      <c:pt idx="1">
                        <c:v>96.190476190476204</c:v>
                      </c:pt>
                      <c:pt idx="2">
                        <c:v>72.857142857142804</c:v>
                      </c:pt>
                      <c:pt idx="3">
                        <c:v>52.857142857142804</c:v>
                      </c:pt>
                      <c:pt idx="4">
                        <c:v>35.714285714285701</c:v>
                      </c:pt>
                      <c:pt idx="5">
                        <c:v>19.761904761904702</c:v>
                      </c:pt>
                      <c:pt idx="6">
                        <c:v>6.4285714285714404</c:v>
                      </c:pt>
                      <c:pt idx="7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Podsumowanie!$N$24:$N$31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13070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AF1-479B-ADB5-975742E5CB0F}"/>
                  </c:ext>
                </c:extLst>
              </c15:ser>
            </c15:filteredScatterSeries>
            <c15:filteredScatterSeries>
              <c15:ser>
                <c:idx val="6"/>
                <c:order val="18"/>
                <c:tx>
                  <c:v>th1</c:v>
                </c:tx>
                <c:spPr>
                  <a:ln w="1270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Podsumowanie!$AB$4:$AB$11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0</c:v>
                      </c:pt>
                      <c:pt idx="1">
                        <c:v>17.874261982982183</c:v>
                      </c:pt>
                      <c:pt idx="2">
                        <c:v>39.70745481558064</c:v>
                      </c:pt>
                      <c:pt idx="3">
                        <c:v>67.28526622572754</c:v>
                      </c:pt>
                      <c:pt idx="4">
                        <c:v>103.90059969969991</c:v>
                      </c:pt>
                      <c:pt idx="5">
                        <c:v>157.78764068928214</c:v>
                      </c:pt>
                      <c:pt idx="6">
                        <c:v>260.07892632791885</c:v>
                      </c:pt>
                      <c:pt idx="7" formatCode="General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Podsumowanie!$N$4:$N$11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13600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AF1-479B-ADB5-975742E5CB0F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th2</c:v>
                </c:tx>
                <c:spPr>
                  <a:ln w="12700" cap="rnd">
                    <a:solidFill>
                      <a:srgbClr val="FF0000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Podsumowanie!$AB$14:$AB$21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0</c:v>
                      </c:pt>
                      <c:pt idx="1">
                        <c:v>17.193420664310047</c:v>
                      </c:pt>
                      <c:pt idx="2">
                        <c:v>38.161649965872769</c:v>
                      </c:pt>
                      <c:pt idx="3">
                        <c:v>64.659026953445888</c:v>
                      </c:pt>
                      <c:pt idx="4">
                        <c:v>99.992781286609045</c:v>
                      </c:pt>
                      <c:pt idx="5">
                        <c:v>152.37111293530828</c:v>
                      </c:pt>
                      <c:pt idx="6">
                        <c:v>259.54079753281474</c:v>
                      </c:pt>
                      <c:pt idx="7" formatCode="General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Podsumowanie!$N$14:$N$21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13390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AF1-479B-ADB5-975742E5CB0F}"/>
                  </c:ext>
                </c:extLst>
              </c15:ser>
            </c15:filteredScatterSeries>
            <c15:filteredScatterSeries>
              <c15:ser>
                <c:idx val="26"/>
                <c:order val="20"/>
                <c:tx>
                  <c:v>th3</c:v>
                </c:tx>
                <c:spPr>
                  <a:ln w="12700" cap="rnd">
                    <a:solidFill>
                      <a:srgbClr val="FF000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Podsumowanie!$AB$24:$AB$31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0</c:v>
                      </c:pt>
                      <c:pt idx="1">
                        <c:v>17.005277827195663</c:v>
                      </c:pt>
                      <c:pt idx="2">
                        <c:v>37.714394851188288</c:v>
                      </c:pt>
                      <c:pt idx="3">
                        <c:v>64.247911598852426</c:v>
                      </c:pt>
                      <c:pt idx="4">
                        <c:v>100.38251105567777</c:v>
                      </c:pt>
                      <c:pt idx="5">
                        <c:v>154.16874376552741</c:v>
                      </c:pt>
                      <c:pt idx="6">
                        <c:v>281.34826591879346</c:v>
                      </c:pt>
                      <c:pt idx="7" formatCode="General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Podsumowanie!$N$24:$N$31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13070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AF1-479B-ADB5-975742E5CB0F}"/>
                  </c:ext>
                </c:extLst>
              </c15:ser>
            </c15:filteredScatterSeries>
          </c:ext>
        </c:extLst>
      </c:scatterChart>
      <c:valAx>
        <c:axId val="1494335119"/>
        <c:scaling>
          <c:orientation val="minMax"/>
          <c:max val="675"/>
          <c:min val="4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 [km/h]</a:t>
                </a:r>
              </a:p>
            </c:rich>
          </c:tx>
          <c:layout>
            <c:manualLayout>
              <c:xMode val="edge"/>
              <c:yMode val="edge"/>
              <c:x val="0.48624155673784941"/>
              <c:y val="0.96859359819066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19439"/>
        <c:crosses val="autoZero"/>
        <c:crossBetween val="midCat"/>
        <c:majorUnit val="25"/>
      </c:valAx>
      <c:valAx>
        <c:axId val="1641619439"/>
        <c:scaling>
          <c:orientation val="minMax"/>
          <c:max val="13625"/>
          <c:min val="127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5119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0958539784933778"/>
          <c:y val="1.596121381372766E-2"/>
          <c:w val="8.1201636475728131E-2"/>
          <c:h val="0.966090070049458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Iskra 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4749813922513416"/>
          <c:y val="0.11038690476190476"/>
          <c:w val="0.42901300583695684"/>
          <c:h val="0.85588887326584173"/>
        </c:manualLayout>
      </c:layout>
      <c:scatterChart>
        <c:scatterStyle val="smoothMarker"/>
        <c:varyColors val="0"/>
        <c:ser>
          <c:idx val="2"/>
          <c:order val="2"/>
          <c:tx>
            <c:v>h=0km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50.003599658606447</c:v>
                </c:pt>
                <c:pt idx="1">
                  <c:v>61.431913968705985</c:v>
                </c:pt>
                <c:pt idx="2">
                  <c:v>72.860228278805522</c:v>
                </c:pt>
                <c:pt idx="3">
                  <c:v>84.288542588905074</c:v>
                </c:pt>
                <c:pt idx="4">
                  <c:v>95.716856899004597</c:v>
                </c:pt>
                <c:pt idx="5">
                  <c:v>107.14517120910415</c:v>
                </c:pt>
                <c:pt idx="6">
                  <c:v>118.57348551920369</c:v>
                </c:pt>
                <c:pt idx="7">
                  <c:v>130.00179982930322</c:v>
                </c:pt>
                <c:pt idx="8">
                  <c:v>141.43011413940275</c:v>
                </c:pt>
                <c:pt idx="9">
                  <c:v>152.8584284495023</c:v>
                </c:pt>
                <c:pt idx="10">
                  <c:v>164.28674275960185</c:v>
                </c:pt>
                <c:pt idx="11">
                  <c:v>175.71505706970137</c:v>
                </c:pt>
                <c:pt idx="12">
                  <c:v>187.14337137980093</c:v>
                </c:pt>
                <c:pt idx="13">
                  <c:v>198.57168568990045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masa'!$O$4:$O$18</c:f>
              <c:numCache>
                <c:formatCode>0.00</c:formatCode>
                <c:ptCount val="15"/>
                <c:pt idx="0">
                  <c:v>7.3702507124738617</c:v>
                </c:pt>
                <c:pt idx="1">
                  <c:v>10.499003087444358</c:v>
                </c:pt>
                <c:pt idx="2">
                  <c:v>13.194893691702633</c:v>
                </c:pt>
                <c:pt idx="3">
                  <c:v>15.509669749794682</c:v>
                </c:pt>
                <c:pt idx="4">
                  <c:v>17.442798449229731</c:v>
                </c:pt>
                <c:pt idx="5">
                  <c:v>18.962241232755577</c:v>
                </c:pt>
                <c:pt idx="6">
                  <c:v>20.012537627862194</c:v>
                </c:pt>
                <c:pt idx="7">
                  <c:v>20.516978423923938</c:v>
                </c:pt>
                <c:pt idx="8">
                  <c:v>20.376517452844443</c:v>
                </c:pt>
                <c:pt idx="9">
                  <c:v>19.466324923680027</c:v>
                </c:pt>
                <c:pt idx="10">
                  <c:v>17.630089950686052</c:v>
                </c:pt>
                <c:pt idx="11">
                  <c:v>14.671653990281284</c:v>
                </c:pt>
                <c:pt idx="12">
                  <c:v>10.343059484359541</c:v>
                </c:pt>
                <c:pt idx="13">
                  <c:v>4.3274266460251809</c:v>
                </c:pt>
                <c:pt idx="14">
                  <c:v>-3.785996060298269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5E-453B-B842-F7E104B19ACA}"/>
            </c:ext>
          </c:extLst>
        </c:ser>
        <c:ser>
          <c:idx val="5"/>
          <c:order val="5"/>
          <c:tx>
            <c:v>h=2km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masa'!$J$22:$J$36</c:f>
              <c:numCache>
                <c:formatCode>0.0</c:formatCode>
                <c:ptCount val="15"/>
                <c:pt idx="0">
                  <c:v>54.991165562477157</c:v>
                </c:pt>
                <c:pt idx="1">
                  <c:v>66.063225165157363</c:v>
                </c:pt>
                <c:pt idx="2">
                  <c:v>77.135284767837561</c:v>
                </c:pt>
                <c:pt idx="3">
                  <c:v>88.207344370517774</c:v>
                </c:pt>
                <c:pt idx="4">
                  <c:v>99.279403973197958</c:v>
                </c:pt>
                <c:pt idx="5">
                  <c:v>110.35146357587817</c:v>
                </c:pt>
                <c:pt idx="6">
                  <c:v>121.42352317855838</c:v>
                </c:pt>
                <c:pt idx="7">
                  <c:v>132.49558278123857</c:v>
                </c:pt>
                <c:pt idx="8">
                  <c:v>143.56764238391878</c:v>
                </c:pt>
                <c:pt idx="9">
                  <c:v>154.63970198659896</c:v>
                </c:pt>
                <c:pt idx="10">
                  <c:v>165.71176158927918</c:v>
                </c:pt>
                <c:pt idx="11">
                  <c:v>176.78382119195939</c:v>
                </c:pt>
                <c:pt idx="12">
                  <c:v>187.8558807946396</c:v>
                </c:pt>
                <c:pt idx="13">
                  <c:v>198.92794039731979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masa'!$O$22:$O$36</c:f>
              <c:numCache>
                <c:formatCode>0.00</c:formatCode>
                <c:ptCount val="15"/>
                <c:pt idx="0">
                  <c:v>5.9623482875690117</c:v>
                </c:pt>
                <c:pt idx="1">
                  <c:v>8.6279433757524959</c:v>
                </c:pt>
                <c:pt idx="2">
                  <c:v>10.910278353441688</c:v>
                </c:pt>
                <c:pt idx="3">
                  <c:v>12.856670737797735</c:v>
                </c:pt>
                <c:pt idx="4">
                  <c:v>14.473201768838477</c:v>
                </c:pt>
                <c:pt idx="5">
                  <c:v>15.739703237926438</c:v>
                </c:pt>
                <c:pt idx="6">
                  <c:v>16.616115270423947</c:v>
                </c:pt>
                <c:pt idx="7">
                  <c:v>17.04439702898884</c:v>
                </c:pt>
                <c:pt idx="8">
                  <c:v>16.947811552320999</c:v>
                </c:pt>
                <c:pt idx="9">
                  <c:v>16.228231087914313</c:v>
                </c:pt>
                <c:pt idx="10">
                  <c:v>14.761525300176732</c:v>
                </c:pt>
                <c:pt idx="11">
                  <c:v>12.390666936829433</c:v>
                </c:pt>
                <c:pt idx="12">
                  <c:v>8.9157574245469124</c:v>
                </c:pt>
                <c:pt idx="13">
                  <c:v>4.0795791288031555</c:v>
                </c:pt>
                <c:pt idx="14">
                  <c:v>-2.4536868673790679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65E-453B-B842-F7E104B19ACA}"/>
            </c:ext>
          </c:extLst>
        </c:ser>
        <c:ser>
          <c:idx val="8"/>
          <c:order val="8"/>
          <c:tx>
            <c:v>h=4km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masa'!$J$40:$J$54</c:f>
              <c:numCache>
                <c:formatCode>0.0</c:formatCode>
                <c:ptCount val="15"/>
                <c:pt idx="0">
                  <c:v>60.760126838427631</c:v>
                </c:pt>
                <c:pt idx="1">
                  <c:v>71.420117778539947</c:v>
                </c:pt>
                <c:pt idx="2">
                  <c:v>82.080108718652255</c:v>
                </c:pt>
                <c:pt idx="3">
                  <c:v>92.740099658764564</c:v>
                </c:pt>
                <c:pt idx="4">
                  <c:v>103.40009059887689</c:v>
                </c:pt>
                <c:pt idx="5">
                  <c:v>114.06008153898918</c:v>
                </c:pt>
                <c:pt idx="6">
                  <c:v>124.7200724791015</c:v>
                </c:pt>
                <c:pt idx="7">
                  <c:v>135.38006341921383</c:v>
                </c:pt>
                <c:pt idx="8">
                  <c:v>146.04005435932612</c:v>
                </c:pt>
                <c:pt idx="9">
                  <c:v>156.70004529943844</c:v>
                </c:pt>
                <c:pt idx="10">
                  <c:v>167.36003623955074</c:v>
                </c:pt>
                <c:pt idx="11">
                  <c:v>178.02002717966306</c:v>
                </c:pt>
                <c:pt idx="12">
                  <c:v>188.68001811977538</c:v>
                </c:pt>
                <c:pt idx="13">
                  <c:v>199.34000905988768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masa'!$O$40:$O$54</c:f>
              <c:numCache>
                <c:formatCode>0.00</c:formatCode>
                <c:ptCount val="15"/>
                <c:pt idx="0">
                  <c:v>4.495963305476808</c:v>
                </c:pt>
                <c:pt idx="1">
                  <c:v>6.7542646205201482</c:v>
                </c:pt>
                <c:pt idx="2">
                  <c:v>8.6789257706901868</c:v>
                </c:pt>
                <c:pt idx="3">
                  <c:v>10.310853637487972</c:v>
                </c:pt>
                <c:pt idx="4">
                  <c:v>11.659717978010365</c:v>
                </c:pt>
                <c:pt idx="5">
                  <c:v>12.714083855207191</c:v>
                </c:pt>
                <c:pt idx="6">
                  <c:v>13.44605877838003</c:v>
                </c:pt>
                <c:pt idx="7">
                  <c:v>13.81281037812866</c:v>
                </c:pt>
                <c:pt idx="8">
                  <c:v>13.75606281403244</c:v>
                </c:pt>
                <c:pt idx="9">
                  <c:v>13.199996370712345</c:v>
                </c:pt>
                <c:pt idx="10">
                  <c:v>12.047553359245509</c:v>
                </c:pt>
                <c:pt idx="11">
                  <c:v>10.174825017291409</c:v>
                </c:pt>
                <c:pt idx="12">
                  <c:v>7.4228301988708276</c:v>
                </c:pt>
                <c:pt idx="13">
                  <c:v>3.5854755188470953</c:v>
                </c:pt>
                <c:pt idx="14">
                  <c:v>-1.6083770246258724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65E-453B-B842-F7E104B19ACA}"/>
            </c:ext>
          </c:extLst>
        </c:ser>
        <c:ser>
          <c:idx val="11"/>
          <c:order val="11"/>
          <c:tx>
            <c:v>h=6km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masa'!$J$58:$J$72</c:f>
              <c:numCache>
                <c:formatCode>0.0</c:formatCode>
                <c:ptCount val="15"/>
                <c:pt idx="0">
                  <c:v>67.478052266794421</c:v>
                </c:pt>
                <c:pt idx="1">
                  <c:v>77.658191390594823</c:v>
                </c:pt>
                <c:pt idx="2">
                  <c:v>87.838330514395224</c:v>
                </c:pt>
                <c:pt idx="3">
                  <c:v>98.018469638195626</c:v>
                </c:pt>
                <c:pt idx="4">
                  <c:v>108.19860876199601</c:v>
                </c:pt>
                <c:pt idx="5">
                  <c:v>118.37874788579643</c:v>
                </c:pt>
                <c:pt idx="6">
                  <c:v>128.55888700959682</c:v>
                </c:pt>
                <c:pt idx="7">
                  <c:v>138.7390261333972</c:v>
                </c:pt>
                <c:pt idx="8">
                  <c:v>148.91916525719762</c:v>
                </c:pt>
                <c:pt idx="9">
                  <c:v>159.09930438099803</c:v>
                </c:pt>
                <c:pt idx="10">
                  <c:v>169.27944350479842</c:v>
                </c:pt>
                <c:pt idx="11">
                  <c:v>179.45958262859881</c:v>
                </c:pt>
                <c:pt idx="12">
                  <c:v>189.63972175239923</c:v>
                </c:pt>
                <c:pt idx="13">
                  <c:v>199.81986087619964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masa'!$O$58:$O$72</c:f>
              <c:numCache>
                <c:formatCode>0.00</c:formatCode>
                <c:ptCount val="15"/>
                <c:pt idx="0">
                  <c:v>2.9505792299741671</c:v>
                </c:pt>
                <c:pt idx="1">
                  <c:v>4.8527683199869056</c:v>
                </c:pt>
                <c:pt idx="2">
                  <c:v>6.4702485222944768</c:v>
                </c:pt>
                <c:pt idx="3">
                  <c:v>7.8363550341524988</c:v>
                </c:pt>
                <c:pt idx="4">
                  <c:v>8.9618752846644707</c:v>
                </c:pt>
                <c:pt idx="5">
                  <c:v>9.8413182374313344</c:v>
                </c:pt>
                <c:pt idx="6">
                  <c:v>10.456035873133004</c:v>
                </c:pt>
                <c:pt idx="7">
                  <c:v>10.775267238995767</c:v>
                </c:pt>
                <c:pt idx="8">
                  <c:v>10.755728867291857</c:v>
                </c:pt>
                <c:pt idx="9">
                  <c:v>10.339968440127919</c:v>
                </c:pt>
                <c:pt idx="10">
                  <c:v>9.4534344009145794</c:v>
                </c:pt>
                <c:pt idx="11">
                  <c:v>7.9999688249217744</c:v>
                </c:pt>
                <c:pt idx="12">
                  <c:v>5.8551332253766653</c:v>
                </c:pt>
                <c:pt idx="13">
                  <c:v>2.8563315302614809</c:v>
                </c:pt>
                <c:pt idx="14">
                  <c:v>-1.2120607176651916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65E-453B-B842-F7E104B19ACA}"/>
            </c:ext>
          </c:extLst>
        </c:ser>
        <c:ser>
          <c:idx val="14"/>
          <c:order val="14"/>
          <c:tx>
            <c:v>h=8km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masa'!$J$76:$J$90</c:f>
              <c:numCache>
                <c:formatCode>0.0</c:formatCode>
                <c:ptCount val="15"/>
                <c:pt idx="0">
                  <c:v>75.356120124418212</c:v>
                </c:pt>
                <c:pt idx="1">
                  <c:v>84.973540115531193</c:v>
                </c:pt>
                <c:pt idx="2">
                  <c:v>94.590960106644175</c:v>
                </c:pt>
                <c:pt idx="3">
                  <c:v>104.20838009775716</c:v>
                </c:pt>
                <c:pt idx="4">
                  <c:v>113.82580008887015</c:v>
                </c:pt>
                <c:pt idx="5">
                  <c:v>123.44322007998312</c:v>
                </c:pt>
                <c:pt idx="6">
                  <c:v>133.06064007109612</c:v>
                </c:pt>
                <c:pt idx="7">
                  <c:v>142.67806006220911</c:v>
                </c:pt>
                <c:pt idx="8">
                  <c:v>152.29548005332208</c:v>
                </c:pt>
                <c:pt idx="9">
                  <c:v>161.91290004443505</c:v>
                </c:pt>
                <c:pt idx="10">
                  <c:v>171.53032003554804</c:v>
                </c:pt>
                <c:pt idx="11">
                  <c:v>181.14774002666104</c:v>
                </c:pt>
                <c:pt idx="12">
                  <c:v>190.76516001777401</c:v>
                </c:pt>
                <c:pt idx="13">
                  <c:v>200.382580008887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masa'!$O$76:$O$90</c:f>
              <c:numCache>
                <c:formatCode>0.00</c:formatCode>
                <c:ptCount val="15"/>
                <c:pt idx="0">
                  <c:v>1.2986050616650862</c:v>
                </c:pt>
                <c:pt idx="1">
                  <c:v>2.8906492480251651</c:v>
                </c:pt>
                <c:pt idx="2">
                  <c:v>4.2454903492987652</c:v>
                </c:pt>
                <c:pt idx="3">
                  <c:v>5.3885173513368496</c:v>
                </c:pt>
                <c:pt idx="4">
                  <c:v>6.3297127874424328</c:v>
                </c:pt>
                <c:pt idx="5">
                  <c:v>7.0671525211080697</c:v>
                </c:pt>
                <c:pt idx="6">
                  <c:v>7.5888267153990645</c:v>
                </c:pt>
                <c:pt idx="7">
                  <c:v>7.8732263710559476</c:v>
                </c:pt>
                <c:pt idx="8">
                  <c:v>7.8889454571028219</c:v>
                </c:pt>
                <c:pt idx="9">
                  <c:v>7.5933734689542423</c:v>
                </c:pt>
                <c:pt idx="10">
                  <c:v>6.9303921648466016</c:v>
                </c:pt>
                <c:pt idx="11">
                  <c:v>5.8268142914458707</c:v>
                </c:pt>
                <c:pt idx="12">
                  <c:v>4.1870666835777284</c:v>
                </c:pt>
                <c:pt idx="13">
                  <c:v>1.8852498246164235</c:v>
                </c:pt>
                <c:pt idx="14">
                  <c:v>-1.2469355447795512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65E-453B-B842-F7E104B19ACA}"/>
            </c:ext>
          </c:extLst>
        </c:ser>
        <c:ser>
          <c:idx val="17"/>
          <c:order val="17"/>
          <c:tx>
            <c:v>h=10km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masa'!$J$94:$J$108</c:f>
              <c:numCache>
                <c:formatCode>0.0</c:formatCode>
                <c:ptCount val="15"/>
                <c:pt idx="0">
                  <c:v>84.65692418067519</c:v>
                </c:pt>
                <c:pt idx="1">
                  <c:v>93.610001024912677</c:v>
                </c:pt>
                <c:pt idx="2">
                  <c:v>102.56307786915016</c:v>
                </c:pt>
                <c:pt idx="3">
                  <c:v>111.51615471338765</c:v>
                </c:pt>
                <c:pt idx="4">
                  <c:v>120.46923155762514</c:v>
                </c:pt>
                <c:pt idx="5">
                  <c:v>129.42230840186261</c:v>
                </c:pt>
                <c:pt idx="6">
                  <c:v>138.37538524610011</c:v>
                </c:pt>
                <c:pt idx="7">
                  <c:v>147.32846209033761</c:v>
                </c:pt>
                <c:pt idx="8">
                  <c:v>156.28153893457508</c:v>
                </c:pt>
                <c:pt idx="9">
                  <c:v>165.23461577881255</c:v>
                </c:pt>
                <c:pt idx="10">
                  <c:v>174.18769262305005</c:v>
                </c:pt>
                <c:pt idx="11">
                  <c:v>183.14076946728756</c:v>
                </c:pt>
                <c:pt idx="12">
                  <c:v>192.09384631152503</c:v>
                </c:pt>
                <c:pt idx="13">
                  <c:v>201.0469231557625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masa'!$O$94:$O$108</c:f>
              <c:numCache>
                <c:formatCode>0.00</c:formatCode>
                <c:ptCount val="15"/>
                <c:pt idx="0">
                  <c:v>-0.49797685370082662</c:v>
                </c:pt>
                <c:pt idx="1">
                  <c:v>0.82390322625890877</c:v>
                </c:pt>
                <c:pt idx="2">
                  <c:v>1.9538793806970549</c:v>
                </c:pt>
                <c:pt idx="3">
                  <c:v>2.9096875398100739</c:v>
                </c:pt>
                <c:pt idx="4">
                  <c:v>3.699210777819526</c:v>
                </c:pt>
                <c:pt idx="5">
                  <c:v>4.322152708930755</c:v>
                </c:pt>
                <c:pt idx="6">
                  <c:v>4.7708918339990474</c:v>
                </c:pt>
                <c:pt idx="7">
                  <c:v>5.0306765727533129</c:v>
                </c:pt>
                <c:pt idx="8">
                  <c:v>5.0792053434599982</c:v>
                </c:pt>
                <c:pt idx="9">
                  <c:v>4.885566637150073</c:v>
                </c:pt>
                <c:pt idx="10">
                  <c:v>4.4084527002552703</c:v>
                </c:pt>
                <c:pt idx="11">
                  <c:v>3.593397445448872</c:v>
                </c:pt>
                <c:pt idx="12">
                  <c:v>2.3686425381776206</c:v>
                </c:pt>
                <c:pt idx="13">
                  <c:v>0.63892239187852484</c:v>
                </c:pt>
                <c:pt idx="14">
                  <c:v>-1.7240615686887151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65E-453B-B842-F7E104B19ACA}"/>
            </c:ext>
          </c:extLst>
        </c:ser>
        <c:ser>
          <c:idx val="20"/>
          <c:order val="20"/>
          <c:tx>
            <c:v>h=12km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masa'!$J$112:$J$126</c:f>
              <c:numCache>
                <c:formatCode>0.0</c:formatCode>
                <c:ptCount val="15"/>
                <c:pt idx="0">
                  <c:v>95.682662323055354</c:v>
                </c:pt>
                <c:pt idx="1">
                  <c:v>103.1339007285514</c:v>
                </c:pt>
                <c:pt idx="2">
                  <c:v>110.58513913404745</c:v>
                </c:pt>
                <c:pt idx="3">
                  <c:v>118.03637753954349</c:v>
                </c:pt>
                <c:pt idx="4">
                  <c:v>125.48761594503954</c:v>
                </c:pt>
                <c:pt idx="5">
                  <c:v>132.93885435053559</c:v>
                </c:pt>
                <c:pt idx="6">
                  <c:v>140.39009275603163</c:v>
                </c:pt>
                <c:pt idx="7">
                  <c:v>147.84133116152768</c:v>
                </c:pt>
                <c:pt idx="8">
                  <c:v>155.29256956702372</c:v>
                </c:pt>
                <c:pt idx="9">
                  <c:v>162.74380797251979</c:v>
                </c:pt>
                <c:pt idx="10">
                  <c:v>170.19504637801583</c:v>
                </c:pt>
                <c:pt idx="11">
                  <c:v>177.64628478351187</c:v>
                </c:pt>
                <c:pt idx="12">
                  <c:v>185.09752318900792</c:v>
                </c:pt>
                <c:pt idx="13">
                  <c:v>192.54876159450396</c:v>
                </c:pt>
                <c:pt idx="14">
                  <c:v>200</c:v>
                </c:pt>
              </c:numCache>
            </c:numRef>
          </c:xVal>
          <c:yVal>
            <c:numRef>
              <c:f>'Metoda CIągu, zmienna masa'!$O$112:$O$126</c:f>
              <c:numCache>
                <c:formatCode>0.00</c:formatCode>
                <c:ptCount val="15"/>
                <c:pt idx="0">
                  <c:v>-2.4908197657192126</c:v>
                </c:pt>
                <c:pt idx="1">
                  <c:v>-1.4743040924381174</c:v>
                </c:pt>
                <c:pt idx="2">
                  <c:v>-0.58344892812388938</c:v>
                </c:pt>
                <c:pt idx="3">
                  <c:v>0.19076854242620331</c:v>
                </c:pt>
                <c:pt idx="4">
                  <c:v>0.85317742875583669</c:v>
                </c:pt>
                <c:pt idx="5">
                  <c:v>1.4047975697248258</c:v>
                </c:pt>
                <c:pt idx="6">
                  <c:v>1.8430638558784707</c:v>
                </c:pt>
                <c:pt idx="7">
                  <c:v>2.1618389851459288</c:v>
                </c:pt>
                <c:pt idx="8">
                  <c:v>2.3512199217640668</c:v>
                </c:pt>
                <c:pt idx="9">
                  <c:v>2.3971169314604004</c:v>
                </c:pt>
                <c:pt idx="10">
                  <c:v>2.2805619261229753</c:v>
                </c:pt>
                <c:pt idx="11">
                  <c:v>1.9766698585710696</c:v>
                </c:pt>
                <c:pt idx="12">
                  <c:v>1.4531383685747512</c:v>
                </c:pt>
                <c:pt idx="13">
                  <c:v>0.66808021661716377</c:v>
                </c:pt>
                <c:pt idx="14">
                  <c:v>-0.4331154081246712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65E-453B-B842-F7E104B19ACA}"/>
            </c:ext>
          </c:extLst>
        </c:ser>
        <c:ser>
          <c:idx val="23"/>
          <c:order val="23"/>
          <c:tx>
            <c:v>h=14km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masa'!$J$130:$J$144</c:f>
              <c:numCache>
                <c:formatCode>0.0</c:formatCode>
                <c:ptCount val="15"/>
                <c:pt idx="0">
                  <c:v>108.5936341211916</c:v>
                </c:pt>
                <c:pt idx="1">
                  <c:v>114.40837454110648</c:v>
                </c:pt>
                <c:pt idx="2">
                  <c:v>120.22311496102137</c:v>
                </c:pt>
                <c:pt idx="3">
                  <c:v>126.03785538093626</c:v>
                </c:pt>
                <c:pt idx="4">
                  <c:v>131.85259580085113</c:v>
                </c:pt>
                <c:pt idx="5">
                  <c:v>137.66733622076603</c:v>
                </c:pt>
                <c:pt idx="6">
                  <c:v>143.48207664068093</c:v>
                </c:pt>
                <c:pt idx="7">
                  <c:v>149.2968170605958</c:v>
                </c:pt>
                <c:pt idx="8">
                  <c:v>155.11155748051067</c:v>
                </c:pt>
                <c:pt idx="9">
                  <c:v>160.92629790042557</c:v>
                </c:pt>
                <c:pt idx="10">
                  <c:v>166.74103832034046</c:v>
                </c:pt>
                <c:pt idx="11">
                  <c:v>172.55577874025533</c:v>
                </c:pt>
                <c:pt idx="12">
                  <c:v>178.37051916017023</c:v>
                </c:pt>
                <c:pt idx="13">
                  <c:v>184.18525958008513</c:v>
                </c:pt>
                <c:pt idx="14">
                  <c:v>190</c:v>
                </c:pt>
              </c:numCache>
            </c:numRef>
          </c:xVal>
          <c:yVal>
            <c:numRef>
              <c:f>'Metoda CIągu, zmienna masa'!$O$130:$O$144</c:f>
              <c:numCache>
                <c:formatCode>0.00</c:formatCode>
                <c:ptCount val="15"/>
                <c:pt idx="0">
                  <c:v>-4.7261966713904355</c:v>
                </c:pt>
                <c:pt idx="1">
                  <c:v>-3.9736126819577762</c:v>
                </c:pt>
                <c:pt idx="2">
                  <c:v>-3.2945890086727427</c:v>
                </c:pt>
                <c:pt idx="3">
                  <c:v>-2.6856406007271487</c:v>
                </c:pt>
                <c:pt idx="4">
                  <c:v>-2.1446940734442057</c:v>
                </c:pt>
                <c:pt idx="5">
                  <c:v>-1.6710429857913305</c:v>
                </c:pt>
                <c:pt idx="6">
                  <c:v>-1.2653702213242568</c:v>
                </c:pt>
                <c:pt idx="7">
                  <c:v>-0.92976652569278551</c:v>
                </c:pt>
                <c:pt idx="8">
                  <c:v>-0.66782369827923138</c:v>
                </c:pt>
                <c:pt idx="9">
                  <c:v>-0.48477933177478705</c:v>
                </c:pt>
                <c:pt idx="10">
                  <c:v>-0.38773043811490915</c:v>
                </c:pt>
                <c:pt idx="11">
                  <c:v>-0.38593610567447184</c:v>
                </c:pt>
                <c:pt idx="12">
                  <c:v>-0.49123388848388988</c:v>
                </c:pt>
                <c:pt idx="13">
                  <c:v>-0.71860767568725747</c:v>
                </c:pt>
                <c:pt idx="14">
                  <c:v>-1.0869621198908894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E65E-453B-B842-F7E104B19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439919"/>
        <c:axId val="201844339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h=0km, m. mocy</c:v>
                </c:tx>
                <c:spPr>
                  <a:ln w="19050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'h=0km'!$J$23:$J$41</c15:sqref>
                        </c15:formulaRef>
                      </c:ext>
                    </c:extLst>
                    <c:numCache>
                      <c:formatCode>0.0</c:formatCode>
                      <c:ptCount val="19"/>
                      <c:pt idx="0">
                        <c:v>45.931239174747347</c:v>
                      </c:pt>
                      <c:pt idx="1">
                        <c:v>46.753753171001605</c:v>
                      </c:pt>
                      <c:pt idx="2">
                        <c:v>47.713451350907093</c:v>
                      </c:pt>
                      <c:pt idx="3">
                        <c:v>49.845516744372453</c:v>
                      </c:pt>
                      <c:pt idx="4">
                        <c:v>52.028255570921075</c:v>
                      </c:pt>
                      <c:pt idx="5">
                        <c:v>54.52538557089337</c:v>
                      </c:pt>
                      <c:pt idx="6">
                        <c:v>60.831715833399635</c:v>
                      </c:pt>
                      <c:pt idx="7">
                        <c:v>69.65073750571058</c:v>
                      </c:pt>
                      <c:pt idx="8">
                        <c:v>77.697237598430291</c:v>
                      </c:pt>
                      <c:pt idx="9">
                        <c:v>87.403829604220221</c:v>
                      </c:pt>
                      <c:pt idx="10">
                        <c:v>109.76876320968472</c:v>
                      </c:pt>
                      <c:pt idx="11">
                        <c:v>121.73944756404192</c:v>
                      </c:pt>
                      <c:pt idx="12">
                        <c:v>140.10636022829706</c:v>
                      </c:pt>
                      <c:pt idx="13">
                        <c:v>157.1649509973418</c:v>
                      </c:pt>
                      <c:pt idx="14">
                        <c:v>177.57523483887357</c:v>
                      </c:pt>
                      <c:pt idx="15">
                        <c:v>193.70140856220578</c:v>
                      </c:pt>
                      <c:pt idx="16">
                        <c:v>215.2069722760954</c:v>
                      </c:pt>
                      <c:pt idx="17">
                        <c:v>236.48760862027481</c:v>
                      </c:pt>
                      <c:pt idx="18">
                        <c:v>256.64929026200639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'h=0km'!$O$23:$O$41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8.5536262586962355</c:v>
                      </c:pt>
                      <c:pt idx="1">
                        <c:v>8.805766050174002</c:v>
                      </c:pt>
                      <c:pt idx="2">
                        <c:v>9.1169537934596221</c:v>
                      </c:pt>
                      <c:pt idx="3">
                        <c:v>9.7644876007781889</c:v>
                      </c:pt>
                      <c:pt idx="4">
                        <c:v>10.411244581178821</c:v>
                      </c:pt>
                      <c:pt idx="5">
                        <c:v>11.095718202109621</c:v>
                      </c:pt>
                      <c:pt idx="6">
                        <c:v>12.716124307908188</c:v>
                      </c:pt>
                      <c:pt idx="7">
                        <c:v>14.739944802622405</c:v>
                      </c:pt>
                      <c:pt idx="8">
                        <c:v>16.400044820747812</c:v>
                      </c:pt>
                      <c:pt idx="9">
                        <c:v>18.176483411598003</c:v>
                      </c:pt>
                      <c:pt idx="10">
                        <c:v>20.930371109697354</c:v>
                      </c:pt>
                      <c:pt idx="11">
                        <c:v>21.48725052033932</c:v>
                      </c:pt>
                      <c:pt idx="12">
                        <c:v>21.151338514610458</c:v>
                      </c:pt>
                      <c:pt idx="13">
                        <c:v>18.638337632029327</c:v>
                      </c:pt>
                      <c:pt idx="14">
                        <c:v>13.507201473101391</c:v>
                      </c:pt>
                      <c:pt idx="15">
                        <c:v>6.6636073556173354</c:v>
                      </c:pt>
                      <c:pt idx="16">
                        <c:v>-6.6430699143899652</c:v>
                      </c:pt>
                      <c:pt idx="17">
                        <c:v>-27.151748057086103</c:v>
                      </c:pt>
                      <c:pt idx="18">
                        <c:v>-58.964825279511615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65E-453B-B842-F7E104B19AC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h=0km, m. ciągu, m=const.</c:v>
                </c:tx>
                <c:spPr>
                  <a:ln w="19050" cap="rnd">
                    <a:solidFill>
                      <a:schemeClr val="accent1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'h=0km'!$G$3:$G$17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45.931239174747347</c:v>
                      </c:pt>
                      <c:pt idx="1">
                        <c:v>63</c:v>
                      </c:pt>
                      <c:pt idx="2">
                        <c:v>77</c:v>
                      </c:pt>
                      <c:pt idx="3">
                        <c:v>90</c:v>
                      </c:pt>
                      <c:pt idx="4">
                        <c:v>104</c:v>
                      </c:pt>
                      <c:pt idx="5">
                        <c:v>117</c:v>
                      </c:pt>
                      <c:pt idx="6">
                        <c:v>130</c:v>
                      </c:pt>
                      <c:pt idx="7">
                        <c:v>144</c:v>
                      </c:pt>
                      <c:pt idx="8">
                        <c:v>158</c:v>
                      </c:pt>
                      <c:pt idx="9">
                        <c:v>171</c:v>
                      </c:pt>
                      <c:pt idx="10">
                        <c:v>185</c:v>
                      </c:pt>
                      <c:pt idx="11">
                        <c:v>200</c:v>
                      </c:pt>
                      <c:pt idx="12">
                        <c:v>213</c:v>
                      </c:pt>
                      <c:pt idx="13">
                        <c:v>227</c:v>
                      </c:pt>
                      <c:pt idx="14">
                        <c:v>240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'h=0km'!$L$45:$L$59</c15:sqref>
                        </c15:formulaRef>
                      </c:ext>
                    </c:extLst>
                    <c:numCache>
                      <c:formatCode>0</c:formatCode>
                      <c:ptCount val="15"/>
                      <c:pt idx="0">
                        <c:v>3811.0888481989809</c:v>
                      </c:pt>
                      <c:pt idx="1">
                        <c:v>3719.9885438401025</c:v>
                      </c:pt>
                      <c:pt idx="2">
                        <c:v>3603.8488196249828</c:v>
                      </c:pt>
                      <c:pt idx="3">
                        <c:v>3393.6592795047109</c:v>
                      </c:pt>
                      <c:pt idx="4">
                        <c:v>3206.2866824514763</c:v>
                      </c:pt>
                      <c:pt idx="5">
                        <c:v>3046.739547611071</c:v>
                      </c:pt>
                      <c:pt idx="6">
                        <c:v>2761.6831810105427</c:v>
                      </c:pt>
                      <c:pt idx="7">
                        <c:v>2567.6931466451501</c:v>
                      </c:pt>
                      <c:pt idx="8">
                        <c:v>2510.8831394891204</c:v>
                      </c:pt>
                      <c:pt idx="9">
                        <c:v>2548.2800428254272</c:v>
                      </c:pt>
                      <c:pt idx="10">
                        <c:v>3074.6909093490208</c:v>
                      </c:pt>
                      <c:pt idx="11">
                        <c:v>3578.7233932464342</c:v>
                      </c:pt>
                      <c:pt idx="12">
                        <c:v>4548.9386772480075</c:v>
                      </c:pt>
                      <c:pt idx="13">
                        <c:v>5846.9026545417864</c:v>
                      </c:pt>
                      <c:pt idx="14">
                        <c:v>7645.1885051396703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65E-453B-B842-F7E104B19AC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h=2km, m. mocy</c:v>
                </c:tx>
                <c:spPr>
                  <a:ln w="19050" cap="rnd">
                    <a:solidFill>
                      <a:schemeClr val="accent2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'h=2km'!$J$25:$J$43</c15:sqref>
                        </c15:formulaRef>
                      </c:ext>
                    </c:extLst>
                    <c:numCache>
                      <c:formatCode>0.0</c:formatCode>
                      <c:ptCount val="19"/>
                      <c:pt idx="0">
                        <c:v>50.676077307156149</c:v>
                      </c:pt>
                      <c:pt idx="1">
                        <c:v>51.583559526432204</c:v>
                      </c:pt>
                      <c:pt idx="2">
                        <c:v>52.642397477034805</c:v>
                      </c:pt>
                      <c:pt idx="3">
                        <c:v>54.994711776505412</c:v>
                      </c:pt>
                      <c:pt idx="4">
                        <c:v>57.402934230393036</c:v>
                      </c:pt>
                      <c:pt idx="5">
                        <c:v>60.158025431899048</c:v>
                      </c:pt>
                      <c:pt idx="6">
                        <c:v>67.115818986986241</c:v>
                      </c:pt>
                      <c:pt idx="7">
                        <c:v>76.845872694860617</c:v>
                      </c:pt>
                      <c:pt idx="8">
                        <c:v>85.723600970367059</c:v>
                      </c:pt>
                      <c:pt idx="9">
                        <c:v>96.43291375426584</c:v>
                      </c:pt>
                      <c:pt idx="10">
                        <c:v>121.10821371837065</c:v>
                      </c:pt>
                      <c:pt idx="11">
                        <c:v>134.31550654696235</c:v>
                      </c:pt>
                      <c:pt idx="12">
                        <c:v>154.57977772254398</c:v>
                      </c:pt>
                      <c:pt idx="13">
                        <c:v>173.40057333126614</c:v>
                      </c:pt>
                      <c:pt idx="14">
                        <c:v>195.91930220508064</c:v>
                      </c:pt>
                      <c:pt idx="15">
                        <c:v>213.71135922237772</c:v>
                      </c:pt>
                      <c:pt idx="16">
                        <c:v>237.438513744658</c:v>
                      </c:pt>
                      <c:pt idx="17">
                        <c:v>260.91750520883818</c:v>
                      </c:pt>
                      <c:pt idx="18">
                        <c:v>283.16195051177249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'h=2km'!$O$25:$O$43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7.0926518769841458</c:v>
                      </c:pt>
                      <c:pt idx="1">
                        <c:v>7.3303273204928168</c:v>
                      </c:pt>
                      <c:pt idx="2">
                        <c:v>7.6265298140798201</c:v>
                      </c:pt>
                      <c:pt idx="3">
                        <c:v>8.2364473822100202</c:v>
                      </c:pt>
                      <c:pt idx="4">
                        <c:v>8.84344543392322</c:v>
                      </c:pt>
                      <c:pt idx="5">
                        <c:v>9.4770859578795399</c:v>
                      </c:pt>
                      <c:pt idx="6">
                        <c:v>10.960195626673077</c:v>
                      </c:pt>
                      <c:pt idx="7">
                        <c:v>12.772124279659636</c:v>
                      </c:pt>
                      <c:pt idx="8">
                        <c:v>14.224623739315433</c:v>
                      </c:pt>
                      <c:pt idx="9">
                        <c:v>15.732592254883478</c:v>
                      </c:pt>
                      <c:pt idx="10">
                        <c:v>17.732843975507944</c:v>
                      </c:pt>
                      <c:pt idx="11">
                        <c:v>17.77419155781979</c:v>
                      </c:pt>
                      <c:pt idx="12">
                        <c:v>16.455920701594508</c:v>
                      </c:pt>
                      <c:pt idx="13">
                        <c:v>12.617575112443062</c:v>
                      </c:pt>
                      <c:pt idx="14">
                        <c:v>5.2567750789647629</c:v>
                      </c:pt>
                      <c:pt idx="15">
                        <c:v>-4.3137591680770013</c:v>
                      </c:pt>
                      <c:pt idx="16">
                        <c:v>-23.526484212300808</c:v>
                      </c:pt>
                      <c:pt idx="17">
                        <c:v>-55.357283907591416</c:v>
                      </c:pt>
                      <c:pt idx="18">
                        <c:v>-111.37458668595167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65E-453B-B842-F7E104B19ACA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h=2km, m. ciągu, m=const.</c:v>
                </c:tx>
                <c:spPr>
                  <a:ln w="19050" cap="rnd">
                    <a:solidFill>
                      <a:schemeClr val="accent2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'h=2km'!$G$3:$G$17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50.676077307156149</c:v>
                      </c:pt>
                      <c:pt idx="1">
                        <c:v>63</c:v>
                      </c:pt>
                      <c:pt idx="2">
                        <c:v>77</c:v>
                      </c:pt>
                      <c:pt idx="3">
                        <c:v>90</c:v>
                      </c:pt>
                      <c:pt idx="4">
                        <c:v>104</c:v>
                      </c:pt>
                      <c:pt idx="5">
                        <c:v>117</c:v>
                      </c:pt>
                      <c:pt idx="6">
                        <c:v>130</c:v>
                      </c:pt>
                      <c:pt idx="7">
                        <c:v>144</c:v>
                      </c:pt>
                      <c:pt idx="8">
                        <c:v>158</c:v>
                      </c:pt>
                      <c:pt idx="9">
                        <c:v>171</c:v>
                      </c:pt>
                      <c:pt idx="10">
                        <c:v>185</c:v>
                      </c:pt>
                      <c:pt idx="11">
                        <c:v>200</c:v>
                      </c:pt>
                      <c:pt idx="12">
                        <c:v>213</c:v>
                      </c:pt>
                      <c:pt idx="13">
                        <c:v>227</c:v>
                      </c:pt>
                      <c:pt idx="14">
                        <c:v>240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'h=2km'!$L$3:$L$17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7.4716717845893363</c:v>
                      </c:pt>
                      <c:pt idx="1">
                        <c:v>10.472670871708774</c:v>
                      </c:pt>
                      <c:pt idx="2">
                        <c:v>13.208866442927064</c:v>
                      </c:pt>
                      <c:pt idx="3">
                        <c:v>15.179780998868225</c:v>
                      </c:pt>
                      <c:pt idx="4">
                        <c:v>16.692841063626801</c:v>
                      </c:pt>
                      <c:pt idx="5">
                        <c:v>17.497548840057917</c:v>
                      </c:pt>
                      <c:pt idx="6">
                        <c:v>17.665613725845322</c:v>
                      </c:pt>
                      <c:pt idx="7">
                        <c:v>17.042466045129036</c:v>
                      </c:pt>
                      <c:pt idx="8">
                        <c:v>15.456187088475248</c:v>
                      </c:pt>
                      <c:pt idx="9">
                        <c:v>12.970543024404115</c:v>
                      </c:pt>
                      <c:pt idx="10">
                        <c:v>8.9908887340058499</c:v>
                      </c:pt>
                      <c:pt idx="11">
                        <c:v>2.8921308112019721</c:v>
                      </c:pt>
                      <c:pt idx="12">
                        <c:v>-4.3125245898372349</c:v>
                      </c:pt>
                      <c:pt idx="13">
                        <c:v>-14.629732815478791</c:v>
                      </c:pt>
                      <c:pt idx="14">
                        <c:v>-27.319914121592564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65E-453B-B842-F7E104B19ACA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h=4km, m. mocy</c:v>
                </c:tx>
                <c:spPr>
                  <a:ln w="19050" cap="rnd">
                    <a:solidFill>
                      <a:schemeClr val="accent3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'h=4km'!$J$25:$J$43</c15:sqref>
                        </c15:formulaRef>
                      </c:ext>
                    </c:extLst>
                    <c:numCache>
                      <c:formatCode>0.0</c:formatCode>
                      <c:ptCount val="19"/>
                      <c:pt idx="0">
                        <c:v>56.177984453296382</c:v>
                      </c:pt>
                      <c:pt idx="1">
                        <c:v>57.183992114408973</c:v>
                      </c:pt>
                      <c:pt idx="2">
                        <c:v>58.357788214824851</c:v>
                      </c:pt>
                      <c:pt idx="3">
                        <c:v>60.965493529976882</c:v>
                      </c:pt>
                      <c:pt idx="4">
                        <c:v>63.635176953864821</c:v>
                      </c:pt>
                      <c:pt idx="5">
                        <c:v>66.689388702487321</c:v>
                      </c:pt>
                      <c:pt idx="6">
                        <c:v>74.402590649784401</c:v>
                      </c:pt>
                      <c:pt idx="7">
                        <c:v>85.189037331866416</c:v>
                      </c:pt>
                      <c:pt idx="8">
                        <c:v>95.030621518011813</c:v>
                      </c:pt>
                      <c:pt idx="9">
                        <c:v>106.90264553898702</c:v>
                      </c:pt>
                      <c:pt idx="10">
                        <c:v>134.25694546559467</c:v>
                      </c:pt>
                      <c:pt idx="11">
                        <c:v>148.89815549251958</c:v>
                      </c:pt>
                      <c:pt idx="12">
                        <c:v>171.36252076213466</c:v>
                      </c:pt>
                      <c:pt idx="13">
                        <c:v>192.22669216784359</c:v>
                      </c:pt>
                      <c:pt idx="14">
                        <c:v>217.1902818496855</c:v>
                      </c:pt>
                      <c:pt idx="15">
                        <c:v>236.91402440480891</c:v>
                      </c:pt>
                      <c:pt idx="16">
                        <c:v>263.21723863732393</c:v>
                      </c:pt>
                      <c:pt idx="17">
                        <c:v>289.24534672191584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'h=4km'!$O$25:$O$43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5.5710967954506287</c:v>
                      </c:pt>
                      <c:pt idx="1">
                        <c:v>5.7951921745867505</c:v>
                      </c:pt>
                      <c:pt idx="2">
                        <c:v>6.0777757525055813</c:v>
                      </c:pt>
                      <c:pt idx="3">
                        <c:v>6.6524001826776287</c:v>
                      </c:pt>
                      <c:pt idx="4">
                        <c:v>7.2218458073246596</c:v>
                      </c:pt>
                      <c:pt idx="5">
                        <c:v>7.8062883937988587</c:v>
                      </c:pt>
                      <c:pt idx="6">
                        <c:v>9.1548074886246766</c:v>
                      </c:pt>
                      <c:pt idx="7">
                        <c:v>10.755169177386023</c:v>
                      </c:pt>
                      <c:pt idx="8">
                        <c:v>11.997452864360652</c:v>
                      </c:pt>
                      <c:pt idx="9">
                        <c:v>13.229197718205205</c:v>
                      </c:pt>
                      <c:pt idx="10">
                        <c:v>14.41546866725302</c:v>
                      </c:pt>
                      <c:pt idx="11">
                        <c:v>13.864038091209963</c:v>
                      </c:pt>
                      <c:pt idx="12">
                        <c:v>11.335810697020314</c:v>
                      </c:pt>
                      <c:pt idx="13">
                        <c:v>5.7021395964257975</c:v>
                      </c:pt>
                      <c:pt idx="14">
                        <c:v>-5.0753874173283329</c:v>
                      </c:pt>
                      <c:pt idx="15">
                        <c:v>-19.440572876073663</c:v>
                      </c:pt>
                      <c:pt idx="16">
                        <c:v>-51.410822375755423</c:v>
                      </c:pt>
                      <c:pt idx="17">
                        <c:v>-118.37111846545886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65E-453B-B842-F7E104B19ACA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h=4km, m. ciągu, m=const.</c:v>
                </c:tx>
                <c:spPr>
                  <a:ln w="19050" cap="rnd">
                    <a:solidFill>
                      <a:schemeClr val="accent3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'h=4km'!$G$3:$G$17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56.177984453296389</c:v>
                      </c:pt>
                      <c:pt idx="1">
                        <c:v>63</c:v>
                      </c:pt>
                      <c:pt idx="2">
                        <c:v>77</c:v>
                      </c:pt>
                      <c:pt idx="3">
                        <c:v>90</c:v>
                      </c:pt>
                      <c:pt idx="4">
                        <c:v>104</c:v>
                      </c:pt>
                      <c:pt idx="5">
                        <c:v>117</c:v>
                      </c:pt>
                      <c:pt idx="6">
                        <c:v>130</c:v>
                      </c:pt>
                      <c:pt idx="7">
                        <c:v>144</c:v>
                      </c:pt>
                      <c:pt idx="8">
                        <c:v>158</c:v>
                      </c:pt>
                      <c:pt idx="9">
                        <c:v>171</c:v>
                      </c:pt>
                      <c:pt idx="10">
                        <c:v>185</c:v>
                      </c:pt>
                      <c:pt idx="11">
                        <c:v>200</c:v>
                      </c:pt>
                      <c:pt idx="12">
                        <c:v>213</c:v>
                      </c:pt>
                      <c:pt idx="13">
                        <c:v>227</c:v>
                      </c:pt>
                      <c:pt idx="14">
                        <c:v>240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'h=4km'!$L$3:$L$17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5.9101660249976566</c:v>
                      </c:pt>
                      <c:pt idx="1">
                        <c:v>7.4016579118681136</c:v>
                      </c:pt>
                      <c:pt idx="2">
                        <c:v>9.9523138923493963</c:v>
                      </c:pt>
                      <c:pt idx="3">
                        <c:v>11.78657334443278</c:v>
                      </c:pt>
                      <c:pt idx="4">
                        <c:v>13.21918422911715</c:v>
                      </c:pt>
                      <c:pt idx="5">
                        <c:v>14.031962007204026</c:v>
                      </c:pt>
                      <c:pt idx="6">
                        <c:v>14.306217097107112</c:v>
                      </c:pt>
                      <c:pt idx="7">
                        <c:v>13.92783978006697</c:v>
                      </c:pt>
                      <c:pt idx="8">
                        <c:v>12.745011976751448</c:v>
                      </c:pt>
                      <c:pt idx="9">
                        <c:v>10.799309225604452</c:v>
                      </c:pt>
                      <c:pt idx="10">
                        <c:v>7.6074610072200848</c:v>
                      </c:pt>
                      <c:pt idx="11">
                        <c:v>2.6282885019978353</c:v>
                      </c:pt>
                      <c:pt idx="12">
                        <c:v>-3.3398510113355036</c:v>
                      </c:pt>
                      <c:pt idx="13">
                        <c:v>-12.010056388877096</c:v>
                      </c:pt>
                      <c:pt idx="14">
                        <c:v>-22.848933667264809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65E-453B-B842-F7E104B19ACA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h=6km, m. mocy</c:v>
                </c:tx>
                <c:spPr>
                  <a:ln w="19050" cap="rnd">
                    <a:solidFill>
                      <a:schemeClr val="accent4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'h=6km'!$J$25:$J$42</c15:sqref>
                        </c15:formulaRef>
                      </c:ext>
                    </c:extLst>
                    <c:numCache>
                      <c:formatCode>0.0</c:formatCode>
                      <c:ptCount val="18"/>
                      <c:pt idx="0">
                        <c:v>62.604896336843368</c:v>
                      </c:pt>
                      <c:pt idx="1">
                        <c:v>63.725993968788195</c:v>
                      </c:pt>
                      <c:pt idx="2">
                        <c:v>65.034075486882159</c:v>
                      </c:pt>
                      <c:pt idx="3">
                        <c:v>67.940109274332301</c:v>
                      </c:pt>
                      <c:pt idx="4">
                        <c:v>70.915211632154367</c:v>
                      </c:pt>
                      <c:pt idx="5">
                        <c:v>74.318833384946899</c:v>
                      </c:pt>
                      <c:pt idx="6">
                        <c:v>82.914446293365131</c:v>
                      </c:pt>
                      <c:pt idx="7">
                        <c:v>94.934891365331538</c:v>
                      </c:pt>
                      <c:pt idx="8">
                        <c:v>105.90237914119098</c:v>
                      </c:pt>
                      <c:pt idx="9">
                        <c:v>119.13259450713322</c:v>
                      </c:pt>
                      <c:pt idx="10">
                        <c:v>149.61629960865557</c:v>
                      </c:pt>
                      <c:pt idx="11">
                        <c:v>165.93250327636838</c:v>
                      </c:pt>
                      <c:pt idx="12">
                        <c:v>190.96685209937448</c:v>
                      </c:pt>
                      <c:pt idx="13">
                        <c:v>214.21794059462744</c:v>
                      </c:pt>
                      <c:pt idx="14">
                        <c:v>242.03743179631834</c:v>
                      </c:pt>
                      <c:pt idx="15">
                        <c:v>264.01762332605608</c:v>
                      </c:pt>
                      <c:pt idx="16">
                        <c:v>293.3299957149477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'h=6km'!$O$25:$O$42</c15:sqref>
                        </c15:formulaRef>
                      </c:ext>
                    </c:extLst>
                    <c:numCache>
                      <c:formatCode>0.00</c:formatCode>
                      <c:ptCount val="18"/>
                      <c:pt idx="0">
                        <c:v>3.9692537928711364</c:v>
                      </c:pt>
                      <c:pt idx="1">
                        <c:v>4.1807262407879495</c:v>
                      </c:pt>
                      <c:pt idx="2">
                        <c:v>4.4512305759415316</c:v>
                      </c:pt>
                      <c:pt idx="3">
                        <c:v>4.9930827441712538</c:v>
                      </c:pt>
                      <c:pt idx="4">
                        <c:v>5.5273371482119042</c:v>
                      </c:pt>
                      <c:pt idx="5">
                        <c:v>6.0641430781244514</c:v>
                      </c:pt>
                      <c:pt idx="6">
                        <c:v>7.280099485901836</c:v>
                      </c:pt>
                      <c:pt idx="7">
                        <c:v>8.6668341172540515</c:v>
                      </c:pt>
                      <c:pt idx="8">
                        <c:v>9.6924294971007132</c:v>
                      </c:pt>
                      <c:pt idx="9">
                        <c:v>10.632319446290291</c:v>
                      </c:pt>
                      <c:pt idx="10">
                        <c:v>10.894042597051016</c:v>
                      </c:pt>
                      <c:pt idx="11">
                        <c:v>9.6056565355744983</c:v>
                      </c:pt>
                      <c:pt idx="12">
                        <c:v>5.4112575957281344</c:v>
                      </c:pt>
                      <c:pt idx="13">
                        <c:v>-3.0520786711070045</c:v>
                      </c:pt>
                      <c:pt idx="14">
                        <c:v>-20.377637260602469</c:v>
                      </c:pt>
                      <c:pt idx="15">
                        <c:v>-46.499958918260361</c:v>
                      </c:pt>
                      <c:pt idx="16" formatCode="0.0">
                        <c:v>-131.42959498800178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65E-453B-B842-F7E104B19ACA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h=6km, m. ciągu, m=const.</c:v>
                </c:tx>
                <c:spPr>
                  <a:ln w="19050" cap="rnd">
                    <a:solidFill>
                      <a:schemeClr val="accent4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'h=6km'!$G$3:$G$17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62.604896336843368</c:v>
                      </c:pt>
                      <c:pt idx="1">
                        <c:v>63</c:v>
                      </c:pt>
                      <c:pt idx="2">
                        <c:v>77</c:v>
                      </c:pt>
                      <c:pt idx="3">
                        <c:v>90</c:v>
                      </c:pt>
                      <c:pt idx="4">
                        <c:v>104</c:v>
                      </c:pt>
                      <c:pt idx="5">
                        <c:v>117</c:v>
                      </c:pt>
                      <c:pt idx="6">
                        <c:v>130</c:v>
                      </c:pt>
                      <c:pt idx="7">
                        <c:v>144</c:v>
                      </c:pt>
                      <c:pt idx="8">
                        <c:v>158</c:v>
                      </c:pt>
                      <c:pt idx="9">
                        <c:v>171</c:v>
                      </c:pt>
                      <c:pt idx="10">
                        <c:v>185</c:v>
                      </c:pt>
                      <c:pt idx="11">
                        <c:v>200</c:v>
                      </c:pt>
                      <c:pt idx="12">
                        <c:v>213</c:v>
                      </c:pt>
                      <c:pt idx="13">
                        <c:v>227</c:v>
                      </c:pt>
                      <c:pt idx="14">
                        <c:v>240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'h=6km'!$L$3:$L$17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4.2831325160521168</c:v>
                      </c:pt>
                      <c:pt idx="1">
                        <c:v>4.3616165501408695</c:v>
                      </c:pt>
                      <c:pt idx="2">
                        <c:v>6.7998098325616132</c:v>
                      </c:pt>
                      <c:pt idx="3">
                        <c:v>8.5452195732202387</c:v>
                      </c:pt>
                      <c:pt idx="4">
                        <c:v>9.9280658445522558</c:v>
                      </c:pt>
                      <c:pt idx="5">
                        <c:v>10.758063175065899</c:v>
                      </c:pt>
                      <c:pt idx="6">
                        <c:v>11.128271235079136</c:v>
                      </c:pt>
                      <c:pt idx="7">
                        <c:v>10.960451238393684</c:v>
                      </c:pt>
                      <c:pt idx="8">
                        <c:v>10.120662676429108</c:v>
                      </c:pt>
                      <c:pt idx="9">
                        <c:v>8.6329517167596475</c:v>
                      </c:pt>
                      <c:pt idx="10">
                        <c:v>6.1097051252759069</c:v>
                      </c:pt>
                      <c:pt idx="11">
                        <c:v>2.0823084102255613</c:v>
                      </c:pt>
                      <c:pt idx="12">
                        <c:v>-2.8331001844373835</c:v>
                      </c:pt>
                      <c:pt idx="13">
                        <c:v>-10.101339345026506</c:v>
                      </c:pt>
                      <c:pt idx="14">
                        <c:v>-19.37175755785373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65E-453B-B842-F7E104B19ACA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h=8km, m. mocy</c:v>
                </c:tx>
                <c:spPr>
                  <a:ln w="19050" cap="rnd">
                    <a:solidFill>
                      <a:schemeClr val="accent5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'h=8km'!$J$25:$J$41</c15:sqref>
                        </c15:formulaRef>
                      </c:ext>
                    </c:extLst>
                    <c:numCache>
                      <c:formatCode>0.0</c:formatCode>
                      <c:ptCount val="17"/>
                      <c:pt idx="0">
                        <c:v>70.173638246544257</c:v>
                      </c:pt>
                      <c:pt idx="1">
                        <c:v>71.430273178736542</c:v>
                      </c:pt>
                      <c:pt idx="2">
                        <c:v>72.896497781263278</c:v>
                      </c:pt>
                      <c:pt idx="3">
                        <c:v>76.153862231410116</c:v>
                      </c:pt>
                      <c:pt idx="4">
                        <c:v>79.488645432406841</c:v>
                      </c:pt>
                      <c:pt idx="5">
                        <c:v>83.303754722316654</c:v>
                      </c:pt>
                      <c:pt idx="6">
                        <c:v>92.93855113659788</c:v>
                      </c:pt>
                      <c:pt idx="7">
                        <c:v>106.41223152581387</c:v>
                      </c:pt>
                      <c:pt idx="8">
                        <c:v>118.7056552784162</c:v>
                      </c:pt>
                      <c:pt idx="9">
                        <c:v>133.53536351750049</c:v>
                      </c:pt>
                      <c:pt idx="10">
                        <c:v>167.70445602264468</c:v>
                      </c:pt>
                      <c:pt idx="11">
                        <c:v>185.99323918066736</c:v>
                      </c:pt>
                      <c:pt idx="12">
                        <c:v>214.05416477650726</c:v>
                      </c:pt>
                      <c:pt idx="13">
                        <c:v>240.11623928463251</c:v>
                      </c:pt>
                      <c:pt idx="14">
                        <c:v>271.29902251753913</c:v>
                      </c:pt>
                      <c:pt idx="15">
                        <c:v>295.93655247523742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'h=8km'!$O$25:$O$41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2.2596523882707027</c:v>
                      </c:pt>
                      <c:pt idx="1">
                        <c:v>2.4594862172243381</c:v>
                      </c:pt>
                      <c:pt idx="2">
                        <c:v>2.7196047940377568</c:v>
                      </c:pt>
                      <c:pt idx="3">
                        <c:v>3.2312777701144806</c:v>
                      </c:pt>
                      <c:pt idx="4">
                        <c:v>3.732696397804725</c:v>
                      </c:pt>
                      <c:pt idx="5">
                        <c:v>4.2230427244697761</c:v>
                      </c:pt>
                      <c:pt idx="6">
                        <c:v>5.3066425282628122</c:v>
                      </c:pt>
                      <c:pt idx="7">
                        <c:v>6.4724913044378347</c:v>
                      </c:pt>
                      <c:pt idx="8">
                        <c:v>7.2667432629257771</c:v>
                      </c:pt>
                      <c:pt idx="9">
                        <c:v>7.8823129622108805</c:v>
                      </c:pt>
                      <c:pt idx="10">
                        <c:v>6.9971401844097567</c:v>
                      </c:pt>
                      <c:pt idx="11">
                        <c:v>4.6667860633554561</c:v>
                      </c:pt>
                      <c:pt idx="12">
                        <c:v>-2.2792416389170285</c:v>
                      </c:pt>
                      <c:pt idx="13">
                        <c:v>-16.524426658058925</c:v>
                      </c:pt>
                      <c:pt idx="14">
                        <c:v>-53.746894705756795</c:v>
                      </c:pt>
                      <c:pt idx="15">
                        <c:v>-162.02182463582989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65E-453B-B842-F7E104B19ACA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h=8km, m. ciągu, m=const.</c:v>
                </c:tx>
                <c:spPr>
                  <a:ln w="19050" cap="rnd">
                    <a:solidFill>
                      <a:schemeClr val="accent5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'h=8km'!$G$3:$G$17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70.173638246544257</c:v>
                      </c:pt>
                      <c:pt idx="1">
                        <c:v>75</c:v>
                      </c:pt>
                      <c:pt idx="2">
                        <c:v>77</c:v>
                      </c:pt>
                      <c:pt idx="3">
                        <c:v>90</c:v>
                      </c:pt>
                      <c:pt idx="4">
                        <c:v>104</c:v>
                      </c:pt>
                      <c:pt idx="5">
                        <c:v>117</c:v>
                      </c:pt>
                      <c:pt idx="6">
                        <c:v>130</c:v>
                      </c:pt>
                      <c:pt idx="7">
                        <c:v>144</c:v>
                      </c:pt>
                      <c:pt idx="8">
                        <c:v>158</c:v>
                      </c:pt>
                      <c:pt idx="9">
                        <c:v>171</c:v>
                      </c:pt>
                      <c:pt idx="10">
                        <c:v>185</c:v>
                      </c:pt>
                      <c:pt idx="11">
                        <c:v>200</c:v>
                      </c:pt>
                      <c:pt idx="12">
                        <c:v>213</c:v>
                      </c:pt>
                      <c:pt idx="13">
                        <c:v>227</c:v>
                      </c:pt>
                      <c:pt idx="14">
                        <c:v>240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'h=8km'!$L$3:$L$17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2.562383477251339</c:v>
                      </c:pt>
                      <c:pt idx="1">
                        <c:v>3.3487607300178657</c:v>
                      </c:pt>
                      <c:pt idx="2">
                        <c:v>3.6535984248390334</c:v>
                      </c:pt>
                      <c:pt idx="3">
                        <c:v>5.3648711633415962</c:v>
                      </c:pt>
                      <c:pt idx="4">
                        <c:v>6.7357087522828873</c:v>
                      </c:pt>
                      <c:pt idx="5">
                        <c:v>7.598712831727501</c:v>
                      </c:pt>
                      <c:pt idx="6">
                        <c:v>8.0618005847628122</c:v>
                      </c:pt>
                      <c:pt idx="7">
                        <c:v>8.0790977401152979</c:v>
                      </c:pt>
                      <c:pt idx="8">
                        <c:v>7.5322024399643963</c:v>
                      </c:pt>
                      <c:pt idx="9">
                        <c:v>6.4317051395534559</c:v>
                      </c:pt>
                      <c:pt idx="10">
                        <c:v>4.4718870572049783</c:v>
                      </c:pt>
                      <c:pt idx="11">
                        <c:v>1.2459130054667742</c:v>
                      </c:pt>
                      <c:pt idx="12">
                        <c:v>-2.7836386930267172</c:v>
                      </c:pt>
                      <c:pt idx="13">
                        <c:v>-8.8760053698303025</c:v>
                      </c:pt>
                      <c:pt idx="14">
                        <c:v>-16.846399990598503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65E-453B-B842-F7E104B19ACA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h=10km, m. mocy</c:v>
                </c:tx>
                <c:spPr>
                  <a:ln w="19050" cap="rnd">
                    <a:solidFill>
                      <a:schemeClr val="accent6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'h=10km'!$J$25:$J$39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79.167950910162872</c:v>
                      </c:pt>
                      <c:pt idx="1">
                        <c:v>80.585651561143351</c:v>
                      </c:pt>
                      <c:pt idx="2">
                        <c:v>82.239805460764302</c:v>
                      </c:pt>
                      <c:pt idx="3">
                        <c:v>85.914673621079956</c:v>
                      </c:pt>
                      <c:pt idx="4">
                        <c:v>89.676883467247436</c:v>
                      </c:pt>
                      <c:pt idx="5">
                        <c:v>93.980983874858282</c:v>
                      </c:pt>
                      <c:pt idx="6">
                        <c:v>104.8506937632834</c:v>
                      </c:pt>
                      <c:pt idx="7">
                        <c:v>120.05132599906754</c:v>
                      </c:pt>
                      <c:pt idx="8">
                        <c:v>133.92042545696518</c:v>
                      </c:pt>
                      <c:pt idx="9">
                        <c:v>150.65089067467358</c:v>
                      </c:pt>
                      <c:pt idx="10">
                        <c:v>189.1995124318658</c:v>
                      </c:pt>
                      <c:pt idx="11">
                        <c:v>209.832409962047</c:v>
                      </c:pt>
                      <c:pt idx="12">
                        <c:v>241.48996735219114</c:v>
                      </c:pt>
                      <c:pt idx="13">
                        <c:v>270.89247642585843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'h=10km'!$O$25:$O$39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0.4023421416415055</c:v>
                      </c:pt>
                      <c:pt idx="1">
                        <c:v>0.59140941842654826</c:v>
                      </c:pt>
                      <c:pt idx="2">
                        <c:v>0.8428784334432261</c:v>
                      </c:pt>
                      <c:pt idx="3">
                        <c:v>1.3266468044639967</c:v>
                      </c:pt>
                      <c:pt idx="4">
                        <c:v>1.797108473625538</c:v>
                      </c:pt>
                      <c:pt idx="5">
                        <c:v>2.2410107241118871</c:v>
                      </c:pt>
                      <c:pt idx="6">
                        <c:v>3.1878782623283226</c:v>
                      </c:pt>
                      <c:pt idx="7">
                        <c:v>4.1137051559218563</c:v>
                      </c:pt>
                      <c:pt idx="8">
                        <c:v>4.6432656942803909</c:v>
                      </c:pt>
                      <c:pt idx="9">
                        <c:v>4.8625105634610293</c:v>
                      </c:pt>
                      <c:pt idx="10">
                        <c:v>2.319648824704323</c:v>
                      </c:pt>
                      <c:pt idx="11">
                        <c:v>-1.8355898070286076</c:v>
                      </c:pt>
                      <c:pt idx="12">
                        <c:v>-15.055519527610237</c:v>
                      </c:pt>
                      <c:pt idx="13">
                        <c:v>-50.630424850499949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65E-453B-B842-F7E104B19ACA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v>h=10km, m. ciągu, m=const.</c:v>
                </c:tx>
                <c:spPr>
                  <a:ln w="19050" cap="rnd">
                    <a:solidFill>
                      <a:schemeClr val="accent6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'h=10km'!$G$3:$G$17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79.167950910162872</c:v>
                      </c:pt>
                      <c:pt idx="1">
                        <c:v>80</c:v>
                      </c:pt>
                      <c:pt idx="2">
                        <c:v>85</c:v>
                      </c:pt>
                      <c:pt idx="3">
                        <c:v>90</c:v>
                      </c:pt>
                      <c:pt idx="4">
                        <c:v>104</c:v>
                      </c:pt>
                      <c:pt idx="5">
                        <c:v>117</c:v>
                      </c:pt>
                      <c:pt idx="6">
                        <c:v>130</c:v>
                      </c:pt>
                      <c:pt idx="7">
                        <c:v>144</c:v>
                      </c:pt>
                      <c:pt idx="8">
                        <c:v>158</c:v>
                      </c:pt>
                      <c:pt idx="9">
                        <c:v>171</c:v>
                      </c:pt>
                      <c:pt idx="10">
                        <c:v>185</c:v>
                      </c:pt>
                      <c:pt idx="11">
                        <c:v>200</c:v>
                      </c:pt>
                      <c:pt idx="12">
                        <c:v>213</c:v>
                      </c:pt>
                      <c:pt idx="13">
                        <c:v>227</c:v>
                      </c:pt>
                      <c:pt idx="14">
                        <c:v>240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'h=10km'!$L$3:$L$17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0.70795771159757304</c:v>
                      </c:pt>
                      <c:pt idx="1">
                        <c:v>0.82821996991747349</c:v>
                      </c:pt>
                      <c:pt idx="2">
                        <c:v>1.5100126216895111</c:v>
                      </c:pt>
                      <c:pt idx="3">
                        <c:v>2.1255940778039464</c:v>
                      </c:pt>
                      <c:pt idx="4">
                        <c:v>3.5313178455417291</c:v>
                      </c:pt>
                      <c:pt idx="5">
                        <c:v>4.4512510998188954</c:v>
                      </c:pt>
                      <c:pt idx="6">
                        <c:v>5.0123269117111304</c:v>
                      </c:pt>
                      <c:pt idx="7">
                        <c:v>5.1985884197374412</c:v>
                      </c:pt>
                      <c:pt idx="8">
                        <c:v>4.9046302846411214</c:v>
                      </c:pt>
                      <c:pt idx="9">
                        <c:v>4.1310961270932562</c:v>
                      </c:pt>
                      <c:pt idx="10">
                        <c:v>2.6421653665940545</c:v>
                      </c:pt>
                      <c:pt idx="11">
                        <c:v>8.2129083724398394E-2</c:v>
                      </c:pt>
                      <c:pt idx="12">
                        <c:v>-3.2150693829667345</c:v>
                      </c:pt>
                      <c:pt idx="13">
                        <c:v>-8.3453006047255798</c:v>
                      </c:pt>
                      <c:pt idx="14">
                        <c:v>-15.281705566419749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65E-453B-B842-F7E104B19ACA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v>h=12km, m. mocy</c:v>
                </c:tx>
                <c:spPr>
                  <a:ln w="19050" cap="rnd">
                    <a:solidFill>
                      <a:schemeClr val="tx2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'h=12km'!$J$25:$J$38</c15:sqref>
                        </c15:formulaRef>
                      </c:ext>
                    </c:extLst>
                    <c:numCache>
                      <c:formatCode>0.0</c:formatCode>
                      <c:ptCount val="14"/>
                      <c:pt idx="0">
                        <c:v>89.964738979971202</c:v>
                      </c:pt>
                      <c:pt idx="1">
                        <c:v>91.575783191055109</c:v>
                      </c:pt>
                      <c:pt idx="2">
                        <c:v>93.455527735422194</c:v>
                      </c:pt>
                      <c:pt idx="3">
                        <c:v>97.631568052592556</c:v>
                      </c:pt>
                      <c:pt idx="4">
                        <c:v>101.90686156350351</c:v>
                      </c:pt>
                      <c:pt idx="5">
                        <c:v>106.79794773237124</c:v>
                      </c:pt>
                      <c:pt idx="6">
                        <c:v>119.15004983502457</c:v>
                      </c:pt>
                      <c:pt idx="7">
                        <c:v>136.42371797599583</c:v>
                      </c:pt>
                      <c:pt idx="8">
                        <c:v>152.18426120431434</c:v>
                      </c:pt>
                      <c:pt idx="9">
                        <c:v>171.19639830045594</c:v>
                      </c:pt>
                      <c:pt idx="10">
                        <c:v>215.00221434789697</c:v>
                      </c:pt>
                      <c:pt idx="11">
                        <c:v>238.44899071842138</c:v>
                      </c:pt>
                      <c:pt idx="12">
                        <c:v>274.42395097196714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'h=12km'!$O$25:$O$38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-1.664143875920733</c:v>
                      </c:pt>
                      <c:pt idx="1">
                        <c:v>-1.4854697988099015</c:v>
                      </c:pt>
                      <c:pt idx="2">
                        <c:v>-1.2412414856116818</c:v>
                      </c:pt>
                      <c:pt idx="3">
                        <c:v>-0.78452486585086134</c:v>
                      </c:pt>
                      <c:pt idx="4">
                        <c:v>-0.34492609187815892</c:v>
                      </c:pt>
                      <c:pt idx="5">
                        <c:v>4.9381136344846234E-2</c:v>
                      </c:pt>
                      <c:pt idx="6">
                        <c:v>0.8434907796617418</c:v>
                      </c:pt>
                      <c:pt idx="7">
                        <c:v>1.480893266690674</c:v>
                      </c:pt>
                      <c:pt idx="8">
                        <c:v>1.6649303318989264</c:v>
                      </c:pt>
                      <c:pt idx="9">
                        <c:v>1.3091618754648451</c:v>
                      </c:pt>
                      <c:pt idx="10">
                        <c:v>-4.354575394498152</c:v>
                      </c:pt>
                      <c:pt idx="11">
                        <c:v>-13.247552014579556</c:v>
                      </c:pt>
                      <c:pt idx="12">
                        <c:v>-60.995971267542174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65E-453B-B842-F7E104B19ACA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h=12km, m. ciągu, m=const.</c:v>
                </c:tx>
                <c:spPr>
                  <a:ln w="19050" cap="rnd">
                    <a:solidFill>
                      <a:schemeClr val="tx2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'h=12km'!$G$3:$G$17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89.964738979971202</c:v>
                      </c:pt>
                      <c:pt idx="1">
                        <c:v>93</c:v>
                      </c:pt>
                      <c:pt idx="2">
                        <c:v>96</c:v>
                      </c:pt>
                      <c:pt idx="3">
                        <c:v>99</c:v>
                      </c:pt>
                      <c:pt idx="4">
                        <c:v>104</c:v>
                      </c:pt>
                      <c:pt idx="5">
                        <c:v>117</c:v>
                      </c:pt>
                      <c:pt idx="6">
                        <c:v>130</c:v>
                      </c:pt>
                      <c:pt idx="7">
                        <c:v>144</c:v>
                      </c:pt>
                      <c:pt idx="8">
                        <c:v>158</c:v>
                      </c:pt>
                      <c:pt idx="9">
                        <c:v>171</c:v>
                      </c:pt>
                      <c:pt idx="10">
                        <c:v>185</c:v>
                      </c:pt>
                      <c:pt idx="11">
                        <c:v>200</c:v>
                      </c:pt>
                      <c:pt idx="12">
                        <c:v>213</c:v>
                      </c:pt>
                      <c:pt idx="13">
                        <c:v>227</c:v>
                      </c:pt>
                      <c:pt idx="14">
                        <c:v>240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'h=12km'!$L$3:$L$17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-1.3404949320616575</c:v>
                      </c:pt>
                      <c:pt idx="1">
                        <c:v>-0.97598951780025411</c:v>
                      </c:pt>
                      <c:pt idx="2">
                        <c:v>-0.63785653006723264</c:v>
                      </c:pt>
                      <c:pt idx="3">
                        <c:v>-0.32083463151259578</c:v>
                      </c:pt>
                      <c:pt idx="4">
                        <c:v>0.16265416256338622</c:v>
                      </c:pt>
                      <c:pt idx="5">
                        <c:v>1.1735018136304163</c:v>
                      </c:pt>
                      <c:pt idx="6">
                        <c:v>1.8472450309436257</c:v>
                      </c:pt>
                      <c:pt idx="7">
                        <c:v>2.1963945712032751</c:v>
                      </c:pt>
                      <c:pt idx="8">
                        <c:v>2.1255556703123699</c:v>
                      </c:pt>
                      <c:pt idx="9">
                        <c:v>1.6283657201363408</c:v>
                      </c:pt>
                      <c:pt idx="10">
                        <c:v>0.52831648306599266</c:v>
                      </c:pt>
                      <c:pt idx="11">
                        <c:v>-1.4904423125613862</c:v>
                      </c:pt>
                      <c:pt idx="12">
                        <c:v>-4.2015031583585767</c:v>
                      </c:pt>
                      <c:pt idx="13">
                        <c:v>-8.5828189191682238</c:v>
                      </c:pt>
                      <c:pt idx="14">
                        <c:v>-14.773484922705999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65E-453B-B842-F7E104B19ACA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v>h=14km, m. mocy</c:v>
                </c:tx>
                <c:spPr>
                  <a:ln w="19050" cap="rnd">
                    <a:solidFill>
                      <a:schemeClr val="accent2">
                        <a:lumMod val="75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'h=14km'!$J$23:$J$35</c15:sqref>
                        </c15:formulaRef>
                      </c:ext>
                    </c:extLst>
                    <c:numCache>
                      <c:formatCode>0.0</c:formatCode>
                      <c:ptCount val="13"/>
                      <c:pt idx="0">
                        <c:v>103.07310957548691</c:v>
                      </c:pt>
                      <c:pt idx="1">
                        <c:v>104.91889202739816</c:v>
                      </c:pt>
                      <c:pt idx="2">
                        <c:v>107.0725259687872</c:v>
                      </c:pt>
                      <c:pt idx="3">
                        <c:v>111.85703894669048</c:v>
                      </c:pt>
                      <c:pt idx="4">
                        <c:v>116.75526686925021</c:v>
                      </c:pt>
                      <c:pt idx="5">
                        <c:v>122.35901191806414</c:v>
                      </c:pt>
                      <c:pt idx="6">
                        <c:v>136.51088506247279</c:v>
                      </c:pt>
                      <c:pt idx="7">
                        <c:v>156.30142421427655</c:v>
                      </c:pt>
                      <c:pt idx="8">
                        <c:v>174.35836760743564</c:v>
                      </c:pt>
                      <c:pt idx="9">
                        <c:v>196.14068046015294</c:v>
                      </c:pt>
                      <c:pt idx="10">
                        <c:v>246.32925132353006</c:v>
                      </c:pt>
                      <c:pt idx="11">
                        <c:v>273.19235544001106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'h=14km'!$O$23:$O$35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-4.0418684542229979</c:v>
                      </c:pt>
                      <c:pt idx="1">
                        <c:v>-3.8747968910068105</c:v>
                      </c:pt>
                      <c:pt idx="2">
                        <c:v>-3.6378660350513559</c:v>
                      </c:pt>
                      <c:pt idx="3">
                        <c:v>-3.2119373512261258</c:v>
                      </c:pt>
                      <c:pt idx="4">
                        <c:v>-2.8086584238267336</c:v>
                      </c:pt>
                      <c:pt idx="5">
                        <c:v>-2.4758499389436541</c:v>
                      </c:pt>
                      <c:pt idx="6">
                        <c:v>-1.8822476030145374</c:v>
                      </c:pt>
                      <c:pt idx="7">
                        <c:v>-1.6631901557740409</c:v>
                      </c:pt>
                      <c:pt idx="8">
                        <c:v>-2.0482348937627153</c:v>
                      </c:pt>
                      <c:pt idx="9">
                        <c:v>-3.5208858487864449</c:v>
                      </c:pt>
                      <c:pt idx="10">
                        <c:v>-19.18575079967113</c:v>
                      </c:pt>
                      <c:pt idx="11">
                        <c:v>-75.87040648146619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E65E-453B-B842-F7E104B19ACA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v>h=14km, m. ciągu, m=const.</c:v>
                </c:tx>
                <c:spPr>
                  <a:ln w="19050" cap="rnd">
                    <a:solidFill>
                      <a:schemeClr val="accent2">
                        <a:lumMod val="75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'h=14km'!$G$3:$G$17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103.07310957548691</c:v>
                      </c:pt>
                      <c:pt idx="1">
                        <c:v>106</c:v>
                      </c:pt>
                      <c:pt idx="2">
                        <c:v>109</c:v>
                      </c:pt>
                      <c:pt idx="3">
                        <c:v>112</c:v>
                      </c:pt>
                      <c:pt idx="4">
                        <c:v>115</c:v>
                      </c:pt>
                      <c:pt idx="5">
                        <c:v>117</c:v>
                      </c:pt>
                      <c:pt idx="6">
                        <c:v>130</c:v>
                      </c:pt>
                      <c:pt idx="7">
                        <c:v>144</c:v>
                      </c:pt>
                      <c:pt idx="8">
                        <c:v>158</c:v>
                      </c:pt>
                      <c:pt idx="9">
                        <c:v>171</c:v>
                      </c:pt>
                      <c:pt idx="10">
                        <c:v>185</c:v>
                      </c:pt>
                      <c:pt idx="11">
                        <c:v>200</c:v>
                      </c:pt>
                      <c:pt idx="12">
                        <c:v>213</c:v>
                      </c:pt>
                      <c:pt idx="13">
                        <c:v>227</c:v>
                      </c:pt>
                      <c:pt idx="14">
                        <c:v>240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'h=14km'!$L$3:$L$17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-3.6818230668058329</c:v>
                      </c:pt>
                      <c:pt idx="1">
                        <c:v>-3.3864704929970104</c:v>
                      </c:pt>
                      <c:pt idx="2">
                        <c:v>-3.1030913007057501</c:v>
                      </c:pt>
                      <c:pt idx="3">
                        <c:v>-2.8386779980691976</c:v>
                      </c:pt>
                      <c:pt idx="4">
                        <c:v>-2.5926952329509914</c:v>
                      </c:pt>
                      <c:pt idx="5">
                        <c:v>-2.4387254991112606</c:v>
                      </c:pt>
                      <c:pt idx="6">
                        <c:v>-1.6265271592451331</c:v>
                      </c:pt>
                      <c:pt idx="7">
                        <c:v>-1.1096605857689898</c:v>
                      </c:pt>
                      <c:pt idx="8">
                        <c:v>-0.97741029590559114</c:v>
                      </c:pt>
                      <c:pt idx="9">
                        <c:v>-1.2409224574898396</c:v>
                      </c:pt>
                      <c:pt idx="10">
                        <c:v>-2.0273366574802796</c:v>
                      </c:pt>
                      <c:pt idx="11">
                        <c:v>-3.6261712850775387</c:v>
                      </c:pt>
                      <c:pt idx="12">
                        <c:v>-5.9017226891461751</c:v>
                      </c:pt>
                      <c:pt idx="13">
                        <c:v>-9.7718010628028367</c:v>
                      </c:pt>
                      <c:pt idx="14">
                        <c:v>-15.584126111675252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E65E-453B-B842-F7E104B19ACA}"/>
                  </c:ext>
                </c:extLst>
              </c15:ser>
            </c15:filteredScatterSeries>
          </c:ext>
        </c:extLst>
      </c:scatterChart>
      <c:valAx>
        <c:axId val="1356439919"/>
        <c:scaling>
          <c:orientation val="minMax"/>
          <c:max val="22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443391"/>
        <c:crosses val="autoZero"/>
        <c:crossBetween val="midCat"/>
        <c:majorUnit val="20"/>
      </c:valAx>
      <c:valAx>
        <c:axId val="2018443391"/>
        <c:scaling>
          <c:orientation val="minMax"/>
          <c:max val="24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</a:t>
                </a:r>
                <a:r>
                  <a:rPr lang="el-GR"/>
                  <a:t> [</a:t>
                </a:r>
                <a:r>
                  <a:rPr lang="pl-PL"/>
                  <a:t>m/s</a:t>
                </a:r>
                <a:r>
                  <a:rPr lang="el-GR"/>
                  <a:t>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6439919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172644515493334"/>
          <c:y val="5.3195538057742783E-2"/>
          <c:w val="0.14388402453632984"/>
          <c:h val="0.946804461942256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Iskra w(V) dla maksymalnej masy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742277264846843"/>
          <c:y val="0.11038690476190476"/>
          <c:w val="0.86230848619170131"/>
          <c:h val="0.85588887326584173"/>
        </c:manualLayout>
      </c:layout>
      <c:scatterChart>
        <c:scatterStyle val="smoothMarker"/>
        <c:varyColors val="0"/>
        <c:ser>
          <c:idx val="0"/>
          <c:order val="0"/>
          <c:tx>
            <c:v>h=0km, m. mocy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'h=0km'!$J$45:$J$63</c:f>
              <c:numCache>
                <c:formatCode>0.0</c:formatCode>
                <c:ptCount val="19"/>
                <c:pt idx="0">
                  <c:v>50.003599658606447</c:v>
                </c:pt>
                <c:pt idx="1">
                  <c:v>50.899039479548854</c:v>
                </c:pt>
                <c:pt idx="2">
                  <c:v>51.943826523036044</c:v>
                </c:pt>
                <c:pt idx="3">
                  <c:v>54.264925328474433</c:v>
                </c:pt>
                <c:pt idx="4">
                  <c:v>56.641190380387968</c:v>
                </c:pt>
                <c:pt idx="5">
                  <c:v>59.359721189867201</c:v>
                </c:pt>
                <c:pt idx="6">
                  <c:v>66.225183986583758</c:v>
                </c:pt>
                <c:pt idx="7">
                  <c:v>75.826118710009638</c:v>
                </c:pt>
                <c:pt idx="8">
                  <c:v>84.586038462196655</c:v>
                </c:pt>
                <c:pt idx="9">
                  <c:v>95.153237375780506</c:v>
                </c:pt>
                <c:pt idx="10">
                  <c:v>119.50109313783031</c:v>
                </c:pt>
                <c:pt idx="11">
                  <c:v>132.53312360009389</c:v>
                </c:pt>
                <c:pt idx="12">
                  <c:v>152.52848545684387</c:v>
                </c:pt>
                <c:pt idx="13">
                  <c:v>171.09952684133759</c:v>
                </c:pt>
                <c:pt idx="14">
                  <c:v>193.31942947117105</c:v>
                </c:pt>
                <c:pt idx="15">
                  <c:v>210.87538374923409</c:v>
                </c:pt>
                <c:pt idx="16">
                  <c:v>234.2876760736531</c:v>
                </c:pt>
                <c:pt idx="17">
                  <c:v>257.45509849363816</c:v>
                </c:pt>
                <c:pt idx="18">
                  <c:v>279.40435732860772</c:v>
                </c:pt>
              </c:numCache>
            </c:numRef>
          </c:xVal>
          <c:yVal>
            <c:numRef>
              <c:f>'h=0km'!$O$45:$O$63</c:f>
              <c:numCache>
                <c:formatCode>0.00</c:formatCode>
                <c:ptCount val="19"/>
                <c:pt idx="0">
                  <c:v>6.9968608557453011</c:v>
                </c:pt>
                <c:pt idx="1">
                  <c:v>7.2316593832395144</c:v>
                </c:pt>
                <c:pt idx="2">
                  <c:v>7.5242364046239905</c:v>
                </c:pt>
                <c:pt idx="3">
                  <c:v>8.1267702533261463</c:v>
                </c:pt>
                <c:pt idx="4">
                  <c:v>8.7264365252381317</c:v>
                </c:pt>
                <c:pt idx="5">
                  <c:v>9.352528825580869</c:v>
                </c:pt>
                <c:pt idx="6">
                  <c:v>10.818073481700779</c:v>
                </c:pt>
                <c:pt idx="7">
                  <c:v>12.608615629251254</c:v>
                </c:pt>
                <c:pt idx="8">
                  <c:v>14.043690183760917</c:v>
                </c:pt>
                <c:pt idx="9">
                  <c:v>15.532981909014856</c:v>
                </c:pt>
                <c:pt idx="10">
                  <c:v>17.509148060459705</c:v>
                </c:pt>
                <c:pt idx="11">
                  <c:v>17.555433111709835</c:v>
                </c:pt>
                <c:pt idx="12">
                  <c:v>16.28100487642708</c:v>
                </c:pt>
                <c:pt idx="13">
                  <c:v>12.573133673549451</c:v>
                </c:pt>
                <c:pt idx="14">
                  <c:v>5.5401866561315911</c:v>
                </c:pt>
                <c:pt idx="15">
                  <c:v>-3.4904491711442853</c:v>
                </c:pt>
                <c:pt idx="16">
                  <c:v>-21.223070777615526</c:v>
                </c:pt>
                <c:pt idx="17">
                  <c:v>-49.539580034700847</c:v>
                </c:pt>
                <c:pt idx="18">
                  <c:v>-96.482576875526277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C6-4424-B5AE-9787A97F56E7}"/>
            </c:ext>
          </c:extLst>
        </c:ser>
        <c:ser>
          <c:idx val="1"/>
          <c:order val="1"/>
          <c:tx>
            <c:v>h=0km, m. ciągu, m=const.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'h=0km'!$G$67:$G$81</c:f>
              <c:numCache>
                <c:formatCode>0.0</c:formatCode>
                <c:ptCount val="15"/>
                <c:pt idx="0">
                  <c:v>50.003599658606447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'h=0km'!$L$67:$L$81</c:f>
              <c:numCache>
                <c:formatCode>0.00</c:formatCode>
                <c:ptCount val="15"/>
                <c:pt idx="0">
                  <c:v>7.3702532202370961</c:v>
                </c:pt>
                <c:pt idx="1">
                  <c:v>10.517673094918594</c:v>
                </c:pt>
                <c:pt idx="2">
                  <c:v>13.213431508761673</c:v>
                </c:pt>
                <c:pt idx="3">
                  <c:v>15.140174430539227</c:v>
                </c:pt>
                <c:pt idx="4">
                  <c:v>16.594532934542872</c:v>
                </c:pt>
                <c:pt idx="5">
                  <c:v>17.331811830570416</c:v>
                </c:pt>
                <c:pt idx="6">
                  <c:v>17.418390369877066</c:v>
                </c:pt>
                <c:pt idx="7">
                  <c:v>16.691127182864182</c:v>
                </c:pt>
                <c:pt idx="8">
                  <c:v>14.98481110922846</c:v>
                </c:pt>
                <c:pt idx="9">
                  <c:v>12.376720991353015</c:v>
                </c:pt>
                <c:pt idx="10">
                  <c:v>8.2609845624498632</c:v>
                </c:pt>
                <c:pt idx="11">
                  <c:v>2.0288133006934532</c:v>
                </c:pt>
                <c:pt idx="12">
                  <c:v>-5.2548560285710719</c:v>
                </c:pt>
                <c:pt idx="13">
                  <c:v>-15.569202627979092</c:v>
                </c:pt>
                <c:pt idx="14">
                  <c:v>-28.093168474097734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C6-4424-B5AE-9787A97F56E7}"/>
            </c:ext>
          </c:extLst>
        </c:ser>
        <c:ser>
          <c:idx val="2"/>
          <c:order val="2"/>
          <c:tx>
            <c:v>h=0km, m. ciągu, zmienna masa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50.003599658606447</c:v>
                </c:pt>
                <c:pt idx="1">
                  <c:v>61.431913968705985</c:v>
                </c:pt>
                <c:pt idx="2">
                  <c:v>72.860228278805522</c:v>
                </c:pt>
                <c:pt idx="3">
                  <c:v>84.288542588905074</c:v>
                </c:pt>
                <c:pt idx="4">
                  <c:v>95.716856899004597</c:v>
                </c:pt>
                <c:pt idx="5">
                  <c:v>107.14517120910415</c:v>
                </c:pt>
                <c:pt idx="6">
                  <c:v>118.57348551920369</c:v>
                </c:pt>
                <c:pt idx="7">
                  <c:v>130.00179982930322</c:v>
                </c:pt>
                <c:pt idx="8">
                  <c:v>141.43011413940275</c:v>
                </c:pt>
                <c:pt idx="9">
                  <c:v>152.8584284495023</c:v>
                </c:pt>
                <c:pt idx="10">
                  <c:v>164.28674275960185</c:v>
                </c:pt>
                <c:pt idx="11">
                  <c:v>175.71505706970137</c:v>
                </c:pt>
                <c:pt idx="12">
                  <c:v>187.14337137980093</c:v>
                </c:pt>
                <c:pt idx="13">
                  <c:v>198.57168568990045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masa'!$O$4:$O$18</c:f>
              <c:numCache>
                <c:formatCode>0.00</c:formatCode>
                <c:ptCount val="15"/>
                <c:pt idx="0">
                  <c:v>7.3702507124738617</c:v>
                </c:pt>
                <c:pt idx="1">
                  <c:v>10.499003087444358</c:v>
                </c:pt>
                <c:pt idx="2">
                  <c:v>13.194893691702633</c:v>
                </c:pt>
                <c:pt idx="3">
                  <c:v>15.509669749794682</c:v>
                </c:pt>
                <c:pt idx="4">
                  <c:v>17.442798449229731</c:v>
                </c:pt>
                <c:pt idx="5">
                  <c:v>18.962241232755577</c:v>
                </c:pt>
                <c:pt idx="6">
                  <c:v>20.012537627862194</c:v>
                </c:pt>
                <c:pt idx="7">
                  <c:v>20.516978423923938</c:v>
                </c:pt>
                <c:pt idx="8">
                  <c:v>20.376517452844443</c:v>
                </c:pt>
                <c:pt idx="9">
                  <c:v>19.466324923680027</c:v>
                </c:pt>
                <c:pt idx="10">
                  <c:v>17.630089950686052</c:v>
                </c:pt>
                <c:pt idx="11">
                  <c:v>14.671653990281284</c:v>
                </c:pt>
                <c:pt idx="12">
                  <c:v>10.343059484359541</c:v>
                </c:pt>
                <c:pt idx="13">
                  <c:v>4.3274266460251809</c:v>
                </c:pt>
                <c:pt idx="14">
                  <c:v>-3.785996060298269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C6-4424-B5AE-9787A97F56E7}"/>
            </c:ext>
          </c:extLst>
        </c:ser>
        <c:ser>
          <c:idx val="3"/>
          <c:order val="3"/>
          <c:tx>
            <c:v>h=2km, m. mocy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'h=2km'!$J$47:$J$65</c:f>
              <c:numCache>
                <c:formatCode>0.0</c:formatCode>
                <c:ptCount val="19"/>
                <c:pt idx="0">
                  <c:v>55.16912514149616</c:v>
                </c:pt>
                <c:pt idx="1">
                  <c:v>56.157066647218301</c:v>
                </c:pt>
                <c:pt idx="2">
                  <c:v>57.309783402449696</c:v>
                </c:pt>
                <c:pt idx="3">
                  <c:v>59.870658846163224</c:v>
                </c:pt>
                <c:pt idx="4">
                  <c:v>62.492399379113387</c:v>
                </c:pt>
                <c:pt idx="5">
                  <c:v>65.49176277401169</c:v>
                </c:pt>
                <c:pt idx="6">
                  <c:v>73.066448972051234</c:v>
                </c:pt>
                <c:pt idx="7">
                  <c:v>83.659189751681339</c:v>
                </c:pt>
                <c:pt idx="8">
                  <c:v>93.324036129489869</c:v>
                </c:pt>
                <c:pt idx="9">
                  <c:v>104.98285915900846</c:v>
                </c:pt>
                <c:pt idx="10">
                  <c:v>131.84592323108529</c:v>
                </c:pt>
                <c:pt idx="11">
                  <c:v>146.22420248156047</c:v>
                </c:pt>
                <c:pt idx="12">
                  <c:v>168.28514665470004</c:v>
                </c:pt>
                <c:pt idx="13">
                  <c:v>188.774633674515</c:v>
                </c:pt>
                <c:pt idx="14">
                  <c:v>213.28992051759229</c:v>
                </c:pt>
                <c:pt idx="15">
                  <c:v>232.65945881398463</c:v>
                </c:pt>
                <c:pt idx="16">
                  <c:v>258.49031287076554</c:v>
                </c:pt>
                <c:pt idx="17">
                  <c:v>284.0510012096114</c:v>
                </c:pt>
                <c:pt idx="18">
                  <c:v>308.26768592225096</c:v>
                </c:pt>
              </c:numCache>
            </c:numRef>
          </c:xVal>
          <c:yVal>
            <c:numRef>
              <c:f>'h=2km'!$O$47:$O$65</c:f>
              <c:numCache>
                <c:formatCode>0.00</c:formatCode>
                <c:ptCount val="19"/>
                <c:pt idx="0">
                  <c:v>5.5684499196741282</c:v>
                </c:pt>
                <c:pt idx="1">
                  <c:v>5.790456600625979</c:v>
                </c:pt>
                <c:pt idx="2">
                  <c:v>6.0701854375339641</c:v>
                </c:pt>
                <c:pt idx="3">
                  <c:v>6.6394447475310931</c:v>
                </c:pt>
                <c:pt idx="4">
                  <c:v>7.2036893529678316</c:v>
                </c:pt>
                <c:pt idx="5">
                  <c:v>7.7833957855154638</c:v>
                </c:pt>
                <c:pt idx="6">
                  <c:v>9.1219834177264136</c:v>
                </c:pt>
                <c:pt idx="7">
                  <c:v>10.712866515183606</c:v>
                </c:pt>
                <c:pt idx="8">
                  <c:v>11.949495580398514</c:v>
                </c:pt>
                <c:pt idx="9">
                  <c:v>13.178181535970895</c:v>
                </c:pt>
                <c:pt idx="10">
                  <c:v>14.391515086394433</c:v>
                </c:pt>
                <c:pt idx="11">
                  <c:v>13.889414728727724</c:v>
                </c:pt>
                <c:pt idx="12">
                  <c:v>11.516277177609291</c:v>
                </c:pt>
                <c:pt idx="13">
                  <c:v>6.2239120707605222</c:v>
                </c:pt>
                <c:pt idx="14">
                  <c:v>-3.7010319052698528</c:v>
                </c:pt>
                <c:pt idx="15">
                  <c:v>-16.593558665510944</c:v>
                </c:pt>
                <c:pt idx="16">
                  <c:v>-43.807367774321023</c:v>
                </c:pt>
                <c:pt idx="17">
                  <c:v>-94.421204315963138</c:v>
                </c:pt>
                <c:pt idx="18">
                  <c:v>-211.07282697985636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C6-4424-B5AE-9787A97F56E7}"/>
            </c:ext>
          </c:extLst>
        </c:ser>
        <c:ser>
          <c:idx val="4"/>
          <c:order val="4"/>
          <c:tx>
            <c:v>h=2km, m. ciągu, m=const.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'h=2km'!$G$69:$G$83</c:f>
              <c:numCache>
                <c:formatCode>0.0</c:formatCode>
                <c:ptCount val="15"/>
                <c:pt idx="0">
                  <c:v>55.169125141496167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'h=2km'!$L$69:$L$83</c:f>
              <c:numCache>
                <c:formatCode>0.00</c:formatCode>
                <c:ptCount val="15"/>
                <c:pt idx="0">
                  <c:v>5.9039031285428445</c:v>
                </c:pt>
                <c:pt idx="1">
                  <c:v>7.6136479266441786</c:v>
                </c:pt>
                <c:pt idx="2">
                  <c:v>10.13200503336143</c:v>
                </c:pt>
                <c:pt idx="3">
                  <c:v>11.931083911249189</c:v>
                </c:pt>
                <c:pt idx="4">
                  <c:v>13.315020562624683</c:v>
                </c:pt>
                <c:pt idx="5">
                  <c:v>14.069202687727604</c:v>
                </c:pt>
                <c:pt idx="6">
                  <c:v>14.269681521769151</c:v>
                </c:pt>
                <c:pt idx="7">
                  <c:v>13.793470522752523</c:v>
                </c:pt>
                <c:pt idx="8">
                  <c:v>12.493861647888915</c:v>
                </c:pt>
                <c:pt idx="9">
                  <c:v>10.425010517896679</c:v>
                </c:pt>
                <c:pt idx="10">
                  <c:v>7.0909653754233606</c:v>
                </c:pt>
                <c:pt idx="11">
                  <c:v>1.9638265468410658</c:v>
                </c:pt>
                <c:pt idx="12">
                  <c:v>-4.1041334546748507</c:v>
                </c:pt>
                <c:pt idx="13">
                  <c:v>-12.802842451743265</c:v>
                </c:pt>
                <c:pt idx="14">
                  <c:v>-23.509578329784773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7C6-4424-B5AE-9787A97F56E7}"/>
            </c:ext>
          </c:extLst>
        </c:ser>
        <c:ser>
          <c:idx val="5"/>
          <c:order val="5"/>
          <c:tx>
            <c:v>h=2km, m. ciągu, zmienna masa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'Metoda CIągu, zmienna masa'!$J$22:$J$36</c:f>
              <c:numCache>
                <c:formatCode>0.0</c:formatCode>
                <c:ptCount val="15"/>
                <c:pt idx="0">
                  <c:v>54.991165562477157</c:v>
                </c:pt>
                <c:pt idx="1">
                  <c:v>66.063225165157363</c:v>
                </c:pt>
                <c:pt idx="2">
                  <c:v>77.135284767837561</c:v>
                </c:pt>
                <c:pt idx="3">
                  <c:v>88.207344370517774</c:v>
                </c:pt>
                <c:pt idx="4">
                  <c:v>99.279403973197958</c:v>
                </c:pt>
                <c:pt idx="5">
                  <c:v>110.35146357587817</c:v>
                </c:pt>
                <c:pt idx="6">
                  <c:v>121.42352317855838</c:v>
                </c:pt>
                <c:pt idx="7">
                  <c:v>132.49558278123857</c:v>
                </c:pt>
                <c:pt idx="8">
                  <c:v>143.56764238391878</c:v>
                </c:pt>
                <c:pt idx="9">
                  <c:v>154.63970198659896</c:v>
                </c:pt>
                <c:pt idx="10">
                  <c:v>165.71176158927918</c:v>
                </c:pt>
                <c:pt idx="11">
                  <c:v>176.78382119195939</c:v>
                </c:pt>
                <c:pt idx="12">
                  <c:v>187.8558807946396</c:v>
                </c:pt>
                <c:pt idx="13">
                  <c:v>198.92794039731979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masa'!$O$22:$O$36</c:f>
              <c:numCache>
                <c:formatCode>0.00</c:formatCode>
                <c:ptCount val="15"/>
                <c:pt idx="0">
                  <c:v>5.9623482875690117</c:v>
                </c:pt>
                <c:pt idx="1">
                  <c:v>8.6279433757524959</c:v>
                </c:pt>
                <c:pt idx="2">
                  <c:v>10.910278353441688</c:v>
                </c:pt>
                <c:pt idx="3">
                  <c:v>12.856670737797735</c:v>
                </c:pt>
                <c:pt idx="4">
                  <c:v>14.473201768838477</c:v>
                </c:pt>
                <c:pt idx="5">
                  <c:v>15.739703237926438</c:v>
                </c:pt>
                <c:pt idx="6">
                  <c:v>16.616115270423947</c:v>
                </c:pt>
                <c:pt idx="7">
                  <c:v>17.04439702898884</c:v>
                </c:pt>
                <c:pt idx="8">
                  <c:v>16.947811552320999</c:v>
                </c:pt>
                <c:pt idx="9">
                  <c:v>16.228231087914313</c:v>
                </c:pt>
                <c:pt idx="10">
                  <c:v>14.761525300176732</c:v>
                </c:pt>
                <c:pt idx="11">
                  <c:v>12.390666936829433</c:v>
                </c:pt>
                <c:pt idx="12">
                  <c:v>8.9157574245469124</c:v>
                </c:pt>
                <c:pt idx="13">
                  <c:v>4.0795791288031555</c:v>
                </c:pt>
                <c:pt idx="14">
                  <c:v>-2.4536868673790679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7C6-4424-B5AE-9787A97F56E7}"/>
            </c:ext>
          </c:extLst>
        </c:ser>
        <c:ser>
          <c:idx val="6"/>
          <c:order val="6"/>
          <c:tx>
            <c:v>h=4km, m. mocy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'h=4km'!$J$46:$J$63</c:f>
              <c:numCache>
                <c:formatCode>0.0</c:formatCode>
                <c:ptCount val="18"/>
                <c:pt idx="0">
                  <c:v>61.158842972703262</c:v>
                </c:pt>
                <c:pt idx="1">
                  <c:v>62.254045393617297</c:v>
                </c:pt>
                <c:pt idx="2">
                  <c:v>63.531912730545109</c:v>
                </c:pt>
                <c:pt idx="3">
                  <c:v>66.370822695730041</c:v>
                </c:pt>
                <c:pt idx="4">
                  <c:v>69.277205879415277</c:v>
                </c:pt>
                <c:pt idx="5">
                  <c:v>72.602210479654687</c:v>
                </c:pt>
                <c:pt idx="6">
                  <c:v>80.999281170285556</c:v>
                </c:pt>
                <c:pt idx="7">
                  <c:v>92.742076951991109</c:v>
                </c:pt>
                <c:pt idx="8">
                  <c:v>103.45623673719125</c:v>
                </c:pt>
                <c:pt idx="9">
                  <c:v>116.3808594329487</c:v>
                </c:pt>
                <c:pt idx="10">
                  <c:v>146.16044925127761</c:v>
                </c:pt>
                <c:pt idx="11">
                  <c:v>162.09977982144954</c:v>
                </c:pt>
                <c:pt idx="12">
                  <c:v>186.55588306858593</c:v>
                </c:pt>
                <c:pt idx="13">
                  <c:v>209.2699158907877</c:v>
                </c:pt>
                <c:pt idx="14">
                  <c:v>236.44683005466317</c:v>
                </c:pt>
                <c:pt idx="15">
                  <c:v>257.91932120047244</c:v>
                </c:pt>
                <c:pt idx="16">
                  <c:v>286.55463385148312</c:v>
                </c:pt>
                <c:pt idx="17">
                  <c:v>314.89044886359858</c:v>
                </c:pt>
              </c:numCache>
            </c:numRef>
          </c:xVal>
          <c:yVal>
            <c:numRef>
              <c:f>'h=4km'!$O$46:$O$63</c:f>
              <c:numCache>
                <c:formatCode>0.00</c:formatCode>
                <c:ptCount val="18"/>
                <c:pt idx="0">
                  <c:v>4.0691424599127295</c:v>
                </c:pt>
                <c:pt idx="1">
                  <c:v>4.2792136187144774</c:v>
                </c:pt>
                <c:pt idx="2">
                  <c:v>4.5474646644261716</c:v>
                </c:pt>
                <c:pt idx="3">
                  <c:v>5.0856982485586819</c:v>
                </c:pt>
                <c:pt idx="4">
                  <c:v>5.616625492059284</c:v>
                </c:pt>
                <c:pt idx="5">
                  <c:v>6.151348201556063</c:v>
                </c:pt>
                <c:pt idx="6">
                  <c:v>7.364834970243769</c:v>
                </c:pt>
                <c:pt idx="7">
                  <c:v>8.754417446544311</c:v>
                </c:pt>
                <c:pt idx="8">
                  <c:v>9.787247505199538</c:v>
                </c:pt>
                <c:pt idx="9">
                  <c:v>10.742493051872115</c:v>
                </c:pt>
                <c:pt idx="10">
                  <c:v>11.104197432780429</c:v>
                </c:pt>
                <c:pt idx="11">
                  <c:v>9.940874245928029</c:v>
                </c:pt>
                <c:pt idx="12">
                  <c:v>6.1244146407595066</c:v>
                </c:pt>
                <c:pt idx="13">
                  <c:v>-1.5000068315022781</c:v>
                </c:pt>
                <c:pt idx="14">
                  <c:v>-16.410641035028501</c:v>
                </c:pt>
                <c:pt idx="15">
                  <c:v>-37.337914893608918</c:v>
                </c:pt>
                <c:pt idx="16">
                  <c:v>-92.231408903523601</c:v>
                </c:pt>
                <c:pt idx="17">
                  <c:v>-311.02894703547787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7C6-4424-B5AE-9787A97F56E7}"/>
            </c:ext>
          </c:extLst>
        </c:ser>
        <c:ser>
          <c:idx val="7"/>
          <c:order val="7"/>
          <c:tx>
            <c:v>h=4km, m. ciągu, m=const.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'h=4km'!$G$67:$G$81</c:f>
              <c:numCache>
                <c:formatCode>0.0</c:formatCode>
                <c:ptCount val="15"/>
                <c:pt idx="0">
                  <c:v>61.158842972703262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'h=4km'!$L$67:$L$81</c:f>
              <c:numCache>
                <c:formatCode>0.00</c:formatCode>
                <c:ptCount val="15"/>
                <c:pt idx="0">
                  <c:v>4.3798934852198768</c:v>
                </c:pt>
                <c:pt idx="1">
                  <c:v>4.7462023744757067</c:v>
                </c:pt>
                <c:pt idx="2">
                  <c:v>7.1523413586659279</c:v>
                </c:pt>
                <c:pt idx="3">
                  <c:v>8.8658645499695137</c:v>
                </c:pt>
                <c:pt idx="4">
                  <c:v>10.205610124094328</c:v>
                </c:pt>
                <c:pt idx="5">
                  <c:v>10.983197750937327</c:v>
                </c:pt>
                <c:pt idx="6">
                  <c:v>11.286122166320297</c:v>
                </c:pt>
                <c:pt idx="7">
                  <c:v>11.027115841926321</c:v>
                </c:pt>
                <c:pt idx="8">
                  <c:v>10.076044906731735</c:v>
                </c:pt>
                <c:pt idx="9">
                  <c:v>8.4684366892646636</c:v>
                </c:pt>
                <c:pt idx="10">
                  <c:v>5.8034498312551079</c:v>
                </c:pt>
                <c:pt idx="11">
                  <c:v>1.6237401815238306</c:v>
                </c:pt>
                <c:pt idx="12">
                  <c:v>-3.4001043037585785</c:v>
                </c:pt>
                <c:pt idx="13">
                  <c:v>-10.710130320982941</c:v>
                </c:pt>
                <c:pt idx="14">
                  <c:v>-19.85783102567197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7C6-4424-B5AE-9787A97F56E7}"/>
            </c:ext>
          </c:extLst>
        </c:ser>
        <c:ser>
          <c:idx val="8"/>
          <c:order val="8"/>
          <c:tx>
            <c:v>h=4km, m. ciągu, zmienna masa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masa'!$J$40:$J$54</c:f>
              <c:numCache>
                <c:formatCode>0.0</c:formatCode>
                <c:ptCount val="15"/>
                <c:pt idx="0">
                  <c:v>60.760126838427631</c:v>
                </c:pt>
                <c:pt idx="1">
                  <c:v>71.420117778539947</c:v>
                </c:pt>
                <c:pt idx="2">
                  <c:v>82.080108718652255</c:v>
                </c:pt>
                <c:pt idx="3">
                  <c:v>92.740099658764564</c:v>
                </c:pt>
                <c:pt idx="4">
                  <c:v>103.40009059887689</c:v>
                </c:pt>
                <c:pt idx="5">
                  <c:v>114.06008153898918</c:v>
                </c:pt>
                <c:pt idx="6">
                  <c:v>124.7200724791015</c:v>
                </c:pt>
                <c:pt idx="7">
                  <c:v>135.38006341921383</c:v>
                </c:pt>
                <c:pt idx="8">
                  <c:v>146.04005435932612</c:v>
                </c:pt>
                <c:pt idx="9">
                  <c:v>156.70004529943844</c:v>
                </c:pt>
                <c:pt idx="10">
                  <c:v>167.36003623955074</c:v>
                </c:pt>
                <c:pt idx="11">
                  <c:v>178.02002717966306</c:v>
                </c:pt>
                <c:pt idx="12">
                  <c:v>188.68001811977538</c:v>
                </c:pt>
                <c:pt idx="13">
                  <c:v>199.34000905988768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masa'!$O$40:$O$54</c:f>
              <c:numCache>
                <c:formatCode>0.00</c:formatCode>
                <c:ptCount val="15"/>
                <c:pt idx="0">
                  <c:v>4.495963305476808</c:v>
                </c:pt>
                <c:pt idx="1">
                  <c:v>6.7542646205201482</c:v>
                </c:pt>
                <c:pt idx="2">
                  <c:v>8.6789257706901868</c:v>
                </c:pt>
                <c:pt idx="3">
                  <c:v>10.310853637487972</c:v>
                </c:pt>
                <c:pt idx="4">
                  <c:v>11.659717978010365</c:v>
                </c:pt>
                <c:pt idx="5">
                  <c:v>12.714083855207191</c:v>
                </c:pt>
                <c:pt idx="6">
                  <c:v>13.44605877838003</c:v>
                </c:pt>
                <c:pt idx="7">
                  <c:v>13.81281037812866</c:v>
                </c:pt>
                <c:pt idx="8">
                  <c:v>13.75606281403244</c:v>
                </c:pt>
                <c:pt idx="9">
                  <c:v>13.199996370712345</c:v>
                </c:pt>
                <c:pt idx="10">
                  <c:v>12.047553359245509</c:v>
                </c:pt>
                <c:pt idx="11">
                  <c:v>10.174825017291409</c:v>
                </c:pt>
                <c:pt idx="12">
                  <c:v>7.4228301988708276</c:v>
                </c:pt>
                <c:pt idx="13">
                  <c:v>3.5854755188470953</c:v>
                </c:pt>
                <c:pt idx="14">
                  <c:v>-1.6083770246258724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7C6-4424-B5AE-9787A97F56E7}"/>
            </c:ext>
          </c:extLst>
        </c:ser>
        <c:ser>
          <c:idx val="9"/>
          <c:order val="9"/>
          <c:tx>
            <c:v>h=6km, m. mocy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'h=6km'!$J$45:$J$60</c:f>
              <c:numCache>
                <c:formatCode>0.0</c:formatCode>
                <c:ptCount val="16"/>
                <c:pt idx="0">
                  <c:v>68.155578411156441</c:v>
                </c:pt>
                <c:pt idx="1">
                  <c:v>69.376074922315269</c:v>
                </c:pt>
                <c:pt idx="2">
                  <c:v>70.800133705113225</c:v>
                </c:pt>
                <c:pt idx="3">
                  <c:v>73.963822573797884</c:v>
                </c:pt>
                <c:pt idx="4">
                  <c:v>77.202703777893532</c:v>
                </c:pt>
                <c:pt idx="5">
                  <c:v>80.908097809795308</c:v>
                </c:pt>
                <c:pt idx="6">
                  <c:v>90.265815877397586</c:v>
                </c:pt>
                <c:pt idx="7">
                  <c:v>103.35201894738439</c:v>
                </c:pt>
                <c:pt idx="8">
                  <c:v>115.29190730785888</c:v>
                </c:pt>
                <c:pt idx="9">
                  <c:v>129.69514145616463</c:v>
                </c:pt>
                <c:pt idx="10">
                  <c:v>162.88159610870073</c:v>
                </c:pt>
                <c:pt idx="11">
                  <c:v>180.64442878657795</c:v>
                </c:pt>
                <c:pt idx="12">
                  <c:v>207.89837574622669</c:v>
                </c:pt>
                <c:pt idx="13">
                  <c:v>233.21095475852272</c:v>
                </c:pt>
                <c:pt idx="14">
                  <c:v>263.49698069096212</c:v>
                </c:pt>
                <c:pt idx="15">
                  <c:v>287.42598233385206</c:v>
                </c:pt>
              </c:numCache>
            </c:numRef>
          </c:xVal>
          <c:yVal>
            <c:numRef>
              <c:f>'h=6km'!$O$45:$O$60</c:f>
              <c:numCache>
                <c:formatCode>0.00</c:formatCode>
                <c:ptCount val="16"/>
                <c:pt idx="0">
                  <c:v>2.4763117342766758</c:v>
                </c:pt>
                <c:pt idx="1">
                  <c:v>2.675341962495644</c:v>
                </c:pt>
                <c:pt idx="2">
                  <c:v>2.9336302489657129</c:v>
                </c:pt>
                <c:pt idx="3">
                  <c:v>3.4431890021743716</c:v>
                </c:pt>
                <c:pt idx="4">
                  <c:v>3.9429447847459693</c:v>
                </c:pt>
                <c:pt idx="5">
                  <c:v>4.4338308138902507</c:v>
                </c:pt>
                <c:pt idx="6">
                  <c:v>5.5227728367987279</c:v>
                </c:pt>
                <c:pt idx="7">
                  <c:v>6.7056035541631012</c:v>
                </c:pt>
                <c:pt idx="8">
                  <c:v>7.5233168852406793</c:v>
                </c:pt>
                <c:pt idx="9">
                  <c:v>8.1801794980784077</c:v>
                </c:pt>
                <c:pt idx="10">
                  <c:v>7.5235902476195724</c:v>
                </c:pt>
                <c:pt idx="11">
                  <c:v>5.4784566774172667</c:v>
                </c:pt>
                <c:pt idx="12">
                  <c:v>-0.52236246295210886</c:v>
                </c:pt>
                <c:pt idx="13">
                  <c:v>-12.323103316544511</c:v>
                </c:pt>
                <c:pt idx="14">
                  <c:v>-39.033975063152688</c:v>
                </c:pt>
                <c:pt idx="15">
                  <c:v>-89.384734283089699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7C6-4424-B5AE-9787A97F56E7}"/>
            </c:ext>
          </c:extLst>
        </c:ser>
        <c:ser>
          <c:idx val="10"/>
          <c:order val="10"/>
          <c:tx>
            <c:v>h=6km, m. ciągu, m=const.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'h=6km'!$G$64:$G$78</c:f>
              <c:numCache>
                <c:formatCode>0.0</c:formatCode>
                <c:ptCount val="15"/>
                <c:pt idx="0">
                  <c:v>68.155578411156441</c:v>
                </c:pt>
                <c:pt idx="1">
                  <c:v>73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'h=6km'!$L$64:$L$78</c:f>
              <c:numCache>
                <c:formatCode>0.00</c:formatCode>
                <c:ptCount val="15"/>
                <c:pt idx="0">
                  <c:v>2.7749206991341295</c:v>
                </c:pt>
                <c:pt idx="1">
                  <c:v>3.5818924730215307</c:v>
                </c:pt>
                <c:pt idx="2">
                  <c:v>4.192729808484887</c:v>
                </c:pt>
                <c:pt idx="3">
                  <c:v>5.8687336952664664</c:v>
                </c:pt>
                <c:pt idx="4">
                  <c:v>7.196615144708943</c:v>
                </c:pt>
                <c:pt idx="5">
                  <c:v>8.0099122784606482</c:v>
                </c:pt>
                <c:pt idx="6">
                  <c:v>8.4101828434275507</c:v>
                </c:pt>
                <c:pt idx="7">
                  <c:v>8.3424007343338022</c:v>
                </c:pt>
                <c:pt idx="8">
                  <c:v>7.6909912604986044</c:v>
                </c:pt>
                <c:pt idx="9">
                  <c:v>6.4768152244164572</c:v>
                </c:pt>
                <c:pt idx="10">
                  <c:v>4.3811297362066313</c:v>
                </c:pt>
                <c:pt idx="11">
                  <c:v>1.0074108806587612</c:v>
                </c:pt>
                <c:pt idx="12">
                  <c:v>-3.1279409519658556</c:v>
                </c:pt>
                <c:pt idx="13">
                  <c:v>-9.2575647756041839</c:v>
                </c:pt>
                <c:pt idx="14">
                  <c:v>-17.087568487737862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7C6-4424-B5AE-9787A97F56E7}"/>
            </c:ext>
          </c:extLst>
        </c:ser>
        <c:ser>
          <c:idx val="11"/>
          <c:order val="11"/>
          <c:tx>
            <c:v>h=6km, m. ciągu, zmienna masa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masa'!$J$58:$J$72</c:f>
              <c:numCache>
                <c:formatCode>0.0</c:formatCode>
                <c:ptCount val="15"/>
                <c:pt idx="0">
                  <c:v>67.478052266794421</c:v>
                </c:pt>
                <c:pt idx="1">
                  <c:v>77.658191390594823</c:v>
                </c:pt>
                <c:pt idx="2">
                  <c:v>87.838330514395224</c:v>
                </c:pt>
                <c:pt idx="3">
                  <c:v>98.018469638195626</c:v>
                </c:pt>
                <c:pt idx="4">
                  <c:v>108.19860876199601</c:v>
                </c:pt>
                <c:pt idx="5">
                  <c:v>118.37874788579643</c:v>
                </c:pt>
                <c:pt idx="6">
                  <c:v>128.55888700959682</c:v>
                </c:pt>
                <c:pt idx="7">
                  <c:v>138.7390261333972</c:v>
                </c:pt>
                <c:pt idx="8">
                  <c:v>148.91916525719762</c:v>
                </c:pt>
                <c:pt idx="9">
                  <c:v>159.09930438099803</c:v>
                </c:pt>
                <c:pt idx="10">
                  <c:v>169.27944350479842</c:v>
                </c:pt>
                <c:pt idx="11">
                  <c:v>179.45958262859881</c:v>
                </c:pt>
                <c:pt idx="12">
                  <c:v>189.63972175239923</c:v>
                </c:pt>
                <c:pt idx="13">
                  <c:v>199.81986087619964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masa'!$O$58:$O$72</c:f>
              <c:numCache>
                <c:formatCode>0.00</c:formatCode>
                <c:ptCount val="15"/>
                <c:pt idx="0">
                  <c:v>2.9505792299741671</c:v>
                </c:pt>
                <c:pt idx="1">
                  <c:v>4.8527683199869056</c:v>
                </c:pt>
                <c:pt idx="2">
                  <c:v>6.4702485222944768</c:v>
                </c:pt>
                <c:pt idx="3">
                  <c:v>7.8363550341524988</c:v>
                </c:pt>
                <c:pt idx="4">
                  <c:v>8.9618752846644707</c:v>
                </c:pt>
                <c:pt idx="5">
                  <c:v>9.8413182374313344</c:v>
                </c:pt>
                <c:pt idx="6">
                  <c:v>10.456035873133004</c:v>
                </c:pt>
                <c:pt idx="7">
                  <c:v>10.775267238995767</c:v>
                </c:pt>
                <c:pt idx="8">
                  <c:v>10.755728867291857</c:v>
                </c:pt>
                <c:pt idx="9">
                  <c:v>10.339968440127919</c:v>
                </c:pt>
                <c:pt idx="10">
                  <c:v>9.4534344009145794</c:v>
                </c:pt>
                <c:pt idx="11">
                  <c:v>7.9999688249217744</c:v>
                </c:pt>
                <c:pt idx="12">
                  <c:v>5.8551332253766653</c:v>
                </c:pt>
                <c:pt idx="13">
                  <c:v>2.8563315302614809</c:v>
                </c:pt>
                <c:pt idx="14">
                  <c:v>-1.2120607176651916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7C6-4424-B5AE-9787A97F56E7}"/>
            </c:ext>
          </c:extLst>
        </c:ser>
        <c:ser>
          <c:idx val="12"/>
          <c:order val="12"/>
          <c:tx>
            <c:v>h=8km, m. mocy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'h=8km'!$J$44:$J$58</c:f>
              <c:numCache>
                <c:formatCode>0.0</c:formatCode>
                <c:ptCount val="15"/>
                <c:pt idx="0">
                  <c:v>76.395380932749987</c:v>
                </c:pt>
                <c:pt idx="1">
                  <c:v>77.763431766895778</c:v>
                </c:pt>
                <c:pt idx="2">
                  <c:v>79.359654933342711</c:v>
                </c:pt>
                <c:pt idx="3">
                  <c:v>82.905824181849937</c:v>
                </c:pt>
                <c:pt idx="4">
                  <c:v>86.536276290848647</c:v>
                </c:pt>
                <c:pt idx="5">
                  <c:v>90.689641212284613</c:v>
                </c:pt>
                <c:pt idx="6">
                  <c:v>101.17867898587841</c:v>
                </c:pt>
                <c:pt idx="7">
                  <c:v>115.84696427962214</c:v>
                </c:pt>
                <c:pt idx="8">
                  <c:v>129.23034889548282</c:v>
                </c:pt>
                <c:pt idx="9">
                  <c:v>145.37489032664018</c:v>
                </c:pt>
                <c:pt idx="10">
                  <c:v>182.57348659844479</c:v>
                </c:pt>
                <c:pt idx="11">
                  <c:v>202.48379182225023</c:v>
                </c:pt>
                <c:pt idx="12">
                  <c:v>233.03265823114435</c:v>
                </c:pt>
                <c:pt idx="13">
                  <c:v>261.40545120150153</c:v>
                </c:pt>
                <c:pt idx="14">
                  <c:v>295.35296572613981</c:v>
                </c:pt>
              </c:numCache>
            </c:numRef>
          </c:xVal>
          <c:yVal>
            <c:numRef>
              <c:f>'h=8km'!$O$44:$O$58</c:f>
              <c:numCache>
                <c:formatCode>0.00</c:formatCode>
                <c:ptCount val="15"/>
                <c:pt idx="0">
                  <c:v>0.75797081613262651</c:v>
                </c:pt>
                <c:pt idx="1">
                  <c:v>0.94680546156393874</c:v>
                </c:pt>
                <c:pt idx="2">
                  <c:v>1.1967277281018478</c:v>
                </c:pt>
                <c:pt idx="3">
                  <c:v>1.6798207076364298</c:v>
                </c:pt>
                <c:pt idx="4">
                  <c:v>2.150295345249571</c:v>
                </c:pt>
                <c:pt idx="5">
                  <c:v>2.5977286480453188</c:v>
                </c:pt>
                <c:pt idx="6">
                  <c:v>3.5595689751410293</c:v>
                </c:pt>
                <c:pt idx="7">
                  <c:v>4.5220160979083639</c:v>
                </c:pt>
                <c:pt idx="8">
                  <c:v>5.1005599297610198</c:v>
                </c:pt>
                <c:pt idx="9">
                  <c:v>5.4076927777101442</c:v>
                </c:pt>
                <c:pt idx="10">
                  <c:v>3.3837337371670375</c:v>
                </c:pt>
                <c:pt idx="11">
                  <c:v>-4.527282982104721E-2</c:v>
                </c:pt>
                <c:pt idx="12">
                  <c:v>-10.228007061340692</c:v>
                </c:pt>
                <c:pt idx="13">
                  <c:v>-32.909610913421631</c:v>
                </c:pt>
                <c:pt idx="14">
                  <c:v>-132.88682224478947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7C6-4424-B5AE-9787A97F56E7}"/>
            </c:ext>
          </c:extLst>
        </c:ser>
        <c:ser>
          <c:idx val="13"/>
          <c:order val="13"/>
          <c:tx>
            <c:v>h=8km, m. ciągu, m=const.</c:v>
          </c:tx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'h=8km'!$G$62:$G$76</c:f>
              <c:numCache>
                <c:formatCode>0.0</c:formatCode>
                <c:ptCount val="15"/>
                <c:pt idx="0">
                  <c:v>76.395380932749987</c:v>
                </c:pt>
                <c:pt idx="1">
                  <c:v>80</c:v>
                </c:pt>
                <c:pt idx="2">
                  <c:v>85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'h=8km'!$L$62:$L$76</c:f>
              <c:numCache>
                <c:formatCode>0.00</c:formatCode>
                <c:ptCount val="15"/>
                <c:pt idx="0">
                  <c:v>1.05686374899878</c:v>
                </c:pt>
                <c:pt idx="1">
                  <c:v>1.5792603587765275</c:v>
                </c:pt>
                <c:pt idx="2">
                  <c:v>2.243133394857769</c:v>
                </c:pt>
                <c:pt idx="3">
                  <c:v>2.8412532992884705</c:v>
                </c:pt>
                <c:pt idx="4">
                  <c:v>4.1974045057129086</c:v>
                </c:pt>
                <c:pt idx="5">
                  <c:v>5.0657402126137727</c:v>
                </c:pt>
                <c:pt idx="6">
                  <c:v>5.5654274467298217</c:v>
                </c:pt>
                <c:pt idx="7">
                  <c:v>5.6711894745907792</c:v>
                </c:pt>
                <c:pt idx="8">
                  <c:v>5.2798321919236253</c:v>
                </c:pt>
                <c:pt idx="9">
                  <c:v>4.4010133709175232</c:v>
                </c:pt>
                <c:pt idx="10">
                  <c:v>2.7867531211299577</c:v>
                </c:pt>
                <c:pt idx="11">
                  <c:v>9.1974747857223718E-2</c:v>
                </c:pt>
                <c:pt idx="12">
                  <c:v>-3.2969585656035849</c:v>
                </c:pt>
                <c:pt idx="13">
                  <c:v>-8.4399093002147652</c:v>
                </c:pt>
                <c:pt idx="14">
                  <c:v>-15.183633123569198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7C6-4424-B5AE-9787A97F56E7}"/>
            </c:ext>
          </c:extLst>
        </c:ser>
        <c:ser>
          <c:idx val="14"/>
          <c:order val="14"/>
          <c:tx>
            <c:v>h=8km, m. ciągu, zmienna masa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masa'!$J$76:$J$90</c:f>
              <c:numCache>
                <c:formatCode>0.0</c:formatCode>
                <c:ptCount val="15"/>
                <c:pt idx="0">
                  <c:v>75.356120124418212</c:v>
                </c:pt>
                <c:pt idx="1">
                  <c:v>84.973540115531193</c:v>
                </c:pt>
                <c:pt idx="2">
                  <c:v>94.590960106644175</c:v>
                </c:pt>
                <c:pt idx="3">
                  <c:v>104.20838009775716</c:v>
                </c:pt>
                <c:pt idx="4">
                  <c:v>113.82580008887015</c:v>
                </c:pt>
                <c:pt idx="5">
                  <c:v>123.44322007998312</c:v>
                </c:pt>
                <c:pt idx="6">
                  <c:v>133.06064007109612</c:v>
                </c:pt>
                <c:pt idx="7">
                  <c:v>142.67806006220911</c:v>
                </c:pt>
                <c:pt idx="8">
                  <c:v>152.29548005332208</c:v>
                </c:pt>
                <c:pt idx="9">
                  <c:v>161.91290004443505</c:v>
                </c:pt>
                <c:pt idx="10">
                  <c:v>171.53032003554804</c:v>
                </c:pt>
                <c:pt idx="11">
                  <c:v>181.14774002666104</c:v>
                </c:pt>
                <c:pt idx="12">
                  <c:v>190.76516001777401</c:v>
                </c:pt>
                <c:pt idx="13">
                  <c:v>200.382580008887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masa'!$O$76:$O$90</c:f>
              <c:numCache>
                <c:formatCode>0.00</c:formatCode>
                <c:ptCount val="15"/>
                <c:pt idx="0">
                  <c:v>1.2986050616650862</c:v>
                </c:pt>
                <c:pt idx="1">
                  <c:v>2.8906492480251651</c:v>
                </c:pt>
                <c:pt idx="2">
                  <c:v>4.2454903492987652</c:v>
                </c:pt>
                <c:pt idx="3">
                  <c:v>5.3885173513368496</c:v>
                </c:pt>
                <c:pt idx="4">
                  <c:v>6.3297127874424328</c:v>
                </c:pt>
                <c:pt idx="5">
                  <c:v>7.0671525211080697</c:v>
                </c:pt>
                <c:pt idx="6">
                  <c:v>7.5888267153990645</c:v>
                </c:pt>
                <c:pt idx="7">
                  <c:v>7.8732263710559476</c:v>
                </c:pt>
                <c:pt idx="8">
                  <c:v>7.8889454571028219</c:v>
                </c:pt>
                <c:pt idx="9">
                  <c:v>7.5933734689542423</c:v>
                </c:pt>
                <c:pt idx="10">
                  <c:v>6.9303921648466016</c:v>
                </c:pt>
                <c:pt idx="11">
                  <c:v>5.8268142914458707</c:v>
                </c:pt>
                <c:pt idx="12">
                  <c:v>4.1870666835777284</c:v>
                </c:pt>
                <c:pt idx="13">
                  <c:v>1.8852498246164235</c:v>
                </c:pt>
                <c:pt idx="14">
                  <c:v>-1.2469355447795512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7C6-4424-B5AE-9787A97F56E7}"/>
            </c:ext>
          </c:extLst>
        </c:ser>
        <c:ser>
          <c:idx val="15"/>
          <c:order val="15"/>
          <c:tx>
            <c:v>h=10km, m. mocy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'h=10km'!$J$42:$J$55</c:f>
              <c:numCache>
                <c:formatCode>0.0</c:formatCode>
                <c:ptCount val="14"/>
                <c:pt idx="0">
                  <c:v>86.187148316269386</c:v>
                </c:pt>
                <c:pt idx="1">
                  <c:v>87.730545295342154</c:v>
                </c:pt>
                <c:pt idx="2">
                  <c:v>89.531359966500503</c:v>
                </c:pt>
                <c:pt idx="3">
                  <c:v>93.532049684177707</c:v>
                </c:pt>
                <c:pt idx="4">
                  <c:v>97.62782498568221</c:v>
                </c:pt>
                <c:pt idx="5">
                  <c:v>102.31353600806071</c:v>
                </c:pt>
                <c:pt idx="6">
                  <c:v>114.14697728749459</c:v>
                </c:pt>
                <c:pt idx="7">
                  <c:v>130.6953296187713</c:v>
                </c:pt>
                <c:pt idx="8">
                  <c:v>145.79409266933129</c:v>
                </c:pt>
                <c:pt idx="9">
                  <c:v>164.00791619945016</c:v>
                </c:pt>
                <c:pt idx="10">
                  <c:v>205.97434001841498</c:v>
                </c:pt>
                <c:pt idx="11">
                  <c:v>228.43659373578171</c:v>
                </c:pt>
                <c:pt idx="12">
                  <c:v>262.90097689521633</c:v>
                </c:pt>
                <c:pt idx="13">
                  <c:v>294.9103744010107</c:v>
                </c:pt>
              </c:numCache>
            </c:numRef>
          </c:xVal>
          <c:yVal>
            <c:numRef>
              <c:f>'h=10km'!$O$42:$O$55</c:f>
              <c:numCache>
                <c:formatCode>0.00</c:formatCode>
                <c:ptCount val="14"/>
                <c:pt idx="0">
                  <c:v>-1.133277865118689</c:v>
                </c:pt>
                <c:pt idx="1">
                  <c:v>-0.9540777371096596</c:v>
                </c:pt>
                <c:pt idx="2">
                  <c:v>-0.71105721545075606</c:v>
                </c:pt>
                <c:pt idx="3">
                  <c:v>-0.25302867944671426</c:v>
                </c:pt>
                <c:pt idx="4">
                  <c:v>0.18900814243188754</c:v>
                </c:pt>
                <c:pt idx="5">
                  <c:v>0.59137271169704864</c:v>
                </c:pt>
                <c:pt idx="6">
                  <c:v>1.4160939280089184</c:v>
                </c:pt>
                <c:pt idx="7">
                  <c:v>2.1258071949538917</c:v>
                </c:pt>
                <c:pt idx="8">
                  <c:v>2.4114300351100804</c:v>
                </c:pt>
                <c:pt idx="9">
                  <c:v>2.2530687144162354</c:v>
                </c:pt>
                <c:pt idx="10">
                  <c:v>-2.0015271430377011</c:v>
                </c:pt>
                <c:pt idx="11">
                  <c:v>-8.2923910939999903</c:v>
                </c:pt>
                <c:pt idx="12">
                  <c:v>-31.409563967339519</c:v>
                </c:pt>
                <c:pt idx="13">
                  <c:v>-193.97833155119875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7C6-4424-B5AE-9787A97F56E7}"/>
            </c:ext>
          </c:extLst>
        </c:ser>
        <c:ser>
          <c:idx val="16"/>
          <c:order val="16"/>
          <c:tx>
            <c:v>h=10km, m. ciągu, m=const.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'h=10km'!$G$59:$G$73</c:f>
              <c:numCache>
                <c:formatCode>0.0</c:formatCode>
                <c:ptCount val="15"/>
                <c:pt idx="0">
                  <c:v>86.187148316269386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'h=10km'!$L$59:$L$73</c:f>
              <c:numCache>
                <c:formatCode>0.00</c:formatCode>
                <c:ptCount val="15"/>
                <c:pt idx="0">
                  <c:v>-0.82099965722145163</c:v>
                </c:pt>
                <c:pt idx="1">
                  <c:v>-0.3484563273116883</c:v>
                </c:pt>
                <c:pt idx="2">
                  <c:v>0.21598929992637647</c:v>
                </c:pt>
                <c:pt idx="3">
                  <c:v>0.72156721871255269</c:v>
                </c:pt>
                <c:pt idx="4">
                  <c:v>1.0858428347313782</c:v>
                </c:pt>
                <c:pt idx="5">
                  <c:v>2.0371747726181964</c:v>
                </c:pt>
                <c:pt idx="6">
                  <c:v>2.6466990355045605</c:v>
                </c:pt>
                <c:pt idx="7">
                  <c:v>2.9173194342682343</c:v>
                </c:pt>
                <c:pt idx="8">
                  <c:v>2.7557446653799604</c:v>
                </c:pt>
                <c:pt idx="9">
                  <c:v>2.1633920324970757</c:v>
                </c:pt>
                <c:pt idx="10">
                  <c:v>0.95321744500009375</c:v>
                </c:pt>
                <c:pt idx="11">
                  <c:v>-1.1779023968573441</c:v>
                </c:pt>
                <c:pt idx="12">
                  <c:v>-3.9526548069557013</c:v>
                </c:pt>
                <c:pt idx="13">
                  <c:v>-8.2949973718077548</c:v>
                </c:pt>
                <c:pt idx="14">
                  <c:v>-14.186542951957005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7C6-4424-B5AE-9787A97F56E7}"/>
            </c:ext>
          </c:extLst>
        </c:ser>
        <c:ser>
          <c:idx val="17"/>
          <c:order val="17"/>
          <c:tx>
            <c:v>h=10km, m. ciągu, zmienna masa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masa'!$J$94:$J$108</c:f>
              <c:numCache>
                <c:formatCode>0.0</c:formatCode>
                <c:ptCount val="15"/>
                <c:pt idx="0">
                  <c:v>84.65692418067519</c:v>
                </c:pt>
                <c:pt idx="1">
                  <c:v>93.610001024912677</c:v>
                </c:pt>
                <c:pt idx="2">
                  <c:v>102.56307786915016</c:v>
                </c:pt>
                <c:pt idx="3">
                  <c:v>111.51615471338765</c:v>
                </c:pt>
                <c:pt idx="4">
                  <c:v>120.46923155762514</c:v>
                </c:pt>
                <c:pt idx="5">
                  <c:v>129.42230840186261</c:v>
                </c:pt>
                <c:pt idx="6">
                  <c:v>138.37538524610011</c:v>
                </c:pt>
                <c:pt idx="7">
                  <c:v>147.32846209033761</c:v>
                </c:pt>
                <c:pt idx="8">
                  <c:v>156.28153893457508</c:v>
                </c:pt>
                <c:pt idx="9">
                  <c:v>165.23461577881255</c:v>
                </c:pt>
                <c:pt idx="10">
                  <c:v>174.18769262305005</c:v>
                </c:pt>
                <c:pt idx="11">
                  <c:v>183.14076946728756</c:v>
                </c:pt>
                <c:pt idx="12">
                  <c:v>192.09384631152503</c:v>
                </c:pt>
                <c:pt idx="13">
                  <c:v>201.0469231557625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masa'!$O$94:$O$108</c:f>
              <c:numCache>
                <c:formatCode>0.00</c:formatCode>
                <c:ptCount val="15"/>
                <c:pt idx="0">
                  <c:v>-0.49797685370082662</c:v>
                </c:pt>
                <c:pt idx="1">
                  <c:v>0.82390322625890877</c:v>
                </c:pt>
                <c:pt idx="2">
                  <c:v>1.9538793806970549</c:v>
                </c:pt>
                <c:pt idx="3">
                  <c:v>2.9096875398100739</c:v>
                </c:pt>
                <c:pt idx="4">
                  <c:v>3.699210777819526</c:v>
                </c:pt>
                <c:pt idx="5">
                  <c:v>4.322152708930755</c:v>
                </c:pt>
                <c:pt idx="6">
                  <c:v>4.7708918339990474</c:v>
                </c:pt>
                <c:pt idx="7">
                  <c:v>5.0306765727533129</c:v>
                </c:pt>
                <c:pt idx="8">
                  <c:v>5.0792053434599982</c:v>
                </c:pt>
                <c:pt idx="9">
                  <c:v>4.885566637150073</c:v>
                </c:pt>
                <c:pt idx="10">
                  <c:v>4.4084527002552703</c:v>
                </c:pt>
                <c:pt idx="11">
                  <c:v>3.593397445448872</c:v>
                </c:pt>
                <c:pt idx="12">
                  <c:v>2.3686425381776206</c:v>
                </c:pt>
                <c:pt idx="13">
                  <c:v>0.63892239187852484</c:v>
                </c:pt>
                <c:pt idx="14">
                  <c:v>-1.7240615686887151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7C6-4424-B5AE-9787A97F56E7}"/>
            </c:ext>
          </c:extLst>
        </c:ser>
        <c:ser>
          <c:idx val="18"/>
          <c:order val="18"/>
          <c:tx>
            <c:v>h=12km, m. mocy</c:v>
          </c:tx>
          <c:spPr>
            <a:ln w="19050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'h=12km'!$J$41:$J$52</c:f>
              <c:numCache>
                <c:formatCode>0.0</c:formatCode>
                <c:ptCount val="12"/>
                <c:pt idx="0">
                  <c:v>97.941202374935742</c:v>
                </c:pt>
                <c:pt idx="1">
                  <c:v>99.695085161700305</c:v>
                </c:pt>
                <c:pt idx="2">
                  <c:v>101.74149181969132</c:v>
                </c:pt>
                <c:pt idx="3">
                  <c:v>106.28778867407257</c:v>
                </c:pt>
                <c:pt idx="4">
                  <c:v>110.94213871956762</c:v>
                </c:pt>
                <c:pt idx="5">
                  <c:v>116.26687889810547</c:v>
                </c:pt>
                <c:pt idx="6">
                  <c:v>129.71414441022097</c:v>
                </c:pt>
                <c:pt idx="7">
                  <c:v>148.51933237979858</c:v>
                </c:pt>
                <c:pt idx="8">
                  <c:v>165.67723859244617</c:v>
                </c:pt>
                <c:pt idx="9">
                  <c:v>186.37503183928459</c:v>
                </c:pt>
                <c:pt idx="10">
                  <c:v>234.06476387593059</c:v>
                </c:pt>
                <c:pt idx="11">
                  <c:v>259.59038086301081</c:v>
                </c:pt>
              </c:numCache>
            </c:numRef>
          </c:xVal>
          <c:yVal>
            <c:numRef>
              <c:f>'h=12km'!$O$41:$O$52</c:f>
              <c:numCache>
                <c:formatCode>0.00</c:formatCode>
                <c:ptCount val="12"/>
                <c:pt idx="0">
                  <c:v>-3.2721981288790922</c:v>
                </c:pt>
                <c:pt idx="1">
                  <c:v>-3.1029786588033086</c:v>
                </c:pt>
                <c:pt idx="2">
                  <c:v>-2.8661615005484098</c:v>
                </c:pt>
                <c:pt idx="3">
                  <c:v>-2.4344035981865404</c:v>
                </c:pt>
                <c:pt idx="4">
                  <c:v>-2.0231397785584861</c:v>
                </c:pt>
                <c:pt idx="5">
                  <c:v>-1.6726481151324559</c:v>
                </c:pt>
                <c:pt idx="6">
                  <c:v>-1.0138240935388811</c:v>
                </c:pt>
                <c:pt idx="7">
                  <c:v>-0.63635020025552247</c:v>
                </c:pt>
                <c:pt idx="8">
                  <c:v>-0.77626254376766157</c:v>
                </c:pt>
                <c:pt idx="9">
                  <c:v>-1.7026568220291622</c:v>
                </c:pt>
                <c:pt idx="10">
                  <c:v>-11.090421954622125</c:v>
                </c:pt>
                <c:pt idx="11">
                  <c:v>-28.168374243844347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7C6-4424-B5AE-9787A97F56E7}"/>
            </c:ext>
          </c:extLst>
        </c:ser>
        <c:ser>
          <c:idx val="19"/>
          <c:order val="19"/>
          <c:tx>
            <c:v>h=12km, m. ciągu, m=const.</c:v>
          </c:tx>
          <c:spPr>
            <a:ln w="19050" cap="rnd">
              <a:solidFill>
                <a:schemeClr val="tx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'h=12km'!$G$56:$G$70</c:f>
              <c:numCache>
                <c:formatCode>0.0</c:formatCode>
                <c:ptCount val="15"/>
                <c:pt idx="0">
                  <c:v>97.941202374935742</c:v>
                </c:pt>
                <c:pt idx="1">
                  <c:v>100</c:v>
                </c:pt>
                <c:pt idx="2">
                  <c:v>104</c:v>
                </c:pt>
                <c:pt idx="3">
                  <c:v>108</c:v>
                </c:pt>
                <c:pt idx="4">
                  <c:v>112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'h=12km'!$L$56:$L$70</c:f>
              <c:numCache>
                <c:formatCode>0.00</c:formatCode>
                <c:ptCount val="15"/>
                <c:pt idx="0">
                  <c:v>-2.9313605347007874</c:v>
                </c:pt>
                <c:pt idx="1">
                  <c:v>-2.7101191790696499</c:v>
                </c:pt>
                <c:pt idx="2">
                  <c:v>-2.307859650227841</c:v>
                </c:pt>
                <c:pt idx="3">
                  <c:v>-1.9405931174857485</c:v>
                </c:pt>
                <c:pt idx="4">
                  <c:v>-1.6068854747671559</c:v>
                </c:pt>
                <c:pt idx="5">
                  <c:v>-1.2352143464277521</c:v>
                </c:pt>
                <c:pt idx="6">
                  <c:v>-0.49566381249975933</c:v>
                </c:pt>
                <c:pt idx="7">
                  <c:v>-5.8984496060804838E-2</c:v>
                </c:pt>
                <c:pt idx="8">
                  <c:v>-1.1674263589950801E-2</c:v>
                </c:pt>
                <c:pt idx="9">
                  <c:v>-0.35814471409042181</c:v>
                </c:pt>
                <c:pt idx="10">
                  <c:v>-1.2332565276770866</c:v>
                </c:pt>
                <c:pt idx="11">
                  <c:v>-2.9086222481066866</c:v>
                </c:pt>
                <c:pt idx="12">
                  <c:v>-5.1982393467585108</c:v>
                </c:pt>
                <c:pt idx="13">
                  <c:v>-8.9313986439571504</c:v>
                </c:pt>
                <c:pt idx="14">
                  <c:v>-14.233615064504445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7C6-4424-B5AE-9787A97F56E7}"/>
            </c:ext>
          </c:extLst>
        </c:ser>
        <c:ser>
          <c:idx val="20"/>
          <c:order val="20"/>
          <c:tx>
            <c:v>h=12km, m. ciągu, zmienna masa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masa'!$J$112:$J$126</c:f>
              <c:numCache>
                <c:formatCode>0.0</c:formatCode>
                <c:ptCount val="15"/>
                <c:pt idx="0">
                  <c:v>95.682662323055354</c:v>
                </c:pt>
                <c:pt idx="1">
                  <c:v>103.1339007285514</c:v>
                </c:pt>
                <c:pt idx="2">
                  <c:v>110.58513913404745</c:v>
                </c:pt>
                <c:pt idx="3">
                  <c:v>118.03637753954349</c:v>
                </c:pt>
                <c:pt idx="4">
                  <c:v>125.48761594503954</c:v>
                </c:pt>
                <c:pt idx="5">
                  <c:v>132.93885435053559</c:v>
                </c:pt>
                <c:pt idx="6">
                  <c:v>140.39009275603163</c:v>
                </c:pt>
                <c:pt idx="7">
                  <c:v>147.84133116152768</c:v>
                </c:pt>
                <c:pt idx="8">
                  <c:v>155.29256956702372</c:v>
                </c:pt>
                <c:pt idx="9">
                  <c:v>162.74380797251979</c:v>
                </c:pt>
                <c:pt idx="10">
                  <c:v>170.19504637801583</c:v>
                </c:pt>
                <c:pt idx="11">
                  <c:v>177.64628478351187</c:v>
                </c:pt>
                <c:pt idx="12">
                  <c:v>185.09752318900792</c:v>
                </c:pt>
                <c:pt idx="13">
                  <c:v>192.54876159450396</c:v>
                </c:pt>
                <c:pt idx="14">
                  <c:v>200</c:v>
                </c:pt>
              </c:numCache>
            </c:numRef>
          </c:xVal>
          <c:yVal>
            <c:numRef>
              <c:f>'Metoda CIągu, zmienna masa'!$O$112:$O$126</c:f>
              <c:numCache>
                <c:formatCode>0.00</c:formatCode>
                <c:ptCount val="15"/>
                <c:pt idx="0">
                  <c:v>-2.4908197657192126</c:v>
                </c:pt>
                <c:pt idx="1">
                  <c:v>-1.4743040924381174</c:v>
                </c:pt>
                <c:pt idx="2">
                  <c:v>-0.58344892812388938</c:v>
                </c:pt>
                <c:pt idx="3">
                  <c:v>0.19076854242620331</c:v>
                </c:pt>
                <c:pt idx="4">
                  <c:v>0.85317742875583669</c:v>
                </c:pt>
                <c:pt idx="5">
                  <c:v>1.4047975697248258</c:v>
                </c:pt>
                <c:pt idx="6">
                  <c:v>1.8430638558784707</c:v>
                </c:pt>
                <c:pt idx="7">
                  <c:v>2.1618389851459288</c:v>
                </c:pt>
                <c:pt idx="8">
                  <c:v>2.3512199217640668</c:v>
                </c:pt>
                <c:pt idx="9">
                  <c:v>2.3971169314604004</c:v>
                </c:pt>
                <c:pt idx="10">
                  <c:v>2.2805619261229753</c:v>
                </c:pt>
                <c:pt idx="11">
                  <c:v>1.9766698585710696</c:v>
                </c:pt>
                <c:pt idx="12">
                  <c:v>1.4531383685747512</c:v>
                </c:pt>
                <c:pt idx="13">
                  <c:v>0.66808021661716377</c:v>
                </c:pt>
                <c:pt idx="14">
                  <c:v>-0.4331154081246712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87C6-4424-B5AE-9787A97F56E7}"/>
            </c:ext>
          </c:extLst>
        </c:ser>
        <c:ser>
          <c:idx val="21"/>
          <c:order val="21"/>
          <c:tx>
            <c:v>h=14km, m. mocy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'h=14km'!$J$38:$J$48</c:f>
              <c:numCache>
                <c:formatCode>0.0</c:formatCode>
                <c:ptCount val="11"/>
                <c:pt idx="0">
                  <c:v>112.2117887386319</c:v>
                </c:pt>
                <c:pt idx="1">
                  <c:v>114.22122215346113</c:v>
                </c:pt>
                <c:pt idx="2">
                  <c:v>116.56580181974654</c:v>
                </c:pt>
                <c:pt idx="3">
                  <c:v>121.77451980356302</c:v>
                </c:pt>
                <c:pt idx="4">
                  <c:v>127.10703493872933</c:v>
                </c:pt>
                <c:pt idx="5">
                  <c:v>133.20761983572567</c:v>
                </c:pt>
                <c:pt idx="6">
                  <c:v>148.61422788390243</c:v>
                </c:pt>
                <c:pt idx="7">
                  <c:v>170.15943795345453</c:v>
                </c:pt>
                <c:pt idx="8">
                  <c:v>189.81734801014773</c:v>
                </c:pt>
                <c:pt idx="9">
                  <c:v>213.53092663540335</c:v>
                </c:pt>
                <c:pt idx="10">
                  <c:v>268.16932198419846</c:v>
                </c:pt>
              </c:numCache>
            </c:numRef>
          </c:xVal>
          <c:yVal>
            <c:numRef>
              <c:f>'h=14km'!$O$38:$O$48</c:f>
              <c:numCache>
                <c:formatCode>0.00</c:formatCode>
                <c:ptCount val="11"/>
                <c:pt idx="0">
                  <c:v>-5.7871576553935657</c:v>
                </c:pt>
                <c:pt idx="1">
                  <c:v>-5.6309121313598656</c:v>
                </c:pt>
                <c:pt idx="2">
                  <c:v>-5.4022578886658819</c:v>
                </c:pt>
                <c:pt idx="3">
                  <c:v>-5.0057470426790198</c:v>
                </c:pt>
                <c:pt idx="4">
                  <c:v>-4.6369528641663571</c:v>
                </c:pt>
                <c:pt idx="5">
                  <c:v>-4.3594381979594221</c:v>
                </c:pt>
                <c:pt idx="6">
                  <c:v>-3.9474868563916994</c:v>
                </c:pt>
                <c:pt idx="7">
                  <c:v>-4.1204434659733247</c:v>
                </c:pt>
                <c:pt idx="8">
                  <c:v>-5.0780078740093826</c:v>
                </c:pt>
                <c:pt idx="9">
                  <c:v>-7.8137253017638253</c:v>
                </c:pt>
                <c:pt idx="10">
                  <c:v>-48.340788065111227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87C6-4424-B5AE-9787A97F56E7}"/>
            </c:ext>
          </c:extLst>
        </c:ser>
        <c:ser>
          <c:idx val="22"/>
          <c:order val="22"/>
          <c:tx>
            <c:v>h=14km, m. ciągu, m=const.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'h=14km'!$G$54:$G$68</c:f>
              <c:numCache>
                <c:formatCode>0.0</c:formatCode>
                <c:ptCount val="15"/>
                <c:pt idx="0">
                  <c:v>112.21178873863191</c:v>
                </c:pt>
                <c:pt idx="1">
                  <c:v>116</c:v>
                </c:pt>
                <c:pt idx="2">
                  <c:v>120</c:v>
                </c:pt>
                <c:pt idx="3">
                  <c:v>124</c:v>
                </c:pt>
                <c:pt idx="4">
                  <c:v>128</c:v>
                </c:pt>
                <c:pt idx="5">
                  <c:v>132</c:v>
                </c:pt>
                <c:pt idx="6">
                  <c:v>136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'h=14km'!$L$54:$L$68</c:f>
              <c:numCache>
                <c:formatCode>0.00</c:formatCode>
                <c:ptCount val="15"/>
                <c:pt idx="0">
                  <c:v>-5.3977867384586515</c:v>
                </c:pt>
                <c:pt idx="1">
                  <c:v>-5.0648495214091867</c:v>
                </c:pt>
                <c:pt idx="2">
                  <c:v>-4.7449374691653254</c:v>
                </c:pt>
                <c:pt idx="3">
                  <c:v>-4.4565151447027551</c:v>
                </c:pt>
                <c:pt idx="4">
                  <c:v>-4.1987956734398759</c:v>
                </c:pt>
                <c:pt idx="5">
                  <c:v>-3.9712114685006745</c:v>
                </c:pt>
                <c:pt idx="6">
                  <c:v>-3.7734116061320431</c:v>
                </c:pt>
                <c:pt idx="7">
                  <c:v>-3.4668398895281629</c:v>
                </c:pt>
                <c:pt idx="8">
                  <c:v>-3.2226994644404638</c:v>
                </c:pt>
                <c:pt idx="9">
                  <c:v>-3.3574993677657088</c:v>
                </c:pt>
                <c:pt idx="10">
                  <c:v>-3.9625010753005423</c:v>
                </c:pt>
                <c:pt idx="11">
                  <c:v>-5.2911545317181581</c:v>
                </c:pt>
                <c:pt idx="12">
                  <c:v>-7.2347552257344621</c:v>
                </c:pt>
                <c:pt idx="13">
                  <c:v>-10.583426267291541</c:v>
                </c:pt>
                <c:pt idx="14">
                  <c:v>-15.649539945494107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87C6-4424-B5AE-9787A97F56E7}"/>
            </c:ext>
          </c:extLst>
        </c:ser>
        <c:ser>
          <c:idx val="23"/>
          <c:order val="23"/>
          <c:tx>
            <c:v>h=14km, m. ciągu, zmienna masa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masa'!$J$130:$J$144</c:f>
              <c:numCache>
                <c:formatCode>0.0</c:formatCode>
                <c:ptCount val="15"/>
                <c:pt idx="0">
                  <c:v>108.5936341211916</c:v>
                </c:pt>
                <c:pt idx="1">
                  <c:v>114.40837454110648</c:v>
                </c:pt>
                <c:pt idx="2">
                  <c:v>120.22311496102137</c:v>
                </c:pt>
                <c:pt idx="3">
                  <c:v>126.03785538093626</c:v>
                </c:pt>
                <c:pt idx="4">
                  <c:v>131.85259580085113</c:v>
                </c:pt>
                <c:pt idx="5">
                  <c:v>137.66733622076603</c:v>
                </c:pt>
                <c:pt idx="6">
                  <c:v>143.48207664068093</c:v>
                </c:pt>
                <c:pt idx="7">
                  <c:v>149.2968170605958</c:v>
                </c:pt>
                <c:pt idx="8">
                  <c:v>155.11155748051067</c:v>
                </c:pt>
                <c:pt idx="9">
                  <c:v>160.92629790042557</c:v>
                </c:pt>
                <c:pt idx="10">
                  <c:v>166.74103832034046</c:v>
                </c:pt>
                <c:pt idx="11">
                  <c:v>172.55577874025533</c:v>
                </c:pt>
                <c:pt idx="12">
                  <c:v>178.37051916017023</c:v>
                </c:pt>
                <c:pt idx="13">
                  <c:v>184.18525958008513</c:v>
                </c:pt>
                <c:pt idx="14">
                  <c:v>190</c:v>
                </c:pt>
              </c:numCache>
            </c:numRef>
          </c:xVal>
          <c:yVal>
            <c:numRef>
              <c:f>'Metoda CIągu, zmienna masa'!$O$130:$O$144</c:f>
              <c:numCache>
                <c:formatCode>0.00</c:formatCode>
                <c:ptCount val="15"/>
                <c:pt idx="0">
                  <c:v>-4.7261966713904355</c:v>
                </c:pt>
                <c:pt idx="1">
                  <c:v>-3.9736126819577762</c:v>
                </c:pt>
                <c:pt idx="2">
                  <c:v>-3.2945890086727427</c:v>
                </c:pt>
                <c:pt idx="3">
                  <c:v>-2.6856406007271487</c:v>
                </c:pt>
                <c:pt idx="4">
                  <c:v>-2.1446940734442057</c:v>
                </c:pt>
                <c:pt idx="5">
                  <c:v>-1.6710429857913305</c:v>
                </c:pt>
                <c:pt idx="6">
                  <c:v>-1.2653702213242568</c:v>
                </c:pt>
                <c:pt idx="7">
                  <c:v>-0.92976652569278551</c:v>
                </c:pt>
                <c:pt idx="8">
                  <c:v>-0.66782369827923138</c:v>
                </c:pt>
                <c:pt idx="9">
                  <c:v>-0.48477933177478705</c:v>
                </c:pt>
                <c:pt idx="10">
                  <c:v>-0.38773043811490915</c:v>
                </c:pt>
                <c:pt idx="11">
                  <c:v>-0.38593610567447184</c:v>
                </c:pt>
                <c:pt idx="12">
                  <c:v>-0.49123388848388988</c:v>
                </c:pt>
                <c:pt idx="13">
                  <c:v>-0.71860767568725747</c:v>
                </c:pt>
                <c:pt idx="14">
                  <c:v>-1.0869621198908894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87C6-4424-B5AE-9787A97F5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439919"/>
        <c:axId val="2018443391"/>
      </c:scatterChart>
      <c:valAx>
        <c:axId val="1356439919"/>
        <c:scaling>
          <c:orientation val="minMax"/>
          <c:max val="22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443391"/>
        <c:crosses val="autoZero"/>
        <c:crossBetween val="midCat"/>
        <c:majorUnit val="20"/>
      </c:valAx>
      <c:valAx>
        <c:axId val="2018443391"/>
        <c:scaling>
          <c:orientation val="minMax"/>
          <c:max val="21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</a:t>
                </a:r>
                <a:r>
                  <a:rPr lang="el-GR"/>
                  <a:t> [</a:t>
                </a:r>
                <a:r>
                  <a:rPr lang="pl-PL"/>
                  <a:t>m/s</a:t>
                </a:r>
                <a:r>
                  <a:rPr lang="el-GR"/>
                  <a:t>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6439919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Iskra </a:t>
            </a:r>
            <a:r>
              <a:rPr lang="el-GR"/>
              <a:t>γ</a:t>
            </a:r>
            <a:r>
              <a:rPr lang="pl-PL"/>
              <a:t>(V) dla maksymalnej masy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001476845308867"/>
          <c:y val="0.11038690476190476"/>
          <c:w val="0.85398935175838042"/>
          <c:h val="0.85588887326584173"/>
        </c:manualLayout>
      </c:layout>
      <c:scatterChart>
        <c:scatterStyle val="smoothMarker"/>
        <c:varyColors val="0"/>
        <c:ser>
          <c:idx val="0"/>
          <c:order val="0"/>
          <c:tx>
            <c:v>h=0km, m. mocy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'h=0km'!$J$45:$J$63</c:f>
              <c:numCache>
                <c:formatCode>0.0</c:formatCode>
                <c:ptCount val="19"/>
                <c:pt idx="0">
                  <c:v>50.003599658606447</c:v>
                </c:pt>
                <c:pt idx="1">
                  <c:v>50.899039479548854</c:v>
                </c:pt>
                <c:pt idx="2">
                  <c:v>51.943826523036044</c:v>
                </c:pt>
                <c:pt idx="3">
                  <c:v>54.264925328474433</c:v>
                </c:pt>
                <c:pt idx="4">
                  <c:v>56.641190380387968</c:v>
                </c:pt>
                <c:pt idx="5">
                  <c:v>59.359721189867201</c:v>
                </c:pt>
                <c:pt idx="6">
                  <c:v>66.225183986583758</c:v>
                </c:pt>
                <c:pt idx="7">
                  <c:v>75.826118710009638</c:v>
                </c:pt>
                <c:pt idx="8">
                  <c:v>84.586038462196655</c:v>
                </c:pt>
                <c:pt idx="9">
                  <c:v>95.153237375780506</c:v>
                </c:pt>
                <c:pt idx="10">
                  <c:v>119.50109313783031</c:v>
                </c:pt>
                <c:pt idx="11">
                  <c:v>132.53312360009389</c:v>
                </c:pt>
                <c:pt idx="12">
                  <c:v>152.52848545684387</c:v>
                </c:pt>
                <c:pt idx="13">
                  <c:v>171.09952684133759</c:v>
                </c:pt>
                <c:pt idx="14">
                  <c:v>193.31942947117105</c:v>
                </c:pt>
                <c:pt idx="15">
                  <c:v>210.87538374923409</c:v>
                </c:pt>
                <c:pt idx="16">
                  <c:v>234.2876760736531</c:v>
                </c:pt>
                <c:pt idx="17">
                  <c:v>257.45509849363816</c:v>
                </c:pt>
                <c:pt idx="18">
                  <c:v>279.40435732860772</c:v>
                </c:pt>
              </c:numCache>
            </c:numRef>
          </c:xVal>
          <c:yVal>
            <c:numRef>
              <c:f>'h=0km'!$P$45:$P$63</c:f>
              <c:numCache>
                <c:formatCode>0.00</c:formatCode>
                <c:ptCount val="19"/>
                <c:pt idx="0">
                  <c:v>8.0436303684514012</c:v>
                </c:pt>
                <c:pt idx="1">
                  <c:v>8.1681382141631502</c:v>
                </c:pt>
                <c:pt idx="2">
                  <c:v>8.3287861268441628</c:v>
                </c:pt>
                <c:pt idx="3">
                  <c:v>8.6130772413725154</c:v>
                </c:pt>
                <c:pt idx="4">
                  <c:v>8.8625851590442206</c:v>
                </c:pt>
                <c:pt idx="5">
                  <c:v>9.065113581964436</c:v>
                </c:pt>
                <c:pt idx="6">
                  <c:v>9.4015623470499214</c:v>
                </c:pt>
                <c:pt idx="7">
                  <c:v>9.5717908479207487</c:v>
                </c:pt>
                <c:pt idx="8">
                  <c:v>9.5569853339032012</c:v>
                </c:pt>
                <c:pt idx="9">
                  <c:v>9.3951099197923718</c:v>
                </c:pt>
                <c:pt idx="10">
                  <c:v>8.4252352182755548</c:v>
                </c:pt>
                <c:pt idx="11">
                  <c:v>7.611811206763905</c:v>
                </c:pt>
                <c:pt idx="12">
                  <c:v>6.1274678793495507</c:v>
                </c:pt>
                <c:pt idx="13">
                  <c:v>4.2141403363716705</c:v>
                </c:pt>
                <c:pt idx="14">
                  <c:v>1.6422186865760517</c:v>
                </c:pt>
                <c:pt idx="15">
                  <c:v>-0.9484138718922922</c:v>
                </c:pt>
                <c:pt idx="16">
                  <c:v>-5.1972924657023354</c:v>
                </c:pt>
                <c:pt idx="17">
                  <c:v>-11.094062303539495</c:v>
                </c:pt>
                <c:pt idx="18">
                  <c:v>-20.201039096367715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E0-43E4-B987-4BD620F51FD9}"/>
            </c:ext>
          </c:extLst>
        </c:ser>
        <c:ser>
          <c:idx val="1"/>
          <c:order val="1"/>
          <c:tx>
            <c:v>h=0km, m. ciągu, m=const.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'h=0km'!$G$67:$G$81</c:f>
              <c:numCache>
                <c:formatCode>0.0</c:formatCode>
                <c:ptCount val="15"/>
                <c:pt idx="0">
                  <c:v>50.003599658606447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'h=0km'!$K$67:$K$81</c:f>
              <c:numCache>
                <c:formatCode>0.00</c:formatCode>
                <c:ptCount val="15"/>
                <c:pt idx="0">
                  <c:v>8.4759613519750889</c:v>
                </c:pt>
                <c:pt idx="1">
                  <c:v>9.6103695317394973</c:v>
                </c:pt>
                <c:pt idx="2">
                  <c:v>9.8810343366897442</c:v>
                </c:pt>
                <c:pt idx="3">
                  <c:v>9.6845840118200197</c:v>
                </c:pt>
                <c:pt idx="4">
                  <c:v>9.1815214576270474</c:v>
                </c:pt>
                <c:pt idx="5">
                  <c:v>8.5188708498553076</c:v>
                </c:pt>
                <c:pt idx="6">
                  <c:v>7.7000828410225743</c:v>
                </c:pt>
                <c:pt idx="7">
                  <c:v>6.6561501513099364</c:v>
                </c:pt>
                <c:pt idx="8">
                  <c:v>5.4421440972740305</c:v>
                </c:pt>
                <c:pt idx="9">
                  <c:v>4.1506110601433681</c:v>
                </c:pt>
                <c:pt idx="10">
                  <c:v>2.5593350779317166</c:v>
                </c:pt>
                <c:pt idx="11">
                  <c:v>0.58122216620149447</c:v>
                </c:pt>
                <c:pt idx="12">
                  <c:v>-1.413669589459744</c:v>
                </c:pt>
                <c:pt idx="13">
                  <c:v>-3.9328214740606109</c:v>
                </c:pt>
                <c:pt idx="14">
                  <c:v>-6.7221609617188172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E0-43E4-B987-4BD620F51FD9}"/>
            </c:ext>
          </c:extLst>
        </c:ser>
        <c:ser>
          <c:idx val="2"/>
          <c:order val="2"/>
          <c:tx>
            <c:v>h=0km, m. ciągu, zmienna masa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50.003599658606447</c:v>
                </c:pt>
                <c:pt idx="1">
                  <c:v>61.431913968705985</c:v>
                </c:pt>
                <c:pt idx="2">
                  <c:v>72.860228278805522</c:v>
                </c:pt>
                <c:pt idx="3">
                  <c:v>84.288542588905074</c:v>
                </c:pt>
                <c:pt idx="4">
                  <c:v>95.716856899004597</c:v>
                </c:pt>
                <c:pt idx="5">
                  <c:v>107.14517120910415</c:v>
                </c:pt>
                <c:pt idx="6">
                  <c:v>118.57348551920369</c:v>
                </c:pt>
                <c:pt idx="7">
                  <c:v>130.00179982930322</c:v>
                </c:pt>
                <c:pt idx="8">
                  <c:v>141.43011413940275</c:v>
                </c:pt>
                <c:pt idx="9">
                  <c:v>152.8584284495023</c:v>
                </c:pt>
                <c:pt idx="10">
                  <c:v>164.28674275960185</c:v>
                </c:pt>
                <c:pt idx="11">
                  <c:v>175.71505706970137</c:v>
                </c:pt>
                <c:pt idx="12">
                  <c:v>187.14337137980093</c:v>
                </c:pt>
                <c:pt idx="13">
                  <c:v>198.57168568990045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masa'!$N$4:$N$18</c:f>
              <c:numCache>
                <c:formatCode>0.00</c:formatCode>
                <c:ptCount val="15"/>
                <c:pt idx="0">
                  <c:v>8.475958446765679</c:v>
                </c:pt>
                <c:pt idx="1">
                  <c:v>9.8404246272464171</c:v>
                </c:pt>
                <c:pt idx="2">
                  <c:v>10.433763361660441</c:v>
                </c:pt>
                <c:pt idx="3">
                  <c:v>10.603235474683798</c:v>
                </c:pt>
                <c:pt idx="4">
                  <c:v>10.499870165516411</c:v>
                </c:pt>
                <c:pt idx="5">
                  <c:v>10.193733446645203</c:v>
                </c:pt>
                <c:pt idx="6">
                  <c:v>9.7167485112945258</c:v>
                </c:pt>
                <c:pt idx="7">
                  <c:v>9.0804259324614662</c:v>
                </c:pt>
                <c:pt idx="8">
                  <c:v>8.2837074207152543</c:v>
                </c:pt>
                <c:pt idx="9">
                  <c:v>7.3164116029566948</c:v>
                </c:pt>
                <c:pt idx="10">
                  <c:v>6.160440170009406</c:v>
                </c:pt>
                <c:pt idx="11">
                  <c:v>4.7895935020542142</c:v>
                </c:pt>
                <c:pt idx="12">
                  <c:v>3.1682434851268049</c:v>
                </c:pt>
                <c:pt idx="13">
                  <c:v>1.2487324768207024</c:v>
                </c:pt>
                <c:pt idx="14">
                  <c:v>-1.0330159437384936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E0-43E4-B987-4BD620F51FD9}"/>
            </c:ext>
          </c:extLst>
        </c:ser>
        <c:ser>
          <c:idx val="3"/>
          <c:order val="3"/>
          <c:tx>
            <c:v>h=2km, m. mocy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'h=2km'!$J$47:$J$65</c:f>
              <c:numCache>
                <c:formatCode>0.0</c:formatCode>
                <c:ptCount val="19"/>
                <c:pt idx="0">
                  <c:v>55.16912514149616</c:v>
                </c:pt>
                <c:pt idx="1">
                  <c:v>56.157066647218301</c:v>
                </c:pt>
                <c:pt idx="2">
                  <c:v>57.309783402449696</c:v>
                </c:pt>
                <c:pt idx="3">
                  <c:v>59.870658846163224</c:v>
                </c:pt>
                <c:pt idx="4">
                  <c:v>62.492399379113387</c:v>
                </c:pt>
                <c:pt idx="5">
                  <c:v>65.49176277401169</c:v>
                </c:pt>
                <c:pt idx="6">
                  <c:v>73.066448972051234</c:v>
                </c:pt>
                <c:pt idx="7">
                  <c:v>83.659189751681339</c:v>
                </c:pt>
                <c:pt idx="8">
                  <c:v>93.324036129489869</c:v>
                </c:pt>
                <c:pt idx="9">
                  <c:v>104.98285915900846</c:v>
                </c:pt>
                <c:pt idx="10">
                  <c:v>131.84592323108529</c:v>
                </c:pt>
                <c:pt idx="11">
                  <c:v>146.22420248156047</c:v>
                </c:pt>
                <c:pt idx="12">
                  <c:v>168.28514665470004</c:v>
                </c:pt>
                <c:pt idx="13">
                  <c:v>188.774633674515</c:v>
                </c:pt>
                <c:pt idx="14">
                  <c:v>213.28992051759229</c:v>
                </c:pt>
                <c:pt idx="15">
                  <c:v>232.65945881398463</c:v>
                </c:pt>
                <c:pt idx="16">
                  <c:v>258.49031287076554</c:v>
                </c:pt>
                <c:pt idx="17">
                  <c:v>284.0510012096114</c:v>
                </c:pt>
                <c:pt idx="18">
                  <c:v>308.26768592225096</c:v>
                </c:pt>
              </c:numCache>
            </c:numRef>
          </c:xVal>
          <c:yVal>
            <c:numRef>
              <c:f>'h=2km'!$P$47:$P$65</c:f>
              <c:numCache>
                <c:formatCode>0.00</c:formatCode>
                <c:ptCount val="19"/>
                <c:pt idx="0">
                  <c:v>5.7929667324693073</c:v>
                </c:pt>
                <c:pt idx="1">
                  <c:v>5.9183905399334522</c:v>
                </c:pt>
                <c:pt idx="2">
                  <c:v>6.0801070922742904</c:v>
                </c:pt>
                <c:pt idx="3">
                  <c:v>6.366995727986362</c:v>
                </c:pt>
                <c:pt idx="4">
                  <c:v>6.6193742840196466</c:v>
                </c:pt>
                <c:pt idx="5">
                  <c:v>6.8254729450379639</c:v>
                </c:pt>
                <c:pt idx="6">
                  <c:v>7.1718068698596991</c:v>
                </c:pt>
                <c:pt idx="7">
                  <c:v>7.3571359550047424</c:v>
                </c:pt>
                <c:pt idx="8">
                  <c:v>7.3565230981190624</c:v>
                </c:pt>
                <c:pt idx="9">
                  <c:v>7.2111893711289934</c:v>
                </c:pt>
                <c:pt idx="10">
                  <c:v>6.2665519508155469</c:v>
                </c:pt>
                <c:pt idx="11">
                  <c:v>5.4505780419934196</c:v>
                </c:pt>
                <c:pt idx="12">
                  <c:v>3.9239956112313976</c:v>
                </c:pt>
                <c:pt idx="13">
                  <c:v>1.8893880212302687</c:v>
                </c:pt>
                <c:pt idx="14">
                  <c:v>-0.99425303527418607</c:v>
                </c:pt>
                <c:pt idx="15">
                  <c:v>-4.0898777947470855</c:v>
                </c:pt>
                <c:pt idx="16">
                  <c:v>-9.7572333349142522</c:v>
                </c:pt>
                <c:pt idx="17">
                  <c:v>-19.415077701351869</c:v>
                </c:pt>
                <c:pt idx="18">
                  <c:v>-43.212513772549386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E0-43E4-B987-4BD620F51FD9}"/>
            </c:ext>
          </c:extLst>
        </c:ser>
        <c:ser>
          <c:idx val="4"/>
          <c:order val="4"/>
          <c:tx>
            <c:v>h=2km, m. ciągu, m=const.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'h=2km'!$G$69:$G$83</c:f>
              <c:numCache>
                <c:formatCode>0.0</c:formatCode>
                <c:ptCount val="15"/>
                <c:pt idx="0">
                  <c:v>55.169125141496167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'h=2km'!$K$69:$K$83</c:f>
              <c:numCache>
                <c:formatCode>0.00</c:formatCode>
                <c:ptCount val="15"/>
                <c:pt idx="0">
                  <c:v>6.1432500659428984</c:v>
                </c:pt>
                <c:pt idx="1">
                  <c:v>6.9412507374334895</c:v>
                </c:pt>
                <c:pt idx="2">
                  <c:v>7.5611630085327457</c:v>
                </c:pt>
                <c:pt idx="3">
                  <c:v>7.6179893488169741</c:v>
                </c:pt>
                <c:pt idx="4">
                  <c:v>7.3557131068901844</c:v>
                </c:pt>
                <c:pt idx="5">
                  <c:v>6.9065076652109871</c:v>
                </c:pt>
                <c:pt idx="6">
                  <c:v>6.301871691701268</c:v>
                </c:pt>
                <c:pt idx="7">
                  <c:v>5.4966751387998318</c:v>
                </c:pt>
                <c:pt idx="8">
                  <c:v>4.5354029351116729</c:v>
                </c:pt>
                <c:pt idx="9">
                  <c:v>3.4952031005116551</c:v>
                </c:pt>
                <c:pt idx="10">
                  <c:v>2.1966591156771016</c:v>
                </c:pt>
                <c:pt idx="11">
                  <c:v>0.56260390500608914</c:v>
                </c:pt>
                <c:pt idx="12">
                  <c:v>-1.1040567060966686</c:v>
                </c:pt>
                <c:pt idx="13">
                  <c:v>-3.2332083560884062</c:v>
                </c:pt>
                <c:pt idx="14">
                  <c:v>-5.6215131612775497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6E0-43E4-B987-4BD620F51FD9}"/>
            </c:ext>
          </c:extLst>
        </c:ser>
        <c:ser>
          <c:idx val="5"/>
          <c:order val="5"/>
          <c:tx>
            <c:v>h=2km, m. ciągu, zmienna masa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masa'!$J$22:$J$36</c:f>
              <c:numCache>
                <c:formatCode>0.0</c:formatCode>
                <c:ptCount val="15"/>
                <c:pt idx="0">
                  <c:v>54.991165562477157</c:v>
                </c:pt>
                <c:pt idx="1">
                  <c:v>66.063225165157363</c:v>
                </c:pt>
                <c:pt idx="2">
                  <c:v>77.135284767837561</c:v>
                </c:pt>
                <c:pt idx="3">
                  <c:v>88.207344370517774</c:v>
                </c:pt>
                <c:pt idx="4">
                  <c:v>99.279403973197958</c:v>
                </c:pt>
                <c:pt idx="5">
                  <c:v>110.35146357587817</c:v>
                </c:pt>
                <c:pt idx="6">
                  <c:v>121.42352317855838</c:v>
                </c:pt>
                <c:pt idx="7">
                  <c:v>132.49558278123857</c:v>
                </c:pt>
                <c:pt idx="8">
                  <c:v>143.56764238391878</c:v>
                </c:pt>
                <c:pt idx="9">
                  <c:v>154.63970198659896</c:v>
                </c:pt>
                <c:pt idx="10">
                  <c:v>165.71176158927918</c:v>
                </c:pt>
                <c:pt idx="11">
                  <c:v>176.78382119195939</c:v>
                </c:pt>
                <c:pt idx="12">
                  <c:v>187.8558807946396</c:v>
                </c:pt>
                <c:pt idx="13">
                  <c:v>198.92794039731979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masa'!$N$22:$N$36</c:f>
              <c:numCache>
                <c:formatCode>0.00</c:formatCode>
                <c:ptCount val="15"/>
                <c:pt idx="0">
                  <c:v>6.224459527382038</c:v>
                </c:pt>
                <c:pt idx="1">
                  <c:v>7.5043407650154839</c:v>
                </c:pt>
                <c:pt idx="2">
                  <c:v>8.1313792559775706</c:v>
                </c:pt>
                <c:pt idx="3">
                  <c:v>8.3810080826249251</c:v>
                </c:pt>
                <c:pt idx="4">
                  <c:v>8.3825958500569602</c:v>
                </c:pt>
                <c:pt idx="5">
                  <c:v>8.2002054525738757</c:v>
                </c:pt>
                <c:pt idx="6">
                  <c:v>7.8652795316857631</c:v>
                </c:pt>
                <c:pt idx="7">
                  <c:v>7.3910822519492712</c:v>
                </c:pt>
                <c:pt idx="8">
                  <c:v>6.7794357537980741</c:v>
                </c:pt>
                <c:pt idx="9">
                  <c:v>6.0238366726531352</c:v>
                </c:pt>
                <c:pt idx="10">
                  <c:v>5.1106551621007066</c:v>
                </c:pt>
                <c:pt idx="11">
                  <c:v>4.0191204416315243</c:v>
                </c:pt>
                <c:pt idx="12">
                  <c:v>2.7203153879479718</c:v>
                </c:pt>
                <c:pt idx="13">
                  <c:v>1.1750941226728557</c:v>
                </c:pt>
                <c:pt idx="14">
                  <c:v>-0.66947190841436266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6E0-43E4-B987-4BD620F51FD9}"/>
            </c:ext>
          </c:extLst>
        </c:ser>
        <c:ser>
          <c:idx val="6"/>
          <c:order val="6"/>
          <c:tx>
            <c:v>h=4km, m. mocy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'h=4km'!$J$46:$J$63</c:f>
              <c:numCache>
                <c:formatCode>0.0</c:formatCode>
                <c:ptCount val="18"/>
                <c:pt idx="0">
                  <c:v>61.158842972703262</c:v>
                </c:pt>
                <c:pt idx="1">
                  <c:v>62.254045393617297</c:v>
                </c:pt>
                <c:pt idx="2">
                  <c:v>63.531912730545109</c:v>
                </c:pt>
                <c:pt idx="3">
                  <c:v>66.370822695730041</c:v>
                </c:pt>
                <c:pt idx="4">
                  <c:v>69.277205879415277</c:v>
                </c:pt>
                <c:pt idx="5">
                  <c:v>72.602210479654687</c:v>
                </c:pt>
                <c:pt idx="6">
                  <c:v>80.999281170285556</c:v>
                </c:pt>
                <c:pt idx="7">
                  <c:v>92.742076951991109</c:v>
                </c:pt>
                <c:pt idx="8">
                  <c:v>103.45623673719125</c:v>
                </c:pt>
                <c:pt idx="9">
                  <c:v>116.3808594329487</c:v>
                </c:pt>
                <c:pt idx="10">
                  <c:v>146.16044925127761</c:v>
                </c:pt>
                <c:pt idx="11">
                  <c:v>162.09977982144954</c:v>
                </c:pt>
                <c:pt idx="12">
                  <c:v>186.55588306858593</c:v>
                </c:pt>
                <c:pt idx="13">
                  <c:v>209.2699158907877</c:v>
                </c:pt>
                <c:pt idx="14">
                  <c:v>236.44683005466317</c:v>
                </c:pt>
                <c:pt idx="15">
                  <c:v>257.91932120047244</c:v>
                </c:pt>
                <c:pt idx="16">
                  <c:v>286.55463385148312</c:v>
                </c:pt>
                <c:pt idx="17">
                  <c:v>314.89044886359858</c:v>
                </c:pt>
              </c:numCache>
            </c:numRef>
          </c:xVal>
          <c:yVal>
            <c:numRef>
              <c:f>'h=4km'!$P$46:$P$63</c:f>
              <c:numCache>
                <c:formatCode>0.00</c:formatCode>
                <c:ptCount val="18"/>
                <c:pt idx="0">
                  <c:v>3.8149355763209645</c:v>
                </c:pt>
                <c:pt idx="1">
                  <c:v>3.9415007657663321</c:v>
                </c:pt>
                <c:pt idx="2">
                  <c:v>4.1046069350331882</c:v>
                </c:pt>
                <c:pt idx="3">
                  <c:v>4.3946260823716159</c:v>
                </c:pt>
                <c:pt idx="4">
                  <c:v>4.6503395400080461</c:v>
                </c:pt>
                <c:pt idx="5">
                  <c:v>4.8603112164724793</c:v>
                </c:pt>
                <c:pt idx="6">
                  <c:v>5.2168063617101934</c:v>
                </c:pt>
                <c:pt idx="7">
                  <c:v>5.4165174395185165</c:v>
                </c:pt>
                <c:pt idx="8">
                  <c:v>5.4284577622263051</c:v>
                </c:pt>
                <c:pt idx="9">
                  <c:v>5.2962051387423168</c:v>
                </c:pt>
                <c:pt idx="10">
                  <c:v>4.3571108108538636</c:v>
                </c:pt>
                <c:pt idx="11">
                  <c:v>3.5159070237539303</c:v>
                </c:pt>
                <c:pt idx="12">
                  <c:v>1.8812924347877555</c:v>
                </c:pt>
                <c:pt idx="13">
                  <c:v>-0.4106887331068188</c:v>
                </c:pt>
                <c:pt idx="14">
                  <c:v>-3.9798249638602829</c:v>
                </c:pt>
                <c:pt idx="15">
                  <c:v>-8.3237214712577821</c:v>
                </c:pt>
                <c:pt idx="16">
                  <c:v>-18.775644500141553</c:v>
                </c:pt>
                <c:pt idx="17">
                  <c:v>-81.017839261850241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6E0-43E4-B987-4BD620F51FD9}"/>
            </c:ext>
          </c:extLst>
        </c:ser>
        <c:ser>
          <c:idx val="7"/>
          <c:order val="7"/>
          <c:tx>
            <c:v>h=4km, m. ciągu, m=const.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'h=4km'!$G$67:$G$81</c:f>
              <c:numCache>
                <c:formatCode>0.0</c:formatCode>
                <c:ptCount val="15"/>
                <c:pt idx="0">
                  <c:v>61.158842972703262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'h=4km'!$K$67:$K$81</c:f>
              <c:numCache>
                <c:formatCode>0.00</c:formatCode>
                <c:ptCount val="15"/>
                <c:pt idx="0">
                  <c:v>4.1067555205930208</c:v>
                </c:pt>
                <c:pt idx="1">
                  <c:v>4.3205596567922591</c:v>
                </c:pt>
                <c:pt idx="2">
                  <c:v>5.3297476738659215</c:v>
                </c:pt>
                <c:pt idx="3">
                  <c:v>5.6533534291198135</c:v>
                </c:pt>
                <c:pt idx="4">
                  <c:v>5.6315475992099424</c:v>
                </c:pt>
                <c:pt idx="5">
                  <c:v>5.3864855034019179</c:v>
                </c:pt>
                <c:pt idx="6">
                  <c:v>4.9804787639533927</c:v>
                </c:pt>
                <c:pt idx="7">
                  <c:v>4.391849488583043</c:v>
                </c:pt>
                <c:pt idx="8">
                  <c:v>3.6563726653724875</c:v>
                </c:pt>
                <c:pt idx="9">
                  <c:v>2.8386212327180269</c:v>
                </c:pt>
                <c:pt idx="10">
                  <c:v>1.7976634731458088</c:v>
                </c:pt>
                <c:pt idx="11">
                  <c:v>0.4651724074061297</c:v>
                </c:pt>
                <c:pt idx="12">
                  <c:v>-0.91464742230659524</c:v>
                </c:pt>
                <c:pt idx="13">
                  <c:v>-2.7042870608389884</c:v>
                </c:pt>
                <c:pt idx="14">
                  <c:v>-4.746133883366439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6E0-43E4-B987-4BD620F51FD9}"/>
            </c:ext>
          </c:extLst>
        </c:ser>
        <c:ser>
          <c:idx val="8"/>
          <c:order val="8"/>
          <c:tx>
            <c:v>h=4km, m. ciągu, zmienna masa</c:v>
          </c:tx>
          <c:spPr>
            <a:ln w="19050" cap="rnd">
              <a:solidFill>
                <a:schemeClr val="accent3">
                  <a:alpha val="9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masa'!$J$40:$J$54</c:f>
              <c:numCache>
                <c:formatCode>0.0</c:formatCode>
                <c:ptCount val="15"/>
                <c:pt idx="0">
                  <c:v>60.760126838427631</c:v>
                </c:pt>
                <c:pt idx="1">
                  <c:v>71.420117778539947</c:v>
                </c:pt>
                <c:pt idx="2">
                  <c:v>82.080108718652255</c:v>
                </c:pt>
                <c:pt idx="3">
                  <c:v>92.740099658764564</c:v>
                </c:pt>
                <c:pt idx="4">
                  <c:v>103.40009059887689</c:v>
                </c:pt>
                <c:pt idx="5">
                  <c:v>114.06008153898918</c:v>
                </c:pt>
                <c:pt idx="6">
                  <c:v>124.7200724791015</c:v>
                </c:pt>
                <c:pt idx="7">
                  <c:v>135.38006341921383</c:v>
                </c:pt>
                <c:pt idx="8">
                  <c:v>146.04005435932612</c:v>
                </c:pt>
                <c:pt idx="9">
                  <c:v>156.70004529943844</c:v>
                </c:pt>
                <c:pt idx="10">
                  <c:v>167.36003623955074</c:v>
                </c:pt>
                <c:pt idx="11">
                  <c:v>178.02002717966306</c:v>
                </c:pt>
                <c:pt idx="12">
                  <c:v>188.68001811977538</c:v>
                </c:pt>
                <c:pt idx="13">
                  <c:v>199.34000905988768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masa'!$N$40:$N$54</c:f>
              <c:numCache>
                <c:formatCode>0.00</c:formatCode>
                <c:ptCount val="15"/>
                <c:pt idx="0">
                  <c:v>4.2434963440040381</c:v>
                </c:pt>
                <c:pt idx="1">
                  <c:v>5.4266228435058625</c:v>
                </c:pt>
                <c:pt idx="2">
                  <c:v>6.0696448966466887</c:v>
                </c:pt>
                <c:pt idx="3">
                  <c:v>6.3833476760068892</c:v>
                </c:pt>
                <c:pt idx="4">
                  <c:v>6.4746226298345091</c:v>
                </c:pt>
                <c:pt idx="5">
                  <c:v>6.3999637867512993</c:v>
                </c:pt>
                <c:pt idx="6">
                  <c:v>6.1890813449344293</c:v>
                </c:pt>
                <c:pt idx="7">
                  <c:v>5.8560714865164201</c:v>
                </c:pt>
                <c:pt idx="8">
                  <c:v>5.4049179659851205</c:v>
                </c:pt>
                <c:pt idx="9">
                  <c:v>4.8321708863969972</c:v>
                </c:pt>
                <c:pt idx="10">
                  <c:v>4.1280554972928325</c:v>
                </c:pt>
                <c:pt idx="11">
                  <c:v>3.2765549644279632</c:v>
                </c:pt>
                <c:pt idx="12">
                  <c:v>2.2546458739388497</c:v>
                </c:pt>
                <c:pt idx="13">
                  <c:v>1.0306194645703617</c:v>
                </c:pt>
                <c:pt idx="14">
                  <c:v>-0.43882912543667807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6E0-43E4-B987-4BD620F51FD9}"/>
            </c:ext>
          </c:extLst>
        </c:ser>
        <c:ser>
          <c:idx val="9"/>
          <c:order val="9"/>
          <c:tx>
            <c:v>h=6km, m. mocy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'h=6km'!$J$45:$J$60</c:f>
              <c:numCache>
                <c:formatCode>0.0</c:formatCode>
                <c:ptCount val="16"/>
                <c:pt idx="0">
                  <c:v>68.155578411156441</c:v>
                </c:pt>
                <c:pt idx="1">
                  <c:v>69.376074922315269</c:v>
                </c:pt>
                <c:pt idx="2">
                  <c:v>70.800133705113225</c:v>
                </c:pt>
                <c:pt idx="3">
                  <c:v>73.963822573797884</c:v>
                </c:pt>
                <c:pt idx="4">
                  <c:v>77.202703777893532</c:v>
                </c:pt>
                <c:pt idx="5">
                  <c:v>80.908097809795308</c:v>
                </c:pt>
                <c:pt idx="6">
                  <c:v>90.265815877397586</c:v>
                </c:pt>
                <c:pt idx="7">
                  <c:v>103.35201894738439</c:v>
                </c:pt>
                <c:pt idx="8">
                  <c:v>115.29190730785888</c:v>
                </c:pt>
                <c:pt idx="9">
                  <c:v>129.69514145616463</c:v>
                </c:pt>
                <c:pt idx="10">
                  <c:v>162.88159610870073</c:v>
                </c:pt>
                <c:pt idx="11">
                  <c:v>180.64442878657795</c:v>
                </c:pt>
                <c:pt idx="12">
                  <c:v>207.89837574622669</c:v>
                </c:pt>
                <c:pt idx="13">
                  <c:v>233.21095475852272</c:v>
                </c:pt>
                <c:pt idx="14">
                  <c:v>263.49698069096212</c:v>
                </c:pt>
                <c:pt idx="15">
                  <c:v>287.42598233385206</c:v>
                </c:pt>
              </c:numCache>
            </c:numRef>
          </c:xVal>
          <c:yVal>
            <c:numRef>
              <c:f>'h=6km'!$P$45:$P$60</c:f>
              <c:numCache>
                <c:formatCode>0.00</c:formatCode>
                <c:ptCount val="16"/>
                <c:pt idx="0">
                  <c:v>2.0821985451759581</c:v>
                </c:pt>
                <c:pt idx="1">
                  <c:v>2.2100388443757115</c:v>
                </c:pt>
                <c:pt idx="2">
                  <c:v>2.3747521009886627</c:v>
                </c:pt>
                <c:pt idx="3">
                  <c:v>2.6682169145569743</c:v>
                </c:pt>
                <c:pt idx="4">
                  <c:v>2.9275195336387969</c:v>
                </c:pt>
                <c:pt idx="5">
                  <c:v>3.1414298962629505</c:v>
                </c:pt>
                <c:pt idx="6">
                  <c:v>3.5077435165224475</c:v>
                </c:pt>
                <c:pt idx="7">
                  <c:v>3.7200323066942542</c:v>
                </c:pt>
                <c:pt idx="8">
                  <c:v>3.7414664995607216</c:v>
                </c:pt>
                <c:pt idx="9">
                  <c:v>3.6161807157869146</c:v>
                </c:pt>
                <c:pt idx="10">
                  <c:v>2.6474654701755651</c:v>
                </c:pt>
                <c:pt idx="11">
                  <c:v>1.7378924150471555</c:v>
                </c:pt>
                <c:pt idx="12">
                  <c:v>-0.14396070140893003</c:v>
                </c:pt>
                <c:pt idx="13">
                  <c:v>-3.0289777735026036</c:v>
                </c:pt>
                <c:pt idx="14">
                  <c:v>-8.5190493673208874</c:v>
                </c:pt>
                <c:pt idx="15">
                  <c:v>-18.118509981917054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6E0-43E4-B987-4BD620F51FD9}"/>
            </c:ext>
          </c:extLst>
        </c:ser>
        <c:ser>
          <c:idx val="10"/>
          <c:order val="10"/>
          <c:tx>
            <c:v>h=6km, m. ciągu, m=const.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'h=6km'!$G$64:$G$78</c:f>
              <c:numCache>
                <c:formatCode>0.0</c:formatCode>
                <c:ptCount val="15"/>
                <c:pt idx="0">
                  <c:v>68.155578411156441</c:v>
                </c:pt>
                <c:pt idx="1">
                  <c:v>73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'h=6km'!$K$64:$K$78</c:f>
              <c:numCache>
                <c:formatCode>0.00</c:formatCode>
                <c:ptCount val="15"/>
                <c:pt idx="0">
                  <c:v>2.3334143281087183</c:v>
                </c:pt>
                <c:pt idx="1">
                  <c:v>2.8124624748206659</c:v>
                </c:pt>
                <c:pt idx="2">
                  <c:v>3.121358304976019</c:v>
                </c:pt>
                <c:pt idx="3">
                  <c:v>3.738804738880384</c:v>
                </c:pt>
                <c:pt idx="4">
                  <c:v>3.9679370828773783</c:v>
                </c:pt>
                <c:pt idx="5">
                  <c:v>3.9255847940685347</c:v>
                </c:pt>
                <c:pt idx="6">
                  <c:v>3.7092672432973548</c:v>
                </c:pt>
                <c:pt idx="7">
                  <c:v>3.3211953606970881</c:v>
                </c:pt>
                <c:pt idx="8">
                  <c:v>2.7900984007327114</c:v>
                </c:pt>
                <c:pt idx="9">
                  <c:v>2.1706606022555435</c:v>
                </c:pt>
                <c:pt idx="10">
                  <c:v>1.356993040295229</c:v>
                </c:pt>
                <c:pt idx="11">
                  <c:v>0.28860317889794868</c:v>
                </c:pt>
                <c:pt idx="12">
                  <c:v>-0.84142843779749332</c:v>
                </c:pt>
                <c:pt idx="13">
                  <c:v>-2.3372974965378206</c:v>
                </c:pt>
                <c:pt idx="14">
                  <c:v>-4.0828108725181051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6E0-43E4-B987-4BD620F51FD9}"/>
            </c:ext>
          </c:extLst>
        </c:ser>
        <c:ser>
          <c:idx val="11"/>
          <c:order val="11"/>
          <c:tx>
            <c:v>h=6km, m. ciągu, zmienna masa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masa'!$J$58:$J$72</c:f>
              <c:numCache>
                <c:formatCode>0.0</c:formatCode>
                <c:ptCount val="15"/>
                <c:pt idx="0">
                  <c:v>67.478052266794421</c:v>
                </c:pt>
                <c:pt idx="1">
                  <c:v>77.658191390594823</c:v>
                </c:pt>
                <c:pt idx="2">
                  <c:v>87.838330514395224</c:v>
                </c:pt>
                <c:pt idx="3">
                  <c:v>98.018469638195626</c:v>
                </c:pt>
                <c:pt idx="4">
                  <c:v>108.19860876199601</c:v>
                </c:pt>
                <c:pt idx="5">
                  <c:v>118.37874788579643</c:v>
                </c:pt>
                <c:pt idx="6">
                  <c:v>128.55888700959682</c:v>
                </c:pt>
                <c:pt idx="7">
                  <c:v>138.7390261333972</c:v>
                </c:pt>
                <c:pt idx="8">
                  <c:v>148.91916525719762</c:v>
                </c:pt>
                <c:pt idx="9">
                  <c:v>159.09930438099803</c:v>
                </c:pt>
                <c:pt idx="10">
                  <c:v>169.27944350479842</c:v>
                </c:pt>
                <c:pt idx="11">
                  <c:v>179.45958262859881</c:v>
                </c:pt>
                <c:pt idx="12">
                  <c:v>189.63972175239923</c:v>
                </c:pt>
                <c:pt idx="13">
                  <c:v>199.81986087619964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masa'!$N$58:$N$72</c:f>
              <c:numCache>
                <c:formatCode>0.00</c:formatCode>
                <c:ptCount val="15"/>
                <c:pt idx="0">
                  <c:v>2.5061431139000225</c:v>
                </c:pt>
                <c:pt idx="1">
                  <c:v>3.5826795641441556</c:v>
                </c:pt>
                <c:pt idx="2">
                  <c:v>4.2242834047092623</c:v>
                </c:pt>
                <c:pt idx="3">
                  <c:v>4.5855617829776198</c:v>
                </c:pt>
                <c:pt idx="4">
                  <c:v>4.7511384230513158</c:v>
                </c:pt>
                <c:pt idx="5">
                  <c:v>4.7687405478940246</c:v>
                </c:pt>
                <c:pt idx="6">
                  <c:v>4.6651710126385071</c:v>
                </c:pt>
                <c:pt idx="7">
                  <c:v>4.4544041454189971</c:v>
                </c:pt>
                <c:pt idx="8">
                  <c:v>4.1418101843304438</c:v>
                </c:pt>
                <c:pt idx="9">
                  <c:v>3.7263167370956767</c:v>
                </c:pt>
                <c:pt idx="10">
                  <c:v>3.201356362602207</c:v>
                </c:pt>
                <c:pt idx="11">
                  <c:v>2.5549841920189889</c:v>
                </c:pt>
                <c:pt idx="12">
                  <c:v>1.769290429103501</c:v>
                </c:pt>
                <c:pt idx="13">
                  <c:v>0.81904428701554555</c:v>
                </c:pt>
                <c:pt idx="14">
                  <c:v>-0.33069690101894095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6E0-43E4-B987-4BD620F51FD9}"/>
            </c:ext>
          </c:extLst>
        </c:ser>
        <c:ser>
          <c:idx val="12"/>
          <c:order val="12"/>
          <c:tx>
            <c:v>h=8km, m. mocy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'h=8km'!$J$44:$J$58</c:f>
              <c:numCache>
                <c:formatCode>0.0</c:formatCode>
                <c:ptCount val="15"/>
                <c:pt idx="0">
                  <c:v>76.395380932749987</c:v>
                </c:pt>
                <c:pt idx="1">
                  <c:v>77.763431766895778</c:v>
                </c:pt>
                <c:pt idx="2">
                  <c:v>79.359654933342711</c:v>
                </c:pt>
                <c:pt idx="3">
                  <c:v>82.905824181849937</c:v>
                </c:pt>
                <c:pt idx="4">
                  <c:v>86.536276290848647</c:v>
                </c:pt>
                <c:pt idx="5">
                  <c:v>90.689641212284613</c:v>
                </c:pt>
                <c:pt idx="6">
                  <c:v>101.17867898587841</c:v>
                </c:pt>
                <c:pt idx="7">
                  <c:v>115.84696427962214</c:v>
                </c:pt>
                <c:pt idx="8">
                  <c:v>129.23034889548282</c:v>
                </c:pt>
                <c:pt idx="9">
                  <c:v>145.37489032664018</c:v>
                </c:pt>
                <c:pt idx="10">
                  <c:v>182.57348659844479</c:v>
                </c:pt>
                <c:pt idx="11">
                  <c:v>202.48379182225023</c:v>
                </c:pt>
                <c:pt idx="12">
                  <c:v>233.03265823114435</c:v>
                </c:pt>
                <c:pt idx="13">
                  <c:v>261.40545120150153</c:v>
                </c:pt>
                <c:pt idx="14">
                  <c:v>295.35296572613981</c:v>
                </c:pt>
              </c:numCache>
            </c:numRef>
          </c:xVal>
          <c:yVal>
            <c:numRef>
              <c:f>'h=8km'!$P$44:$P$58</c:f>
              <c:numCache>
                <c:formatCode>0.00</c:formatCode>
                <c:ptCount val="15"/>
                <c:pt idx="0">
                  <c:v>0.56847993655928053</c:v>
                </c:pt>
                <c:pt idx="1">
                  <c:v>0.69761964109336561</c:v>
                </c:pt>
                <c:pt idx="2">
                  <c:v>0.86404164786975501</c:v>
                </c:pt>
                <c:pt idx="3">
                  <c:v>1.1609947138614969</c:v>
                </c:pt>
                <c:pt idx="4">
                  <c:v>1.423859857818732</c:v>
                </c:pt>
                <c:pt idx="5">
                  <c:v>1.6414140226003822</c:v>
                </c:pt>
                <c:pt idx="6">
                  <c:v>2.0161399212203568</c:v>
                </c:pt>
                <c:pt idx="7">
                  <c:v>2.2370744015402009</c:v>
                </c:pt>
                <c:pt idx="8">
                  <c:v>2.2619801569607585</c:v>
                </c:pt>
                <c:pt idx="9">
                  <c:v>2.1317950523584006</c:v>
                </c:pt>
                <c:pt idx="10">
                  <c:v>1.0619546489510387</c:v>
                </c:pt>
                <c:pt idx="11">
                  <c:v>-1.2810615968953913E-2</c:v>
                </c:pt>
                <c:pt idx="12">
                  <c:v>-2.5155699551491857</c:v>
                </c:pt>
                <c:pt idx="13">
                  <c:v>-7.2324375609687976</c:v>
                </c:pt>
                <c:pt idx="14">
                  <c:v>-26.73890235447216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6E0-43E4-B987-4BD620F51FD9}"/>
            </c:ext>
          </c:extLst>
        </c:ser>
        <c:ser>
          <c:idx val="13"/>
          <c:order val="13"/>
          <c:tx>
            <c:v>h=8km, m. ciągu, m=const.</c:v>
          </c:tx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'h=8km'!$G$62:$G$76</c:f>
              <c:numCache>
                <c:formatCode>0.0</c:formatCode>
                <c:ptCount val="15"/>
                <c:pt idx="0">
                  <c:v>76.395380932749987</c:v>
                </c:pt>
                <c:pt idx="1">
                  <c:v>80</c:v>
                </c:pt>
                <c:pt idx="2">
                  <c:v>85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'h=8km'!$K$62:$K$76</c:f>
              <c:numCache>
                <c:formatCode>0.00</c:formatCode>
                <c:ptCount val="15"/>
                <c:pt idx="0">
                  <c:v>0.79266263565502793</c:v>
                </c:pt>
                <c:pt idx="1">
                  <c:v>1.131135391242212</c:v>
                </c:pt>
                <c:pt idx="2">
                  <c:v>1.5121999845046887</c:v>
                </c:pt>
                <c:pt idx="3">
                  <c:v>1.8090986145000973</c:v>
                </c:pt>
                <c:pt idx="4">
                  <c:v>2.3130663564170759</c:v>
                </c:pt>
                <c:pt idx="5">
                  <c:v>2.4815067897718222</c:v>
                </c:pt>
                <c:pt idx="6">
                  <c:v>2.4536383775596327</c:v>
                </c:pt>
                <c:pt idx="7">
                  <c:v>2.257078322087088</c:v>
                </c:pt>
                <c:pt idx="8">
                  <c:v>1.914990067303256</c:v>
                </c:pt>
                <c:pt idx="9">
                  <c:v>1.4747797542905006</c:v>
                </c:pt>
                <c:pt idx="10">
                  <c:v>0.86310935904684771</c:v>
                </c:pt>
                <c:pt idx="11">
                  <c:v>2.634882529871941E-2</c:v>
                </c:pt>
                <c:pt idx="12">
                  <c:v>-0.88689838028269952</c:v>
                </c:pt>
                <c:pt idx="13">
                  <c:v>-2.1307606343790235</c:v>
                </c:pt>
                <c:pt idx="14">
                  <c:v>-3.627247811280049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6E0-43E4-B987-4BD620F51FD9}"/>
            </c:ext>
          </c:extLst>
        </c:ser>
        <c:ser>
          <c:idx val="14"/>
          <c:order val="14"/>
          <c:tx>
            <c:v>h=8km, m. ciągu, zmienna masa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masa'!$J$76:$J$90</c:f>
              <c:numCache>
                <c:formatCode>0.0</c:formatCode>
                <c:ptCount val="15"/>
                <c:pt idx="0">
                  <c:v>75.356120124418212</c:v>
                </c:pt>
                <c:pt idx="1">
                  <c:v>84.973540115531193</c:v>
                </c:pt>
                <c:pt idx="2">
                  <c:v>94.590960106644175</c:v>
                </c:pt>
                <c:pt idx="3">
                  <c:v>104.20838009775716</c:v>
                </c:pt>
                <c:pt idx="4">
                  <c:v>113.82580008887015</c:v>
                </c:pt>
                <c:pt idx="5">
                  <c:v>123.44322007998312</c:v>
                </c:pt>
                <c:pt idx="6">
                  <c:v>133.06064007109612</c:v>
                </c:pt>
                <c:pt idx="7">
                  <c:v>142.67806006220911</c:v>
                </c:pt>
                <c:pt idx="8">
                  <c:v>152.29548005332208</c:v>
                </c:pt>
                <c:pt idx="9">
                  <c:v>161.91290004443505</c:v>
                </c:pt>
                <c:pt idx="10">
                  <c:v>171.53032003554804</c:v>
                </c:pt>
                <c:pt idx="11">
                  <c:v>181.14774002666104</c:v>
                </c:pt>
                <c:pt idx="12">
                  <c:v>190.76516001777401</c:v>
                </c:pt>
                <c:pt idx="13">
                  <c:v>200.382580008887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masa'!$N$76:$N$90</c:f>
              <c:numCache>
                <c:formatCode>0.00</c:formatCode>
                <c:ptCount val="15"/>
                <c:pt idx="0">
                  <c:v>0.98742175619971462</c:v>
                </c:pt>
                <c:pt idx="1">
                  <c:v>1.9494770071794729</c:v>
                </c:pt>
                <c:pt idx="2">
                  <c:v>2.5724490113481218</c:v>
                </c:pt>
                <c:pt idx="3">
                  <c:v>2.9640327725234963</c:v>
                </c:pt>
                <c:pt idx="4">
                  <c:v>3.1877922457605918</c:v>
                </c:pt>
                <c:pt idx="5">
                  <c:v>3.2819909566188792</c:v>
                </c:pt>
                <c:pt idx="6">
                  <c:v>3.269515369251943</c:v>
                </c:pt>
                <c:pt idx="7">
                  <c:v>3.1632886855669682</c:v>
                </c:pt>
                <c:pt idx="8">
                  <c:v>2.9692651726830106</c:v>
                </c:pt>
                <c:pt idx="9">
                  <c:v>2.6880371630044855</c:v>
                </c:pt>
                <c:pt idx="10">
                  <c:v>2.3155692556839607</c:v>
                </c:pt>
                <c:pt idx="11">
                  <c:v>1.8432990886612715</c:v>
                </c:pt>
                <c:pt idx="12">
                  <c:v>1.257674701872199</c:v>
                </c:pt>
                <c:pt idx="13">
                  <c:v>0.53906108933928476</c:v>
                </c:pt>
                <c:pt idx="14">
                  <c:v>-0.34021220890001153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6E0-43E4-B987-4BD620F51FD9}"/>
            </c:ext>
          </c:extLst>
        </c:ser>
        <c:ser>
          <c:idx val="15"/>
          <c:order val="15"/>
          <c:tx>
            <c:v>h=10km, m. mocy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'h=10km'!$J$42:$J$55</c:f>
              <c:numCache>
                <c:formatCode>0.0</c:formatCode>
                <c:ptCount val="14"/>
                <c:pt idx="0">
                  <c:v>86.187148316269386</c:v>
                </c:pt>
                <c:pt idx="1">
                  <c:v>87.730545295342154</c:v>
                </c:pt>
                <c:pt idx="2">
                  <c:v>89.531359966500503</c:v>
                </c:pt>
                <c:pt idx="3">
                  <c:v>93.532049684177707</c:v>
                </c:pt>
                <c:pt idx="4">
                  <c:v>97.62782498568221</c:v>
                </c:pt>
                <c:pt idx="5">
                  <c:v>102.31353600806071</c:v>
                </c:pt>
                <c:pt idx="6">
                  <c:v>114.14697728749459</c:v>
                </c:pt>
                <c:pt idx="7">
                  <c:v>130.6953296187713</c:v>
                </c:pt>
                <c:pt idx="8">
                  <c:v>145.79409266933129</c:v>
                </c:pt>
                <c:pt idx="9">
                  <c:v>164.00791619945016</c:v>
                </c:pt>
                <c:pt idx="10">
                  <c:v>205.97434001841498</c:v>
                </c:pt>
                <c:pt idx="11">
                  <c:v>228.43659373578171</c:v>
                </c:pt>
                <c:pt idx="12">
                  <c:v>262.90097689521633</c:v>
                </c:pt>
                <c:pt idx="13">
                  <c:v>294.9103744010107</c:v>
                </c:pt>
              </c:numCache>
            </c:numRef>
          </c:xVal>
          <c:yVal>
            <c:numRef>
              <c:f>'h=10km'!$P$42:$P$55</c:f>
              <c:numCache>
                <c:formatCode>0.00</c:formatCode>
                <c:ptCount val="14"/>
                <c:pt idx="0">
                  <c:v>-0.75340594502663594</c:v>
                </c:pt>
                <c:pt idx="1">
                  <c:v>-0.62310914683537821</c:v>
                </c:pt>
                <c:pt idx="2">
                  <c:v>-0.45504732366208922</c:v>
                </c:pt>
                <c:pt idx="3">
                  <c:v>-0.1550002716740406</c:v>
                </c:pt>
                <c:pt idx="4">
                  <c:v>0.11092509355321097</c:v>
                </c:pt>
                <c:pt idx="5">
                  <c:v>0.33117171479258928</c:v>
                </c:pt>
                <c:pt idx="6">
                  <c:v>0.71082291239623818</c:v>
                </c:pt>
                <c:pt idx="7">
                  <c:v>0.93197784438719189</c:v>
                </c:pt>
                <c:pt idx="8">
                  <c:v>0.94771373438922635</c:v>
                </c:pt>
                <c:pt idx="9">
                  <c:v>0.78712901175972216</c:v>
                </c:pt>
                <c:pt idx="10">
                  <c:v>-0.55677257053235918</c:v>
                </c:pt>
                <c:pt idx="11">
                  <c:v>-2.0803296563163403</c:v>
                </c:pt>
                <c:pt idx="12">
                  <c:v>-6.8616879224450704</c:v>
                </c:pt>
                <c:pt idx="13">
                  <c:v>-41.128766305393739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96E0-43E4-B987-4BD620F51FD9}"/>
            </c:ext>
          </c:extLst>
        </c:ser>
        <c:ser>
          <c:idx val="16"/>
          <c:order val="16"/>
          <c:tx>
            <c:v>h=10km, m. ciągu, m=const.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'h=10km'!$G$59:$G$73</c:f>
              <c:numCache>
                <c:formatCode>0.0</c:formatCode>
                <c:ptCount val="15"/>
                <c:pt idx="0">
                  <c:v>86.187148316269386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'h=10km'!$K$59:$K$73</c:f>
              <c:numCache>
                <c:formatCode>0.00</c:formatCode>
                <c:ptCount val="15"/>
                <c:pt idx="0">
                  <c:v>-0.54579514104868698</c:v>
                </c:pt>
                <c:pt idx="1">
                  <c:v>-0.22183474200553041</c:v>
                </c:pt>
                <c:pt idx="2">
                  <c:v>0.13026616807741664</c:v>
                </c:pt>
                <c:pt idx="3">
                  <c:v>0.41343115033770267</c:v>
                </c:pt>
                <c:pt idx="4">
                  <c:v>0.59822444260590824</c:v>
                </c:pt>
                <c:pt idx="5">
                  <c:v>0.99767021479837881</c:v>
                </c:pt>
                <c:pt idx="6">
                  <c:v>1.1665781723029833</c:v>
                </c:pt>
                <c:pt idx="7">
                  <c:v>1.1608439388315219</c:v>
                </c:pt>
                <c:pt idx="8">
                  <c:v>0.99937053844245571</c:v>
                </c:pt>
                <c:pt idx="9">
                  <c:v>0.72489204536076801</c:v>
                </c:pt>
                <c:pt idx="10">
                  <c:v>0.29521934172505487</c:v>
                </c:pt>
                <c:pt idx="11">
                  <c:v>-0.33744613090636688</c:v>
                </c:pt>
                <c:pt idx="12">
                  <c:v>-1.0633025276730381</c:v>
                </c:pt>
                <c:pt idx="13">
                  <c:v>-2.0941593635514848</c:v>
                </c:pt>
                <c:pt idx="14">
                  <c:v>-3.3887630364441623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96E0-43E4-B987-4BD620F51FD9}"/>
            </c:ext>
          </c:extLst>
        </c:ser>
        <c:ser>
          <c:idx val="17"/>
          <c:order val="17"/>
          <c:tx>
            <c:v>h=10km, m. ciągu, zmienna masa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masa'!$J$94:$J$108</c:f>
              <c:numCache>
                <c:formatCode>0.0</c:formatCode>
                <c:ptCount val="15"/>
                <c:pt idx="0">
                  <c:v>84.65692418067519</c:v>
                </c:pt>
                <c:pt idx="1">
                  <c:v>93.610001024912677</c:v>
                </c:pt>
                <c:pt idx="2">
                  <c:v>102.56307786915016</c:v>
                </c:pt>
                <c:pt idx="3">
                  <c:v>111.51615471338765</c:v>
                </c:pt>
                <c:pt idx="4">
                  <c:v>120.46923155762514</c:v>
                </c:pt>
                <c:pt idx="5">
                  <c:v>129.42230840186261</c:v>
                </c:pt>
                <c:pt idx="6">
                  <c:v>138.37538524610011</c:v>
                </c:pt>
                <c:pt idx="7">
                  <c:v>147.32846209033761</c:v>
                </c:pt>
                <c:pt idx="8">
                  <c:v>156.28153893457508</c:v>
                </c:pt>
                <c:pt idx="9">
                  <c:v>165.23461577881255</c:v>
                </c:pt>
                <c:pt idx="10">
                  <c:v>174.18769262305005</c:v>
                </c:pt>
                <c:pt idx="11">
                  <c:v>183.14076946728756</c:v>
                </c:pt>
                <c:pt idx="12">
                  <c:v>192.09384631152503</c:v>
                </c:pt>
                <c:pt idx="13">
                  <c:v>201.0469231557625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masa'!$N$94:$N$108</c:f>
              <c:numCache>
                <c:formatCode>0.00</c:formatCode>
                <c:ptCount val="15"/>
                <c:pt idx="0">
                  <c:v>-0.33703252075205159</c:v>
                </c:pt>
                <c:pt idx="1">
                  <c:v>0.50429213300579834</c:v>
                </c:pt>
                <c:pt idx="2">
                  <c:v>1.0915800996535281</c:v>
                </c:pt>
                <c:pt idx="3">
                  <c:v>1.4951352851204776</c:v>
                </c:pt>
                <c:pt idx="4">
                  <c:v>1.7596400701473469</c:v>
                </c:pt>
                <c:pt idx="5">
                  <c:v>1.913790335897938</c:v>
                </c:pt>
                <c:pt idx="6">
                  <c:v>1.9758293849182271</c:v>
                </c:pt>
                <c:pt idx="7">
                  <c:v>1.9568016426675021</c:v>
                </c:pt>
                <c:pt idx="8">
                  <c:v>1.8624610945802194</c:v>
                </c:pt>
                <c:pt idx="9">
                  <c:v>1.6943371693435449</c:v>
                </c:pt>
                <c:pt idx="10">
                  <c:v>1.4502328065914312</c:v>
                </c:pt>
                <c:pt idx="11">
                  <c:v>1.1242702597520497</c:v>
                </c:pt>
                <c:pt idx="12">
                  <c:v>0.70651227272565764</c:v>
                </c:pt>
                <c:pt idx="13">
                  <c:v>0.18208494582551227</c:v>
                </c:pt>
                <c:pt idx="14">
                  <c:v>-0.47039314858679115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96E0-43E4-B987-4BD620F51FD9}"/>
            </c:ext>
          </c:extLst>
        </c:ser>
        <c:ser>
          <c:idx val="18"/>
          <c:order val="18"/>
          <c:tx>
            <c:v>h=12km, m. mocy</c:v>
          </c:tx>
          <c:spPr>
            <a:ln w="19050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'h=12km'!$J$41:$J$52</c:f>
              <c:numCache>
                <c:formatCode>0.0</c:formatCode>
                <c:ptCount val="12"/>
                <c:pt idx="0">
                  <c:v>97.941202374935742</c:v>
                </c:pt>
                <c:pt idx="1">
                  <c:v>99.695085161700305</c:v>
                </c:pt>
                <c:pt idx="2">
                  <c:v>101.74149181969132</c:v>
                </c:pt>
                <c:pt idx="3">
                  <c:v>106.28778867407257</c:v>
                </c:pt>
                <c:pt idx="4">
                  <c:v>110.94213871956762</c:v>
                </c:pt>
                <c:pt idx="5">
                  <c:v>116.26687889810547</c:v>
                </c:pt>
                <c:pt idx="6">
                  <c:v>129.71414441022097</c:v>
                </c:pt>
                <c:pt idx="7">
                  <c:v>148.51933237979858</c:v>
                </c:pt>
                <c:pt idx="8">
                  <c:v>165.67723859244617</c:v>
                </c:pt>
                <c:pt idx="9">
                  <c:v>186.37503183928459</c:v>
                </c:pt>
                <c:pt idx="10">
                  <c:v>234.06476387593059</c:v>
                </c:pt>
                <c:pt idx="11">
                  <c:v>259.59038086301081</c:v>
                </c:pt>
              </c:numCache>
            </c:numRef>
          </c:xVal>
          <c:yVal>
            <c:numRef>
              <c:f>'h=12km'!$P$41:$P$52</c:f>
              <c:numCache>
                <c:formatCode>0.00</c:formatCode>
                <c:ptCount val="12"/>
                <c:pt idx="0">
                  <c:v>-1.9145980866026215</c:v>
                </c:pt>
                <c:pt idx="1">
                  <c:v>-1.7836014531653774</c:v>
                </c:pt>
                <c:pt idx="2">
                  <c:v>-1.6142940610987373</c:v>
                </c:pt>
                <c:pt idx="3">
                  <c:v>-1.3124108746983216</c:v>
                </c:pt>
                <c:pt idx="4">
                  <c:v>-1.0449032056014611</c:v>
                </c:pt>
                <c:pt idx="5">
                  <c:v>-0.82430168073174093</c:v>
                </c:pt>
                <c:pt idx="6">
                  <c:v>-0.44781880505942068</c:v>
                </c:pt>
                <c:pt idx="7">
                  <c:v>-0.24549189482547726</c:v>
                </c:pt>
                <c:pt idx="8">
                  <c:v>-0.26845407771719199</c:v>
                </c:pt>
                <c:pt idx="9">
                  <c:v>-0.52344139631603837</c:v>
                </c:pt>
                <c:pt idx="10">
                  <c:v>-2.7157969597913514</c:v>
                </c:pt>
                <c:pt idx="11">
                  <c:v>-6.2294800155151497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96E0-43E4-B987-4BD620F51FD9}"/>
            </c:ext>
          </c:extLst>
        </c:ser>
        <c:ser>
          <c:idx val="19"/>
          <c:order val="19"/>
          <c:tx>
            <c:v>h=12km, m. ciągu, m=const.</c:v>
          </c:tx>
          <c:spPr>
            <a:ln w="19050" cap="rnd">
              <a:solidFill>
                <a:schemeClr val="tx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'h=12km'!$G$56:$G$70</c:f>
              <c:numCache>
                <c:formatCode>0.0</c:formatCode>
                <c:ptCount val="15"/>
                <c:pt idx="0">
                  <c:v>97.941202374935742</c:v>
                </c:pt>
                <c:pt idx="1">
                  <c:v>100</c:v>
                </c:pt>
                <c:pt idx="2">
                  <c:v>104</c:v>
                </c:pt>
                <c:pt idx="3">
                  <c:v>108</c:v>
                </c:pt>
                <c:pt idx="4">
                  <c:v>112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'h=12km'!$K$56:$K$70</c:f>
              <c:numCache>
                <c:formatCode>0.00</c:formatCode>
                <c:ptCount val="15"/>
                <c:pt idx="0">
                  <c:v>-1.7151073126582512</c:v>
                </c:pt>
                <c:pt idx="1">
                  <c:v>-1.5529740522888968</c:v>
                </c:pt>
                <c:pt idx="2">
                  <c:v>-1.2715526216293604</c:v>
                </c:pt>
                <c:pt idx="3">
                  <c:v>-1.0295720311875645</c:v>
                </c:pt>
                <c:pt idx="4">
                  <c:v>-0.82206173861406739</c:v>
                </c:pt>
                <c:pt idx="5">
                  <c:v>-0.60490498812133242</c:v>
                </c:pt>
                <c:pt idx="6">
                  <c:v>-0.2184577947939976</c:v>
                </c:pt>
                <c:pt idx="7">
                  <c:v>-2.3469185940946474E-2</c:v>
                </c:pt>
                <c:pt idx="8">
                  <c:v>-4.2334559065572482E-3</c:v>
                </c:pt>
                <c:pt idx="9">
                  <c:v>-0.12000114371067287</c:v>
                </c:pt>
                <c:pt idx="10">
                  <c:v>-0.38195090512680957</c:v>
                </c:pt>
                <c:pt idx="11">
                  <c:v>-0.83328827053330257</c:v>
                </c:pt>
                <c:pt idx="12">
                  <c:v>-1.3984354394674512</c:v>
                </c:pt>
                <c:pt idx="13">
                  <c:v>-2.2549055998726093</c:v>
                </c:pt>
                <c:pt idx="14">
                  <c:v>-3.4000204251980142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96E0-43E4-B987-4BD620F51FD9}"/>
            </c:ext>
          </c:extLst>
        </c:ser>
        <c:ser>
          <c:idx val="20"/>
          <c:order val="20"/>
          <c:tx>
            <c:v>h=12km, m. ciągu, zmienna masa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masa'!$J$112:$J$126</c:f>
              <c:numCache>
                <c:formatCode>0.0</c:formatCode>
                <c:ptCount val="15"/>
                <c:pt idx="0">
                  <c:v>95.682662323055354</c:v>
                </c:pt>
                <c:pt idx="1">
                  <c:v>103.1339007285514</c:v>
                </c:pt>
                <c:pt idx="2">
                  <c:v>110.58513913404745</c:v>
                </c:pt>
                <c:pt idx="3">
                  <c:v>118.03637753954349</c:v>
                </c:pt>
                <c:pt idx="4">
                  <c:v>125.48761594503954</c:v>
                </c:pt>
                <c:pt idx="5">
                  <c:v>132.93885435053559</c:v>
                </c:pt>
                <c:pt idx="6">
                  <c:v>140.39009275603163</c:v>
                </c:pt>
                <c:pt idx="7">
                  <c:v>147.84133116152768</c:v>
                </c:pt>
                <c:pt idx="8">
                  <c:v>155.29256956702372</c:v>
                </c:pt>
                <c:pt idx="9">
                  <c:v>162.74380797251979</c:v>
                </c:pt>
                <c:pt idx="10">
                  <c:v>170.19504637801583</c:v>
                </c:pt>
                <c:pt idx="11">
                  <c:v>177.64628478351187</c:v>
                </c:pt>
                <c:pt idx="12">
                  <c:v>185.09752318900792</c:v>
                </c:pt>
                <c:pt idx="13">
                  <c:v>192.54876159450396</c:v>
                </c:pt>
                <c:pt idx="14">
                  <c:v>200</c:v>
                </c:pt>
              </c:numCache>
            </c:numRef>
          </c:xVal>
          <c:yVal>
            <c:numRef>
              <c:f>'Metoda CIągu, zmienna masa'!$N$112:$N$126</c:f>
              <c:numCache>
                <c:formatCode>0.00</c:formatCode>
                <c:ptCount val="15"/>
                <c:pt idx="0">
                  <c:v>-1.491697454079969</c:v>
                </c:pt>
                <c:pt idx="1">
                  <c:v>-0.81907383329971362</c:v>
                </c:pt>
                <c:pt idx="2">
                  <c:v>-0.30229483362385207</c:v>
                </c:pt>
                <c:pt idx="3">
                  <c:v>9.2600580694849235E-2</c:v>
                </c:pt>
                <c:pt idx="4">
                  <c:v>0.38955112892729887</c:v>
                </c:pt>
                <c:pt idx="5">
                  <c:v>0.6054698626180175</c:v>
                </c:pt>
                <c:pt idx="6">
                  <c:v>0.75220987326624633</c:v>
                </c:pt>
                <c:pt idx="7">
                  <c:v>0.83784868185189465</c:v>
                </c:pt>
                <c:pt idx="8">
                  <c:v>0.86752460905814566</c:v>
                </c:pt>
                <c:pt idx="9">
                  <c:v>0.84396237027627097</c:v>
                </c:pt>
                <c:pt idx="10">
                  <c:v>0.76776901924939744</c:v>
                </c:pt>
                <c:pt idx="11">
                  <c:v>0.63754318121717535</c:v>
                </c:pt>
                <c:pt idx="12">
                  <c:v>0.44981450536543255</c:v>
                </c:pt>
                <c:pt idx="13">
                  <c:v>0.19879771375495933</c:v>
                </c:pt>
                <c:pt idx="14">
                  <c:v>-0.12407852162061309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96E0-43E4-B987-4BD620F51FD9}"/>
            </c:ext>
          </c:extLst>
        </c:ser>
        <c:ser>
          <c:idx val="21"/>
          <c:order val="21"/>
          <c:tx>
            <c:v>h=14km, m. mocy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'h=14km'!$J$38:$J$48</c:f>
              <c:numCache>
                <c:formatCode>0.0</c:formatCode>
                <c:ptCount val="11"/>
                <c:pt idx="0">
                  <c:v>112.2117887386319</c:v>
                </c:pt>
                <c:pt idx="1">
                  <c:v>114.22122215346113</c:v>
                </c:pt>
                <c:pt idx="2">
                  <c:v>116.56580181974654</c:v>
                </c:pt>
                <c:pt idx="3">
                  <c:v>121.77451980356302</c:v>
                </c:pt>
                <c:pt idx="4">
                  <c:v>127.10703493872933</c:v>
                </c:pt>
                <c:pt idx="5">
                  <c:v>133.20761983572567</c:v>
                </c:pt>
                <c:pt idx="6">
                  <c:v>148.61422788390243</c:v>
                </c:pt>
                <c:pt idx="7">
                  <c:v>170.15943795345453</c:v>
                </c:pt>
                <c:pt idx="8">
                  <c:v>189.81734801014773</c:v>
                </c:pt>
                <c:pt idx="9">
                  <c:v>213.53092663540335</c:v>
                </c:pt>
                <c:pt idx="10">
                  <c:v>268.16932198419846</c:v>
                </c:pt>
              </c:numCache>
            </c:numRef>
          </c:xVal>
          <c:yVal>
            <c:numRef>
              <c:f>'h=14km'!$P$38:$P$48</c:f>
              <c:numCache>
                <c:formatCode>0.00</c:formatCode>
                <c:ptCount val="11"/>
                <c:pt idx="0">
                  <c:v>-2.9562569124230516</c:v>
                </c:pt>
                <c:pt idx="1">
                  <c:v>-2.8257299164905838</c:v>
                </c:pt>
                <c:pt idx="2">
                  <c:v>-2.6563321587628925</c:v>
                </c:pt>
                <c:pt idx="3">
                  <c:v>-2.3559034649954262</c:v>
                </c:pt>
                <c:pt idx="4">
                  <c:v>-2.090653703984291</c:v>
                </c:pt>
                <c:pt idx="5">
                  <c:v>-1.8754333892454613</c:v>
                </c:pt>
                <c:pt idx="6">
                  <c:v>-1.5220678665821141</c:v>
                </c:pt>
                <c:pt idx="7">
                  <c:v>-1.3875639316141752</c:v>
                </c:pt>
                <c:pt idx="8">
                  <c:v>-1.5329638610956169</c:v>
                </c:pt>
                <c:pt idx="9">
                  <c:v>-2.0970894609393866</c:v>
                </c:pt>
                <c:pt idx="10">
                  <c:v>-10.385031737066274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96E0-43E4-B987-4BD620F51FD9}"/>
            </c:ext>
          </c:extLst>
        </c:ser>
        <c:ser>
          <c:idx val="22"/>
          <c:order val="22"/>
          <c:tx>
            <c:v>h=14km, m. ciągu, m=const.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'h=14km'!$G$54:$G$68</c:f>
              <c:numCache>
                <c:formatCode>0.0</c:formatCode>
                <c:ptCount val="15"/>
                <c:pt idx="0">
                  <c:v>112.21178873863191</c:v>
                </c:pt>
                <c:pt idx="1">
                  <c:v>116</c:v>
                </c:pt>
                <c:pt idx="2">
                  <c:v>120</c:v>
                </c:pt>
                <c:pt idx="3">
                  <c:v>124</c:v>
                </c:pt>
                <c:pt idx="4">
                  <c:v>128</c:v>
                </c:pt>
                <c:pt idx="5">
                  <c:v>132</c:v>
                </c:pt>
                <c:pt idx="6">
                  <c:v>136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'h=14km'!$K$54:$K$68</c:f>
              <c:numCache>
                <c:formatCode>0.00</c:formatCode>
                <c:ptCount val="15"/>
                <c:pt idx="0">
                  <c:v>-2.7571951175133877</c:v>
                </c:pt>
                <c:pt idx="1">
                  <c:v>-2.5024722910206174</c:v>
                </c:pt>
                <c:pt idx="2">
                  <c:v>-2.2661315373819551</c:v>
                </c:pt>
                <c:pt idx="3">
                  <c:v>-2.0596331422469336</c:v>
                </c:pt>
                <c:pt idx="4">
                  <c:v>-1.8798159105710368</c:v>
                </c:pt>
                <c:pt idx="5">
                  <c:v>-1.7239999565535791</c:v>
                </c:pt>
                <c:pt idx="6">
                  <c:v>-1.5899140319846488</c:v>
                </c:pt>
                <c:pt idx="7">
                  <c:v>-1.3795450536212599</c:v>
                </c:pt>
                <c:pt idx="8">
                  <c:v>-1.1687334398290519</c:v>
                </c:pt>
                <c:pt idx="9">
                  <c:v>-1.1250462332032218</c:v>
                </c:pt>
                <c:pt idx="10">
                  <c:v>-1.2273078430879705</c:v>
                </c:pt>
                <c:pt idx="11">
                  <c:v>-1.5159809933570341</c:v>
                </c:pt>
                <c:pt idx="12">
                  <c:v>-1.9464820953545063</c:v>
                </c:pt>
                <c:pt idx="13">
                  <c:v>-2.6722711767551499</c:v>
                </c:pt>
                <c:pt idx="14">
                  <c:v>-3.738705076766216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96E0-43E4-B987-4BD620F51FD9}"/>
            </c:ext>
          </c:extLst>
        </c:ser>
        <c:ser>
          <c:idx val="23"/>
          <c:order val="23"/>
          <c:tx>
            <c:v>h=14km, m. ciągu, zmienna masa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masa'!$J$130:$J$144</c:f>
              <c:numCache>
                <c:formatCode>0.0</c:formatCode>
                <c:ptCount val="15"/>
                <c:pt idx="0">
                  <c:v>108.5936341211916</c:v>
                </c:pt>
                <c:pt idx="1">
                  <c:v>114.40837454110648</c:v>
                </c:pt>
                <c:pt idx="2">
                  <c:v>120.22311496102137</c:v>
                </c:pt>
                <c:pt idx="3">
                  <c:v>126.03785538093626</c:v>
                </c:pt>
                <c:pt idx="4">
                  <c:v>131.85259580085113</c:v>
                </c:pt>
                <c:pt idx="5">
                  <c:v>137.66733622076603</c:v>
                </c:pt>
                <c:pt idx="6">
                  <c:v>143.48207664068093</c:v>
                </c:pt>
                <c:pt idx="7">
                  <c:v>149.2968170605958</c:v>
                </c:pt>
                <c:pt idx="8">
                  <c:v>155.11155748051067</c:v>
                </c:pt>
                <c:pt idx="9">
                  <c:v>160.92629790042557</c:v>
                </c:pt>
                <c:pt idx="10">
                  <c:v>166.74103832034046</c:v>
                </c:pt>
                <c:pt idx="11">
                  <c:v>172.55577874025533</c:v>
                </c:pt>
                <c:pt idx="12">
                  <c:v>178.37051916017023</c:v>
                </c:pt>
                <c:pt idx="13">
                  <c:v>184.18525958008513</c:v>
                </c:pt>
                <c:pt idx="14">
                  <c:v>190</c:v>
                </c:pt>
              </c:numCache>
            </c:numRef>
          </c:xVal>
          <c:yVal>
            <c:numRef>
              <c:f>'Metoda CIągu, zmienna masa'!$N$130:$N$144</c:f>
              <c:numCache>
                <c:formatCode>0.00</c:formatCode>
                <c:ptCount val="15"/>
                <c:pt idx="0">
                  <c:v>-2.4944066395290609</c:v>
                </c:pt>
                <c:pt idx="1">
                  <c:v>-1.9903878119742717</c:v>
                </c:pt>
                <c:pt idx="2">
                  <c:v>-1.5703276359457032</c:v>
                </c:pt>
                <c:pt idx="3">
                  <c:v>-1.2209626855075844</c:v>
                </c:pt>
                <c:pt idx="4">
                  <c:v>-0.93200545117106481</c:v>
                </c:pt>
                <c:pt idx="5">
                  <c:v>-0.69548859128302054</c:v>
                </c:pt>
                <c:pt idx="6">
                  <c:v>-0.50529874336657299</c:v>
                </c:pt>
                <c:pt idx="7">
                  <c:v>-0.3568196780961283</c:v>
                </c:pt>
                <c:pt idx="8">
                  <c:v>-0.24668437482430278</c:v>
                </c:pt>
                <c:pt idx="9">
                  <c:v>-0.17259983034550583</c:v>
                </c:pt>
                <c:pt idx="10">
                  <c:v>-0.13323257391899199</c:v>
                </c:pt>
                <c:pt idx="11">
                  <c:v>-0.12814713372100536</c:v>
                </c:pt>
                <c:pt idx="12">
                  <c:v>-0.15779325123499754</c:v>
                </c:pt>
                <c:pt idx="13">
                  <c:v>-0.22354281495753445</c:v>
                </c:pt>
                <c:pt idx="14">
                  <c:v>-0.32778253512959044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96E0-43E4-B987-4BD620F51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439919"/>
        <c:axId val="2018443391"/>
      </c:scatterChart>
      <c:valAx>
        <c:axId val="1356439919"/>
        <c:scaling>
          <c:orientation val="minMax"/>
          <c:max val="22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443391"/>
        <c:crosses val="autoZero"/>
        <c:crossBetween val="midCat"/>
        <c:majorUnit val="20"/>
      </c:valAx>
      <c:valAx>
        <c:axId val="2018443391"/>
        <c:scaling>
          <c:orientation val="minMax"/>
          <c:max val="1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γ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643991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Iskra Vmax dla maksymalnej masy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742277264846843"/>
          <c:y val="0.11038690476190476"/>
          <c:w val="0.86230848619170131"/>
          <c:h val="0.85588887326584173"/>
        </c:manualLayout>
      </c:layout>
      <c:scatterChart>
        <c:scatterStyle val="smoothMarker"/>
        <c:varyColors val="0"/>
        <c:ser>
          <c:idx val="1"/>
          <c:order val="1"/>
          <c:tx>
            <c:v>h=0km, m. ciągu, m=const.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'h=0km'!$G$67:$G$81</c:f>
              <c:numCache>
                <c:formatCode>0.0</c:formatCode>
                <c:ptCount val="15"/>
                <c:pt idx="0">
                  <c:v>50.003599658606447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'h=0km'!$L$67:$L$81</c:f>
              <c:numCache>
                <c:formatCode>0.00</c:formatCode>
                <c:ptCount val="15"/>
                <c:pt idx="0">
                  <c:v>7.3702532202370961</c:v>
                </c:pt>
                <c:pt idx="1">
                  <c:v>10.517673094918594</c:v>
                </c:pt>
                <c:pt idx="2">
                  <c:v>13.213431508761673</c:v>
                </c:pt>
                <c:pt idx="3">
                  <c:v>15.140174430539227</c:v>
                </c:pt>
                <c:pt idx="4">
                  <c:v>16.594532934542872</c:v>
                </c:pt>
                <c:pt idx="5">
                  <c:v>17.331811830570416</c:v>
                </c:pt>
                <c:pt idx="6">
                  <c:v>17.418390369877066</c:v>
                </c:pt>
                <c:pt idx="7">
                  <c:v>16.691127182864182</c:v>
                </c:pt>
                <c:pt idx="8">
                  <c:v>14.98481110922846</c:v>
                </c:pt>
                <c:pt idx="9">
                  <c:v>12.376720991353015</c:v>
                </c:pt>
                <c:pt idx="10">
                  <c:v>8.2609845624498632</c:v>
                </c:pt>
                <c:pt idx="11">
                  <c:v>2.0288133006934532</c:v>
                </c:pt>
                <c:pt idx="12">
                  <c:v>-5.2548560285710719</c:v>
                </c:pt>
                <c:pt idx="13">
                  <c:v>-15.569202627979092</c:v>
                </c:pt>
                <c:pt idx="14">
                  <c:v>-28.093168474097734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F1-4FB6-8863-4E7E33A54AC7}"/>
            </c:ext>
          </c:extLst>
        </c:ser>
        <c:ser>
          <c:idx val="4"/>
          <c:order val="4"/>
          <c:tx>
            <c:v>h=2km, m. ciągu, m=const.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'h=2km'!$G$69:$G$83</c:f>
              <c:numCache>
                <c:formatCode>0.0</c:formatCode>
                <c:ptCount val="15"/>
                <c:pt idx="0">
                  <c:v>55.169125141496167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'h=2km'!$L$69:$L$83</c:f>
              <c:numCache>
                <c:formatCode>0.00</c:formatCode>
                <c:ptCount val="15"/>
                <c:pt idx="0">
                  <c:v>5.9039031285428445</c:v>
                </c:pt>
                <c:pt idx="1">
                  <c:v>7.6136479266441786</c:v>
                </c:pt>
                <c:pt idx="2">
                  <c:v>10.13200503336143</c:v>
                </c:pt>
                <c:pt idx="3">
                  <c:v>11.931083911249189</c:v>
                </c:pt>
                <c:pt idx="4">
                  <c:v>13.315020562624683</c:v>
                </c:pt>
                <c:pt idx="5">
                  <c:v>14.069202687727604</c:v>
                </c:pt>
                <c:pt idx="6">
                  <c:v>14.269681521769151</c:v>
                </c:pt>
                <c:pt idx="7">
                  <c:v>13.793470522752523</c:v>
                </c:pt>
                <c:pt idx="8">
                  <c:v>12.493861647888915</c:v>
                </c:pt>
                <c:pt idx="9">
                  <c:v>10.425010517896679</c:v>
                </c:pt>
                <c:pt idx="10">
                  <c:v>7.0909653754233606</c:v>
                </c:pt>
                <c:pt idx="11">
                  <c:v>1.9638265468410658</c:v>
                </c:pt>
                <c:pt idx="12">
                  <c:v>-4.1041334546748507</c:v>
                </c:pt>
                <c:pt idx="13">
                  <c:v>-12.802842451743265</c:v>
                </c:pt>
                <c:pt idx="14">
                  <c:v>-23.509578329784773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3F1-4FB6-8863-4E7E33A54AC7}"/>
            </c:ext>
          </c:extLst>
        </c:ser>
        <c:ser>
          <c:idx val="7"/>
          <c:order val="7"/>
          <c:tx>
            <c:v>h=4km, m. ciągu, m=const.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'h=4km'!$G$67:$G$81</c:f>
              <c:numCache>
                <c:formatCode>0.0</c:formatCode>
                <c:ptCount val="15"/>
                <c:pt idx="0">
                  <c:v>61.158842972703262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'h=4km'!$L$67:$L$81</c:f>
              <c:numCache>
                <c:formatCode>0.00</c:formatCode>
                <c:ptCount val="15"/>
                <c:pt idx="0">
                  <c:v>4.3798934852198768</c:v>
                </c:pt>
                <c:pt idx="1">
                  <c:v>4.7462023744757067</c:v>
                </c:pt>
                <c:pt idx="2">
                  <c:v>7.1523413586659279</c:v>
                </c:pt>
                <c:pt idx="3">
                  <c:v>8.8658645499695137</c:v>
                </c:pt>
                <c:pt idx="4">
                  <c:v>10.205610124094328</c:v>
                </c:pt>
                <c:pt idx="5">
                  <c:v>10.983197750937327</c:v>
                </c:pt>
                <c:pt idx="6">
                  <c:v>11.286122166320297</c:v>
                </c:pt>
                <c:pt idx="7">
                  <c:v>11.027115841926321</c:v>
                </c:pt>
                <c:pt idx="8">
                  <c:v>10.076044906731735</c:v>
                </c:pt>
                <c:pt idx="9">
                  <c:v>8.4684366892646636</c:v>
                </c:pt>
                <c:pt idx="10">
                  <c:v>5.8034498312551079</c:v>
                </c:pt>
                <c:pt idx="11">
                  <c:v>1.6237401815238306</c:v>
                </c:pt>
                <c:pt idx="12">
                  <c:v>-3.4001043037585785</c:v>
                </c:pt>
                <c:pt idx="13">
                  <c:v>-10.710130320982941</c:v>
                </c:pt>
                <c:pt idx="14">
                  <c:v>-19.85783102567197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3F1-4FB6-8863-4E7E33A54AC7}"/>
            </c:ext>
          </c:extLst>
        </c:ser>
        <c:ser>
          <c:idx val="10"/>
          <c:order val="10"/>
          <c:tx>
            <c:v>h=6km, m. ciągu, m=const.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'h=6km'!$G$64:$G$78</c:f>
              <c:numCache>
                <c:formatCode>0.0</c:formatCode>
                <c:ptCount val="15"/>
                <c:pt idx="0">
                  <c:v>68.155578411156441</c:v>
                </c:pt>
                <c:pt idx="1">
                  <c:v>73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'h=6km'!$L$64:$L$78</c:f>
              <c:numCache>
                <c:formatCode>0.00</c:formatCode>
                <c:ptCount val="15"/>
                <c:pt idx="0">
                  <c:v>2.7749206991341295</c:v>
                </c:pt>
                <c:pt idx="1">
                  <c:v>3.5818924730215307</c:v>
                </c:pt>
                <c:pt idx="2">
                  <c:v>4.192729808484887</c:v>
                </c:pt>
                <c:pt idx="3">
                  <c:v>5.8687336952664664</c:v>
                </c:pt>
                <c:pt idx="4">
                  <c:v>7.196615144708943</c:v>
                </c:pt>
                <c:pt idx="5">
                  <c:v>8.0099122784606482</c:v>
                </c:pt>
                <c:pt idx="6">
                  <c:v>8.4101828434275507</c:v>
                </c:pt>
                <c:pt idx="7">
                  <c:v>8.3424007343338022</c:v>
                </c:pt>
                <c:pt idx="8">
                  <c:v>7.6909912604986044</c:v>
                </c:pt>
                <c:pt idx="9">
                  <c:v>6.4768152244164572</c:v>
                </c:pt>
                <c:pt idx="10">
                  <c:v>4.3811297362066313</c:v>
                </c:pt>
                <c:pt idx="11">
                  <c:v>1.0074108806587612</c:v>
                </c:pt>
                <c:pt idx="12">
                  <c:v>-3.1279409519658556</c:v>
                </c:pt>
                <c:pt idx="13">
                  <c:v>-9.2575647756041839</c:v>
                </c:pt>
                <c:pt idx="14">
                  <c:v>-17.087568487737862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3F1-4FB6-8863-4E7E33A54AC7}"/>
            </c:ext>
          </c:extLst>
        </c:ser>
        <c:ser>
          <c:idx val="13"/>
          <c:order val="13"/>
          <c:tx>
            <c:v>h=8km, m. ciągu, m=const.</c:v>
          </c:tx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'h=8km'!$G$62:$G$76</c:f>
              <c:numCache>
                <c:formatCode>0.0</c:formatCode>
                <c:ptCount val="15"/>
                <c:pt idx="0">
                  <c:v>76.395380932749987</c:v>
                </c:pt>
                <c:pt idx="1">
                  <c:v>80</c:v>
                </c:pt>
                <c:pt idx="2">
                  <c:v>85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'h=8km'!$L$62:$L$76</c:f>
              <c:numCache>
                <c:formatCode>0.00</c:formatCode>
                <c:ptCount val="15"/>
                <c:pt idx="0">
                  <c:v>1.05686374899878</c:v>
                </c:pt>
                <c:pt idx="1">
                  <c:v>1.5792603587765275</c:v>
                </c:pt>
                <c:pt idx="2">
                  <c:v>2.243133394857769</c:v>
                </c:pt>
                <c:pt idx="3">
                  <c:v>2.8412532992884705</c:v>
                </c:pt>
                <c:pt idx="4">
                  <c:v>4.1974045057129086</c:v>
                </c:pt>
                <c:pt idx="5">
                  <c:v>5.0657402126137727</c:v>
                </c:pt>
                <c:pt idx="6">
                  <c:v>5.5654274467298217</c:v>
                </c:pt>
                <c:pt idx="7">
                  <c:v>5.6711894745907792</c:v>
                </c:pt>
                <c:pt idx="8">
                  <c:v>5.2798321919236253</c:v>
                </c:pt>
                <c:pt idx="9">
                  <c:v>4.4010133709175232</c:v>
                </c:pt>
                <c:pt idx="10">
                  <c:v>2.7867531211299577</c:v>
                </c:pt>
                <c:pt idx="11">
                  <c:v>9.1974747857223718E-2</c:v>
                </c:pt>
                <c:pt idx="12">
                  <c:v>-3.2969585656035849</c:v>
                </c:pt>
                <c:pt idx="13">
                  <c:v>-8.4399093002147652</c:v>
                </c:pt>
                <c:pt idx="14">
                  <c:v>-15.183633123569198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3F1-4FB6-8863-4E7E33A54AC7}"/>
            </c:ext>
          </c:extLst>
        </c:ser>
        <c:ser>
          <c:idx val="16"/>
          <c:order val="16"/>
          <c:tx>
            <c:v>h=10km, m. ciągu, m=const.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'h=10km'!$G$59:$G$73</c:f>
              <c:numCache>
                <c:formatCode>0.0</c:formatCode>
                <c:ptCount val="15"/>
                <c:pt idx="0">
                  <c:v>86.187148316269386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'h=10km'!$L$59:$L$73</c:f>
              <c:numCache>
                <c:formatCode>0.00</c:formatCode>
                <c:ptCount val="15"/>
                <c:pt idx="0">
                  <c:v>-0.82099965722145163</c:v>
                </c:pt>
                <c:pt idx="1">
                  <c:v>-0.3484563273116883</c:v>
                </c:pt>
                <c:pt idx="2">
                  <c:v>0.21598929992637647</c:v>
                </c:pt>
                <c:pt idx="3">
                  <c:v>0.72156721871255269</c:v>
                </c:pt>
                <c:pt idx="4">
                  <c:v>1.0858428347313782</c:v>
                </c:pt>
                <c:pt idx="5">
                  <c:v>2.0371747726181964</c:v>
                </c:pt>
                <c:pt idx="6">
                  <c:v>2.6466990355045605</c:v>
                </c:pt>
                <c:pt idx="7">
                  <c:v>2.9173194342682343</c:v>
                </c:pt>
                <c:pt idx="8">
                  <c:v>2.7557446653799604</c:v>
                </c:pt>
                <c:pt idx="9">
                  <c:v>2.1633920324970757</c:v>
                </c:pt>
                <c:pt idx="10">
                  <c:v>0.95321744500009375</c:v>
                </c:pt>
                <c:pt idx="11">
                  <c:v>-1.1779023968573441</c:v>
                </c:pt>
                <c:pt idx="12">
                  <c:v>-3.9526548069557013</c:v>
                </c:pt>
                <c:pt idx="13">
                  <c:v>-8.2949973718077548</c:v>
                </c:pt>
                <c:pt idx="14">
                  <c:v>-14.186542951957005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3F1-4FB6-8863-4E7E33A54AC7}"/>
            </c:ext>
          </c:extLst>
        </c:ser>
        <c:ser>
          <c:idx val="19"/>
          <c:order val="19"/>
          <c:tx>
            <c:v>h=12km, m. ciągu, m=const.</c:v>
          </c:tx>
          <c:spPr>
            <a:ln w="19050" cap="rnd">
              <a:solidFill>
                <a:schemeClr val="tx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'h=12km'!$G$56:$G$70</c:f>
              <c:numCache>
                <c:formatCode>0.0</c:formatCode>
                <c:ptCount val="15"/>
                <c:pt idx="0">
                  <c:v>97.941202374935742</c:v>
                </c:pt>
                <c:pt idx="1">
                  <c:v>100</c:v>
                </c:pt>
                <c:pt idx="2">
                  <c:v>104</c:v>
                </c:pt>
                <c:pt idx="3">
                  <c:v>108</c:v>
                </c:pt>
                <c:pt idx="4">
                  <c:v>112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'h=12km'!$L$56:$L$70</c:f>
              <c:numCache>
                <c:formatCode>0.00</c:formatCode>
                <c:ptCount val="15"/>
                <c:pt idx="0">
                  <c:v>-2.9313605347007874</c:v>
                </c:pt>
                <c:pt idx="1">
                  <c:v>-2.7101191790696499</c:v>
                </c:pt>
                <c:pt idx="2">
                  <c:v>-2.307859650227841</c:v>
                </c:pt>
                <c:pt idx="3">
                  <c:v>-1.9405931174857485</c:v>
                </c:pt>
                <c:pt idx="4">
                  <c:v>-1.6068854747671559</c:v>
                </c:pt>
                <c:pt idx="5">
                  <c:v>-1.2352143464277521</c:v>
                </c:pt>
                <c:pt idx="6">
                  <c:v>-0.49566381249975933</c:v>
                </c:pt>
                <c:pt idx="7">
                  <c:v>-5.8984496060804838E-2</c:v>
                </c:pt>
                <c:pt idx="8">
                  <c:v>-1.1674263589950801E-2</c:v>
                </c:pt>
                <c:pt idx="9">
                  <c:v>-0.35814471409042181</c:v>
                </c:pt>
                <c:pt idx="10">
                  <c:v>-1.2332565276770866</c:v>
                </c:pt>
                <c:pt idx="11">
                  <c:v>-2.9086222481066866</c:v>
                </c:pt>
                <c:pt idx="12">
                  <c:v>-5.1982393467585108</c:v>
                </c:pt>
                <c:pt idx="13">
                  <c:v>-8.9313986439571504</c:v>
                </c:pt>
                <c:pt idx="14">
                  <c:v>-14.233615064504445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3F1-4FB6-8863-4E7E33A54AC7}"/>
            </c:ext>
          </c:extLst>
        </c:ser>
        <c:ser>
          <c:idx val="22"/>
          <c:order val="22"/>
          <c:tx>
            <c:v>h=14km, m. ciągu, m=const.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'h=14km'!$G$54:$G$68</c:f>
              <c:numCache>
                <c:formatCode>0.0</c:formatCode>
                <c:ptCount val="15"/>
                <c:pt idx="0">
                  <c:v>112.21178873863191</c:v>
                </c:pt>
                <c:pt idx="1">
                  <c:v>116</c:v>
                </c:pt>
                <c:pt idx="2">
                  <c:v>120</c:v>
                </c:pt>
                <c:pt idx="3">
                  <c:v>124</c:v>
                </c:pt>
                <c:pt idx="4">
                  <c:v>128</c:v>
                </c:pt>
                <c:pt idx="5">
                  <c:v>132</c:v>
                </c:pt>
                <c:pt idx="6">
                  <c:v>136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'h=14km'!$L$54:$L$68</c:f>
              <c:numCache>
                <c:formatCode>0.00</c:formatCode>
                <c:ptCount val="15"/>
                <c:pt idx="0">
                  <c:v>-5.3977867384586515</c:v>
                </c:pt>
                <c:pt idx="1">
                  <c:v>-5.0648495214091867</c:v>
                </c:pt>
                <c:pt idx="2">
                  <c:v>-4.7449374691653254</c:v>
                </c:pt>
                <c:pt idx="3">
                  <c:v>-4.4565151447027551</c:v>
                </c:pt>
                <c:pt idx="4">
                  <c:v>-4.1987956734398759</c:v>
                </c:pt>
                <c:pt idx="5">
                  <c:v>-3.9712114685006745</c:v>
                </c:pt>
                <c:pt idx="6">
                  <c:v>-3.7734116061320431</c:v>
                </c:pt>
                <c:pt idx="7">
                  <c:v>-3.4668398895281629</c:v>
                </c:pt>
                <c:pt idx="8">
                  <c:v>-3.2226994644404638</c:v>
                </c:pt>
                <c:pt idx="9">
                  <c:v>-3.3574993677657088</c:v>
                </c:pt>
                <c:pt idx="10">
                  <c:v>-3.9625010753005423</c:v>
                </c:pt>
                <c:pt idx="11">
                  <c:v>-5.2911545317181581</c:v>
                </c:pt>
                <c:pt idx="12">
                  <c:v>-7.2347552257344621</c:v>
                </c:pt>
                <c:pt idx="13">
                  <c:v>-10.583426267291541</c:v>
                </c:pt>
                <c:pt idx="14">
                  <c:v>-15.649539945494107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F3F1-4FB6-8863-4E7E33A54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439919"/>
        <c:axId val="201844339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h=0km, m. mocy</c:v>
                </c:tx>
                <c:spPr>
                  <a:ln w="19050" cap="rnd">
                    <a:solidFill>
                      <a:schemeClr val="accent1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'h=0km'!$J$45:$J$63</c15:sqref>
                        </c15:formulaRef>
                      </c:ext>
                    </c:extLst>
                    <c:numCache>
                      <c:formatCode>0.0</c:formatCode>
                      <c:ptCount val="19"/>
                      <c:pt idx="0">
                        <c:v>50.003599658606447</c:v>
                      </c:pt>
                      <c:pt idx="1">
                        <c:v>50.899039479548854</c:v>
                      </c:pt>
                      <c:pt idx="2">
                        <c:v>51.943826523036044</c:v>
                      </c:pt>
                      <c:pt idx="3">
                        <c:v>54.264925328474433</c:v>
                      </c:pt>
                      <c:pt idx="4">
                        <c:v>56.641190380387968</c:v>
                      </c:pt>
                      <c:pt idx="5">
                        <c:v>59.359721189867201</c:v>
                      </c:pt>
                      <c:pt idx="6">
                        <c:v>66.225183986583758</c:v>
                      </c:pt>
                      <c:pt idx="7">
                        <c:v>75.826118710009638</c:v>
                      </c:pt>
                      <c:pt idx="8">
                        <c:v>84.586038462196655</c:v>
                      </c:pt>
                      <c:pt idx="9">
                        <c:v>95.153237375780506</c:v>
                      </c:pt>
                      <c:pt idx="10">
                        <c:v>119.50109313783031</c:v>
                      </c:pt>
                      <c:pt idx="11">
                        <c:v>132.53312360009389</c:v>
                      </c:pt>
                      <c:pt idx="12">
                        <c:v>152.52848545684387</c:v>
                      </c:pt>
                      <c:pt idx="13">
                        <c:v>171.09952684133759</c:v>
                      </c:pt>
                      <c:pt idx="14">
                        <c:v>193.31942947117105</c:v>
                      </c:pt>
                      <c:pt idx="15">
                        <c:v>210.87538374923409</c:v>
                      </c:pt>
                      <c:pt idx="16">
                        <c:v>234.2876760736531</c:v>
                      </c:pt>
                      <c:pt idx="17">
                        <c:v>257.45509849363816</c:v>
                      </c:pt>
                      <c:pt idx="18">
                        <c:v>279.40435732860772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'h=0km'!$O$45:$O$63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6.9968608557453011</c:v>
                      </c:pt>
                      <c:pt idx="1">
                        <c:v>7.2316593832395144</c:v>
                      </c:pt>
                      <c:pt idx="2">
                        <c:v>7.5242364046239905</c:v>
                      </c:pt>
                      <c:pt idx="3">
                        <c:v>8.1267702533261463</c:v>
                      </c:pt>
                      <c:pt idx="4">
                        <c:v>8.7264365252381317</c:v>
                      </c:pt>
                      <c:pt idx="5">
                        <c:v>9.352528825580869</c:v>
                      </c:pt>
                      <c:pt idx="6">
                        <c:v>10.818073481700779</c:v>
                      </c:pt>
                      <c:pt idx="7">
                        <c:v>12.608615629251254</c:v>
                      </c:pt>
                      <c:pt idx="8">
                        <c:v>14.043690183760917</c:v>
                      </c:pt>
                      <c:pt idx="9">
                        <c:v>15.532981909014856</c:v>
                      </c:pt>
                      <c:pt idx="10">
                        <c:v>17.509148060459705</c:v>
                      </c:pt>
                      <c:pt idx="11">
                        <c:v>17.555433111709835</c:v>
                      </c:pt>
                      <c:pt idx="12">
                        <c:v>16.28100487642708</c:v>
                      </c:pt>
                      <c:pt idx="13">
                        <c:v>12.573133673549451</c:v>
                      </c:pt>
                      <c:pt idx="14">
                        <c:v>5.5401866561315911</c:v>
                      </c:pt>
                      <c:pt idx="15">
                        <c:v>-3.4904491711442853</c:v>
                      </c:pt>
                      <c:pt idx="16">
                        <c:v>-21.223070777615526</c:v>
                      </c:pt>
                      <c:pt idx="17">
                        <c:v>-49.539580034700847</c:v>
                      </c:pt>
                      <c:pt idx="18">
                        <c:v>-96.482576875526277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F3F1-4FB6-8863-4E7E33A54AC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h=0km, m. ciągu, zmienna masa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masa'!$J$4:$J$18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50.003599658606447</c:v>
                      </c:pt>
                      <c:pt idx="1">
                        <c:v>61.431913968705985</c:v>
                      </c:pt>
                      <c:pt idx="2">
                        <c:v>72.860228278805522</c:v>
                      </c:pt>
                      <c:pt idx="3">
                        <c:v>84.288542588905074</c:v>
                      </c:pt>
                      <c:pt idx="4">
                        <c:v>95.716856899004597</c:v>
                      </c:pt>
                      <c:pt idx="5">
                        <c:v>107.14517120910415</c:v>
                      </c:pt>
                      <c:pt idx="6">
                        <c:v>118.57348551920369</c:v>
                      </c:pt>
                      <c:pt idx="7">
                        <c:v>130.00179982930322</c:v>
                      </c:pt>
                      <c:pt idx="8">
                        <c:v>141.43011413940275</c:v>
                      </c:pt>
                      <c:pt idx="9">
                        <c:v>152.8584284495023</c:v>
                      </c:pt>
                      <c:pt idx="10">
                        <c:v>164.28674275960185</c:v>
                      </c:pt>
                      <c:pt idx="11">
                        <c:v>175.71505706970137</c:v>
                      </c:pt>
                      <c:pt idx="12">
                        <c:v>187.14337137980093</c:v>
                      </c:pt>
                      <c:pt idx="13">
                        <c:v>198.57168568990045</c:v>
                      </c:pt>
                      <c:pt idx="14">
                        <c:v>210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masa'!$O$4:$O$18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7.3702507124738617</c:v>
                      </c:pt>
                      <c:pt idx="1">
                        <c:v>10.499003087444358</c:v>
                      </c:pt>
                      <c:pt idx="2">
                        <c:v>13.194893691702633</c:v>
                      </c:pt>
                      <c:pt idx="3">
                        <c:v>15.509669749794682</c:v>
                      </c:pt>
                      <c:pt idx="4">
                        <c:v>17.442798449229731</c:v>
                      </c:pt>
                      <c:pt idx="5">
                        <c:v>18.962241232755577</c:v>
                      </c:pt>
                      <c:pt idx="6">
                        <c:v>20.012537627862194</c:v>
                      </c:pt>
                      <c:pt idx="7">
                        <c:v>20.516978423923938</c:v>
                      </c:pt>
                      <c:pt idx="8">
                        <c:v>20.376517452844443</c:v>
                      </c:pt>
                      <c:pt idx="9">
                        <c:v>19.466324923680027</c:v>
                      </c:pt>
                      <c:pt idx="10">
                        <c:v>17.630089950686052</c:v>
                      </c:pt>
                      <c:pt idx="11">
                        <c:v>14.671653990281284</c:v>
                      </c:pt>
                      <c:pt idx="12">
                        <c:v>10.343059484359541</c:v>
                      </c:pt>
                      <c:pt idx="13">
                        <c:v>4.3274266460251809</c:v>
                      </c:pt>
                      <c:pt idx="14">
                        <c:v>-3.785996060298269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3F1-4FB6-8863-4E7E33A54AC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h=2km, m. mocy</c:v>
                </c:tx>
                <c:spPr>
                  <a:ln w="19050" cap="rnd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'h=2km'!$J$47:$J$65</c15:sqref>
                        </c15:formulaRef>
                      </c:ext>
                    </c:extLst>
                    <c:numCache>
                      <c:formatCode>0.0</c:formatCode>
                      <c:ptCount val="19"/>
                      <c:pt idx="0">
                        <c:v>55.16912514149616</c:v>
                      </c:pt>
                      <c:pt idx="1">
                        <c:v>56.157066647218301</c:v>
                      </c:pt>
                      <c:pt idx="2">
                        <c:v>57.309783402449696</c:v>
                      </c:pt>
                      <c:pt idx="3">
                        <c:v>59.870658846163224</c:v>
                      </c:pt>
                      <c:pt idx="4">
                        <c:v>62.492399379113387</c:v>
                      </c:pt>
                      <c:pt idx="5">
                        <c:v>65.49176277401169</c:v>
                      </c:pt>
                      <c:pt idx="6">
                        <c:v>73.066448972051234</c:v>
                      </c:pt>
                      <c:pt idx="7">
                        <c:v>83.659189751681339</c:v>
                      </c:pt>
                      <c:pt idx="8">
                        <c:v>93.324036129489869</c:v>
                      </c:pt>
                      <c:pt idx="9">
                        <c:v>104.98285915900846</c:v>
                      </c:pt>
                      <c:pt idx="10">
                        <c:v>131.84592323108529</c:v>
                      </c:pt>
                      <c:pt idx="11">
                        <c:v>146.22420248156047</c:v>
                      </c:pt>
                      <c:pt idx="12">
                        <c:v>168.28514665470004</c:v>
                      </c:pt>
                      <c:pt idx="13">
                        <c:v>188.774633674515</c:v>
                      </c:pt>
                      <c:pt idx="14">
                        <c:v>213.28992051759229</c:v>
                      </c:pt>
                      <c:pt idx="15">
                        <c:v>232.65945881398463</c:v>
                      </c:pt>
                      <c:pt idx="16">
                        <c:v>258.49031287076554</c:v>
                      </c:pt>
                      <c:pt idx="17">
                        <c:v>284.0510012096114</c:v>
                      </c:pt>
                      <c:pt idx="18">
                        <c:v>308.26768592225096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'h=2km'!$O$47:$O$65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5.5684499196741282</c:v>
                      </c:pt>
                      <c:pt idx="1">
                        <c:v>5.790456600625979</c:v>
                      </c:pt>
                      <c:pt idx="2">
                        <c:v>6.0701854375339641</c:v>
                      </c:pt>
                      <c:pt idx="3">
                        <c:v>6.6394447475310931</c:v>
                      </c:pt>
                      <c:pt idx="4">
                        <c:v>7.2036893529678316</c:v>
                      </c:pt>
                      <c:pt idx="5">
                        <c:v>7.7833957855154638</c:v>
                      </c:pt>
                      <c:pt idx="6">
                        <c:v>9.1219834177264136</c:v>
                      </c:pt>
                      <c:pt idx="7">
                        <c:v>10.712866515183606</c:v>
                      </c:pt>
                      <c:pt idx="8">
                        <c:v>11.949495580398514</c:v>
                      </c:pt>
                      <c:pt idx="9">
                        <c:v>13.178181535970895</c:v>
                      </c:pt>
                      <c:pt idx="10">
                        <c:v>14.391515086394433</c:v>
                      </c:pt>
                      <c:pt idx="11">
                        <c:v>13.889414728727724</c:v>
                      </c:pt>
                      <c:pt idx="12">
                        <c:v>11.516277177609291</c:v>
                      </c:pt>
                      <c:pt idx="13">
                        <c:v>6.2239120707605222</c:v>
                      </c:pt>
                      <c:pt idx="14">
                        <c:v>-3.7010319052698528</c:v>
                      </c:pt>
                      <c:pt idx="15">
                        <c:v>-16.593558665510944</c:v>
                      </c:pt>
                      <c:pt idx="16">
                        <c:v>-43.807367774321023</c:v>
                      </c:pt>
                      <c:pt idx="17">
                        <c:v>-94.421204315963138</c:v>
                      </c:pt>
                      <c:pt idx="18">
                        <c:v>-211.07282697985636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3F1-4FB6-8863-4E7E33A54AC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h=2km, m. ciągu, zmienna masa</c:v>
                </c:tx>
                <c:spPr>
                  <a:ln w="19050" cap="rnd">
                    <a:solidFill>
                      <a:schemeClr val="accent2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masa'!$J$22:$J$36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54.991165562477157</c:v>
                      </c:pt>
                      <c:pt idx="1">
                        <c:v>66.063225165157363</c:v>
                      </c:pt>
                      <c:pt idx="2">
                        <c:v>77.135284767837561</c:v>
                      </c:pt>
                      <c:pt idx="3">
                        <c:v>88.207344370517774</c:v>
                      </c:pt>
                      <c:pt idx="4">
                        <c:v>99.279403973197958</c:v>
                      </c:pt>
                      <c:pt idx="5">
                        <c:v>110.35146357587817</c:v>
                      </c:pt>
                      <c:pt idx="6">
                        <c:v>121.42352317855838</c:v>
                      </c:pt>
                      <c:pt idx="7">
                        <c:v>132.49558278123857</c:v>
                      </c:pt>
                      <c:pt idx="8">
                        <c:v>143.56764238391878</c:v>
                      </c:pt>
                      <c:pt idx="9">
                        <c:v>154.63970198659896</c:v>
                      </c:pt>
                      <c:pt idx="10">
                        <c:v>165.71176158927918</c:v>
                      </c:pt>
                      <c:pt idx="11">
                        <c:v>176.78382119195939</c:v>
                      </c:pt>
                      <c:pt idx="12">
                        <c:v>187.8558807946396</c:v>
                      </c:pt>
                      <c:pt idx="13">
                        <c:v>198.92794039731979</c:v>
                      </c:pt>
                      <c:pt idx="14">
                        <c:v>210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masa'!$O$22:$O$36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5.9623482875690117</c:v>
                      </c:pt>
                      <c:pt idx="1">
                        <c:v>8.6279433757524959</c:v>
                      </c:pt>
                      <c:pt idx="2">
                        <c:v>10.910278353441688</c:v>
                      </c:pt>
                      <c:pt idx="3">
                        <c:v>12.856670737797735</c:v>
                      </c:pt>
                      <c:pt idx="4">
                        <c:v>14.473201768838477</c:v>
                      </c:pt>
                      <c:pt idx="5">
                        <c:v>15.739703237926438</c:v>
                      </c:pt>
                      <c:pt idx="6">
                        <c:v>16.616115270423947</c:v>
                      </c:pt>
                      <c:pt idx="7">
                        <c:v>17.04439702898884</c:v>
                      </c:pt>
                      <c:pt idx="8">
                        <c:v>16.947811552320999</c:v>
                      </c:pt>
                      <c:pt idx="9">
                        <c:v>16.228231087914313</c:v>
                      </c:pt>
                      <c:pt idx="10">
                        <c:v>14.761525300176732</c:v>
                      </c:pt>
                      <c:pt idx="11">
                        <c:v>12.390666936829433</c:v>
                      </c:pt>
                      <c:pt idx="12">
                        <c:v>8.9157574245469124</c:v>
                      </c:pt>
                      <c:pt idx="13">
                        <c:v>4.0795791288031555</c:v>
                      </c:pt>
                      <c:pt idx="14">
                        <c:v>-2.4536868673790679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3F1-4FB6-8863-4E7E33A54AC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h=4km, m. mocy</c:v>
                </c:tx>
                <c:spPr>
                  <a:ln w="19050" cap="rnd">
                    <a:solidFill>
                      <a:schemeClr val="accent3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'h=4km'!$J$46:$J$63</c15:sqref>
                        </c15:formulaRef>
                      </c:ext>
                    </c:extLst>
                    <c:numCache>
                      <c:formatCode>0.0</c:formatCode>
                      <c:ptCount val="18"/>
                      <c:pt idx="0">
                        <c:v>61.158842972703262</c:v>
                      </c:pt>
                      <c:pt idx="1">
                        <c:v>62.254045393617297</c:v>
                      </c:pt>
                      <c:pt idx="2">
                        <c:v>63.531912730545109</c:v>
                      </c:pt>
                      <c:pt idx="3">
                        <c:v>66.370822695730041</c:v>
                      </c:pt>
                      <c:pt idx="4">
                        <c:v>69.277205879415277</c:v>
                      </c:pt>
                      <c:pt idx="5">
                        <c:v>72.602210479654687</c:v>
                      </c:pt>
                      <c:pt idx="6">
                        <c:v>80.999281170285556</c:v>
                      </c:pt>
                      <c:pt idx="7">
                        <c:v>92.742076951991109</c:v>
                      </c:pt>
                      <c:pt idx="8">
                        <c:v>103.45623673719125</c:v>
                      </c:pt>
                      <c:pt idx="9">
                        <c:v>116.3808594329487</c:v>
                      </c:pt>
                      <c:pt idx="10">
                        <c:v>146.16044925127761</c:v>
                      </c:pt>
                      <c:pt idx="11">
                        <c:v>162.09977982144954</c:v>
                      </c:pt>
                      <c:pt idx="12">
                        <c:v>186.55588306858593</c:v>
                      </c:pt>
                      <c:pt idx="13">
                        <c:v>209.2699158907877</c:v>
                      </c:pt>
                      <c:pt idx="14">
                        <c:v>236.44683005466317</c:v>
                      </c:pt>
                      <c:pt idx="15">
                        <c:v>257.91932120047244</c:v>
                      </c:pt>
                      <c:pt idx="16">
                        <c:v>286.55463385148312</c:v>
                      </c:pt>
                      <c:pt idx="17">
                        <c:v>314.89044886359858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'h=4km'!$O$46:$O$63</c15:sqref>
                        </c15:formulaRef>
                      </c:ext>
                    </c:extLst>
                    <c:numCache>
                      <c:formatCode>0.00</c:formatCode>
                      <c:ptCount val="18"/>
                      <c:pt idx="0">
                        <c:v>4.0691424599127295</c:v>
                      </c:pt>
                      <c:pt idx="1">
                        <c:v>4.2792136187144774</c:v>
                      </c:pt>
                      <c:pt idx="2">
                        <c:v>4.5474646644261716</c:v>
                      </c:pt>
                      <c:pt idx="3">
                        <c:v>5.0856982485586819</c:v>
                      </c:pt>
                      <c:pt idx="4">
                        <c:v>5.616625492059284</c:v>
                      </c:pt>
                      <c:pt idx="5">
                        <c:v>6.151348201556063</c:v>
                      </c:pt>
                      <c:pt idx="6">
                        <c:v>7.364834970243769</c:v>
                      </c:pt>
                      <c:pt idx="7">
                        <c:v>8.754417446544311</c:v>
                      </c:pt>
                      <c:pt idx="8">
                        <c:v>9.787247505199538</c:v>
                      </c:pt>
                      <c:pt idx="9">
                        <c:v>10.742493051872115</c:v>
                      </c:pt>
                      <c:pt idx="10">
                        <c:v>11.104197432780429</c:v>
                      </c:pt>
                      <c:pt idx="11">
                        <c:v>9.940874245928029</c:v>
                      </c:pt>
                      <c:pt idx="12">
                        <c:v>6.1244146407595066</c:v>
                      </c:pt>
                      <c:pt idx="13">
                        <c:v>-1.5000068315022781</c:v>
                      </c:pt>
                      <c:pt idx="14">
                        <c:v>-16.410641035028501</c:v>
                      </c:pt>
                      <c:pt idx="15">
                        <c:v>-37.337914893608918</c:v>
                      </c:pt>
                      <c:pt idx="16">
                        <c:v>-92.231408903523601</c:v>
                      </c:pt>
                      <c:pt idx="17">
                        <c:v>-311.02894703547787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3F1-4FB6-8863-4E7E33A54AC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h=4km, m. ciągu, zmienna masa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masa'!$J$40:$J$54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60.760126838427631</c:v>
                      </c:pt>
                      <c:pt idx="1">
                        <c:v>71.420117778539947</c:v>
                      </c:pt>
                      <c:pt idx="2">
                        <c:v>82.080108718652255</c:v>
                      </c:pt>
                      <c:pt idx="3">
                        <c:v>92.740099658764564</c:v>
                      </c:pt>
                      <c:pt idx="4">
                        <c:v>103.40009059887689</c:v>
                      </c:pt>
                      <c:pt idx="5">
                        <c:v>114.06008153898918</c:v>
                      </c:pt>
                      <c:pt idx="6">
                        <c:v>124.7200724791015</c:v>
                      </c:pt>
                      <c:pt idx="7">
                        <c:v>135.38006341921383</c:v>
                      </c:pt>
                      <c:pt idx="8">
                        <c:v>146.04005435932612</c:v>
                      </c:pt>
                      <c:pt idx="9">
                        <c:v>156.70004529943844</c:v>
                      </c:pt>
                      <c:pt idx="10">
                        <c:v>167.36003623955074</c:v>
                      </c:pt>
                      <c:pt idx="11">
                        <c:v>178.02002717966306</c:v>
                      </c:pt>
                      <c:pt idx="12">
                        <c:v>188.68001811977538</c:v>
                      </c:pt>
                      <c:pt idx="13">
                        <c:v>199.34000905988768</c:v>
                      </c:pt>
                      <c:pt idx="14">
                        <c:v>210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masa'!$O$40:$O$54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4.495963305476808</c:v>
                      </c:pt>
                      <c:pt idx="1">
                        <c:v>6.7542646205201482</c:v>
                      </c:pt>
                      <c:pt idx="2">
                        <c:v>8.6789257706901868</c:v>
                      </c:pt>
                      <c:pt idx="3">
                        <c:v>10.310853637487972</c:v>
                      </c:pt>
                      <c:pt idx="4">
                        <c:v>11.659717978010365</c:v>
                      </c:pt>
                      <c:pt idx="5">
                        <c:v>12.714083855207191</c:v>
                      </c:pt>
                      <c:pt idx="6">
                        <c:v>13.44605877838003</c:v>
                      </c:pt>
                      <c:pt idx="7">
                        <c:v>13.81281037812866</c:v>
                      </c:pt>
                      <c:pt idx="8">
                        <c:v>13.75606281403244</c:v>
                      </c:pt>
                      <c:pt idx="9">
                        <c:v>13.199996370712345</c:v>
                      </c:pt>
                      <c:pt idx="10">
                        <c:v>12.047553359245509</c:v>
                      </c:pt>
                      <c:pt idx="11">
                        <c:v>10.174825017291409</c:v>
                      </c:pt>
                      <c:pt idx="12">
                        <c:v>7.4228301988708276</c:v>
                      </c:pt>
                      <c:pt idx="13">
                        <c:v>3.5854755188470953</c:v>
                      </c:pt>
                      <c:pt idx="14">
                        <c:v>-1.6083770246258724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3F1-4FB6-8863-4E7E33A54AC7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h=6km, m. mocy</c:v>
                </c:tx>
                <c:spPr>
                  <a:ln w="19050" cap="rnd">
                    <a:solidFill>
                      <a:schemeClr val="accent4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'h=6km'!$J$45:$J$60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68.155578411156441</c:v>
                      </c:pt>
                      <c:pt idx="1">
                        <c:v>69.376074922315269</c:v>
                      </c:pt>
                      <c:pt idx="2">
                        <c:v>70.800133705113225</c:v>
                      </c:pt>
                      <c:pt idx="3">
                        <c:v>73.963822573797884</c:v>
                      </c:pt>
                      <c:pt idx="4">
                        <c:v>77.202703777893532</c:v>
                      </c:pt>
                      <c:pt idx="5">
                        <c:v>80.908097809795308</c:v>
                      </c:pt>
                      <c:pt idx="6">
                        <c:v>90.265815877397586</c:v>
                      </c:pt>
                      <c:pt idx="7">
                        <c:v>103.35201894738439</c:v>
                      </c:pt>
                      <c:pt idx="8">
                        <c:v>115.29190730785888</c:v>
                      </c:pt>
                      <c:pt idx="9">
                        <c:v>129.69514145616463</c:v>
                      </c:pt>
                      <c:pt idx="10">
                        <c:v>162.88159610870073</c:v>
                      </c:pt>
                      <c:pt idx="11">
                        <c:v>180.64442878657795</c:v>
                      </c:pt>
                      <c:pt idx="12">
                        <c:v>207.89837574622669</c:v>
                      </c:pt>
                      <c:pt idx="13">
                        <c:v>233.21095475852272</c:v>
                      </c:pt>
                      <c:pt idx="14">
                        <c:v>263.49698069096212</c:v>
                      </c:pt>
                      <c:pt idx="15">
                        <c:v>287.42598233385206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'h=6km'!$O$45:$O$60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2.4763117342766758</c:v>
                      </c:pt>
                      <c:pt idx="1">
                        <c:v>2.675341962495644</c:v>
                      </c:pt>
                      <c:pt idx="2">
                        <c:v>2.9336302489657129</c:v>
                      </c:pt>
                      <c:pt idx="3">
                        <c:v>3.4431890021743716</c:v>
                      </c:pt>
                      <c:pt idx="4">
                        <c:v>3.9429447847459693</c:v>
                      </c:pt>
                      <c:pt idx="5">
                        <c:v>4.4338308138902507</c:v>
                      </c:pt>
                      <c:pt idx="6">
                        <c:v>5.5227728367987279</c:v>
                      </c:pt>
                      <c:pt idx="7">
                        <c:v>6.7056035541631012</c:v>
                      </c:pt>
                      <c:pt idx="8">
                        <c:v>7.5233168852406793</c:v>
                      </c:pt>
                      <c:pt idx="9">
                        <c:v>8.1801794980784077</c:v>
                      </c:pt>
                      <c:pt idx="10">
                        <c:v>7.5235902476195724</c:v>
                      </c:pt>
                      <c:pt idx="11">
                        <c:v>5.4784566774172667</c:v>
                      </c:pt>
                      <c:pt idx="12">
                        <c:v>-0.52236246295210886</c:v>
                      </c:pt>
                      <c:pt idx="13">
                        <c:v>-12.323103316544511</c:v>
                      </c:pt>
                      <c:pt idx="14">
                        <c:v>-39.033975063152688</c:v>
                      </c:pt>
                      <c:pt idx="15">
                        <c:v>-89.384734283089699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3F1-4FB6-8863-4E7E33A54AC7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h=6km, m. ciągu, zmienna masa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masa'!$J$58:$J$72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67.478052266794421</c:v>
                      </c:pt>
                      <c:pt idx="1">
                        <c:v>77.658191390594823</c:v>
                      </c:pt>
                      <c:pt idx="2">
                        <c:v>87.838330514395224</c:v>
                      </c:pt>
                      <c:pt idx="3">
                        <c:v>98.018469638195626</c:v>
                      </c:pt>
                      <c:pt idx="4">
                        <c:v>108.19860876199601</c:v>
                      </c:pt>
                      <c:pt idx="5">
                        <c:v>118.37874788579643</c:v>
                      </c:pt>
                      <c:pt idx="6">
                        <c:v>128.55888700959682</c:v>
                      </c:pt>
                      <c:pt idx="7">
                        <c:v>138.7390261333972</c:v>
                      </c:pt>
                      <c:pt idx="8">
                        <c:v>148.91916525719762</c:v>
                      </c:pt>
                      <c:pt idx="9">
                        <c:v>159.09930438099803</c:v>
                      </c:pt>
                      <c:pt idx="10">
                        <c:v>169.27944350479842</c:v>
                      </c:pt>
                      <c:pt idx="11">
                        <c:v>179.45958262859881</c:v>
                      </c:pt>
                      <c:pt idx="12">
                        <c:v>189.63972175239923</c:v>
                      </c:pt>
                      <c:pt idx="13">
                        <c:v>199.81986087619964</c:v>
                      </c:pt>
                      <c:pt idx="14">
                        <c:v>210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masa'!$O$58:$O$72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2.9505792299741671</c:v>
                      </c:pt>
                      <c:pt idx="1">
                        <c:v>4.8527683199869056</c:v>
                      </c:pt>
                      <c:pt idx="2">
                        <c:v>6.4702485222944768</c:v>
                      </c:pt>
                      <c:pt idx="3">
                        <c:v>7.8363550341524988</c:v>
                      </c:pt>
                      <c:pt idx="4">
                        <c:v>8.9618752846644707</c:v>
                      </c:pt>
                      <c:pt idx="5">
                        <c:v>9.8413182374313344</c:v>
                      </c:pt>
                      <c:pt idx="6">
                        <c:v>10.456035873133004</c:v>
                      </c:pt>
                      <c:pt idx="7">
                        <c:v>10.775267238995767</c:v>
                      </c:pt>
                      <c:pt idx="8">
                        <c:v>10.755728867291857</c:v>
                      </c:pt>
                      <c:pt idx="9">
                        <c:v>10.339968440127919</c:v>
                      </c:pt>
                      <c:pt idx="10">
                        <c:v>9.4534344009145794</c:v>
                      </c:pt>
                      <c:pt idx="11">
                        <c:v>7.9999688249217744</c:v>
                      </c:pt>
                      <c:pt idx="12">
                        <c:v>5.8551332253766653</c:v>
                      </c:pt>
                      <c:pt idx="13">
                        <c:v>2.8563315302614809</c:v>
                      </c:pt>
                      <c:pt idx="14">
                        <c:v>-1.2120607176651916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3F1-4FB6-8863-4E7E33A54AC7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h=8km, m. mocy</c:v>
                </c:tx>
                <c:spPr>
                  <a:ln w="19050" cap="rnd">
                    <a:solidFill>
                      <a:schemeClr val="accent5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'h=8km'!$J$44:$J$58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76.395380932749987</c:v>
                      </c:pt>
                      <c:pt idx="1">
                        <c:v>77.763431766895778</c:v>
                      </c:pt>
                      <c:pt idx="2">
                        <c:v>79.359654933342711</c:v>
                      </c:pt>
                      <c:pt idx="3">
                        <c:v>82.905824181849937</c:v>
                      </c:pt>
                      <c:pt idx="4">
                        <c:v>86.536276290848647</c:v>
                      </c:pt>
                      <c:pt idx="5">
                        <c:v>90.689641212284613</c:v>
                      </c:pt>
                      <c:pt idx="6">
                        <c:v>101.17867898587841</c:v>
                      </c:pt>
                      <c:pt idx="7">
                        <c:v>115.84696427962214</c:v>
                      </c:pt>
                      <c:pt idx="8">
                        <c:v>129.23034889548282</c:v>
                      </c:pt>
                      <c:pt idx="9">
                        <c:v>145.37489032664018</c:v>
                      </c:pt>
                      <c:pt idx="10">
                        <c:v>182.57348659844479</c:v>
                      </c:pt>
                      <c:pt idx="11">
                        <c:v>202.48379182225023</c:v>
                      </c:pt>
                      <c:pt idx="12">
                        <c:v>233.03265823114435</c:v>
                      </c:pt>
                      <c:pt idx="13">
                        <c:v>261.40545120150153</c:v>
                      </c:pt>
                      <c:pt idx="14">
                        <c:v>295.35296572613981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'h=8km'!$O$44:$O$58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0.75797081613262651</c:v>
                      </c:pt>
                      <c:pt idx="1">
                        <c:v>0.94680546156393874</c:v>
                      </c:pt>
                      <c:pt idx="2">
                        <c:v>1.1967277281018478</c:v>
                      </c:pt>
                      <c:pt idx="3">
                        <c:v>1.6798207076364298</c:v>
                      </c:pt>
                      <c:pt idx="4">
                        <c:v>2.150295345249571</c:v>
                      </c:pt>
                      <c:pt idx="5">
                        <c:v>2.5977286480453188</c:v>
                      </c:pt>
                      <c:pt idx="6">
                        <c:v>3.5595689751410293</c:v>
                      </c:pt>
                      <c:pt idx="7">
                        <c:v>4.5220160979083639</c:v>
                      </c:pt>
                      <c:pt idx="8">
                        <c:v>5.1005599297610198</c:v>
                      </c:pt>
                      <c:pt idx="9">
                        <c:v>5.4076927777101442</c:v>
                      </c:pt>
                      <c:pt idx="10">
                        <c:v>3.3837337371670375</c:v>
                      </c:pt>
                      <c:pt idx="11">
                        <c:v>-4.527282982104721E-2</c:v>
                      </c:pt>
                      <c:pt idx="12">
                        <c:v>-10.228007061340692</c:v>
                      </c:pt>
                      <c:pt idx="13">
                        <c:v>-32.909610913421631</c:v>
                      </c:pt>
                      <c:pt idx="14">
                        <c:v>-132.88682224478947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3F1-4FB6-8863-4E7E33A54AC7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h=8km, m. ciągu, zmienna masa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masa'!$J$76:$J$90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75.356120124418212</c:v>
                      </c:pt>
                      <c:pt idx="1">
                        <c:v>84.973540115531193</c:v>
                      </c:pt>
                      <c:pt idx="2">
                        <c:v>94.590960106644175</c:v>
                      </c:pt>
                      <c:pt idx="3">
                        <c:v>104.20838009775716</c:v>
                      </c:pt>
                      <c:pt idx="4">
                        <c:v>113.82580008887015</c:v>
                      </c:pt>
                      <c:pt idx="5">
                        <c:v>123.44322007998312</c:v>
                      </c:pt>
                      <c:pt idx="6">
                        <c:v>133.06064007109612</c:v>
                      </c:pt>
                      <c:pt idx="7">
                        <c:v>142.67806006220911</c:v>
                      </c:pt>
                      <c:pt idx="8">
                        <c:v>152.29548005332208</c:v>
                      </c:pt>
                      <c:pt idx="9">
                        <c:v>161.91290004443505</c:v>
                      </c:pt>
                      <c:pt idx="10">
                        <c:v>171.53032003554804</c:v>
                      </c:pt>
                      <c:pt idx="11">
                        <c:v>181.14774002666104</c:v>
                      </c:pt>
                      <c:pt idx="12">
                        <c:v>190.76516001777401</c:v>
                      </c:pt>
                      <c:pt idx="13">
                        <c:v>200.382580008887</c:v>
                      </c:pt>
                      <c:pt idx="14">
                        <c:v>210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masa'!$O$76:$O$90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1.2986050616650862</c:v>
                      </c:pt>
                      <c:pt idx="1">
                        <c:v>2.8906492480251651</c:v>
                      </c:pt>
                      <c:pt idx="2">
                        <c:v>4.2454903492987652</c:v>
                      </c:pt>
                      <c:pt idx="3">
                        <c:v>5.3885173513368496</c:v>
                      </c:pt>
                      <c:pt idx="4">
                        <c:v>6.3297127874424328</c:v>
                      </c:pt>
                      <c:pt idx="5">
                        <c:v>7.0671525211080697</c:v>
                      </c:pt>
                      <c:pt idx="6">
                        <c:v>7.5888267153990645</c:v>
                      </c:pt>
                      <c:pt idx="7">
                        <c:v>7.8732263710559476</c:v>
                      </c:pt>
                      <c:pt idx="8">
                        <c:v>7.8889454571028219</c:v>
                      </c:pt>
                      <c:pt idx="9">
                        <c:v>7.5933734689542423</c:v>
                      </c:pt>
                      <c:pt idx="10">
                        <c:v>6.9303921648466016</c:v>
                      </c:pt>
                      <c:pt idx="11">
                        <c:v>5.8268142914458707</c:v>
                      </c:pt>
                      <c:pt idx="12">
                        <c:v>4.1870666835777284</c:v>
                      </c:pt>
                      <c:pt idx="13">
                        <c:v>1.8852498246164235</c:v>
                      </c:pt>
                      <c:pt idx="14">
                        <c:v>-1.2469355447795512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3F1-4FB6-8863-4E7E33A54AC7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h=10km, m. mocy</c:v>
                </c:tx>
                <c:spPr>
                  <a:ln w="19050" cap="rnd">
                    <a:solidFill>
                      <a:schemeClr val="accent6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'h=10km'!$J$42:$J$55</c15:sqref>
                        </c15:formulaRef>
                      </c:ext>
                    </c:extLst>
                    <c:numCache>
                      <c:formatCode>0.0</c:formatCode>
                      <c:ptCount val="14"/>
                      <c:pt idx="0">
                        <c:v>86.187148316269386</c:v>
                      </c:pt>
                      <c:pt idx="1">
                        <c:v>87.730545295342154</c:v>
                      </c:pt>
                      <c:pt idx="2">
                        <c:v>89.531359966500503</c:v>
                      </c:pt>
                      <c:pt idx="3">
                        <c:v>93.532049684177707</c:v>
                      </c:pt>
                      <c:pt idx="4">
                        <c:v>97.62782498568221</c:v>
                      </c:pt>
                      <c:pt idx="5">
                        <c:v>102.31353600806071</c:v>
                      </c:pt>
                      <c:pt idx="6">
                        <c:v>114.14697728749459</c:v>
                      </c:pt>
                      <c:pt idx="7">
                        <c:v>130.6953296187713</c:v>
                      </c:pt>
                      <c:pt idx="8">
                        <c:v>145.79409266933129</c:v>
                      </c:pt>
                      <c:pt idx="9">
                        <c:v>164.00791619945016</c:v>
                      </c:pt>
                      <c:pt idx="10">
                        <c:v>205.97434001841498</c:v>
                      </c:pt>
                      <c:pt idx="11">
                        <c:v>228.43659373578171</c:v>
                      </c:pt>
                      <c:pt idx="12">
                        <c:v>262.90097689521633</c:v>
                      </c:pt>
                      <c:pt idx="13">
                        <c:v>294.9103744010107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'h=10km'!$O$42:$O$55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-1.133277865118689</c:v>
                      </c:pt>
                      <c:pt idx="1">
                        <c:v>-0.9540777371096596</c:v>
                      </c:pt>
                      <c:pt idx="2">
                        <c:v>-0.71105721545075606</c:v>
                      </c:pt>
                      <c:pt idx="3">
                        <c:v>-0.25302867944671426</c:v>
                      </c:pt>
                      <c:pt idx="4">
                        <c:v>0.18900814243188754</c:v>
                      </c:pt>
                      <c:pt idx="5">
                        <c:v>0.59137271169704864</c:v>
                      </c:pt>
                      <c:pt idx="6">
                        <c:v>1.4160939280089184</c:v>
                      </c:pt>
                      <c:pt idx="7">
                        <c:v>2.1258071949538917</c:v>
                      </c:pt>
                      <c:pt idx="8">
                        <c:v>2.4114300351100804</c:v>
                      </c:pt>
                      <c:pt idx="9">
                        <c:v>2.2530687144162354</c:v>
                      </c:pt>
                      <c:pt idx="10">
                        <c:v>-2.0015271430377011</c:v>
                      </c:pt>
                      <c:pt idx="11">
                        <c:v>-8.2923910939999903</c:v>
                      </c:pt>
                      <c:pt idx="12">
                        <c:v>-31.409563967339519</c:v>
                      </c:pt>
                      <c:pt idx="13">
                        <c:v>-193.97833155119875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3F1-4FB6-8863-4E7E33A54AC7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v>h=10km, m. ciągu, zmienna masa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masa'!$J$94:$J$108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84.65692418067519</c:v>
                      </c:pt>
                      <c:pt idx="1">
                        <c:v>93.610001024912677</c:v>
                      </c:pt>
                      <c:pt idx="2">
                        <c:v>102.56307786915016</c:v>
                      </c:pt>
                      <c:pt idx="3">
                        <c:v>111.51615471338765</c:v>
                      </c:pt>
                      <c:pt idx="4">
                        <c:v>120.46923155762514</c:v>
                      </c:pt>
                      <c:pt idx="5">
                        <c:v>129.42230840186261</c:v>
                      </c:pt>
                      <c:pt idx="6">
                        <c:v>138.37538524610011</c:v>
                      </c:pt>
                      <c:pt idx="7">
                        <c:v>147.32846209033761</c:v>
                      </c:pt>
                      <c:pt idx="8">
                        <c:v>156.28153893457508</c:v>
                      </c:pt>
                      <c:pt idx="9">
                        <c:v>165.23461577881255</c:v>
                      </c:pt>
                      <c:pt idx="10">
                        <c:v>174.18769262305005</c:v>
                      </c:pt>
                      <c:pt idx="11">
                        <c:v>183.14076946728756</c:v>
                      </c:pt>
                      <c:pt idx="12">
                        <c:v>192.09384631152503</c:v>
                      </c:pt>
                      <c:pt idx="13">
                        <c:v>201.0469231557625</c:v>
                      </c:pt>
                      <c:pt idx="14">
                        <c:v>210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masa'!$O$94:$O$108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-0.49797685370082662</c:v>
                      </c:pt>
                      <c:pt idx="1">
                        <c:v>0.82390322625890877</c:v>
                      </c:pt>
                      <c:pt idx="2">
                        <c:v>1.9538793806970549</c:v>
                      </c:pt>
                      <c:pt idx="3">
                        <c:v>2.9096875398100739</c:v>
                      </c:pt>
                      <c:pt idx="4">
                        <c:v>3.699210777819526</c:v>
                      </c:pt>
                      <c:pt idx="5">
                        <c:v>4.322152708930755</c:v>
                      </c:pt>
                      <c:pt idx="6">
                        <c:v>4.7708918339990474</c:v>
                      </c:pt>
                      <c:pt idx="7">
                        <c:v>5.0306765727533129</c:v>
                      </c:pt>
                      <c:pt idx="8">
                        <c:v>5.0792053434599982</c:v>
                      </c:pt>
                      <c:pt idx="9">
                        <c:v>4.885566637150073</c:v>
                      </c:pt>
                      <c:pt idx="10">
                        <c:v>4.4084527002552703</c:v>
                      </c:pt>
                      <c:pt idx="11">
                        <c:v>3.593397445448872</c:v>
                      </c:pt>
                      <c:pt idx="12">
                        <c:v>2.3686425381776206</c:v>
                      </c:pt>
                      <c:pt idx="13">
                        <c:v>0.63892239187852484</c:v>
                      </c:pt>
                      <c:pt idx="14">
                        <c:v>-1.7240615686887151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3F1-4FB6-8863-4E7E33A54AC7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v>h=12km, m. mocy</c:v>
                </c:tx>
                <c:spPr>
                  <a:ln w="19050" cap="rnd">
                    <a:solidFill>
                      <a:schemeClr val="tx2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'h=12km'!$J$41:$J$52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97.941202374935742</c:v>
                      </c:pt>
                      <c:pt idx="1">
                        <c:v>99.695085161700305</c:v>
                      </c:pt>
                      <c:pt idx="2">
                        <c:v>101.74149181969132</c:v>
                      </c:pt>
                      <c:pt idx="3">
                        <c:v>106.28778867407257</c:v>
                      </c:pt>
                      <c:pt idx="4">
                        <c:v>110.94213871956762</c:v>
                      </c:pt>
                      <c:pt idx="5">
                        <c:v>116.26687889810547</c:v>
                      </c:pt>
                      <c:pt idx="6">
                        <c:v>129.71414441022097</c:v>
                      </c:pt>
                      <c:pt idx="7">
                        <c:v>148.51933237979858</c:v>
                      </c:pt>
                      <c:pt idx="8">
                        <c:v>165.67723859244617</c:v>
                      </c:pt>
                      <c:pt idx="9">
                        <c:v>186.37503183928459</c:v>
                      </c:pt>
                      <c:pt idx="10">
                        <c:v>234.06476387593059</c:v>
                      </c:pt>
                      <c:pt idx="11">
                        <c:v>259.59038086301081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'h=12km'!$O$41:$O$52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-3.2721981288790922</c:v>
                      </c:pt>
                      <c:pt idx="1">
                        <c:v>-3.1029786588033086</c:v>
                      </c:pt>
                      <c:pt idx="2">
                        <c:v>-2.8661615005484098</c:v>
                      </c:pt>
                      <c:pt idx="3">
                        <c:v>-2.4344035981865404</c:v>
                      </c:pt>
                      <c:pt idx="4">
                        <c:v>-2.0231397785584861</c:v>
                      </c:pt>
                      <c:pt idx="5">
                        <c:v>-1.6726481151324559</c:v>
                      </c:pt>
                      <c:pt idx="6">
                        <c:v>-1.0138240935388811</c:v>
                      </c:pt>
                      <c:pt idx="7">
                        <c:v>-0.63635020025552247</c:v>
                      </c:pt>
                      <c:pt idx="8">
                        <c:v>-0.77626254376766157</c:v>
                      </c:pt>
                      <c:pt idx="9">
                        <c:v>-1.7026568220291622</c:v>
                      </c:pt>
                      <c:pt idx="10">
                        <c:v>-11.090421954622125</c:v>
                      </c:pt>
                      <c:pt idx="11">
                        <c:v>-28.168374243844347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3F1-4FB6-8863-4E7E33A54AC7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v>h=12km, m. ciągu, zmienna masa</c:v>
                </c:tx>
                <c:spPr>
                  <a:ln w="19050" cap="rnd">
                    <a:solidFill>
                      <a:schemeClr val="tx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masa'!$J$112:$J$126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95.682662323055354</c:v>
                      </c:pt>
                      <c:pt idx="1">
                        <c:v>103.1339007285514</c:v>
                      </c:pt>
                      <c:pt idx="2">
                        <c:v>110.58513913404745</c:v>
                      </c:pt>
                      <c:pt idx="3">
                        <c:v>118.03637753954349</c:v>
                      </c:pt>
                      <c:pt idx="4">
                        <c:v>125.48761594503954</c:v>
                      </c:pt>
                      <c:pt idx="5">
                        <c:v>132.93885435053559</c:v>
                      </c:pt>
                      <c:pt idx="6">
                        <c:v>140.39009275603163</c:v>
                      </c:pt>
                      <c:pt idx="7">
                        <c:v>147.84133116152768</c:v>
                      </c:pt>
                      <c:pt idx="8">
                        <c:v>155.29256956702372</c:v>
                      </c:pt>
                      <c:pt idx="9">
                        <c:v>162.74380797251979</c:v>
                      </c:pt>
                      <c:pt idx="10">
                        <c:v>170.19504637801583</c:v>
                      </c:pt>
                      <c:pt idx="11">
                        <c:v>177.64628478351187</c:v>
                      </c:pt>
                      <c:pt idx="12">
                        <c:v>185.09752318900792</c:v>
                      </c:pt>
                      <c:pt idx="13">
                        <c:v>192.54876159450396</c:v>
                      </c:pt>
                      <c:pt idx="14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masa'!$O$112:$O$126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-2.4908197657192126</c:v>
                      </c:pt>
                      <c:pt idx="1">
                        <c:v>-1.4743040924381174</c:v>
                      </c:pt>
                      <c:pt idx="2">
                        <c:v>-0.58344892812388938</c:v>
                      </c:pt>
                      <c:pt idx="3">
                        <c:v>0.19076854242620331</c:v>
                      </c:pt>
                      <c:pt idx="4">
                        <c:v>0.85317742875583669</c:v>
                      </c:pt>
                      <c:pt idx="5">
                        <c:v>1.4047975697248258</c:v>
                      </c:pt>
                      <c:pt idx="6">
                        <c:v>1.8430638558784707</c:v>
                      </c:pt>
                      <c:pt idx="7">
                        <c:v>2.1618389851459288</c:v>
                      </c:pt>
                      <c:pt idx="8">
                        <c:v>2.3512199217640668</c:v>
                      </c:pt>
                      <c:pt idx="9">
                        <c:v>2.3971169314604004</c:v>
                      </c:pt>
                      <c:pt idx="10">
                        <c:v>2.2805619261229753</c:v>
                      </c:pt>
                      <c:pt idx="11">
                        <c:v>1.9766698585710696</c:v>
                      </c:pt>
                      <c:pt idx="12">
                        <c:v>1.4531383685747512</c:v>
                      </c:pt>
                      <c:pt idx="13">
                        <c:v>0.66808021661716377</c:v>
                      </c:pt>
                      <c:pt idx="14">
                        <c:v>-0.4331154081246712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F3F1-4FB6-8863-4E7E33A54AC7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v>h=14km, m. mocy</c:v>
                </c:tx>
                <c:spPr>
                  <a:ln w="19050" cap="rnd">
                    <a:solidFill>
                      <a:schemeClr val="accent2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'h=14km'!$J$38:$J$48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112.2117887386319</c:v>
                      </c:pt>
                      <c:pt idx="1">
                        <c:v>114.22122215346113</c:v>
                      </c:pt>
                      <c:pt idx="2">
                        <c:v>116.56580181974654</c:v>
                      </c:pt>
                      <c:pt idx="3">
                        <c:v>121.77451980356302</c:v>
                      </c:pt>
                      <c:pt idx="4">
                        <c:v>127.10703493872933</c:v>
                      </c:pt>
                      <c:pt idx="5">
                        <c:v>133.20761983572567</c:v>
                      </c:pt>
                      <c:pt idx="6">
                        <c:v>148.61422788390243</c:v>
                      </c:pt>
                      <c:pt idx="7">
                        <c:v>170.15943795345453</c:v>
                      </c:pt>
                      <c:pt idx="8">
                        <c:v>189.81734801014773</c:v>
                      </c:pt>
                      <c:pt idx="9">
                        <c:v>213.53092663540335</c:v>
                      </c:pt>
                      <c:pt idx="10">
                        <c:v>268.16932198419846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'h=14km'!$O$38:$O$48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-5.7871576553935657</c:v>
                      </c:pt>
                      <c:pt idx="1">
                        <c:v>-5.6309121313598656</c:v>
                      </c:pt>
                      <c:pt idx="2">
                        <c:v>-5.4022578886658819</c:v>
                      </c:pt>
                      <c:pt idx="3">
                        <c:v>-5.0057470426790198</c:v>
                      </c:pt>
                      <c:pt idx="4">
                        <c:v>-4.6369528641663571</c:v>
                      </c:pt>
                      <c:pt idx="5">
                        <c:v>-4.3594381979594221</c:v>
                      </c:pt>
                      <c:pt idx="6">
                        <c:v>-3.9474868563916994</c:v>
                      </c:pt>
                      <c:pt idx="7">
                        <c:v>-4.1204434659733247</c:v>
                      </c:pt>
                      <c:pt idx="8">
                        <c:v>-5.0780078740093826</c:v>
                      </c:pt>
                      <c:pt idx="9">
                        <c:v>-7.8137253017638253</c:v>
                      </c:pt>
                      <c:pt idx="10">
                        <c:v>-48.340788065111227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F3F1-4FB6-8863-4E7E33A54AC7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v>h=14km, m. ciągu, zmienna masa</c:v>
                </c:tx>
                <c:spPr>
                  <a:ln w="19050" cap="rnd">
                    <a:solidFill>
                      <a:schemeClr val="accent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masa'!$J$130:$J$144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108.5936341211916</c:v>
                      </c:pt>
                      <c:pt idx="1">
                        <c:v>114.40837454110648</c:v>
                      </c:pt>
                      <c:pt idx="2">
                        <c:v>120.22311496102137</c:v>
                      </c:pt>
                      <c:pt idx="3">
                        <c:v>126.03785538093626</c:v>
                      </c:pt>
                      <c:pt idx="4">
                        <c:v>131.85259580085113</c:v>
                      </c:pt>
                      <c:pt idx="5">
                        <c:v>137.66733622076603</c:v>
                      </c:pt>
                      <c:pt idx="6">
                        <c:v>143.48207664068093</c:v>
                      </c:pt>
                      <c:pt idx="7">
                        <c:v>149.2968170605958</c:v>
                      </c:pt>
                      <c:pt idx="8">
                        <c:v>155.11155748051067</c:v>
                      </c:pt>
                      <c:pt idx="9">
                        <c:v>160.92629790042557</c:v>
                      </c:pt>
                      <c:pt idx="10">
                        <c:v>166.74103832034046</c:v>
                      </c:pt>
                      <c:pt idx="11">
                        <c:v>172.55577874025533</c:v>
                      </c:pt>
                      <c:pt idx="12">
                        <c:v>178.37051916017023</c:v>
                      </c:pt>
                      <c:pt idx="13">
                        <c:v>184.18525958008513</c:v>
                      </c:pt>
                      <c:pt idx="14">
                        <c:v>190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masa'!$O$130:$O$144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-4.7261966713904355</c:v>
                      </c:pt>
                      <c:pt idx="1">
                        <c:v>-3.9736126819577762</c:v>
                      </c:pt>
                      <c:pt idx="2">
                        <c:v>-3.2945890086727427</c:v>
                      </c:pt>
                      <c:pt idx="3">
                        <c:v>-2.6856406007271487</c:v>
                      </c:pt>
                      <c:pt idx="4">
                        <c:v>-2.1446940734442057</c:v>
                      </c:pt>
                      <c:pt idx="5">
                        <c:v>-1.6710429857913305</c:v>
                      </c:pt>
                      <c:pt idx="6">
                        <c:v>-1.2653702213242568</c:v>
                      </c:pt>
                      <c:pt idx="7">
                        <c:v>-0.92976652569278551</c:v>
                      </c:pt>
                      <c:pt idx="8">
                        <c:v>-0.66782369827923138</c:v>
                      </c:pt>
                      <c:pt idx="9">
                        <c:v>-0.48477933177478705</c:v>
                      </c:pt>
                      <c:pt idx="10">
                        <c:v>-0.38773043811490915</c:v>
                      </c:pt>
                      <c:pt idx="11">
                        <c:v>-0.38593610567447184</c:v>
                      </c:pt>
                      <c:pt idx="12">
                        <c:v>-0.49123388848388988</c:v>
                      </c:pt>
                      <c:pt idx="13">
                        <c:v>-0.71860767568725747</c:v>
                      </c:pt>
                      <c:pt idx="14">
                        <c:v>-1.0869621198908894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F3F1-4FB6-8863-4E7E33A54AC7}"/>
                  </c:ext>
                </c:extLst>
              </c15:ser>
            </c15:filteredScatterSeries>
          </c:ext>
        </c:extLst>
      </c:scatterChart>
      <c:valAx>
        <c:axId val="1356439919"/>
        <c:scaling>
          <c:orientation val="minMax"/>
          <c:max val="204"/>
          <c:min val="2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443391"/>
        <c:crosses val="autoZero"/>
        <c:crossBetween val="midCat"/>
        <c:majorUnit val="0.1"/>
      </c:valAx>
      <c:valAx>
        <c:axId val="2018443391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</a:t>
                </a:r>
                <a:r>
                  <a:rPr lang="el-GR"/>
                  <a:t> [</a:t>
                </a:r>
                <a:r>
                  <a:rPr lang="pl-PL"/>
                  <a:t>m/s</a:t>
                </a:r>
                <a:r>
                  <a:rPr lang="el-GR"/>
                  <a:t>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6439919"/>
        <c:crosses val="autoZero"/>
        <c:crossBetween val="midCat"/>
        <c:majorUnit val="1.0000000000000002E-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Iskra Vmax dla średniej masy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742277264846843"/>
          <c:y val="0.11038690476190476"/>
          <c:w val="0.86230848619170131"/>
          <c:h val="0.85588887326584173"/>
        </c:manualLayout>
      </c:layout>
      <c:scatterChart>
        <c:scatterStyle val="smoothMarker"/>
        <c:varyColors val="0"/>
        <c:ser>
          <c:idx val="0"/>
          <c:order val="0"/>
          <c:tx>
            <c:v>h=0km, m. mocy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'h=0km'!$J$23:$J$41</c:f>
              <c:numCache>
                <c:formatCode>0.0</c:formatCode>
                <c:ptCount val="19"/>
                <c:pt idx="0">
                  <c:v>45.931239174747347</c:v>
                </c:pt>
                <c:pt idx="1">
                  <c:v>46.753753171001605</c:v>
                </c:pt>
                <c:pt idx="2">
                  <c:v>47.713451350907093</c:v>
                </c:pt>
                <c:pt idx="3">
                  <c:v>49.845516744372453</c:v>
                </c:pt>
                <c:pt idx="4">
                  <c:v>52.028255570921075</c:v>
                </c:pt>
                <c:pt idx="5">
                  <c:v>54.52538557089337</c:v>
                </c:pt>
                <c:pt idx="6">
                  <c:v>60.831715833399635</c:v>
                </c:pt>
                <c:pt idx="7">
                  <c:v>69.65073750571058</c:v>
                </c:pt>
                <c:pt idx="8">
                  <c:v>77.697237598430291</c:v>
                </c:pt>
                <c:pt idx="9">
                  <c:v>87.403829604220221</c:v>
                </c:pt>
                <c:pt idx="10">
                  <c:v>109.76876320968472</c:v>
                </c:pt>
                <c:pt idx="11">
                  <c:v>121.73944756404192</c:v>
                </c:pt>
                <c:pt idx="12">
                  <c:v>140.10636022829706</c:v>
                </c:pt>
                <c:pt idx="13">
                  <c:v>157.1649509973418</c:v>
                </c:pt>
                <c:pt idx="14">
                  <c:v>177.57523483887357</c:v>
                </c:pt>
                <c:pt idx="15">
                  <c:v>193.70140856220578</c:v>
                </c:pt>
                <c:pt idx="16">
                  <c:v>215.2069722760954</c:v>
                </c:pt>
                <c:pt idx="17">
                  <c:v>236.48760862027481</c:v>
                </c:pt>
                <c:pt idx="18">
                  <c:v>256.64929026200639</c:v>
                </c:pt>
              </c:numCache>
            </c:numRef>
          </c:xVal>
          <c:yVal>
            <c:numRef>
              <c:f>'h=0km'!$O$23:$O$41</c:f>
              <c:numCache>
                <c:formatCode>0.00</c:formatCode>
                <c:ptCount val="19"/>
                <c:pt idx="0">
                  <c:v>8.5536262586962355</c:v>
                </c:pt>
                <c:pt idx="1">
                  <c:v>8.805766050174002</c:v>
                </c:pt>
                <c:pt idx="2">
                  <c:v>9.1169537934596221</c:v>
                </c:pt>
                <c:pt idx="3">
                  <c:v>9.7644876007781889</c:v>
                </c:pt>
                <c:pt idx="4">
                  <c:v>10.411244581178821</c:v>
                </c:pt>
                <c:pt idx="5">
                  <c:v>11.095718202109621</c:v>
                </c:pt>
                <c:pt idx="6">
                  <c:v>12.716124307908188</c:v>
                </c:pt>
                <c:pt idx="7">
                  <c:v>14.739944802622405</c:v>
                </c:pt>
                <c:pt idx="8">
                  <c:v>16.400044820747812</c:v>
                </c:pt>
                <c:pt idx="9">
                  <c:v>18.176483411598003</c:v>
                </c:pt>
                <c:pt idx="10">
                  <c:v>20.930371109697354</c:v>
                </c:pt>
                <c:pt idx="11">
                  <c:v>21.48725052033932</c:v>
                </c:pt>
                <c:pt idx="12">
                  <c:v>21.151338514610458</c:v>
                </c:pt>
                <c:pt idx="13">
                  <c:v>18.638337632029327</c:v>
                </c:pt>
                <c:pt idx="14">
                  <c:v>13.507201473101391</c:v>
                </c:pt>
                <c:pt idx="15">
                  <c:v>6.6636073556173354</c:v>
                </c:pt>
                <c:pt idx="16">
                  <c:v>-6.6430699143899652</c:v>
                </c:pt>
                <c:pt idx="17">
                  <c:v>-27.151748057086103</c:v>
                </c:pt>
                <c:pt idx="18">
                  <c:v>-58.964825279511615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F6-4E35-9812-382AEFA5F39C}"/>
            </c:ext>
          </c:extLst>
        </c:ser>
        <c:ser>
          <c:idx val="1"/>
          <c:order val="1"/>
          <c:tx>
            <c:v>h=0km, m. ciągu, m=const.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'h=0km'!$G$3:$G$17</c:f>
              <c:numCache>
                <c:formatCode>0.0</c:formatCode>
                <c:ptCount val="15"/>
                <c:pt idx="0">
                  <c:v>45.931239174747347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'h=0km'!$L$3:$L$17</c:f>
              <c:numCache>
                <c:formatCode>0.00</c:formatCode>
                <c:ptCount val="15"/>
                <c:pt idx="0">
                  <c:v>8.988598510749636</c:v>
                </c:pt>
                <c:pt idx="1">
                  <c:v>13.657094900680693</c:v>
                </c:pt>
                <c:pt idx="2">
                  <c:v>16.646019177387522</c:v>
                </c:pt>
                <c:pt idx="3">
                  <c:v>18.79628605023618</c:v>
                </c:pt>
                <c:pt idx="4">
                  <c:v>20.41500961267004</c:v>
                </c:pt>
                <c:pt idx="5">
                  <c:v>21.215215120819067</c:v>
                </c:pt>
                <c:pt idx="6">
                  <c:v>21.260323979985298</c:v>
                </c:pt>
                <c:pt idx="7">
                  <c:v>20.349677620290091</c:v>
                </c:pt>
                <c:pt idx="8">
                  <c:v>18.289075488771584</c:v>
                </c:pt>
                <c:pt idx="9">
                  <c:v>15.169784028476812</c:v>
                </c:pt>
                <c:pt idx="10">
                  <c:v>10.267979776560965</c:v>
                </c:pt>
                <c:pt idx="11">
                  <c:v>2.8625121646929066</c:v>
                </c:pt>
                <c:pt idx="12">
                  <c:v>-5.7817646009204191</c:v>
                </c:pt>
                <c:pt idx="13">
                  <c:v>-18.013990853386808</c:v>
                </c:pt>
                <c:pt idx="14">
                  <c:v>-32.859791866052333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F6-4E35-9812-382AEFA5F39C}"/>
            </c:ext>
          </c:extLst>
        </c:ser>
        <c:ser>
          <c:idx val="2"/>
          <c:order val="2"/>
          <c:tx>
            <c:v>h=0km, m. ciągu, zmienna masa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50.003599658606447</c:v>
                </c:pt>
                <c:pt idx="1">
                  <c:v>61.431913968705985</c:v>
                </c:pt>
                <c:pt idx="2">
                  <c:v>72.860228278805522</c:v>
                </c:pt>
                <c:pt idx="3">
                  <c:v>84.288542588905074</c:v>
                </c:pt>
                <c:pt idx="4">
                  <c:v>95.716856899004597</c:v>
                </c:pt>
                <c:pt idx="5">
                  <c:v>107.14517120910415</c:v>
                </c:pt>
                <c:pt idx="6">
                  <c:v>118.57348551920369</c:v>
                </c:pt>
                <c:pt idx="7">
                  <c:v>130.00179982930322</c:v>
                </c:pt>
                <c:pt idx="8">
                  <c:v>141.43011413940275</c:v>
                </c:pt>
                <c:pt idx="9">
                  <c:v>152.8584284495023</c:v>
                </c:pt>
                <c:pt idx="10">
                  <c:v>164.28674275960185</c:v>
                </c:pt>
                <c:pt idx="11">
                  <c:v>175.71505706970137</c:v>
                </c:pt>
                <c:pt idx="12">
                  <c:v>187.14337137980093</c:v>
                </c:pt>
                <c:pt idx="13">
                  <c:v>198.57168568990045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masa'!$O$4:$O$18</c:f>
              <c:numCache>
                <c:formatCode>0.00</c:formatCode>
                <c:ptCount val="15"/>
                <c:pt idx="0">
                  <c:v>7.3702507124738617</c:v>
                </c:pt>
                <c:pt idx="1">
                  <c:v>10.499003087444358</c:v>
                </c:pt>
                <c:pt idx="2">
                  <c:v>13.194893691702633</c:v>
                </c:pt>
                <c:pt idx="3">
                  <c:v>15.509669749794682</c:v>
                </c:pt>
                <c:pt idx="4">
                  <c:v>17.442798449229731</c:v>
                </c:pt>
                <c:pt idx="5">
                  <c:v>18.962241232755577</c:v>
                </c:pt>
                <c:pt idx="6">
                  <c:v>20.012537627862194</c:v>
                </c:pt>
                <c:pt idx="7">
                  <c:v>20.516978423923938</c:v>
                </c:pt>
                <c:pt idx="8">
                  <c:v>20.376517452844443</c:v>
                </c:pt>
                <c:pt idx="9">
                  <c:v>19.466324923680027</c:v>
                </c:pt>
                <c:pt idx="10">
                  <c:v>17.630089950686052</c:v>
                </c:pt>
                <c:pt idx="11">
                  <c:v>14.671653990281284</c:v>
                </c:pt>
                <c:pt idx="12">
                  <c:v>10.343059484359541</c:v>
                </c:pt>
                <c:pt idx="13">
                  <c:v>4.3274266460251809</c:v>
                </c:pt>
                <c:pt idx="14">
                  <c:v>-3.785996060298269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F6-4E35-9812-382AEFA5F39C}"/>
            </c:ext>
          </c:extLst>
        </c:ser>
        <c:ser>
          <c:idx val="3"/>
          <c:order val="3"/>
          <c:tx>
            <c:v>h=2km, m. mocy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'h=2km'!$J$25:$J$43</c:f>
              <c:numCache>
                <c:formatCode>0.0</c:formatCode>
                <c:ptCount val="19"/>
                <c:pt idx="0">
                  <c:v>50.676077307156149</c:v>
                </c:pt>
                <c:pt idx="1">
                  <c:v>51.583559526432204</c:v>
                </c:pt>
                <c:pt idx="2">
                  <c:v>52.642397477034805</c:v>
                </c:pt>
                <c:pt idx="3">
                  <c:v>54.994711776505412</c:v>
                </c:pt>
                <c:pt idx="4">
                  <c:v>57.402934230393036</c:v>
                </c:pt>
                <c:pt idx="5">
                  <c:v>60.158025431899048</c:v>
                </c:pt>
                <c:pt idx="6">
                  <c:v>67.115818986986241</c:v>
                </c:pt>
                <c:pt idx="7">
                  <c:v>76.845872694860617</c:v>
                </c:pt>
                <c:pt idx="8">
                  <c:v>85.723600970367059</c:v>
                </c:pt>
                <c:pt idx="9">
                  <c:v>96.43291375426584</c:v>
                </c:pt>
                <c:pt idx="10">
                  <c:v>121.10821371837065</c:v>
                </c:pt>
                <c:pt idx="11">
                  <c:v>134.31550654696235</c:v>
                </c:pt>
                <c:pt idx="12">
                  <c:v>154.57977772254398</c:v>
                </c:pt>
                <c:pt idx="13">
                  <c:v>173.40057333126614</c:v>
                </c:pt>
                <c:pt idx="14">
                  <c:v>195.91930220508064</c:v>
                </c:pt>
                <c:pt idx="15">
                  <c:v>213.71135922237772</c:v>
                </c:pt>
                <c:pt idx="16">
                  <c:v>237.438513744658</c:v>
                </c:pt>
                <c:pt idx="17">
                  <c:v>260.91750520883818</c:v>
                </c:pt>
                <c:pt idx="18">
                  <c:v>283.16195051177249</c:v>
                </c:pt>
              </c:numCache>
            </c:numRef>
          </c:xVal>
          <c:yVal>
            <c:numRef>
              <c:f>'h=2km'!$O$25:$O$43</c:f>
              <c:numCache>
                <c:formatCode>0.00</c:formatCode>
                <c:ptCount val="19"/>
                <c:pt idx="0">
                  <c:v>7.0926518769841458</c:v>
                </c:pt>
                <c:pt idx="1">
                  <c:v>7.3303273204928168</c:v>
                </c:pt>
                <c:pt idx="2">
                  <c:v>7.6265298140798201</c:v>
                </c:pt>
                <c:pt idx="3">
                  <c:v>8.2364473822100202</c:v>
                </c:pt>
                <c:pt idx="4">
                  <c:v>8.84344543392322</c:v>
                </c:pt>
                <c:pt idx="5">
                  <c:v>9.4770859578795399</c:v>
                </c:pt>
                <c:pt idx="6">
                  <c:v>10.960195626673077</c:v>
                </c:pt>
                <c:pt idx="7">
                  <c:v>12.772124279659636</c:v>
                </c:pt>
                <c:pt idx="8">
                  <c:v>14.224623739315433</c:v>
                </c:pt>
                <c:pt idx="9">
                  <c:v>15.732592254883478</c:v>
                </c:pt>
                <c:pt idx="10">
                  <c:v>17.732843975507944</c:v>
                </c:pt>
                <c:pt idx="11">
                  <c:v>17.77419155781979</c:v>
                </c:pt>
                <c:pt idx="12">
                  <c:v>16.455920701594508</c:v>
                </c:pt>
                <c:pt idx="13">
                  <c:v>12.617575112443062</c:v>
                </c:pt>
                <c:pt idx="14">
                  <c:v>5.2567750789647629</c:v>
                </c:pt>
                <c:pt idx="15">
                  <c:v>-4.3137591680770013</c:v>
                </c:pt>
                <c:pt idx="16">
                  <c:v>-23.526484212300808</c:v>
                </c:pt>
                <c:pt idx="17">
                  <c:v>-55.357283907591416</c:v>
                </c:pt>
                <c:pt idx="18">
                  <c:v>-111.37458668595167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F6-4E35-9812-382AEFA5F39C}"/>
            </c:ext>
          </c:extLst>
        </c:ser>
        <c:ser>
          <c:idx val="4"/>
          <c:order val="4"/>
          <c:tx>
            <c:v>h=2km, m. ciągu, m=const.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'h=2km'!$G$3:$G$17</c:f>
              <c:numCache>
                <c:formatCode>0.0</c:formatCode>
                <c:ptCount val="15"/>
                <c:pt idx="0">
                  <c:v>50.676077307156149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'h=2km'!$L$3:$L$17</c:f>
              <c:numCache>
                <c:formatCode>0.00</c:formatCode>
                <c:ptCount val="15"/>
                <c:pt idx="0">
                  <c:v>7.4716717845893363</c:v>
                </c:pt>
                <c:pt idx="1">
                  <c:v>10.472670871708774</c:v>
                </c:pt>
                <c:pt idx="2">
                  <c:v>13.208866442927064</c:v>
                </c:pt>
                <c:pt idx="3">
                  <c:v>15.179780998868225</c:v>
                </c:pt>
                <c:pt idx="4">
                  <c:v>16.692841063626801</c:v>
                </c:pt>
                <c:pt idx="5">
                  <c:v>17.497548840057917</c:v>
                </c:pt>
                <c:pt idx="6">
                  <c:v>17.665613725845322</c:v>
                </c:pt>
                <c:pt idx="7">
                  <c:v>17.042466045129036</c:v>
                </c:pt>
                <c:pt idx="8">
                  <c:v>15.456187088475248</c:v>
                </c:pt>
                <c:pt idx="9">
                  <c:v>12.970543024404115</c:v>
                </c:pt>
                <c:pt idx="10">
                  <c:v>8.9908887340058499</c:v>
                </c:pt>
                <c:pt idx="11">
                  <c:v>2.8921308112019721</c:v>
                </c:pt>
                <c:pt idx="12">
                  <c:v>-4.3125245898372349</c:v>
                </c:pt>
                <c:pt idx="13">
                  <c:v>-14.629732815478791</c:v>
                </c:pt>
                <c:pt idx="14">
                  <c:v>-27.319914121592564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F6-4E35-9812-382AEFA5F39C}"/>
            </c:ext>
          </c:extLst>
        </c:ser>
        <c:ser>
          <c:idx val="5"/>
          <c:order val="5"/>
          <c:tx>
            <c:v>h=2km, m. ciągu, zmienna masa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masa'!$J$22:$J$36</c:f>
              <c:numCache>
                <c:formatCode>0.0</c:formatCode>
                <c:ptCount val="15"/>
                <c:pt idx="0">
                  <c:v>54.991165562477157</c:v>
                </c:pt>
                <c:pt idx="1">
                  <c:v>66.063225165157363</c:v>
                </c:pt>
                <c:pt idx="2">
                  <c:v>77.135284767837561</c:v>
                </c:pt>
                <c:pt idx="3">
                  <c:v>88.207344370517774</c:v>
                </c:pt>
                <c:pt idx="4">
                  <c:v>99.279403973197958</c:v>
                </c:pt>
                <c:pt idx="5">
                  <c:v>110.35146357587817</c:v>
                </c:pt>
                <c:pt idx="6">
                  <c:v>121.42352317855838</c:v>
                </c:pt>
                <c:pt idx="7">
                  <c:v>132.49558278123857</c:v>
                </c:pt>
                <c:pt idx="8">
                  <c:v>143.56764238391878</c:v>
                </c:pt>
                <c:pt idx="9">
                  <c:v>154.63970198659896</c:v>
                </c:pt>
                <c:pt idx="10">
                  <c:v>165.71176158927918</c:v>
                </c:pt>
                <c:pt idx="11">
                  <c:v>176.78382119195939</c:v>
                </c:pt>
                <c:pt idx="12">
                  <c:v>187.8558807946396</c:v>
                </c:pt>
                <c:pt idx="13">
                  <c:v>198.92794039731979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masa'!$O$22:$O$36</c:f>
              <c:numCache>
                <c:formatCode>0.00</c:formatCode>
                <c:ptCount val="15"/>
                <c:pt idx="0">
                  <c:v>5.9623482875690117</c:v>
                </c:pt>
                <c:pt idx="1">
                  <c:v>8.6279433757524959</c:v>
                </c:pt>
                <c:pt idx="2">
                  <c:v>10.910278353441688</c:v>
                </c:pt>
                <c:pt idx="3">
                  <c:v>12.856670737797735</c:v>
                </c:pt>
                <c:pt idx="4">
                  <c:v>14.473201768838477</c:v>
                </c:pt>
                <c:pt idx="5">
                  <c:v>15.739703237926438</c:v>
                </c:pt>
                <c:pt idx="6">
                  <c:v>16.616115270423947</c:v>
                </c:pt>
                <c:pt idx="7">
                  <c:v>17.04439702898884</c:v>
                </c:pt>
                <c:pt idx="8">
                  <c:v>16.947811552320999</c:v>
                </c:pt>
                <c:pt idx="9">
                  <c:v>16.228231087914313</c:v>
                </c:pt>
                <c:pt idx="10">
                  <c:v>14.761525300176732</c:v>
                </c:pt>
                <c:pt idx="11">
                  <c:v>12.390666936829433</c:v>
                </c:pt>
                <c:pt idx="12">
                  <c:v>8.9157574245469124</c:v>
                </c:pt>
                <c:pt idx="13">
                  <c:v>4.0795791288031555</c:v>
                </c:pt>
                <c:pt idx="14">
                  <c:v>-2.4536868673790679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1F6-4E35-9812-382AEFA5F39C}"/>
            </c:ext>
          </c:extLst>
        </c:ser>
        <c:ser>
          <c:idx val="6"/>
          <c:order val="6"/>
          <c:tx>
            <c:v>h=4km, m. mocy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'h=4km'!$J$25:$J$43</c:f>
              <c:numCache>
                <c:formatCode>0.0</c:formatCode>
                <c:ptCount val="19"/>
                <c:pt idx="0">
                  <c:v>56.177984453296382</c:v>
                </c:pt>
                <c:pt idx="1">
                  <c:v>57.183992114408973</c:v>
                </c:pt>
                <c:pt idx="2">
                  <c:v>58.357788214824851</c:v>
                </c:pt>
                <c:pt idx="3">
                  <c:v>60.965493529976882</c:v>
                </c:pt>
                <c:pt idx="4">
                  <c:v>63.635176953864821</c:v>
                </c:pt>
                <c:pt idx="5">
                  <c:v>66.689388702487321</c:v>
                </c:pt>
                <c:pt idx="6">
                  <c:v>74.402590649784401</c:v>
                </c:pt>
                <c:pt idx="7">
                  <c:v>85.189037331866416</c:v>
                </c:pt>
                <c:pt idx="8">
                  <c:v>95.030621518011813</c:v>
                </c:pt>
                <c:pt idx="9">
                  <c:v>106.90264553898702</c:v>
                </c:pt>
                <c:pt idx="10">
                  <c:v>134.25694546559467</c:v>
                </c:pt>
                <c:pt idx="11">
                  <c:v>148.89815549251958</c:v>
                </c:pt>
                <c:pt idx="12">
                  <c:v>171.36252076213466</c:v>
                </c:pt>
                <c:pt idx="13">
                  <c:v>192.22669216784359</c:v>
                </c:pt>
                <c:pt idx="14">
                  <c:v>217.1902818496855</c:v>
                </c:pt>
                <c:pt idx="15">
                  <c:v>236.91402440480891</c:v>
                </c:pt>
                <c:pt idx="16">
                  <c:v>263.21723863732393</c:v>
                </c:pt>
                <c:pt idx="17">
                  <c:v>289.24534672191584</c:v>
                </c:pt>
              </c:numCache>
            </c:numRef>
          </c:xVal>
          <c:yVal>
            <c:numRef>
              <c:f>'h=4km'!$O$25:$O$43</c:f>
              <c:numCache>
                <c:formatCode>0.00</c:formatCode>
                <c:ptCount val="19"/>
                <c:pt idx="0">
                  <c:v>5.5710967954506287</c:v>
                </c:pt>
                <c:pt idx="1">
                  <c:v>5.7951921745867505</c:v>
                </c:pt>
                <c:pt idx="2">
                  <c:v>6.0777757525055813</c:v>
                </c:pt>
                <c:pt idx="3">
                  <c:v>6.6524001826776287</c:v>
                </c:pt>
                <c:pt idx="4">
                  <c:v>7.2218458073246596</c:v>
                </c:pt>
                <c:pt idx="5">
                  <c:v>7.8062883937988587</c:v>
                </c:pt>
                <c:pt idx="6">
                  <c:v>9.1548074886246766</c:v>
                </c:pt>
                <c:pt idx="7">
                  <c:v>10.755169177386023</c:v>
                </c:pt>
                <c:pt idx="8">
                  <c:v>11.997452864360652</c:v>
                </c:pt>
                <c:pt idx="9">
                  <c:v>13.229197718205205</c:v>
                </c:pt>
                <c:pt idx="10">
                  <c:v>14.41546866725302</c:v>
                </c:pt>
                <c:pt idx="11">
                  <c:v>13.864038091209963</c:v>
                </c:pt>
                <c:pt idx="12">
                  <c:v>11.335810697020314</c:v>
                </c:pt>
                <c:pt idx="13">
                  <c:v>5.7021395964257975</c:v>
                </c:pt>
                <c:pt idx="14">
                  <c:v>-5.0753874173283329</c:v>
                </c:pt>
                <c:pt idx="15">
                  <c:v>-19.440572876073663</c:v>
                </c:pt>
                <c:pt idx="16">
                  <c:v>-51.410822375755423</c:v>
                </c:pt>
                <c:pt idx="17">
                  <c:v>-118.37111846545886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1F6-4E35-9812-382AEFA5F39C}"/>
            </c:ext>
          </c:extLst>
        </c:ser>
        <c:ser>
          <c:idx val="7"/>
          <c:order val="7"/>
          <c:tx>
            <c:v>h=4km, m. ciągu, m=const.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'h=4km'!$G$3:$G$17</c:f>
              <c:numCache>
                <c:formatCode>0.0</c:formatCode>
                <c:ptCount val="15"/>
                <c:pt idx="0">
                  <c:v>56.177984453296389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'h=4km'!$L$3:$L$17</c:f>
              <c:numCache>
                <c:formatCode>0.00</c:formatCode>
                <c:ptCount val="15"/>
                <c:pt idx="0">
                  <c:v>5.9101660249976566</c:v>
                </c:pt>
                <c:pt idx="1">
                  <c:v>7.4016579118681136</c:v>
                </c:pt>
                <c:pt idx="2">
                  <c:v>9.9523138923493963</c:v>
                </c:pt>
                <c:pt idx="3">
                  <c:v>11.78657334443278</c:v>
                </c:pt>
                <c:pt idx="4">
                  <c:v>13.21918422911715</c:v>
                </c:pt>
                <c:pt idx="5">
                  <c:v>14.031962007204026</c:v>
                </c:pt>
                <c:pt idx="6">
                  <c:v>14.306217097107112</c:v>
                </c:pt>
                <c:pt idx="7">
                  <c:v>13.92783978006697</c:v>
                </c:pt>
                <c:pt idx="8">
                  <c:v>12.745011976751448</c:v>
                </c:pt>
                <c:pt idx="9">
                  <c:v>10.799309225604452</c:v>
                </c:pt>
                <c:pt idx="10">
                  <c:v>7.6074610072200848</c:v>
                </c:pt>
                <c:pt idx="11">
                  <c:v>2.6282885019978353</c:v>
                </c:pt>
                <c:pt idx="12">
                  <c:v>-3.3398510113355036</c:v>
                </c:pt>
                <c:pt idx="13">
                  <c:v>-12.010056388877096</c:v>
                </c:pt>
                <c:pt idx="14">
                  <c:v>-22.848933667264809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1F6-4E35-9812-382AEFA5F39C}"/>
            </c:ext>
          </c:extLst>
        </c:ser>
        <c:ser>
          <c:idx val="8"/>
          <c:order val="8"/>
          <c:tx>
            <c:v>h=4km, m. ciągu, zmienna masa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masa'!$J$40:$J$54</c:f>
              <c:numCache>
                <c:formatCode>0.0</c:formatCode>
                <c:ptCount val="15"/>
                <c:pt idx="0">
                  <c:v>60.760126838427631</c:v>
                </c:pt>
                <c:pt idx="1">
                  <c:v>71.420117778539947</c:v>
                </c:pt>
                <c:pt idx="2">
                  <c:v>82.080108718652255</c:v>
                </c:pt>
                <c:pt idx="3">
                  <c:v>92.740099658764564</c:v>
                </c:pt>
                <c:pt idx="4">
                  <c:v>103.40009059887689</c:v>
                </c:pt>
                <c:pt idx="5">
                  <c:v>114.06008153898918</c:v>
                </c:pt>
                <c:pt idx="6">
                  <c:v>124.7200724791015</c:v>
                </c:pt>
                <c:pt idx="7">
                  <c:v>135.38006341921383</c:v>
                </c:pt>
                <c:pt idx="8">
                  <c:v>146.04005435932612</c:v>
                </c:pt>
                <c:pt idx="9">
                  <c:v>156.70004529943844</c:v>
                </c:pt>
                <c:pt idx="10">
                  <c:v>167.36003623955074</c:v>
                </c:pt>
                <c:pt idx="11">
                  <c:v>178.02002717966306</c:v>
                </c:pt>
                <c:pt idx="12">
                  <c:v>188.68001811977538</c:v>
                </c:pt>
                <c:pt idx="13">
                  <c:v>199.34000905988768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masa'!$O$40:$O$54</c:f>
              <c:numCache>
                <c:formatCode>0.00</c:formatCode>
                <c:ptCount val="15"/>
                <c:pt idx="0">
                  <c:v>4.495963305476808</c:v>
                </c:pt>
                <c:pt idx="1">
                  <c:v>6.7542646205201482</c:v>
                </c:pt>
                <c:pt idx="2">
                  <c:v>8.6789257706901868</c:v>
                </c:pt>
                <c:pt idx="3">
                  <c:v>10.310853637487972</c:v>
                </c:pt>
                <c:pt idx="4">
                  <c:v>11.659717978010365</c:v>
                </c:pt>
                <c:pt idx="5">
                  <c:v>12.714083855207191</c:v>
                </c:pt>
                <c:pt idx="6">
                  <c:v>13.44605877838003</c:v>
                </c:pt>
                <c:pt idx="7">
                  <c:v>13.81281037812866</c:v>
                </c:pt>
                <c:pt idx="8">
                  <c:v>13.75606281403244</c:v>
                </c:pt>
                <c:pt idx="9">
                  <c:v>13.199996370712345</c:v>
                </c:pt>
                <c:pt idx="10">
                  <c:v>12.047553359245509</c:v>
                </c:pt>
                <c:pt idx="11">
                  <c:v>10.174825017291409</c:v>
                </c:pt>
                <c:pt idx="12">
                  <c:v>7.4228301988708276</c:v>
                </c:pt>
                <c:pt idx="13">
                  <c:v>3.5854755188470953</c:v>
                </c:pt>
                <c:pt idx="14">
                  <c:v>-1.6083770246258724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1F6-4E35-9812-382AEFA5F39C}"/>
            </c:ext>
          </c:extLst>
        </c:ser>
        <c:ser>
          <c:idx val="9"/>
          <c:order val="9"/>
          <c:tx>
            <c:v>h=6km, m. mocy</c:v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'h=6km'!$J$25:$J$42</c:f>
              <c:numCache>
                <c:formatCode>0.0</c:formatCode>
                <c:ptCount val="18"/>
                <c:pt idx="0">
                  <c:v>62.604896336843368</c:v>
                </c:pt>
                <c:pt idx="1">
                  <c:v>63.725993968788195</c:v>
                </c:pt>
                <c:pt idx="2">
                  <c:v>65.034075486882159</c:v>
                </c:pt>
                <c:pt idx="3">
                  <c:v>67.940109274332301</c:v>
                </c:pt>
                <c:pt idx="4">
                  <c:v>70.915211632154367</c:v>
                </c:pt>
                <c:pt idx="5">
                  <c:v>74.318833384946899</c:v>
                </c:pt>
                <c:pt idx="6">
                  <c:v>82.914446293365131</c:v>
                </c:pt>
                <c:pt idx="7">
                  <c:v>94.934891365331538</c:v>
                </c:pt>
                <c:pt idx="8">
                  <c:v>105.90237914119098</c:v>
                </c:pt>
                <c:pt idx="9">
                  <c:v>119.13259450713322</c:v>
                </c:pt>
                <c:pt idx="10">
                  <c:v>149.61629960865557</c:v>
                </c:pt>
                <c:pt idx="11">
                  <c:v>165.93250327636838</c:v>
                </c:pt>
                <c:pt idx="12">
                  <c:v>190.96685209937448</c:v>
                </c:pt>
                <c:pt idx="13">
                  <c:v>214.21794059462744</c:v>
                </c:pt>
                <c:pt idx="14">
                  <c:v>242.03743179631834</c:v>
                </c:pt>
                <c:pt idx="15">
                  <c:v>264.01762332605608</c:v>
                </c:pt>
                <c:pt idx="16">
                  <c:v>293.3299957149477</c:v>
                </c:pt>
              </c:numCache>
            </c:numRef>
          </c:xVal>
          <c:yVal>
            <c:numRef>
              <c:f>'h=6km'!$O$25:$O$42</c:f>
              <c:numCache>
                <c:formatCode>0.00</c:formatCode>
                <c:ptCount val="18"/>
                <c:pt idx="0">
                  <c:v>3.9692537928711364</c:v>
                </c:pt>
                <c:pt idx="1">
                  <c:v>4.1807262407879495</c:v>
                </c:pt>
                <c:pt idx="2">
                  <c:v>4.4512305759415316</c:v>
                </c:pt>
                <c:pt idx="3">
                  <c:v>4.9930827441712538</c:v>
                </c:pt>
                <c:pt idx="4">
                  <c:v>5.5273371482119042</c:v>
                </c:pt>
                <c:pt idx="5">
                  <c:v>6.0641430781244514</c:v>
                </c:pt>
                <c:pt idx="6">
                  <c:v>7.280099485901836</c:v>
                </c:pt>
                <c:pt idx="7">
                  <c:v>8.6668341172540515</c:v>
                </c:pt>
                <c:pt idx="8">
                  <c:v>9.6924294971007132</c:v>
                </c:pt>
                <c:pt idx="9">
                  <c:v>10.632319446290291</c:v>
                </c:pt>
                <c:pt idx="10">
                  <c:v>10.894042597051016</c:v>
                </c:pt>
                <c:pt idx="11">
                  <c:v>9.6056565355744983</c:v>
                </c:pt>
                <c:pt idx="12">
                  <c:v>5.4112575957281344</c:v>
                </c:pt>
                <c:pt idx="13">
                  <c:v>-3.0520786711070045</c:v>
                </c:pt>
                <c:pt idx="14">
                  <c:v>-20.377637260602469</c:v>
                </c:pt>
                <c:pt idx="15">
                  <c:v>-46.499958918260361</c:v>
                </c:pt>
                <c:pt idx="16" formatCode="0.0">
                  <c:v>-131.42959498800178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1F6-4E35-9812-382AEFA5F39C}"/>
            </c:ext>
          </c:extLst>
        </c:ser>
        <c:ser>
          <c:idx val="10"/>
          <c:order val="10"/>
          <c:tx>
            <c:v>h=6km, m. ciągu, m=const.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'h=6km'!$G$3:$G$17</c:f>
              <c:numCache>
                <c:formatCode>0.0</c:formatCode>
                <c:ptCount val="15"/>
                <c:pt idx="0">
                  <c:v>62.604896336843368</c:v>
                </c:pt>
                <c:pt idx="1">
                  <c:v>63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'h=6km'!$L$3:$L$17</c:f>
              <c:numCache>
                <c:formatCode>0.00</c:formatCode>
                <c:ptCount val="15"/>
                <c:pt idx="0">
                  <c:v>4.2831325160521168</c:v>
                </c:pt>
                <c:pt idx="1">
                  <c:v>4.3616165501408695</c:v>
                </c:pt>
                <c:pt idx="2">
                  <c:v>6.7998098325616132</c:v>
                </c:pt>
                <c:pt idx="3">
                  <c:v>8.5452195732202387</c:v>
                </c:pt>
                <c:pt idx="4">
                  <c:v>9.9280658445522558</c:v>
                </c:pt>
                <c:pt idx="5">
                  <c:v>10.758063175065899</c:v>
                </c:pt>
                <c:pt idx="6">
                  <c:v>11.128271235079136</c:v>
                </c:pt>
                <c:pt idx="7">
                  <c:v>10.960451238393684</c:v>
                </c:pt>
                <c:pt idx="8">
                  <c:v>10.120662676429108</c:v>
                </c:pt>
                <c:pt idx="9">
                  <c:v>8.6329517167596475</c:v>
                </c:pt>
                <c:pt idx="10">
                  <c:v>6.1097051252759069</c:v>
                </c:pt>
                <c:pt idx="11">
                  <c:v>2.0823084102255613</c:v>
                </c:pt>
                <c:pt idx="12">
                  <c:v>-2.8331001844373835</c:v>
                </c:pt>
                <c:pt idx="13">
                  <c:v>-10.101339345026506</c:v>
                </c:pt>
                <c:pt idx="14">
                  <c:v>-19.37175755785373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1F6-4E35-9812-382AEFA5F39C}"/>
            </c:ext>
          </c:extLst>
        </c:ser>
        <c:ser>
          <c:idx val="11"/>
          <c:order val="11"/>
          <c:tx>
            <c:v>h=6km, m. ciągu, zmienna masa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masa'!$J$58:$J$72</c:f>
              <c:numCache>
                <c:formatCode>0.0</c:formatCode>
                <c:ptCount val="15"/>
                <c:pt idx="0">
                  <c:v>67.478052266794421</c:v>
                </c:pt>
                <c:pt idx="1">
                  <c:v>77.658191390594823</c:v>
                </c:pt>
                <c:pt idx="2">
                  <c:v>87.838330514395224</c:v>
                </c:pt>
                <c:pt idx="3">
                  <c:v>98.018469638195626</c:v>
                </c:pt>
                <c:pt idx="4">
                  <c:v>108.19860876199601</c:v>
                </c:pt>
                <c:pt idx="5">
                  <c:v>118.37874788579643</c:v>
                </c:pt>
                <c:pt idx="6">
                  <c:v>128.55888700959682</c:v>
                </c:pt>
                <c:pt idx="7">
                  <c:v>138.7390261333972</c:v>
                </c:pt>
                <c:pt idx="8">
                  <c:v>148.91916525719762</c:v>
                </c:pt>
                <c:pt idx="9">
                  <c:v>159.09930438099803</c:v>
                </c:pt>
                <c:pt idx="10">
                  <c:v>169.27944350479842</c:v>
                </c:pt>
                <c:pt idx="11">
                  <c:v>179.45958262859881</c:v>
                </c:pt>
                <c:pt idx="12">
                  <c:v>189.63972175239923</c:v>
                </c:pt>
                <c:pt idx="13">
                  <c:v>199.81986087619964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masa'!$O$58:$O$72</c:f>
              <c:numCache>
                <c:formatCode>0.00</c:formatCode>
                <c:ptCount val="15"/>
                <c:pt idx="0">
                  <c:v>2.9505792299741671</c:v>
                </c:pt>
                <c:pt idx="1">
                  <c:v>4.8527683199869056</c:v>
                </c:pt>
                <c:pt idx="2">
                  <c:v>6.4702485222944768</c:v>
                </c:pt>
                <c:pt idx="3">
                  <c:v>7.8363550341524988</c:v>
                </c:pt>
                <c:pt idx="4">
                  <c:v>8.9618752846644707</c:v>
                </c:pt>
                <c:pt idx="5">
                  <c:v>9.8413182374313344</c:v>
                </c:pt>
                <c:pt idx="6">
                  <c:v>10.456035873133004</c:v>
                </c:pt>
                <c:pt idx="7">
                  <c:v>10.775267238995767</c:v>
                </c:pt>
                <c:pt idx="8">
                  <c:v>10.755728867291857</c:v>
                </c:pt>
                <c:pt idx="9">
                  <c:v>10.339968440127919</c:v>
                </c:pt>
                <c:pt idx="10">
                  <c:v>9.4534344009145794</c:v>
                </c:pt>
                <c:pt idx="11">
                  <c:v>7.9999688249217744</c:v>
                </c:pt>
                <c:pt idx="12">
                  <c:v>5.8551332253766653</c:v>
                </c:pt>
                <c:pt idx="13">
                  <c:v>2.8563315302614809</c:v>
                </c:pt>
                <c:pt idx="14">
                  <c:v>-1.2120607176651916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1F6-4E35-9812-382AEFA5F39C}"/>
            </c:ext>
          </c:extLst>
        </c:ser>
        <c:ser>
          <c:idx val="12"/>
          <c:order val="12"/>
          <c:tx>
            <c:v>h=8km, m. mocy</c:v>
          </c:tx>
          <c:spPr>
            <a:ln w="1905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'h=8km'!$J$25:$J$41</c:f>
              <c:numCache>
                <c:formatCode>0.0</c:formatCode>
                <c:ptCount val="17"/>
                <c:pt idx="0">
                  <c:v>70.173638246544257</c:v>
                </c:pt>
                <c:pt idx="1">
                  <c:v>71.430273178736542</c:v>
                </c:pt>
                <c:pt idx="2">
                  <c:v>72.896497781263278</c:v>
                </c:pt>
                <c:pt idx="3">
                  <c:v>76.153862231410116</c:v>
                </c:pt>
                <c:pt idx="4">
                  <c:v>79.488645432406841</c:v>
                </c:pt>
                <c:pt idx="5">
                  <c:v>83.303754722316654</c:v>
                </c:pt>
                <c:pt idx="6">
                  <c:v>92.93855113659788</c:v>
                </c:pt>
                <c:pt idx="7">
                  <c:v>106.41223152581387</c:v>
                </c:pt>
                <c:pt idx="8">
                  <c:v>118.7056552784162</c:v>
                </c:pt>
                <c:pt idx="9">
                  <c:v>133.53536351750049</c:v>
                </c:pt>
                <c:pt idx="10">
                  <c:v>167.70445602264468</c:v>
                </c:pt>
                <c:pt idx="11">
                  <c:v>185.99323918066736</c:v>
                </c:pt>
                <c:pt idx="12">
                  <c:v>214.05416477650726</c:v>
                </c:pt>
                <c:pt idx="13">
                  <c:v>240.11623928463251</c:v>
                </c:pt>
                <c:pt idx="14">
                  <c:v>271.29902251753913</c:v>
                </c:pt>
                <c:pt idx="15">
                  <c:v>295.93655247523742</c:v>
                </c:pt>
              </c:numCache>
            </c:numRef>
          </c:xVal>
          <c:yVal>
            <c:numRef>
              <c:f>'h=8km'!$O$25:$O$41</c:f>
              <c:numCache>
                <c:formatCode>0.00</c:formatCode>
                <c:ptCount val="17"/>
                <c:pt idx="0">
                  <c:v>2.2596523882707027</c:v>
                </c:pt>
                <c:pt idx="1">
                  <c:v>2.4594862172243381</c:v>
                </c:pt>
                <c:pt idx="2">
                  <c:v>2.7196047940377568</c:v>
                </c:pt>
                <c:pt idx="3">
                  <c:v>3.2312777701144806</c:v>
                </c:pt>
                <c:pt idx="4">
                  <c:v>3.732696397804725</c:v>
                </c:pt>
                <c:pt idx="5">
                  <c:v>4.2230427244697761</c:v>
                </c:pt>
                <c:pt idx="6">
                  <c:v>5.3066425282628122</c:v>
                </c:pt>
                <c:pt idx="7">
                  <c:v>6.4724913044378347</c:v>
                </c:pt>
                <c:pt idx="8">
                  <c:v>7.2667432629257771</c:v>
                </c:pt>
                <c:pt idx="9">
                  <c:v>7.8823129622108805</c:v>
                </c:pt>
                <c:pt idx="10">
                  <c:v>6.9971401844097567</c:v>
                </c:pt>
                <c:pt idx="11">
                  <c:v>4.6667860633554561</c:v>
                </c:pt>
                <c:pt idx="12">
                  <c:v>-2.2792416389170285</c:v>
                </c:pt>
                <c:pt idx="13">
                  <c:v>-16.524426658058925</c:v>
                </c:pt>
                <c:pt idx="14">
                  <c:v>-53.746894705756795</c:v>
                </c:pt>
                <c:pt idx="15">
                  <c:v>-162.02182463582989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1F6-4E35-9812-382AEFA5F39C}"/>
            </c:ext>
          </c:extLst>
        </c:ser>
        <c:ser>
          <c:idx val="13"/>
          <c:order val="13"/>
          <c:tx>
            <c:v>h=8km, m. ciągu, m=const.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'h=8km'!$G$3:$G$17</c:f>
              <c:numCache>
                <c:formatCode>0.0</c:formatCode>
                <c:ptCount val="15"/>
                <c:pt idx="0">
                  <c:v>70.173638246544257</c:v>
                </c:pt>
                <c:pt idx="1">
                  <c:v>75</c:v>
                </c:pt>
                <c:pt idx="2">
                  <c:v>77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'h=8km'!$L$3:$L$17</c:f>
              <c:numCache>
                <c:formatCode>0.00</c:formatCode>
                <c:ptCount val="15"/>
                <c:pt idx="0">
                  <c:v>2.562383477251339</c:v>
                </c:pt>
                <c:pt idx="1">
                  <c:v>3.3487607300178657</c:v>
                </c:pt>
                <c:pt idx="2">
                  <c:v>3.6535984248390334</c:v>
                </c:pt>
                <c:pt idx="3">
                  <c:v>5.3648711633415962</c:v>
                </c:pt>
                <c:pt idx="4">
                  <c:v>6.7357087522828873</c:v>
                </c:pt>
                <c:pt idx="5">
                  <c:v>7.598712831727501</c:v>
                </c:pt>
                <c:pt idx="6">
                  <c:v>8.0618005847628122</c:v>
                </c:pt>
                <c:pt idx="7">
                  <c:v>8.0790977401152979</c:v>
                </c:pt>
                <c:pt idx="8">
                  <c:v>7.5322024399643963</c:v>
                </c:pt>
                <c:pt idx="9">
                  <c:v>6.4317051395534559</c:v>
                </c:pt>
                <c:pt idx="10">
                  <c:v>4.4718870572049783</c:v>
                </c:pt>
                <c:pt idx="11">
                  <c:v>1.2459130054667742</c:v>
                </c:pt>
                <c:pt idx="12">
                  <c:v>-2.7836386930267172</c:v>
                </c:pt>
                <c:pt idx="13">
                  <c:v>-8.8760053698303025</c:v>
                </c:pt>
                <c:pt idx="14">
                  <c:v>-16.846399990598503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1F6-4E35-9812-382AEFA5F39C}"/>
            </c:ext>
          </c:extLst>
        </c:ser>
        <c:ser>
          <c:idx val="14"/>
          <c:order val="14"/>
          <c:tx>
            <c:v>h=8km, m. ciągu, zmienna masa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masa'!$J$76:$J$90</c:f>
              <c:numCache>
                <c:formatCode>0.0</c:formatCode>
                <c:ptCount val="15"/>
                <c:pt idx="0">
                  <c:v>75.356120124418212</c:v>
                </c:pt>
                <c:pt idx="1">
                  <c:v>84.973540115531193</c:v>
                </c:pt>
                <c:pt idx="2">
                  <c:v>94.590960106644175</c:v>
                </c:pt>
                <c:pt idx="3">
                  <c:v>104.20838009775716</c:v>
                </c:pt>
                <c:pt idx="4">
                  <c:v>113.82580008887015</c:v>
                </c:pt>
                <c:pt idx="5">
                  <c:v>123.44322007998312</c:v>
                </c:pt>
                <c:pt idx="6">
                  <c:v>133.06064007109612</c:v>
                </c:pt>
                <c:pt idx="7">
                  <c:v>142.67806006220911</c:v>
                </c:pt>
                <c:pt idx="8">
                  <c:v>152.29548005332208</c:v>
                </c:pt>
                <c:pt idx="9">
                  <c:v>161.91290004443505</c:v>
                </c:pt>
                <c:pt idx="10">
                  <c:v>171.53032003554804</c:v>
                </c:pt>
                <c:pt idx="11">
                  <c:v>181.14774002666104</c:v>
                </c:pt>
                <c:pt idx="12">
                  <c:v>190.76516001777401</c:v>
                </c:pt>
                <c:pt idx="13">
                  <c:v>200.382580008887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masa'!$O$76:$O$90</c:f>
              <c:numCache>
                <c:formatCode>0.00</c:formatCode>
                <c:ptCount val="15"/>
                <c:pt idx="0">
                  <c:v>1.2986050616650862</c:v>
                </c:pt>
                <c:pt idx="1">
                  <c:v>2.8906492480251651</c:v>
                </c:pt>
                <c:pt idx="2">
                  <c:v>4.2454903492987652</c:v>
                </c:pt>
                <c:pt idx="3">
                  <c:v>5.3885173513368496</c:v>
                </c:pt>
                <c:pt idx="4">
                  <c:v>6.3297127874424328</c:v>
                </c:pt>
                <c:pt idx="5">
                  <c:v>7.0671525211080697</c:v>
                </c:pt>
                <c:pt idx="6">
                  <c:v>7.5888267153990645</c:v>
                </c:pt>
                <c:pt idx="7">
                  <c:v>7.8732263710559476</c:v>
                </c:pt>
                <c:pt idx="8">
                  <c:v>7.8889454571028219</c:v>
                </c:pt>
                <c:pt idx="9">
                  <c:v>7.5933734689542423</c:v>
                </c:pt>
                <c:pt idx="10">
                  <c:v>6.9303921648466016</c:v>
                </c:pt>
                <c:pt idx="11">
                  <c:v>5.8268142914458707</c:v>
                </c:pt>
                <c:pt idx="12">
                  <c:v>4.1870666835777284</c:v>
                </c:pt>
                <c:pt idx="13">
                  <c:v>1.8852498246164235</c:v>
                </c:pt>
                <c:pt idx="14">
                  <c:v>-1.2469355447795512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1F6-4E35-9812-382AEFA5F39C}"/>
            </c:ext>
          </c:extLst>
        </c:ser>
        <c:ser>
          <c:idx val="15"/>
          <c:order val="15"/>
          <c:tx>
            <c:v>h=10km, m. mocy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'h=10km'!$J$25:$J$39</c:f>
              <c:numCache>
                <c:formatCode>0.0</c:formatCode>
                <c:ptCount val="15"/>
                <c:pt idx="0">
                  <c:v>79.167950910162872</c:v>
                </c:pt>
                <c:pt idx="1">
                  <c:v>80.585651561143351</c:v>
                </c:pt>
                <c:pt idx="2">
                  <c:v>82.239805460764302</c:v>
                </c:pt>
                <c:pt idx="3">
                  <c:v>85.914673621079956</c:v>
                </c:pt>
                <c:pt idx="4">
                  <c:v>89.676883467247436</c:v>
                </c:pt>
                <c:pt idx="5">
                  <c:v>93.980983874858282</c:v>
                </c:pt>
                <c:pt idx="6">
                  <c:v>104.8506937632834</c:v>
                </c:pt>
                <c:pt idx="7">
                  <c:v>120.05132599906754</c:v>
                </c:pt>
                <c:pt idx="8">
                  <c:v>133.92042545696518</c:v>
                </c:pt>
                <c:pt idx="9">
                  <c:v>150.65089067467358</c:v>
                </c:pt>
                <c:pt idx="10">
                  <c:v>189.1995124318658</c:v>
                </c:pt>
                <c:pt idx="11">
                  <c:v>209.832409962047</c:v>
                </c:pt>
                <c:pt idx="12">
                  <c:v>241.48996735219114</c:v>
                </c:pt>
                <c:pt idx="13">
                  <c:v>270.89247642585843</c:v>
                </c:pt>
              </c:numCache>
            </c:numRef>
          </c:xVal>
          <c:yVal>
            <c:numRef>
              <c:f>'h=10km'!$O$25:$O$39</c:f>
              <c:numCache>
                <c:formatCode>0.00</c:formatCode>
                <c:ptCount val="15"/>
                <c:pt idx="0">
                  <c:v>0.4023421416415055</c:v>
                </c:pt>
                <c:pt idx="1">
                  <c:v>0.59140941842654826</c:v>
                </c:pt>
                <c:pt idx="2">
                  <c:v>0.8428784334432261</c:v>
                </c:pt>
                <c:pt idx="3">
                  <c:v>1.3266468044639967</c:v>
                </c:pt>
                <c:pt idx="4">
                  <c:v>1.797108473625538</c:v>
                </c:pt>
                <c:pt idx="5">
                  <c:v>2.2410107241118871</c:v>
                </c:pt>
                <c:pt idx="6">
                  <c:v>3.1878782623283226</c:v>
                </c:pt>
                <c:pt idx="7">
                  <c:v>4.1137051559218563</c:v>
                </c:pt>
                <c:pt idx="8">
                  <c:v>4.6432656942803909</c:v>
                </c:pt>
                <c:pt idx="9">
                  <c:v>4.8625105634610293</c:v>
                </c:pt>
                <c:pt idx="10">
                  <c:v>2.319648824704323</c:v>
                </c:pt>
                <c:pt idx="11">
                  <c:v>-1.8355898070286076</c:v>
                </c:pt>
                <c:pt idx="12">
                  <c:v>-15.055519527610237</c:v>
                </c:pt>
                <c:pt idx="13">
                  <c:v>-50.630424850499949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1F6-4E35-9812-382AEFA5F39C}"/>
            </c:ext>
          </c:extLst>
        </c:ser>
        <c:ser>
          <c:idx val="16"/>
          <c:order val="16"/>
          <c:tx>
            <c:v>h=10km, m. ciągu, m=const.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'h=10km'!$G$3:$G$17</c:f>
              <c:numCache>
                <c:formatCode>0.0</c:formatCode>
                <c:ptCount val="15"/>
                <c:pt idx="0">
                  <c:v>79.167950910162872</c:v>
                </c:pt>
                <c:pt idx="1">
                  <c:v>80</c:v>
                </c:pt>
                <c:pt idx="2">
                  <c:v>85</c:v>
                </c:pt>
                <c:pt idx="3">
                  <c:v>90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'h=10km'!$L$3:$L$17</c:f>
              <c:numCache>
                <c:formatCode>0.00</c:formatCode>
                <c:ptCount val="15"/>
                <c:pt idx="0">
                  <c:v>0.70795771159757304</c:v>
                </c:pt>
                <c:pt idx="1">
                  <c:v>0.82821996991747349</c:v>
                </c:pt>
                <c:pt idx="2">
                  <c:v>1.5100126216895111</c:v>
                </c:pt>
                <c:pt idx="3">
                  <c:v>2.1255940778039464</c:v>
                </c:pt>
                <c:pt idx="4">
                  <c:v>3.5313178455417291</c:v>
                </c:pt>
                <c:pt idx="5">
                  <c:v>4.4512510998188954</c:v>
                </c:pt>
                <c:pt idx="6">
                  <c:v>5.0123269117111304</c:v>
                </c:pt>
                <c:pt idx="7">
                  <c:v>5.1985884197374412</c:v>
                </c:pt>
                <c:pt idx="8">
                  <c:v>4.9046302846411214</c:v>
                </c:pt>
                <c:pt idx="9">
                  <c:v>4.1310961270932562</c:v>
                </c:pt>
                <c:pt idx="10">
                  <c:v>2.6421653665940545</c:v>
                </c:pt>
                <c:pt idx="11">
                  <c:v>8.2129083724398394E-2</c:v>
                </c:pt>
                <c:pt idx="12">
                  <c:v>-3.2150693829667345</c:v>
                </c:pt>
                <c:pt idx="13">
                  <c:v>-8.3453006047255798</c:v>
                </c:pt>
                <c:pt idx="14">
                  <c:v>-15.281705566419749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1F6-4E35-9812-382AEFA5F39C}"/>
            </c:ext>
          </c:extLst>
        </c:ser>
        <c:ser>
          <c:idx val="17"/>
          <c:order val="17"/>
          <c:tx>
            <c:v>h=10km, m. ciągu, zmienna masa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masa'!$J$94:$J$108</c:f>
              <c:numCache>
                <c:formatCode>0.0</c:formatCode>
                <c:ptCount val="15"/>
                <c:pt idx="0">
                  <c:v>84.65692418067519</c:v>
                </c:pt>
                <c:pt idx="1">
                  <c:v>93.610001024912677</c:v>
                </c:pt>
                <c:pt idx="2">
                  <c:v>102.56307786915016</c:v>
                </c:pt>
                <c:pt idx="3">
                  <c:v>111.51615471338765</c:v>
                </c:pt>
                <c:pt idx="4">
                  <c:v>120.46923155762514</c:v>
                </c:pt>
                <c:pt idx="5">
                  <c:v>129.42230840186261</c:v>
                </c:pt>
                <c:pt idx="6">
                  <c:v>138.37538524610011</c:v>
                </c:pt>
                <c:pt idx="7">
                  <c:v>147.32846209033761</c:v>
                </c:pt>
                <c:pt idx="8">
                  <c:v>156.28153893457508</c:v>
                </c:pt>
                <c:pt idx="9">
                  <c:v>165.23461577881255</c:v>
                </c:pt>
                <c:pt idx="10">
                  <c:v>174.18769262305005</c:v>
                </c:pt>
                <c:pt idx="11">
                  <c:v>183.14076946728756</c:v>
                </c:pt>
                <c:pt idx="12">
                  <c:v>192.09384631152503</c:v>
                </c:pt>
                <c:pt idx="13">
                  <c:v>201.0469231557625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masa'!$O$94:$O$108</c:f>
              <c:numCache>
                <c:formatCode>0.00</c:formatCode>
                <c:ptCount val="15"/>
                <c:pt idx="0">
                  <c:v>-0.49797685370082662</c:v>
                </c:pt>
                <c:pt idx="1">
                  <c:v>0.82390322625890877</c:v>
                </c:pt>
                <c:pt idx="2">
                  <c:v>1.9538793806970549</c:v>
                </c:pt>
                <c:pt idx="3">
                  <c:v>2.9096875398100739</c:v>
                </c:pt>
                <c:pt idx="4">
                  <c:v>3.699210777819526</c:v>
                </c:pt>
                <c:pt idx="5">
                  <c:v>4.322152708930755</c:v>
                </c:pt>
                <c:pt idx="6">
                  <c:v>4.7708918339990474</c:v>
                </c:pt>
                <c:pt idx="7">
                  <c:v>5.0306765727533129</c:v>
                </c:pt>
                <c:pt idx="8">
                  <c:v>5.0792053434599982</c:v>
                </c:pt>
                <c:pt idx="9">
                  <c:v>4.885566637150073</c:v>
                </c:pt>
                <c:pt idx="10">
                  <c:v>4.4084527002552703</c:v>
                </c:pt>
                <c:pt idx="11">
                  <c:v>3.593397445448872</c:v>
                </c:pt>
                <c:pt idx="12">
                  <c:v>2.3686425381776206</c:v>
                </c:pt>
                <c:pt idx="13">
                  <c:v>0.63892239187852484</c:v>
                </c:pt>
                <c:pt idx="14">
                  <c:v>-1.7240615686887151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1F6-4E35-9812-382AEFA5F39C}"/>
            </c:ext>
          </c:extLst>
        </c:ser>
        <c:ser>
          <c:idx val="18"/>
          <c:order val="18"/>
          <c:tx>
            <c:v>h=12km, m. mocy</c:v>
          </c:tx>
          <c:spPr>
            <a:ln w="19050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'h=12km'!$J$25:$J$38</c:f>
              <c:numCache>
                <c:formatCode>0.0</c:formatCode>
                <c:ptCount val="14"/>
                <c:pt idx="0">
                  <c:v>89.964738979971202</c:v>
                </c:pt>
                <c:pt idx="1">
                  <c:v>91.575783191055109</c:v>
                </c:pt>
                <c:pt idx="2">
                  <c:v>93.455527735422194</c:v>
                </c:pt>
                <c:pt idx="3">
                  <c:v>97.631568052592556</c:v>
                </c:pt>
                <c:pt idx="4">
                  <c:v>101.90686156350351</c:v>
                </c:pt>
                <c:pt idx="5">
                  <c:v>106.79794773237124</c:v>
                </c:pt>
                <c:pt idx="6">
                  <c:v>119.15004983502457</c:v>
                </c:pt>
                <c:pt idx="7">
                  <c:v>136.42371797599583</c:v>
                </c:pt>
                <c:pt idx="8">
                  <c:v>152.18426120431434</c:v>
                </c:pt>
                <c:pt idx="9">
                  <c:v>171.19639830045594</c:v>
                </c:pt>
                <c:pt idx="10">
                  <c:v>215.00221434789697</c:v>
                </c:pt>
                <c:pt idx="11">
                  <c:v>238.44899071842138</c:v>
                </c:pt>
                <c:pt idx="12">
                  <c:v>274.42395097196714</c:v>
                </c:pt>
              </c:numCache>
            </c:numRef>
          </c:xVal>
          <c:yVal>
            <c:numRef>
              <c:f>'h=12km'!$O$25:$O$38</c:f>
              <c:numCache>
                <c:formatCode>0.00</c:formatCode>
                <c:ptCount val="14"/>
                <c:pt idx="0">
                  <c:v>-1.664143875920733</c:v>
                </c:pt>
                <c:pt idx="1">
                  <c:v>-1.4854697988099015</c:v>
                </c:pt>
                <c:pt idx="2">
                  <c:v>-1.2412414856116818</c:v>
                </c:pt>
                <c:pt idx="3">
                  <c:v>-0.78452486585086134</c:v>
                </c:pt>
                <c:pt idx="4">
                  <c:v>-0.34492609187815892</c:v>
                </c:pt>
                <c:pt idx="5">
                  <c:v>4.9381136344846234E-2</c:v>
                </c:pt>
                <c:pt idx="6">
                  <c:v>0.8434907796617418</c:v>
                </c:pt>
                <c:pt idx="7">
                  <c:v>1.480893266690674</c:v>
                </c:pt>
                <c:pt idx="8">
                  <c:v>1.6649303318989264</c:v>
                </c:pt>
                <c:pt idx="9">
                  <c:v>1.3091618754648451</c:v>
                </c:pt>
                <c:pt idx="10">
                  <c:v>-4.354575394498152</c:v>
                </c:pt>
                <c:pt idx="11">
                  <c:v>-13.247552014579556</c:v>
                </c:pt>
                <c:pt idx="12">
                  <c:v>-60.995971267542174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1F6-4E35-9812-382AEFA5F39C}"/>
            </c:ext>
          </c:extLst>
        </c:ser>
        <c:ser>
          <c:idx val="19"/>
          <c:order val="19"/>
          <c:tx>
            <c:v>h=12km, m. ciągu, m=const.</c:v>
          </c:tx>
          <c:spPr>
            <a:ln w="19050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'h=12km'!$G$3:$G$17</c:f>
              <c:numCache>
                <c:formatCode>0.0</c:formatCode>
                <c:ptCount val="15"/>
                <c:pt idx="0">
                  <c:v>89.964738979971202</c:v>
                </c:pt>
                <c:pt idx="1">
                  <c:v>93</c:v>
                </c:pt>
                <c:pt idx="2">
                  <c:v>96</c:v>
                </c:pt>
                <c:pt idx="3">
                  <c:v>99</c:v>
                </c:pt>
                <c:pt idx="4">
                  <c:v>104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'h=12km'!$L$3:$L$17</c:f>
              <c:numCache>
                <c:formatCode>0.00</c:formatCode>
                <c:ptCount val="15"/>
                <c:pt idx="0">
                  <c:v>-1.3404949320616575</c:v>
                </c:pt>
                <c:pt idx="1">
                  <c:v>-0.97598951780025411</c:v>
                </c:pt>
                <c:pt idx="2">
                  <c:v>-0.63785653006723264</c:v>
                </c:pt>
                <c:pt idx="3">
                  <c:v>-0.32083463151259578</c:v>
                </c:pt>
                <c:pt idx="4">
                  <c:v>0.16265416256338622</c:v>
                </c:pt>
                <c:pt idx="5">
                  <c:v>1.1735018136304163</c:v>
                </c:pt>
                <c:pt idx="6">
                  <c:v>1.8472450309436257</c:v>
                </c:pt>
                <c:pt idx="7">
                  <c:v>2.1963945712032751</c:v>
                </c:pt>
                <c:pt idx="8">
                  <c:v>2.1255556703123699</c:v>
                </c:pt>
                <c:pt idx="9">
                  <c:v>1.6283657201363408</c:v>
                </c:pt>
                <c:pt idx="10">
                  <c:v>0.52831648306599266</c:v>
                </c:pt>
                <c:pt idx="11">
                  <c:v>-1.4904423125613862</c:v>
                </c:pt>
                <c:pt idx="12">
                  <c:v>-4.2015031583585767</c:v>
                </c:pt>
                <c:pt idx="13">
                  <c:v>-8.5828189191682238</c:v>
                </c:pt>
                <c:pt idx="14">
                  <c:v>-14.773484922705999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11F6-4E35-9812-382AEFA5F39C}"/>
            </c:ext>
          </c:extLst>
        </c:ser>
        <c:ser>
          <c:idx val="20"/>
          <c:order val="20"/>
          <c:tx>
            <c:v>h=12km, m. ciągu, zmienna masa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masa'!$J$112:$J$126</c:f>
              <c:numCache>
                <c:formatCode>0.0</c:formatCode>
                <c:ptCount val="15"/>
                <c:pt idx="0">
                  <c:v>95.682662323055354</c:v>
                </c:pt>
                <c:pt idx="1">
                  <c:v>103.1339007285514</c:v>
                </c:pt>
                <c:pt idx="2">
                  <c:v>110.58513913404745</c:v>
                </c:pt>
                <c:pt idx="3">
                  <c:v>118.03637753954349</c:v>
                </c:pt>
                <c:pt idx="4">
                  <c:v>125.48761594503954</c:v>
                </c:pt>
                <c:pt idx="5">
                  <c:v>132.93885435053559</c:v>
                </c:pt>
                <c:pt idx="6">
                  <c:v>140.39009275603163</c:v>
                </c:pt>
                <c:pt idx="7">
                  <c:v>147.84133116152768</c:v>
                </c:pt>
                <c:pt idx="8">
                  <c:v>155.29256956702372</c:v>
                </c:pt>
                <c:pt idx="9">
                  <c:v>162.74380797251979</c:v>
                </c:pt>
                <c:pt idx="10">
                  <c:v>170.19504637801583</c:v>
                </c:pt>
                <c:pt idx="11">
                  <c:v>177.64628478351187</c:v>
                </c:pt>
                <c:pt idx="12">
                  <c:v>185.09752318900792</c:v>
                </c:pt>
                <c:pt idx="13">
                  <c:v>192.54876159450396</c:v>
                </c:pt>
                <c:pt idx="14">
                  <c:v>200</c:v>
                </c:pt>
              </c:numCache>
            </c:numRef>
          </c:xVal>
          <c:yVal>
            <c:numRef>
              <c:f>'Metoda CIągu, zmienna masa'!$O$112:$O$126</c:f>
              <c:numCache>
                <c:formatCode>0.00</c:formatCode>
                <c:ptCount val="15"/>
                <c:pt idx="0">
                  <c:v>-2.4908197657192126</c:v>
                </c:pt>
                <c:pt idx="1">
                  <c:v>-1.4743040924381174</c:v>
                </c:pt>
                <c:pt idx="2">
                  <c:v>-0.58344892812388938</c:v>
                </c:pt>
                <c:pt idx="3">
                  <c:v>0.19076854242620331</c:v>
                </c:pt>
                <c:pt idx="4">
                  <c:v>0.85317742875583669</c:v>
                </c:pt>
                <c:pt idx="5">
                  <c:v>1.4047975697248258</c:v>
                </c:pt>
                <c:pt idx="6">
                  <c:v>1.8430638558784707</c:v>
                </c:pt>
                <c:pt idx="7">
                  <c:v>2.1618389851459288</c:v>
                </c:pt>
                <c:pt idx="8">
                  <c:v>2.3512199217640668</c:v>
                </c:pt>
                <c:pt idx="9">
                  <c:v>2.3971169314604004</c:v>
                </c:pt>
                <c:pt idx="10">
                  <c:v>2.2805619261229753</c:v>
                </c:pt>
                <c:pt idx="11">
                  <c:v>1.9766698585710696</c:v>
                </c:pt>
                <c:pt idx="12">
                  <c:v>1.4531383685747512</c:v>
                </c:pt>
                <c:pt idx="13">
                  <c:v>0.66808021661716377</c:v>
                </c:pt>
                <c:pt idx="14">
                  <c:v>-0.4331154081246712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11F6-4E35-9812-382AEFA5F39C}"/>
            </c:ext>
          </c:extLst>
        </c:ser>
        <c:ser>
          <c:idx val="21"/>
          <c:order val="21"/>
          <c:tx>
            <c:v>h=14km, m. mocy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'h=14km'!$J$23:$J$35</c:f>
              <c:numCache>
                <c:formatCode>0.0</c:formatCode>
                <c:ptCount val="13"/>
                <c:pt idx="0">
                  <c:v>103.07310957548691</c:v>
                </c:pt>
                <c:pt idx="1">
                  <c:v>104.91889202739816</c:v>
                </c:pt>
                <c:pt idx="2">
                  <c:v>107.0725259687872</c:v>
                </c:pt>
                <c:pt idx="3">
                  <c:v>111.85703894669048</c:v>
                </c:pt>
                <c:pt idx="4">
                  <c:v>116.75526686925021</c:v>
                </c:pt>
                <c:pt idx="5">
                  <c:v>122.35901191806414</c:v>
                </c:pt>
                <c:pt idx="6">
                  <c:v>136.51088506247279</c:v>
                </c:pt>
                <c:pt idx="7">
                  <c:v>156.30142421427655</c:v>
                </c:pt>
                <c:pt idx="8">
                  <c:v>174.35836760743564</c:v>
                </c:pt>
                <c:pt idx="9">
                  <c:v>196.14068046015294</c:v>
                </c:pt>
                <c:pt idx="10">
                  <c:v>246.32925132353006</c:v>
                </c:pt>
                <c:pt idx="11">
                  <c:v>273.19235544001106</c:v>
                </c:pt>
              </c:numCache>
            </c:numRef>
          </c:xVal>
          <c:yVal>
            <c:numRef>
              <c:f>'h=14km'!$O$23:$O$35</c:f>
              <c:numCache>
                <c:formatCode>0.00</c:formatCode>
                <c:ptCount val="13"/>
                <c:pt idx="0">
                  <c:v>-4.0418684542229979</c:v>
                </c:pt>
                <c:pt idx="1">
                  <c:v>-3.8747968910068105</c:v>
                </c:pt>
                <c:pt idx="2">
                  <c:v>-3.6378660350513559</c:v>
                </c:pt>
                <c:pt idx="3">
                  <c:v>-3.2119373512261258</c:v>
                </c:pt>
                <c:pt idx="4">
                  <c:v>-2.8086584238267336</c:v>
                </c:pt>
                <c:pt idx="5">
                  <c:v>-2.4758499389436541</c:v>
                </c:pt>
                <c:pt idx="6">
                  <c:v>-1.8822476030145374</c:v>
                </c:pt>
                <c:pt idx="7">
                  <c:v>-1.6631901557740409</c:v>
                </c:pt>
                <c:pt idx="8">
                  <c:v>-2.0482348937627153</c:v>
                </c:pt>
                <c:pt idx="9">
                  <c:v>-3.5208858487864449</c:v>
                </c:pt>
                <c:pt idx="10">
                  <c:v>-19.18575079967113</c:v>
                </c:pt>
                <c:pt idx="11">
                  <c:v>-75.87040648146619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11F6-4E35-9812-382AEFA5F39C}"/>
            </c:ext>
          </c:extLst>
        </c:ser>
        <c:ser>
          <c:idx val="22"/>
          <c:order val="22"/>
          <c:tx>
            <c:v>h=14km, m. ciągu, m=const.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'h=14km'!$G$3:$G$17</c:f>
              <c:numCache>
                <c:formatCode>0.0</c:formatCode>
                <c:ptCount val="15"/>
                <c:pt idx="0">
                  <c:v>103.07310957548691</c:v>
                </c:pt>
                <c:pt idx="1">
                  <c:v>106</c:v>
                </c:pt>
                <c:pt idx="2">
                  <c:v>109</c:v>
                </c:pt>
                <c:pt idx="3">
                  <c:v>112</c:v>
                </c:pt>
                <c:pt idx="4">
                  <c:v>115</c:v>
                </c:pt>
                <c:pt idx="5">
                  <c:v>117</c:v>
                </c:pt>
                <c:pt idx="6">
                  <c:v>130</c:v>
                </c:pt>
                <c:pt idx="7">
                  <c:v>144</c:v>
                </c:pt>
                <c:pt idx="8">
                  <c:v>158</c:v>
                </c:pt>
                <c:pt idx="9">
                  <c:v>171</c:v>
                </c:pt>
                <c:pt idx="10">
                  <c:v>185</c:v>
                </c:pt>
                <c:pt idx="11">
                  <c:v>200</c:v>
                </c:pt>
                <c:pt idx="12">
                  <c:v>213</c:v>
                </c:pt>
                <c:pt idx="13">
                  <c:v>227</c:v>
                </c:pt>
                <c:pt idx="14">
                  <c:v>240</c:v>
                </c:pt>
              </c:numCache>
            </c:numRef>
          </c:xVal>
          <c:yVal>
            <c:numRef>
              <c:f>'h=14km'!$L$3:$L$17</c:f>
              <c:numCache>
                <c:formatCode>0.00</c:formatCode>
                <c:ptCount val="15"/>
                <c:pt idx="0">
                  <c:v>-3.6818230668058329</c:v>
                </c:pt>
                <c:pt idx="1">
                  <c:v>-3.3864704929970104</c:v>
                </c:pt>
                <c:pt idx="2">
                  <c:v>-3.1030913007057501</c:v>
                </c:pt>
                <c:pt idx="3">
                  <c:v>-2.8386779980691976</c:v>
                </c:pt>
                <c:pt idx="4">
                  <c:v>-2.5926952329509914</c:v>
                </c:pt>
                <c:pt idx="5">
                  <c:v>-2.4387254991112606</c:v>
                </c:pt>
                <c:pt idx="6">
                  <c:v>-1.6265271592451331</c:v>
                </c:pt>
                <c:pt idx="7">
                  <c:v>-1.1096605857689898</c:v>
                </c:pt>
                <c:pt idx="8">
                  <c:v>-0.97741029590559114</c:v>
                </c:pt>
                <c:pt idx="9">
                  <c:v>-1.2409224574898396</c:v>
                </c:pt>
                <c:pt idx="10">
                  <c:v>-2.0273366574802796</c:v>
                </c:pt>
                <c:pt idx="11">
                  <c:v>-3.6261712850775387</c:v>
                </c:pt>
                <c:pt idx="12">
                  <c:v>-5.9017226891461751</c:v>
                </c:pt>
                <c:pt idx="13">
                  <c:v>-9.7718010628028367</c:v>
                </c:pt>
                <c:pt idx="14">
                  <c:v>-15.584126111675252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11F6-4E35-9812-382AEFA5F39C}"/>
            </c:ext>
          </c:extLst>
        </c:ser>
        <c:ser>
          <c:idx val="23"/>
          <c:order val="23"/>
          <c:tx>
            <c:v>h=14km, m. ciągu, zmienna masa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masa'!$J$130:$J$144</c:f>
              <c:numCache>
                <c:formatCode>0.0</c:formatCode>
                <c:ptCount val="15"/>
                <c:pt idx="0">
                  <c:v>108.5936341211916</c:v>
                </c:pt>
                <c:pt idx="1">
                  <c:v>114.40837454110648</c:v>
                </c:pt>
                <c:pt idx="2">
                  <c:v>120.22311496102137</c:v>
                </c:pt>
                <c:pt idx="3">
                  <c:v>126.03785538093626</c:v>
                </c:pt>
                <c:pt idx="4">
                  <c:v>131.85259580085113</c:v>
                </c:pt>
                <c:pt idx="5">
                  <c:v>137.66733622076603</c:v>
                </c:pt>
                <c:pt idx="6">
                  <c:v>143.48207664068093</c:v>
                </c:pt>
                <c:pt idx="7">
                  <c:v>149.2968170605958</c:v>
                </c:pt>
                <c:pt idx="8">
                  <c:v>155.11155748051067</c:v>
                </c:pt>
                <c:pt idx="9">
                  <c:v>160.92629790042557</c:v>
                </c:pt>
                <c:pt idx="10">
                  <c:v>166.74103832034046</c:v>
                </c:pt>
                <c:pt idx="11">
                  <c:v>172.55577874025533</c:v>
                </c:pt>
                <c:pt idx="12">
                  <c:v>178.37051916017023</c:v>
                </c:pt>
                <c:pt idx="13">
                  <c:v>184.18525958008513</c:v>
                </c:pt>
                <c:pt idx="14">
                  <c:v>190</c:v>
                </c:pt>
              </c:numCache>
            </c:numRef>
          </c:xVal>
          <c:yVal>
            <c:numRef>
              <c:f>'Metoda CIągu, zmienna masa'!$O$130:$O$144</c:f>
              <c:numCache>
                <c:formatCode>0.00</c:formatCode>
                <c:ptCount val="15"/>
                <c:pt idx="0">
                  <c:v>-4.7261966713904355</c:v>
                </c:pt>
                <c:pt idx="1">
                  <c:v>-3.9736126819577762</c:v>
                </c:pt>
                <c:pt idx="2">
                  <c:v>-3.2945890086727427</c:v>
                </c:pt>
                <c:pt idx="3">
                  <c:v>-2.6856406007271487</c:v>
                </c:pt>
                <c:pt idx="4">
                  <c:v>-2.1446940734442057</c:v>
                </c:pt>
                <c:pt idx="5">
                  <c:v>-1.6710429857913305</c:v>
                </c:pt>
                <c:pt idx="6">
                  <c:v>-1.2653702213242568</c:v>
                </c:pt>
                <c:pt idx="7">
                  <c:v>-0.92976652569278551</c:v>
                </c:pt>
                <c:pt idx="8">
                  <c:v>-0.66782369827923138</c:v>
                </c:pt>
                <c:pt idx="9">
                  <c:v>-0.48477933177478705</c:v>
                </c:pt>
                <c:pt idx="10">
                  <c:v>-0.38773043811490915</c:v>
                </c:pt>
                <c:pt idx="11">
                  <c:v>-0.38593610567447184</c:v>
                </c:pt>
                <c:pt idx="12">
                  <c:v>-0.49123388848388988</c:v>
                </c:pt>
                <c:pt idx="13">
                  <c:v>-0.71860767568725747</c:v>
                </c:pt>
                <c:pt idx="14">
                  <c:v>-1.0869621198908894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11F6-4E35-9812-382AEFA5F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439919"/>
        <c:axId val="2018443391"/>
      </c:scatterChart>
      <c:valAx>
        <c:axId val="1356439919"/>
        <c:scaling>
          <c:orientation val="minMax"/>
          <c:max val="208"/>
          <c:min val="18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443391"/>
        <c:crosses val="autoZero"/>
        <c:crossBetween val="midCat"/>
        <c:majorUnit val="2"/>
      </c:valAx>
      <c:valAx>
        <c:axId val="2018443391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</a:t>
                </a:r>
                <a:r>
                  <a:rPr lang="el-GR"/>
                  <a:t> [</a:t>
                </a:r>
                <a:r>
                  <a:rPr lang="pl-PL"/>
                  <a:t>m/s</a:t>
                </a:r>
                <a:r>
                  <a:rPr lang="el-GR"/>
                  <a:t>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6439919"/>
        <c:crosses val="autoZero"/>
        <c:crossBetween val="midCat"/>
        <c:majorUnit val="1.0000000000000002E-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 ściśliwości na Vmax dla samolotu odrzutowego Iskra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9.1335120049307827E-2"/>
          <c:y val="0.10308411214953273"/>
          <c:w val="0.87163761521894201"/>
          <c:h val="0.84915765202246907"/>
        </c:manualLayout>
      </c:layout>
      <c:scatterChart>
        <c:scatterStyle val="smoothMarker"/>
        <c:varyColors val="0"/>
        <c:ser>
          <c:idx val="0"/>
          <c:order val="0"/>
          <c:tx>
            <c:v>h=0km, ściśliwość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50.003599658606447</c:v>
                </c:pt>
                <c:pt idx="1">
                  <c:v>61.431913968705985</c:v>
                </c:pt>
                <c:pt idx="2">
                  <c:v>72.860228278805522</c:v>
                </c:pt>
                <c:pt idx="3">
                  <c:v>84.288542588905074</c:v>
                </c:pt>
                <c:pt idx="4">
                  <c:v>95.716856899004597</c:v>
                </c:pt>
                <c:pt idx="5">
                  <c:v>107.14517120910415</c:v>
                </c:pt>
                <c:pt idx="6">
                  <c:v>118.57348551920369</c:v>
                </c:pt>
                <c:pt idx="7">
                  <c:v>130.00179982930322</c:v>
                </c:pt>
                <c:pt idx="8">
                  <c:v>141.43011413940275</c:v>
                </c:pt>
                <c:pt idx="9">
                  <c:v>152.8584284495023</c:v>
                </c:pt>
                <c:pt idx="10">
                  <c:v>164.28674275960185</c:v>
                </c:pt>
                <c:pt idx="11">
                  <c:v>175.71505706970137</c:v>
                </c:pt>
                <c:pt idx="12">
                  <c:v>187.14337137980093</c:v>
                </c:pt>
                <c:pt idx="13">
                  <c:v>198.57168568990045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masa'!$O$4:$O$18</c:f>
              <c:numCache>
                <c:formatCode>0.00</c:formatCode>
                <c:ptCount val="15"/>
                <c:pt idx="0">
                  <c:v>7.3702507124738617</c:v>
                </c:pt>
                <c:pt idx="1">
                  <c:v>10.499003087444358</c:v>
                </c:pt>
                <c:pt idx="2">
                  <c:v>13.194893691702633</c:v>
                </c:pt>
                <c:pt idx="3">
                  <c:v>15.509669749794682</c:v>
                </c:pt>
                <c:pt idx="4">
                  <c:v>17.442798449229731</c:v>
                </c:pt>
                <c:pt idx="5">
                  <c:v>18.962241232755577</c:v>
                </c:pt>
                <c:pt idx="6">
                  <c:v>20.012537627862194</c:v>
                </c:pt>
                <c:pt idx="7">
                  <c:v>20.516978423923938</c:v>
                </c:pt>
                <c:pt idx="8">
                  <c:v>20.376517452844443</c:v>
                </c:pt>
                <c:pt idx="9">
                  <c:v>19.466324923680027</c:v>
                </c:pt>
                <c:pt idx="10">
                  <c:v>17.630089950686052</c:v>
                </c:pt>
                <c:pt idx="11">
                  <c:v>14.671653990281284</c:v>
                </c:pt>
                <c:pt idx="12">
                  <c:v>10.343059484359541</c:v>
                </c:pt>
                <c:pt idx="13">
                  <c:v>4.3274266460251809</c:v>
                </c:pt>
                <c:pt idx="14">
                  <c:v>-3.785996060298269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7A-4A06-B1C1-9BE2902CEBE2}"/>
            </c:ext>
          </c:extLst>
        </c:ser>
        <c:ser>
          <c:idx val="1"/>
          <c:order val="1"/>
          <c:tx>
            <c:v>h=2km, ściśliwość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masa'!$J$22:$J$36</c:f>
              <c:numCache>
                <c:formatCode>0.0</c:formatCode>
                <c:ptCount val="15"/>
                <c:pt idx="0">
                  <c:v>54.991165562477157</c:v>
                </c:pt>
                <c:pt idx="1">
                  <c:v>66.063225165157363</c:v>
                </c:pt>
                <c:pt idx="2">
                  <c:v>77.135284767837561</c:v>
                </c:pt>
                <c:pt idx="3">
                  <c:v>88.207344370517774</c:v>
                </c:pt>
                <c:pt idx="4">
                  <c:v>99.279403973197958</c:v>
                </c:pt>
                <c:pt idx="5">
                  <c:v>110.35146357587817</c:v>
                </c:pt>
                <c:pt idx="6">
                  <c:v>121.42352317855838</c:v>
                </c:pt>
                <c:pt idx="7">
                  <c:v>132.49558278123857</c:v>
                </c:pt>
                <c:pt idx="8">
                  <c:v>143.56764238391878</c:v>
                </c:pt>
                <c:pt idx="9">
                  <c:v>154.63970198659896</c:v>
                </c:pt>
                <c:pt idx="10">
                  <c:v>165.71176158927918</c:v>
                </c:pt>
                <c:pt idx="11">
                  <c:v>176.78382119195939</c:v>
                </c:pt>
                <c:pt idx="12">
                  <c:v>187.8558807946396</c:v>
                </c:pt>
                <c:pt idx="13">
                  <c:v>198.92794039731979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masa'!$O$22:$O$36</c:f>
              <c:numCache>
                <c:formatCode>0.00</c:formatCode>
                <c:ptCount val="15"/>
                <c:pt idx="0">
                  <c:v>5.9623482875690117</c:v>
                </c:pt>
                <c:pt idx="1">
                  <c:v>8.6279433757524959</c:v>
                </c:pt>
                <c:pt idx="2">
                  <c:v>10.910278353441688</c:v>
                </c:pt>
                <c:pt idx="3">
                  <c:v>12.856670737797735</c:v>
                </c:pt>
                <c:pt idx="4">
                  <c:v>14.473201768838477</c:v>
                </c:pt>
                <c:pt idx="5">
                  <c:v>15.739703237926438</c:v>
                </c:pt>
                <c:pt idx="6">
                  <c:v>16.616115270423947</c:v>
                </c:pt>
                <c:pt idx="7">
                  <c:v>17.04439702898884</c:v>
                </c:pt>
                <c:pt idx="8">
                  <c:v>16.947811552320999</c:v>
                </c:pt>
                <c:pt idx="9">
                  <c:v>16.228231087914313</c:v>
                </c:pt>
                <c:pt idx="10">
                  <c:v>14.761525300176732</c:v>
                </c:pt>
                <c:pt idx="11">
                  <c:v>12.390666936829433</c:v>
                </c:pt>
                <c:pt idx="12">
                  <c:v>8.9157574245469124</c:v>
                </c:pt>
                <c:pt idx="13">
                  <c:v>4.0795791288031555</c:v>
                </c:pt>
                <c:pt idx="14">
                  <c:v>-2.4536868673790679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7A-4A06-B1C1-9BE2902CEBE2}"/>
            </c:ext>
          </c:extLst>
        </c:ser>
        <c:ser>
          <c:idx val="2"/>
          <c:order val="2"/>
          <c:tx>
            <c:v>h=4km, ściśliwość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masa'!$J$40:$J$54</c:f>
              <c:numCache>
                <c:formatCode>0.0</c:formatCode>
                <c:ptCount val="15"/>
                <c:pt idx="0">
                  <c:v>60.760126838427631</c:v>
                </c:pt>
                <c:pt idx="1">
                  <c:v>71.420117778539947</c:v>
                </c:pt>
                <c:pt idx="2">
                  <c:v>82.080108718652255</c:v>
                </c:pt>
                <c:pt idx="3">
                  <c:v>92.740099658764564</c:v>
                </c:pt>
                <c:pt idx="4">
                  <c:v>103.40009059887689</c:v>
                </c:pt>
                <c:pt idx="5">
                  <c:v>114.06008153898918</c:v>
                </c:pt>
                <c:pt idx="6">
                  <c:v>124.7200724791015</c:v>
                </c:pt>
                <c:pt idx="7">
                  <c:v>135.38006341921383</c:v>
                </c:pt>
                <c:pt idx="8">
                  <c:v>146.04005435932612</c:v>
                </c:pt>
                <c:pt idx="9">
                  <c:v>156.70004529943844</c:v>
                </c:pt>
                <c:pt idx="10">
                  <c:v>167.36003623955074</c:v>
                </c:pt>
                <c:pt idx="11">
                  <c:v>178.02002717966306</c:v>
                </c:pt>
                <c:pt idx="12">
                  <c:v>188.68001811977538</c:v>
                </c:pt>
                <c:pt idx="13">
                  <c:v>199.34000905988768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masa'!$O$40:$O$54</c:f>
              <c:numCache>
                <c:formatCode>0.00</c:formatCode>
                <c:ptCount val="15"/>
                <c:pt idx="0">
                  <c:v>4.495963305476808</c:v>
                </c:pt>
                <c:pt idx="1">
                  <c:v>6.7542646205201482</c:v>
                </c:pt>
                <c:pt idx="2">
                  <c:v>8.6789257706901868</c:v>
                </c:pt>
                <c:pt idx="3">
                  <c:v>10.310853637487972</c:v>
                </c:pt>
                <c:pt idx="4">
                  <c:v>11.659717978010365</c:v>
                </c:pt>
                <c:pt idx="5">
                  <c:v>12.714083855207191</c:v>
                </c:pt>
                <c:pt idx="6">
                  <c:v>13.44605877838003</c:v>
                </c:pt>
                <c:pt idx="7">
                  <c:v>13.81281037812866</c:v>
                </c:pt>
                <c:pt idx="8">
                  <c:v>13.75606281403244</c:v>
                </c:pt>
                <c:pt idx="9">
                  <c:v>13.199996370712345</c:v>
                </c:pt>
                <c:pt idx="10">
                  <c:v>12.047553359245509</c:v>
                </c:pt>
                <c:pt idx="11">
                  <c:v>10.174825017291409</c:v>
                </c:pt>
                <c:pt idx="12">
                  <c:v>7.4228301988708276</c:v>
                </c:pt>
                <c:pt idx="13">
                  <c:v>3.5854755188470953</c:v>
                </c:pt>
                <c:pt idx="14">
                  <c:v>-1.6083770246258724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7A-4A06-B1C1-9BE2902CEBE2}"/>
            </c:ext>
          </c:extLst>
        </c:ser>
        <c:ser>
          <c:idx val="3"/>
          <c:order val="3"/>
          <c:tx>
            <c:v>h=6km, ściśliwość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masa'!$J$58:$J$72</c:f>
              <c:numCache>
                <c:formatCode>0.0</c:formatCode>
                <c:ptCount val="15"/>
                <c:pt idx="0">
                  <c:v>67.478052266794421</c:v>
                </c:pt>
                <c:pt idx="1">
                  <c:v>77.658191390594823</c:v>
                </c:pt>
                <c:pt idx="2">
                  <c:v>87.838330514395224</c:v>
                </c:pt>
                <c:pt idx="3">
                  <c:v>98.018469638195626</c:v>
                </c:pt>
                <c:pt idx="4">
                  <c:v>108.19860876199601</c:v>
                </c:pt>
                <c:pt idx="5">
                  <c:v>118.37874788579643</c:v>
                </c:pt>
                <c:pt idx="6">
                  <c:v>128.55888700959682</c:v>
                </c:pt>
                <c:pt idx="7">
                  <c:v>138.7390261333972</c:v>
                </c:pt>
                <c:pt idx="8">
                  <c:v>148.91916525719762</c:v>
                </c:pt>
                <c:pt idx="9">
                  <c:v>159.09930438099803</c:v>
                </c:pt>
                <c:pt idx="10">
                  <c:v>169.27944350479842</c:v>
                </c:pt>
                <c:pt idx="11">
                  <c:v>179.45958262859881</c:v>
                </c:pt>
                <c:pt idx="12">
                  <c:v>189.63972175239923</c:v>
                </c:pt>
                <c:pt idx="13">
                  <c:v>199.81986087619964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masa'!$O$58:$O$72</c:f>
              <c:numCache>
                <c:formatCode>0.00</c:formatCode>
                <c:ptCount val="15"/>
                <c:pt idx="0">
                  <c:v>2.9505792299741671</c:v>
                </c:pt>
                <c:pt idx="1">
                  <c:v>4.8527683199869056</c:v>
                </c:pt>
                <c:pt idx="2">
                  <c:v>6.4702485222944768</c:v>
                </c:pt>
                <c:pt idx="3">
                  <c:v>7.8363550341524988</c:v>
                </c:pt>
                <c:pt idx="4">
                  <c:v>8.9618752846644707</c:v>
                </c:pt>
                <c:pt idx="5">
                  <c:v>9.8413182374313344</c:v>
                </c:pt>
                <c:pt idx="6">
                  <c:v>10.456035873133004</c:v>
                </c:pt>
                <c:pt idx="7">
                  <c:v>10.775267238995767</c:v>
                </c:pt>
                <c:pt idx="8">
                  <c:v>10.755728867291857</c:v>
                </c:pt>
                <c:pt idx="9">
                  <c:v>10.339968440127919</c:v>
                </c:pt>
                <c:pt idx="10">
                  <c:v>9.4534344009145794</c:v>
                </c:pt>
                <c:pt idx="11">
                  <c:v>7.9999688249217744</c:v>
                </c:pt>
                <c:pt idx="12">
                  <c:v>5.8551332253766653</c:v>
                </c:pt>
                <c:pt idx="13">
                  <c:v>2.8563315302614809</c:v>
                </c:pt>
                <c:pt idx="14">
                  <c:v>-1.2120607176651916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7A-4A06-B1C1-9BE2902CEBE2}"/>
            </c:ext>
          </c:extLst>
        </c:ser>
        <c:ser>
          <c:idx val="4"/>
          <c:order val="4"/>
          <c:tx>
            <c:v>h=8km, ściśliwość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masa'!$J$76:$J$90</c:f>
              <c:numCache>
                <c:formatCode>0.0</c:formatCode>
                <c:ptCount val="15"/>
                <c:pt idx="0">
                  <c:v>75.356120124418212</c:v>
                </c:pt>
                <c:pt idx="1">
                  <c:v>84.973540115531193</c:v>
                </c:pt>
                <c:pt idx="2">
                  <c:v>94.590960106644175</c:v>
                </c:pt>
                <c:pt idx="3">
                  <c:v>104.20838009775716</c:v>
                </c:pt>
                <c:pt idx="4">
                  <c:v>113.82580008887015</c:v>
                </c:pt>
                <c:pt idx="5">
                  <c:v>123.44322007998312</c:v>
                </c:pt>
                <c:pt idx="6">
                  <c:v>133.06064007109612</c:v>
                </c:pt>
                <c:pt idx="7">
                  <c:v>142.67806006220911</c:v>
                </c:pt>
                <c:pt idx="8">
                  <c:v>152.29548005332208</c:v>
                </c:pt>
                <c:pt idx="9">
                  <c:v>161.91290004443505</c:v>
                </c:pt>
                <c:pt idx="10">
                  <c:v>171.53032003554804</c:v>
                </c:pt>
                <c:pt idx="11">
                  <c:v>181.14774002666104</c:v>
                </c:pt>
                <c:pt idx="12">
                  <c:v>190.76516001777401</c:v>
                </c:pt>
                <c:pt idx="13">
                  <c:v>200.382580008887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masa'!$O$76:$O$90</c:f>
              <c:numCache>
                <c:formatCode>0.00</c:formatCode>
                <c:ptCount val="15"/>
                <c:pt idx="0">
                  <c:v>1.2986050616650862</c:v>
                </c:pt>
                <c:pt idx="1">
                  <c:v>2.8906492480251651</c:v>
                </c:pt>
                <c:pt idx="2">
                  <c:v>4.2454903492987652</c:v>
                </c:pt>
                <c:pt idx="3">
                  <c:v>5.3885173513368496</c:v>
                </c:pt>
                <c:pt idx="4">
                  <c:v>6.3297127874424328</c:v>
                </c:pt>
                <c:pt idx="5">
                  <c:v>7.0671525211080697</c:v>
                </c:pt>
                <c:pt idx="6">
                  <c:v>7.5888267153990645</c:v>
                </c:pt>
                <c:pt idx="7">
                  <c:v>7.8732263710559476</c:v>
                </c:pt>
                <c:pt idx="8">
                  <c:v>7.8889454571028219</c:v>
                </c:pt>
                <c:pt idx="9">
                  <c:v>7.5933734689542423</c:v>
                </c:pt>
                <c:pt idx="10">
                  <c:v>6.9303921648466016</c:v>
                </c:pt>
                <c:pt idx="11">
                  <c:v>5.8268142914458707</c:v>
                </c:pt>
                <c:pt idx="12">
                  <c:v>4.1870666835777284</c:v>
                </c:pt>
                <c:pt idx="13">
                  <c:v>1.8852498246164235</c:v>
                </c:pt>
                <c:pt idx="14">
                  <c:v>-1.2469355447795512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7A-4A06-B1C1-9BE2902CEBE2}"/>
            </c:ext>
          </c:extLst>
        </c:ser>
        <c:ser>
          <c:idx val="5"/>
          <c:order val="5"/>
          <c:tx>
            <c:v>h=10km, ściśliwość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masa'!$J$94:$J$108</c:f>
              <c:numCache>
                <c:formatCode>0.0</c:formatCode>
                <c:ptCount val="15"/>
                <c:pt idx="0">
                  <c:v>84.65692418067519</c:v>
                </c:pt>
                <c:pt idx="1">
                  <c:v>93.610001024912677</c:v>
                </c:pt>
                <c:pt idx="2">
                  <c:v>102.56307786915016</c:v>
                </c:pt>
                <c:pt idx="3">
                  <c:v>111.51615471338765</c:v>
                </c:pt>
                <c:pt idx="4">
                  <c:v>120.46923155762514</c:v>
                </c:pt>
                <c:pt idx="5">
                  <c:v>129.42230840186261</c:v>
                </c:pt>
                <c:pt idx="6">
                  <c:v>138.37538524610011</c:v>
                </c:pt>
                <c:pt idx="7">
                  <c:v>147.32846209033761</c:v>
                </c:pt>
                <c:pt idx="8">
                  <c:v>156.28153893457508</c:v>
                </c:pt>
                <c:pt idx="9">
                  <c:v>165.23461577881255</c:v>
                </c:pt>
                <c:pt idx="10">
                  <c:v>174.18769262305005</c:v>
                </c:pt>
                <c:pt idx="11">
                  <c:v>183.14076946728756</c:v>
                </c:pt>
                <c:pt idx="12">
                  <c:v>192.09384631152503</c:v>
                </c:pt>
                <c:pt idx="13">
                  <c:v>201.0469231557625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masa'!$O$94:$O$108</c:f>
              <c:numCache>
                <c:formatCode>0.00</c:formatCode>
                <c:ptCount val="15"/>
                <c:pt idx="0">
                  <c:v>-0.49797685370082662</c:v>
                </c:pt>
                <c:pt idx="1">
                  <c:v>0.82390322625890877</c:v>
                </c:pt>
                <c:pt idx="2">
                  <c:v>1.9538793806970549</c:v>
                </c:pt>
                <c:pt idx="3">
                  <c:v>2.9096875398100739</c:v>
                </c:pt>
                <c:pt idx="4">
                  <c:v>3.699210777819526</c:v>
                </c:pt>
                <c:pt idx="5">
                  <c:v>4.322152708930755</c:v>
                </c:pt>
                <c:pt idx="6">
                  <c:v>4.7708918339990474</c:v>
                </c:pt>
                <c:pt idx="7">
                  <c:v>5.0306765727533129</c:v>
                </c:pt>
                <c:pt idx="8">
                  <c:v>5.0792053434599982</c:v>
                </c:pt>
                <c:pt idx="9">
                  <c:v>4.885566637150073</c:v>
                </c:pt>
                <c:pt idx="10">
                  <c:v>4.4084527002552703</c:v>
                </c:pt>
                <c:pt idx="11">
                  <c:v>3.593397445448872</c:v>
                </c:pt>
                <c:pt idx="12">
                  <c:v>2.3686425381776206</c:v>
                </c:pt>
                <c:pt idx="13">
                  <c:v>0.63892239187852484</c:v>
                </c:pt>
                <c:pt idx="14">
                  <c:v>-1.7240615686887151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17A-4A06-B1C1-9BE2902CEBE2}"/>
            </c:ext>
          </c:extLst>
        </c:ser>
        <c:ser>
          <c:idx val="6"/>
          <c:order val="6"/>
          <c:tx>
            <c:v>h=12km, ściśliwość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masa'!$J$112:$J$126</c:f>
              <c:numCache>
                <c:formatCode>0.0</c:formatCode>
                <c:ptCount val="15"/>
                <c:pt idx="0">
                  <c:v>95.682662323055354</c:v>
                </c:pt>
                <c:pt idx="1">
                  <c:v>103.1339007285514</c:v>
                </c:pt>
                <c:pt idx="2">
                  <c:v>110.58513913404745</c:v>
                </c:pt>
                <c:pt idx="3">
                  <c:v>118.03637753954349</c:v>
                </c:pt>
                <c:pt idx="4">
                  <c:v>125.48761594503954</c:v>
                </c:pt>
                <c:pt idx="5">
                  <c:v>132.93885435053559</c:v>
                </c:pt>
                <c:pt idx="6">
                  <c:v>140.39009275603163</c:v>
                </c:pt>
                <c:pt idx="7">
                  <c:v>147.84133116152768</c:v>
                </c:pt>
                <c:pt idx="8">
                  <c:v>155.29256956702372</c:v>
                </c:pt>
                <c:pt idx="9">
                  <c:v>162.74380797251979</c:v>
                </c:pt>
                <c:pt idx="10">
                  <c:v>170.19504637801583</c:v>
                </c:pt>
                <c:pt idx="11">
                  <c:v>177.64628478351187</c:v>
                </c:pt>
                <c:pt idx="12">
                  <c:v>185.09752318900792</c:v>
                </c:pt>
                <c:pt idx="13">
                  <c:v>192.54876159450396</c:v>
                </c:pt>
                <c:pt idx="14">
                  <c:v>200</c:v>
                </c:pt>
              </c:numCache>
            </c:numRef>
          </c:xVal>
          <c:yVal>
            <c:numRef>
              <c:f>'Metoda CIągu, zmienna masa'!$O$112:$O$126</c:f>
              <c:numCache>
                <c:formatCode>0.00</c:formatCode>
                <c:ptCount val="15"/>
                <c:pt idx="0">
                  <c:v>-2.4908197657192126</c:v>
                </c:pt>
                <c:pt idx="1">
                  <c:v>-1.4743040924381174</c:v>
                </c:pt>
                <c:pt idx="2">
                  <c:v>-0.58344892812388938</c:v>
                </c:pt>
                <c:pt idx="3">
                  <c:v>0.19076854242620331</c:v>
                </c:pt>
                <c:pt idx="4">
                  <c:v>0.85317742875583669</c:v>
                </c:pt>
                <c:pt idx="5">
                  <c:v>1.4047975697248258</c:v>
                </c:pt>
                <c:pt idx="6">
                  <c:v>1.8430638558784707</c:v>
                </c:pt>
                <c:pt idx="7">
                  <c:v>2.1618389851459288</c:v>
                </c:pt>
                <c:pt idx="8">
                  <c:v>2.3512199217640668</c:v>
                </c:pt>
                <c:pt idx="9">
                  <c:v>2.3971169314604004</c:v>
                </c:pt>
                <c:pt idx="10">
                  <c:v>2.2805619261229753</c:v>
                </c:pt>
                <c:pt idx="11">
                  <c:v>1.9766698585710696</c:v>
                </c:pt>
                <c:pt idx="12">
                  <c:v>1.4531383685747512</c:v>
                </c:pt>
                <c:pt idx="13">
                  <c:v>0.66808021661716377</c:v>
                </c:pt>
                <c:pt idx="14">
                  <c:v>-0.4331154081246712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17A-4A06-B1C1-9BE2902CEBE2}"/>
            </c:ext>
          </c:extLst>
        </c:ser>
        <c:ser>
          <c:idx val="7"/>
          <c:order val="7"/>
          <c:tx>
            <c:v>h=14km, ściśliwość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masa'!$J$130:$J$144</c:f>
              <c:numCache>
                <c:formatCode>0.0</c:formatCode>
                <c:ptCount val="15"/>
                <c:pt idx="0">
                  <c:v>108.5936341211916</c:v>
                </c:pt>
                <c:pt idx="1">
                  <c:v>114.40837454110648</c:v>
                </c:pt>
                <c:pt idx="2">
                  <c:v>120.22311496102137</c:v>
                </c:pt>
                <c:pt idx="3">
                  <c:v>126.03785538093626</c:v>
                </c:pt>
                <c:pt idx="4">
                  <c:v>131.85259580085113</c:v>
                </c:pt>
                <c:pt idx="5">
                  <c:v>137.66733622076603</c:v>
                </c:pt>
                <c:pt idx="6">
                  <c:v>143.48207664068093</c:v>
                </c:pt>
                <c:pt idx="7">
                  <c:v>149.2968170605958</c:v>
                </c:pt>
                <c:pt idx="8">
                  <c:v>155.11155748051067</c:v>
                </c:pt>
                <c:pt idx="9">
                  <c:v>160.92629790042557</c:v>
                </c:pt>
                <c:pt idx="10">
                  <c:v>166.74103832034046</c:v>
                </c:pt>
                <c:pt idx="11">
                  <c:v>172.55577874025533</c:v>
                </c:pt>
                <c:pt idx="12">
                  <c:v>178.37051916017023</c:v>
                </c:pt>
                <c:pt idx="13">
                  <c:v>184.18525958008513</c:v>
                </c:pt>
                <c:pt idx="14">
                  <c:v>190</c:v>
                </c:pt>
              </c:numCache>
            </c:numRef>
          </c:xVal>
          <c:yVal>
            <c:numRef>
              <c:f>'Metoda CIągu, zmienna masa'!$O$130:$O$144</c:f>
              <c:numCache>
                <c:formatCode>0.00</c:formatCode>
                <c:ptCount val="15"/>
                <c:pt idx="0">
                  <c:v>-4.7261966713904355</c:v>
                </c:pt>
                <c:pt idx="1">
                  <c:v>-3.9736126819577762</c:v>
                </c:pt>
                <c:pt idx="2">
                  <c:v>-3.2945890086727427</c:v>
                </c:pt>
                <c:pt idx="3">
                  <c:v>-2.6856406007271487</c:v>
                </c:pt>
                <c:pt idx="4">
                  <c:v>-2.1446940734442057</c:v>
                </c:pt>
                <c:pt idx="5">
                  <c:v>-1.6710429857913305</c:v>
                </c:pt>
                <c:pt idx="6">
                  <c:v>-1.2653702213242568</c:v>
                </c:pt>
                <c:pt idx="7">
                  <c:v>-0.92976652569278551</c:v>
                </c:pt>
                <c:pt idx="8">
                  <c:v>-0.66782369827923138</c:v>
                </c:pt>
                <c:pt idx="9">
                  <c:v>-0.48477933177478705</c:v>
                </c:pt>
                <c:pt idx="10">
                  <c:v>-0.38773043811490915</c:v>
                </c:pt>
                <c:pt idx="11">
                  <c:v>-0.38593610567447184</c:v>
                </c:pt>
                <c:pt idx="12">
                  <c:v>-0.49123388848388988</c:v>
                </c:pt>
                <c:pt idx="13">
                  <c:v>-0.71860767568725747</c:v>
                </c:pt>
                <c:pt idx="14">
                  <c:v>-1.0869621198908894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17A-4A06-B1C1-9BE2902CEBE2}"/>
            </c:ext>
          </c:extLst>
        </c:ser>
        <c:ser>
          <c:idx val="9"/>
          <c:order val="8"/>
          <c:tx>
            <c:v>h=0km, bez ściśliwości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masa'!$J$148:$J$162</c:f>
              <c:numCache>
                <c:formatCode>0.0</c:formatCode>
                <c:ptCount val="15"/>
                <c:pt idx="0">
                  <c:v>50.003599658606447</c:v>
                </c:pt>
                <c:pt idx="1">
                  <c:v>63.57477111156313</c:v>
                </c:pt>
                <c:pt idx="2">
                  <c:v>77.145942564519814</c:v>
                </c:pt>
                <c:pt idx="3">
                  <c:v>90.71711401747649</c:v>
                </c:pt>
                <c:pt idx="4">
                  <c:v>104.28828547043318</c:v>
                </c:pt>
                <c:pt idx="5">
                  <c:v>117.85945692338986</c:v>
                </c:pt>
                <c:pt idx="6">
                  <c:v>131.43062837634653</c:v>
                </c:pt>
                <c:pt idx="7">
                  <c:v>145.00179982930322</c:v>
                </c:pt>
                <c:pt idx="8">
                  <c:v>158.57297128225991</c:v>
                </c:pt>
                <c:pt idx="9">
                  <c:v>172.14414273521658</c:v>
                </c:pt>
                <c:pt idx="10">
                  <c:v>185.71531418817327</c:v>
                </c:pt>
                <c:pt idx="11">
                  <c:v>199.28648564112996</c:v>
                </c:pt>
                <c:pt idx="12">
                  <c:v>212.85765709408662</c:v>
                </c:pt>
                <c:pt idx="13">
                  <c:v>226.42882854704331</c:v>
                </c:pt>
                <c:pt idx="14">
                  <c:v>240</c:v>
                </c:pt>
              </c:numCache>
            </c:numRef>
          </c:xVal>
          <c:yVal>
            <c:numRef>
              <c:f>'Metoda CIągu, zmienna masa'!$O$148:$O$162</c:f>
              <c:numCache>
                <c:formatCode>0.00</c:formatCode>
                <c:ptCount val="15"/>
                <c:pt idx="0">
                  <c:v>7.4204314442374431</c:v>
                </c:pt>
                <c:pt idx="1">
                  <c:v>11.049669579574266</c:v>
                </c:pt>
                <c:pt idx="2">
                  <c:v>14.091016677510662</c:v>
                </c:pt>
                <c:pt idx="3">
                  <c:v>16.623363660728348</c:v>
                </c:pt>
                <c:pt idx="4">
                  <c:v>18.651236946256194</c:v>
                </c:pt>
                <c:pt idx="5">
                  <c:v>20.142769131400129</c:v>
                </c:pt>
                <c:pt idx="6">
                  <c:v>21.044915868900333</c:v>
                </c:pt>
                <c:pt idx="7">
                  <c:v>21.289969337318755</c:v>
                </c:pt>
                <c:pt idx="8">
                  <c:v>20.79837447623704</c:v>
                </c:pt>
                <c:pt idx="9">
                  <c:v>19.479805331610653</c:v>
                </c:pt>
                <c:pt idx="10">
                  <c:v>17.233319072323038</c:v>
                </c:pt>
                <c:pt idx="11">
                  <c:v>13.946956639852674</c:v>
                </c:pt>
                <c:pt idx="12">
                  <c:v>9.4969593037034628</c:v>
                </c:pt>
                <c:pt idx="13">
                  <c:v>3.7466759623333377</c:v>
                </c:pt>
                <c:pt idx="14">
                  <c:v>-3.4548133010788673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17A-4A06-B1C1-9BE2902CEBE2}"/>
            </c:ext>
          </c:extLst>
        </c:ser>
        <c:ser>
          <c:idx val="10"/>
          <c:order val="9"/>
          <c:tx>
            <c:v>h=2km, bez ściśliwości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masa'!$J$166:$J$180</c:f>
              <c:numCache>
                <c:formatCode>0.0</c:formatCode>
                <c:ptCount val="15"/>
                <c:pt idx="0">
                  <c:v>54.997802373144332</c:v>
                </c:pt>
                <c:pt idx="1">
                  <c:v>68.926530775062588</c:v>
                </c:pt>
                <c:pt idx="2">
                  <c:v>82.855259176980852</c:v>
                </c:pt>
                <c:pt idx="3">
                  <c:v>96.783987578899115</c:v>
                </c:pt>
                <c:pt idx="4">
                  <c:v>110.71271598081738</c:v>
                </c:pt>
                <c:pt idx="5">
                  <c:v>124.64144438273564</c:v>
                </c:pt>
                <c:pt idx="6">
                  <c:v>138.57017278465389</c:v>
                </c:pt>
                <c:pt idx="7">
                  <c:v>152.49890118657217</c:v>
                </c:pt>
                <c:pt idx="8">
                  <c:v>166.42762958849042</c:v>
                </c:pt>
                <c:pt idx="9">
                  <c:v>180.3563579904087</c:v>
                </c:pt>
                <c:pt idx="10">
                  <c:v>194.28508639232695</c:v>
                </c:pt>
                <c:pt idx="11">
                  <c:v>208.21381479424522</c:v>
                </c:pt>
                <c:pt idx="12">
                  <c:v>222.14254319616347</c:v>
                </c:pt>
                <c:pt idx="13">
                  <c:v>236.07127159808175</c:v>
                </c:pt>
                <c:pt idx="14">
                  <c:v>250</c:v>
                </c:pt>
              </c:numCache>
            </c:numRef>
          </c:xVal>
          <c:yVal>
            <c:numRef>
              <c:f>'Metoda CIągu, zmienna masa'!$O$166:$O$180</c:f>
              <c:numCache>
                <c:formatCode>0.00</c:formatCode>
                <c:ptCount val="15"/>
                <c:pt idx="0">
                  <c:v>6.0313575382436655</c:v>
                </c:pt>
                <c:pt idx="1">
                  <c:v>9.2744922129408316</c:v>
                </c:pt>
                <c:pt idx="2">
                  <c:v>11.941967909912769</c:v>
                </c:pt>
                <c:pt idx="3">
                  <c:v>14.116178384878824</c:v>
                </c:pt>
                <c:pt idx="4">
                  <c:v>15.810569850142658</c:v>
                </c:pt>
                <c:pt idx="5">
                  <c:v>17.003764787802723</c:v>
                </c:pt>
                <c:pt idx="6">
                  <c:v>17.653988314402035</c:v>
                </c:pt>
                <c:pt idx="7">
                  <c:v>17.705531190081363</c:v>
                </c:pt>
                <c:pt idx="8">
                  <c:v>17.091698158194212</c:v>
                </c:pt>
                <c:pt idx="9">
                  <c:v>15.736064297182113</c:v>
                </c:pt>
                <c:pt idx="10">
                  <c:v>13.552827247832465</c:v>
                </c:pt>
                <c:pt idx="11">
                  <c:v>10.446620853234647</c:v>
                </c:pt>
                <c:pt idx="12">
                  <c:v>6.3119646004359042</c:v>
                </c:pt>
                <c:pt idx="13">
                  <c:v>1.0324307203314493</c:v>
                </c:pt>
                <c:pt idx="14">
                  <c:v>-5.5204382120468454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17A-4A06-B1C1-9BE2902CEBE2}"/>
            </c:ext>
          </c:extLst>
        </c:ser>
        <c:ser>
          <c:idx val="11"/>
          <c:order val="10"/>
          <c:tx>
            <c:v>h=4km, bez ściśliwości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masa'!$J$184:$J$198</c:f>
              <c:numCache>
                <c:formatCode>0.0</c:formatCode>
                <c:ptCount val="15"/>
                <c:pt idx="0">
                  <c:v>60.774822867479457</c:v>
                </c:pt>
                <c:pt idx="1">
                  <c:v>74.290906948373788</c:v>
                </c:pt>
                <c:pt idx="2">
                  <c:v>87.806991029268104</c:v>
                </c:pt>
                <c:pt idx="3">
                  <c:v>101.32307511016243</c:v>
                </c:pt>
                <c:pt idx="4">
                  <c:v>114.83915919105675</c:v>
                </c:pt>
                <c:pt idx="5">
                  <c:v>128.35524327195108</c:v>
                </c:pt>
                <c:pt idx="6">
                  <c:v>141.87132735284541</c:v>
                </c:pt>
                <c:pt idx="7">
                  <c:v>155.38741143373971</c:v>
                </c:pt>
                <c:pt idx="8">
                  <c:v>168.90349551463407</c:v>
                </c:pt>
                <c:pt idx="9">
                  <c:v>182.41957959552838</c:v>
                </c:pt>
                <c:pt idx="10">
                  <c:v>195.93566367642271</c:v>
                </c:pt>
                <c:pt idx="11">
                  <c:v>209.45174775731704</c:v>
                </c:pt>
                <c:pt idx="12">
                  <c:v>222.96783183821137</c:v>
                </c:pt>
                <c:pt idx="13">
                  <c:v>236.4839159191057</c:v>
                </c:pt>
                <c:pt idx="14">
                  <c:v>250</c:v>
                </c:pt>
              </c:numCache>
            </c:numRef>
          </c:xVal>
          <c:yVal>
            <c:numRef>
              <c:f>'Metoda CIągu, zmienna masa'!$O$184:$O$198</c:f>
              <c:numCache>
                <c:formatCode>0.00</c:formatCode>
                <c:ptCount val="15"/>
                <c:pt idx="0">
                  <c:v>4.5941052352232363</c:v>
                </c:pt>
                <c:pt idx="1">
                  <c:v>7.3639369749192412</c:v>
                </c:pt>
                <c:pt idx="2">
                  <c:v>9.6309660989828672</c:v>
                </c:pt>
                <c:pt idx="3">
                  <c:v>11.471733720203598</c:v>
                </c:pt>
                <c:pt idx="4">
                  <c:v>12.908625595070941</c:v>
                </c:pt>
                <c:pt idx="5">
                  <c:v>13.934939289695631</c:v>
                </c:pt>
                <c:pt idx="6">
                  <c:v>14.526491315183527</c:v>
                </c:pt>
                <c:pt idx="7">
                  <c:v>14.647223220020457</c:v>
                </c:pt>
                <c:pt idx="8">
                  <c:v>14.251963458480866</c:v>
                </c:pt>
                <c:pt idx="9">
                  <c:v>13.28775325013026</c:v>
                </c:pt>
                <c:pt idx="10">
                  <c:v>11.694383720202119</c:v>
                </c:pt>
                <c:pt idx="11">
                  <c:v>9.4044603526430546</c:v>
                </c:pt>
                <c:pt idx="12">
                  <c:v>6.3431539881021051</c:v>
                </c:pt>
                <c:pt idx="13">
                  <c:v>2.4277184838864638</c:v>
                </c:pt>
                <c:pt idx="14">
                  <c:v>-2.4331871735815236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17A-4A06-B1C1-9BE2902CEBE2}"/>
            </c:ext>
          </c:extLst>
        </c:ser>
        <c:ser>
          <c:idx val="12"/>
          <c:order val="11"/>
          <c:tx>
            <c:v>h=6km, bez ściśliwości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masa'!$J$202:$J$216</c:f>
              <c:numCache>
                <c:formatCode>0.0</c:formatCode>
                <c:ptCount val="15"/>
                <c:pt idx="0">
                  <c:v>67.507098382792009</c:v>
                </c:pt>
                <c:pt idx="1">
                  <c:v>81.256591355449729</c:v>
                </c:pt>
                <c:pt idx="2">
                  <c:v>95.006084328107434</c:v>
                </c:pt>
                <c:pt idx="3">
                  <c:v>108.75557730076515</c:v>
                </c:pt>
                <c:pt idx="4">
                  <c:v>122.50507027342286</c:v>
                </c:pt>
                <c:pt idx="5">
                  <c:v>136.25456324608058</c:v>
                </c:pt>
                <c:pt idx="6">
                  <c:v>150.0040562187383</c:v>
                </c:pt>
                <c:pt idx="7">
                  <c:v>163.75354919139602</c:v>
                </c:pt>
                <c:pt idx="8">
                  <c:v>177.50304216405374</c:v>
                </c:pt>
                <c:pt idx="9">
                  <c:v>191.25253513671146</c:v>
                </c:pt>
                <c:pt idx="10">
                  <c:v>205.00202810936915</c:v>
                </c:pt>
                <c:pt idx="11">
                  <c:v>218.75152108202687</c:v>
                </c:pt>
                <c:pt idx="12">
                  <c:v>232.50101405468459</c:v>
                </c:pt>
                <c:pt idx="13">
                  <c:v>246.25050702734231</c:v>
                </c:pt>
                <c:pt idx="14">
                  <c:v>260</c:v>
                </c:pt>
              </c:numCache>
            </c:numRef>
          </c:xVal>
          <c:yVal>
            <c:numRef>
              <c:f>'Metoda CIągu, zmienna masa'!$O$202:$O$216</c:f>
              <c:numCache>
                <c:formatCode>0.00</c:formatCode>
                <c:ptCount val="15"/>
                <c:pt idx="0">
                  <c:v>3.0929758269251808</c:v>
                </c:pt>
                <c:pt idx="1">
                  <c:v>5.5543110462825993</c:v>
                </c:pt>
                <c:pt idx="2">
                  <c:v>7.5391942899459314</c:v>
                </c:pt>
                <c:pt idx="3">
                  <c:v>9.1223893899419153</c:v>
                </c:pt>
                <c:pt idx="4">
                  <c:v>10.331463734528578</c:v>
                </c:pt>
                <c:pt idx="5">
                  <c:v>11.167571590036756</c:v>
                </c:pt>
                <c:pt idx="6">
                  <c:v>11.615699441731646</c:v>
                </c:pt>
                <c:pt idx="7">
                  <c:v>11.649856719336304</c:v>
                </c:pt>
                <c:pt idx="8">
                  <c:v>11.235768597414845</c:v>
                </c:pt>
                <c:pt idx="9">
                  <c:v>10.332257855884164</c:v>
                </c:pt>
                <c:pt idx="10">
                  <c:v>8.8918921051395934</c:v>
                </c:pt>
                <c:pt idx="11">
                  <c:v>6.8611882541645359</c:v>
                </c:pt>
                <c:pt idx="12">
                  <c:v>4.1805258931385039</c:v>
                </c:pt>
                <c:pt idx="13">
                  <c:v>0.78384972833171684</c:v>
                </c:pt>
                <c:pt idx="14">
                  <c:v>-3.4017981804473965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17A-4A06-B1C1-9BE2902CEBE2}"/>
            </c:ext>
          </c:extLst>
        </c:ser>
        <c:ser>
          <c:idx val="13"/>
          <c:order val="12"/>
          <c:tx>
            <c:v>h=8km, bez ściśliwości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masa'!$J$220:$J$234</c:f>
              <c:numCache>
                <c:formatCode>0.0</c:formatCode>
                <c:ptCount val="15"/>
                <c:pt idx="0">
                  <c:v>75.408472283559973</c:v>
                </c:pt>
                <c:pt idx="1">
                  <c:v>88.593581406162826</c:v>
                </c:pt>
                <c:pt idx="2">
                  <c:v>101.77869052876569</c:v>
                </c:pt>
                <c:pt idx="3">
                  <c:v>114.96379965136855</c:v>
                </c:pt>
                <c:pt idx="4">
                  <c:v>128.14890877397141</c:v>
                </c:pt>
                <c:pt idx="5">
                  <c:v>141.33401789657427</c:v>
                </c:pt>
                <c:pt idx="6">
                  <c:v>154.51912701917712</c:v>
                </c:pt>
                <c:pt idx="7">
                  <c:v>167.70423614177997</c:v>
                </c:pt>
                <c:pt idx="8">
                  <c:v>180.88934526438283</c:v>
                </c:pt>
                <c:pt idx="9">
                  <c:v>194.07445438698568</c:v>
                </c:pt>
                <c:pt idx="10">
                  <c:v>207.25956350958856</c:v>
                </c:pt>
                <c:pt idx="11">
                  <c:v>220.44467263219141</c:v>
                </c:pt>
                <c:pt idx="12">
                  <c:v>233.62978175479427</c:v>
                </c:pt>
                <c:pt idx="13">
                  <c:v>246.81489087739712</c:v>
                </c:pt>
                <c:pt idx="14">
                  <c:v>260</c:v>
                </c:pt>
              </c:numCache>
            </c:numRef>
          </c:xVal>
          <c:yVal>
            <c:numRef>
              <c:f>'Metoda CIągu, zmienna masa'!$O$220:$O$234</c:f>
              <c:numCache>
                <c:formatCode>0.00</c:formatCode>
                <c:ptCount val="15"/>
                <c:pt idx="0">
                  <c:v>1.5104827664983591</c:v>
                </c:pt>
                <c:pt idx="1">
                  <c:v>3.6080347921481848</c:v>
                </c:pt>
                <c:pt idx="2">
                  <c:v>5.3041227141843814</c:v>
                </c:pt>
                <c:pt idx="3">
                  <c:v>6.6623516912070553</c:v>
                </c:pt>
                <c:pt idx="4">
                  <c:v>7.7122732956668987</c:v>
                </c:pt>
                <c:pt idx="5">
                  <c:v>8.463005944470062</c:v>
                </c:pt>
                <c:pt idx="6">
                  <c:v>8.9106392452715344</c:v>
                </c:pt>
                <c:pt idx="7">
                  <c:v>9.0422908414317256</c:v>
                </c:pt>
                <c:pt idx="8">
                  <c:v>8.8383708083461361</c:v>
                </c:pt>
                <c:pt idx="9">
                  <c:v>8.2738448971163852</c:v>
                </c:pt>
                <c:pt idx="10">
                  <c:v>7.3189116831358092</c:v>
                </c:pt>
                <c:pt idx="11">
                  <c:v>5.9393172888374073</c:v>
                </c:pt>
                <c:pt idx="12">
                  <c:v>4.0964304766626878</c:v>
                </c:pt>
                <c:pt idx="13">
                  <c:v>1.7471471221434423</c:v>
                </c:pt>
                <c:pt idx="14">
                  <c:v>-1.1563380286563369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17A-4A06-B1C1-9BE2902CEBE2}"/>
            </c:ext>
          </c:extLst>
        </c:ser>
        <c:ser>
          <c:idx val="14"/>
          <c:order val="13"/>
          <c:tx>
            <c:v>h=10km, bez ściśliwości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masa'!$J$238:$J$252</c:f>
              <c:numCache>
                <c:formatCode>0.0</c:formatCode>
                <c:ptCount val="15"/>
                <c:pt idx="0">
                  <c:v>84.758912726482023</c:v>
                </c:pt>
                <c:pt idx="1">
                  <c:v>97.990418960304737</c:v>
                </c:pt>
                <c:pt idx="2">
                  <c:v>111.22192519412745</c:v>
                </c:pt>
                <c:pt idx="3">
                  <c:v>124.45343142795016</c:v>
                </c:pt>
                <c:pt idx="4">
                  <c:v>137.68493766177286</c:v>
                </c:pt>
                <c:pt idx="5">
                  <c:v>150.91644389559559</c:v>
                </c:pt>
                <c:pt idx="6">
                  <c:v>164.14795012941829</c:v>
                </c:pt>
                <c:pt idx="7">
                  <c:v>177.37945636324099</c:v>
                </c:pt>
                <c:pt idx="8">
                  <c:v>190.61096259706372</c:v>
                </c:pt>
                <c:pt idx="9">
                  <c:v>203.84246883088645</c:v>
                </c:pt>
                <c:pt idx="10">
                  <c:v>217.07397506470915</c:v>
                </c:pt>
                <c:pt idx="11">
                  <c:v>230.30548129853184</c:v>
                </c:pt>
                <c:pt idx="12">
                  <c:v>243.53698753235454</c:v>
                </c:pt>
                <c:pt idx="13">
                  <c:v>256.7684937661773</c:v>
                </c:pt>
                <c:pt idx="14">
                  <c:v>270</c:v>
                </c:pt>
              </c:numCache>
            </c:numRef>
          </c:xVal>
          <c:yVal>
            <c:numRef>
              <c:f>'Metoda CIągu, zmienna masa'!$O$238:$O$252</c:f>
              <c:numCache>
                <c:formatCode>0.00</c:formatCode>
                <c:ptCount val="15"/>
                <c:pt idx="0">
                  <c:v>-0.17625820627653679</c:v>
                </c:pt>
                <c:pt idx="1">
                  <c:v>1.6901300794529088</c:v>
                </c:pt>
                <c:pt idx="2">
                  <c:v>3.1917998350332355</c:v>
                </c:pt>
                <c:pt idx="3">
                  <c:v>4.3865027622645894</c:v>
                </c:pt>
                <c:pt idx="4">
                  <c:v>5.3047589905295549</c:v>
                </c:pt>
                <c:pt idx="5">
                  <c:v>5.9599421407489368</c:v>
                </c:pt>
                <c:pt idx="6">
                  <c:v>6.3541452396842191</c:v>
                </c:pt>
                <c:pt idx="7">
                  <c:v>6.4815893523049448</c:v>
                </c:pt>
                <c:pt idx="8">
                  <c:v>6.3306284067224148</c:v>
                </c:pt>
                <c:pt idx="9">
                  <c:v>5.8849316011574802</c:v>
                </c:pt>
                <c:pt idx="10">
                  <c:v>5.1241684815684021</c:v>
                </c:pt>
                <c:pt idx="11">
                  <c:v>4.0243790814868685</c:v>
                </c:pt>
                <c:pt idx="12">
                  <c:v>2.5581344362064216</c:v>
                </c:pt>
                <c:pt idx="13">
                  <c:v>0.69454873495695568</c:v>
                </c:pt>
                <c:pt idx="14">
                  <c:v>-1.6008212204360281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17A-4A06-B1C1-9BE2902CEBE2}"/>
            </c:ext>
          </c:extLst>
        </c:ser>
        <c:ser>
          <c:idx val="15"/>
          <c:order val="14"/>
          <c:tx>
            <c:v>h=12km, bez ściśliwości</c:v>
          </c:tx>
          <c:spPr>
            <a:ln w="19050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masa'!$J$256:$J$270</c:f>
              <c:numCache>
                <c:formatCode>0.0</c:formatCode>
                <c:ptCount val="15"/>
                <c:pt idx="0">
                  <c:v>95.905119267981505</c:v>
                </c:pt>
                <c:pt idx="1">
                  <c:v>109.05475360598282</c:v>
                </c:pt>
                <c:pt idx="2">
                  <c:v>122.20438794398414</c:v>
                </c:pt>
                <c:pt idx="3">
                  <c:v>135.35402228198546</c:v>
                </c:pt>
                <c:pt idx="4">
                  <c:v>148.5036566199868</c:v>
                </c:pt>
                <c:pt idx="5">
                  <c:v>161.65329095798813</c:v>
                </c:pt>
                <c:pt idx="6">
                  <c:v>174.80292529598944</c:v>
                </c:pt>
                <c:pt idx="7">
                  <c:v>187.95255963399075</c:v>
                </c:pt>
                <c:pt idx="8">
                  <c:v>201.10219397199208</c:v>
                </c:pt>
                <c:pt idx="9">
                  <c:v>214.25182830999341</c:v>
                </c:pt>
                <c:pt idx="10">
                  <c:v>227.40146264799472</c:v>
                </c:pt>
                <c:pt idx="11">
                  <c:v>240.55109698599603</c:v>
                </c:pt>
                <c:pt idx="12">
                  <c:v>253.70073132399739</c:v>
                </c:pt>
                <c:pt idx="13">
                  <c:v>266.85036566199869</c:v>
                </c:pt>
                <c:pt idx="14">
                  <c:v>280</c:v>
                </c:pt>
              </c:numCache>
            </c:numRef>
          </c:xVal>
          <c:yVal>
            <c:numRef>
              <c:f>'Metoda CIągu, zmienna masa'!$O$256:$O$270</c:f>
              <c:numCache>
                <c:formatCode>0.00</c:formatCode>
                <c:ptCount val="15"/>
                <c:pt idx="0">
                  <c:v>-1.992587573657663</c:v>
                </c:pt>
                <c:pt idx="1">
                  <c:v>-0.32547545112179771</c:v>
                </c:pt>
                <c:pt idx="2">
                  <c:v>1.0193548081776733</c:v>
                </c:pt>
                <c:pt idx="3">
                  <c:v>2.0921891960663968</c:v>
                </c:pt>
                <c:pt idx="4">
                  <c:v>2.922734226213219</c:v>
                </c:pt>
                <c:pt idx="5">
                  <c:v>3.5270281939514052</c:v>
                </c:pt>
                <c:pt idx="6">
                  <c:v>3.9117894145384553</c:v>
                </c:pt>
                <c:pt idx="7">
                  <c:v>4.0770983167547614</c:v>
                </c:pt>
                <c:pt idx="8">
                  <c:v>4.0180681828372915</c:v>
                </c:pt>
                <c:pt idx="9">
                  <c:v>3.7258879539719691</c:v>
                </c:pt>
                <c:pt idx="10">
                  <c:v>3.1884688999976776</c:v>
                </c:pt>
                <c:pt idx="11">
                  <c:v>2.3908331676222629</c:v>
                </c:pt>
                <c:pt idx="12">
                  <c:v>1.31532750470402</c:v>
                </c:pt>
                <c:pt idx="13">
                  <c:v>-5.8286897349208208E-2</c:v>
                </c:pt>
                <c:pt idx="14">
                  <c:v>-1.7528372226578621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17A-4A06-B1C1-9BE2902CEBE2}"/>
            </c:ext>
          </c:extLst>
        </c:ser>
        <c:ser>
          <c:idx val="16"/>
          <c:order val="15"/>
          <c:tx>
            <c:v>h=14km, bez ściśliwości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masa'!$J$274:$J$288</c:f>
              <c:numCache>
                <c:formatCode>0.0</c:formatCode>
                <c:ptCount val="15"/>
                <c:pt idx="0">
                  <c:v>109.25978862609615</c:v>
                </c:pt>
                <c:pt idx="1">
                  <c:v>122.16980372423214</c:v>
                </c:pt>
                <c:pt idx="2">
                  <c:v>135.07981882236814</c:v>
                </c:pt>
                <c:pt idx="3">
                  <c:v>147.98983392050411</c:v>
                </c:pt>
                <c:pt idx="4">
                  <c:v>160.89984901864011</c:v>
                </c:pt>
                <c:pt idx="5">
                  <c:v>173.80986411677611</c:v>
                </c:pt>
                <c:pt idx="6">
                  <c:v>186.71987921491208</c:v>
                </c:pt>
                <c:pt idx="7">
                  <c:v>199.62989431304806</c:v>
                </c:pt>
                <c:pt idx="8">
                  <c:v>212.53990941118406</c:v>
                </c:pt>
                <c:pt idx="9">
                  <c:v>225.44992450932006</c:v>
                </c:pt>
                <c:pt idx="10">
                  <c:v>238.35993960745606</c:v>
                </c:pt>
                <c:pt idx="11">
                  <c:v>251.269954705592</c:v>
                </c:pt>
                <c:pt idx="12">
                  <c:v>264.179969803728</c:v>
                </c:pt>
                <c:pt idx="13">
                  <c:v>277.089984901864</c:v>
                </c:pt>
                <c:pt idx="14">
                  <c:v>290</c:v>
                </c:pt>
              </c:numCache>
            </c:numRef>
          </c:xVal>
          <c:yVal>
            <c:numRef>
              <c:f>'Metoda CIągu, zmienna masa'!$O$274:$O$288</c:f>
              <c:numCache>
                <c:formatCode>0.00</c:formatCode>
                <c:ptCount val="15"/>
                <c:pt idx="0">
                  <c:v>-3.9646476107517663</c:v>
                </c:pt>
                <c:pt idx="1">
                  <c:v>-2.4662994003600991</c:v>
                </c:pt>
                <c:pt idx="2">
                  <c:v>-1.243494821852305</c:v>
                </c:pt>
                <c:pt idx="3">
                  <c:v>-0.25456682359821631</c:v>
                </c:pt>
                <c:pt idx="4">
                  <c:v>0.52763570458657094</c:v>
                </c:pt>
                <c:pt idx="5">
                  <c:v>1.1200636276132583</c:v>
                </c:pt>
                <c:pt idx="6">
                  <c:v>1.5324184418371918</c:v>
                </c:pt>
                <c:pt idx="7">
                  <c:v>1.7690999722607754</c:v>
                </c:pt>
                <c:pt idx="8">
                  <c:v>1.830494060119348</c:v>
                </c:pt>
                <c:pt idx="9">
                  <c:v>1.7138264860497157</c:v>
                </c:pt>
                <c:pt idx="10">
                  <c:v>1.4137242612844962</c:v>
                </c:pt>
                <c:pt idx="11">
                  <c:v>0.92258729393033978</c:v>
                </c:pt>
                <c:pt idx="12">
                  <c:v>0.23081861000699294</c:v>
                </c:pt>
                <c:pt idx="13">
                  <c:v>-0.67303820211156007</c:v>
                </c:pt>
                <c:pt idx="14">
                  <c:v>-1.8022378161267048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17A-4A06-B1C1-9BE2902CE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706799"/>
        <c:axId val="2018065423"/>
      </c:scatterChart>
      <c:valAx>
        <c:axId val="1379706799"/>
        <c:scaling>
          <c:orientation val="minMax"/>
          <c:max val="270"/>
          <c:min val="1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065423"/>
        <c:crosses val="autoZero"/>
        <c:crossBetween val="midCat"/>
        <c:majorUnit val="5"/>
      </c:valAx>
      <c:valAx>
        <c:axId val="2018065423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</a:t>
                </a:r>
                <a:r>
                  <a:rPr lang="el-GR"/>
                  <a:t> [</a:t>
                </a:r>
                <a:r>
                  <a:rPr lang="pl-PL"/>
                  <a:t>m/s</a:t>
                </a:r>
                <a:r>
                  <a:rPr lang="el-GR"/>
                  <a:t>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9706799"/>
        <c:crosses val="autoZero"/>
        <c:crossBetween val="midCat"/>
        <c:majorUnit val="1.0000000000000002E-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ciągu mmax h(w)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6472597386236241"/>
                  <c:y val="-0.683481322077321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(Podsumowanie!$S$47,Podsumowanie!$S$53)</c:f>
              <c:numCache>
                <c:formatCode>0.00</c:formatCode>
                <c:ptCount val="2"/>
                <c:pt idx="0">
                  <c:v>17.4448818897637</c:v>
                </c:pt>
                <c:pt idx="1">
                  <c:v>0.2</c:v>
                </c:pt>
              </c:numCache>
            </c:numRef>
          </c:xVal>
          <c:yVal>
            <c:numRef>
              <c:f>(Podsumowanie!$N$47,Podsumowanie!$N$53)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F9-472A-BD60-AAAAE13F664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Podsumowanie!$AE$44:$AE$45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F9-472A-BD60-AAAAE13F6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9439"/>
        <c:axId val="1373292671"/>
      </c:scatterChart>
      <c:valAx>
        <c:axId val="1494339439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292671"/>
        <c:crosses val="autoZero"/>
        <c:crossBetween val="midCat"/>
      </c:valAx>
      <c:valAx>
        <c:axId val="1373292671"/>
        <c:scaling>
          <c:orientation val="minMax"/>
          <c:max val="1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9439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mocy mmax h(w)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4772935862810824"/>
                  <c:y val="-0.692440456775928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(Podsumowanie!$S$58,Podsumowanie!$S$63)</c:f>
              <c:numCache>
                <c:formatCode>0.00</c:formatCode>
                <c:ptCount val="2"/>
                <c:pt idx="0">
                  <c:v>17.734251968503902</c:v>
                </c:pt>
                <c:pt idx="1">
                  <c:v>2.5629921259842501</c:v>
                </c:pt>
              </c:numCache>
            </c:numRef>
          </c:xVal>
          <c:yVal>
            <c:numRef>
              <c:f>(Podsumowanie!$N$58,Podsumowanie!$N$63)</c:f>
              <c:numCache>
                <c:formatCode>General</c:formatCode>
                <c:ptCount val="2"/>
                <c:pt idx="0">
                  <c:v>0</c:v>
                </c:pt>
                <c:pt idx="1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E2-40E6-A546-A585E89331D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Podsumowanie!$AE$44:$AE$45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E2-40E6-A546-A585E8933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9439"/>
        <c:axId val="1373292671"/>
      </c:scatterChart>
      <c:valAx>
        <c:axId val="1494339439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292671"/>
        <c:crosses val="autoZero"/>
        <c:crossBetween val="midCat"/>
      </c:valAx>
      <c:valAx>
        <c:axId val="1373292671"/>
        <c:scaling>
          <c:orientation val="minMax"/>
          <c:max val="1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9439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bez ściśliwości masa h(w)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825394685326601"/>
                  <c:y val="-0.663268086852052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(Podsumowanie!$S$35,Podsumowanie!$S$42)</c:f>
              <c:numCache>
                <c:formatCode>0.00</c:formatCode>
                <c:ptCount val="2"/>
                <c:pt idx="0">
                  <c:v>21.3344537815126</c:v>
                </c:pt>
                <c:pt idx="1">
                  <c:v>1.8487394957983101</c:v>
                </c:pt>
              </c:numCache>
            </c:numRef>
          </c:xVal>
          <c:yVal>
            <c:numRef>
              <c:f>(Podsumowanie!$N$35,Podsumowanie!$N$42)</c:f>
              <c:numCache>
                <c:formatCode>General</c:formatCode>
                <c:ptCount val="2"/>
                <c:pt idx="0">
                  <c:v>0</c:v>
                </c:pt>
                <c:pt idx="1">
                  <c:v>14000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2E-402E-83E6-AA3D70B29A7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Podsumowanie!$AE$44:$AE$45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2E-402E-83E6-AA3D70B29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9439"/>
        <c:axId val="1373292671"/>
      </c:scatterChart>
      <c:valAx>
        <c:axId val="1494339439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292671"/>
        <c:crosses val="autoZero"/>
        <c:crossBetween val="midCat"/>
      </c:valAx>
      <c:valAx>
        <c:axId val="1373292671"/>
        <c:scaling>
          <c:orientation val="minMax"/>
          <c:max val="1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9439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ofertowy samolotu Iskra mmax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0553243689356174E-2"/>
          <c:y val="8.0195689084250288E-2"/>
          <c:w val="0.92311149204290111"/>
          <c:h val="0.85598346332729802"/>
        </c:manualLayout>
      </c:layout>
      <c:scatterChart>
        <c:scatterStyle val="smoothMarker"/>
        <c:varyColors val="0"/>
        <c:ser>
          <c:idx val="0"/>
          <c:order val="0"/>
          <c:tx>
            <c:v>Vmin1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Podsumowanie!$P$4:$P$11</c:f>
              <c:numCache>
                <c:formatCode>0.00</c:formatCode>
                <c:ptCount val="8"/>
                <c:pt idx="0">
                  <c:v>179.88039867109609</c:v>
                </c:pt>
                <c:pt idx="1">
                  <c:v>198.53820598006621</c:v>
                </c:pt>
                <c:pt idx="2">
                  <c:v>219.34883720930222</c:v>
                </c:pt>
                <c:pt idx="3">
                  <c:v>243.02990033222582</c:v>
                </c:pt>
                <c:pt idx="4">
                  <c:v>271.73421926910294</c:v>
                </c:pt>
                <c:pt idx="5">
                  <c:v>315.50830564784042</c:v>
                </c:pt>
                <c:pt idx="6">
                  <c:v>418.1262458471748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54-4AC4-A081-04F6D66801F7}"/>
            </c:ext>
          </c:extLst>
        </c:ser>
        <c:ser>
          <c:idx val="13"/>
          <c:order val="1"/>
          <c:tx>
            <c:v>Vmin2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Podsumowanie!$P$47:$P$54</c:f>
              <c:numCache>
                <c:formatCode>0.00</c:formatCode>
                <c:ptCount val="8"/>
                <c:pt idx="0">
                  <c:v>179.88039867109609</c:v>
                </c:pt>
                <c:pt idx="1">
                  <c:v>198.53820598006621</c:v>
                </c:pt>
                <c:pt idx="2">
                  <c:v>220.78405315614603</c:v>
                </c:pt>
                <c:pt idx="3">
                  <c:v>245.90033222591342</c:v>
                </c:pt>
                <c:pt idx="4">
                  <c:v>275.32225913621255</c:v>
                </c:pt>
                <c:pt idx="5">
                  <c:v>334.88372093023224</c:v>
                </c:pt>
                <c:pt idx="6">
                  <c:v>526.48504983388443</c:v>
                </c:pt>
                <c:pt idx="7" formatCode="General">
                  <c:v>560</c:v>
                </c:pt>
              </c:numCache>
            </c:numRef>
          </c:xVal>
          <c:yVal>
            <c:numRef>
              <c:f>Podsumowanie!$N$47:$N$54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12140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54-4AC4-A081-04F6D66801F7}"/>
            </c:ext>
          </c:extLst>
        </c:ser>
        <c:ser>
          <c:idx val="20"/>
          <c:order val="2"/>
          <c:tx>
            <c:v>Vmin3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Podsumowanie!$P$58:$P$64</c:f>
              <c:numCache>
                <c:formatCode>0.00</c:formatCode>
                <c:ptCount val="7"/>
                <c:pt idx="0">
                  <c:v>180.59800664451816</c:v>
                </c:pt>
                <c:pt idx="1">
                  <c:v>198.53820598006621</c:v>
                </c:pt>
                <c:pt idx="2">
                  <c:v>220.78405315614603</c:v>
                </c:pt>
                <c:pt idx="3">
                  <c:v>245.90033222591342</c:v>
                </c:pt>
                <c:pt idx="4">
                  <c:v>275.32225913621255</c:v>
                </c:pt>
                <c:pt idx="5">
                  <c:v>344.93023255813921</c:v>
                </c:pt>
                <c:pt idx="6" formatCode="General">
                  <c:v>565</c:v>
                </c:pt>
              </c:numCache>
            </c:numRef>
          </c:xVal>
          <c:yVal>
            <c:numRef>
              <c:f>Podsumowanie!$N$58:$N$64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11670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54-4AC4-A081-04F6D66801F7}"/>
            </c:ext>
          </c:extLst>
        </c:ser>
        <c:ser>
          <c:idx val="1"/>
          <c:order val="3"/>
          <c:tx>
            <c:v>Vmax1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Podsumowanie!$R$4:$R$11</c:f>
              <c:numCache>
                <c:formatCode>0.00</c:formatCode>
                <c:ptCount val="8"/>
                <c:pt idx="0">
                  <c:v>737.96334012219961</c:v>
                </c:pt>
                <c:pt idx="1">
                  <c:v>742.14256619144521</c:v>
                </c:pt>
                <c:pt idx="2">
                  <c:v>745.88187372708603</c:v>
                </c:pt>
                <c:pt idx="3">
                  <c:v>745.07535641547713</c:v>
                </c:pt>
                <c:pt idx="4">
                  <c:v>742.80244399185244</c:v>
                </c:pt>
                <c:pt idx="5">
                  <c:v>733.12423625254314</c:v>
                </c:pt>
                <c:pt idx="6">
                  <c:v>709.80855397148514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54-4AC4-A081-04F6D66801F7}"/>
            </c:ext>
          </c:extLst>
        </c:ser>
        <c:ser>
          <c:idx val="14"/>
          <c:order val="4"/>
          <c:tx>
            <c:v>Vmax2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Podsumowanie!$R$47:$R$54</c:f>
              <c:numCache>
                <c:formatCode>0.00</c:formatCode>
                <c:ptCount val="8"/>
                <c:pt idx="0">
                  <c:v>733.82400000000007</c:v>
                </c:pt>
                <c:pt idx="1">
                  <c:v>736.93686354378485</c:v>
                </c:pt>
                <c:pt idx="2">
                  <c:v>736.64358452138163</c:v>
                </c:pt>
                <c:pt idx="3">
                  <c:v>735.91038696537362</c:v>
                </c:pt>
                <c:pt idx="4">
                  <c:v>731.95112016293047</c:v>
                </c:pt>
                <c:pt idx="5">
                  <c:v>721.53971486761679</c:v>
                </c:pt>
                <c:pt idx="6">
                  <c:v>612</c:v>
                </c:pt>
                <c:pt idx="7" formatCode="General">
                  <c:v>560</c:v>
                </c:pt>
              </c:numCache>
            </c:numRef>
          </c:xVal>
          <c:yVal>
            <c:numRef>
              <c:f>Podsumowanie!$N$47:$N$54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12140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854-4AC4-A081-04F6D66801F7}"/>
            </c:ext>
          </c:extLst>
        </c:ser>
        <c:ser>
          <c:idx val="21"/>
          <c:order val="5"/>
          <c:tx>
            <c:v>Vmax3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Podsumowanie!$R$58:$R$64</c:f>
              <c:numCache>
                <c:formatCode>0.00</c:formatCode>
                <c:ptCount val="7"/>
                <c:pt idx="0">
                  <c:v>738.68256753926403</c:v>
                </c:pt>
                <c:pt idx="1">
                  <c:v>739.28895078533765</c:v>
                </c:pt>
                <c:pt idx="2">
                  <c:v>740.97801047120402</c:v>
                </c:pt>
                <c:pt idx="3">
                  <c:v>742.69319371727408</c:v>
                </c:pt>
                <c:pt idx="4">
                  <c:v>728.36481675392633</c:v>
                </c:pt>
                <c:pt idx="5">
                  <c:v>685.459459459458</c:v>
                </c:pt>
                <c:pt idx="6" formatCode="General">
                  <c:v>565</c:v>
                </c:pt>
              </c:numCache>
            </c:numRef>
          </c:xVal>
          <c:yVal>
            <c:numRef>
              <c:f>Podsumowanie!$N$58:$N$64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11670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854-4AC4-A081-04F6D66801F7}"/>
            </c:ext>
          </c:extLst>
        </c:ser>
        <c:ser>
          <c:idx val="2"/>
          <c:order val="6"/>
          <c:tx>
            <c:v>Vw1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Podsumowanie!$V$4:$V$11</c:f>
              <c:numCache>
                <c:formatCode>0.00</c:formatCode>
                <c:ptCount val="8"/>
                <c:pt idx="0">
                  <c:v>484.86378737541236</c:v>
                </c:pt>
                <c:pt idx="1">
                  <c:v>497.78073089700843</c:v>
                </c:pt>
                <c:pt idx="2">
                  <c:v>513.568106312292</c:v>
                </c:pt>
                <c:pt idx="3">
                  <c:v>529.35548172757194</c:v>
                </c:pt>
                <c:pt idx="4">
                  <c:v>549.44850498338519</c:v>
                </c:pt>
                <c:pt idx="5">
                  <c:v>574.56478405315443</c:v>
                </c:pt>
                <c:pt idx="6">
                  <c:v>602.55149501661117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854-4AC4-A081-04F6D66801F7}"/>
            </c:ext>
          </c:extLst>
        </c:ser>
        <c:ser>
          <c:idx val="15"/>
          <c:order val="7"/>
          <c:tx>
            <c:v>Vw2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Podsumowanie!$V$47:$V$54</c:f>
              <c:numCache>
                <c:formatCode>0.00</c:formatCode>
                <c:ptCount val="8"/>
                <c:pt idx="0">
                  <c:v>453.28903654484878</c:v>
                </c:pt>
                <c:pt idx="1">
                  <c:v>461.90033222591165</c:v>
                </c:pt>
                <c:pt idx="2">
                  <c:v>477.68770764119523</c:v>
                </c:pt>
                <c:pt idx="3">
                  <c:v>494.91029900332086</c:v>
                </c:pt>
                <c:pt idx="4">
                  <c:v>512.85049833886922</c:v>
                </c:pt>
                <c:pt idx="5">
                  <c:v>533.66112956810525</c:v>
                </c:pt>
                <c:pt idx="6">
                  <c:v>552.31893687707634</c:v>
                </c:pt>
                <c:pt idx="7" formatCode="General">
                  <c:v>560</c:v>
                </c:pt>
              </c:numCache>
            </c:numRef>
          </c:xVal>
          <c:yVal>
            <c:numRef>
              <c:f>Podsumowanie!$N$47:$N$54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12140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854-4AC4-A081-04F6D66801F7}"/>
            </c:ext>
          </c:extLst>
        </c:ser>
        <c:ser>
          <c:idx val="22"/>
          <c:order val="8"/>
          <c:tx>
            <c:v>Vw3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Podsumowanie!$V$58:$V$64</c:f>
              <c:numCache>
                <c:formatCode>0.00</c:formatCode>
                <c:ptCount val="7"/>
                <c:pt idx="0">
                  <c:v>464.77076411959922</c:v>
                </c:pt>
                <c:pt idx="1">
                  <c:v>484.14617940199315</c:v>
                </c:pt>
                <c:pt idx="2">
                  <c:v>499.9335548172732</c:v>
                </c:pt>
                <c:pt idx="3">
                  <c:v>520.74418604650918</c:v>
                </c:pt>
                <c:pt idx="4">
                  <c:v>533.66112956810525</c:v>
                </c:pt>
                <c:pt idx="5">
                  <c:v>557.3421926910288</c:v>
                </c:pt>
                <c:pt idx="6" formatCode="General">
                  <c:v>565</c:v>
                </c:pt>
              </c:numCache>
            </c:numRef>
          </c:xVal>
          <c:yVal>
            <c:numRef>
              <c:f>Podsumowanie!$N$58:$N$64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11670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854-4AC4-A081-04F6D66801F7}"/>
            </c:ext>
          </c:extLst>
        </c:ser>
        <c:ser>
          <c:idx val="3"/>
          <c:order val="9"/>
          <c:tx>
            <c:v>Vy1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Podsumowanie!$Z$4:$Z$11</c:f>
              <c:numCache>
                <c:formatCode>0.00</c:formatCode>
                <c:ptCount val="8"/>
                <c:pt idx="0">
                  <c:v>308.18918918918916</c:v>
                </c:pt>
                <c:pt idx="1">
                  <c:v>353.43243243243217</c:v>
                </c:pt>
                <c:pt idx="2">
                  <c:v>386.27027027026924</c:v>
                </c:pt>
                <c:pt idx="3">
                  <c:v>428.59459459459441</c:v>
                </c:pt>
                <c:pt idx="4">
                  <c:v>465.8108108108076</c:v>
                </c:pt>
                <c:pt idx="5">
                  <c:v>519.81081081080754</c:v>
                </c:pt>
                <c:pt idx="6">
                  <c:v>578.91891891891601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854-4AC4-A081-04F6D66801F7}"/>
            </c:ext>
          </c:extLst>
        </c:ser>
        <c:ser>
          <c:idx val="16"/>
          <c:order val="10"/>
          <c:tx>
            <c:v>Vy2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Podsumowanie!$Z$47:$Z$54</c:f>
              <c:numCache>
                <c:formatCode>0.00</c:formatCode>
                <c:ptCount val="8"/>
                <c:pt idx="0">
                  <c:v>272.43243243243217</c:v>
                </c:pt>
                <c:pt idx="1">
                  <c:v>299.43243243243217</c:v>
                </c:pt>
                <c:pt idx="2">
                  <c:v>337.37837837837833</c:v>
                </c:pt>
                <c:pt idx="3">
                  <c:v>382.62162162161877</c:v>
                </c:pt>
                <c:pt idx="4">
                  <c:v>431.51351351351042</c:v>
                </c:pt>
                <c:pt idx="5">
                  <c:v>487.70270270269924</c:v>
                </c:pt>
                <c:pt idx="6">
                  <c:v>552.64864864864683</c:v>
                </c:pt>
                <c:pt idx="7" formatCode="General">
                  <c:v>560</c:v>
                </c:pt>
              </c:numCache>
            </c:numRef>
          </c:xVal>
          <c:yVal>
            <c:numRef>
              <c:f>Podsumowanie!$N$47:$N$54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12140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854-4AC4-A081-04F6D66801F7}"/>
            </c:ext>
          </c:extLst>
        </c:ser>
        <c:ser>
          <c:idx val="23"/>
          <c:order val="11"/>
          <c:tx>
            <c:v>Vy3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Podsumowanie!$Z$58:$Z$64</c:f>
              <c:numCache>
                <c:formatCode>0.00</c:formatCode>
                <c:ptCount val="7"/>
                <c:pt idx="0">
                  <c:v>289.94594594594582</c:v>
                </c:pt>
                <c:pt idx="1">
                  <c:v>322.05405405405384</c:v>
                </c:pt>
                <c:pt idx="2">
                  <c:v>357.81081081081049</c:v>
                </c:pt>
                <c:pt idx="3">
                  <c:v>405.24324324324118</c:v>
                </c:pt>
                <c:pt idx="4">
                  <c:v>459.24324324324118</c:v>
                </c:pt>
                <c:pt idx="5">
                  <c:v>515.43243243243001</c:v>
                </c:pt>
                <c:pt idx="6" formatCode="General">
                  <c:v>565</c:v>
                </c:pt>
              </c:numCache>
            </c:numRef>
          </c:xVal>
          <c:yVal>
            <c:numRef>
              <c:f>Podsumowanie!$N$58:$N$64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11670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854-4AC4-A081-04F6D66801F7}"/>
            </c:ext>
          </c:extLst>
        </c:ser>
        <c:ser>
          <c:idx val="4"/>
          <c:order val="12"/>
          <c:tx>
            <c:v>10wmax1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Podsumowanie!$T$4:$T$11</c:f>
              <c:numCache>
                <c:formatCode>0.00</c:formatCode>
                <c:ptCount val="8"/>
                <c:pt idx="0">
                  <c:v>205.452755905511</c:v>
                </c:pt>
                <c:pt idx="1">
                  <c:v>170.72834645669201</c:v>
                </c:pt>
                <c:pt idx="2">
                  <c:v>138.07086614173198</c:v>
                </c:pt>
                <c:pt idx="3">
                  <c:v>107.480314960629</c:v>
                </c:pt>
                <c:pt idx="4">
                  <c:v>78.956692913385794</c:v>
                </c:pt>
                <c:pt idx="5">
                  <c:v>50.8464566929133</c:v>
                </c:pt>
                <c:pt idx="6">
                  <c:v>23.976377952755801</c:v>
                </c:pt>
                <c:pt idx="7" formatCode="General">
                  <c:v>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854-4AC4-A081-04F6D66801F7}"/>
            </c:ext>
          </c:extLst>
        </c:ser>
        <c:ser>
          <c:idx val="17"/>
          <c:order val="13"/>
          <c:tx>
            <c:v>10wmax2</c:v>
          </c:tx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Podsumowanie!$T$47:$T$54</c:f>
              <c:numCache>
                <c:formatCode>0.00</c:formatCode>
                <c:ptCount val="8"/>
                <c:pt idx="0">
                  <c:v>174.44881889763701</c:v>
                </c:pt>
                <c:pt idx="1">
                  <c:v>143.444881889763</c:v>
                </c:pt>
                <c:pt idx="2">
                  <c:v>113.26771653543301</c:v>
                </c:pt>
                <c:pt idx="3">
                  <c:v>85.157480314960594</c:v>
                </c:pt>
                <c:pt idx="4">
                  <c:v>57.460629921259795</c:v>
                </c:pt>
                <c:pt idx="5">
                  <c:v>30.590551181102299</c:v>
                </c:pt>
                <c:pt idx="6">
                  <c:v>2</c:v>
                </c:pt>
                <c:pt idx="7" formatCode="General">
                  <c:v>0</c:v>
                </c:pt>
              </c:numCache>
            </c:numRef>
          </c:xVal>
          <c:yVal>
            <c:numRef>
              <c:f>Podsumowanie!$N$47:$N$54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12140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854-4AC4-A081-04F6D66801F7}"/>
            </c:ext>
          </c:extLst>
        </c:ser>
        <c:ser>
          <c:idx val="24"/>
          <c:order val="14"/>
          <c:tx>
            <c:v>10wmax3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Podsumowanie!$T$58:$T$64</c:f>
              <c:numCache>
                <c:formatCode>0.00</c:formatCode>
                <c:ptCount val="7"/>
                <c:pt idx="0">
                  <c:v>177.34251968503901</c:v>
                </c:pt>
                <c:pt idx="1">
                  <c:v>145.09842519685</c:v>
                </c:pt>
                <c:pt idx="2">
                  <c:v>111.614173228346</c:v>
                </c:pt>
                <c:pt idx="3">
                  <c:v>81.023622047244089</c:v>
                </c:pt>
                <c:pt idx="4">
                  <c:v>53.740157480314899</c:v>
                </c:pt>
                <c:pt idx="5">
                  <c:v>25.629921259842501</c:v>
                </c:pt>
                <c:pt idx="6" formatCode="General">
                  <c:v>0</c:v>
                </c:pt>
              </c:numCache>
            </c:numRef>
          </c:xVal>
          <c:yVal>
            <c:numRef>
              <c:f>Podsumowanie!$N$58:$N$64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11670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854-4AC4-A081-04F6D66801F7}"/>
            </c:ext>
          </c:extLst>
        </c:ser>
        <c:ser>
          <c:idx val="5"/>
          <c:order val="15"/>
          <c:tx>
            <c:v>10ymax1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Podsumowanie!$X$4:$X$11</c:f>
              <c:numCache>
                <c:formatCode>0.00</c:formatCode>
                <c:ptCount val="8"/>
                <c:pt idx="0">
                  <c:v>106.14754098360599</c:v>
                </c:pt>
                <c:pt idx="1">
                  <c:v>83.811475409835992</c:v>
                </c:pt>
                <c:pt idx="2">
                  <c:v>64.959016393442596</c:v>
                </c:pt>
                <c:pt idx="3">
                  <c:v>47.950819672131104</c:v>
                </c:pt>
                <c:pt idx="4">
                  <c:v>32.581967213114702</c:v>
                </c:pt>
                <c:pt idx="5">
                  <c:v>19.262295081967199</c:v>
                </c:pt>
                <c:pt idx="6">
                  <c:v>8.401639344262291</c:v>
                </c:pt>
                <c:pt idx="7" formatCode="General">
                  <c:v>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854-4AC4-A081-04F6D66801F7}"/>
            </c:ext>
          </c:extLst>
        </c:ser>
        <c:ser>
          <c:idx val="18"/>
          <c:order val="16"/>
          <c:tx>
            <c:v>10ymax2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Podsumowanie!$X$47:$X$54</c:f>
              <c:numCache>
                <c:formatCode>0.00</c:formatCode>
                <c:ptCount val="8"/>
                <c:pt idx="0">
                  <c:v>99.180327868852402</c:v>
                </c:pt>
                <c:pt idx="1">
                  <c:v>76.434426229508105</c:v>
                </c:pt>
                <c:pt idx="2">
                  <c:v>56.762295081967196</c:v>
                </c:pt>
                <c:pt idx="3">
                  <c:v>39.959016393442603</c:v>
                </c:pt>
                <c:pt idx="4">
                  <c:v>24.7950819672131</c:v>
                </c:pt>
                <c:pt idx="5">
                  <c:v>11.885245901639301</c:v>
                </c:pt>
                <c:pt idx="6">
                  <c:v>0.20491803278689599</c:v>
                </c:pt>
                <c:pt idx="7" formatCode="General">
                  <c:v>0</c:v>
                </c:pt>
              </c:numCache>
            </c:numRef>
          </c:xVal>
          <c:yVal>
            <c:numRef>
              <c:f>Podsumowanie!$N$47:$N$54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12140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854-4AC4-A081-04F6D66801F7}"/>
            </c:ext>
          </c:extLst>
        </c:ser>
        <c:ser>
          <c:idx val="25"/>
          <c:order val="17"/>
          <c:tx>
            <c:v>10ymax3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Podsumowanie!$X$58:$X$64</c:f>
              <c:numCache>
                <c:formatCode>0.00</c:formatCode>
                <c:ptCount val="7"/>
                <c:pt idx="0">
                  <c:v>95.901639344262293</c:v>
                </c:pt>
                <c:pt idx="1">
                  <c:v>73.975409836065495</c:v>
                </c:pt>
                <c:pt idx="2">
                  <c:v>54.5081967213114</c:v>
                </c:pt>
                <c:pt idx="3">
                  <c:v>37.7049180327868</c:v>
                </c:pt>
                <c:pt idx="4">
                  <c:v>22.540983606557301</c:v>
                </c:pt>
                <c:pt idx="5">
                  <c:v>9.8360655737704903</c:v>
                </c:pt>
                <c:pt idx="6" formatCode="General">
                  <c:v>0</c:v>
                </c:pt>
              </c:numCache>
            </c:numRef>
          </c:xVal>
          <c:yVal>
            <c:numRef>
              <c:f>Podsumowanie!$N$58:$N$64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11670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854-4AC4-A081-04F6D66801F7}"/>
            </c:ext>
          </c:extLst>
        </c:ser>
        <c:ser>
          <c:idx val="6"/>
          <c:order val="18"/>
          <c:tx>
            <c:v>10th1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Podsumowanie!$AB$4:$AB$11</c:f>
              <c:numCache>
                <c:formatCode>0.00</c:formatCode>
                <c:ptCount val="8"/>
                <c:pt idx="0">
                  <c:v>0</c:v>
                </c:pt>
                <c:pt idx="1">
                  <c:v>17.874261982982183</c:v>
                </c:pt>
                <c:pt idx="2">
                  <c:v>39.70745481558064</c:v>
                </c:pt>
                <c:pt idx="3">
                  <c:v>67.28526622572754</c:v>
                </c:pt>
                <c:pt idx="4">
                  <c:v>103.90059969969991</c:v>
                </c:pt>
                <c:pt idx="5">
                  <c:v>157.78764068928214</c:v>
                </c:pt>
                <c:pt idx="6">
                  <c:v>260.07892632791885</c:v>
                </c:pt>
                <c:pt idx="7" formatCode="General">
                  <c:v>1100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854-4AC4-A081-04F6D66801F7}"/>
            </c:ext>
          </c:extLst>
        </c:ser>
        <c:ser>
          <c:idx val="19"/>
          <c:order val="19"/>
          <c:tx>
            <c:v>10th2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Podsumowanie!$AB$47:$AB$54</c:f>
              <c:numCache>
                <c:formatCode>0.00</c:formatCode>
                <c:ptCount val="8"/>
                <c:pt idx="0">
                  <c:v>0</c:v>
                </c:pt>
                <c:pt idx="1">
                  <c:v>21.172765193962565</c:v>
                </c:pt>
                <c:pt idx="2">
                  <c:v>47.506031414479324</c:v>
                </c:pt>
                <c:pt idx="3">
                  <c:v>81.792015668573583</c:v>
                </c:pt>
                <c:pt idx="4">
                  <c:v>130.36896548181593</c:v>
                </c:pt>
                <c:pt idx="5">
                  <c:v>213.8573870997341</c:v>
                </c:pt>
                <c:pt idx="6">
                  <c:v>1101.6737749161221</c:v>
                </c:pt>
                <c:pt idx="7" formatCode="General">
                  <c:v>800</c:v>
                </c:pt>
              </c:numCache>
            </c:numRef>
          </c:xVal>
          <c:yVal>
            <c:numRef>
              <c:f>Podsumowanie!$N$47:$N$54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12140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854-4AC4-A081-04F6D66801F7}"/>
            </c:ext>
          </c:extLst>
        </c:ser>
        <c:ser>
          <c:idx val="26"/>
          <c:order val="20"/>
          <c:tx>
            <c:v>10th3</c:v>
          </c:tx>
          <c:spPr>
            <a:ln w="127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Podsumowanie!$AB$58:$AB$64</c:f>
              <c:numCache>
                <c:formatCode>0.00</c:formatCode>
                <c:ptCount val="7"/>
                <c:pt idx="0">
                  <c:v>0</c:v>
                </c:pt>
                <c:pt idx="1">
                  <c:v>20.884465328909826</c:v>
                </c:pt>
                <c:pt idx="2">
                  <c:v>47.303313969980792</c:v>
                </c:pt>
                <c:pt idx="3">
                  <c:v>82.805839495182113</c:v>
                </c:pt>
                <c:pt idx="4">
                  <c:v>134.38940332364393</c:v>
                </c:pt>
                <c:pt idx="5">
                  <c:v>230.43099613943036</c:v>
                </c:pt>
                <c:pt idx="6" formatCode="General">
                  <c:v>800</c:v>
                </c:pt>
              </c:numCache>
            </c:numRef>
          </c:xVal>
          <c:yVal>
            <c:numRef>
              <c:f>Podsumowanie!$N$58:$N$64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11670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854-4AC4-A081-04F6D66801F7}"/>
            </c:ext>
          </c:extLst>
        </c:ser>
        <c:ser>
          <c:idx val="7"/>
          <c:order val="21"/>
          <c:tx>
            <c:v>ht1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Podsumowanie!$AD$40:$AD$41</c:f>
              <c:numCache>
                <c:formatCode>General</c:formatCode>
                <c:ptCount val="2"/>
                <c:pt idx="0">
                  <c:v>13600</c:v>
                </c:pt>
                <c:pt idx="1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F854-4AC4-A081-04F6D66801F7}"/>
            </c:ext>
          </c:extLst>
        </c:ser>
        <c:ser>
          <c:idx val="9"/>
          <c:order val="22"/>
          <c:tx>
            <c:v>ht2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Podsumowanie!$AL$40:$AL$41</c:f>
              <c:numCache>
                <c:formatCode>General</c:formatCode>
                <c:ptCount val="2"/>
                <c:pt idx="0">
                  <c:v>12140</c:v>
                </c:pt>
                <c:pt idx="1">
                  <c:v>12140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F854-4AC4-A081-04F6D66801F7}"/>
            </c:ext>
          </c:extLst>
        </c:ser>
        <c:ser>
          <c:idx val="11"/>
          <c:order val="23"/>
          <c:tx>
            <c:v>ht3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Podsumowanie!$AN$40:$AN$41</c:f>
              <c:numCache>
                <c:formatCode>General</c:formatCode>
                <c:ptCount val="2"/>
                <c:pt idx="0">
                  <c:v>11670</c:v>
                </c:pt>
                <c:pt idx="1">
                  <c:v>11670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F854-4AC4-A081-04F6D66801F7}"/>
            </c:ext>
          </c:extLst>
        </c:ser>
        <c:ser>
          <c:idx val="8"/>
          <c:order val="24"/>
          <c:tx>
            <c:v>hp1</c:v>
          </c:tx>
          <c:spPr>
            <a:ln w="127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Podsumowanie!$AE$40:$AE$41</c:f>
              <c:numCache>
                <c:formatCode>General</c:formatCode>
                <c:ptCount val="2"/>
                <c:pt idx="0">
                  <c:v>13269.38</c:v>
                </c:pt>
                <c:pt idx="1">
                  <c:v>13269.38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F854-4AC4-A081-04F6D66801F7}"/>
            </c:ext>
          </c:extLst>
        </c:ser>
        <c:ser>
          <c:idx val="10"/>
          <c:order val="25"/>
          <c:tx>
            <c:v>hp2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Podsumowanie!$AM$40:$AM$41</c:f>
              <c:numCache>
                <c:formatCode>General</c:formatCode>
                <c:ptCount val="2"/>
                <c:pt idx="0">
                  <c:v>11792.07</c:v>
                </c:pt>
                <c:pt idx="1">
                  <c:v>11792.07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F854-4AC4-A081-04F6D66801F7}"/>
            </c:ext>
          </c:extLst>
        </c:ser>
        <c:ser>
          <c:idx val="12"/>
          <c:order val="26"/>
          <c:tx>
            <c:v>hp3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Podsumowanie!$AO$40:$AO$41</c:f>
              <c:numCache>
                <c:formatCode>General</c:formatCode>
                <c:ptCount val="2"/>
                <c:pt idx="0">
                  <c:v>11340.43</c:v>
                </c:pt>
                <c:pt idx="1">
                  <c:v>11340.43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F854-4AC4-A081-04F6D6680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5119"/>
        <c:axId val="1641619439"/>
      </c:scatterChart>
      <c:valAx>
        <c:axId val="1494335119"/>
        <c:scaling>
          <c:orientation val="minMax"/>
          <c:max val="7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 [km/h]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 [m/s]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 [min]</a:t>
                </a:r>
              </a:p>
              <a:p>
                <a:pPr>
                  <a:defRPr/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[°]</a:t>
                </a:r>
              </a:p>
            </c:rich>
          </c:tx>
          <c:layout>
            <c:manualLayout>
              <c:xMode val="edge"/>
              <c:yMode val="edge"/>
              <c:x val="0.89839953493964475"/>
              <c:y val="0.83724121773926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19439"/>
        <c:crosses val="autoZero"/>
        <c:crossBetween val="midCat"/>
        <c:majorUnit val="25"/>
      </c:valAx>
      <c:valAx>
        <c:axId val="1641619439"/>
        <c:scaling>
          <c:orientation val="minMax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5119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ofertowy samolotu Iskra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0553243689356174E-2"/>
          <c:y val="7.8388075787105285E-2"/>
          <c:w val="0.92778121572395256"/>
          <c:h val="0.85779107662444287"/>
        </c:manualLayout>
      </c:layout>
      <c:scatterChart>
        <c:scatterStyle val="smoothMarker"/>
        <c:varyColors val="0"/>
        <c:ser>
          <c:idx val="0"/>
          <c:order val="0"/>
          <c:tx>
            <c:v>Vmin1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Podsumowanie!$P$4:$P$11</c:f>
              <c:numCache>
                <c:formatCode>0.00</c:formatCode>
                <c:ptCount val="8"/>
                <c:pt idx="0">
                  <c:v>179.88039867109609</c:v>
                </c:pt>
                <c:pt idx="1">
                  <c:v>198.53820598006621</c:v>
                </c:pt>
                <c:pt idx="2">
                  <c:v>219.34883720930222</c:v>
                </c:pt>
                <c:pt idx="3">
                  <c:v>243.02990033222582</c:v>
                </c:pt>
                <c:pt idx="4">
                  <c:v>271.73421926910294</c:v>
                </c:pt>
                <c:pt idx="5">
                  <c:v>315.50830564784042</c:v>
                </c:pt>
                <c:pt idx="6">
                  <c:v>418.1262458471748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28-4C5D-8E14-3A6C087CA174}"/>
            </c:ext>
          </c:extLst>
        </c:ser>
        <c:ser>
          <c:idx val="13"/>
          <c:order val="1"/>
          <c:tx>
            <c:v>Vmin2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Podsumowanie!$P$14:$P$21</c:f>
              <c:numCache>
                <c:formatCode>0.00</c:formatCode>
                <c:ptCount val="8"/>
                <c:pt idx="0">
                  <c:v>165.47945205479436</c:v>
                </c:pt>
                <c:pt idx="1">
                  <c:v>182.35616438356163</c:v>
                </c:pt>
                <c:pt idx="2">
                  <c:v>202.30136986301352</c:v>
                </c:pt>
                <c:pt idx="3">
                  <c:v>225.31506849315036</c:v>
                </c:pt>
                <c:pt idx="4">
                  <c:v>252.16438356164375</c:v>
                </c:pt>
                <c:pt idx="5">
                  <c:v>285.91780821917797</c:v>
                </c:pt>
                <c:pt idx="6">
                  <c:v>367.23287671232765</c:v>
                </c:pt>
                <c:pt idx="7" formatCode="General">
                  <c:v>550</c:v>
                </c:pt>
              </c:numCache>
            </c:numRef>
          </c:xVal>
          <c:yVal>
            <c:numRef>
              <c:f>Podsumowanie!$N$14:$N$21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13390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28-4C5D-8E14-3A6C087CA174}"/>
            </c:ext>
          </c:extLst>
        </c:ser>
        <c:ser>
          <c:idx val="20"/>
          <c:order val="2"/>
          <c:tx>
            <c:v>Vmin3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Podsumowanie!$P$24:$P$31</c:f>
              <c:numCache>
                <c:formatCode>0.00</c:formatCode>
                <c:ptCount val="8"/>
                <c:pt idx="0">
                  <c:v>165.47945205479436</c:v>
                </c:pt>
                <c:pt idx="1">
                  <c:v>182.35616438356163</c:v>
                </c:pt>
                <c:pt idx="2">
                  <c:v>202.30136986301352</c:v>
                </c:pt>
                <c:pt idx="3">
                  <c:v>225.31506849315036</c:v>
                </c:pt>
                <c:pt idx="4">
                  <c:v>251.39726027397253</c:v>
                </c:pt>
                <c:pt idx="5">
                  <c:v>285.1506849315067</c:v>
                </c:pt>
                <c:pt idx="6">
                  <c:v>382.57534246575239</c:v>
                </c:pt>
                <c:pt idx="7" formatCode="General">
                  <c:v>560</c:v>
                </c:pt>
              </c:numCache>
            </c:numRef>
          </c:xVal>
          <c:yVal>
            <c:numRef>
              <c:f>Podsumowanie!$N$24:$N$31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28-4C5D-8E14-3A6C087CA174}"/>
            </c:ext>
          </c:extLst>
        </c:ser>
        <c:ser>
          <c:idx val="1"/>
          <c:order val="3"/>
          <c:tx>
            <c:v>Vmax1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Podsumowanie!$R$4:$R$11</c:f>
              <c:numCache>
                <c:formatCode>0.00</c:formatCode>
                <c:ptCount val="8"/>
                <c:pt idx="0">
                  <c:v>737.96334012219961</c:v>
                </c:pt>
                <c:pt idx="1">
                  <c:v>742.14256619144521</c:v>
                </c:pt>
                <c:pt idx="2">
                  <c:v>745.88187372708603</c:v>
                </c:pt>
                <c:pt idx="3">
                  <c:v>745.07535641547713</c:v>
                </c:pt>
                <c:pt idx="4">
                  <c:v>742.80244399185244</c:v>
                </c:pt>
                <c:pt idx="5">
                  <c:v>733.12423625254314</c:v>
                </c:pt>
                <c:pt idx="6">
                  <c:v>709.80855397148514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28-4C5D-8E14-3A6C087CA174}"/>
            </c:ext>
          </c:extLst>
        </c:ser>
        <c:ser>
          <c:idx val="14"/>
          <c:order val="4"/>
          <c:tx>
            <c:v>Vmax2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Podsumowanie!$R$14:$R$21</c:f>
              <c:numCache>
                <c:formatCode>0.00</c:formatCode>
                <c:ptCount val="8"/>
                <c:pt idx="0">
                  <c:v>737.23531972142882</c:v>
                </c:pt>
                <c:pt idx="1">
                  <c:v>740.75947689142083</c:v>
                </c:pt>
                <c:pt idx="2">
                  <c:v>742.73795109211676</c:v>
                </c:pt>
                <c:pt idx="3">
                  <c:v>741.99602326685397</c:v>
                </c:pt>
                <c:pt idx="4">
                  <c:v>736.55521921493994</c:v>
                </c:pt>
                <c:pt idx="5">
                  <c:v>721.46935343463122</c:v>
                </c:pt>
                <c:pt idx="6">
                  <c:v>682.57996992718927</c:v>
                </c:pt>
                <c:pt idx="7" formatCode="General">
                  <c:v>550</c:v>
                </c:pt>
              </c:numCache>
            </c:numRef>
          </c:xVal>
          <c:yVal>
            <c:numRef>
              <c:f>Podsumowanie!$N$14:$N$21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13390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828-4C5D-8E14-3A6C087CA174}"/>
            </c:ext>
          </c:extLst>
        </c:ser>
        <c:ser>
          <c:idx val="21"/>
          <c:order val="5"/>
          <c:tx>
            <c:v>Vmax3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Podsumowanie!$R$24:$R$31</c:f>
              <c:numCache>
                <c:formatCode>0.00</c:formatCode>
                <c:ptCount val="8"/>
                <c:pt idx="0">
                  <c:v>740.14120370370244</c:v>
                </c:pt>
                <c:pt idx="1">
                  <c:v>745.02556188667211</c:v>
                </c:pt>
                <c:pt idx="2">
                  <c:v>745.45835311807207</c:v>
                </c:pt>
                <c:pt idx="3">
                  <c:v>747.37499999999761</c:v>
                </c:pt>
                <c:pt idx="4">
                  <c:v>746.01479898702007</c:v>
                </c:pt>
                <c:pt idx="5">
                  <c:v>731.60903371320001</c:v>
                </c:pt>
                <c:pt idx="6">
                  <c:v>662.85705523899958</c:v>
                </c:pt>
                <c:pt idx="7" formatCode="General">
                  <c:v>560</c:v>
                </c:pt>
              </c:numCache>
            </c:numRef>
          </c:xVal>
          <c:yVal>
            <c:numRef>
              <c:f>Podsumowanie!$N$24:$N$31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828-4C5D-8E14-3A6C087CA174}"/>
            </c:ext>
          </c:extLst>
        </c:ser>
        <c:ser>
          <c:idx val="2"/>
          <c:order val="6"/>
          <c:tx>
            <c:v>Vw1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Podsumowanie!$V$4:$V$11</c:f>
              <c:numCache>
                <c:formatCode>0.00</c:formatCode>
                <c:ptCount val="8"/>
                <c:pt idx="0">
                  <c:v>484.86378737541236</c:v>
                </c:pt>
                <c:pt idx="1">
                  <c:v>497.78073089700843</c:v>
                </c:pt>
                <c:pt idx="2">
                  <c:v>513.568106312292</c:v>
                </c:pt>
                <c:pt idx="3">
                  <c:v>529.35548172757194</c:v>
                </c:pt>
                <c:pt idx="4">
                  <c:v>549.44850498338519</c:v>
                </c:pt>
                <c:pt idx="5">
                  <c:v>574.56478405315443</c:v>
                </c:pt>
                <c:pt idx="6">
                  <c:v>602.55149501661117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828-4C5D-8E14-3A6C087CA174}"/>
            </c:ext>
          </c:extLst>
        </c:ser>
        <c:ser>
          <c:idx val="15"/>
          <c:order val="7"/>
          <c:tx>
            <c:v>Vw2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Podsumowanie!$V$14:$V$21</c:f>
              <c:numCache>
                <c:formatCode>0.00</c:formatCode>
                <c:ptCount val="8"/>
                <c:pt idx="0">
                  <c:v>447.0136986301344</c:v>
                </c:pt>
                <c:pt idx="1">
                  <c:v>453.15068493150363</c:v>
                </c:pt>
                <c:pt idx="2">
                  <c:v>466.19178082191723</c:v>
                </c:pt>
                <c:pt idx="3">
                  <c:v>476.93150684931237</c:v>
                </c:pt>
                <c:pt idx="4">
                  <c:v>489.97260273972603</c:v>
                </c:pt>
                <c:pt idx="5">
                  <c:v>502.24657534246438</c:v>
                </c:pt>
                <c:pt idx="6">
                  <c:v>524.49315068493001</c:v>
                </c:pt>
                <c:pt idx="7" formatCode="General">
                  <c:v>550</c:v>
                </c:pt>
              </c:numCache>
            </c:numRef>
          </c:xVal>
          <c:yVal>
            <c:numRef>
              <c:f>Podsumowanie!$N$14:$N$21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13390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828-4C5D-8E14-3A6C087CA174}"/>
            </c:ext>
          </c:extLst>
        </c:ser>
        <c:ser>
          <c:idx val="22"/>
          <c:order val="8"/>
          <c:tx>
            <c:v>Vw3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Podsumowanie!$V$24:$V$31</c:f>
              <c:numCache>
                <c:formatCode>0.00</c:formatCode>
                <c:ptCount val="8"/>
                <c:pt idx="0">
                  <c:v>464.65753424657407</c:v>
                </c:pt>
                <c:pt idx="1">
                  <c:v>473.09589041095802</c:v>
                </c:pt>
                <c:pt idx="2">
                  <c:v>486.90410958903959</c:v>
                </c:pt>
                <c:pt idx="3">
                  <c:v>497.64383561643837</c:v>
                </c:pt>
                <c:pt idx="4">
                  <c:v>514.52054794520279</c:v>
                </c:pt>
                <c:pt idx="5">
                  <c:v>527.56164383561645</c:v>
                </c:pt>
                <c:pt idx="6">
                  <c:v>554.41095890410804</c:v>
                </c:pt>
                <c:pt idx="7" formatCode="General">
                  <c:v>560</c:v>
                </c:pt>
              </c:numCache>
            </c:numRef>
          </c:xVal>
          <c:yVal>
            <c:numRef>
              <c:f>Podsumowanie!$N$24:$N$31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828-4C5D-8E14-3A6C087CA174}"/>
            </c:ext>
          </c:extLst>
        </c:ser>
        <c:ser>
          <c:idx val="3"/>
          <c:order val="9"/>
          <c:tx>
            <c:v>Vy1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Podsumowanie!$Z$4:$Z$11</c:f>
              <c:numCache>
                <c:formatCode>0.00</c:formatCode>
                <c:ptCount val="8"/>
                <c:pt idx="0">
                  <c:v>308.18918918918916</c:v>
                </c:pt>
                <c:pt idx="1">
                  <c:v>353.43243243243217</c:v>
                </c:pt>
                <c:pt idx="2">
                  <c:v>386.27027027026924</c:v>
                </c:pt>
                <c:pt idx="3">
                  <c:v>428.59459459459441</c:v>
                </c:pt>
                <c:pt idx="4">
                  <c:v>465.8108108108076</c:v>
                </c:pt>
                <c:pt idx="5">
                  <c:v>519.81081081080754</c:v>
                </c:pt>
                <c:pt idx="6">
                  <c:v>578.91891891891601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828-4C5D-8E14-3A6C087CA174}"/>
            </c:ext>
          </c:extLst>
        </c:ser>
        <c:ser>
          <c:idx val="16"/>
          <c:order val="10"/>
          <c:tx>
            <c:v>Vy2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Podsumowanie!$Z$14:$Z$21</c:f>
              <c:numCache>
                <c:formatCode>0.00</c:formatCode>
                <c:ptCount val="8"/>
                <c:pt idx="0">
                  <c:v>242.17177914110411</c:v>
                </c:pt>
                <c:pt idx="1">
                  <c:v>270</c:v>
                </c:pt>
                <c:pt idx="2">
                  <c:v>302.46625766871142</c:v>
                </c:pt>
                <c:pt idx="3">
                  <c:v>337.25153374233122</c:v>
                </c:pt>
                <c:pt idx="4">
                  <c:v>375.90184049079602</c:v>
                </c:pt>
                <c:pt idx="5">
                  <c:v>426.14723926380242</c:v>
                </c:pt>
                <c:pt idx="6">
                  <c:v>489.53374233128642</c:v>
                </c:pt>
                <c:pt idx="7" formatCode="General">
                  <c:v>550</c:v>
                </c:pt>
              </c:numCache>
            </c:numRef>
          </c:xVal>
          <c:yVal>
            <c:numRef>
              <c:f>Podsumowanie!$N$14:$N$21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13390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828-4C5D-8E14-3A6C087CA174}"/>
            </c:ext>
          </c:extLst>
        </c:ser>
        <c:ser>
          <c:idx val="23"/>
          <c:order val="11"/>
          <c:tx>
            <c:v>Vy3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Podsumowanie!$Z$24:$Z$31</c:f>
              <c:numCache>
                <c:formatCode>0.00</c:formatCode>
                <c:ptCount val="8"/>
                <c:pt idx="0">
                  <c:v>260.7239263803678</c:v>
                </c:pt>
                <c:pt idx="1">
                  <c:v>292.41717791411014</c:v>
                </c:pt>
                <c:pt idx="2">
                  <c:v>325.65644171779144</c:v>
                </c:pt>
                <c:pt idx="3">
                  <c:v>362.76073619631842</c:v>
                </c:pt>
                <c:pt idx="4">
                  <c:v>403.7300613496908</c:v>
                </c:pt>
                <c:pt idx="5">
                  <c:v>457.84049079754442</c:v>
                </c:pt>
                <c:pt idx="6">
                  <c:v>528.18404907975116</c:v>
                </c:pt>
                <c:pt idx="7" formatCode="General">
                  <c:v>560</c:v>
                </c:pt>
              </c:numCache>
            </c:numRef>
          </c:xVal>
          <c:yVal>
            <c:numRef>
              <c:f>Podsumowanie!$N$24:$N$31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828-4C5D-8E14-3A6C087CA174}"/>
            </c:ext>
          </c:extLst>
        </c:ser>
        <c:ser>
          <c:idx val="4"/>
          <c:order val="12"/>
          <c:tx>
            <c:v>10wmax1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Podsumowanie!$T$4:$T$11</c:f>
              <c:numCache>
                <c:formatCode>0.00</c:formatCode>
                <c:ptCount val="8"/>
                <c:pt idx="0">
                  <c:v>205.452755905511</c:v>
                </c:pt>
                <c:pt idx="1">
                  <c:v>170.72834645669201</c:v>
                </c:pt>
                <c:pt idx="2">
                  <c:v>138.07086614173198</c:v>
                </c:pt>
                <c:pt idx="3">
                  <c:v>107.480314960629</c:v>
                </c:pt>
                <c:pt idx="4">
                  <c:v>78.956692913385794</c:v>
                </c:pt>
                <c:pt idx="5">
                  <c:v>50.8464566929133</c:v>
                </c:pt>
                <c:pt idx="6">
                  <c:v>23.976377952755801</c:v>
                </c:pt>
                <c:pt idx="7" formatCode="General">
                  <c:v>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828-4C5D-8E14-3A6C087CA174}"/>
            </c:ext>
          </c:extLst>
        </c:ser>
        <c:ser>
          <c:idx val="17"/>
          <c:order val="13"/>
          <c:tx>
            <c:v>10wmax2</c:v>
          </c:tx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Podsumowanie!$T$14:$T$21</c:f>
              <c:numCache>
                <c:formatCode>0.00</c:formatCode>
                <c:ptCount val="8"/>
                <c:pt idx="0">
                  <c:v>213.84328358208901</c:v>
                </c:pt>
                <c:pt idx="1">
                  <c:v>177.31343283581998</c:v>
                </c:pt>
                <c:pt idx="2">
                  <c:v>144.067164179104</c:v>
                </c:pt>
                <c:pt idx="3">
                  <c:v>111.641791044776</c:v>
                </c:pt>
                <c:pt idx="4">
                  <c:v>81.679104477611901</c:v>
                </c:pt>
                <c:pt idx="5">
                  <c:v>52.126865671641802</c:v>
                </c:pt>
                <c:pt idx="6">
                  <c:v>22.164179104477498</c:v>
                </c:pt>
                <c:pt idx="7" formatCode="General">
                  <c:v>0</c:v>
                </c:pt>
              </c:numCache>
            </c:numRef>
          </c:xVal>
          <c:yVal>
            <c:numRef>
              <c:f>Podsumowanie!$N$14:$N$21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13390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828-4C5D-8E14-3A6C087CA174}"/>
            </c:ext>
          </c:extLst>
        </c:ser>
        <c:ser>
          <c:idx val="24"/>
          <c:order val="14"/>
          <c:tx>
            <c:v>10wmax3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Podsumowanie!$T$24:$T$31</c:f>
              <c:numCache>
                <c:formatCode>0.00</c:formatCode>
                <c:ptCount val="8"/>
                <c:pt idx="0">
                  <c:v>215.48507462686501</c:v>
                </c:pt>
                <c:pt idx="1">
                  <c:v>179.77611940298502</c:v>
                </c:pt>
                <c:pt idx="2">
                  <c:v>145.70895522388</c:v>
                </c:pt>
                <c:pt idx="3">
                  <c:v>110.41044776119399</c:v>
                </c:pt>
                <c:pt idx="4">
                  <c:v>79.216417910447703</c:v>
                </c:pt>
                <c:pt idx="5">
                  <c:v>50.895522388059703</c:v>
                </c:pt>
                <c:pt idx="6">
                  <c:v>17.649253731343201</c:v>
                </c:pt>
                <c:pt idx="7" formatCode="General">
                  <c:v>0</c:v>
                </c:pt>
              </c:numCache>
            </c:numRef>
          </c:xVal>
          <c:yVal>
            <c:numRef>
              <c:f>Podsumowanie!$N$24:$N$31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828-4C5D-8E14-3A6C087CA174}"/>
            </c:ext>
          </c:extLst>
        </c:ser>
        <c:ser>
          <c:idx val="5"/>
          <c:order val="15"/>
          <c:tx>
            <c:v>10ymax1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Podsumowanie!$X$4:$X$11</c:f>
              <c:numCache>
                <c:formatCode>0.00</c:formatCode>
                <c:ptCount val="8"/>
                <c:pt idx="0">
                  <c:v>106.14754098360599</c:v>
                </c:pt>
                <c:pt idx="1">
                  <c:v>83.811475409835992</c:v>
                </c:pt>
                <c:pt idx="2">
                  <c:v>64.959016393442596</c:v>
                </c:pt>
                <c:pt idx="3">
                  <c:v>47.950819672131104</c:v>
                </c:pt>
                <c:pt idx="4">
                  <c:v>32.581967213114702</c:v>
                </c:pt>
                <c:pt idx="5">
                  <c:v>19.262295081967199</c:v>
                </c:pt>
                <c:pt idx="6">
                  <c:v>8.401639344262291</c:v>
                </c:pt>
                <c:pt idx="7" formatCode="General">
                  <c:v>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828-4C5D-8E14-3A6C087CA174}"/>
            </c:ext>
          </c:extLst>
        </c:ser>
        <c:ser>
          <c:idx val="18"/>
          <c:order val="16"/>
          <c:tx>
            <c:v>10ymax2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Podsumowanie!$X$14:$X$21</c:f>
              <c:numCache>
                <c:formatCode>0.00</c:formatCode>
                <c:ptCount val="8"/>
                <c:pt idx="0">
                  <c:v>126.42857142857099</c:v>
                </c:pt>
                <c:pt idx="1">
                  <c:v>99.047619047618994</c:v>
                </c:pt>
                <c:pt idx="2">
                  <c:v>75.714285714285708</c:v>
                </c:pt>
                <c:pt idx="3">
                  <c:v>55.238095238095198</c:v>
                </c:pt>
                <c:pt idx="4">
                  <c:v>37.619047619047599</c:v>
                </c:pt>
                <c:pt idx="5">
                  <c:v>22.380952380952301</c:v>
                </c:pt>
                <c:pt idx="6">
                  <c:v>8.8095238095238102</c:v>
                </c:pt>
                <c:pt idx="7" formatCode="General">
                  <c:v>0</c:v>
                </c:pt>
              </c:numCache>
            </c:numRef>
          </c:xVal>
          <c:yVal>
            <c:numRef>
              <c:f>Podsumowanie!$N$14:$N$21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13390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828-4C5D-8E14-3A6C087CA174}"/>
            </c:ext>
          </c:extLst>
        </c:ser>
        <c:ser>
          <c:idx val="25"/>
          <c:order val="17"/>
          <c:tx>
            <c:v>10ymax3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Podsumowanie!$X$24:$X$31</c:f>
              <c:numCache>
                <c:formatCode>0.00</c:formatCode>
                <c:ptCount val="8"/>
                <c:pt idx="0">
                  <c:v>122.380952380952</c:v>
                </c:pt>
                <c:pt idx="1">
                  <c:v>96.190476190476204</c:v>
                </c:pt>
                <c:pt idx="2">
                  <c:v>72.857142857142804</c:v>
                </c:pt>
                <c:pt idx="3">
                  <c:v>52.857142857142804</c:v>
                </c:pt>
                <c:pt idx="4">
                  <c:v>35.714285714285701</c:v>
                </c:pt>
                <c:pt idx="5">
                  <c:v>19.761904761904702</c:v>
                </c:pt>
                <c:pt idx="6">
                  <c:v>6.4285714285714404</c:v>
                </c:pt>
                <c:pt idx="7" formatCode="General">
                  <c:v>0</c:v>
                </c:pt>
              </c:numCache>
            </c:numRef>
          </c:xVal>
          <c:yVal>
            <c:numRef>
              <c:f>Podsumowanie!$N$24:$N$31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828-4C5D-8E14-3A6C087CA174}"/>
            </c:ext>
          </c:extLst>
        </c:ser>
        <c:ser>
          <c:idx val="6"/>
          <c:order val="18"/>
          <c:tx>
            <c:v>10th1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Podsumowanie!$AB$4:$AB$11</c:f>
              <c:numCache>
                <c:formatCode>0.00</c:formatCode>
                <c:ptCount val="8"/>
                <c:pt idx="0">
                  <c:v>0</c:v>
                </c:pt>
                <c:pt idx="1">
                  <c:v>17.874261982982183</c:v>
                </c:pt>
                <c:pt idx="2">
                  <c:v>39.70745481558064</c:v>
                </c:pt>
                <c:pt idx="3">
                  <c:v>67.28526622572754</c:v>
                </c:pt>
                <c:pt idx="4">
                  <c:v>103.90059969969991</c:v>
                </c:pt>
                <c:pt idx="5">
                  <c:v>157.78764068928214</c:v>
                </c:pt>
                <c:pt idx="6">
                  <c:v>260.07892632791885</c:v>
                </c:pt>
                <c:pt idx="7" formatCode="General">
                  <c:v>1100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5828-4C5D-8E14-3A6C087CA174}"/>
            </c:ext>
          </c:extLst>
        </c:ser>
        <c:ser>
          <c:idx val="19"/>
          <c:order val="19"/>
          <c:tx>
            <c:v>10th2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Podsumowanie!$AB$14:$AB$21</c:f>
              <c:numCache>
                <c:formatCode>0.00</c:formatCode>
                <c:ptCount val="8"/>
                <c:pt idx="0">
                  <c:v>0</c:v>
                </c:pt>
                <c:pt idx="1">
                  <c:v>17.193420664310047</c:v>
                </c:pt>
                <c:pt idx="2">
                  <c:v>38.161649965872769</c:v>
                </c:pt>
                <c:pt idx="3">
                  <c:v>64.659026953445888</c:v>
                </c:pt>
                <c:pt idx="4">
                  <c:v>99.992781286609045</c:v>
                </c:pt>
                <c:pt idx="5">
                  <c:v>152.37111293530828</c:v>
                </c:pt>
                <c:pt idx="6">
                  <c:v>259.54079753281474</c:v>
                </c:pt>
                <c:pt idx="7" formatCode="General">
                  <c:v>1100</c:v>
                </c:pt>
              </c:numCache>
            </c:numRef>
          </c:xVal>
          <c:yVal>
            <c:numRef>
              <c:f>Podsumowanie!$N$14:$N$21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13390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828-4C5D-8E14-3A6C087CA174}"/>
            </c:ext>
          </c:extLst>
        </c:ser>
        <c:ser>
          <c:idx val="26"/>
          <c:order val="20"/>
          <c:tx>
            <c:v>10th3</c:v>
          </c:tx>
          <c:spPr>
            <a:ln w="127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Podsumowanie!$AB$24:$AB$31</c:f>
              <c:numCache>
                <c:formatCode>0.00</c:formatCode>
                <c:ptCount val="8"/>
                <c:pt idx="0">
                  <c:v>0</c:v>
                </c:pt>
                <c:pt idx="1">
                  <c:v>17.005277827195663</c:v>
                </c:pt>
                <c:pt idx="2">
                  <c:v>37.714394851188288</c:v>
                </c:pt>
                <c:pt idx="3">
                  <c:v>64.247911598852426</c:v>
                </c:pt>
                <c:pt idx="4">
                  <c:v>100.38251105567777</c:v>
                </c:pt>
                <c:pt idx="5">
                  <c:v>154.16874376552741</c:v>
                </c:pt>
                <c:pt idx="6">
                  <c:v>281.34826591879346</c:v>
                </c:pt>
                <c:pt idx="7" formatCode="General">
                  <c:v>1100</c:v>
                </c:pt>
              </c:numCache>
            </c:numRef>
          </c:xVal>
          <c:yVal>
            <c:numRef>
              <c:f>Podsumowanie!$N$24:$N$31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5828-4C5D-8E14-3A6C087CA174}"/>
            </c:ext>
          </c:extLst>
        </c:ser>
        <c:ser>
          <c:idx val="7"/>
          <c:order val="21"/>
          <c:tx>
            <c:v>ht1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Podsumowanie!$AD$40:$AD$41</c:f>
              <c:numCache>
                <c:formatCode>General</c:formatCode>
                <c:ptCount val="2"/>
                <c:pt idx="0">
                  <c:v>13600</c:v>
                </c:pt>
                <c:pt idx="1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5828-4C5D-8E14-3A6C087CA174}"/>
            </c:ext>
          </c:extLst>
        </c:ser>
        <c:ser>
          <c:idx val="9"/>
          <c:order val="22"/>
          <c:tx>
            <c:v>ht2</c:v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Podsumowanie!$AF$40:$AF$41</c:f>
              <c:numCache>
                <c:formatCode>General</c:formatCode>
                <c:ptCount val="2"/>
                <c:pt idx="0">
                  <c:v>13390</c:v>
                </c:pt>
                <c:pt idx="1">
                  <c:v>13390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5828-4C5D-8E14-3A6C087CA174}"/>
            </c:ext>
          </c:extLst>
        </c:ser>
        <c:ser>
          <c:idx val="11"/>
          <c:order val="23"/>
          <c:tx>
            <c:v>ht3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Podsumowanie!$AH$40:$AH$41</c:f>
              <c:numCache>
                <c:formatCode>General</c:formatCode>
                <c:ptCount val="2"/>
                <c:pt idx="0">
                  <c:v>13070</c:v>
                </c:pt>
                <c:pt idx="1">
                  <c:v>13070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5828-4C5D-8E14-3A6C087CA174}"/>
            </c:ext>
          </c:extLst>
        </c:ser>
        <c:ser>
          <c:idx val="8"/>
          <c:order val="24"/>
          <c:tx>
            <c:v>hp1</c:v>
          </c:tx>
          <c:spPr>
            <a:ln w="127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Podsumowanie!$AE$40:$AE$41</c:f>
              <c:numCache>
                <c:formatCode>General</c:formatCode>
                <c:ptCount val="2"/>
                <c:pt idx="0">
                  <c:v>13269.38</c:v>
                </c:pt>
                <c:pt idx="1">
                  <c:v>13269.38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5828-4C5D-8E14-3A6C087CA174}"/>
            </c:ext>
          </c:extLst>
        </c:ser>
        <c:ser>
          <c:idx val="10"/>
          <c:order val="25"/>
          <c:tx>
            <c:v>hp2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Podsumowanie!$AG$40:$AG$41</c:f>
              <c:numCache>
                <c:formatCode>General</c:formatCode>
                <c:ptCount val="2"/>
                <c:pt idx="0">
                  <c:v>13076.975</c:v>
                </c:pt>
                <c:pt idx="1">
                  <c:v>13076.975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5828-4C5D-8E14-3A6C087CA174}"/>
            </c:ext>
          </c:extLst>
        </c:ser>
        <c:ser>
          <c:idx val="12"/>
          <c:order val="26"/>
          <c:tx>
            <c:v>hp3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Podsumowanie!$AI$40:$AI$41</c:f>
              <c:numCache>
                <c:formatCode>General</c:formatCode>
                <c:ptCount val="2"/>
                <c:pt idx="0">
                  <c:v>12766.72</c:v>
                </c:pt>
                <c:pt idx="1">
                  <c:v>12766.72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5828-4C5D-8E14-3A6C087CA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5119"/>
        <c:axId val="1641619439"/>
      </c:scatterChart>
      <c:valAx>
        <c:axId val="1494335119"/>
        <c:scaling>
          <c:orientation val="minMax"/>
          <c:max val="7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 [km/h]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 [m/s]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 [min]</a:t>
                </a:r>
              </a:p>
              <a:p>
                <a:pPr>
                  <a:defRPr/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[°]</a:t>
                </a:r>
              </a:p>
            </c:rich>
          </c:tx>
          <c:layout>
            <c:manualLayout>
              <c:xMode val="edge"/>
              <c:yMode val="edge"/>
              <c:x val="0.90493714809311654"/>
              <c:y val="0.84085644433355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19439"/>
        <c:crosses val="autoZero"/>
        <c:crossBetween val="midCat"/>
        <c:majorUnit val="25"/>
      </c:valAx>
      <c:valAx>
        <c:axId val="1641619439"/>
        <c:scaling>
          <c:orientation val="minMax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5119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ofertowy samolotu Iskra w otoczeniu pułapu samolotu mmax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0553243689356174E-2"/>
          <c:y val="8.0195689084250288E-2"/>
          <c:w val="0.87267847628754758"/>
          <c:h val="0.82344642397868784"/>
        </c:manualLayout>
      </c:layout>
      <c:scatterChart>
        <c:scatterStyle val="smoothMarker"/>
        <c:varyColors val="0"/>
        <c:ser>
          <c:idx val="0"/>
          <c:order val="0"/>
          <c:tx>
            <c:v>Vmin1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Podsumowanie!$P$4:$P$11</c:f>
              <c:numCache>
                <c:formatCode>0.00</c:formatCode>
                <c:ptCount val="8"/>
                <c:pt idx="0">
                  <c:v>179.88039867109609</c:v>
                </c:pt>
                <c:pt idx="1">
                  <c:v>198.53820598006621</c:v>
                </c:pt>
                <c:pt idx="2">
                  <c:v>219.34883720930222</c:v>
                </c:pt>
                <c:pt idx="3">
                  <c:v>243.02990033222582</c:v>
                </c:pt>
                <c:pt idx="4">
                  <c:v>271.73421926910294</c:v>
                </c:pt>
                <c:pt idx="5">
                  <c:v>315.50830564784042</c:v>
                </c:pt>
                <c:pt idx="6">
                  <c:v>418.1262458471748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E7-4738-8816-1614BDBE187E}"/>
            </c:ext>
          </c:extLst>
        </c:ser>
        <c:ser>
          <c:idx val="13"/>
          <c:order val="1"/>
          <c:tx>
            <c:v>Vmin2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Podsumowanie!$P$47:$P$54</c:f>
              <c:numCache>
                <c:formatCode>0.00</c:formatCode>
                <c:ptCount val="8"/>
                <c:pt idx="0">
                  <c:v>179.88039867109609</c:v>
                </c:pt>
                <c:pt idx="1">
                  <c:v>198.53820598006621</c:v>
                </c:pt>
                <c:pt idx="2">
                  <c:v>220.78405315614603</c:v>
                </c:pt>
                <c:pt idx="3">
                  <c:v>245.90033222591342</c:v>
                </c:pt>
                <c:pt idx="4">
                  <c:v>275.32225913621255</c:v>
                </c:pt>
                <c:pt idx="5">
                  <c:v>334.88372093023224</c:v>
                </c:pt>
                <c:pt idx="6">
                  <c:v>526.48504983388443</c:v>
                </c:pt>
                <c:pt idx="7" formatCode="General">
                  <c:v>560</c:v>
                </c:pt>
              </c:numCache>
            </c:numRef>
          </c:xVal>
          <c:yVal>
            <c:numRef>
              <c:f>Podsumowanie!$N$47:$N$54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12140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E7-4738-8816-1614BDBE187E}"/>
            </c:ext>
          </c:extLst>
        </c:ser>
        <c:ser>
          <c:idx val="20"/>
          <c:order val="2"/>
          <c:tx>
            <c:v>Vmin3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Podsumowanie!$P$58:$P$64</c:f>
              <c:numCache>
                <c:formatCode>0.00</c:formatCode>
                <c:ptCount val="7"/>
                <c:pt idx="0">
                  <c:v>180.59800664451816</c:v>
                </c:pt>
                <c:pt idx="1">
                  <c:v>198.53820598006621</c:v>
                </c:pt>
                <c:pt idx="2">
                  <c:v>220.78405315614603</c:v>
                </c:pt>
                <c:pt idx="3">
                  <c:v>245.90033222591342</c:v>
                </c:pt>
                <c:pt idx="4">
                  <c:v>275.32225913621255</c:v>
                </c:pt>
                <c:pt idx="5">
                  <c:v>344.93023255813921</c:v>
                </c:pt>
                <c:pt idx="6" formatCode="General">
                  <c:v>565</c:v>
                </c:pt>
              </c:numCache>
            </c:numRef>
          </c:xVal>
          <c:yVal>
            <c:numRef>
              <c:f>Podsumowanie!$N$58:$N$64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11670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E7-4738-8816-1614BDBE187E}"/>
            </c:ext>
          </c:extLst>
        </c:ser>
        <c:ser>
          <c:idx val="1"/>
          <c:order val="3"/>
          <c:tx>
            <c:v>Vmax1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Podsumowanie!$R$4:$R$11</c:f>
              <c:numCache>
                <c:formatCode>0.00</c:formatCode>
                <c:ptCount val="8"/>
                <c:pt idx="0">
                  <c:v>737.96334012219961</c:v>
                </c:pt>
                <c:pt idx="1">
                  <c:v>742.14256619144521</c:v>
                </c:pt>
                <c:pt idx="2">
                  <c:v>745.88187372708603</c:v>
                </c:pt>
                <c:pt idx="3">
                  <c:v>745.07535641547713</c:v>
                </c:pt>
                <c:pt idx="4">
                  <c:v>742.80244399185244</c:v>
                </c:pt>
                <c:pt idx="5">
                  <c:v>733.12423625254314</c:v>
                </c:pt>
                <c:pt idx="6">
                  <c:v>709.80855397148514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E7-4738-8816-1614BDBE187E}"/>
            </c:ext>
          </c:extLst>
        </c:ser>
        <c:ser>
          <c:idx val="14"/>
          <c:order val="4"/>
          <c:tx>
            <c:v>Vmax2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Podsumowanie!$R$47:$R$54</c:f>
              <c:numCache>
                <c:formatCode>0.00</c:formatCode>
                <c:ptCount val="8"/>
                <c:pt idx="0">
                  <c:v>733.82400000000007</c:v>
                </c:pt>
                <c:pt idx="1">
                  <c:v>736.93686354378485</c:v>
                </c:pt>
                <c:pt idx="2">
                  <c:v>736.64358452138163</c:v>
                </c:pt>
                <c:pt idx="3">
                  <c:v>735.91038696537362</c:v>
                </c:pt>
                <c:pt idx="4">
                  <c:v>731.95112016293047</c:v>
                </c:pt>
                <c:pt idx="5">
                  <c:v>721.53971486761679</c:v>
                </c:pt>
                <c:pt idx="6">
                  <c:v>612</c:v>
                </c:pt>
                <c:pt idx="7" formatCode="General">
                  <c:v>560</c:v>
                </c:pt>
              </c:numCache>
            </c:numRef>
          </c:xVal>
          <c:yVal>
            <c:numRef>
              <c:f>Podsumowanie!$N$47:$N$54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12140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E7-4738-8816-1614BDBE187E}"/>
            </c:ext>
          </c:extLst>
        </c:ser>
        <c:ser>
          <c:idx val="21"/>
          <c:order val="5"/>
          <c:tx>
            <c:v>Vmax3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Podsumowanie!$R$58:$R$64</c:f>
              <c:numCache>
                <c:formatCode>0.00</c:formatCode>
                <c:ptCount val="7"/>
                <c:pt idx="0">
                  <c:v>738.68256753926403</c:v>
                </c:pt>
                <c:pt idx="1">
                  <c:v>739.28895078533765</c:v>
                </c:pt>
                <c:pt idx="2">
                  <c:v>740.97801047120402</c:v>
                </c:pt>
                <c:pt idx="3">
                  <c:v>742.69319371727408</c:v>
                </c:pt>
                <c:pt idx="4">
                  <c:v>728.36481675392633</c:v>
                </c:pt>
                <c:pt idx="5">
                  <c:v>685.459459459458</c:v>
                </c:pt>
                <c:pt idx="6" formatCode="General">
                  <c:v>565</c:v>
                </c:pt>
              </c:numCache>
            </c:numRef>
          </c:xVal>
          <c:yVal>
            <c:numRef>
              <c:f>Podsumowanie!$N$58:$N$64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11670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FE7-4738-8816-1614BDBE187E}"/>
            </c:ext>
          </c:extLst>
        </c:ser>
        <c:ser>
          <c:idx val="2"/>
          <c:order val="6"/>
          <c:tx>
            <c:v>Vw1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Podsumowanie!$V$4:$V$11</c:f>
              <c:numCache>
                <c:formatCode>0.00</c:formatCode>
                <c:ptCount val="8"/>
                <c:pt idx="0">
                  <c:v>484.86378737541236</c:v>
                </c:pt>
                <c:pt idx="1">
                  <c:v>497.78073089700843</c:v>
                </c:pt>
                <c:pt idx="2">
                  <c:v>513.568106312292</c:v>
                </c:pt>
                <c:pt idx="3">
                  <c:v>529.35548172757194</c:v>
                </c:pt>
                <c:pt idx="4">
                  <c:v>549.44850498338519</c:v>
                </c:pt>
                <c:pt idx="5">
                  <c:v>574.56478405315443</c:v>
                </c:pt>
                <c:pt idx="6">
                  <c:v>602.55149501661117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FE7-4738-8816-1614BDBE187E}"/>
            </c:ext>
          </c:extLst>
        </c:ser>
        <c:ser>
          <c:idx val="15"/>
          <c:order val="7"/>
          <c:tx>
            <c:v>Vw2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Podsumowanie!$V$47:$V$54</c:f>
              <c:numCache>
                <c:formatCode>0.00</c:formatCode>
                <c:ptCount val="8"/>
                <c:pt idx="0">
                  <c:v>453.28903654484878</c:v>
                </c:pt>
                <c:pt idx="1">
                  <c:v>461.90033222591165</c:v>
                </c:pt>
                <c:pt idx="2">
                  <c:v>477.68770764119523</c:v>
                </c:pt>
                <c:pt idx="3">
                  <c:v>494.91029900332086</c:v>
                </c:pt>
                <c:pt idx="4">
                  <c:v>512.85049833886922</c:v>
                </c:pt>
                <c:pt idx="5">
                  <c:v>533.66112956810525</c:v>
                </c:pt>
                <c:pt idx="6">
                  <c:v>552.31893687707634</c:v>
                </c:pt>
                <c:pt idx="7" formatCode="General">
                  <c:v>560</c:v>
                </c:pt>
              </c:numCache>
            </c:numRef>
          </c:xVal>
          <c:yVal>
            <c:numRef>
              <c:f>Podsumowanie!$N$47:$N$54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12140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E7-4738-8816-1614BDBE187E}"/>
            </c:ext>
          </c:extLst>
        </c:ser>
        <c:ser>
          <c:idx val="22"/>
          <c:order val="8"/>
          <c:tx>
            <c:v>Vw3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Podsumowanie!$V$58:$V$64</c:f>
              <c:numCache>
                <c:formatCode>0.00</c:formatCode>
                <c:ptCount val="7"/>
                <c:pt idx="0">
                  <c:v>464.77076411959922</c:v>
                </c:pt>
                <c:pt idx="1">
                  <c:v>484.14617940199315</c:v>
                </c:pt>
                <c:pt idx="2">
                  <c:v>499.9335548172732</c:v>
                </c:pt>
                <c:pt idx="3">
                  <c:v>520.74418604650918</c:v>
                </c:pt>
                <c:pt idx="4">
                  <c:v>533.66112956810525</c:v>
                </c:pt>
                <c:pt idx="5">
                  <c:v>557.3421926910288</c:v>
                </c:pt>
                <c:pt idx="6" formatCode="General">
                  <c:v>565</c:v>
                </c:pt>
              </c:numCache>
            </c:numRef>
          </c:xVal>
          <c:yVal>
            <c:numRef>
              <c:f>Podsumowanie!$N$58:$N$64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11670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FE7-4738-8816-1614BDBE187E}"/>
            </c:ext>
          </c:extLst>
        </c:ser>
        <c:ser>
          <c:idx val="3"/>
          <c:order val="9"/>
          <c:tx>
            <c:v>Vy1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Podsumowanie!$Z$4:$Z$11</c:f>
              <c:numCache>
                <c:formatCode>0.00</c:formatCode>
                <c:ptCount val="8"/>
                <c:pt idx="0">
                  <c:v>308.18918918918916</c:v>
                </c:pt>
                <c:pt idx="1">
                  <c:v>353.43243243243217</c:v>
                </c:pt>
                <c:pt idx="2">
                  <c:v>386.27027027026924</c:v>
                </c:pt>
                <c:pt idx="3">
                  <c:v>428.59459459459441</c:v>
                </c:pt>
                <c:pt idx="4">
                  <c:v>465.8108108108076</c:v>
                </c:pt>
                <c:pt idx="5">
                  <c:v>519.81081081080754</c:v>
                </c:pt>
                <c:pt idx="6">
                  <c:v>578.91891891891601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FE7-4738-8816-1614BDBE187E}"/>
            </c:ext>
          </c:extLst>
        </c:ser>
        <c:ser>
          <c:idx val="16"/>
          <c:order val="10"/>
          <c:tx>
            <c:v>Vy2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Podsumowanie!$Z$47:$Z$54</c:f>
              <c:numCache>
                <c:formatCode>0.00</c:formatCode>
                <c:ptCount val="8"/>
                <c:pt idx="0">
                  <c:v>272.43243243243217</c:v>
                </c:pt>
                <c:pt idx="1">
                  <c:v>299.43243243243217</c:v>
                </c:pt>
                <c:pt idx="2">
                  <c:v>337.37837837837833</c:v>
                </c:pt>
                <c:pt idx="3">
                  <c:v>382.62162162161877</c:v>
                </c:pt>
                <c:pt idx="4">
                  <c:v>431.51351351351042</c:v>
                </c:pt>
                <c:pt idx="5">
                  <c:v>487.70270270269924</c:v>
                </c:pt>
                <c:pt idx="6">
                  <c:v>552.64864864864683</c:v>
                </c:pt>
                <c:pt idx="7" formatCode="General">
                  <c:v>560</c:v>
                </c:pt>
              </c:numCache>
            </c:numRef>
          </c:xVal>
          <c:yVal>
            <c:numRef>
              <c:f>Podsumowanie!$N$47:$N$54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12140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FE7-4738-8816-1614BDBE187E}"/>
            </c:ext>
          </c:extLst>
        </c:ser>
        <c:ser>
          <c:idx val="23"/>
          <c:order val="11"/>
          <c:tx>
            <c:v>Vy3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Podsumowanie!$Z$58:$Z$64</c:f>
              <c:numCache>
                <c:formatCode>0.00</c:formatCode>
                <c:ptCount val="7"/>
                <c:pt idx="0">
                  <c:v>289.94594594594582</c:v>
                </c:pt>
                <c:pt idx="1">
                  <c:v>322.05405405405384</c:v>
                </c:pt>
                <c:pt idx="2">
                  <c:v>357.81081081081049</c:v>
                </c:pt>
                <c:pt idx="3">
                  <c:v>405.24324324324118</c:v>
                </c:pt>
                <c:pt idx="4">
                  <c:v>459.24324324324118</c:v>
                </c:pt>
                <c:pt idx="5">
                  <c:v>515.43243243243001</c:v>
                </c:pt>
                <c:pt idx="6" formatCode="General">
                  <c:v>565</c:v>
                </c:pt>
              </c:numCache>
            </c:numRef>
          </c:xVal>
          <c:yVal>
            <c:numRef>
              <c:f>Podsumowanie!$N$58:$N$64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11670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FE7-4738-8816-1614BDBE187E}"/>
            </c:ext>
          </c:extLst>
        </c:ser>
        <c:ser>
          <c:idx val="7"/>
          <c:order val="21"/>
          <c:tx>
            <c:v>ht1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Podsumowanie!$AD$40:$AD$41</c:f>
              <c:numCache>
                <c:formatCode>General</c:formatCode>
                <c:ptCount val="2"/>
                <c:pt idx="0">
                  <c:v>13600</c:v>
                </c:pt>
                <c:pt idx="1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BFE7-4738-8816-1614BDBE187E}"/>
            </c:ext>
          </c:extLst>
        </c:ser>
        <c:ser>
          <c:idx val="9"/>
          <c:order val="22"/>
          <c:tx>
            <c:v>ht2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Podsumowanie!$AL$40:$AL$41</c:f>
              <c:numCache>
                <c:formatCode>General</c:formatCode>
                <c:ptCount val="2"/>
                <c:pt idx="0">
                  <c:v>12140</c:v>
                </c:pt>
                <c:pt idx="1">
                  <c:v>12140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BFE7-4738-8816-1614BDBE187E}"/>
            </c:ext>
          </c:extLst>
        </c:ser>
        <c:ser>
          <c:idx val="11"/>
          <c:order val="23"/>
          <c:tx>
            <c:v>ht3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Podsumowanie!$AN$40:$AN$41</c:f>
              <c:numCache>
                <c:formatCode>General</c:formatCode>
                <c:ptCount val="2"/>
                <c:pt idx="0">
                  <c:v>11670</c:v>
                </c:pt>
                <c:pt idx="1">
                  <c:v>11670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BFE7-4738-8816-1614BDBE187E}"/>
            </c:ext>
          </c:extLst>
        </c:ser>
        <c:ser>
          <c:idx val="8"/>
          <c:order val="24"/>
          <c:tx>
            <c:v>hp1</c:v>
          </c:tx>
          <c:spPr>
            <a:ln w="127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Podsumowanie!$AE$40:$AE$41</c:f>
              <c:numCache>
                <c:formatCode>General</c:formatCode>
                <c:ptCount val="2"/>
                <c:pt idx="0">
                  <c:v>13269.38</c:v>
                </c:pt>
                <c:pt idx="1">
                  <c:v>13269.38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BFE7-4738-8816-1614BDBE187E}"/>
            </c:ext>
          </c:extLst>
        </c:ser>
        <c:ser>
          <c:idx val="10"/>
          <c:order val="25"/>
          <c:tx>
            <c:v>hp2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Podsumowanie!$AM$40:$AM$41</c:f>
              <c:numCache>
                <c:formatCode>General</c:formatCode>
                <c:ptCount val="2"/>
                <c:pt idx="0">
                  <c:v>11792.07</c:v>
                </c:pt>
                <c:pt idx="1">
                  <c:v>11792.07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BFE7-4738-8816-1614BDBE187E}"/>
            </c:ext>
          </c:extLst>
        </c:ser>
        <c:ser>
          <c:idx val="12"/>
          <c:order val="26"/>
          <c:tx>
            <c:v>hp3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Podsumowanie!$AO$40:$AO$41</c:f>
              <c:numCache>
                <c:formatCode>General</c:formatCode>
                <c:ptCount val="2"/>
                <c:pt idx="0">
                  <c:v>11340.43</c:v>
                </c:pt>
                <c:pt idx="1">
                  <c:v>11340.43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BFE7-4738-8816-1614BDBE1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5119"/>
        <c:axId val="1641619439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2"/>
                <c:tx>
                  <c:v>10wmax1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Podsumowanie!$T$4:$T$11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205.452755905511</c:v>
                      </c:pt>
                      <c:pt idx="1">
                        <c:v>170.72834645669201</c:v>
                      </c:pt>
                      <c:pt idx="2">
                        <c:v>138.07086614173198</c:v>
                      </c:pt>
                      <c:pt idx="3">
                        <c:v>107.480314960629</c:v>
                      </c:pt>
                      <c:pt idx="4">
                        <c:v>78.956692913385794</c:v>
                      </c:pt>
                      <c:pt idx="5">
                        <c:v>50.8464566929133</c:v>
                      </c:pt>
                      <c:pt idx="6">
                        <c:v>23.976377952755801</c:v>
                      </c:pt>
                      <c:pt idx="7" formatCode="General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Podsumowanie!$N$4:$N$11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13600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C-BFE7-4738-8816-1614BDBE187E}"/>
                  </c:ext>
                </c:extLst>
              </c15:ser>
            </c15:filteredScatterSeries>
            <c15:filteredScatterSeries>
              <c15:ser>
                <c:idx val="17"/>
                <c:order val="13"/>
                <c:tx>
                  <c:v>10wmax2</c:v>
                </c:tx>
                <c:spPr>
                  <a:ln w="19050" cap="rnd">
                    <a:solidFill>
                      <a:schemeClr val="accent5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Podsumowanie!$T$47:$T$54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174.44881889763701</c:v>
                      </c:pt>
                      <c:pt idx="1">
                        <c:v>143.444881889763</c:v>
                      </c:pt>
                      <c:pt idx="2">
                        <c:v>113.26771653543301</c:v>
                      </c:pt>
                      <c:pt idx="3">
                        <c:v>85.157480314960594</c:v>
                      </c:pt>
                      <c:pt idx="4">
                        <c:v>57.460629921259795</c:v>
                      </c:pt>
                      <c:pt idx="5">
                        <c:v>30.590551181102299</c:v>
                      </c:pt>
                      <c:pt idx="6">
                        <c:v>2</c:v>
                      </c:pt>
                      <c:pt idx="7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Podsumowanie!$N$47:$N$54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12140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FE7-4738-8816-1614BDBE187E}"/>
                  </c:ext>
                </c:extLst>
              </c15:ser>
            </c15:filteredScatterSeries>
            <c15:filteredScatterSeries>
              <c15:ser>
                <c:idx val="24"/>
                <c:order val="14"/>
                <c:tx>
                  <c:v>10wmax3</c:v>
                </c:tx>
                <c:spPr>
                  <a:ln w="19050" cap="rnd">
                    <a:solidFill>
                      <a:schemeClr val="accent5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Podsumowanie!$T$58:$T$64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177.34251968503901</c:v>
                      </c:pt>
                      <c:pt idx="1">
                        <c:v>145.09842519685</c:v>
                      </c:pt>
                      <c:pt idx="2">
                        <c:v>111.614173228346</c:v>
                      </c:pt>
                      <c:pt idx="3">
                        <c:v>81.023622047244089</c:v>
                      </c:pt>
                      <c:pt idx="4">
                        <c:v>53.740157480314899</c:v>
                      </c:pt>
                      <c:pt idx="5">
                        <c:v>25.629921259842501</c:v>
                      </c:pt>
                      <c:pt idx="6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Podsumowanie!$N$58:$N$64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11670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BFE7-4738-8816-1614BDBE187E}"/>
                  </c:ext>
                </c:extLst>
              </c15:ser>
            </c15:filteredScatterSeries>
            <c15:filteredScatterSeries>
              <c15:ser>
                <c:idx val="5"/>
                <c:order val="15"/>
                <c:tx>
                  <c:v>10ymax1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Podsumowanie!$X$4:$X$11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106.14754098360599</c:v>
                      </c:pt>
                      <c:pt idx="1">
                        <c:v>83.811475409835992</c:v>
                      </c:pt>
                      <c:pt idx="2">
                        <c:v>64.959016393442596</c:v>
                      </c:pt>
                      <c:pt idx="3">
                        <c:v>47.950819672131104</c:v>
                      </c:pt>
                      <c:pt idx="4">
                        <c:v>32.581967213114702</c:v>
                      </c:pt>
                      <c:pt idx="5">
                        <c:v>19.262295081967199</c:v>
                      </c:pt>
                      <c:pt idx="6">
                        <c:v>8.401639344262291</c:v>
                      </c:pt>
                      <c:pt idx="7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Podsumowanie!$N$4:$N$11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13600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BFE7-4738-8816-1614BDBE187E}"/>
                  </c:ext>
                </c:extLst>
              </c15:ser>
            </c15:filteredScatterSeries>
            <c15:filteredScatterSeries>
              <c15:ser>
                <c:idx val="18"/>
                <c:order val="16"/>
                <c:tx>
                  <c:v>10ymax2</c:v>
                </c:tx>
                <c:spPr>
                  <a:ln w="19050" cap="rnd">
                    <a:solidFill>
                      <a:schemeClr val="accent6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Podsumowanie!$X$47:$X$54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99.180327868852402</c:v>
                      </c:pt>
                      <c:pt idx="1">
                        <c:v>76.434426229508105</c:v>
                      </c:pt>
                      <c:pt idx="2">
                        <c:v>56.762295081967196</c:v>
                      </c:pt>
                      <c:pt idx="3">
                        <c:v>39.959016393442603</c:v>
                      </c:pt>
                      <c:pt idx="4">
                        <c:v>24.7950819672131</c:v>
                      </c:pt>
                      <c:pt idx="5">
                        <c:v>11.885245901639301</c:v>
                      </c:pt>
                      <c:pt idx="6">
                        <c:v>0.20491803278689599</c:v>
                      </c:pt>
                      <c:pt idx="7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Podsumowanie!$N$47:$N$54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12140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BFE7-4738-8816-1614BDBE187E}"/>
                  </c:ext>
                </c:extLst>
              </c15:ser>
            </c15:filteredScatterSeries>
            <c15:filteredScatterSeries>
              <c15:ser>
                <c:idx val="25"/>
                <c:order val="17"/>
                <c:tx>
                  <c:v>10ymax3</c:v>
                </c:tx>
                <c:spPr>
                  <a:ln w="19050" cap="rnd">
                    <a:solidFill>
                      <a:schemeClr val="accent6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Podsumowanie!$X$58:$X$64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95.901639344262293</c:v>
                      </c:pt>
                      <c:pt idx="1">
                        <c:v>73.975409836065495</c:v>
                      </c:pt>
                      <c:pt idx="2">
                        <c:v>54.5081967213114</c:v>
                      </c:pt>
                      <c:pt idx="3">
                        <c:v>37.7049180327868</c:v>
                      </c:pt>
                      <c:pt idx="4">
                        <c:v>22.540983606557301</c:v>
                      </c:pt>
                      <c:pt idx="5">
                        <c:v>9.8360655737704903</c:v>
                      </c:pt>
                      <c:pt idx="6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Podsumowanie!$N$58:$N$64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11670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BFE7-4738-8816-1614BDBE187E}"/>
                  </c:ext>
                </c:extLst>
              </c15:ser>
            </c15:filteredScatterSeries>
            <c15:filteredScatterSeries>
              <c15:ser>
                <c:idx val="6"/>
                <c:order val="18"/>
                <c:tx>
                  <c:v>10th1</c:v>
                </c:tx>
                <c:spPr>
                  <a:ln w="1270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Podsumowanie!$AB$4:$AB$11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0</c:v>
                      </c:pt>
                      <c:pt idx="1">
                        <c:v>17.874261982982183</c:v>
                      </c:pt>
                      <c:pt idx="2">
                        <c:v>39.70745481558064</c:v>
                      </c:pt>
                      <c:pt idx="3">
                        <c:v>67.28526622572754</c:v>
                      </c:pt>
                      <c:pt idx="4">
                        <c:v>103.90059969969991</c:v>
                      </c:pt>
                      <c:pt idx="5">
                        <c:v>157.78764068928214</c:v>
                      </c:pt>
                      <c:pt idx="6">
                        <c:v>260.07892632791885</c:v>
                      </c:pt>
                      <c:pt idx="7" formatCode="General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Podsumowanie!$N$4:$N$11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13600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BFE7-4738-8816-1614BDBE187E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10th2</c:v>
                </c:tx>
                <c:spPr>
                  <a:ln w="12700" cap="rnd">
                    <a:solidFill>
                      <a:srgbClr val="FF0000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Podsumowanie!$AB$47:$AB$54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0</c:v>
                      </c:pt>
                      <c:pt idx="1">
                        <c:v>21.172765193962565</c:v>
                      </c:pt>
                      <c:pt idx="2">
                        <c:v>47.506031414479324</c:v>
                      </c:pt>
                      <c:pt idx="3">
                        <c:v>81.792015668573583</c:v>
                      </c:pt>
                      <c:pt idx="4">
                        <c:v>130.36896548181593</c:v>
                      </c:pt>
                      <c:pt idx="5">
                        <c:v>213.8573870997341</c:v>
                      </c:pt>
                      <c:pt idx="6">
                        <c:v>1101.6737749161221</c:v>
                      </c:pt>
                      <c:pt idx="7" formatCode="General">
                        <c:v>800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Podsumowanie!$N$47:$N$54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12140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BFE7-4738-8816-1614BDBE187E}"/>
                  </c:ext>
                </c:extLst>
              </c15:ser>
            </c15:filteredScatterSeries>
            <c15:filteredScatterSeries>
              <c15:ser>
                <c:idx val="26"/>
                <c:order val="20"/>
                <c:tx>
                  <c:v>10th3</c:v>
                </c:tx>
                <c:spPr>
                  <a:ln w="12700" cap="rnd">
                    <a:solidFill>
                      <a:srgbClr val="FF000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Podsumowanie!$AB$58:$AB$64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20.884465328909826</c:v>
                      </c:pt>
                      <c:pt idx="2">
                        <c:v>47.303313969980792</c:v>
                      </c:pt>
                      <c:pt idx="3">
                        <c:v>82.805839495182113</c:v>
                      </c:pt>
                      <c:pt idx="4">
                        <c:v>134.38940332364393</c:v>
                      </c:pt>
                      <c:pt idx="5">
                        <c:v>230.43099613943036</c:v>
                      </c:pt>
                      <c:pt idx="6" formatCode="General">
                        <c:v>800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Podsumowanie!$N$58:$N$64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11670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BFE7-4738-8816-1614BDBE187E}"/>
                  </c:ext>
                </c:extLst>
              </c15:ser>
            </c15:filteredScatterSeries>
          </c:ext>
        </c:extLst>
      </c:scatterChart>
      <c:valAx>
        <c:axId val="1494335119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 [km/h]</a:t>
                </a:r>
              </a:p>
            </c:rich>
          </c:tx>
          <c:layout>
            <c:manualLayout>
              <c:xMode val="edge"/>
              <c:yMode val="edge"/>
              <c:x val="0.4855959615347139"/>
              <c:y val="0.942082788973672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19439"/>
        <c:crosses val="autoZero"/>
        <c:crossBetween val="midCat"/>
        <c:majorUnit val="25"/>
      </c:valAx>
      <c:valAx>
        <c:axId val="1641619439"/>
        <c:scaling>
          <c:orientation val="minMax"/>
          <c:max val="13800"/>
          <c:min val="1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5119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ofertowy samolotu Iskra w otoczeniu pułapu samolotu wpływ ściśliwości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0553243689356174E-2"/>
          <c:y val="0.11092505272792447"/>
          <c:w val="0.85026377588115487"/>
          <c:h val="0.77423448979769938"/>
        </c:manualLayout>
      </c:layout>
      <c:scatterChart>
        <c:scatterStyle val="smoothMarker"/>
        <c:varyColors val="0"/>
        <c:ser>
          <c:idx val="0"/>
          <c:order val="0"/>
          <c:tx>
            <c:v>Vmin1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Podsumowanie!$P$4:$P$11</c:f>
              <c:numCache>
                <c:formatCode>0.00</c:formatCode>
                <c:ptCount val="8"/>
                <c:pt idx="0">
                  <c:v>179.88039867109609</c:v>
                </c:pt>
                <c:pt idx="1">
                  <c:v>198.53820598006621</c:v>
                </c:pt>
                <c:pt idx="2">
                  <c:v>219.34883720930222</c:v>
                </c:pt>
                <c:pt idx="3">
                  <c:v>243.02990033222582</c:v>
                </c:pt>
                <c:pt idx="4">
                  <c:v>271.73421926910294</c:v>
                </c:pt>
                <c:pt idx="5">
                  <c:v>315.50830564784042</c:v>
                </c:pt>
                <c:pt idx="6">
                  <c:v>418.1262458471748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4D-4784-B9A0-197494AC7A6A}"/>
            </c:ext>
          </c:extLst>
        </c:ser>
        <c:ser>
          <c:idx val="13"/>
          <c:order val="1"/>
          <c:tx>
            <c:v>Vmin2</c:v>
          </c:tx>
          <c:spPr>
            <a:ln w="19050" cap="rnd">
              <a:solidFill>
                <a:schemeClr val="accent1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Podsumowanie!$P$35:$P$43</c:f>
              <c:numCache>
                <c:formatCode>0.00</c:formatCode>
                <c:ptCount val="9"/>
                <c:pt idx="0">
                  <c:v>179.88906009244968</c:v>
                </c:pt>
                <c:pt idx="1">
                  <c:v>197.19568567026178</c:v>
                </c:pt>
                <c:pt idx="2">
                  <c:v>218.49614791987645</c:v>
                </c:pt>
                <c:pt idx="3">
                  <c:v>242.45916795069334</c:v>
                </c:pt>
                <c:pt idx="4">
                  <c:v>273.07858243451437</c:v>
                </c:pt>
                <c:pt idx="5">
                  <c:v>311.68567026194148</c:v>
                </c:pt>
                <c:pt idx="6">
                  <c:v>403.54391371340517</c:v>
                </c:pt>
                <c:pt idx="7">
                  <c:v>547.32203389830238</c:v>
                </c:pt>
                <c:pt idx="8" formatCode="General">
                  <c:v>830</c:v>
                </c:pt>
              </c:numCache>
            </c:numRef>
          </c:xVal>
          <c:yVal>
            <c:numRef>
              <c:f>Podsumowanie!$N$35:$N$43</c:f>
              <c:numCache>
                <c:formatCode>General</c:formatCode>
                <c:ptCount val="9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15330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4D-4784-B9A0-197494AC7A6A}"/>
            </c:ext>
          </c:extLst>
        </c:ser>
        <c:ser>
          <c:idx val="1"/>
          <c:order val="2"/>
          <c:tx>
            <c:v>Vmax1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Podsumowanie!$R$4:$R$11</c:f>
              <c:numCache>
                <c:formatCode>0.00</c:formatCode>
                <c:ptCount val="8"/>
                <c:pt idx="0">
                  <c:v>737.96334012219961</c:v>
                </c:pt>
                <c:pt idx="1">
                  <c:v>742.14256619144521</c:v>
                </c:pt>
                <c:pt idx="2">
                  <c:v>745.88187372708603</c:v>
                </c:pt>
                <c:pt idx="3">
                  <c:v>745.07535641547713</c:v>
                </c:pt>
                <c:pt idx="4">
                  <c:v>742.80244399185244</c:v>
                </c:pt>
                <c:pt idx="5">
                  <c:v>733.12423625254314</c:v>
                </c:pt>
                <c:pt idx="6">
                  <c:v>709.80855397148514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4D-4784-B9A0-197494AC7A6A}"/>
            </c:ext>
          </c:extLst>
        </c:ser>
        <c:ser>
          <c:idx val="14"/>
          <c:order val="3"/>
          <c:tx>
            <c:v>Vmax2</c:v>
          </c:tx>
          <c:spPr>
            <a:ln w="19050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Podsumowanie!$R$35:$R$43</c:f>
              <c:numCache>
                <c:formatCode>0.00</c:formatCode>
                <c:ptCount val="9"/>
                <c:pt idx="0">
                  <c:v>841.5346687211088</c:v>
                </c:pt>
                <c:pt idx="1">
                  <c:v>858.84129429891846</c:v>
                </c:pt>
                <c:pt idx="2">
                  <c:v>877.47919876733397</c:v>
                </c:pt>
                <c:pt idx="3">
                  <c:v>896.11710323574607</c:v>
                </c:pt>
                <c:pt idx="4">
                  <c:v>917.41756548535932</c:v>
                </c:pt>
                <c:pt idx="5">
                  <c:v>938.71802773497598</c:v>
                </c:pt>
                <c:pt idx="6">
                  <c:v>958.68721109399041</c:v>
                </c:pt>
                <c:pt idx="7">
                  <c:v>964.01232665639293</c:v>
                </c:pt>
                <c:pt idx="8" formatCode="General">
                  <c:v>830</c:v>
                </c:pt>
              </c:numCache>
            </c:numRef>
          </c:xVal>
          <c:yVal>
            <c:numRef>
              <c:f>Podsumowanie!$N$35:$N$43</c:f>
              <c:numCache>
                <c:formatCode>General</c:formatCode>
                <c:ptCount val="9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15330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4D-4784-B9A0-197494AC7A6A}"/>
            </c:ext>
          </c:extLst>
        </c:ser>
        <c:ser>
          <c:idx val="2"/>
          <c:order val="4"/>
          <c:tx>
            <c:v>Vw1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Podsumowanie!$V$4:$V$11</c:f>
              <c:numCache>
                <c:formatCode>0.00</c:formatCode>
                <c:ptCount val="8"/>
                <c:pt idx="0">
                  <c:v>484.86378737541236</c:v>
                </c:pt>
                <c:pt idx="1">
                  <c:v>497.78073089700843</c:v>
                </c:pt>
                <c:pt idx="2">
                  <c:v>513.568106312292</c:v>
                </c:pt>
                <c:pt idx="3">
                  <c:v>529.35548172757194</c:v>
                </c:pt>
                <c:pt idx="4">
                  <c:v>549.44850498338519</c:v>
                </c:pt>
                <c:pt idx="5">
                  <c:v>574.56478405315443</c:v>
                </c:pt>
                <c:pt idx="6">
                  <c:v>602.55149501661117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64D-4784-B9A0-197494AC7A6A}"/>
            </c:ext>
          </c:extLst>
        </c:ser>
        <c:ser>
          <c:idx val="15"/>
          <c:order val="5"/>
          <c:tx>
            <c:v>Vw2</c:v>
          </c:tx>
          <c:spPr>
            <a:ln w="1905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Podsumowanie!$V$35:$V$43</c:f>
              <c:numCache>
                <c:formatCode>0.00</c:formatCode>
                <c:ptCount val="9"/>
                <c:pt idx="0">
                  <c:v>514.04006163327836</c:v>
                </c:pt>
                <c:pt idx="1">
                  <c:v>538.0030816640965</c:v>
                </c:pt>
                <c:pt idx="2">
                  <c:v>564.62865947611567</c:v>
                </c:pt>
                <c:pt idx="3">
                  <c:v>592.58551617873366</c:v>
                </c:pt>
                <c:pt idx="4">
                  <c:v>617.87981510015402</c:v>
                </c:pt>
                <c:pt idx="5">
                  <c:v>656.48690292758045</c:v>
                </c:pt>
                <c:pt idx="6">
                  <c:v>705.74422187981156</c:v>
                </c:pt>
                <c:pt idx="7">
                  <c:v>773.63944530046194</c:v>
                </c:pt>
                <c:pt idx="8" formatCode="General">
                  <c:v>830</c:v>
                </c:pt>
              </c:numCache>
            </c:numRef>
          </c:xVal>
          <c:yVal>
            <c:numRef>
              <c:f>Podsumowanie!$N$35:$N$43</c:f>
              <c:numCache>
                <c:formatCode>General</c:formatCode>
                <c:ptCount val="9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15330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64D-4784-B9A0-197494AC7A6A}"/>
            </c:ext>
          </c:extLst>
        </c:ser>
        <c:ser>
          <c:idx val="3"/>
          <c:order val="6"/>
          <c:tx>
            <c:v>Vy1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Podsumowanie!$Z$4:$Z$11</c:f>
              <c:numCache>
                <c:formatCode>0.00</c:formatCode>
                <c:ptCount val="8"/>
                <c:pt idx="0">
                  <c:v>308.18918918918916</c:v>
                </c:pt>
                <c:pt idx="1">
                  <c:v>353.43243243243217</c:v>
                </c:pt>
                <c:pt idx="2">
                  <c:v>386.27027027026924</c:v>
                </c:pt>
                <c:pt idx="3">
                  <c:v>428.59459459459441</c:v>
                </c:pt>
                <c:pt idx="4">
                  <c:v>465.8108108108076</c:v>
                </c:pt>
                <c:pt idx="5">
                  <c:v>519.81081081080754</c:v>
                </c:pt>
                <c:pt idx="6">
                  <c:v>578.91891891891601</c:v>
                </c:pt>
                <c:pt idx="7" formatCode="General">
                  <c:v>620</c:v>
                </c:pt>
              </c:numCache>
            </c:numRef>
          </c:xVal>
          <c:yVal>
            <c:numRef>
              <c:f>Podsumowanie!$N$4:$N$11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64D-4784-B9A0-197494AC7A6A}"/>
            </c:ext>
          </c:extLst>
        </c:ser>
        <c:ser>
          <c:idx val="16"/>
          <c:order val="7"/>
          <c:tx>
            <c:v>Vy2</c:v>
          </c:tx>
          <c:spPr>
            <a:ln w="19050" cap="rnd">
              <a:solidFill>
                <a:schemeClr val="accent4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Podsumowanie!$Z$35:$Z$43</c:f>
              <c:numCache>
                <c:formatCode>0.00</c:formatCode>
                <c:ptCount val="9"/>
                <c:pt idx="0">
                  <c:v>308.03940886699479</c:v>
                </c:pt>
                <c:pt idx="1">
                  <c:v>344.92610837438423</c:v>
                </c:pt>
                <c:pt idx="2">
                  <c:v>390.32512315270918</c:v>
                </c:pt>
                <c:pt idx="3">
                  <c:v>438.56157635467918</c:v>
                </c:pt>
                <c:pt idx="4">
                  <c:v>489.63546798029279</c:v>
                </c:pt>
                <c:pt idx="5">
                  <c:v>553.47783251231522</c:v>
                </c:pt>
                <c:pt idx="6">
                  <c:v>641.43842364531724</c:v>
                </c:pt>
                <c:pt idx="7">
                  <c:v>752.09852216748595</c:v>
                </c:pt>
                <c:pt idx="8" formatCode="General">
                  <c:v>830</c:v>
                </c:pt>
              </c:numCache>
            </c:numRef>
          </c:xVal>
          <c:yVal>
            <c:numRef>
              <c:f>Podsumowanie!$N$35:$N$43</c:f>
              <c:numCache>
                <c:formatCode>General</c:formatCode>
                <c:ptCount val="9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15330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64D-4784-B9A0-197494AC7A6A}"/>
            </c:ext>
          </c:extLst>
        </c:ser>
        <c:ser>
          <c:idx val="7"/>
          <c:order val="14"/>
          <c:tx>
            <c:v>ht1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Podsumowanie!$AD$40:$AD$41</c:f>
              <c:numCache>
                <c:formatCode>General</c:formatCode>
                <c:ptCount val="2"/>
                <c:pt idx="0">
                  <c:v>13600</c:v>
                </c:pt>
                <c:pt idx="1">
                  <c:v>13600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64D-4784-B9A0-197494AC7A6A}"/>
            </c:ext>
          </c:extLst>
        </c:ser>
        <c:ser>
          <c:idx val="9"/>
          <c:order val="15"/>
          <c:tx>
            <c:v>ht2</c:v>
          </c:tx>
          <c:spPr>
            <a:ln w="1270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Podsumowanie!$AJ$40:$AJ$41</c:f>
              <c:numCache>
                <c:formatCode>General</c:formatCode>
                <c:ptCount val="2"/>
                <c:pt idx="0">
                  <c:v>15330</c:v>
                </c:pt>
                <c:pt idx="1">
                  <c:v>15330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64D-4784-B9A0-197494AC7A6A}"/>
            </c:ext>
          </c:extLst>
        </c:ser>
        <c:ser>
          <c:idx val="8"/>
          <c:order val="16"/>
          <c:tx>
            <c:v>hp1</c:v>
          </c:tx>
          <c:spPr>
            <a:ln w="127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Podsumowanie!$AE$40:$AE$41</c:f>
              <c:numCache>
                <c:formatCode>General</c:formatCode>
                <c:ptCount val="2"/>
                <c:pt idx="0">
                  <c:v>13269.38</c:v>
                </c:pt>
                <c:pt idx="1">
                  <c:v>13269.38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64D-4784-B9A0-197494AC7A6A}"/>
            </c:ext>
          </c:extLst>
        </c:ser>
        <c:ser>
          <c:idx val="10"/>
          <c:order val="17"/>
          <c:tx>
            <c:v>hp2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Podsumowanie!$AD$44:$AD$45</c:f>
              <c:numCache>
                <c:formatCode>General</c:formatCode>
                <c:ptCount val="2"/>
                <c:pt idx="0">
                  <c:v>0</c:v>
                </c:pt>
                <c:pt idx="1">
                  <c:v>16000</c:v>
                </c:pt>
              </c:numCache>
            </c:numRef>
          </c:xVal>
          <c:yVal>
            <c:numRef>
              <c:f>Podsumowanie!$AK$40:$AK$41</c:f>
              <c:numCache>
                <c:formatCode>General</c:formatCode>
                <c:ptCount val="2"/>
                <c:pt idx="0">
                  <c:v>14970.76</c:v>
                </c:pt>
                <c:pt idx="1">
                  <c:v>14970.76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64D-4784-B9A0-197494AC7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5119"/>
        <c:axId val="1641619439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8"/>
                <c:tx>
                  <c:v>10wmax1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Podsumowanie!$T$4:$T$11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205.452755905511</c:v>
                      </c:pt>
                      <c:pt idx="1">
                        <c:v>170.72834645669201</c:v>
                      </c:pt>
                      <c:pt idx="2">
                        <c:v>138.07086614173198</c:v>
                      </c:pt>
                      <c:pt idx="3">
                        <c:v>107.480314960629</c:v>
                      </c:pt>
                      <c:pt idx="4">
                        <c:v>78.956692913385794</c:v>
                      </c:pt>
                      <c:pt idx="5">
                        <c:v>50.8464566929133</c:v>
                      </c:pt>
                      <c:pt idx="6">
                        <c:v>23.976377952755801</c:v>
                      </c:pt>
                      <c:pt idx="7" formatCode="General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Podsumowanie!$N$4:$N$11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13600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8-564D-4784-B9A0-197494AC7A6A}"/>
                  </c:ext>
                </c:extLst>
              </c15:ser>
            </c15:filteredScatterSeries>
            <c15:filteredScatterSeries>
              <c15:ser>
                <c:idx val="17"/>
                <c:order val="9"/>
                <c:tx>
                  <c:v>10wmax2</c:v>
                </c:tx>
                <c:spPr>
                  <a:ln w="19050" cap="rnd">
                    <a:solidFill>
                      <a:schemeClr val="accent5"/>
                    </a:solidFill>
                    <a:prstDash val="dash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Podsumowanie!$T$35:$T$43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213.34453781512599</c:v>
                      </c:pt>
                      <c:pt idx="1">
                        <c:v>178.588235294117</c:v>
                      </c:pt>
                      <c:pt idx="2">
                        <c:v>146.78991596638599</c:v>
                      </c:pt>
                      <c:pt idx="3">
                        <c:v>116.840336134453</c:v>
                      </c:pt>
                      <c:pt idx="4">
                        <c:v>90.588235294117595</c:v>
                      </c:pt>
                      <c:pt idx="5">
                        <c:v>65.075630252100794</c:v>
                      </c:pt>
                      <c:pt idx="6">
                        <c:v>40.672268907562895</c:v>
                      </c:pt>
                      <c:pt idx="7">
                        <c:v>18.487394957983099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Podsumowanie!$N$35:$N$43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14000</c:v>
                      </c:pt>
                      <c:pt idx="8">
                        <c:v>15330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64D-4784-B9A0-197494AC7A6A}"/>
                  </c:ext>
                </c:extLst>
              </c15:ser>
            </c15:filteredScatterSeries>
            <c15:filteredScatterSeries>
              <c15:ser>
                <c:idx val="5"/>
                <c:order val="10"/>
                <c:tx>
                  <c:v>10ymax1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Podsumowanie!$X$4:$X$11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106.14754098360599</c:v>
                      </c:pt>
                      <c:pt idx="1">
                        <c:v>83.811475409835992</c:v>
                      </c:pt>
                      <c:pt idx="2">
                        <c:v>64.959016393442596</c:v>
                      </c:pt>
                      <c:pt idx="3">
                        <c:v>47.950819672131104</c:v>
                      </c:pt>
                      <c:pt idx="4">
                        <c:v>32.581967213114702</c:v>
                      </c:pt>
                      <c:pt idx="5">
                        <c:v>19.262295081967199</c:v>
                      </c:pt>
                      <c:pt idx="6">
                        <c:v>8.401639344262291</c:v>
                      </c:pt>
                      <c:pt idx="7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Podsumowanie!$N$4:$N$11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13600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64D-4784-B9A0-197494AC7A6A}"/>
                  </c:ext>
                </c:extLst>
              </c15:ser>
            </c15:filteredScatterSeries>
            <c15:filteredScatterSeries>
              <c15:ser>
                <c:idx val="18"/>
                <c:order val="11"/>
                <c:tx>
                  <c:v>10ymax2</c:v>
                </c:tx>
                <c:spPr>
                  <a:ln w="19050" cap="rnd">
                    <a:solidFill>
                      <a:schemeClr val="accent6"/>
                    </a:solidFill>
                    <a:prstDash val="dash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Podsumowanie!$X$35:$X$43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106.006378678792</c:v>
                      </c:pt>
                      <c:pt idx="1">
                        <c:v>84.091511936339487</c:v>
                      </c:pt>
                      <c:pt idx="2">
                        <c:v>65.063155235568999</c:v>
                      </c:pt>
                      <c:pt idx="3">
                        <c:v>48.727737779461897</c:v>
                      </c:pt>
                      <c:pt idx="4">
                        <c:v>34.700644183402801</c:v>
                      </c:pt>
                      <c:pt idx="5">
                        <c:v>22.791777188328901</c:v>
                      </c:pt>
                      <c:pt idx="6">
                        <c:v>13.003663003662901</c:v>
                      </c:pt>
                      <c:pt idx="7">
                        <c:v>5.1436781609195306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Podsumowanie!$N$35:$N$43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14000</c:v>
                      </c:pt>
                      <c:pt idx="8">
                        <c:v>15330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64D-4784-B9A0-197494AC7A6A}"/>
                  </c:ext>
                </c:extLst>
              </c15:ser>
            </c15:filteredScatterSeries>
            <c15:filteredScatterSeries>
              <c15:ser>
                <c:idx val="6"/>
                <c:order val="12"/>
                <c:tx>
                  <c:v>10th1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Podsumowanie!$AB$4:$AB$11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0</c:v>
                      </c:pt>
                      <c:pt idx="1">
                        <c:v>17.874261982982183</c:v>
                      </c:pt>
                      <c:pt idx="2">
                        <c:v>39.70745481558064</c:v>
                      </c:pt>
                      <c:pt idx="3">
                        <c:v>67.28526622572754</c:v>
                      </c:pt>
                      <c:pt idx="4">
                        <c:v>103.90059969969991</c:v>
                      </c:pt>
                      <c:pt idx="5">
                        <c:v>157.78764068928214</c:v>
                      </c:pt>
                      <c:pt idx="6">
                        <c:v>260.07892632791885</c:v>
                      </c:pt>
                      <c:pt idx="7" formatCode="General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Podsumowanie!$N$4:$N$11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13600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64D-4784-B9A0-197494AC7A6A}"/>
                  </c:ext>
                </c:extLst>
              </c15:ser>
            </c15:filteredScatterSeries>
            <c15:filteredScatterSeries>
              <c15:ser>
                <c:idx val="19"/>
                <c:order val="13"/>
                <c:tx>
                  <c:v>10th2</c:v>
                </c:tx>
                <c:spPr>
                  <a:ln w="12700" cap="rnd">
                    <a:solidFill>
                      <a:srgbClr val="FF0000"/>
                    </a:solidFill>
                    <a:prstDash val="dash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Podsumowanie!$AB$35:$AB$43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0</c:v>
                      </c:pt>
                      <c:pt idx="1">
                        <c:v>17.144544685800089</c:v>
                      </c:pt>
                      <c:pt idx="2">
                        <c:v>37.831094777672782</c:v>
                      </c:pt>
                      <c:pt idx="3">
                        <c:v>63.449670130409544</c:v>
                      </c:pt>
                      <c:pt idx="4">
                        <c:v>96.112418774170948</c:v>
                      </c:pt>
                      <c:pt idx="5">
                        <c:v>140.12191306775617</c:v>
                      </c:pt>
                      <c:pt idx="6">
                        <c:v>206.71110039557999</c:v>
                      </c:pt>
                      <c:pt idx="7">
                        <c:v>337.84057697960259</c:v>
                      </c:pt>
                      <c:pt idx="8" formatCode="General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Podsumowanie!$N$35:$N$43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6000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12000</c:v>
                      </c:pt>
                      <c:pt idx="7">
                        <c:v>14000</c:v>
                      </c:pt>
                      <c:pt idx="8">
                        <c:v>15330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64D-4784-B9A0-197494AC7A6A}"/>
                  </c:ext>
                </c:extLst>
              </c15:ser>
            </c15:filteredScatterSeries>
          </c:ext>
        </c:extLst>
      </c:scatterChart>
      <c:valAx>
        <c:axId val="1494335119"/>
        <c:scaling>
          <c:orientation val="minMax"/>
          <c:max val="1000"/>
          <c:min val="4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 [km/h]</a:t>
                </a:r>
              </a:p>
            </c:rich>
          </c:tx>
          <c:layout>
            <c:manualLayout>
              <c:xMode val="edge"/>
              <c:yMode val="edge"/>
              <c:x val="0.46516876959276587"/>
              <c:y val="0.95169178090636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19439"/>
        <c:crosses val="autoZero"/>
        <c:crossBetween val="midCat"/>
        <c:majorUnit val="25"/>
      </c:valAx>
      <c:valAx>
        <c:axId val="1641619439"/>
        <c:scaling>
          <c:orientation val="minMax"/>
          <c:max val="15400"/>
          <c:min val="13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5119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0958539784933778"/>
          <c:y val="1.596121381372766E-2"/>
          <c:w val="8.1201636475728131E-2"/>
          <c:h val="0.966090070049458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Wpływ ściśliwości na </a:t>
            </a:r>
            <a:r>
              <a:rPr lang="el-GR"/>
              <a:t>γ</a:t>
            </a:r>
            <a:r>
              <a:rPr lang="pl-PL"/>
              <a:t>(V) dla samolotu odrzutowego Iskra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9.5732657428375542E-2"/>
          <c:y val="0.10308411214953273"/>
          <c:w val="0.61438167854348025"/>
          <c:h val="0.84915765202246907"/>
        </c:manualLayout>
      </c:layout>
      <c:scatterChart>
        <c:scatterStyle val="smoothMarker"/>
        <c:varyColors val="0"/>
        <c:ser>
          <c:idx val="0"/>
          <c:order val="0"/>
          <c:tx>
            <c:v>h=0km, ściśliwość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50.003599658606447</c:v>
                </c:pt>
                <c:pt idx="1">
                  <c:v>61.431913968705985</c:v>
                </c:pt>
                <c:pt idx="2">
                  <c:v>72.860228278805522</c:v>
                </c:pt>
                <c:pt idx="3">
                  <c:v>84.288542588905074</c:v>
                </c:pt>
                <c:pt idx="4">
                  <c:v>95.716856899004597</c:v>
                </c:pt>
                <c:pt idx="5">
                  <c:v>107.14517120910415</c:v>
                </c:pt>
                <c:pt idx="6">
                  <c:v>118.57348551920369</c:v>
                </c:pt>
                <c:pt idx="7">
                  <c:v>130.00179982930322</c:v>
                </c:pt>
                <c:pt idx="8">
                  <c:v>141.43011413940275</c:v>
                </c:pt>
                <c:pt idx="9">
                  <c:v>152.8584284495023</c:v>
                </c:pt>
                <c:pt idx="10">
                  <c:v>164.28674275960185</c:v>
                </c:pt>
                <c:pt idx="11">
                  <c:v>175.71505706970137</c:v>
                </c:pt>
                <c:pt idx="12">
                  <c:v>187.14337137980093</c:v>
                </c:pt>
                <c:pt idx="13">
                  <c:v>198.57168568990045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masa'!$N$4:$N$18</c:f>
              <c:numCache>
                <c:formatCode>0.00</c:formatCode>
                <c:ptCount val="15"/>
                <c:pt idx="0">
                  <c:v>8.475958446765679</c:v>
                </c:pt>
                <c:pt idx="1">
                  <c:v>9.8404246272464171</c:v>
                </c:pt>
                <c:pt idx="2">
                  <c:v>10.433763361660441</c:v>
                </c:pt>
                <c:pt idx="3">
                  <c:v>10.603235474683798</c:v>
                </c:pt>
                <c:pt idx="4">
                  <c:v>10.499870165516411</c:v>
                </c:pt>
                <c:pt idx="5">
                  <c:v>10.193733446645203</c:v>
                </c:pt>
                <c:pt idx="6">
                  <c:v>9.7167485112945258</c:v>
                </c:pt>
                <c:pt idx="7">
                  <c:v>9.0804259324614662</c:v>
                </c:pt>
                <c:pt idx="8">
                  <c:v>8.2837074207152543</c:v>
                </c:pt>
                <c:pt idx="9">
                  <c:v>7.3164116029566948</c:v>
                </c:pt>
                <c:pt idx="10">
                  <c:v>6.160440170009406</c:v>
                </c:pt>
                <c:pt idx="11">
                  <c:v>4.7895935020542142</c:v>
                </c:pt>
                <c:pt idx="12">
                  <c:v>3.1682434851268049</c:v>
                </c:pt>
                <c:pt idx="13">
                  <c:v>1.2487324768207024</c:v>
                </c:pt>
                <c:pt idx="14">
                  <c:v>-1.0330159437384936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F1-4E46-9B0E-57CB4116E667}"/>
            </c:ext>
          </c:extLst>
        </c:ser>
        <c:ser>
          <c:idx val="1"/>
          <c:order val="1"/>
          <c:tx>
            <c:v>h=2km, ściśliwość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masa'!$J$22:$J$36</c:f>
              <c:numCache>
                <c:formatCode>0.0</c:formatCode>
                <c:ptCount val="15"/>
                <c:pt idx="0">
                  <c:v>54.991165562477157</c:v>
                </c:pt>
                <c:pt idx="1">
                  <c:v>66.063225165157363</c:v>
                </c:pt>
                <c:pt idx="2">
                  <c:v>77.135284767837561</c:v>
                </c:pt>
                <c:pt idx="3">
                  <c:v>88.207344370517774</c:v>
                </c:pt>
                <c:pt idx="4">
                  <c:v>99.279403973197958</c:v>
                </c:pt>
                <c:pt idx="5">
                  <c:v>110.35146357587817</c:v>
                </c:pt>
                <c:pt idx="6">
                  <c:v>121.42352317855838</c:v>
                </c:pt>
                <c:pt idx="7">
                  <c:v>132.49558278123857</c:v>
                </c:pt>
                <c:pt idx="8">
                  <c:v>143.56764238391878</c:v>
                </c:pt>
                <c:pt idx="9">
                  <c:v>154.63970198659896</c:v>
                </c:pt>
                <c:pt idx="10">
                  <c:v>165.71176158927918</c:v>
                </c:pt>
                <c:pt idx="11">
                  <c:v>176.78382119195939</c:v>
                </c:pt>
                <c:pt idx="12">
                  <c:v>187.8558807946396</c:v>
                </c:pt>
                <c:pt idx="13">
                  <c:v>198.92794039731979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masa'!$N$22:$N$36</c:f>
              <c:numCache>
                <c:formatCode>0.00</c:formatCode>
                <c:ptCount val="15"/>
                <c:pt idx="0">
                  <c:v>6.224459527382038</c:v>
                </c:pt>
                <c:pt idx="1">
                  <c:v>7.5043407650154839</c:v>
                </c:pt>
                <c:pt idx="2">
                  <c:v>8.1313792559775706</c:v>
                </c:pt>
                <c:pt idx="3">
                  <c:v>8.3810080826249251</c:v>
                </c:pt>
                <c:pt idx="4">
                  <c:v>8.3825958500569602</c:v>
                </c:pt>
                <c:pt idx="5">
                  <c:v>8.2002054525738757</c:v>
                </c:pt>
                <c:pt idx="6">
                  <c:v>7.8652795316857631</c:v>
                </c:pt>
                <c:pt idx="7">
                  <c:v>7.3910822519492712</c:v>
                </c:pt>
                <c:pt idx="8">
                  <c:v>6.7794357537980741</c:v>
                </c:pt>
                <c:pt idx="9">
                  <c:v>6.0238366726531352</c:v>
                </c:pt>
                <c:pt idx="10">
                  <c:v>5.1106551621007066</c:v>
                </c:pt>
                <c:pt idx="11">
                  <c:v>4.0191204416315243</c:v>
                </c:pt>
                <c:pt idx="12">
                  <c:v>2.7203153879479718</c:v>
                </c:pt>
                <c:pt idx="13">
                  <c:v>1.1750941226728557</c:v>
                </c:pt>
                <c:pt idx="14">
                  <c:v>-0.66947190841436266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F1-4E46-9B0E-57CB4116E667}"/>
            </c:ext>
          </c:extLst>
        </c:ser>
        <c:ser>
          <c:idx val="2"/>
          <c:order val="2"/>
          <c:tx>
            <c:v>h=4km, ściśliwość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masa'!$J$40:$J$54</c:f>
              <c:numCache>
                <c:formatCode>0.0</c:formatCode>
                <c:ptCount val="15"/>
                <c:pt idx="0">
                  <c:v>60.760126838427631</c:v>
                </c:pt>
                <c:pt idx="1">
                  <c:v>71.420117778539947</c:v>
                </c:pt>
                <c:pt idx="2">
                  <c:v>82.080108718652255</c:v>
                </c:pt>
                <c:pt idx="3">
                  <c:v>92.740099658764564</c:v>
                </c:pt>
                <c:pt idx="4">
                  <c:v>103.40009059887689</c:v>
                </c:pt>
                <c:pt idx="5">
                  <c:v>114.06008153898918</c:v>
                </c:pt>
                <c:pt idx="6">
                  <c:v>124.7200724791015</c:v>
                </c:pt>
                <c:pt idx="7">
                  <c:v>135.38006341921383</c:v>
                </c:pt>
                <c:pt idx="8">
                  <c:v>146.04005435932612</c:v>
                </c:pt>
                <c:pt idx="9">
                  <c:v>156.70004529943844</c:v>
                </c:pt>
                <c:pt idx="10">
                  <c:v>167.36003623955074</c:v>
                </c:pt>
                <c:pt idx="11">
                  <c:v>178.02002717966306</c:v>
                </c:pt>
                <c:pt idx="12">
                  <c:v>188.68001811977538</c:v>
                </c:pt>
                <c:pt idx="13">
                  <c:v>199.34000905988768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masa'!$N$40:$N$54</c:f>
              <c:numCache>
                <c:formatCode>0.00</c:formatCode>
                <c:ptCount val="15"/>
                <c:pt idx="0">
                  <c:v>4.2434963440040381</c:v>
                </c:pt>
                <c:pt idx="1">
                  <c:v>5.4266228435058625</c:v>
                </c:pt>
                <c:pt idx="2">
                  <c:v>6.0696448966466887</c:v>
                </c:pt>
                <c:pt idx="3">
                  <c:v>6.3833476760068892</c:v>
                </c:pt>
                <c:pt idx="4">
                  <c:v>6.4746226298345091</c:v>
                </c:pt>
                <c:pt idx="5">
                  <c:v>6.3999637867512993</c:v>
                </c:pt>
                <c:pt idx="6">
                  <c:v>6.1890813449344293</c:v>
                </c:pt>
                <c:pt idx="7">
                  <c:v>5.8560714865164201</c:v>
                </c:pt>
                <c:pt idx="8">
                  <c:v>5.4049179659851205</c:v>
                </c:pt>
                <c:pt idx="9">
                  <c:v>4.8321708863969972</c:v>
                </c:pt>
                <c:pt idx="10">
                  <c:v>4.1280554972928325</c:v>
                </c:pt>
                <c:pt idx="11">
                  <c:v>3.2765549644279632</c:v>
                </c:pt>
                <c:pt idx="12">
                  <c:v>2.2546458739388497</c:v>
                </c:pt>
                <c:pt idx="13">
                  <c:v>1.0306194645703617</c:v>
                </c:pt>
                <c:pt idx="14">
                  <c:v>-0.43882912543667807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2F1-4E46-9B0E-57CB4116E667}"/>
            </c:ext>
          </c:extLst>
        </c:ser>
        <c:ser>
          <c:idx val="3"/>
          <c:order val="3"/>
          <c:tx>
            <c:v>h=6km, ściśliwość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masa'!$J$58:$J$72</c:f>
              <c:numCache>
                <c:formatCode>0.0</c:formatCode>
                <c:ptCount val="15"/>
                <c:pt idx="0">
                  <c:v>67.478052266794421</c:v>
                </c:pt>
                <c:pt idx="1">
                  <c:v>77.658191390594823</c:v>
                </c:pt>
                <c:pt idx="2">
                  <c:v>87.838330514395224</c:v>
                </c:pt>
                <c:pt idx="3">
                  <c:v>98.018469638195626</c:v>
                </c:pt>
                <c:pt idx="4">
                  <c:v>108.19860876199601</c:v>
                </c:pt>
                <c:pt idx="5">
                  <c:v>118.37874788579643</c:v>
                </c:pt>
                <c:pt idx="6">
                  <c:v>128.55888700959682</c:v>
                </c:pt>
                <c:pt idx="7">
                  <c:v>138.7390261333972</c:v>
                </c:pt>
                <c:pt idx="8">
                  <c:v>148.91916525719762</c:v>
                </c:pt>
                <c:pt idx="9">
                  <c:v>159.09930438099803</c:v>
                </c:pt>
                <c:pt idx="10">
                  <c:v>169.27944350479842</c:v>
                </c:pt>
                <c:pt idx="11">
                  <c:v>179.45958262859881</c:v>
                </c:pt>
                <c:pt idx="12">
                  <c:v>189.63972175239923</c:v>
                </c:pt>
                <c:pt idx="13">
                  <c:v>199.81986087619964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masa'!$N$58:$N$72</c:f>
              <c:numCache>
                <c:formatCode>0.00</c:formatCode>
                <c:ptCount val="15"/>
                <c:pt idx="0">
                  <c:v>2.5061431139000225</c:v>
                </c:pt>
                <c:pt idx="1">
                  <c:v>3.5826795641441556</c:v>
                </c:pt>
                <c:pt idx="2">
                  <c:v>4.2242834047092623</c:v>
                </c:pt>
                <c:pt idx="3">
                  <c:v>4.5855617829776198</c:v>
                </c:pt>
                <c:pt idx="4">
                  <c:v>4.7511384230513158</c:v>
                </c:pt>
                <c:pt idx="5">
                  <c:v>4.7687405478940246</c:v>
                </c:pt>
                <c:pt idx="6">
                  <c:v>4.6651710126385071</c:v>
                </c:pt>
                <c:pt idx="7">
                  <c:v>4.4544041454189971</c:v>
                </c:pt>
                <c:pt idx="8">
                  <c:v>4.1418101843304438</c:v>
                </c:pt>
                <c:pt idx="9">
                  <c:v>3.7263167370956767</c:v>
                </c:pt>
                <c:pt idx="10">
                  <c:v>3.201356362602207</c:v>
                </c:pt>
                <c:pt idx="11">
                  <c:v>2.5549841920189889</c:v>
                </c:pt>
                <c:pt idx="12">
                  <c:v>1.769290429103501</c:v>
                </c:pt>
                <c:pt idx="13">
                  <c:v>0.81904428701554555</c:v>
                </c:pt>
                <c:pt idx="14">
                  <c:v>-0.33069690101894095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2F1-4E46-9B0E-57CB4116E667}"/>
            </c:ext>
          </c:extLst>
        </c:ser>
        <c:ser>
          <c:idx val="4"/>
          <c:order val="4"/>
          <c:tx>
            <c:v>h=8km, ściśliwość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masa'!$J$76:$J$90</c:f>
              <c:numCache>
                <c:formatCode>0.0</c:formatCode>
                <c:ptCount val="15"/>
                <c:pt idx="0">
                  <c:v>75.356120124418212</c:v>
                </c:pt>
                <c:pt idx="1">
                  <c:v>84.973540115531193</c:v>
                </c:pt>
                <c:pt idx="2">
                  <c:v>94.590960106644175</c:v>
                </c:pt>
                <c:pt idx="3">
                  <c:v>104.20838009775716</c:v>
                </c:pt>
                <c:pt idx="4">
                  <c:v>113.82580008887015</c:v>
                </c:pt>
                <c:pt idx="5">
                  <c:v>123.44322007998312</c:v>
                </c:pt>
                <c:pt idx="6">
                  <c:v>133.06064007109612</c:v>
                </c:pt>
                <c:pt idx="7">
                  <c:v>142.67806006220911</c:v>
                </c:pt>
                <c:pt idx="8">
                  <c:v>152.29548005332208</c:v>
                </c:pt>
                <c:pt idx="9">
                  <c:v>161.91290004443505</c:v>
                </c:pt>
                <c:pt idx="10">
                  <c:v>171.53032003554804</c:v>
                </c:pt>
                <c:pt idx="11">
                  <c:v>181.14774002666104</c:v>
                </c:pt>
                <c:pt idx="12">
                  <c:v>190.76516001777401</c:v>
                </c:pt>
                <c:pt idx="13">
                  <c:v>200.382580008887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masa'!$N$76:$N$90</c:f>
              <c:numCache>
                <c:formatCode>0.00</c:formatCode>
                <c:ptCount val="15"/>
                <c:pt idx="0">
                  <c:v>0.98742175619971462</c:v>
                </c:pt>
                <c:pt idx="1">
                  <c:v>1.9494770071794729</c:v>
                </c:pt>
                <c:pt idx="2">
                  <c:v>2.5724490113481218</c:v>
                </c:pt>
                <c:pt idx="3">
                  <c:v>2.9640327725234963</c:v>
                </c:pt>
                <c:pt idx="4">
                  <c:v>3.1877922457605918</c:v>
                </c:pt>
                <c:pt idx="5">
                  <c:v>3.2819909566188792</c:v>
                </c:pt>
                <c:pt idx="6">
                  <c:v>3.269515369251943</c:v>
                </c:pt>
                <c:pt idx="7">
                  <c:v>3.1632886855669682</c:v>
                </c:pt>
                <c:pt idx="8">
                  <c:v>2.9692651726830106</c:v>
                </c:pt>
                <c:pt idx="9">
                  <c:v>2.6880371630044855</c:v>
                </c:pt>
                <c:pt idx="10">
                  <c:v>2.3155692556839607</c:v>
                </c:pt>
                <c:pt idx="11">
                  <c:v>1.8432990886612715</c:v>
                </c:pt>
                <c:pt idx="12">
                  <c:v>1.257674701872199</c:v>
                </c:pt>
                <c:pt idx="13">
                  <c:v>0.53906108933928476</c:v>
                </c:pt>
                <c:pt idx="14">
                  <c:v>-0.34021220890001153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2F1-4E46-9B0E-57CB4116E667}"/>
            </c:ext>
          </c:extLst>
        </c:ser>
        <c:ser>
          <c:idx val="5"/>
          <c:order val="5"/>
          <c:tx>
            <c:v>h=10km, ściśliwość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masa'!$J$94:$J$108</c:f>
              <c:numCache>
                <c:formatCode>0.0</c:formatCode>
                <c:ptCount val="15"/>
                <c:pt idx="0">
                  <c:v>84.65692418067519</c:v>
                </c:pt>
                <c:pt idx="1">
                  <c:v>93.610001024912677</c:v>
                </c:pt>
                <c:pt idx="2">
                  <c:v>102.56307786915016</c:v>
                </c:pt>
                <c:pt idx="3">
                  <c:v>111.51615471338765</c:v>
                </c:pt>
                <c:pt idx="4">
                  <c:v>120.46923155762514</c:v>
                </c:pt>
                <c:pt idx="5">
                  <c:v>129.42230840186261</c:v>
                </c:pt>
                <c:pt idx="6">
                  <c:v>138.37538524610011</c:v>
                </c:pt>
                <c:pt idx="7">
                  <c:v>147.32846209033761</c:v>
                </c:pt>
                <c:pt idx="8">
                  <c:v>156.28153893457508</c:v>
                </c:pt>
                <c:pt idx="9">
                  <c:v>165.23461577881255</c:v>
                </c:pt>
                <c:pt idx="10">
                  <c:v>174.18769262305005</c:v>
                </c:pt>
                <c:pt idx="11">
                  <c:v>183.14076946728756</c:v>
                </c:pt>
                <c:pt idx="12">
                  <c:v>192.09384631152503</c:v>
                </c:pt>
                <c:pt idx="13">
                  <c:v>201.0469231557625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masa'!$N$94:$N$108</c:f>
              <c:numCache>
                <c:formatCode>0.00</c:formatCode>
                <c:ptCount val="15"/>
                <c:pt idx="0">
                  <c:v>-0.33703252075205159</c:v>
                </c:pt>
                <c:pt idx="1">
                  <c:v>0.50429213300579834</c:v>
                </c:pt>
                <c:pt idx="2">
                  <c:v>1.0915800996535281</c:v>
                </c:pt>
                <c:pt idx="3">
                  <c:v>1.4951352851204776</c:v>
                </c:pt>
                <c:pt idx="4">
                  <c:v>1.7596400701473469</c:v>
                </c:pt>
                <c:pt idx="5">
                  <c:v>1.913790335897938</c:v>
                </c:pt>
                <c:pt idx="6">
                  <c:v>1.9758293849182271</c:v>
                </c:pt>
                <c:pt idx="7">
                  <c:v>1.9568016426675021</c:v>
                </c:pt>
                <c:pt idx="8">
                  <c:v>1.8624610945802194</c:v>
                </c:pt>
                <c:pt idx="9">
                  <c:v>1.6943371693435449</c:v>
                </c:pt>
                <c:pt idx="10">
                  <c:v>1.4502328065914312</c:v>
                </c:pt>
                <c:pt idx="11">
                  <c:v>1.1242702597520497</c:v>
                </c:pt>
                <c:pt idx="12">
                  <c:v>0.70651227272565764</c:v>
                </c:pt>
                <c:pt idx="13">
                  <c:v>0.18208494582551227</c:v>
                </c:pt>
                <c:pt idx="14">
                  <c:v>-0.47039314858679115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2F1-4E46-9B0E-57CB4116E667}"/>
            </c:ext>
          </c:extLst>
        </c:ser>
        <c:ser>
          <c:idx val="6"/>
          <c:order val="6"/>
          <c:tx>
            <c:v>h=12km, ściśliwość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masa'!$J$112:$J$126</c:f>
              <c:numCache>
                <c:formatCode>0.0</c:formatCode>
                <c:ptCount val="15"/>
                <c:pt idx="0">
                  <c:v>95.682662323055354</c:v>
                </c:pt>
                <c:pt idx="1">
                  <c:v>103.1339007285514</c:v>
                </c:pt>
                <c:pt idx="2">
                  <c:v>110.58513913404745</c:v>
                </c:pt>
                <c:pt idx="3">
                  <c:v>118.03637753954349</c:v>
                </c:pt>
                <c:pt idx="4">
                  <c:v>125.48761594503954</c:v>
                </c:pt>
                <c:pt idx="5">
                  <c:v>132.93885435053559</c:v>
                </c:pt>
                <c:pt idx="6">
                  <c:v>140.39009275603163</c:v>
                </c:pt>
                <c:pt idx="7">
                  <c:v>147.84133116152768</c:v>
                </c:pt>
                <c:pt idx="8">
                  <c:v>155.29256956702372</c:v>
                </c:pt>
                <c:pt idx="9">
                  <c:v>162.74380797251979</c:v>
                </c:pt>
                <c:pt idx="10">
                  <c:v>170.19504637801583</c:v>
                </c:pt>
                <c:pt idx="11">
                  <c:v>177.64628478351187</c:v>
                </c:pt>
                <c:pt idx="12">
                  <c:v>185.09752318900792</c:v>
                </c:pt>
                <c:pt idx="13">
                  <c:v>192.54876159450396</c:v>
                </c:pt>
                <c:pt idx="14">
                  <c:v>200</c:v>
                </c:pt>
              </c:numCache>
            </c:numRef>
          </c:xVal>
          <c:yVal>
            <c:numRef>
              <c:f>'Metoda CIągu, zmienna masa'!$N$112:$N$126</c:f>
              <c:numCache>
                <c:formatCode>0.00</c:formatCode>
                <c:ptCount val="15"/>
                <c:pt idx="0">
                  <c:v>-1.491697454079969</c:v>
                </c:pt>
                <c:pt idx="1">
                  <c:v>-0.81907383329971362</c:v>
                </c:pt>
                <c:pt idx="2">
                  <c:v>-0.30229483362385207</c:v>
                </c:pt>
                <c:pt idx="3">
                  <c:v>9.2600580694849235E-2</c:v>
                </c:pt>
                <c:pt idx="4">
                  <c:v>0.38955112892729887</c:v>
                </c:pt>
                <c:pt idx="5">
                  <c:v>0.6054698626180175</c:v>
                </c:pt>
                <c:pt idx="6">
                  <c:v>0.75220987326624633</c:v>
                </c:pt>
                <c:pt idx="7">
                  <c:v>0.83784868185189465</c:v>
                </c:pt>
                <c:pt idx="8">
                  <c:v>0.86752460905814566</c:v>
                </c:pt>
                <c:pt idx="9">
                  <c:v>0.84396237027627097</c:v>
                </c:pt>
                <c:pt idx="10">
                  <c:v>0.76776901924939744</c:v>
                </c:pt>
                <c:pt idx="11">
                  <c:v>0.63754318121717535</c:v>
                </c:pt>
                <c:pt idx="12">
                  <c:v>0.44981450536543255</c:v>
                </c:pt>
                <c:pt idx="13">
                  <c:v>0.19879771375495933</c:v>
                </c:pt>
                <c:pt idx="14">
                  <c:v>-0.12407852162061309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2F1-4E46-9B0E-57CB4116E667}"/>
            </c:ext>
          </c:extLst>
        </c:ser>
        <c:ser>
          <c:idx val="7"/>
          <c:order val="7"/>
          <c:tx>
            <c:v>h=14km, ściśliwość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masa'!$J$130:$J$144</c:f>
              <c:numCache>
                <c:formatCode>0.0</c:formatCode>
                <c:ptCount val="15"/>
                <c:pt idx="0">
                  <c:v>108.5936341211916</c:v>
                </c:pt>
                <c:pt idx="1">
                  <c:v>114.40837454110648</c:v>
                </c:pt>
                <c:pt idx="2">
                  <c:v>120.22311496102137</c:v>
                </c:pt>
                <c:pt idx="3">
                  <c:v>126.03785538093626</c:v>
                </c:pt>
                <c:pt idx="4">
                  <c:v>131.85259580085113</c:v>
                </c:pt>
                <c:pt idx="5">
                  <c:v>137.66733622076603</c:v>
                </c:pt>
                <c:pt idx="6">
                  <c:v>143.48207664068093</c:v>
                </c:pt>
                <c:pt idx="7">
                  <c:v>149.2968170605958</c:v>
                </c:pt>
                <c:pt idx="8">
                  <c:v>155.11155748051067</c:v>
                </c:pt>
                <c:pt idx="9">
                  <c:v>160.92629790042557</c:v>
                </c:pt>
                <c:pt idx="10">
                  <c:v>166.74103832034046</c:v>
                </c:pt>
                <c:pt idx="11">
                  <c:v>172.55577874025533</c:v>
                </c:pt>
                <c:pt idx="12">
                  <c:v>178.37051916017023</c:v>
                </c:pt>
                <c:pt idx="13">
                  <c:v>184.18525958008513</c:v>
                </c:pt>
                <c:pt idx="14">
                  <c:v>190</c:v>
                </c:pt>
              </c:numCache>
            </c:numRef>
          </c:xVal>
          <c:yVal>
            <c:numRef>
              <c:f>'Metoda CIągu, zmienna masa'!$N$130:$N$144</c:f>
              <c:numCache>
                <c:formatCode>0.00</c:formatCode>
                <c:ptCount val="15"/>
                <c:pt idx="0">
                  <c:v>-2.4944066395290609</c:v>
                </c:pt>
                <c:pt idx="1">
                  <c:v>-1.9903878119742717</c:v>
                </c:pt>
                <c:pt idx="2">
                  <c:v>-1.5703276359457032</c:v>
                </c:pt>
                <c:pt idx="3">
                  <c:v>-1.2209626855075844</c:v>
                </c:pt>
                <c:pt idx="4">
                  <c:v>-0.93200545117106481</c:v>
                </c:pt>
                <c:pt idx="5">
                  <c:v>-0.69548859128302054</c:v>
                </c:pt>
                <c:pt idx="6">
                  <c:v>-0.50529874336657299</c:v>
                </c:pt>
                <c:pt idx="7">
                  <c:v>-0.3568196780961283</c:v>
                </c:pt>
                <c:pt idx="8">
                  <c:v>-0.24668437482430278</c:v>
                </c:pt>
                <c:pt idx="9">
                  <c:v>-0.17259983034550583</c:v>
                </c:pt>
                <c:pt idx="10">
                  <c:v>-0.13323257391899199</c:v>
                </c:pt>
                <c:pt idx="11">
                  <c:v>-0.12814713372100536</c:v>
                </c:pt>
                <c:pt idx="12">
                  <c:v>-0.15779325123499754</c:v>
                </c:pt>
                <c:pt idx="13">
                  <c:v>-0.22354281495753445</c:v>
                </c:pt>
                <c:pt idx="14">
                  <c:v>-0.32778253512959044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2F1-4E46-9B0E-57CB4116E667}"/>
            </c:ext>
          </c:extLst>
        </c:ser>
        <c:ser>
          <c:idx val="9"/>
          <c:order val="8"/>
          <c:tx>
            <c:v>h=0km, bez ściśliwości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masa'!$J$148:$J$162</c:f>
              <c:numCache>
                <c:formatCode>0.0</c:formatCode>
                <c:ptCount val="15"/>
                <c:pt idx="0">
                  <c:v>50.003599658606447</c:v>
                </c:pt>
                <c:pt idx="1">
                  <c:v>63.57477111156313</c:v>
                </c:pt>
                <c:pt idx="2">
                  <c:v>77.145942564519814</c:v>
                </c:pt>
                <c:pt idx="3">
                  <c:v>90.71711401747649</c:v>
                </c:pt>
                <c:pt idx="4">
                  <c:v>104.28828547043318</c:v>
                </c:pt>
                <c:pt idx="5">
                  <c:v>117.85945692338986</c:v>
                </c:pt>
                <c:pt idx="6">
                  <c:v>131.43062837634653</c:v>
                </c:pt>
                <c:pt idx="7">
                  <c:v>145.00179982930322</c:v>
                </c:pt>
                <c:pt idx="8">
                  <c:v>158.57297128225991</c:v>
                </c:pt>
                <c:pt idx="9">
                  <c:v>172.14414273521658</c:v>
                </c:pt>
                <c:pt idx="10">
                  <c:v>185.71531418817327</c:v>
                </c:pt>
                <c:pt idx="11">
                  <c:v>199.28648564112996</c:v>
                </c:pt>
                <c:pt idx="12">
                  <c:v>212.85765709408662</c:v>
                </c:pt>
                <c:pt idx="13">
                  <c:v>226.42882854704331</c:v>
                </c:pt>
                <c:pt idx="14">
                  <c:v>240</c:v>
                </c:pt>
              </c:numCache>
            </c:numRef>
          </c:xVal>
          <c:yVal>
            <c:numRef>
              <c:f>'Metoda CIągu, zmienna masa'!$N$148:$N$162</c:f>
              <c:numCache>
                <c:formatCode>0.00</c:formatCode>
                <c:ptCount val="15"/>
                <c:pt idx="0">
                  <c:v>8.5340965436310583</c:v>
                </c:pt>
                <c:pt idx="1">
                  <c:v>10.00917569243737</c:v>
                </c:pt>
                <c:pt idx="2">
                  <c:v>10.524387389719854</c:v>
                </c:pt>
                <c:pt idx="3">
                  <c:v>10.558768918085796</c:v>
                </c:pt>
                <c:pt idx="4">
                  <c:v>10.302379053945719</c:v>
                </c:pt>
                <c:pt idx="5">
                  <c:v>9.8404411582403561</c:v>
                </c:pt>
                <c:pt idx="6">
                  <c:v>9.2139691228902265</c:v>
                </c:pt>
                <c:pt idx="7">
                  <c:v>8.443007202406795</c:v>
                </c:pt>
                <c:pt idx="8">
                  <c:v>7.5366088416314847</c:v>
                </c:pt>
                <c:pt idx="9">
                  <c:v>6.4974993579279028</c:v>
                </c:pt>
                <c:pt idx="10">
                  <c:v>5.3243805732538965</c:v>
                </c:pt>
                <c:pt idx="11">
                  <c:v>4.0130945249696941</c:v>
                </c:pt>
                <c:pt idx="12">
                  <c:v>2.5571848552372707</c:v>
                </c:pt>
                <c:pt idx="13">
                  <c:v>0.94810593851791991</c:v>
                </c:pt>
                <c:pt idx="14">
                  <c:v>-0.82480440882995443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2F1-4E46-9B0E-57CB4116E667}"/>
            </c:ext>
          </c:extLst>
        </c:ser>
        <c:ser>
          <c:idx val="10"/>
          <c:order val="9"/>
          <c:tx>
            <c:v>h=2km, bez ściśliwości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masa'!$J$166:$J$180</c:f>
              <c:numCache>
                <c:formatCode>0.0</c:formatCode>
                <c:ptCount val="15"/>
                <c:pt idx="0">
                  <c:v>54.997802373144332</c:v>
                </c:pt>
                <c:pt idx="1">
                  <c:v>68.926530775062588</c:v>
                </c:pt>
                <c:pt idx="2">
                  <c:v>82.855259176980852</c:v>
                </c:pt>
                <c:pt idx="3">
                  <c:v>96.783987578899115</c:v>
                </c:pt>
                <c:pt idx="4">
                  <c:v>110.71271598081738</c:v>
                </c:pt>
                <c:pt idx="5">
                  <c:v>124.64144438273564</c:v>
                </c:pt>
                <c:pt idx="6">
                  <c:v>138.57017278465389</c:v>
                </c:pt>
                <c:pt idx="7">
                  <c:v>152.49890118657217</c:v>
                </c:pt>
                <c:pt idx="8">
                  <c:v>166.42762958849042</c:v>
                </c:pt>
                <c:pt idx="9">
                  <c:v>180.3563579904087</c:v>
                </c:pt>
                <c:pt idx="10">
                  <c:v>194.28508639232695</c:v>
                </c:pt>
                <c:pt idx="11">
                  <c:v>208.21381479424522</c:v>
                </c:pt>
                <c:pt idx="12">
                  <c:v>222.14254319616347</c:v>
                </c:pt>
                <c:pt idx="13">
                  <c:v>236.07127159808175</c:v>
                </c:pt>
                <c:pt idx="14">
                  <c:v>250</c:v>
                </c:pt>
              </c:numCache>
            </c:numRef>
          </c:xVal>
          <c:yVal>
            <c:numRef>
              <c:f>'Metoda CIągu, zmienna masa'!$N$166:$N$180</c:f>
              <c:numCache>
                <c:formatCode>0.00</c:formatCode>
                <c:ptCount val="15"/>
                <c:pt idx="0">
                  <c:v>6.2960293276450141</c:v>
                </c:pt>
                <c:pt idx="1">
                  <c:v>7.7329580043155568</c:v>
                </c:pt>
                <c:pt idx="2">
                  <c:v>8.286930205641049</c:v>
                </c:pt>
                <c:pt idx="3">
                  <c:v>8.3866437999952002</c:v>
                </c:pt>
                <c:pt idx="4">
                  <c:v>8.2103179103462853</c:v>
                </c:pt>
                <c:pt idx="5">
                  <c:v>7.8408226597121837</c:v>
                </c:pt>
                <c:pt idx="6">
                  <c:v>7.3194357882925356</c:v>
                </c:pt>
                <c:pt idx="7">
                  <c:v>6.6672300442745804</c:v>
                </c:pt>
                <c:pt idx="8">
                  <c:v>5.894524669328594</c:v>
                </c:pt>
                <c:pt idx="9">
                  <c:v>5.0054122852088252</c:v>
                </c:pt>
                <c:pt idx="10">
                  <c:v>4.0000546080143433</c:v>
                </c:pt>
                <c:pt idx="11">
                  <c:v>2.8758835703330257</c:v>
                </c:pt>
                <c:pt idx="12">
                  <c:v>1.6282230671640936</c:v>
                </c:pt>
                <c:pt idx="13">
                  <c:v>0.25057734083340388</c:v>
                </c:pt>
                <c:pt idx="14">
                  <c:v>-1.265294083697446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2F1-4E46-9B0E-57CB4116E667}"/>
            </c:ext>
          </c:extLst>
        </c:ser>
        <c:ser>
          <c:idx val="11"/>
          <c:order val="10"/>
          <c:tx>
            <c:v>h=4km, bez ściśliwości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masa'!$J$184:$J$198</c:f>
              <c:numCache>
                <c:formatCode>0.0</c:formatCode>
                <c:ptCount val="15"/>
                <c:pt idx="0">
                  <c:v>60.774822867479457</c:v>
                </c:pt>
                <c:pt idx="1">
                  <c:v>74.290906948373788</c:v>
                </c:pt>
                <c:pt idx="2">
                  <c:v>87.806991029268104</c:v>
                </c:pt>
                <c:pt idx="3">
                  <c:v>101.32307511016243</c:v>
                </c:pt>
                <c:pt idx="4">
                  <c:v>114.83915919105675</c:v>
                </c:pt>
                <c:pt idx="5">
                  <c:v>128.35524327195108</c:v>
                </c:pt>
                <c:pt idx="6">
                  <c:v>141.87132735284541</c:v>
                </c:pt>
                <c:pt idx="7">
                  <c:v>155.38741143373971</c:v>
                </c:pt>
                <c:pt idx="8">
                  <c:v>168.90349551463407</c:v>
                </c:pt>
                <c:pt idx="9">
                  <c:v>182.41957959552838</c:v>
                </c:pt>
                <c:pt idx="10">
                  <c:v>195.93566367642271</c:v>
                </c:pt>
                <c:pt idx="11">
                  <c:v>209.45174775731704</c:v>
                </c:pt>
                <c:pt idx="12">
                  <c:v>222.96783183821137</c:v>
                </c:pt>
                <c:pt idx="13">
                  <c:v>236.4839159191057</c:v>
                </c:pt>
                <c:pt idx="14">
                  <c:v>250</c:v>
                </c:pt>
              </c:numCache>
            </c:numRef>
          </c:xVal>
          <c:yVal>
            <c:numRef>
              <c:f>'Metoda CIągu, zmienna masa'!$N$184:$N$198</c:f>
              <c:numCache>
                <c:formatCode>0.00</c:formatCode>
                <c:ptCount val="15"/>
                <c:pt idx="0">
                  <c:v>4.3352519858762006</c:v>
                </c:pt>
                <c:pt idx="1">
                  <c:v>5.6886707058220987</c:v>
                </c:pt>
                <c:pt idx="2">
                  <c:v>6.2970631803409027</c:v>
                </c:pt>
                <c:pt idx="3">
                  <c:v>6.5009310987434752</c:v>
                </c:pt>
                <c:pt idx="4">
                  <c:v>6.4540371593229766</c:v>
                </c:pt>
                <c:pt idx="5">
                  <c:v>6.2326242033885793</c:v>
                </c:pt>
                <c:pt idx="6">
                  <c:v>5.8769301592532965</c:v>
                </c:pt>
                <c:pt idx="7">
                  <c:v>5.4088801185306981</c:v>
                </c:pt>
                <c:pt idx="8">
                  <c:v>4.8403347652994428</c:v>
                </c:pt>
                <c:pt idx="9">
                  <c:v>4.1772218490054129</c:v>
                </c:pt>
                <c:pt idx="10">
                  <c:v>3.4217215401771606</c:v>
                </c:pt>
                <c:pt idx="11">
                  <c:v>2.5734667279888623</c:v>
                </c:pt>
                <c:pt idx="12">
                  <c:v>1.6302127105355193</c:v>
                </c:pt>
                <c:pt idx="13">
                  <c:v>0.58820265120793103</c:v>
                </c:pt>
                <c:pt idx="14">
                  <c:v>-0.55765422757862571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2F1-4E46-9B0E-57CB4116E667}"/>
            </c:ext>
          </c:extLst>
        </c:ser>
        <c:ser>
          <c:idx val="12"/>
          <c:order val="11"/>
          <c:tx>
            <c:v>h=6km, bez ściśliwości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masa'!$J$202:$J$216</c:f>
              <c:numCache>
                <c:formatCode>0.0</c:formatCode>
                <c:ptCount val="15"/>
                <c:pt idx="0">
                  <c:v>67.507098382792009</c:v>
                </c:pt>
                <c:pt idx="1">
                  <c:v>81.256591355449729</c:v>
                </c:pt>
                <c:pt idx="2">
                  <c:v>95.006084328107434</c:v>
                </c:pt>
                <c:pt idx="3">
                  <c:v>108.75557730076515</c:v>
                </c:pt>
                <c:pt idx="4">
                  <c:v>122.50507027342286</c:v>
                </c:pt>
                <c:pt idx="5">
                  <c:v>136.25456324608058</c:v>
                </c:pt>
                <c:pt idx="6">
                  <c:v>150.0040562187383</c:v>
                </c:pt>
                <c:pt idx="7">
                  <c:v>163.75354919139602</c:v>
                </c:pt>
                <c:pt idx="8">
                  <c:v>177.50304216405374</c:v>
                </c:pt>
                <c:pt idx="9">
                  <c:v>191.25253513671146</c:v>
                </c:pt>
                <c:pt idx="10">
                  <c:v>205.00202810936915</c:v>
                </c:pt>
                <c:pt idx="11">
                  <c:v>218.75152108202687</c:v>
                </c:pt>
                <c:pt idx="12">
                  <c:v>232.50101405468459</c:v>
                </c:pt>
                <c:pt idx="13">
                  <c:v>246.25050702734231</c:v>
                </c:pt>
                <c:pt idx="14">
                  <c:v>260</c:v>
                </c:pt>
              </c:numCache>
            </c:numRef>
          </c:xVal>
          <c:yVal>
            <c:numRef>
              <c:f>'Metoda CIągu, zmienna masa'!$N$202:$N$216</c:f>
              <c:numCache>
                <c:formatCode>0.00</c:formatCode>
                <c:ptCount val="15"/>
                <c:pt idx="0">
                  <c:v>2.6260426738960372</c:v>
                </c:pt>
                <c:pt idx="1">
                  <c:v>3.9195211499287526</c:v>
                </c:pt>
                <c:pt idx="2">
                  <c:v>4.5514839023028006</c:v>
                </c:pt>
                <c:pt idx="3">
                  <c:v>4.811608555250217</c:v>
                </c:pt>
                <c:pt idx="4">
                  <c:v>4.837785227601449</c:v>
                </c:pt>
                <c:pt idx="5">
                  <c:v>4.7012977908406377</c:v>
                </c:pt>
                <c:pt idx="6">
                  <c:v>4.4411964203142356</c:v>
                </c:pt>
                <c:pt idx="7">
                  <c:v>4.0796182290809062</c:v>
                </c:pt>
                <c:pt idx="8">
                  <c:v>3.629192998806515</c:v>
                </c:pt>
                <c:pt idx="9">
                  <c:v>3.0968641194983784</c:v>
                </c:pt>
                <c:pt idx="10">
                  <c:v>2.4859645458768358</c:v>
                </c:pt>
                <c:pt idx="11">
                  <c:v>1.7973891682682457</c:v>
                </c:pt>
                <c:pt idx="12">
                  <c:v>1.0302724887061983</c:v>
                </c:pt>
                <c:pt idx="13">
                  <c:v>0.18238076985665283</c:v>
                </c:pt>
                <c:pt idx="14">
                  <c:v>-0.74967015342449483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2F1-4E46-9B0E-57CB4116E667}"/>
            </c:ext>
          </c:extLst>
        </c:ser>
        <c:ser>
          <c:idx val="13"/>
          <c:order val="12"/>
          <c:tx>
            <c:v>h=8km, bez ściśliwości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masa'!$J$220:$J$234</c:f>
              <c:numCache>
                <c:formatCode>0.0</c:formatCode>
                <c:ptCount val="15"/>
                <c:pt idx="0">
                  <c:v>75.408472283559973</c:v>
                </c:pt>
                <c:pt idx="1">
                  <c:v>88.593581406162826</c:v>
                </c:pt>
                <c:pt idx="2">
                  <c:v>101.77869052876569</c:v>
                </c:pt>
                <c:pt idx="3">
                  <c:v>114.96379965136855</c:v>
                </c:pt>
                <c:pt idx="4">
                  <c:v>128.14890877397141</c:v>
                </c:pt>
                <c:pt idx="5">
                  <c:v>141.33401789657427</c:v>
                </c:pt>
                <c:pt idx="6">
                  <c:v>154.51912701917712</c:v>
                </c:pt>
                <c:pt idx="7">
                  <c:v>167.70423614177997</c:v>
                </c:pt>
                <c:pt idx="8">
                  <c:v>180.88934526438283</c:v>
                </c:pt>
                <c:pt idx="9">
                  <c:v>194.07445438698568</c:v>
                </c:pt>
                <c:pt idx="10">
                  <c:v>207.25956350958856</c:v>
                </c:pt>
                <c:pt idx="11">
                  <c:v>220.44467263219141</c:v>
                </c:pt>
                <c:pt idx="12">
                  <c:v>233.62978175479427</c:v>
                </c:pt>
                <c:pt idx="13">
                  <c:v>246.81489087739712</c:v>
                </c:pt>
                <c:pt idx="14">
                  <c:v>260</c:v>
                </c:pt>
              </c:numCache>
            </c:numRef>
          </c:xVal>
          <c:yVal>
            <c:numRef>
              <c:f>'Metoda CIągu, zmienna masa'!$N$220:$N$234</c:f>
              <c:numCache>
                <c:formatCode>0.00</c:formatCode>
                <c:ptCount val="15"/>
                <c:pt idx="0">
                  <c:v>1.1477500246873169</c:v>
                </c:pt>
                <c:pt idx="1">
                  <c:v>2.3340557006488836</c:v>
                </c:pt>
                <c:pt idx="2">
                  <c:v>2.9872812699434648</c:v>
                </c:pt>
                <c:pt idx="3">
                  <c:v>3.322251199790685</c:v>
                </c:pt>
                <c:pt idx="4">
                  <c:v>3.450266495476265</c:v>
                </c:pt>
                <c:pt idx="5">
                  <c:v>3.4328944111709769</c:v>
                </c:pt>
                <c:pt idx="6">
                  <c:v>3.3059040725247772</c:v>
                </c:pt>
                <c:pt idx="7">
                  <c:v>3.0907773664568867</c:v>
                </c:pt>
                <c:pt idx="8">
                  <c:v>2.8006240782143763</c:v>
                </c:pt>
                <c:pt idx="9">
                  <c:v>2.4433927318837516</c:v>
                </c:pt>
                <c:pt idx="10">
                  <c:v>2.0236940809498627</c:v>
                </c:pt>
                <c:pt idx="11">
                  <c:v>1.5438749020929985</c:v>
                </c:pt>
                <c:pt idx="12">
                  <c:v>1.0046673141350291</c:v>
                </c:pt>
                <c:pt idx="13">
                  <c:v>0.40558732891304172</c:v>
                </c:pt>
                <c:pt idx="14">
                  <c:v>-0.25482118133748283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2F1-4E46-9B0E-57CB4116E667}"/>
            </c:ext>
          </c:extLst>
        </c:ser>
        <c:ser>
          <c:idx val="14"/>
          <c:order val="13"/>
          <c:tx>
            <c:v>h=10km, bez ściśliwości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masa'!$J$238:$J$252</c:f>
              <c:numCache>
                <c:formatCode>0.0</c:formatCode>
                <c:ptCount val="15"/>
                <c:pt idx="0">
                  <c:v>84.758912726482023</c:v>
                </c:pt>
                <c:pt idx="1">
                  <c:v>97.990418960304737</c:v>
                </c:pt>
                <c:pt idx="2">
                  <c:v>111.22192519412745</c:v>
                </c:pt>
                <c:pt idx="3">
                  <c:v>124.45343142795016</c:v>
                </c:pt>
                <c:pt idx="4">
                  <c:v>137.68493766177286</c:v>
                </c:pt>
                <c:pt idx="5">
                  <c:v>150.91644389559559</c:v>
                </c:pt>
                <c:pt idx="6">
                  <c:v>164.14795012941829</c:v>
                </c:pt>
                <c:pt idx="7">
                  <c:v>177.37945636324099</c:v>
                </c:pt>
                <c:pt idx="8">
                  <c:v>190.61096259706372</c:v>
                </c:pt>
                <c:pt idx="9">
                  <c:v>203.84246883088645</c:v>
                </c:pt>
                <c:pt idx="10">
                  <c:v>217.07397506470915</c:v>
                </c:pt>
                <c:pt idx="11">
                  <c:v>230.30548129853184</c:v>
                </c:pt>
                <c:pt idx="12">
                  <c:v>243.53698753235454</c:v>
                </c:pt>
                <c:pt idx="13">
                  <c:v>256.7684937661773</c:v>
                </c:pt>
                <c:pt idx="14">
                  <c:v>270</c:v>
                </c:pt>
              </c:numCache>
            </c:numRef>
          </c:xVal>
          <c:yVal>
            <c:numRef>
              <c:f>'Metoda CIągu, zmienna masa'!$N$238:$N$252</c:f>
              <c:numCache>
                <c:formatCode>0.00</c:formatCode>
                <c:ptCount val="15"/>
                <c:pt idx="0">
                  <c:v>-0.1191480432908426</c:v>
                </c:pt>
                <c:pt idx="1">
                  <c:v>0.98828154236098598</c:v>
                </c:pt>
                <c:pt idx="2">
                  <c:v>1.6444758527660663</c:v>
                </c:pt>
                <c:pt idx="3">
                  <c:v>2.0198732843272666</c:v>
                </c:pt>
                <c:pt idx="4">
                  <c:v>2.208052333531588</c:v>
                </c:pt>
                <c:pt idx="5">
                  <c:v>2.2632944813167701</c:v>
                </c:pt>
                <c:pt idx="6">
                  <c:v>2.2184662575960092</c:v>
                </c:pt>
                <c:pt idx="7">
                  <c:v>2.0941004970141206</c:v>
                </c:pt>
                <c:pt idx="8">
                  <c:v>1.9032746107483791</c:v>
                </c:pt>
                <c:pt idx="9">
                  <c:v>1.6543588872235861</c:v>
                </c:pt>
                <c:pt idx="10">
                  <c:v>1.352628755016289</c:v>
                </c:pt>
                <c:pt idx="11">
                  <c:v>1.0012426591171011</c:v>
                </c:pt>
                <c:pt idx="12">
                  <c:v>0.60185109279968052</c:v>
                </c:pt>
                <c:pt idx="13">
                  <c:v>0.15498303208490721</c:v>
                </c:pt>
                <c:pt idx="14">
                  <c:v>-0.33970680393758612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2F1-4E46-9B0E-57CB4116E667}"/>
            </c:ext>
          </c:extLst>
        </c:ser>
        <c:ser>
          <c:idx val="15"/>
          <c:order val="14"/>
          <c:tx>
            <c:v>h=12km, bez ściśliwości</c:v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masa'!$J$256:$J$270</c:f>
              <c:numCache>
                <c:formatCode>0.0</c:formatCode>
                <c:ptCount val="15"/>
                <c:pt idx="0">
                  <c:v>95.905119267981505</c:v>
                </c:pt>
                <c:pt idx="1">
                  <c:v>109.05475360598282</c:v>
                </c:pt>
                <c:pt idx="2">
                  <c:v>122.20438794398414</c:v>
                </c:pt>
                <c:pt idx="3">
                  <c:v>135.35402228198546</c:v>
                </c:pt>
                <c:pt idx="4">
                  <c:v>148.5036566199868</c:v>
                </c:pt>
                <c:pt idx="5">
                  <c:v>161.65329095798813</c:v>
                </c:pt>
                <c:pt idx="6">
                  <c:v>174.80292529598944</c:v>
                </c:pt>
                <c:pt idx="7">
                  <c:v>187.95255963399075</c:v>
                </c:pt>
                <c:pt idx="8">
                  <c:v>201.10219397199208</c:v>
                </c:pt>
                <c:pt idx="9">
                  <c:v>214.25182830999341</c:v>
                </c:pt>
                <c:pt idx="10">
                  <c:v>227.40146264799472</c:v>
                </c:pt>
                <c:pt idx="11">
                  <c:v>240.55109698599603</c:v>
                </c:pt>
                <c:pt idx="12">
                  <c:v>253.70073132399739</c:v>
                </c:pt>
                <c:pt idx="13">
                  <c:v>266.85036566199869</c:v>
                </c:pt>
                <c:pt idx="14">
                  <c:v>280</c:v>
                </c:pt>
              </c:numCache>
            </c:numRef>
          </c:xVal>
          <c:yVal>
            <c:numRef>
              <c:f>'Metoda CIągu, zmienna masa'!$N$256:$N$270</c:f>
              <c:numCache>
                <c:formatCode>0.00</c:formatCode>
                <c:ptCount val="15"/>
                <c:pt idx="0">
                  <c:v>-1.1905003035422175</c:v>
                </c:pt>
                <c:pt idx="1">
                  <c:v>-0.17100031637682545</c:v>
                </c:pt>
                <c:pt idx="2">
                  <c:v>0.47793214816272006</c:v>
                </c:pt>
                <c:pt idx="3">
                  <c:v>0.88566547794150752</c:v>
                </c:pt>
                <c:pt idx="4">
                  <c:v>1.1277240741206442</c:v>
                </c:pt>
                <c:pt idx="5">
                  <c:v>1.2502057056948608</c:v>
                </c:pt>
                <c:pt idx="6">
                  <c:v>1.2822882367250636</c:v>
                </c:pt>
                <c:pt idx="7">
                  <c:v>1.2429671118646619</c:v>
                </c:pt>
                <c:pt idx="8">
                  <c:v>1.144859061158001</c:v>
                </c:pt>
                <c:pt idx="9">
                  <c:v>0.9964368464677672</c:v>
                </c:pt>
                <c:pt idx="10">
                  <c:v>0.80338884107447284</c:v>
                </c:pt>
                <c:pt idx="11">
                  <c:v>0.56947113167351726</c:v>
                </c:pt>
                <c:pt idx="12">
                  <c:v>0.2970549273900448</c:v>
                </c:pt>
                <c:pt idx="13">
                  <c:v>-1.2514853548325556E-2</c:v>
                </c:pt>
                <c:pt idx="14">
                  <c:v>-0.35868153931218083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2F1-4E46-9B0E-57CB4116E667}"/>
            </c:ext>
          </c:extLst>
        </c:ser>
        <c:ser>
          <c:idx val="16"/>
          <c:order val="15"/>
          <c:tx>
            <c:v>h=14km, bez ściśliwości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masa'!$J$274:$J$288</c:f>
              <c:numCache>
                <c:formatCode>0.0</c:formatCode>
                <c:ptCount val="15"/>
                <c:pt idx="0">
                  <c:v>109.25978862609615</c:v>
                </c:pt>
                <c:pt idx="1">
                  <c:v>122.16980372423214</c:v>
                </c:pt>
                <c:pt idx="2">
                  <c:v>135.07981882236814</c:v>
                </c:pt>
                <c:pt idx="3">
                  <c:v>147.98983392050411</c:v>
                </c:pt>
                <c:pt idx="4">
                  <c:v>160.89984901864011</c:v>
                </c:pt>
                <c:pt idx="5">
                  <c:v>173.80986411677611</c:v>
                </c:pt>
                <c:pt idx="6">
                  <c:v>186.71987921491208</c:v>
                </c:pt>
                <c:pt idx="7">
                  <c:v>199.62989431304806</c:v>
                </c:pt>
                <c:pt idx="8">
                  <c:v>212.53990941118406</c:v>
                </c:pt>
                <c:pt idx="9">
                  <c:v>225.44992450932006</c:v>
                </c:pt>
                <c:pt idx="10">
                  <c:v>238.35993960745606</c:v>
                </c:pt>
                <c:pt idx="11">
                  <c:v>251.269954705592</c:v>
                </c:pt>
                <c:pt idx="12">
                  <c:v>264.179969803728</c:v>
                </c:pt>
                <c:pt idx="13">
                  <c:v>277.089984901864</c:v>
                </c:pt>
                <c:pt idx="14">
                  <c:v>290</c:v>
                </c:pt>
              </c:numCache>
            </c:numRef>
          </c:xVal>
          <c:yVal>
            <c:numRef>
              <c:f>'Metoda CIągu, zmienna masa'!$N$274:$N$288</c:f>
              <c:numCache>
                <c:formatCode>0.00</c:formatCode>
                <c:ptCount val="15"/>
                <c:pt idx="0">
                  <c:v>-2.0795157824083095</c:v>
                </c:pt>
                <c:pt idx="1">
                  <c:v>-1.1567354789402851</c:v>
                </c:pt>
                <c:pt idx="2">
                  <c:v>-0.52745119208956459</c:v>
                </c:pt>
                <c:pt idx="3">
                  <c:v>-9.8558200944551463E-2</c:v>
                </c:pt>
                <c:pt idx="4">
                  <c:v>0.18788925757743111</c:v>
                </c:pt>
                <c:pt idx="5">
                  <c:v>0.36922739197915083</c:v>
                </c:pt>
                <c:pt idx="6">
                  <c:v>0.47023431684693445</c:v>
                </c:pt>
                <c:pt idx="7">
                  <c:v>0.50775606056937628</c:v>
                </c:pt>
                <c:pt idx="8">
                  <c:v>0.49346440849938117</c:v>
                </c:pt>
                <c:pt idx="9">
                  <c:v>0.43555556936498624</c:v>
                </c:pt>
                <c:pt idx="10">
                  <c:v>0.33982601524518041</c:v>
                </c:pt>
                <c:pt idx="11">
                  <c:v>0.21037324979373834</c:v>
                </c:pt>
                <c:pt idx="12">
                  <c:v>5.0060320163240142E-2</c:v>
                </c:pt>
                <c:pt idx="13">
                  <c:v>-0.13916882042533787</c:v>
                </c:pt>
                <c:pt idx="14">
                  <c:v>-0.35607339735538929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2F1-4E46-9B0E-57CB4116E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706799"/>
        <c:axId val="2018065423"/>
      </c:scatterChart>
      <c:valAx>
        <c:axId val="1379706799"/>
        <c:scaling>
          <c:orientation val="minMax"/>
          <c:max val="29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065423"/>
        <c:crosses val="autoZero"/>
        <c:crossBetween val="midCat"/>
        <c:majorUnit val="20"/>
      </c:valAx>
      <c:valAx>
        <c:axId val="2018065423"/>
        <c:scaling>
          <c:orientation val="minMax"/>
          <c:max val="1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γ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9706799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 ściśliwości na w(V) dla samolotu odrzutowego Iskra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9.1335120049307827E-2"/>
          <c:y val="0.10308411214953273"/>
          <c:w val="0.62317675330161559"/>
          <c:h val="0.84915765202246907"/>
        </c:manualLayout>
      </c:layout>
      <c:scatterChart>
        <c:scatterStyle val="smoothMarker"/>
        <c:varyColors val="0"/>
        <c:ser>
          <c:idx val="0"/>
          <c:order val="0"/>
          <c:tx>
            <c:v>h=0km, ściśliwość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50.003599658606447</c:v>
                </c:pt>
                <c:pt idx="1">
                  <c:v>61.431913968705985</c:v>
                </c:pt>
                <c:pt idx="2">
                  <c:v>72.860228278805522</c:v>
                </c:pt>
                <c:pt idx="3">
                  <c:v>84.288542588905074</c:v>
                </c:pt>
                <c:pt idx="4">
                  <c:v>95.716856899004597</c:v>
                </c:pt>
                <c:pt idx="5">
                  <c:v>107.14517120910415</c:v>
                </c:pt>
                <c:pt idx="6">
                  <c:v>118.57348551920369</c:v>
                </c:pt>
                <c:pt idx="7">
                  <c:v>130.00179982930322</c:v>
                </c:pt>
                <c:pt idx="8">
                  <c:v>141.43011413940275</c:v>
                </c:pt>
                <c:pt idx="9">
                  <c:v>152.8584284495023</c:v>
                </c:pt>
                <c:pt idx="10">
                  <c:v>164.28674275960185</c:v>
                </c:pt>
                <c:pt idx="11">
                  <c:v>175.71505706970137</c:v>
                </c:pt>
                <c:pt idx="12">
                  <c:v>187.14337137980093</c:v>
                </c:pt>
                <c:pt idx="13">
                  <c:v>198.57168568990045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masa'!$O$4:$O$18</c:f>
              <c:numCache>
                <c:formatCode>0.00</c:formatCode>
                <c:ptCount val="15"/>
                <c:pt idx="0">
                  <c:v>7.3702507124738617</c:v>
                </c:pt>
                <c:pt idx="1">
                  <c:v>10.499003087444358</c:v>
                </c:pt>
                <c:pt idx="2">
                  <c:v>13.194893691702633</c:v>
                </c:pt>
                <c:pt idx="3">
                  <c:v>15.509669749794682</c:v>
                </c:pt>
                <c:pt idx="4">
                  <c:v>17.442798449229731</c:v>
                </c:pt>
                <c:pt idx="5">
                  <c:v>18.962241232755577</c:v>
                </c:pt>
                <c:pt idx="6">
                  <c:v>20.012537627862194</c:v>
                </c:pt>
                <c:pt idx="7">
                  <c:v>20.516978423923938</c:v>
                </c:pt>
                <c:pt idx="8">
                  <c:v>20.376517452844443</c:v>
                </c:pt>
                <c:pt idx="9">
                  <c:v>19.466324923680027</c:v>
                </c:pt>
                <c:pt idx="10">
                  <c:v>17.630089950686052</c:v>
                </c:pt>
                <c:pt idx="11">
                  <c:v>14.671653990281284</c:v>
                </c:pt>
                <c:pt idx="12">
                  <c:v>10.343059484359541</c:v>
                </c:pt>
                <c:pt idx="13">
                  <c:v>4.3274266460251809</c:v>
                </c:pt>
                <c:pt idx="14">
                  <c:v>-3.785996060298269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B8-4E84-AACA-5876E09D348F}"/>
            </c:ext>
          </c:extLst>
        </c:ser>
        <c:ser>
          <c:idx val="1"/>
          <c:order val="1"/>
          <c:tx>
            <c:v>h=2km, ściśliwość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masa'!$J$22:$J$36</c:f>
              <c:numCache>
                <c:formatCode>0.0</c:formatCode>
                <c:ptCount val="15"/>
                <c:pt idx="0">
                  <c:v>54.991165562477157</c:v>
                </c:pt>
                <c:pt idx="1">
                  <c:v>66.063225165157363</c:v>
                </c:pt>
                <c:pt idx="2">
                  <c:v>77.135284767837561</c:v>
                </c:pt>
                <c:pt idx="3">
                  <c:v>88.207344370517774</c:v>
                </c:pt>
                <c:pt idx="4">
                  <c:v>99.279403973197958</c:v>
                </c:pt>
                <c:pt idx="5">
                  <c:v>110.35146357587817</c:v>
                </c:pt>
                <c:pt idx="6">
                  <c:v>121.42352317855838</c:v>
                </c:pt>
                <c:pt idx="7">
                  <c:v>132.49558278123857</c:v>
                </c:pt>
                <c:pt idx="8">
                  <c:v>143.56764238391878</c:v>
                </c:pt>
                <c:pt idx="9">
                  <c:v>154.63970198659896</c:v>
                </c:pt>
                <c:pt idx="10">
                  <c:v>165.71176158927918</c:v>
                </c:pt>
                <c:pt idx="11">
                  <c:v>176.78382119195939</c:v>
                </c:pt>
                <c:pt idx="12">
                  <c:v>187.8558807946396</c:v>
                </c:pt>
                <c:pt idx="13">
                  <c:v>198.92794039731979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masa'!$O$22:$O$36</c:f>
              <c:numCache>
                <c:formatCode>0.00</c:formatCode>
                <c:ptCount val="15"/>
                <c:pt idx="0">
                  <c:v>5.9623482875690117</c:v>
                </c:pt>
                <c:pt idx="1">
                  <c:v>8.6279433757524959</c:v>
                </c:pt>
                <c:pt idx="2">
                  <c:v>10.910278353441688</c:v>
                </c:pt>
                <c:pt idx="3">
                  <c:v>12.856670737797735</c:v>
                </c:pt>
                <c:pt idx="4">
                  <c:v>14.473201768838477</c:v>
                </c:pt>
                <c:pt idx="5">
                  <c:v>15.739703237926438</c:v>
                </c:pt>
                <c:pt idx="6">
                  <c:v>16.616115270423947</c:v>
                </c:pt>
                <c:pt idx="7">
                  <c:v>17.04439702898884</c:v>
                </c:pt>
                <c:pt idx="8">
                  <c:v>16.947811552320999</c:v>
                </c:pt>
                <c:pt idx="9">
                  <c:v>16.228231087914313</c:v>
                </c:pt>
                <c:pt idx="10">
                  <c:v>14.761525300176732</c:v>
                </c:pt>
                <c:pt idx="11">
                  <c:v>12.390666936829433</c:v>
                </c:pt>
                <c:pt idx="12">
                  <c:v>8.9157574245469124</c:v>
                </c:pt>
                <c:pt idx="13">
                  <c:v>4.0795791288031555</c:v>
                </c:pt>
                <c:pt idx="14">
                  <c:v>-2.4536868673790679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B8-4E84-AACA-5876E09D348F}"/>
            </c:ext>
          </c:extLst>
        </c:ser>
        <c:ser>
          <c:idx val="2"/>
          <c:order val="2"/>
          <c:tx>
            <c:v>h=4km, ściśliwość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masa'!$J$40:$J$54</c:f>
              <c:numCache>
                <c:formatCode>0.0</c:formatCode>
                <c:ptCount val="15"/>
                <c:pt idx="0">
                  <c:v>60.760126838427631</c:v>
                </c:pt>
                <c:pt idx="1">
                  <c:v>71.420117778539947</c:v>
                </c:pt>
                <c:pt idx="2">
                  <c:v>82.080108718652255</c:v>
                </c:pt>
                <c:pt idx="3">
                  <c:v>92.740099658764564</c:v>
                </c:pt>
                <c:pt idx="4">
                  <c:v>103.40009059887689</c:v>
                </c:pt>
                <c:pt idx="5">
                  <c:v>114.06008153898918</c:v>
                </c:pt>
                <c:pt idx="6">
                  <c:v>124.7200724791015</c:v>
                </c:pt>
                <c:pt idx="7">
                  <c:v>135.38006341921383</c:v>
                </c:pt>
                <c:pt idx="8">
                  <c:v>146.04005435932612</c:v>
                </c:pt>
                <c:pt idx="9">
                  <c:v>156.70004529943844</c:v>
                </c:pt>
                <c:pt idx="10">
                  <c:v>167.36003623955074</c:v>
                </c:pt>
                <c:pt idx="11">
                  <c:v>178.02002717966306</c:v>
                </c:pt>
                <c:pt idx="12">
                  <c:v>188.68001811977538</c:v>
                </c:pt>
                <c:pt idx="13">
                  <c:v>199.34000905988768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masa'!$O$40:$O$54</c:f>
              <c:numCache>
                <c:formatCode>0.00</c:formatCode>
                <c:ptCount val="15"/>
                <c:pt idx="0">
                  <c:v>4.495963305476808</c:v>
                </c:pt>
                <c:pt idx="1">
                  <c:v>6.7542646205201482</c:v>
                </c:pt>
                <c:pt idx="2">
                  <c:v>8.6789257706901868</c:v>
                </c:pt>
                <c:pt idx="3">
                  <c:v>10.310853637487972</c:v>
                </c:pt>
                <c:pt idx="4">
                  <c:v>11.659717978010365</c:v>
                </c:pt>
                <c:pt idx="5">
                  <c:v>12.714083855207191</c:v>
                </c:pt>
                <c:pt idx="6">
                  <c:v>13.44605877838003</c:v>
                </c:pt>
                <c:pt idx="7">
                  <c:v>13.81281037812866</c:v>
                </c:pt>
                <c:pt idx="8">
                  <c:v>13.75606281403244</c:v>
                </c:pt>
                <c:pt idx="9">
                  <c:v>13.199996370712345</c:v>
                </c:pt>
                <c:pt idx="10">
                  <c:v>12.047553359245509</c:v>
                </c:pt>
                <c:pt idx="11">
                  <c:v>10.174825017291409</c:v>
                </c:pt>
                <c:pt idx="12">
                  <c:v>7.4228301988708276</c:v>
                </c:pt>
                <c:pt idx="13">
                  <c:v>3.5854755188470953</c:v>
                </c:pt>
                <c:pt idx="14">
                  <c:v>-1.6083770246258724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B8-4E84-AACA-5876E09D348F}"/>
            </c:ext>
          </c:extLst>
        </c:ser>
        <c:ser>
          <c:idx val="3"/>
          <c:order val="3"/>
          <c:tx>
            <c:v>h=6km, ściśliwość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masa'!$J$58:$J$72</c:f>
              <c:numCache>
                <c:formatCode>0.0</c:formatCode>
                <c:ptCount val="15"/>
                <c:pt idx="0">
                  <c:v>67.478052266794421</c:v>
                </c:pt>
                <c:pt idx="1">
                  <c:v>77.658191390594823</c:v>
                </c:pt>
                <c:pt idx="2">
                  <c:v>87.838330514395224</c:v>
                </c:pt>
                <c:pt idx="3">
                  <c:v>98.018469638195626</c:v>
                </c:pt>
                <c:pt idx="4">
                  <c:v>108.19860876199601</c:v>
                </c:pt>
                <c:pt idx="5">
                  <c:v>118.37874788579643</c:v>
                </c:pt>
                <c:pt idx="6">
                  <c:v>128.55888700959682</c:v>
                </c:pt>
                <c:pt idx="7">
                  <c:v>138.7390261333972</c:v>
                </c:pt>
                <c:pt idx="8">
                  <c:v>148.91916525719762</c:v>
                </c:pt>
                <c:pt idx="9">
                  <c:v>159.09930438099803</c:v>
                </c:pt>
                <c:pt idx="10">
                  <c:v>169.27944350479842</c:v>
                </c:pt>
                <c:pt idx="11">
                  <c:v>179.45958262859881</c:v>
                </c:pt>
                <c:pt idx="12">
                  <c:v>189.63972175239923</c:v>
                </c:pt>
                <c:pt idx="13">
                  <c:v>199.81986087619964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masa'!$O$58:$O$72</c:f>
              <c:numCache>
                <c:formatCode>0.00</c:formatCode>
                <c:ptCount val="15"/>
                <c:pt idx="0">
                  <c:v>2.9505792299741671</c:v>
                </c:pt>
                <c:pt idx="1">
                  <c:v>4.8527683199869056</c:v>
                </c:pt>
                <c:pt idx="2">
                  <c:v>6.4702485222944768</c:v>
                </c:pt>
                <c:pt idx="3">
                  <c:v>7.8363550341524988</c:v>
                </c:pt>
                <c:pt idx="4">
                  <c:v>8.9618752846644707</c:v>
                </c:pt>
                <c:pt idx="5">
                  <c:v>9.8413182374313344</c:v>
                </c:pt>
                <c:pt idx="6">
                  <c:v>10.456035873133004</c:v>
                </c:pt>
                <c:pt idx="7">
                  <c:v>10.775267238995767</c:v>
                </c:pt>
                <c:pt idx="8">
                  <c:v>10.755728867291857</c:v>
                </c:pt>
                <c:pt idx="9">
                  <c:v>10.339968440127919</c:v>
                </c:pt>
                <c:pt idx="10">
                  <c:v>9.4534344009145794</c:v>
                </c:pt>
                <c:pt idx="11">
                  <c:v>7.9999688249217744</c:v>
                </c:pt>
                <c:pt idx="12">
                  <c:v>5.8551332253766653</c:v>
                </c:pt>
                <c:pt idx="13">
                  <c:v>2.8563315302614809</c:v>
                </c:pt>
                <c:pt idx="14">
                  <c:v>-1.2120607176651916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B8-4E84-AACA-5876E09D348F}"/>
            </c:ext>
          </c:extLst>
        </c:ser>
        <c:ser>
          <c:idx val="4"/>
          <c:order val="4"/>
          <c:tx>
            <c:v>h=8km, ściśliwość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masa'!$J$76:$J$90</c:f>
              <c:numCache>
                <c:formatCode>0.0</c:formatCode>
                <c:ptCount val="15"/>
                <c:pt idx="0">
                  <c:v>75.356120124418212</c:v>
                </c:pt>
                <c:pt idx="1">
                  <c:v>84.973540115531193</c:v>
                </c:pt>
                <c:pt idx="2">
                  <c:v>94.590960106644175</c:v>
                </c:pt>
                <c:pt idx="3">
                  <c:v>104.20838009775716</c:v>
                </c:pt>
                <c:pt idx="4">
                  <c:v>113.82580008887015</c:v>
                </c:pt>
                <c:pt idx="5">
                  <c:v>123.44322007998312</c:v>
                </c:pt>
                <c:pt idx="6">
                  <c:v>133.06064007109612</c:v>
                </c:pt>
                <c:pt idx="7">
                  <c:v>142.67806006220911</c:v>
                </c:pt>
                <c:pt idx="8">
                  <c:v>152.29548005332208</c:v>
                </c:pt>
                <c:pt idx="9">
                  <c:v>161.91290004443505</c:v>
                </c:pt>
                <c:pt idx="10">
                  <c:v>171.53032003554804</c:v>
                </c:pt>
                <c:pt idx="11">
                  <c:v>181.14774002666104</c:v>
                </c:pt>
                <c:pt idx="12">
                  <c:v>190.76516001777401</c:v>
                </c:pt>
                <c:pt idx="13">
                  <c:v>200.382580008887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masa'!$O$76:$O$90</c:f>
              <c:numCache>
                <c:formatCode>0.00</c:formatCode>
                <c:ptCount val="15"/>
                <c:pt idx="0">
                  <c:v>1.2986050616650862</c:v>
                </c:pt>
                <c:pt idx="1">
                  <c:v>2.8906492480251651</c:v>
                </c:pt>
                <c:pt idx="2">
                  <c:v>4.2454903492987652</c:v>
                </c:pt>
                <c:pt idx="3">
                  <c:v>5.3885173513368496</c:v>
                </c:pt>
                <c:pt idx="4">
                  <c:v>6.3297127874424328</c:v>
                </c:pt>
                <c:pt idx="5">
                  <c:v>7.0671525211080697</c:v>
                </c:pt>
                <c:pt idx="6">
                  <c:v>7.5888267153990645</c:v>
                </c:pt>
                <c:pt idx="7">
                  <c:v>7.8732263710559476</c:v>
                </c:pt>
                <c:pt idx="8">
                  <c:v>7.8889454571028219</c:v>
                </c:pt>
                <c:pt idx="9">
                  <c:v>7.5933734689542423</c:v>
                </c:pt>
                <c:pt idx="10">
                  <c:v>6.9303921648466016</c:v>
                </c:pt>
                <c:pt idx="11">
                  <c:v>5.8268142914458707</c:v>
                </c:pt>
                <c:pt idx="12">
                  <c:v>4.1870666835777284</c:v>
                </c:pt>
                <c:pt idx="13">
                  <c:v>1.8852498246164235</c:v>
                </c:pt>
                <c:pt idx="14">
                  <c:v>-1.2469355447795512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B8-4E84-AACA-5876E09D348F}"/>
            </c:ext>
          </c:extLst>
        </c:ser>
        <c:ser>
          <c:idx val="5"/>
          <c:order val="5"/>
          <c:tx>
            <c:v>h=10km, ściśliwość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masa'!$J$94:$J$108</c:f>
              <c:numCache>
                <c:formatCode>0.0</c:formatCode>
                <c:ptCount val="15"/>
                <c:pt idx="0">
                  <c:v>84.65692418067519</c:v>
                </c:pt>
                <c:pt idx="1">
                  <c:v>93.610001024912677</c:v>
                </c:pt>
                <c:pt idx="2">
                  <c:v>102.56307786915016</c:v>
                </c:pt>
                <c:pt idx="3">
                  <c:v>111.51615471338765</c:v>
                </c:pt>
                <c:pt idx="4">
                  <c:v>120.46923155762514</c:v>
                </c:pt>
                <c:pt idx="5">
                  <c:v>129.42230840186261</c:v>
                </c:pt>
                <c:pt idx="6">
                  <c:v>138.37538524610011</c:v>
                </c:pt>
                <c:pt idx="7">
                  <c:v>147.32846209033761</c:v>
                </c:pt>
                <c:pt idx="8">
                  <c:v>156.28153893457508</c:v>
                </c:pt>
                <c:pt idx="9">
                  <c:v>165.23461577881255</c:v>
                </c:pt>
                <c:pt idx="10">
                  <c:v>174.18769262305005</c:v>
                </c:pt>
                <c:pt idx="11">
                  <c:v>183.14076946728756</c:v>
                </c:pt>
                <c:pt idx="12">
                  <c:v>192.09384631152503</c:v>
                </c:pt>
                <c:pt idx="13">
                  <c:v>201.0469231557625</c:v>
                </c:pt>
                <c:pt idx="14">
                  <c:v>210</c:v>
                </c:pt>
              </c:numCache>
            </c:numRef>
          </c:xVal>
          <c:yVal>
            <c:numRef>
              <c:f>'Metoda CIągu, zmienna masa'!$O$94:$O$108</c:f>
              <c:numCache>
                <c:formatCode>0.00</c:formatCode>
                <c:ptCount val="15"/>
                <c:pt idx="0">
                  <c:v>-0.49797685370082662</c:v>
                </c:pt>
                <c:pt idx="1">
                  <c:v>0.82390322625890877</c:v>
                </c:pt>
                <c:pt idx="2">
                  <c:v>1.9538793806970549</c:v>
                </c:pt>
                <c:pt idx="3">
                  <c:v>2.9096875398100739</c:v>
                </c:pt>
                <c:pt idx="4">
                  <c:v>3.699210777819526</c:v>
                </c:pt>
                <c:pt idx="5">
                  <c:v>4.322152708930755</c:v>
                </c:pt>
                <c:pt idx="6">
                  <c:v>4.7708918339990474</c:v>
                </c:pt>
                <c:pt idx="7">
                  <c:v>5.0306765727533129</c:v>
                </c:pt>
                <c:pt idx="8">
                  <c:v>5.0792053434599982</c:v>
                </c:pt>
                <c:pt idx="9">
                  <c:v>4.885566637150073</c:v>
                </c:pt>
                <c:pt idx="10">
                  <c:v>4.4084527002552703</c:v>
                </c:pt>
                <c:pt idx="11">
                  <c:v>3.593397445448872</c:v>
                </c:pt>
                <c:pt idx="12">
                  <c:v>2.3686425381776206</c:v>
                </c:pt>
                <c:pt idx="13">
                  <c:v>0.63892239187852484</c:v>
                </c:pt>
                <c:pt idx="14">
                  <c:v>-1.7240615686887151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FB8-4E84-AACA-5876E09D348F}"/>
            </c:ext>
          </c:extLst>
        </c:ser>
        <c:ser>
          <c:idx val="6"/>
          <c:order val="6"/>
          <c:tx>
            <c:v>h=12km, ściśliwość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masa'!$J$112:$J$126</c:f>
              <c:numCache>
                <c:formatCode>0.0</c:formatCode>
                <c:ptCount val="15"/>
                <c:pt idx="0">
                  <c:v>95.682662323055354</c:v>
                </c:pt>
                <c:pt idx="1">
                  <c:v>103.1339007285514</c:v>
                </c:pt>
                <c:pt idx="2">
                  <c:v>110.58513913404745</c:v>
                </c:pt>
                <c:pt idx="3">
                  <c:v>118.03637753954349</c:v>
                </c:pt>
                <c:pt idx="4">
                  <c:v>125.48761594503954</c:v>
                </c:pt>
                <c:pt idx="5">
                  <c:v>132.93885435053559</c:v>
                </c:pt>
                <c:pt idx="6">
                  <c:v>140.39009275603163</c:v>
                </c:pt>
                <c:pt idx="7">
                  <c:v>147.84133116152768</c:v>
                </c:pt>
                <c:pt idx="8">
                  <c:v>155.29256956702372</c:v>
                </c:pt>
                <c:pt idx="9">
                  <c:v>162.74380797251979</c:v>
                </c:pt>
                <c:pt idx="10">
                  <c:v>170.19504637801583</c:v>
                </c:pt>
                <c:pt idx="11">
                  <c:v>177.64628478351187</c:v>
                </c:pt>
                <c:pt idx="12">
                  <c:v>185.09752318900792</c:v>
                </c:pt>
                <c:pt idx="13">
                  <c:v>192.54876159450396</c:v>
                </c:pt>
                <c:pt idx="14">
                  <c:v>200</c:v>
                </c:pt>
              </c:numCache>
            </c:numRef>
          </c:xVal>
          <c:yVal>
            <c:numRef>
              <c:f>'Metoda CIągu, zmienna masa'!$O$112:$O$126</c:f>
              <c:numCache>
                <c:formatCode>0.00</c:formatCode>
                <c:ptCount val="15"/>
                <c:pt idx="0">
                  <c:v>-2.4908197657192126</c:v>
                </c:pt>
                <c:pt idx="1">
                  <c:v>-1.4743040924381174</c:v>
                </c:pt>
                <c:pt idx="2">
                  <c:v>-0.58344892812388938</c:v>
                </c:pt>
                <c:pt idx="3">
                  <c:v>0.19076854242620331</c:v>
                </c:pt>
                <c:pt idx="4">
                  <c:v>0.85317742875583669</c:v>
                </c:pt>
                <c:pt idx="5">
                  <c:v>1.4047975697248258</c:v>
                </c:pt>
                <c:pt idx="6">
                  <c:v>1.8430638558784707</c:v>
                </c:pt>
                <c:pt idx="7">
                  <c:v>2.1618389851459288</c:v>
                </c:pt>
                <c:pt idx="8">
                  <c:v>2.3512199217640668</c:v>
                </c:pt>
                <c:pt idx="9">
                  <c:v>2.3971169314604004</c:v>
                </c:pt>
                <c:pt idx="10">
                  <c:v>2.2805619261229753</c:v>
                </c:pt>
                <c:pt idx="11">
                  <c:v>1.9766698585710696</c:v>
                </c:pt>
                <c:pt idx="12">
                  <c:v>1.4531383685747512</c:v>
                </c:pt>
                <c:pt idx="13">
                  <c:v>0.66808021661716377</c:v>
                </c:pt>
                <c:pt idx="14">
                  <c:v>-0.4331154081246712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FB8-4E84-AACA-5876E09D348F}"/>
            </c:ext>
          </c:extLst>
        </c:ser>
        <c:ser>
          <c:idx val="7"/>
          <c:order val="7"/>
          <c:tx>
            <c:v>h=14km, ściśliwość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masa'!$J$130:$J$144</c:f>
              <c:numCache>
                <c:formatCode>0.0</c:formatCode>
                <c:ptCount val="15"/>
                <c:pt idx="0">
                  <c:v>108.5936341211916</c:v>
                </c:pt>
                <c:pt idx="1">
                  <c:v>114.40837454110648</c:v>
                </c:pt>
                <c:pt idx="2">
                  <c:v>120.22311496102137</c:v>
                </c:pt>
                <c:pt idx="3">
                  <c:v>126.03785538093626</c:v>
                </c:pt>
                <c:pt idx="4">
                  <c:v>131.85259580085113</c:v>
                </c:pt>
                <c:pt idx="5">
                  <c:v>137.66733622076603</c:v>
                </c:pt>
                <c:pt idx="6">
                  <c:v>143.48207664068093</c:v>
                </c:pt>
                <c:pt idx="7">
                  <c:v>149.2968170605958</c:v>
                </c:pt>
                <c:pt idx="8">
                  <c:v>155.11155748051067</c:v>
                </c:pt>
                <c:pt idx="9">
                  <c:v>160.92629790042557</c:v>
                </c:pt>
                <c:pt idx="10">
                  <c:v>166.74103832034046</c:v>
                </c:pt>
                <c:pt idx="11">
                  <c:v>172.55577874025533</c:v>
                </c:pt>
                <c:pt idx="12">
                  <c:v>178.37051916017023</c:v>
                </c:pt>
                <c:pt idx="13">
                  <c:v>184.18525958008513</c:v>
                </c:pt>
                <c:pt idx="14">
                  <c:v>190</c:v>
                </c:pt>
              </c:numCache>
            </c:numRef>
          </c:xVal>
          <c:yVal>
            <c:numRef>
              <c:f>'Metoda CIągu, zmienna masa'!$O$130:$O$144</c:f>
              <c:numCache>
                <c:formatCode>0.00</c:formatCode>
                <c:ptCount val="15"/>
                <c:pt idx="0">
                  <c:v>-4.7261966713904355</c:v>
                </c:pt>
                <c:pt idx="1">
                  <c:v>-3.9736126819577762</c:v>
                </c:pt>
                <c:pt idx="2">
                  <c:v>-3.2945890086727427</c:v>
                </c:pt>
                <c:pt idx="3">
                  <c:v>-2.6856406007271487</c:v>
                </c:pt>
                <c:pt idx="4">
                  <c:v>-2.1446940734442057</c:v>
                </c:pt>
                <c:pt idx="5">
                  <c:v>-1.6710429857913305</c:v>
                </c:pt>
                <c:pt idx="6">
                  <c:v>-1.2653702213242568</c:v>
                </c:pt>
                <c:pt idx="7">
                  <c:v>-0.92976652569278551</c:v>
                </c:pt>
                <c:pt idx="8">
                  <c:v>-0.66782369827923138</c:v>
                </c:pt>
                <c:pt idx="9">
                  <c:v>-0.48477933177478705</c:v>
                </c:pt>
                <c:pt idx="10">
                  <c:v>-0.38773043811490915</c:v>
                </c:pt>
                <c:pt idx="11">
                  <c:v>-0.38593610567447184</c:v>
                </c:pt>
                <c:pt idx="12">
                  <c:v>-0.49123388848388988</c:v>
                </c:pt>
                <c:pt idx="13">
                  <c:v>-0.71860767568725747</c:v>
                </c:pt>
                <c:pt idx="14">
                  <c:v>-1.0869621198908894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FB8-4E84-AACA-5876E09D348F}"/>
            </c:ext>
          </c:extLst>
        </c:ser>
        <c:ser>
          <c:idx val="9"/>
          <c:order val="8"/>
          <c:tx>
            <c:v>h=0km, bez ściśliwości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masa'!$J$148:$J$162</c:f>
              <c:numCache>
                <c:formatCode>0.0</c:formatCode>
                <c:ptCount val="15"/>
                <c:pt idx="0">
                  <c:v>50.003599658606447</c:v>
                </c:pt>
                <c:pt idx="1">
                  <c:v>63.57477111156313</c:v>
                </c:pt>
                <c:pt idx="2">
                  <c:v>77.145942564519814</c:v>
                </c:pt>
                <c:pt idx="3">
                  <c:v>90.71711401747649</c:v>
                </c:pt>
                <c:pt idx="4">
                  <c:v>104.28828547043318</c:v>
                </c:pt>
                <c:pt idx="5">
                  <c:v>117.85945692338986</c:v>
                </c:pt>
                <c:pt idx="6">
                  <c:v>131.43062837634653</c:v>
                </c:pt>
                <c:pt idx="7">
                  <c:v>145.00179982930322</c:v>
                </c:pt>
                <c:pt idx="8">
                  <c:v>158.57297128225991</c:v>
                </c:pt>
                <c:pt idx="9">
                  <c:v>172.14414273521658</c:v>
                </c:pt>
                <c:pt idx="10">
                  <c:v>185.71531418817327</c:v>
                </c:pt>
                <c:pt idx="11">
                  <c:v>199.28648564112996</c:v>
                </c:pt>
                <c:pt idx="12">
                  <c:v>212.85765709408662</c:v>
                </c:pt>
                <c:pt idx="13">
                  <c:v>226.42882854704331</c:v>
                </c:pt>
                <c:pt idx="14">
                  <c:v>240</c:v>
                </c:pt>
              </c:numCache>
            </c:numRef>
          </c:xVal>
          <c:yVal>
            <c:numRef>
              <c:f>'Metoda CIągu, zmienna masa'!$O$148:$O$162</c:f>
              <c:numCache>
                <c:formatCode>0.00</c:formatCode>
                <c:ptCount val="15"/>
                <c:pt idx="0">
                  <c:v>7.4204314442374431</c:v>
                </c:pt>
                <c:pt idx="1">
                  <c:v>11.049669579574266</c:v>
                </c:pt>
                <c:pt idx="2">
                  <c:v>14.091016677510662</c:v>
                </c:pt>
                <c:pt idx="3">
                  <c:v>16.623363660728348</c:v>
                </c:pt>
                <c:pt idx="4">
                  <c:v>18.651236946256194</c:v>
                </c:pt>
                <c:pt idx="5">
                  <c:v>20.142769131400129</c:v>
                </c:pt>
                <c:pt idx="6">
                  <c:v>21.044915868900333</c:v>
                </c:pt>
                <c:pt idx="7">
                  <c:v>21.289969337318755</c:v>
                </c:pt>
                <c:pt idx="8">
                  <c:v>20.79837447623704</c:v>
                </c:pt>
                <c:pt idx="9">
                  <c:v>19.479805331610653</c:v>
                </c:pt>
                <c:pt idx="10">
                  <c:v>17.233319072323038</c:v>
                </c:pt>
                <c:pt idx="11">
                  <c:v>13.946956639852674</c:v>
                </c:pt>
                <c:pt idx="12">
                  <c:v>9.4969593037034628</c:v>
                </c:pt>
                <c:pt idx="13">
                  <c:v>3.7466759623333377</c:v>
                </c:pt>
                <c:pt idx="14">
                  <c:v>-3.4548133010788673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FB8-4E84-AACA-5876E09D348F}"/>
            </c:ext>
          </c:extLst>
        </c:ser>
        <c:ser>
          <c:idx val="10"/>
          <c:order val="9"/>
          <c:tx>
            <c:v>h=2km, bez ściśliwości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masa'!$J$166:$J$180</c:f>
              <c:numCache>
                <c:formatCode>0.0</c:formatCode>
                <c:ptCount val="15"/>
                <c:pt idx="0">
                  <c:v>54.997802373144332</c:v>
                </c:pt>
                <c:pt idx="1">
                  <c:v>68.926530775062588</c:v>
                </c:pt>
                <c:pt idx="2">
                  <c:v>82.855259176980852</c:v>
                </c:pt>
                <c:pt idx="3">
                  <c:v>96.783987578899115</c:v>
                </c:pt>
                <c:pt idx="4">
                  <c:v>110.71271598081738</c:v>
                </c:pt>
                <c:pt idx="5">
                  <c:v>124.64144438273564</c:v>
                </c:pt>
                <c:pt idx="6">
                  <c:v>138.57017278465389</c:v>
                </c:pt>
                <c:pt idx="7">
                  <c:v>152.49890118657217</c:v>
                </c:pt>
                <c:pt idx="8">
                  <c:v>166.42762958849042</c:v>
                </c:pt>
                <c:pt idx="9">
                  <c:v>180.3563579904087</c:v>
                </c:pt>
                <c:pt idx="10">
                  <c:v>194.28508639232695</c:v>
                </c:pt>
                <c:pt idx="11">
                  <c:v>208.21381479424522</c:v>
                </c:pt>
                <c:pt idx="12">
                  <c:v>222.14254319616347</c:v>
                </c:pt>
                <c:pt idx="13">
                  <c:v>236.07127159808175</c:v>
                </c:pt>
                <c:pt idx="14">
                  <c:v>250</c:v>
                </c:pt>
              </c:numCache>
            </c:numRef>
          </c:xVal>
          <c:yVal>
            <c:numRef>
              <c:f>'Metoda CIągu, zmienna masa'!$O$166:$O$180</c:f>
              <c:numCache>
                <c:formatCode>0.00</c:formatCode>
                <c:ptCount val="15"/>
                <c:pt idx="0">
                  <c:v>6.0313575382436655</c:v>
                </c:pt>
                <c:pt idx="1">
                  <c:v>9.2744922129408316</c:v>
                </c:pt>
                <c:pt idx="2">
                  <c:v>11.941967909912769</c:v>
                </c:pt>
                <c:pt idx="3">
                  <c:v>14.116178384878824</c:v>
                </c:pt>
                <c:pt idx="4">
                  <c:v>15.810569850142658</c:v>
                </c:pt>
                <c:pt idx="5">
                  <c:v>17.003764787802723</c:v>
                </c:pt>
                <c:pt idx="6">
                  <c:v>17.653988314402035</c:v>
                </c:pt>
                <c:pt idx="7">
                  <c:v>17.705531190081363</c:v>
                </c:pt>
                <c:pt idx="8">
                  <c:v>17.091698158194212</c:v>
                </c:pt>
                <c:pt idx="9">
                  <c:v>15.736064297182113</c:v>
                </c:pt>
                <c:pt idx="10">
                  <c:v>13.552827247832465</c:v>
                </c:pt>
                <c:pt idx="11">
                  <c:v>10.446620853234647</c:v>
                </c:pt>
                <c:pt idx="12">
                  <c:v>6.3119646004359042</c:v>
                </c:pt>
                <c:pt idx="13">
                  <c:v>1.0324307203314493</c:v>
                </c:pt>
                <c:pt idx="14">
                  <c:v>-5.5204382120468454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FB8-4E84-AACA-5876E09D348F}"/>
            </c:ext>
          </c:extLst>
        </c:ser>
        <c:ser>
          <c:idx val="11"/>
          <c:order val="10"/>
          <c:tx>
            <c:v>h=4km, bez ściśliwości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masa'!$J$184:$J$198</c:f>
              <c:numCache>
                <c:formatCode>0.0</c:formatCode>
                <c:ptCount val="15"/>
                <c:pt idx="0">
                  <c:v>60.774822867479457</c:v>
                </c:pt>
                <c:pt idx="1">
                  <c:v>74.290906948373788</c:v>
                </c:pt>
                <c:pt idx="2">
                  <c:v>87.806991029268104</c:v>
                </c:pt>
                <c:pt idx="3">
                  <c:v>101.32307511016243</c:v>
                </c:pt>
                <c:pt idx="4">
                  <c:v>114.83915919105675</c:v>
                </c:pt>
                <c:pt idx="5">
                  <c:v>128.35524327195108</c:v>
                </c:pt>
                <c:pt idx="6">
                  <c:v>141.87132735284541</c:v>
                </c:pt>
                <c:pt idx="7">
                  <c:v>155.38741143373971</c:v>
                </c:pt>
                <c:pt idx="8">
                  <c:v>168.90349551463407</c:v>
                </c:pt>
                <c:pt idx="9">
                  <c:v>182.41957959552838</c:v>
                </c:pt>
                <c:pt idx="10">
                  <c:v>195.93566367642271</c:v>
                </c:pt>
                <c:pt idx="11">
                  <c:v>209.45174775731704</c:v>
                </c:pt>
                <c:pt idx="12">
                  <c:v>222.96783183821137</c:v>
                </c:pt>
                <c:pt idx="13">
                  <c:v>236.4839159191057</c:v>
                </c:pt>
                <c:pt idx="14">
                  <c:v>250</c:v>
                </c:pt>
              </c:numCache>
            </c:numRef>
          </c:xVal>
          <c:yVal>
            <c:numRef>
              <c:f>'Metoda CIągu, zmienna masa'!$O$184:$O$198</c:f>
              <c:numCache>
                <c:formatCode>0.00</c:formatCode>
                <c:ptCount val="15"/>
                <c:pt idx="0">
                  <c:v>4.5941052352232363</c:v>
                </c:pt>
                <c:pt idx="1">
                  <c:v>7.3639369749192412</c:v>
                </c:pt>
                <c:pt idx="2">
                  <c:v>9.6309660989828672</c:v>
                </c:pt>
                <c:pt idx="3">
                  <c:v>11.471733720203598</c:v>
                </c:pt>
                <c:pt idx="4">
                  <c:v>12.908625595070941</c:v>
                </c:pt>
                <c:pt idx="5">
                  <c:v>13.934939289695631</c:v>
                </c:pt>
                <c:pt idx="6">
                  <c:v>14.526491315183527</c:v>
                </c:pt>
                <c:pt idx="7">
                  <c:v>14.647223220020457</c:v>
                </c:pt>
                <c:pt idx="8">
                  <c:v>14.251963458480866</c:v>
                </c:pt>
                <c:pt idx="9">
                  <c:v>13.28775325013026</c:v>
                </c:pt>
                <c:pt idx="10">
                  <c:v>11.694383720202119</c:v>
                </c:pt>
                <c:pt idx="11">
                  <c:v>9.4044603526430546</c:v>
                </c:pt>
                <c:pt idx="12">
                  <c:v>6.3431539881021051</c:v>
                </c:pt>
                <c:pt idx="13">
                  <c:v>2.4277184838864638</c:v>
                </c:pt>
                <c:pt idx="14">
                  <c:v>-2.4331871735815236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FB8-4E84-AACA-5876E09D348F}"/>
            </c:ext>
          </c:extLst>
        </c:ser>
        <c:ser>
          <c:idx val="12"/>
          <c:order val="11"/>
          <c:tx>
            <c:v>h=6km, bez ściśliwości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masa'!$J$202:$J$216</c:f>
              <c:numCache>
                <c:formatCode>0.0</c:formatCode>
                <c:ptCount val="15"/>
                <c:pt idx="0">
                  <c:v>67.507098382792009</c:v>
                </c:pt>
                <c:pt idx="1">
                  <c:v>81.256591355449729</c:v>
                </c:pt>
                <c:pt idx="2">
                  <c:v>95.006084328107434</c:v>
                </c:pt>
                <c:pt idx="3">
                  <c:v>108.75557730076515</c:v>
                </c:pt>
                <c:pt idx="4">
                  <c:v>122.50507027342286</c:v>
                </c:pt>
                <c:pt idx="5">
                  <c:v>136.25456324608058</c:v>
                </c:pt>
                <c:pt idx="6">
                  <c:v>150.0040562187383</c:v>
                </c:pt>
                <c:pt idx="7">
                  <c:v>163.75354919139602</c:v>
                </c:pt>
                <c:pt idx="8">
                  <c:v>177.50304216405374</c:v>
                </c:pt>
                <c:pt idx="9">
                  <c:v>191.25253513671146</c:v>
                </c:pt>
                <c:pt idx="10">
                  <c:v>205.00202810936915</c:v>
                </c:pt>
                <c:pt idx="11">
                  <c:v>218.75152108202687</c:v>
                </c:pt>
                <c:pt idx="12">
                  <c:v>232.50101405468459</c:v>
                </c:pt>
                <c:pt idx="13">
                  <c:v>246.25050702734231</c:v>
                </c:pt>
                <c:pt idx="14">
                  <c:v>260</c:v>
                </c:pt>
              </c:numCache>
            </c:numRef>
          </c:xVal>
          <c:yVal>
            <c:numRef>
              <c:f>'Metoda CIągu, zmienna masa'!$O$202:$O$216</c:f>
              <c:numCache>
                <c:formatCode>0.00</c:formatCode>
                <c:ptCount val="15"/>
                <c:pt idx="0">
                  <c:v>3.0929758269251808</c:v>
                </c:pt>
                <c:pt idx="1">
                  <c:v>5.5543110462825993</c:v>
                </c:pt>
                <c:pt idx="2">
                  <c:v>7.5391942899459314</c:v>
                </c:pt>
                <c:pt idx="3">
                  <c:v>9.1223893899419153</c:v>
                </c:pt>
                <c:pt idx="4">
                  <c:v>10.331463734528578</c:v>
                </c:pt>
                <c:pt idx="5">
                  <c:v>11.167571590036756</c:v>
                </c:pt>
                <c:pt idx="6">
                  <c:v>11.615699441731646</c:v>
                </c:pt>
                <c:pt idx="7">
                  <c:v>11.649856719336304</c:v>
                </c:pt>
                <c:pt idx="8">
                  <c:v>11.235768597414845</c:v>
                </c:pt>
                <c:pt idx="9">
                  <c:v>10.332257855884164</c:v>
                </c:pt>
                <c:pt idx="10">
                  <c:v>8.8918921051395934</c:v>
                </c:pt>
                <c:pt idx="11">
                  <c:v>6.8611882541645359</c:v>
                </c:pt>
                <c:pt idx="12">
                  <c:v>4.1805258931385039</c:v>
                </c:pt>
                <c:pt idx="13">
                  <c:v>0.78384972833171684</c:v>
                </c:pt>
                <c:pt idx="14">
                  <c:v>-3.4017981804473965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FB8-4E84-AACA-5876E09D348F}"/>
            </c:ext>
          </c:extLst>
        </c:ser>
        <c:ser>
          <c:idx val="13"/>
          <c:order val="12"/>
          <c:tx>
            <c:v>h=8km, bez ściśliwości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masa'!$J$220:$J$234</c:f>
              <c:numCache>
                <c:formatCode>0.0</c:formatCode>
                <c:ptCount val="15"/>
                <c:pt idx="0">
                  <c:v>75.408472283559973</c:v>
                </c:pt>
                <c:pt idx="1">
                  <c:v>88.593581406162826</c:v>
                </c:pt>
                <c:pt idx="2">
                  <c:v>101.77869052876569</c:v>
                </c:pt>
                <c:pt idx="3">
                  <c:v>114.96379965136855</c:v>
                </c:pt>
                <c:pt idx="4">
                  <c:v>128.14890877397141</c:v>
                </c:pt>
                <c:pt idx="5">
                  <c:v>141.33401789657427</c:v>
                </c:pt>
                <c:pt idx="6">
                  <c:v>154.51912701917712</c:v>
                </c:pt>
                <c:pt idx="7">
                  <c:v>167.70423614177997</c:v>
                </c:pt>
                <c:pt idx="8">
                  <c:v>180.88934526438283</c:v>
                </c:pt>
                <c:pt idx="9">
                  <c:v>194.07445438698568</c:v>
                </c:pt>
                <c:pt idx="10">
                  <c:v>207.25956350958856</c:v>
                </c:pt>
                <c:pt idx="11">
                  <c:v>220.44467263219141</c:v>
                </c:pt>
                <c:pt idx="12">
                  <c:v>233.62978175479427</c:v>
                </c:pt>
                <c:pt idx="13">
                  <c:v>246.81489087739712</c:v>
                </c:pt>
                <c:pt idx="14">
                  <c:v>260</c:v>
                </c:pt>
              </c:numCache>
            </c:numRef>
          </c:xVal>
          <c:yVal>
            <c:numRef>
              <c:f>'Metoda CIągu, zmienna masa'!$O$220:$O$234</c:f>
              <c:numCache>
                <c:formatCode>0.00</c:formatCode>
                <c:ptCount val="15"/>
                <c:pt idx="0">
                  <c:v>1.5104827664983591</c:v>
                </c:pt>
                <c:pt idx="1">
                  <c:v>3.6080347921481848</c:v>
                </c:pt>
                <c:pt idx="2">
                  <c:v>5.3041227141843814</c:v>
                </c:pt>
                <c:pt idx="3">
                  <c:v>6.6623516912070553</c:v>
                </c:pt>
                <c:pt idx="4">
                  <c:v>7.7122732956668987</c:v>
                </c:pt>
                <c:pt idx="5">
                  <c:v>8.463005944470062</c:v>
                </c:pt>
                <c:pt idx="6">
                  <c:v>8.9106392452715344</c:v>
                </c:pt>
                <c:pt idx="7">
                  <c:v>9.0422908414317256</c:v>
                </c:pt>
                <c:pt idx="8">
                  <c:v>8.8383708083461361</c:v>
                </c:pt>
                <c:pt idx="9">
                  <c:v>8.2738448971163852</c:v>
                </c:pt>
                <c:pt idx="10">
                  <c:v>7.3189116831358092</c:v>
                </c:pt>
                <c:pt idx="11">
                  <c:v>5.9393172888374073</c:v>
                </c:pt>
                <c:pt idx="12">
                  <c:v>4.0964304766626878</c:v>
                </c:pt>
                <c:pt idx="13">
                  <c:v>1.7471471221434423</c:v>
                </c:pt>
                <c:pt idx="14">
                  <c:v>-1.1563380286563369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FB8-4E84-AACA-5876E09D348F}"/>
            </c:ext>
          </c:extLst>
        </c:ser>
        <c:ser>
          <c:idx val="14"/>
          <c:order val="13"/>
          <c:tx>
            <c:v>h=10km, bez ściśliwości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masa'!$J$238:$J$252</c:f>
              <c:numCache>
                <c:formatCode>0.0</c:formatCode>
                <c:ptCount val="15"/>
                <c:pt idx="0">
                  <c:v>84.758912726482023</c:v>
                </c:pt>
                <c:pt idx="1">
                  <c:v>97.990418960304737</c:v>
                </c:pt>
                <c:pt idx="2">
                  <c:v>111.22192519412745</c:v>
                </c:pt>
                <c:pt idx="3">
                  <c:v>124.45343142795016</c:v>
                </c:pt>
                <c:pt idx="4">
                  <c:v>137.68493766177286</c:v>
                </c:pt>
                <c:pt idx="5">
                  <c:v>150.91644389559559</c:v>
                </c:pt>
                <c:pt idx="6">
                  <c:v>164.14795012941829</c:v>
                </c:pt>
                <c:pt idx="7">
                  <c:v>177.37945636324099</c:v>
                </c:pt>
                <c:pt idx="8">
                  <c:v>190.61096259706372</c:v>
                </c:pt>
                <c:pt idx="9">
                  <c:v>203.84246883088645</c:v>
                </c:pt>
                <c:pt idx="10">
                  <c:v>217.07397506470915</c:v>
                </c:pt>
                <c:pt idx="11">
                  <c:v>230.30548129853184</c:v>
                </c:pt>
                <c:pt idx="12">
                  <c:v>243.53698753235454</c:v>
                </c:pt>
                <c:pt idx="13">
                  <c:v>256.7684937661773</c:v>
                </c:pt>
                <c:pt idx="14">
                  <c:v>270</c:v>
                </c:pt>
              </c:numCache>
            </c:numRef>
          </c:xVal>
          <c:yVal>
            <c:numRef>
              <c:f>'Metoda CIągu, zmienna masa'!$O$238:$O$252</c:f>
              <c:numCache>
                <c:formatCode>0.00</c:formatCode>
                <c:ptCount val="15"/>
                <c:pt idx="0">
                  <c:v>-0.17625820627653679</c:v>
                </c:pt>
                <c:pt idx="1">
                  <c:v>1.6901300794529088</c:v>
                </c:pt>
                <c:pt idx="2">
                  <c:v>3.1917998350332355</c:v>
                </c:pt>
                <c:pt idx="3">
                  <c:v>4.3865027622645894</c:v>
                </c:pt>
                <c:pt idx="4">
                  <c:v>5.3047589905295549</c:v>
                </c:pt>
                <c:pt idx="5">
                  <c:v>5.9599421407489368</c:v>
                </c:pt>
                <c:pt idx="6">
                  <c:v>6.3541452396842191</c:v>
                </c:pt>
                <c:pt idx="7">
                  <c:v>6.4815893523049448</c:v>
                </c:pt>
                <c:pt idx="8">
                  <c:v>6.3306284067224148</c:v>
                </c:pt>
                <c:pt idx="9">
                  <c:v>5.8849316011574802</c:v>
                </c:pt>
                <c:pt idx="10">
                  <c:v>5.1241684815684021</c:v>
                </c:pt>
                <c:pt idx="11">
                  <c:v>4.0243790814868685</c:v>
                </c:pt>
                <c:pt idx="12">
                  <c:v>2.5581344362064216</c:v>
                </c:pt>
                <c:pt idx="13">
                  <c:v>0.69454873495695568</c:v>
                </c:pt>
                <c:pt idx="14">
                  <c:v>-1.6008212204360281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FB8-4E84-AACA-5876E09D348F}"/>
            </c:ext>
          </c:extLst>
        </c:ser>
        <c:ser>
          <c:idx val="15"/>
          <c:order val="14"/>
          <c:tx>
            <c:v>h=12km, bez ściśliwości</c:v>
          </c:tx>
          <c:spPr>
            <a:ln w="19050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masa'!$J$256:$J$270</c:f>
              <c:numCache>
                <c:formatCode>0.0</c:formatCode>
                <c:ptCount val="15"/>
                <c:pt idx="0">
                  <c:v>95.905119267981505</c:v>
                </c:pt>
                <c:pt idx="1">
                  <c:v>109.05475360598282</c:v>
                </c:pt>
                <c:pt idx="2">
                  <c:v>122.20438794398414</c:v>
                </c:pt>
                <c:pt idx="3">
                  <c:v>135.35402228198546</c:v>
                </c:pt>
                <c:pt idx="4">
                  <c:v>148.5036566199868</c:v>
                </c:pt>
                <c:pt idx="5">
                  <c:v>161.65329095798813</c:v>
                </c:pt>
                <c:pt idx="6">
                  <c:v>174.80292529598944</c:v>
                </c:pt>
                <c:pt idx="7">
                  <c:v>187.95255963399075</c:v>
                </c:pt>
                <c:pt idx="8">
                  <c:v>201.10219397199208</c:v>
                </c:pt>
                <c:pt idx="9">
                  <c:v>214.25182830999341</c:v>
                </c:pt>
                <c:pt idx="10">
                  <c:v>227.40146264799472</c:v>
                </c:pt>
                <c:pt idx="11">
                  <c:v>240.55109698599603</c:v>
                </c:pt>
                <c:pt idx="12">
                  <c:v>253.70073132399739</c:v>
                </c:pt>
                <c:pt idx="13">
                  <c:v>266.85036566199869</c:v>
                </c:pt>
                <c:pt idx="14">
                  <c:v>280</c:v>
                </c:pt>
              </c:numCache>
            </c:numRef>
          </c:xVal>
          <c:yVal>
            <c:numRef>
              <c:f>'Metoda CIągu, zmienna masa'!$O$256:$O$270</c:f>
              <c:numCache>
                <c:formatCode>0.00</c:formatCode>
                <c:ptCount val="15"/>
                <c:pt idx="0">
                  <c:v>-1.992587573657663</c:v>
                </c:pt>
                <c:pt idx="1">
                  <c:v>-0.32547545112179771</c:v>
                </c:pt>
                <c:pt idx="2">
                  <c:v>1.0193548081776733</c:v>
                </c:pt>
                <c:pt idx="3">
                  <c:v>2.0921891960663968</c:v>
                </c:pt>
                <c:pt idx="4">
                  <c:v>2.922734226213219</c:v>
                </c:pt>
                <c:pt idx="5">
                  <c:v>3.5270281939514052</c:v>
                </c:pt>
                <c:pt idx="6">
                  <c:v>3.9117894145384553</c:v>
                </c:pt>
                <c:pt idx="7">
                  <c:v>4.0770983167547614</c:v>
                </c:pt>
                <c:pt idx="8">
                  <c:v>4.0180681828372915</c:v>
                </c:pt>
                <c:pt idx="9">
                  <c:v>3.7258879539719691</c:v>
                </c:pt>
                <c:pt idx="10">
                  <c:v>3.1884688999976776</c:v>
                </c:pt>
                <c:pt idx="11">
                  <c:v>2.3908331676222629</c:v>
                </c:pt>
                <c:pt idx="12">
                  <c:v>1.31532750470402</c:v>
                </c:pt>
                <c:pt idx="13">
                  <c:v>-5.8286897349208208E-2</c:v>
                </c:pt>
                <c:pt idx="14">
                  <c:v>-1.7528372226578621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FB8-4E84-AACA-5876E09D348F}"/>
            </c:ext>
          </c:extLst>
        </c:ser>
        <c:ser>
          <c:idx val="16"/>
          <c:order val="15"/>
          <c:tx>
            <c:v>h=14km, bez ściśliwości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'Metoda CIągu, zmienna masa'!$J$274:$J$288</c:f>
              <c:numCache>
                <c:formatCode>0.0</c:formatCode>
                <c:ptCount val="15"/>
                <c:pt idx="0">
                  <c:v>109.25978862609615</c:v>
                </c:pt>
                <c:pt idx="1">
                  <c:v>122.16980372423214</c:v>
                </c:pt>
                <c:pt idx="2">
                  <c:v>135.07981882236814</c:v>
                </c:pt>
                <c:pt idx="3">
                  <c:v>147.98983392050411</c:v>
                </c:pt>
                <c:pt idx="4">
                  <c:v>160.89984901864011</c:v>
                </c:pt>
                <c:pt idx="5">
                  <c:v>173.80986411677611</c:v>
                </c:pt>
                <c:pt idx="6">
                  <c:v>186.71987921491208</c:v>
                </c:pt>
                <c:pt idx="7">
                  <c:v>199.62989431304806</c:v>
                </c:pt>
                <c:pt idx="8">
                  <c:v>212.53990941118406</c:v>
                </c:pt>
                <c:pt idx="9">
                  <c:v>225.44992450932006</c:v>
                </c:pt>
                <c:pt idx="10">
                  <c:v>238.35993960745606</c:v>
                </c:pt>
                <c:pt idx="11">
                  <c:v>251.269954705592</c:v>
                </c:pt>
                <c:pt idx="12">
                  <c:v>264.179969803728</c:v>
                </c:pt>
                <c:pt idx="13">
                  <c:v>277.089984901864</c:v>
                </c:pt>
                <c:pt idx="14">
                  <c:v>290</c:v>
                </c:pt>
              </c:numCache>
            </c:numRef>
          </c:xVal>
          <c:yVal>
            <c:numRef>
              <c:f>'Metoda CIągu, zmienna masa'!$O$274:$O$288</c:f>
              <c:numCache>
                <c:formatCode>0.00</c:formatCode>
                <c:ptCount val="15"/>
                <c:pt idx="0">
                  <c:v>-3.9646476107517663</c:v>
                </c:pt>
                <c:pt idx="1">
                  <c:v>-2.4662994003600991</c:v>
                </c:pt>
                <c:pt idx="2">
                  <c:v>-1.243494821852305</c:v>
                </c:pt>
                <c:pt idx="3">
                  <c:v>-0.25456682359821631</c:v>
                </c:pt>
                <c:pt idx="4">
                  <c:v>0.52763570458657094</c:v>
                </c:pt>
                <c:pt idx="5">
                  <c:v>1.1200636276132583</c:v>
                </c:pt>
                <c:pt idx="6">
                  <c:v>1.5324184418371918</c:v>
                </c:pt>
                <c:pt idx="7">
                  <c:v>1.7690999722607754</c:v>
                </c:pt>
                <c:pt idx="8">
                  <c:v>1.830494060119348</c:v>
                </c:pt>
                <c:pt idx="9">
                  <c:v>1.7138264860497157</c:v>
                </c:pt>
                <c:pt idx="10">
                  <c:v>1.4137242612844962</c:v>
                </c:pt>
                <c:pt idx="11">
                  <c:v>0.92258729393033978</c:v>
                </c:pt>
                <c:pt idx="12">
                  <c:v>0.23081861000699294</c:v>
                </c:pt>
                <c:pt idx="13">
                  <c:v>-0.67303820211156007</c:v>
                </c:pt>
                <c:pt idx="14">
                  <c:v>-1.8022378161267048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FB8-4E84-AACA-5876E09D3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706799"/>
        <c:axId val="2018065423"/>
      </c:scatterChart>
      <c:valAx>
        <c:axId val="1379706799"/>
        <c:scaling>
          <c:orientation val="minMax"/>
          <c:max val="27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065423"/>
        <c:crosses val="autoZero"/>
        <c:crossBetween val="midCat"/>
        <c:majorUnit val="20"/>
      </c:valAx>
      <c:valAx>
        <c:axId val="2018065423"/>
        <c:scaling>
          <c:orientation val="minMax"/>
          <c:max val="22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</a:t>
                </a:r>
                <a:r>
                  <a:rPr lang="el-GR"/>
                  <a:t> [</a:t>
                </a:r>
                <a:r>
                  <a:rPr lang="pl-PL"/>
                  <a:t>m/s</a:t>
                </a:r>
                <a:r>
                  <a:rPr lang="el-GR"/>
                  <a:t>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970679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21</xdr:row>
      <xdr:rowOff>177437</xdr:rowOff>
    </xdr:from>
    <xdr:to>
      <xdr:col>11</xdr:col>
      <xdr:colOff>0</xdr:colOff>
      <xdr:row>43</xdr:row>
      <xdr:rowOff>125186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6DA07C9E-6266-4639-8403-4AC73538A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6532</xdr:colOff>
      <xdr:row>0</xdr:row>
      <xdr:rowOff>39189</xdr:rowOff>
    </xdr:from>
    <xdr:to>
      <xdr:col>11</xdr:col>
      <xdr:colOff>21772</xdr:colOff>
      <xdr:row>21</xdr:row>
      <xdr:rowOff>167640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1D9B6691-5A55-4E56-8AFB-2650FB7CB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443346</xdr:colOff>
      <xdr:row>104</xdr:row>
      <xdr:rowOff>27710</xdr:rowOff>
    </xdr:from>
    <xdr:to>
      <xdr:col>30</xdr:col>
      <xdr:colOff>62345</xdr:colOff>
      <xdr:row>143</xdr:row>
      <xdr:rowOff>29294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5944FBC-B26E-4136-BF75-0A39128E8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190995</xdr:colOff>
      <xdr:row>67</xdr:row>
      <xdr:rowOff>91044</xdr:rowOff>
    </xdr:from>
    <xdr:to>
      <xdr:col>18</xdr:col>
      <xdr:colOff>190995</xdr:colOff>
      <xdr:row>82</xdr:row>
      <xdr:rowOff>77190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4748509-B671-4A39-A911-A8173113E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271154</xdr:colOff>
      <xdr:row>68</xdr:row>
      <xdr:rowOff>0</xdr:rowOff>
    </xdr:from>
    <xdr:to>
      <xdr:col>24</xdr:col>
      <xdr:colOff>86097</xdr:colOff>
      <xdr:row>82</xdr:row>
      <xdr:rowOff>180110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A0288A7E-6504-4712-9277-8065128C5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175854</xdr:colOff>
      <xdr:row>68</xdr:row>
      <xdr:rowOff>34538</xdr:rowOff>
    </xdr:from>
    <xdr:to>
      <xdr:col>30</xdr:col>
      <xdr:colOff>56112</xdr:colOff>
      <xdr:row>83</xdr:row>
      <xdr:rowOff>20685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0B9EE4F5-5804-4525-88A6-2DBDC69BB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53439</xdr:colOff>
      <xdr:row>183</xdr:row>
      <xdr:rowOff>988</xdr:rowOff>
    </xdr:from>
    <xdr:to>
      <xdr:col>49</xdr:col>
      <xdr:colOff>118752</xdr:colOff>
      <xdr:row>222</xdr:row>
      <xdr:rowOff>53042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3C1009CB-5054-49B5-84D3-4ACD269D6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241762</xdr:colOff>
      <xdr:row>116</xdr:row>
      <xdr:rowOff>117070</xdr:rowOff>
    </xdr:from>
    <xdr:to>
      <xdr:col>9</xdr:col>
      <xdr:colOff>57794</xdr:colOff>
      <xdr:row>139</xdr:row>
      <xdr:rowOff>147550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EAAE68E5-29F5-413F-8E3A-87ED4B1CD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69273</xdr:colOff>
      <xdr:row>0</xdr:row>
      <xdr:rowOff>59575</xdr:rowOff>
    </xdr:from>
    <xdr:to>
      <xdr:col>49</xdr:col>
      <xdr:colOff>488373</xdr:colOff>
      <xdr:row>21</xdr:row>
      <xdr:rowOff>188026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5D9EAF9F-E8A7-4328-ABEA-34E82C5BF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41</xdr:col>
      <xdr:colOff>55418</xdr:colOff>
      <xdr:row>22</xdr:row>
      <xdr:rowOff>96982</xdr:rowOff>
    </xdr:from>
    <xdr:to>
      <xdr:col>49</xdr:col>
      <xdr:colOff>531321</xdr:colOff>
      <xdr:row>44</xdr:row>
      <xdr:rowOff>64127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A7943201-76FC-4073-8186-B8A98ED9A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49</xdr:col>
      <xdr:colOff>568037</xdr:colOff>
      <xdr:row>0</xdr:row>
      <xdr:rowOff>96981</xdr:rowOff>
    </xdr:from>
    <xdr:to>
      <xdr:col>58</xdr:col>
      <xdr:colOff>468977</xdr:colOff>
      <xdr:row>22</xdr:row>
      <xdr:rowOff>32854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844110F8-2903-4409-851B-F86EDE37F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49</xdr:col>
      <xdr:colOff>526473</xdr:colOff>
      <xdr:row>22</xdr:row>
      <xdr:rowOff>152401</xdr:rowOff>
    </xdr:from>
    <xdr:to>
      <xdr:col>58</xdr:col>
      <xdr:colOff>427413</xdr:colOff>
      <xdr:row>45</xdr:row>
      <xdr:rowOff>109748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27A33EEB-78F8-4BB0-BA5E-DA279D0B0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49</xdr:col>
      <xdr:colOff>512618</xdr:colOff>
      <xdr:row>45</xdr:row>
      <xdr:rowOff>152400</xdr:rowOff>
    </xdr:from>
    <xdr:to>
      <xdr:col>59</xdr:col>
      <xdr:colOff>192578</xdr:colOff>
      <xdr:row>68</xdr:row>
      <xdr:rowOff>2771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347177D8-C5B3-4AB0-85BE-66474D641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193963</xdr:colOff>
      <xdr:row>83</xdr:row>
      <xdr:rowOff>41564</xdr:rowOff>
    </xdr:from>
    <xdr:to>
      <xdr:col>24</xdr:col>
      <xdr:colOff>8906</xdr:colOff>
      <xdr:row>98</xdr:row>
      <xdr:rowOff>69274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5A73EDD9-9392-4D33-9FAC-73727D4E3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96982</xdr:colOff>
      <xdr:row>83</xdr:row>
      <xdr:rowOff>96982</xdr:rowOff>
    </xdr:from>
    <xdr:to>
      <xdr:col>29</xdr:col>
      <xdr:colOff>891640</xdr:colOff>
      <xdr:row>98</xdr:row>
      <xdr:rowOff>124692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F447A520-43E8-462A-A059-3EDD9DE8D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96982</xdr:colOff>
      <xdr:row>83</xdr:row>
      <xdr:rowOff>13855</xdr:rowOff>
    </xdr:from>
    <xdr:to>
      <xdr:col>18</xdr:col>
      <xdr:colOff>96982</xdr:colOff>
      <xdr:row>98</xdr:row>
      <xdr:rowOff>27710</xdr:rowOff>
    </xdr:to>
    <xdr:graphicFrame macro="">
      <xdr:nvGraphicFramePr>
        <xdr:cNvPr id="17" name="Wykres 16">
          <a:extLst>
            <a:ext uri="{FF2B5EF4-FFF2-40B4-BE49-F238E27FC236}">
              <a16:creationId xmlns:a16="http://schemas.microsoft.com/office/drawing/2014/main" id="{B7DE052F-F4DC-4057-86C6-0AE65CCED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457199</xdr:colOff>
      <xdr:row>143</xdr:row>
      <xdr:rowOff>83127</xdr:rowOff>
    </xdr:from>
    <xdr:to>
      <xdr:col>30</xdr:col>
      <xdr:colOff>76198</xdr:colOff>
      <xdr:row>182</xdr:row>
      <xdr:rowOff>84712</xdr:rowOff>
    </xdr:to>
    <xdr:graphicFrame macro="">
      <xdr:nvGraphicFramePr>
        <xdr:cNvPr id="18" name="Wykres 17">
          <a:extLst>
            <a:ext uri="{FF2B5EF4-FFF2-40B4-BE49-F238E27FC236}">
              <a16:creationId xmlns:a16="http://schemas.microsoft.com/office/drawing/2014/main" id="{CB99A7BB-DDD8-4126-B175-1C44D2819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429491</xdr:colOff>
      <xdr:row>183</xdr:row>
      <xdr:rowOff>0</xdr:rowOff>
    </xdr:from>
    <xdr:to>
      <xdr:col>30</xdr:col>
      <xdr:colOff>48490</xdr:colOff>
      <xdr:row>222</xdr:row>
      <xdr:rowOff>1585</xdr:rowOff>
    </xdr:to>
    <xdr:graphicFrame macro="">
      <xdr:nvGraphicFramePr>
        <xdr:cNvPr id="19" name="Wykres 18">
          <a:extLst>
            <a:ext uri="{FF2B5EF4-FFF2-40B4-BE49-F238E27FC236}">
              <a16:creationId xmlns:a16="http://schemas.microsoft.com/office/drawing/2014/main" id="{9A964A78-CF73-4B01-A7F2-40D422AEB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332510</xdr:colOff>
      <xdr:row>143</xdr:row>
      <xdr:rowOff>83128</xdr:rowOff>
    </xdr:from>
    <xdr:to>
      <xdr:col>51</xdr:col>
      <xdr:colOff>284018</xdr:colOff>
      <xdr:row>182</xdr:row>
      <xdr:rowOff>84713</xdr:rowOff>
    </xdr:to>
    <xdr:graphicFrame macro="">
      <xdr:nvGraphicFramePr>
        <xdr:cNvPr id="20" name="Wykres 19">
          <a:extLst>
            <a:ext uri="{FF2B5EF4-FFF2-40B4-BE49-F238E27FC236}">
              <a16:creationId xmlns:a16="http://schemas.microsoft.com/office/drawing/2014/main" id="{01350C61-04E2-4641-81E1-06568BFD8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30</xdr:col>
      <xdr:colOff>0</xdr:colOff>
      <xdr:row>105</xdr:row>
      <xdr:rowOff>0</xdr:rowOff>
    </xdr:from>
    <xdr:to>
      <xdr:col>51</xdr:col>
      <xdr:colOff>43543</xdr:colOff>
      <xdr:row>144</xdr:row>
      <xdr:rowOff>1584</xdr:rowOff>
    </xdr:to>
    <xdr:graphicFrame macro="">
      <xdr:nvGraphicFramePr>
        <xdr:cNvPr id="21" name="Wykres 20">
          <a:extLst>
            <a:ext uri="{FF2B5EF4-FFF2-40B4-BE49-F238E27FC236}">
              <a16:creationId xmlns:a16="http://schemas.microsoft.com/office/drawing/2014/main" id="{0666C130-CC21-4F67-BF80-70ED22282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175260</xdr:rowOff>
    </xdr:from>
    <xdr:to>
      <xdr:col>4</xdr:col>
      <xdr:colOff>731520</xdr:colOff>
      <xdr:row>55</xdr:row>
      <xdr:rowOff>182880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8187959-5A4A-4830-B8A6-EC8789677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137160</xdr:colOff>
      <xdr:row>16</xdr:row>
      <xdr:rowOff>76200</xdr:rowOff>
    </xdr:from>
    <xdr:to>
      <xdr:col>5</xdr:col>
      <xdr:colOff>114300</xdr:colOff>
      <xdr:row>36</xdr:row>
      <xdr:rowOff>91440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CB83209-0105-4C0B-BFAE-6D79D384A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 Iksra" connectionId="1" xr16:uid="{72ED1A28-7E7E-4E19-B54C-C58E3C452F4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2 Iksra" connectionId="2" xr16:uid="{42A24097-07F3-4E44-8139-29123969A80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1"/>
  <sheetViews>
    <sheetView tabSelected="1" topLeftCell="N14" zoomScale="70" zoomScaleNormal="70" workbookViewId="0">
      <selection activeCell="AB44" sqref="AB44"/>
    </sheetView>
  </sheetViews>
  <sheetFormatPr defaultRowHeight="14.4" x14ac:dyDescent="0.3"/>
  <cols>
    <col min="1" max="1" width="10.33203125" style="1" customWidth="1"/>
    <col min="2" max="3" width="10.33203125" style="2" customWidth="1"/>
    <col min="4" max="8" width="10.33203125" customWidth="1"/>
    <col min="14" max="28" width="11.5546875" customWidth="1"/>
    <col min="30" max="30" width="13.33203125" style="2" bestFit="1" customWidth="1"/>
    <col min="31" max="31" width="13.88671875" style="2" bestFit="1" customWidth="1"/>
    <col min="32" max="35" width="8.88671875" style="2"/>
    <col min="36" max="37" width="12.44140625" bestFit="1" customWidth="1"/>
  </cols>
  <sheetData>
    <row r="1" spans="1:41" ht="16.8" thickBot="1" x14ac:dyDescent="0.35">
      <c r="A1" s="7" t="s">
        <v>4</v>
      </c>
      <c r="B1" s="7">
        <v>9.81</v>
      </c>
      <c r="C1" s="7" t="s">
        <v>100</v>
      </c>
      <c r="AD1" s="2" t="s">
        <v>132</v>
      </c>
      <c r="AE1" s="2" t="s">
        <v>133</v>
      </c>
      <c r="AF1" s="73" t="s">
        <v>132</v>
      </c>
      <c r="AG1" s="74" t="s">
        <v>184</v>
      </c>
      <c r="AH1" s="2" t="s">
        <v>134</v>
      </c>
      <c r="AI1" s="2" t="s">
        <v>184</v>
      </c>
      <c r="AJ1" s="120" t="s">
        <v>185</v>
      </c>
      <c r="AK1" s="127"/>
      <c r="AL1" s="122" t="s">
        <v>132</v>
      </c>
      <c r="AM1" s="123" t="s">
        <v>186</v>
      </c>
      <c r="AN1" s="120" t="s">
        <v>134</v>
      </c>
      <c r="AO1" s="122" t="s">
        <v>186</v>
      </c>
    </row>
    <row r="2" spans="1:41" ht="16.8" thickBot="1" x14ac:dyDescent="0.4">
      <c r="A2" s="5" t="s">
        <v>35</v>
      </c>
      <c r="B2" s="7">
        <v>1.2255</v>
      </c>
      <c r="C2" s="7" t="s">
        <v>99</v>
      </c>
      <c r="AD2" s="75" t="s">
        <v>135</v>
      </c>
      <c r="AE2" s="76"/>
      <c r="AF2" s="77"/>
      <c r="AG2" s="78"/>
      <c r="AH2" s="76"/>
      <c r="AI2" s="76"/>
      <c r="AJ2" s="124"/>
      <c r="AK2" s="126"/>
      <c r="AL2" s="125"/>
      <c r="AM2" s="126"/>
    </row>
    <row r="3" spans="1:41" ht="16.2" x14ac:dyDescent="0.3">
      <c r="A3" s="4" t="s">
        <v>5</v>
      </c>
      <c r="B3" s="4">
        <v>17.5</v>
      </c>
      <c r="C3" s="4" t="s">
        <v>98</v>
      </c>
      <c r="N3" s="68" t="s">
        <v>9</v>
      </c>
      <c r="O3" s="69" t="s">
        <v>119</v>
      </c>
      <c r="P3" s="69" t="s">
        <v>120</v>
      </c>
      <c r="Q3" s="69" t="s">
        <v>121</v>
      </c>
      <c r="R3" s="69" t="s">
        <v>122</v>
      </c>
      <c r="S3" s="69" t="s">
        <v>123</v>
      </c>
      <c r="T3" s="69" t="s">
        <v>124</v>
      </c>
      <c r="U3" s="69" t="s">
        <v>125</v>
      </c>
      <c r="V3" s="69" t="s">
        <v>126</v>
      </c>
      <c r="W3" s="70" t="s">
        <v>127</v>
      </c>
      <c r="X3" s="70" t="s">
        <v>128</v>
      </c>
      <c r="Y3" s="70" t="s">
        <v>129</v>
      </c>
      <c r="Z3" s="70" t="s">
        <v>130</v>
      </c>
      <c r="AA3" s="70" t="s">
        <v>131</v>
      </c>
      <c r="AB3" s="71" t="s">
        <v>153</v>
      </c>
      <c r="AD3">
        <v>49.966777408637803</v>
      </c>
      <c r="AE3">
        <v>7.3582677165354298</v>
      </c>
      <c r="AF3" s="139">
        <v>45.966514459665099</v>
      </c>
      <c r="AG3" s="140">
        <v>8.9477611940298498</v>
      </c>
      <c r="AH3">
        <v>45.966514459665099</v>
      </c>
      <c r="AI3">
        <v>8.5373134328358198</v>
      </c>
      <c r="AJ3" s="139">
        <v>49.969183359013797</v>
      </c>
      <c r="AK3">
        <v>7.3949579831932697</v>
      </c>
      <c r="AL3" s="139">
        <v>49.966777408637803</v>
      </c>
      <c r="AM3" s="140">
        <v>7.3582677165354298</v>
      </c>
      <c r="AN3">
        <v>50.166112956810601</v>
      </c>
      <c r="AO3">
        <v>6.98622047244094</v>
      </c>
    </row>
    <row r="4" spans="1:41" ht="15.6" x14ac:dyDescent="0.3">
      <c r="A4" s="4" t="s">
        <v>31</v>
      </c>
      <c r="B4" s="4">
        <v>3840</v>
      </c>
      <c r="C4" s="4" t="s">
        <v>0</v>
      </c>
      <c r="N4" s="72">
        <v>0</v>
      </c>
      <c r="O4" s="79">
        <f>AD3</f>
        <v>49.966777408637803</v>
      </c>
      <c r="P4" s="79">
        <f>O4*3.6</f>
        <v>179.88039867109609</v>
      </c>
      <c r="Q4" s="79">
        <f>AD12</f>
        <v>204.98981670061099</v>
      </c>
      <c r="R4" s="79">
        <f>Q4*3.6</f>
        <v>737.96334012219961</v>
      </c>
      <c r="S4" s="79">
        <f>AE21</f>
        <v>20.5452755905511</v>
      </c>
      <c r="T4" s="79">
        <f>10*S4</f>
        <v>205.452755905511</v>
      </c>
      <c r="U4" s="79">
        <f>AD21</f>
        <v>134.68438538205899</v>
      </c>
      <c r="V4" s="79">
        <f>U4*3.6</f>
        <v>484.86378737541236</v>
      </c>
      <c r="W4" s="79">
        <f>AE30</f>
        <v>10.614754098360599</v>
      </c>
      <c r="X4" s="79">
        <f>10*W4</f>
        <v>106.14754098360599</v>
      </c>
      <c r="Y4" s="79">
        <f>AD30</f>
        <v>85.608108108108098</v>
      </c>
      <c r="Z4" s="79">
        <f>Y4*3.6</f>
        <v>308.18918918918916</v>
      </c>
      <c r="AA4" s="79">
        <f>1/S4</f>
        <v>4.8672990322889909E-2</v>
      </c>
      <c r="AB4" s="80">
        <v>0</v>
      </c>
      <c r="AD4">
        <v>55.149501661129499</v>
      </c>
      <c r="AE4">
        <v>5.9527559055118102</v>
      </c>
      <c r="AF4" s="139">
        <v>50.654490106544898</v>
      </c>
      <c r="AG4" s="140">
        <v>7.4701492537313401</v>
      </c>
      <c r="AH4">
        <v>50.654490106544898</v>
      </c>
      <c r="AI4">
        <v>7.0597014925373101</v>
      </c>
      <c r="AJ4" s="139">
        <v>54.776579352850497</v>
      </c>
      <c r="AK4">
        <v>5.9899159663865502</v>
      </c>
      <c r="AL4" s="139">
        <v>55.149501661129499</v>
      </c>
      <c r="AM4" s="140">
        <v>5.5807086614173196</v>
      </c>
      <c r="AN4">
        <v>55.149501661129499</v>
      </c>
      <c r="AO4">
        <v>5.5807086614173196</v>
      </c>
    </row>
    <row r="5" spans="1:41" ht="15.6" x14ac:dyDescent="0.3">
      <c r="A5" s="4" t="s">
        <v>37</v>
      </c>
      <c r="B5" s="4">
        <v>996</v>
      </c>
      <c r="C5" s="4" t="s">
        <v>0</v>
      </c>
      <c r="N5" s="72">
        <v>2000</v>
      </c>
      <c r="O5" s="79">
        <f t="shared" ref="O5:O10" si="0">AD4</f>
        <v>55.149501661129499</v>
      </c>
      <c r="P5" s="79">
        <f t="shared" ref="P5:P10" si="1">O5*3.6</f>
        <v>198.53820598006621</v>
      </c>
      <c r="Q5" s="79">
        <f t="shared" ref="Q5:Q10" si="2">AD13</f>
        <v>206.15071283095699</v>
      </c>
      <c r="R5" s="79">
        <f t="shared" ref="R5:R10" si="3">Q5*3.6</f>
        <v>742.14256619144521</v>
      </c>
      <c r="S5" s="79">
        <f t="shared" ref="S5:S10" si="4">AE22</f>
        <v>17.0728346456692</v>
      </c>
      <c r="T5" s="79">
        <f t="shared" ref="T5:T10" si="5">10*S5</f>
        <v>170.72834645669201</v>
      </c>
      <c r="U5" s="79">
        <f t="shared" ref="U5:U10" si="6">AD22</f>
        <v>138.272425249169</v>
      </c>
      <c r="V5" s="79">
        <f t="shared" ref="V5:V10" si="7">U5*3.6</f>
        <v>497.78073089700843</v>
      </c>
      <c r="W5" s="79">
        <f t="shared" ref="W5:W10" si="8">AE31</f>
        <v>8.3811475409835996</v>
      </c>
      <c r="X5" s="79">
        <f t="shared" ref="X5:X10" si="9">10*W5</f>
        <v>83.811475409835992</v>
      </c>
      <c r="Y5" s="79">
        <f t="shared" ref="Y5:Y10" si="10">AD31</f>
        <v>98.175675675675606</v>
      </c>
      <c r="Z5" s="79">
        <f t="shared" ref="Z5:Z10" si="11">Y5*3.6</f>
        <v>353.43243243243217</v>
      </c>
      <c r="AA5" s="79">
        <f t="shared" ref="AA5:AA10" si="12">1/S5</f>
        <v>5.8572581575003196E-2</v>
      </c>
      <c r="AB5" s="80">
        <f>(AA5+AA4)/2*(N5-N4)/6</f>
        <v>17.874261982982183</v>
      </c>
      <c r="AD5">
        <v>60.930232558139501</v>
      </c>
      <c r="AE5">
        <v>4.5059055118110196</v>
      </c>
      <c r="AF5" s="139">
        <v>56.1948249619482</v>
      </c>
      <c r="AG5" s="140">
        <v>5.91044776119403</v>
      </c>
      <c r="AH5">
        <v>56.1948249619482</v>
      </c>
      <c r="AI5">
        <v>5.5410447761194002</v>
      </c>
      <c r="AJ5" s="139">
        <v>60.693374422187901</v>
      </c>
      <c r="AK5">
        <v>4.6218487394957899</v>
      </c>
      <c r="AL5" s="139">
        <v>61.328903654485003</v>
      </c>
      <c r="AM5" s="140">
        <v>4.4232283464566899</v>
      </c>
      <c r="AN5">
        <v>61.328903654485003</v>
      </c>
      <c r="AO5">
        <v>4.0925196850393704</v>
      </c>
    </row>
    <row r="6" spans="1:41" ht="15.6" x14ac:dyDescent="0.3">
      <c r="A6" s="4" t="s">
        <v>43</v>
      </c>
      <c r="B6" s="4">
        <v>2640</v>
      </c>
      <c r="C6" s="4" t="s">
        <v>0</v>
      </c>
      <c r="N6" s="72">
        <v>4000</v>
      </c>
      <c r="O6" s="79">
        <f t="shared" si="0"/>
        <v>60.930232558139501</v>
      </c>
      <c r="P6" s="79">
        <f t="shared" si="1"/>
        <v>219.34883720930222</v>
      </c>
      <c r="Q6" s="79">
        <f t="shared" si="2"/>
        <v>207.18940936863501</v>
      </c>
      <c r="R6" s="79">
        <f t="shared" si="3"/>
        <v>745.88187372708603</v>
      </c>
      <c r="S6" s="79">
        <f t="shared" si="4"/>
        <v>13.807086614173199</v>
      </c>
      <c r="T6" s="79">
        <f t="shared" si="5"/>
        <v>138.07086614173198</v>
      </c>
      <c r="U6" s="79">
        <f t="shared" si="6"/>
        <v>142.65780730897001</v>
      </c>
      <c r="V6" s="79">
        <f t="shared" si="7"/>
        <v>513.568106312292</v>
      </c>
      <c r="W6" s="79">
        <f t="shared" si="8"/>
        <v>6.4959016393442601</v>
      </c>
      <c r="X6" s="79">
        <f t="shared" si="9"/>
        <v>64.959016393442596</v>
      </c>
      <c r="Y6" s="79">
        <f t="shared" si="10"/>
        <v>107.29729729729701</v>
      </c>
      <c r="Z6" s="79">
        <f t="shared" si="11"/>
        <v>386.27027027026924</v>
      </c>
      <c r="AA6" s="79">
        <f t="shared" si="12"/>
        <v>7.2426575420587544E-2</v>
      </c>
      <c r="AB6" s="80">
        <f>(AA6+AA5)/2*(N6-N5)/6+AB5</f>
        <v>39.70745481558064</v>
      </c>
      <c r="AD6">
        <v>67.508305647840501</v>
      </c>
      <c r="AE6">
        <v>2.9350393700787301</v>
      </c>
      <c r="AF6" s="139">
        <v>62.587519025875103</v>
      </c>
      <c r="AG6" s="140">
        <v>4.2686567164179001</v>
      </c>
      <c r="AH6">
        <v>62.587519025875103</v>
      </c>
      <c r="AI6">
        <v>3.9813432835820901</v>
      </c>
      <c r="AJ6" s="139">
        <v>67.349768875192595</v>
      </c>
      <c r="AK6">
        <v>3.1058823529411699</v>
      </c>
      <c r="AL6" s="139">
        <v>68.305647840531506</v>
      </c>
      <c r="AM6" s="140">
        <v>2.7696850393700698</v>
      </c>
      <c r="AN6">
        <v>68.305647840531506</v>
      </c>
      <c r="AO6">
        <v>2.4803149606299102</v>
      </c>
    </row>
    <row r="7" spans="1:41" ht="15.6" x14ac:dyDescent="0.3">
      <c r="A7" s="7" t="s">
        <v>39</v>
      </c>
      <c r="B7" s="7">
        <f>(B4+B6)/2</f>
        <v>3240</v>
      </c>
      <c r="C7" s="7" t="s">
        <v>0</v>
      </c>
      <c r="N7" s="72">
        <v>6000</v>
      </c>
      <c r="O7" s="79">
        <f t="shared" si="0"/>
        <v>67.508305647840501</v>
      </c>
      <c r="P7" s="79">
        <f t="shared" si="1"/>
        <v>243.02990033222582</v>
      </c>
      <c r="Q7" s="79">
        <f t="shared" si="2"/>
        <v>206.96537678207699</v>
      </c>
      <c r="R7" s="79">
        <f t="shared" si="3"/>
        <v>745.07535641547713</v>
      </c>
      <c r="S7" s="79">
        <f t="shared" si="4"/>
        <v>10.7480314960629</v>
      </c>
      <c r="T7" s="79">
        <f t="shared" si="5"/>
        <v>107.480314960629</v>
      </c>
      <c r="U7" s="79">
        <f t="shared" si="6"/>
        <v>147.04318936876999</v>
      </c>
      <c r="V7" s="79">
        <f t="shared" si="7"/>
        <v>529.35548172757194</v>
      </c>
      <c r="W7" s="79">
        <f t="shared" si="8"/>
        <v>4.7950819672131102</v>
      </c>
      <c r="X7" s="79">
        <f t="shared" si="9"/>
        <v>47.950819672131104</v>
      </c>
      <c r="Y7" s="79">
        <f t="shared" si="10"/>
        <v>119.05405405405401</v>
      </c>
      <c r="Z7" s="79">
        <f t="shared" si="11"/>
        <v>428.59459459459441</v>
      </c>
      <c r="AA7" s="79">
        <f t="shared" si="12"/>
        <v>9.3040293040293834E-2</v>
      </c>
      <c r="AB7" s="80">
        <f t="shared" ref="AB7:AB10" si="13">(AA7+AA6)/2*(N7-N6)/6+AB6</f>
        <v>67.28526622572754</v>
      </c>
      <c r="AD7">
        <v>75.481727574750806</v>
      </c>
      <c r="AE7">
        <v>1.2814960629921199</v>
      </c>
      <c r="AF7" s="139">
        <v>70.045662100456596</v>
      </c>
      <c r="AG7" s="140">
        <v>2.5858208955223798</v>
      </c>
      <c r="AH7">
        <v>69.832572298325701</v>
      </c>
      <c r="AI7">
        <v>2.29850746268656</v>
      </c>
      <c r="AJ7" s="139">
        <v>75.855161787365105</v>
      </c>
      <c r="AK7">
        <v>1.51596638655461</v>
      </c>
      <c r="AL7" s="139">
        <v>76.478405315614594</v>
      </c>
      <c r="AM7" s="140">
        <v>1.03346456692913</v>
      </c>
      <c r="AN7">
        <v>76.478405315614594</v>
      </c>
      <c r="AO7">
        <v>0.78543307086614</v>
      </c>
    </row>
    <row r="8" spans="1:41" x14ac:dyDescent="0.3">
      <c r="A8" s="7" t="s">
        <v>13</v>
      </c>
      <c r="B8" s="7">
        <f>B7*B1</f>
        <v>31784.400000000001</v>
      </c>
      <c r="C8" s="7" t="s">
        <v>28</v>
      </c>
      <c r="N8" s="72">
        <v>8000</v>
      </c>
      <c r="O8" s="79">
        <f t="shared" si="0"/>
        <v>75.481727574750806</v>
      </c>
      <c r="P8" s="79">
        <f t="shared" si="1"/>
        <v>271.73421926910294</v>
      </c>
      <c r="Q8" s="79">
        <f t="shared" si="2"/>
        <v>206.33401221995899</v>
      </c>
      <c r="R8" s="79">
        <f t="shared" si="3"/>
        <v>742.80244399185244</v>
      </c>
      <c r="S8" s="79">
        <f t="shared" si="4"/>
        <v>7.8956692913385798</v>
      </c>
      <c r="T8" s="79">
        <f t="shared" si="5"/>
        <v>78.956692913385794</v>
      </c>
      <c r="U8" s="79">
        <f t="shared" si="6"/>
        <v>152.62458471760701</v>
      </c>
      <c r="V8" s="79">
        <f t="shared" si="7"/>
        <v>549.44850498338519</v>
      </c>
      <c r="W8" s="79">
        <f t="shared" si="8"/>
        <v>3.25819672131147</v>
      </c>
      <c r="X8" s="79">
        <f t="shared" si="9"/>
        <v>32.581967213114702</v>
      </c>
      <c r="Y8" s="79">
        <f t="shared" si="10"/>
        <v>129.39189189189099</v>
      </c>
      <c r="Z8" s="79">
        <f t="shared" si="11"/>
        <v>465.8108108108076</v>
      </c>
      <c r="AA8" s="79">
        <f t="shared" si="12"/>
        <v>0.12665170780354032</v>
      </c>
      <c r="AB8" s="80">
        <f t="shared" si="13"/>
        <v>103.90059969969991</v>
      </c>
      <c r="AD8">
        <v>87.641196013289004</v>
      </c>
      <c r="AE8">
        <v>0</v>
      </c>
      <c r="AF8" s="139">
        <v>79.421613394216095</v>
      </c>
      <c r="AG8" s="140">
        <v>0.73880597014924998</v>
      </c>
      <c r="AH8">
        <v>79.2085235920852</v>
      </c>
      <c r="AI8">
        <v>0.41044776119402798</v>
      </c>
      <c r="AJ8" s="139">
        <v>86.579352850539294</v>
      </c>
      <c r="AK8">
        <v>0</v>
      </c>
      <c r="AL8" s="139">
        <v>93.023255813953398</v>
      </c>
      <c r="AM8" s="140">
        <v>0</v>
      </c>
      <c r="AN8">
        <v>95.813953488371993</v>
      </c>
      <c r="AO8">
        <v>0</v>
      </c>
    </row>
    <row r="9" spans="1:41" x14ac:dyDescent="0.3">
      <c r="A9" s="1" t="s">
        <v>156</v>
      </c>
      <c r="B9" s="2">
        <f>B4*B1</f>
        <v>37670.400000000001</v>
      </c>
      <c r="C9" s="2" t="s">
        <v>28</v>
      </c>
      <c r="N9" s="72">
        <v>10000</v>
      </c>
      <c r="O9" s="79">
        <f t="shared" si="0"/>
        <v>87.641196013289004</v>
      </c>
      <c r="P9" s="79">
        <f t="shared" si="1"/>
        <v>315.50830564784042</v>
      </c>
      <c r="Q9" s="79">
        <f t="shared" si="2"/>
        <v>203.64562118126199</v>
      </c>
      <c r="R9" s="79">
        <f t="shared" si="3"/>
        <v>733.12423625254314</v>
      </c>
      <c r="S9" s="79">
        <f t="shared" si="4"/>
        <v>5.08464566929133</v>
      </c>
      <c r="T9" s="79">
        <f t="shared" si="5"/>
        <v>50.8464566929133</v>
      </c>
      <c r="U9" s="79">
        <f t="shared" si="6"/>
        <v>159.60132890365401</v>
      </c>
      <c r="V9" s="79">
        <f t="shared" si="7"/>
        <v>574.56478405315443</v>
      </c>
      <c r="W9" s="79">
        <f t="shared" si="8"/>
        <v>1.92622950819672</v>
      </c>
      <c r="X9" s="79">
        <f t="shared" si="9"/>
        <v>19.262295081967199</v>
      </c>
      <c r="Y9" s="79">
        <f t="shared" si="10"/>
        <v>144.39189189189099</v>
      </c>
      <c r="Z9" s="79">
        <f t="shared" si="11"/>
        <v>519.81081081080754</v>
      </c>
      <c r="AA9" s="79">
        <f t="shared" si="12"/>
        <v>0.1966705381339531</v>
      </c>
      <c r="AB9" s="80">
        <f t="shared" si="13"/>
        <v>157.78764068928214</v>
      </c>
      <c r="AD9">
        <v>116.146179401993</v>
      </c>
      <c r="AE9">
        <v>0</v>
      </c>
      <c r="AF9" s="139">
        <v>102.00913242009101</v>
      </c>
      <c r="AG9" s="140">
        <v>0</v>
      </c>
      <c r="AH9">
        <v>106.27092846270899</v>
      </c>
      <c r="AI9">
        <v>4.1044776119402798E-2</v>
      </c>
      <c r="AJ9" s="139">
        <v>112.095531587057</v>
      </c>
      <c r="AK9">
        <v>0</v>
      </c>
      <c r="AL9" s="139">
        <v>146.245847176079</v>
      </c>
      <c r="AM9" s="140">
        <v>0</v>
      </c>
    </row>
    <row r="10" spans="1:41" ht="16.2" thickBot="1" x14ac:dyDescent="0.35">
      <c r="A10" s="4" t="s">
        <v>52</v>
      </c>
      <c r="B10" s="4">
        <v>9800</v>
      </c>
      <c r="C10" s="4" t="s">
        <v>28</v>
      </c>
      <c r="N10" s="72">
        <v>12000</v>
      </c>
      <c r="O10" s="79">
        <f t="shared" si="0"/>
        <v>116.146179401993</v>
      </c>
      <c r="P10" s="79">
        <f t="shared" si="1"/>
        <v>418.1262458471748</v>
      </c>
      <c r="Q10" s="79">
        <f t="shared" si="2"/>
        <v>197.16904276985699</v>
      </c>
      <c r="R10" s="79">
        <f t="shared" si="3"/>
        <v>709.80855397148514</v>
      </c>
      <c r="S10" s="79">
        <f t="shared" si="4"/>
        <v>2.3976377952755801</v>
      </c>
      <c r="T10" s="79">
        <f t="shared" si="5"/>
        <v>23.976377952755801</v>
      </c>
      <c r="U10" s="79">
        <f t="shared" si="6"/>
        <v>167.375415282392</v>
      </c>
      <c r="V10" s="79">
        <f t="shared" si="7"/>
        <v>602.55149501661117</v>
      </c>
      <c r="W10" s="79">
        <f t="shared" si="8"/>
        <v>0.84016393442622905</v>
      </c>
      <c r="X10" s="79">
        <f t="shared" si="9"/>
        <v>8.401639344262291</v>
      </c>
      <c r="Y10" s="79">
        <f t="shared" si="10"/>
        <v>160.81081081081001</v>
      </c>
      <c r="Z10" s="79">
        <f t="shared" si="11"/>
        <v>578.91891891891601</v>
      </c>
      <c r="AA10" s="79">
        <f t="shared" si="12"/>
        <v>0.41707717569786718</v>
      </c>
      <c r="AB10" s="80">
        <f t="shared" si="13"/>
        <v>260.07892632791885</v>
      </c>
      <c r="AF10" s="73"/>
      <c r="AG10" s="74"/>
      <c r="AJ10" s="139">
        <v>152.03389830508399</v>
      </c>
      <c r="AK10">
        <v>0</v>
      </c>
      <c r="AL10" s="139"/>
      <c r="AM10" s="140"/>
    </row>
    <row r="11" spans="1:41" ht="15.6" x14ac:dyDescent="0.3">
      <c r="A11" s="4" t="s">
        <v>51</v>
      </c>
      <c r="B11" s="4">
        <v>8200</v>
      </c>
      <c r="C11" s="4" t="s">
        <v>28</v>
      </c>
      <c r="N11" s="2">
        <f>AD40</f>
        <v>13600</v>
      </c>
      <c r="O11" s="2"/>
      <c r="P11" s="2">
        <v>620</v>
      </c>
      <c r="Q11" s="2"/>
      <c r="R11" s="2">
        <f>P11</f>
        <v>620</v>
      </c>
      <c r="S11" s="2"/>
      <c r="T11" s="2">
        <v>0</v>
      </c>
      <c r="U11" s="2"/>
      <c r="V11" s="2">
        <f>R11</f>
        <v>620</v>
      </c>
      <c r="W11" s="2"/>
      <c r="X11" s="2">
        <v>0</v>
      </c>
      <c r="Y11" s="2"/>
      <c r="Z11" s="2">
        <f>R11</f>
        <v>620</v>
      </c>
      <c r="AA11" s="2"/>
      <c r="AB11" s="2">
        <v>1100</v>
      </c>
      <c r="AD11" s="119" t="s">
        <v>136</v>
      </c>
      <c r="AE11" s="76"/>
      <c r="AF11" s="77"/>
      <c r="AG11" s="78"/>
      <c r="AH11" s="76"/>
      <c r="AI11" s="76"/>
      <c r="AJ11" s="124"/>
      <c r="AK11" s="125"/>
      <c r="AL11" s="124"/>
      <c r="AM11" s="126"/>
      <c r="AN11" s="125"/>
      <c r="AO11" s="125"/>
    </row>
    <row r="12" spans="1:41" ht="16.2" thickBot="1" x14ac:dyDescent="0.35">
      <c r="A12" s="4" t="s">
        <v>44</v>
      </c>
      <c r="B12" s="4">
        <f>14600/60</f>
        <v>243.33333333333334</v>
      </c>
      <c r="C12" s="4" t="s">
        <v>27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D12">
        <v>204.98981670061099</v>
      </c>
      <c r="AE12">
        <v>4.9377160990857498E-5</v>
      </c>
      <c r="AF12" s="139">
        <v>204.78758881150799</v>
      </c>
      <c r="AG12" s="140">
        <v>-9.6129115226384302E-5</v>
      </c>
      <c r="AH12">
        <v>205.594778806584</v>
      </c>
      <c r="AI12">
        <v>-9.6129115226384302E-5</v>
      </c>
      <c r="AJ12" s="139">
        <v>233.75963020030801</v>
      </c>
      <c r="AK12">
        <v>0</v>
      </c>
      <c r="AL12" s="139">
        <v>203.84</v>
      </c>
      <c r="AM12" s="140">
        <v>0</v>
      </c>
      <c r="AN12">
        <v>205.18960209424</v>
      </c>
      <c r="AO12">
        <v>4.0499999999999902E-3</v>
      </c>
    </row>
    <row r="13" spans="1:41" ht="15.6" x14ac:dyDescent="0.3">
      <c r="A13" s="7" t="s">
        <v>58</v>
      </c>
      <c r="B13" s="7">
        <v>340.3</v>
      </c>
      <c r="C13" s="7" t="s">
        <v>55</v>
      </c>
      <c r="N13" s="68" t="s">
        <v>9</v>
      </c>
      <c r="O13" s="69" t="s">
        <v>119</v>
      </c>
      <c r="P13" s="69" t="s">
        <v>120</v>
      </c>
      <c r="Q13" s="69" t="s">
        <v>121</v>
      </c>
      <c r="R13" s="69" t="s">
        <v>122</v>
      </c>
      <c r="S13" s="69" t="s">
        <v>123</v>
      </c>
      <c r="T13" s="69" t="s">
        <v>124</v>
      </c>
      <c r="U13" s="69" t="s">
        <v>125</v>
      </c>
      <c r="V13" s="69" t="s">
        <v>126</v>
      </c>
      <c r="W13" s="70" t="s">
        <v>127</v>
      </c>
      <c r="X13" s="70" t="s">
        <v>128</v>
      </c>
      <c r="Y13" s="70" t="s">
        <v>129</v>
      </c>
      <c r="Z13" s="70" t="s">
        <v>130</v>
      </c>
      <c r="AA13" s="70" t="s">
        <v>131</v>
      </c>
      <c r="AB13" s="71" t="s">
        <v>154</v>
      </c>
      <c r="AD13">
        <v>206.15071283095699</v>
      </c>
      <c r="AE13">
        <v>8.1821626486048004E-5</v>
      </c>
      <c r="AF13" s="139">
        <v>205.766521358728</v>
      </c>
      <c r="AG13" s="140">
        <v>-9.6129115226384302E-5</v>
      </c>
      <c r="AH13">
        <v>206.95154496852001</v>
      </c>
      <c r="AI13">
        <v>-9.6129115226384302E-5</v>
      </c>
      <c r="AJ13" s="139">
        <v>238.56702619414401</v>
      </c>
      <c r="AK13">
        <v>0</v>
      </c>
      <c r="AL13" s="139">
        <v>204.70468431771801</v>
      </c>
      <c r="AM13" s="140">
        <v>7.7618055226635495E-5</v>
      </c>
      <c r="AN13">
        <v>205.358041884816</v>
      </c>
      <c r="AO13">
        <v>4.1499999999999896E-3</v>
      </c>
    </row>
    <row r="14" spans="1:41" ht="15.6" x14ac:dyDescent="0.3">
      <c r="A14" s="4" t="s">
        <v>45</v>
      </c>
      <c r="B14" s="4">
        <v>5.1340000000000003</v>
      </c>
      <c r="C14" s="4" t="s">
        <v>8</v>
      </c>
      <c r="N14" s="72">
        <v>0</v>
      </c>
      <c r="O14" s="79">
        <f>AF3</f>
        <v>45.966514459665099</v>
      </c>
      <c r="P14" s="79">
        <f>O14*3.6</f>
        <v>165.47945205479436</v>
      </c>
      <c r="Q14" s="79">
        <f>AF12</f>
        <v>204.78758881150799</v>
      </c>
      <c r="R14" s="79">
        <f>Q14*3.6</f>
        <v>737.23531972142882</v>
      </c>
      <c r="S14" s="79">
        <f>AG21</f>
        <v>21.384328358208901</v>
      </c>
      <c r="T14" s="79">
        <f>10*S14</f>
        <v>213.84328358208901</v>
      </c>
      <c r="U14" s="79">
        <f>AF21</f>
        <v>124.170471841704</v>
      </c>
      <c r="V14" s="79">
        <f>U14*3.6</f>
        <v>447.0136986301344</v>
      </c>
      <c r="W14" s="79">
        <f>AG30</f>
        <v>12.6428571428571</v>
      </c>
      <c r="X14" s="79">
        <f>10*W14</f>
        <v>126.42857142857099</v>
      </c>
      <c r="Y14" s="79">
        <f>AF30</f>
        <v>67.269938650306699</v>
      </c>
      <c r="Z14" s="79">
        <f>Y14*3.6</f>
        <v>242.17177914110411</v>
      </c>
      <c r="AA14" s="79">
        <f>1/S14</f>
        <v>4.6763217588553598E-2</v>
      </c>
      <c r="AB14" s="80">
        <v>0</v>
      </c>
      <c r="AD14">
        <v>207.18940936863501</v>
      </c>
      <c r="AE14">
        <v>5.5771325723485902E-5</v>
      </c>
      <c r="AF14" s="139">
        <v>206.31609752558799</v>
      </c>
      <c r="AG14" s="140">
        <v>1.04809670781857E-4</v>
      </c>
      <c r="AH14">
        <v>207.07176475502001</v>
      </c>
      <c r="AI14">
        <v>-9.6129115226384302E-5</v>
      </c>
      <c r="AJ14" s="139">
        <v>243.744221879815</v>
      </c>
      <c r="AK14">
        <v>0</v>
      </c>
      <c r="AL14" s="139">
        <v>204.62321792260599</v>
      </c>
      <c r="AM14" s="140">
        <v>7.7381234310612196E-5</v>
      </c>
      <c r="AN14">
        <v>205.82722513089001</v>
      </c>
      <c r="AO14">
        <v>4.0999999999999899E-3</v>
      </c>
    </row>
    <row r="15" spans="1:41" ht="15.6" x14ac:dyDescent="0.3">
      <c r="A15" s="4" t="s">
        <v>46</v>
      </c>
      <c r="B15" s="4">
        <v>1.533E-2</v>
      </c>
      <c r="C15" s="4" t="s">
        <v>8</v>
      </c>
      <c r="N15" s="72">
        <v>2000</v>
      </c>
      <c r="O15" s="79">
        <f t="shared" ref="O15:O20" si="14">AF4</f>
        <v>50.654490106544898</v>
      </c>
      <c r="P15" s="79">
        <f t="shared" ref="P15:P20" si="15">O15*3.6</f>
        <v>182.35616438356163</v>
      </c>
      <c r="Q15" s="79">
        <f t="shared" ref="Q15:Q20" si="16">AF13</f>
        <v>205.766521358728</v>
      </c>
      <c r="R15" s="79">
        <f t="shared" ref="R15:R20" si="17">Q15*3.6</f>
        <v>740.75947689142083</v>
      </c>
      <c r="S15" s="79">
        <f t="shared" ref="S15:S20" si="18">AG22</f>
        <v>17.731343283582</v>
      </c>
      <c r="T15" s="79">
        <f t="shared" ref="T15:T20" si="19">10*S15</f>
        <v>177.31343283581998</v>
      </c>
      <c r="U15" s="79">
        <f t="shared" ref="U15:U20" si="20">AF22</f>
        <v>125.875190258751</v>
      </c>
      <c r="V15" s="79">
        <f t="shared" ref="V15:V20" si="21">U15*3.6</f>
        <v>453.15068493150363</v>
      </c>
      <c r="W15" s="79">
        <f t="shared" ref="W15:W20" si="22">AG31</f>
        <v>9.9047619047618998</v>
      </c>
      <c r="X15" s="79">
        <f t="shared" ref="X15:X20" si="23">10*W15</f>
        <v>99.047619047618994</v>
      </c>
      <c r="Y15" s="79">
        <f t="shared" ref="Y15:Y20" si="24">AF31</f>
        <v>75</v>
      </c>
      <c r="Z15" s="79">
        <f t="shared" ref="Z15:Z20" si="25">Y15*3.6</f>
        <v>270</v>
      </c>
      <c r="AA15" s="79">
        <f t="shared" ref="AA15:AA20" si="26">1/S15</f>
        <v>5.6397306397306682E-2</v>
      </c>
      <c r="AB15" s="80">
        <f>(AA15+AA14)/2*(N15-N14)/6</f>
        <v>17.193420664310047</v>
      </c>
      <c r="AD15">
        <v>206.96537678207699</v>
      </c>
      <c r="AE15">
        <v>5.5120068204421698E-5</v>
      </c>
      <c r="AF15" s="139">
        <v>206.110006463015</v>
      </c>
      <c r="AG15" s="140">
        <v>-9.6129115226384302E-5</v>
      </c>
      <c r="AH15">
        <v>207.604166666666</v>
      </c>
      <c r="AI15">
        <v>-2.9706790123462602E-4</v>
      </c>
      <c r="AJ15" s="139">
        <v>248.921417565485</v>
      </c>
      <c r="AK15">
        <v>0</v>
      </c>
      <c r="AL15" s="139">
        <v>204.41955193482599</v>
      </c>
      <c r="AM15" s="140">
        <v>4.7719414578694103E-5</v>
      </c>
      <c r="AN15">
        <v>206.30366492146501</v>
      </c>
      <c r="AO15">
        <v>4.0999999999999899E-3</v>
      </c>
    </row>
    <row r="16" spans="1:41" ht="15.6" x14ac:dyDescent="0.35">
      <c r="A16" s="1" t="s">
        <v>101</v>
      </c>
      <c r="B16" s="2">
        <v>1.405</v>
      </c>
      <c r="C16" s="2" t="s">
        <v>8</v>
      </c>
      <c r="N16" s="72">
        <v>4000</v>
      </c>
      <c r="O16" s="79">
        <f t="shared" si="14"/>
        <v>56.1948249619482</v>
      </c>
      <c r="P16" s="79">
        <f t="shared" si="15"/>
        <v>202.30136986301352</v>
      </c>
      <c r="Q16" s="79">
        <f t="shared" si="16"/>
        <v>206.31609752558799</v>
      </c>
      <c r="R16" s="79">
        <f t="shared" si="17"/>
        <v>742.73795109211676</v>
      </c>
      <c r="S16" s="79">
        <f t="shared" si="18"/>
        <v>14.406716417910401</v>
      </c>
      <c r="T16" s="79">
        <f t="shared" si="19"/>
        <v>144.067164179104</v>
      </c>
      <c r="U16" s="79">
        <f t="shared" si="20"/>
        <v>129.497716894977</v>
      </c>
      <c r="V16" s="79">
        <f t="shared" si="21"/>
        <v>466.19178082191723</v>
      </c>
      <c r="W16" s="79">
        <f t="shared" si="22"/>
        <v>7.5714285714285703</v>
      </c>
      <c r="X16" s="79">
        <f t="shared" si="23"/>
        <v>75.714285714285708</v>
      </c>
      <c r="Y16" s="79">
        <f t="shared" si="24"/>
        <v>84.018404907975395</v>
      </c>
      <c r="Z16" s="79">
        <f t="shared" si="25"/>
        <v>302.46625766871142</v>
      </c>
      <c r="AA16" s="79">
        <f t="shared" si="26"/>
        <v>6.9412069412069635E-2</v>
      </c>
      <c r="AB16" s="80">
        <f>(AA16+AA15)/2*(N16-N15)/6+AB15</f>
        <v>38.161649965872769</v>
      </c>
      <c r="AD16">
        <v>206.33401221995899</v>
      </c>
      <c r="AE16">
        <v>5.3284706105240901E-5</v>
      </c>
      <c r="AF16" s="139">
        <v>204.59867200414999</v>
      </c>
      <c r="AG16" s="140">
        <v>1.04809670781857E-4</v>
      </c>
      <c r="AH16">
        <v>207.22633305195001</v>
      </c>
      <c r="AI16">
        <v>-9.6129115226384302E-5</v>
      </c>
      <c r="AJ16" s="139">
        <v>254.83821263482201</v>
      </c>
      <c r="AK16">
        <v>0</v>
      </c>
      <c r="AL16" s="139">
        <v>203.31975560081401</v>
      </c>
      <c r="AM16" s="140">
        <v>7.3592099654238701E-5</v>
      </c>
      <c r="AN16">
        <v>202.32356020942399</v>
      </c>
      <c r="AO16">
        <v>4.0999999999999899E-3</v>
      </c>
    </row>
    <row r="17" spans="1:41" ht="15.6" x14ac:dyDescent="0.3">
      <c r="A17" s="4" t="s">
        <v>47</v>
      </c>
      <c r="B17" s="4">
        <v>6.2309999999999999</v>
      </c>
      <c r="C17" s="4" t="s">
        <v>26</v>
      </c>
      <c r="N17" s="72">
        <v>6000</v>
      </c>
      <c r="O17" s="79">
        <f t="shared" si="14"/>
        <v>62.587519025875103</v>
      </c>
      <c r="P17" s="79">
        <f t="shared" si="15"/>
        <v>225.31506849315036</v>
      </c>
      <c r="Q17" s="79">
        <f t="shared" si="16"/>
        <v>206.110006463015</v>
      </c>
      <c r="R17" s="79">
        <f t="shared" si="17"/>
        <v>741.99602326685397</v>
      </c>
      <c r="S17" s="79">
        <f t="shared" si="18"/>
        <v>11.164179104477601</v>
      </c>
      <c r="T17" s="79">
        <f t="shared" si="19"/>
        <v>111.641791044776</v>
      </c>
      <c r="U17" s="79">
        <f t="shared" si="20"/>
        <v>132.48097412480899</v>
      </c>
      <c r="V17" s="79">
        <f t="shared" si="21"/>
        <v>476.93150684931237</v>
      </c>
      <c r="W17" s="79">
        <f t="shared" si="22"/>
        <v>5.5238095238095202</v>
      </c>
      <c r="X17" s="79">
        <f t="shared" si="23"/>
        <v>55.238095238095198</v>
      </c>
      <c r="Y17" s="79">
        <f t="shared" si="24"/>
        <v>93.680981595092007</v>
      </c>
      <c r="Z17" s="79">
        <f t="shared" si="25"/>
        <v>337.25153374233122</v>
      </c>
      <c r="AA17" s="79">
        <f t="shared" si="26"/>
        <v>8.9572192513369078E-2</v>
      </c>
      <c r="AB17" s="80">
        <f t="shared" ref="AB17:AB20" si="27">(AA17+AA16)/2*(N17-N16)/6+AB16</f>
        <v>64.659026953445888</v>
      </c>
      <c r="AD17">
        <v>203.64562118126199</v>
      </c>
      <c r="AE17">
        <v>7.4539383318332098E-5</v>
      </c>
      <c r="AF17" s="139">
        <v>200.40815373184199</v>
      </c>
      <c r="AG17" s="140">
        <v>-9.6129115226384302E-5</v>
      </c>
      <c r="AH17">
        <v>203.22473158700001</v>
      </c>
      <c r="AI17">
        <v>-9.6129115226384302E-5</v>
      </c>
      <c r="AJ17" s="139">
        <v>260.75500770415999</v>
      </c>
      <c r="AK17">
        <v>0</v>
      </c>
      <c r="AL17" s="139">
        <v>200.427698574338</v>
      </c>
      <c r="AM17" s="140">
        <v>3.6115189693552203E-5</v>
      </c>
      <c r="AN17">
        <v>190.40540540540499</v>
      </c>
      <c r="AO17">
        <v>0</v>
      </c>
    </row>
    <row r="18" spans="1:41" ht="15.6" x14ac:dyDescent="0.3">
      <c r="A18" s="7" t="s">
        <v>57</v>
      </c>
      <c r="B18" s="7">
        <v>288.14999999999998</v>
      </c>
      <c r="C18" s="7" t="s">
        <v>56</v>
      </c>
      <c r="N18" s="72">
        <v>8000</v>
      </c>
      <c r="O18" s="79">
        <f t="shared" si="14"/>
        <v>70.045662100456596</v>
      </c>
      <c r="P18" s="79">
        <f t="shared" si="15"/>
        <v>252.16438356164375</v>
      </c>
      <c r="Q18" s="79">
        <f t="shared" si="16"/>
        <v>204.59867200414999</v>
      </c>
      <c r="R18" s="79">
        <f t="shared" si="17"/>
        <v>736.55521921493994</v>
      </c>
      <c r="S18" s="79">
        <f t="shared" si="18"/>
        <v>8.1679104477611908</v>
      </c>
      <c r="T18" s="79">
        <f t="shared" si="19"/>
        <v>81.679104477611901</v>
      </c>
      <c r="U18" s="79">
        <f t="shared" si="20"/>
        <v>136.10350076103501</v>
      </c>
      <c r="V18" s="79">
        <f t="shared" si="21"/>
        <v>489.97260273972603</v>
      </c>
      <c r="W18" s="79">
        <f t="shared" si="22"/>
        <v>3.7619047619047601</v>
      </c>
      <c r="X18" s="79">
        <f t="shared" si="23"/>
        <v>37.619047619047599</v>
      </c>
      <c r="Y18" s="79">
        <f t="shared" si="24"/>
        <v>104.41717791411</v>
      </c>
      <c r="Z18" s="79">
        <f t="shared" si="25"/>
        <v>375.90184049079602</v>
      </c>
      <c r="AA18" s="79">
        <f t="shared" si="26"/>
        <v>0.12243033348560992</v>
      </c>
      <c r="AB18" s="80">
        <f t="shared" si="27"/>
        <v>99.992781286609045</v>
      </c>
      <c r="AD18">
        <v>197.16904276985699</v>
      </c>
      <c r="AE18">
        <v>2.66423530526204E-5</v>
      </c>
      <c r="AF18" s="139">
        <v>189.60554720199701</v>
      </c>
      <c r="AG18" s="140">
        <v>-9.6129115226384302E-5</v>
      </c>
      <c r="AH18">
        <v>184.126959788611</v>
      </c>
      <c r="AI18">
        <v>-9.6129115226384302E-5</v>
      </c>
      <c r="AJ18" s="139">
        <v>266.302003081664</v>
      </c>
      <c r="AK18">
        <v>0</v>
      </c>
      <c r="AL18" s="139">
        <v>170</v>
      </c>
      <c r="AM18" s="140">
        <v>4.1976507365129903E-5</v>
      </c>
    </row>
    <row r="19" spans="1:41" ht="15" thickBot="1" x14ac:dyDescent="0.35">
      <c r="A19" s="8" t="s">
        <v>22</v>
      </c>
      <c r="B19" s="4">
        <v>1</v>
      </c>
      <c r="C19" s="9" t="s">
        <v>49</v>
      </c>
      <c r="N19" s="72">
        <v>10000</v>
      </c>
      <c r="O19" s="79">
        <f t="shared" si="14"/>
        <v>79.421613394216095</v>
      </c>
      <c r="P19" s="79">
        <f t="shared" si="15"/>
        <v>285.91780821917797</v>
      </c>
      <c r="Q19" s="79">
        <f t="shared" si="16"/>
        <v>200.40815373184199</v>
      </c>
      <c r="R19" s="79">
        <f t="shared" si="17"/>
        <v>721.46935343463122</v>
      </c>
      <c r="S19" s="79">
        <f t="shared" si="18"/>
        <v>5.2126865671641802</v>
      </c>
      <c r="T19" s="79">
        <f t="shared" si="19"/>
        <v>52.126865671641802</v>
      </c>
      <c r="U19" s="79">
        <f t="shared" si="20"/>
        <v>139.51293759512899</v>
      </c>
      <c r="V19" s="79">
        <f t="shared" si="21"/>
        <v>502.24657534246438</v>
      </c>
      <c r="W19" s="79">
        <f t="shared" si="22"/>
        <v>2.2380952380952301</v>
      </c>
      <c r="X19" s="79">
        <f t="shared" si="23"/>
        <v>22.380952380952301</v>
      </c>
      <c r="Y19" s="79">
        <f t="shared" si="24"/>
        <v>118.37423312883401</v>
      </c>
      <c r="Z19" s="79">
        <f t="shared" si="25"/>
        <v>426.14723926380242</v>
      </c>
      <c r="AA19" s="79">
        <f t="shared" si="26"/>
        <v>0.19183965640658551</v>
      </c>
      <c r="AB19" s="80">
        <f t="shared" si="27"/>
        <v>152.37111293530828</v>
      </c>
      <c r="AD19" s="122"/>
      <c r="AE19" s="122"/>
      <c r="AF19" s="120"/>
      <c r="AG19" s="123"/>
      <c r="AH19" s="122"/>
      <c r="AI19" s="122"/>
      <c r="AJ19" s="141">
        <v>267.78120184899802</v>
      </c>
      <c r="AK19" s="121">
        <v>0</v>
      </c>
      <c r="AL19" s="141"/>
      <c r="AM19" s="127"/>
      <c r="AN19" s="121"/>
      <c r="AO19" s="121"/>
    </row>
    <row r="20" spans="1:41" ht="15.6" x14ac:dyDescent="0.3">
      <c r="A20" s="4" t="s">
        <v>48</v>
      </c>
      <c r="B20" s="4">
        <v>-1.42</v>
      </c>
      <c r="C20" s="9" t="s">
        <v>49</v>
      </c>
      <c r="N20" s="72">
        <v>12000</v>
      </c>
      <c r="O20" s="79">
        <f t="shared" si="14"/>
        <v>102.00913242009101</v>
      </c>
      <c r="P20" s="79">
        <f t="shared" si="15"/>
        <v>367.23287671232765</v>
      </c>
      <c r="Q20" s="79">
        <f t="shared" si="16"/>
        <v>189.60554720199701</v>
      </c>
      <c r="R20" s="79">
        <f t="shared" si="17"/>
        <v>682.57996992718927</v>
      </c>
      <c r="S20" s="79">
        <f t="shared" si="18"/>
        <v>2.2164179104477499</v>
      </c>
      <c r="T20" s="79">
        <f t="shared" si="19"/>
        <v>22.164179104477498</v>
      </c>
      <c r="U20" s="79">
        <f t="shared" si="20"/>
        <v>145.692541856925</v>
      </c>
      <c r="V20" s="79">
        <f t="shared" si="21"/>
        <v>524.49315068493001</v>
      </c>
      <c r="W20" s="79">
        <f t="shared" si="22"/>
        <v>0.88095238095238104</v>
      </c>
      <c r="X20" s="79">
        <f t="shared" si="23"/>
        <v>8.8095238095238102</v>
      </c>
      <c r="Y20" s="79">
        <f t="shared" si="24"/>
        <v>135.98159509202401</v>
      </c>
      <c r="Z20" s="79">
        <f t="shared" si="25"/>
        <v>489.53374233128642</v>
      </c>
      <c r="AA20" s="79">
        <f t="shared" si="26"/>
        <v>0.45117845117845345</v>
      </c>
      <c r="AB20" s="80">
        <f t="shared" si="27"/>
        <v>259.54079753281474</v>
      </c>
      <c r="AD20" s="142" t="s">
        <v>137</v>
      </c>
      <c r="AF20" s="73"/>
      <c r="AG20" s="74"/>
      <c r="AJ20" s="139"/>
      <c r="AL20" s="139"/>
      <c r="AM20" s="140"/>
    </row>
    <row r="21" spans="1:41" x14ac:dyDescent="0.3">
      <c r="A21" s="4"/>
      <c r="B21" s="4"/>
      <c r="C21" s="4"/>
      <c r="N21" s="2">
        <f>AF40</f>
        <v>13390</v>
      </c>
      <c r="O21" s="2"/>
      <c r="P21" s="2">
        <v>550</v>
      </c>
      <c r="Q21" s="2"/>
      <c r="R21" s="2">
        <f>P21</f>
        <v>550</v>
      </c>
      <c r="S21" s="2"/>
      <c r="T21" s="2">
        <v>0</v>
      </c>
      <c r="U21" s="2"/>
      <c r="V21" s="2">
        <f>R21</f>
        <v>550</v>
      </c>
      <c r="W21" s="2"/>
      <c r="X21" s="2">
        <v>0</v>
      </c>
      <c r="Y21" s="2"/>
      <c r="Z21" s="2">
        <f>R21</f>
        <v>550</v>
      </c>
      <c r="AA21" s="2"/>
      <c r="AB21" s="2">
        <f>AB11</f>
        <v>1100</v>
      </c>
      <c r="AD21">
        <v>134.68438538205899</v>
      </c>
      <c r="AE21">
        <v>20.5452755905511</v>
      </c>
      <c r="AF21" s="139">
        <v>124.170471841704</v>
      </c>
      <c r="AG21" s="140">
        <v>21.384328358208901</v>
      </c>
      <c r="AH21">
        <v>129.07153729071501</v>
      </c>
      <c r="AI21">
        <v>21.548507462686501</v>
      </c>
      <c r="AJ21" s="139">
        <v>142.78890600924399</v>
      </c>
      <c r="AK21">
        <v>21.3344537815126</v>
      </c>
      <c r="AL21" s="139">
        <v>125.91362126245799</v>
      </c>
      <c r="AM21" s="140">
        <v>17.4448818897637</v>
      </c>
      <c r="AN21">
        <v>129.102990033222</v>
      </c>
      <c r="AO21">
        <v>17.734251968503902</v>
      </c>
    </row>
    <row r="22" spans="1:41" ht="16.2" thickBot="1" x14ac:dyDescent="0.35">
      <c r="A22" s="7" t="s">
        <v>41</v>
      </c>
      <c r="B22" s="7">
        <f>B4/(B10/1000)</f>
        <v>391.83673469387753</v>
      </c>
      <c r="C22" s="7"/>
      <c r="AD22">
        <v>138.272425249169</v>
      </c>
      <c r="AE22">
        <v>17.0728346456692</v>
      </c>
      <c r="AF22" s="139">
        <v>125.875190258751</v>
      </c>
      <c r="AG22" s="140">
        <v>17.731343283582</v>
      </c>
      <c r="AH22">
        <v>131.415525114155</v>
      </c>
      <c r="AI22">
        <v>17.977611940298502</v>
      </c>
      <c r="AJ22" s="139">
        <v>149.44530046224901</v>
      </c>
      <c r="AK22">
        <v>17.858823529411701</v>
      </c>
      <c r="AL22" s="139">
        <v>128.30564784053101</v>
      </c>
      <c r="AM22" s="140">
        <v>14.3444881889763</v>
      </c>
      <c r="AN22">
        <v>134.48504983388699</v>
      </c>
      <c r="AO22">
        <v>14.509842519685</v>
      </c>
    </row>
    <row r="23" spans="1:41" ht="15.6" x14ac:dyDescent="0.3">
      <c r="A23" s="7" t="s">
        <v>36</v>
      </c>
      <c r="B23" s="7">
        <f>0.022*B25</f>
        <v>18.48</v>
      </c>
      <c r="C23" s="7"/>
      <c r="N23" s="68" t="s">
        <v>9</v>
      </c>
      <c r="O23" s="69" t="s">
        <v>119</v>
      </c>
      <c r="P23" s="69" t="s">
        <v>120</v>
      </c>
      <c r="Q23" s="69" t="s">
        <v>121</v>
      </c>
      <c r="R23" s="69" t="s">
        <v>122</v>
      </c>
      <c r="S23" s="69" t="s">
        <v>123</v>
      </c>
      <c r="T23" s="69" t="s">
        <v>124</v>
      </c>
      <c r="U23" s="69" t="s">
        <v>125</v>
      </c>
      <c r="V23" s="69" t="s">
        <v>126</v>
      </c>
      <c r="W23" s="70" t="s">
        <v>127</v>
      </c>
      <c r="X23" s="70" t="s">
        <v>128</v>
      </c>
      <c r="Y23" s="70" t="s">
        <v>129</v>
      </c>
      <c r="Z23" s="70" t="s">
        <v>130</v>
      </c>
      <c r="AA23" s="70" t="s">
        <v>131</v>
      </c>
      <c r="AB23" s="71" t="s">
        <v>154</v>
      </c>
      <c r="AD23">
        <v>142.65780730897001</v>
      </c>
      <c r="AE23">
        <v>13.807086614173199</v>
      </c>
      <c r="AF23" s="139">
        <v>129.497716894977</v>
      </c>
      <c r="AG23" s="140">
        <v>14.406716417910401</v>
      </c>
      <c r="AH23">
        <v>135.251141552511</v>
      </c>
      <c r="AI23">
        <v>14.570895522388</v>
      </c>
      <c r="AJ23" s="139">
        <v>156.84129429892101</v>
      </c>
      <c r="AK23">
        <v>14.6789915966386</v>
      </c>
      <c r="AL23" s="139">
        <v>132.69102990033201</v>
      </c>
      <c r="AM23" s="140">
        <v>11.3267716535433</v>
      </c>
      <c r="AN23">
        <v>138.870431893687</v>
      </c>
      <c r="AO23">
        <v>11.1614173228346</v>
      </c>
    </row>
    <row r="24" spans="1:41" ht="15.6" x14ac:dyDescent="0.3">
      <c r="A24" s="7" t="s">
        <v>42</v>
      </c>
      <c r="B24" s="7">
        <f>B23/B11</f>
        <v>2.2536585365853659E-3</v>
      </c>
      <c r="C24" s="7"/>
      <c r="N24" s="72">
        <v>0</v>
      </c>
      <c r="O24" s="79">
        <f>AH3</f>
        <v>45.966514459665099</v>
      </c>
      <c r="P24" s="79">
        <f>O24*3.6</f>
        <v>165.47945205479436</v>
      </c>
      <c r="Q24" s="79">
        <f>AH12</f>
        <v>205.594778806584</v>
      </c>
      <c r="R24" s="79">
        <f>Q24*3.6</f>
        <v>740.14120370370244</v>
      </c>
      <c r="S24" s="79">
        <f>AI21</f>
        <v>21.548507462686501</v>
      </c>
      <c r="T24" s="79">
        <f>10*S24</f>
        <v>215.48507462686501</v>
      </c>
      <c r="U24" s="79">
        <f>AH21</f>
        <v>129.07153729071501</v>
      </c>
      <c r="V24" s="79">
        <f>U24*3.6</f>
        <v>464.65753424657407</v>
      </c>
      <c r="W24" s="79">
        <f>AI30</f>
        <v>12.2380952380952</v>
      </c>
      <c r="X24" s="79">
        <f>10*W24</f>
        <v>122.380952380952</v>
      </c>
      <c r="Y24" s="79">
        <f>AH30</f>
        <v>72.4233128834355</v>
      </c>
      <c r="Z24" s="79">
        <f>Y24*3.6</f>
        <v>260.7239263803678</v>
      </c>
      <c r="AA24" s="79">
        <f>1/S24</f>
        <v>4.6406926406926549E-2</v>
      </c>
      <c r="AB24" s="80">
        <v>0</v>
      </c>
      <c r="AD24">
        <v>147.04318936876999</v>
      </c>
      <c r="AE24">
        <v>10.7480314960629</v>
      </c>
      <c r="AF24" s="139">
        <v>132.48097412480899</v>
      </c>
      <c r="AG24" s="140">
        <v>11.164179104477601</v>
      </c>
      <c r="AH24">
        <v>138.23439878234399</v>
      </c>
      <c r="AI24">
        <v>11.041044776119399</v>
      </c>
      <c r="AJ24" s="139">
        <v>164.607087827426</v>
      </c>
      <c r="AK24">
        <v>11.684033613445299</v>
      </c>
      <c r="AL24" s="139">
        <v>137.47508305647801</v>
      </c>
      <c r="AM24" s="140">
        <v>8.5157480314960594</v>
      </c>
      <c r="AN24">
        <v>144.65116279069699</v>
      </c>
      <c r="AO24">
        <v>8.1023622047244093</v>
      </c>
    </row>
    <row r="25" spans="1:41" ht="16.2" x14ac:dyDescent="0.35">
      <c r="A25" s="10" t="s">
        <v>50</v>
      </c>
      <c r="B25" s="4">
        <v>840</v>
      </c>
      <c r="C25" s="4" t="s">
        <v>97</v>
      </c>
      <c r="N25" s="72">
        <v>2000</v>
      </c>
      <c r="O25" s="79">
        <f t="shared" ref="O25:O30" si="28">AH4</f>
        <v>50.654490106544898</v>
      </c>
      <c r="P25" s="79">
        <f t="shared" ref="P25:P30" si="29">O25*3.6</f>
        <v>182.35616438356163</v>
      </c>
      <c r="Q25" s="79">
        <f t="shared" ref="Q25:Q30" si="30">AH13</f>
        <v>206.95154496852001</v>
      </c>
      <c r="R25" s="79">
        <f t="shared" ref="R25:R30" si="31">Q25*3.6</f>
        <v>745.02556188667211</v>
      </c>
      <c r="S25" s="79">
        <f t="shared" ref="S25:S30" si="32">AI22</f>
        <v>17.977611940298502</v>
      </c>
      <c r="T25" s="79">
        <f t="shared" ref="T25:T30" si="33">10*S25</f>
        <v>179.77611940298502</v>
      </c>
      <c r="U25" s="79">
        <f t="shared" ref="U25:U30" si="34">AH22</f>
        <v>131.415525114155</v>
      </c>
      <c r="V25" s="79">
        <f t="shared" ref="V25:V30" si="35">U25*3.6</f>
        <v>473.09589041095802</v>
      </c>
      <c r="W25" s="79">
        <f t="shared" ref="W25:W30" si="36">AI31</f>
        <v>9.6190476190476204</v>
      </c>
      <c r="X25" s="79">
        <f t="shared" ref="X25:X30" si="37">10*W25</f>
        <v>96.190476190476204</v>
      </c>
      <c r="Y25" s="79">
        <f t="shared" ref="Y25:Y30" si="38">AH31</f>
        <v>81.226993865030593</v>
      </c>
      <c r="Z25" s="79">
        <f t="shared" ref="Z25:Z30" si="39">Y25*3.6</f>
        <v>292.41717791411014</v>
      </c>
      <c r="AA25" s="79">
        <f t="shared" ref="AA25:AA30" si="40">1/S25</f>
        <v>5.5624740556247422E-2</v>
      </c>
      <c r="AB25" s="80">
        <f>(AA25+AA24)/2*(N25-N24)/6</f>
        <v>17.005277827195663</v>
      </c>
      <c r="AD25">
        <v>152.62458471760701</v>
      </c>
      <c r="AE25">
        <v>7.8956692913385798</v>
      </c>
      <c r="AF25" s="139">
        <v>136.10350076103501</v>
      </c>
      <c r="AG25" s="140">
        <v>8.1679104477611908</v>
      </c>
      <c r="AH25">
        <v>142.922374429223</v>
      </c>
      <c r="AI25">
        <v>7.9216417910447703</v>
      </c>
      <c r="AJ25" s="139">
        <v>171.633281972265</v>
      </c>
      <c r="AK25">
        <v>9.0588235294117592</v>
      </c>
      <c r="AL25" s="139">
        <v>142.45847176079701</v>
      </c>
      <c r="AM25" s="140">
        <v>5.7460629921259798</v>
      </c>
      <c r="AN25">
        <v>148.239202657807</v>
      </c>
      <c r="AO25">
        <v>5.3740157480314901</v>
      </c>
    </row>
    <row r="26" spans="1:41" ht="15.6" x14ac:dyDescent="0.3">
      <c r="A26" s="7" t="s">
        <v>34</v>
      </c>
      <c r="B26" s="7">
        <v>45.4</v>
      </c>
      <c r="C26" s="7" t="s">
        <v>40</v>
      </c>
      <c r="N26" s="72">
        <v>4000</v>
      </c>
      <c r="O26" s="79">
        <f t="shared" si="28"/>
        <v>56.1948249619482</v>
      </c>
      <c r="P26" s="79">
        <f t="shared" si="29"/>
        <v>202.30136986301352</v>
      </c>
      <c r="Q26" s="79">
        <f t="shared" si="30"/>
        <v>207.07176475502001</v>
      </c>
      <c r="R26" s="79">
        <f t="shared" si="31"/>
        <v>745.45835311807207</v>
      </c>
      <c r="S26" s="79">
        <f t="shared" si="32"/>
        <v>14.570895522388</v>
      </c>
      <c r="T26" s="79">
        <f t="shared" si="33"/>
        <v>145.70895522388</v>
      </c>
      <c r="U26" s="79">
        <f t="shared" si="34"/>
        <v>135.251141552511</v>
      </c>
      <c r="V26" s="79">
        <f t="shared" si="35"/>
        <v>486.90410958903959</v>
      </c>
      <c r="W26" s="79">
        <f t="shared" si="36"/>
        <v>7.2857142857142803</v>
      </c>
      <c r="X26" s="79">
        <f t="shared" si="37"/>
        <v>72.857142857142804</v>
      </c>
      <c r="Y26" s="79">
        <f t="shared" si="38"/>
        <v>90.460122699386503</v>
      </c>
      <c r="Z26" s="79">
        <f t="shared" si="39"/>
        <v>325.65644171779144</v>
      </c>
      <c r="AA26" s="79">
        <f t="shared" si="40"/>
        <v>6.8629961587708344E-2</v>
      </c>
      <c r="AB26" s="80">
        <f>(AA26+AA25)/2*(N26-N25)/6+AB25</f>
        <v>37.714394851188288</v>
      </c>
      <c r="AD26">
        <v>159.60132890365401</v>
      </c>
      <c r="AE26">
        <v>5.08464566929133</v>
      </c>
      <c r="AF26" s="139">
        <v>139.51293759512899</v>
      </c>
      <c r="AG26" s="140">
        <v>5.2126865671641802</v>
      </c>
      <c r="AH26">
        <v>146.54490106544901</v>
      </c>
      <c r="AI26">
        <v>5.08955223880597</v>
      </c>
      <c r="AJ26" s="139">
        <v>182.357473035439</v>
      </c>
      <c r="AK26">
        <v>6.5075630252100796</v>
      </c>
      <c r="AL26" s="139">
        <v>148.239202657807</v>
      </c>
      <c r="AM26" s="140">
        <v>3.0590551181102299</v>
      </c>
      <c r="AN26">
        <v>154.81727574750801</v>
      </c>
      <c r="AO26">
        <v>2.5629921259842501</v>
      </c>
    </row>
    <row r="27" spans="1:41" x14ac:dyDescent="0.3">
      <c r="A27" s="7" t="s">
        <v>38</v>
      </c>
      <c r="B27" s="7">
        <v>1.25</v>
      </c>
      <c r="C27" s="7" t="s">
        <v>6</v>
      </c>
      <c r="N27" s="72">
        <v>6000</v>
      </c>
      <c r="O27" s="79">
        <f t="shared" si="28"/>
        <v>62.587519025875103</v>
      </c>
      <c r="P27" s="79">
        <f t="shared" si="29"/>
        <v>225.31506849315036</v>
      </c>
      <c r="Q27" s="79">
        <f t="shared" si="30"/>
        <v>207.604166666666</v>
      </c>
      <c r="R27" s="79">
        <f t="shared" si="31"/>
        <v>747.37499999999761</v>
      </c>
      <c r="S27" s="79">
        <f t="shared" si="32"/>
        <v>11.041044776119399</v>
      </c>
      <c r="T27" s="79">
        <f t="shared" si="33"/>
        <v>110.41044776119399</v>
      </c>
      <c r="U27" s="79">
        <f t="shared" si="34"/>
        <v>138.23439878234399</v>
      </c>
      <c r="V27" s="79">
        <f t="shared" si="35"/>
        <v>497.64383561643837</v>
      </c>
      <c r="W27" s="79">
        <f t="shared" si="36"/>
        <v>5.2857142857142803</v>
      </c>
      <c r="X27" s="79">
        <f t="shared" si="37"/>
        <v>52.857142857142804</v>
      </c>
      <c r="Y27" s="79">
        <f t="shared" si="38"/>
        <v>100.76687116564401</v>
      </c>
      <c r="Z27" s="79">
        <f t="shared" si="39"/>
        <v>362.76073619631842</v>
      </c>
      <c r="AA27" s="79">
        <f t="shared" si="40"/>
        <v>9.0571138898276476E-2</v>
      </c>
      <c r="AB27" s="80">
        <f t="shared" ref="AB27:AB30" si="41">(AA27+AA26)/2*(N27-N26)/6+AB26</f>
        <v>64.247911598852426</v>
      </c>
      <c r="AD27">
        <v>167.375415282392</v>
      </c>
      <c r="AE27">
        <v>2.3976377952755801</v>
      </c>
      <c r="AF27" s="139">
        <v>145.692541856925</v>
      </c>
      <c r="AG27" s="140">
        <v>2.2164179104477499</v>
      </c>
      <c r="AH27">
        <v>154.00304414003</v>
      </c>
      <c r="AI27">
        <v>1.76492537313432</v>
      </c>
      <c r="AJ27" s="139">
        <v>196.040061633281</v>
      </c>
      <c r="AK27">
        <v>4.0672268907562898</v>
      </c>
      <c r="AL27" s="139">
        <v>153.42192691029899</v>
      </c>
      <c r="AM27" s="140">
        <v>0.2</v>
      </c>
    </row>
    <row r="28" spans="1:41" ht="16.2" thickBot="1" x14ac:dyDescent="0.35">
      <c r="A28" s="7" t="s">
        <v>32</v>
      </c>
      <c r="B28" s="7">
        <v>4550</v>
      </c>
      <c r="C28" s="7" t="s">
        <v>3</v>
      </c>
      <c r="N28" s="72">
        <v>8000</v>
      </c>
      <c r="O28" s="79">
        <f t="shared" si="28"/>
        <v>69.832572298325701</v>
      </c>
      <c r="P28" s="79">
        <f t="shared" si="29"/>
        <v>251.39726027397253</v>
      </c>
      <c r="Q28" s="79">
        <f t="shared" si="30"/>
        <v>207.22633305195001</v>
      </c>
      <c r="R28" s="79">
        <f t="shared" si="31"/>
        <v>746.01479898702007</v>
      </c>
      <c r="S28" s="79">
        <f t="shared" si="32"/>
        <v>7.9216417910447703</v>
      </c>
      <c r="T28" s="79">
        <f t="shared" si="33"/>
        <v>79.216417910447703</v>
      </c>
      <c r="U28" s="79">
        <f t="shared" si="34"/>
        <v>142.922374429223</v>
      </c>
      <c r="V28" s="79">
        <f t="shared" si="35"/>
        <v>514.52054794520279</v>
      </c>
      <c r="W28" s="79">
        <f t="shared" si="36"/>
        <v>3.5714285714285698</v>
      </c>
      <c r="X28" s="79">
        <f t="shared" si="37"/>
        <v>35.714285714285701</v>
      </c>
      <c r="Y28" s="79">
        <f t="shared" si="38"/>
        <v>112.147239263803</v>
      </c>
      <c r="Z28" s="79">
        <f t="shared" si="39"/>
        <v>403.7300613496908</v>
      </c>
      <c r="AA28" s="79">
        <f t="shared" si="40"/>
        <v>0.12623645784267556</v>
      </c>
      <c r="AB28" s="80">
        <f t="shared" si="41"/>
        <v>100.38251105567777</v>
      </c>
      <c r="AF28" s="73"/>
      <c r="AG28" s="74"/>
      <c r="AJ28" s="139">
        <v>214.89984591679499</v>
      </c>
      <c r="AK28">
        <v>1.8487394957983101</v>
      </c>
      <c r="AL28" s="139"/>
      <c r="AM28" s="140"/>
    </row>
    <row r="29" spans="1:41" ht="15.6" x14ac:dyDescent="0.3">
      <c r="A29" s="7" t="s">
        <v>33</v>
      </c>
      <c r="B29" s="7">
        <v>3700</v>
      </c>
      <c r="C29" s="7" t="s">
        <v>3</v>
      </c>
      <c r="N29" s="72">
        <v>10000</v>
      </c>
      <c r="O29" s="79">
        <f t="shared" si="28"/>
        <v>79.2085235920852</v>
      </c>
      <c r="P29" s="79">
        <f t="shared" si="29"/>
        <v>285.1506849315067</v>
      </c>
      <c r="Q29" s="79">
        <f t="shared" si="30"/>
        <v>203.22473158700001</v>
      </c>
      <c r="R29" s="79">
        <f t="shared" si="31"/>
        <v>731.60903371320001</v>
      </c>
      <c r="S29" s="79">
        <f t="shared" si="32"/>
        <v>5.08955223880597</v>
      </c>
      <c r="T29" s="79">
        <f t="shared" si="33"/>
        <v>50.895522388059703</v>
      </c>
      <c r="U29" s="79">
        <f t="shared" si="34"/>
        <v>146.54490106544901</v>
      </c>
      <c r="V29" s="79">
        <f t="shared" si="35"/>
        <v>527.56164383561645</v>
      </c>
      <c r="W29" s="79">
        <f t="shared" si="36"/>
        <v>1.9761904761904701</v>
      </c>
      <c r="X29" s="79">
        <f t="shared" si="37"/>
        <v>19.761904761904702</v>
      </c>
      <c r="Y29" s="79">
        <f t="shared" si="38"/>
        <v>127.177914110429</v>
      </c>
      <c r="Z29" s="79">
        <f t="shared" si="39"/>
        <v>457.84049079754442</v>
      </c>
      <c r="AA29" s="79">
        <f t="shared" si="40"/>
        <v>0.19648093841642231</v>
      </c>
      <c r="AB29" s="80">
        <f t="shared" si="41"/>
        <v>154.16874376552741</v>
      </c>
      <c r="AD29" s="119" t="s">
        <v>138</v>
      </c>
      <c r="AE29" s="76"/>
      <c r="AF29" s="77"/>
      <c r="AG29" s="78"/>
      <c r="AH29" s="76"/>
      <c r="AI29" s="76"/>
      <c r="AJ29" s="124"/>
      <c r="AK29" s="125"/>
      <c r="AL29" s="124"/>
      <c r="AM29" s="126"/>
      <c r="AN29" s="125"/>
      <c r="AO29" s="125"/>
    </row>
    <row r="30" spans="1:41" x14ac:dyDescent="0.3">
      <c r="A30" s="6" t="s">
        <v>22</v>
      </c>
      <c r="B30" s="7">
        <f>RADIANS(B19)</f>
        <v>1.7453292519943295E-2</v>
      </c>
      <c r="C30" s="7" t="s">
        <v>29</v>
      </c>
      <c r="N30" s="72">
        <v>12000</v>
      </c>
      <c r="O30" s="79">
        <f t="shared" si="28"/>
        <v>106.27092846270899</v>
      </c>
      <c r="P30" s="79">
        <f t="shared" si="29"/>
        <v>382.57534246575239</v>
      </c>
      <c r="Q30" s="79">
        <f t="shared" si="30"/>
        <v>184.126959788611</v>
      </c>
      <c r="R30" s="79">
        <f t="shared" si="31"/>
        <v>662.85705523899958</v>
      </c>
      <c r="S30" s="79">
        <f t="shared" si="32"/>
        <v>1.76492537313432</v>
      </c>
      <c r="T30" s="79">
        <f t="shared" si="33"/>
        <v>17.649253731343201</v>
      </c>
      <c r="U30" s="79">
        <f t="shared" si="34"/>
        <v>154.00304414003</v>
      </c>
      <c r="V30" s="79">
        <f t="shared" si="35"/>
        <v>554.41095890410804</v>
      </c>
      <c r="W30" s="79">
        <f t="shared" si="36"/>
        <v>0.64285714285714401</v>
      </c>
      <c r="X30" s="79">
        <f t="shared" si="37"/>
        <v>6.4285714285714404</v>
      </c>
      <c r="Y30" s="79">
        <f t="shared" si="38"/>
        <v>146.71779141104199</v>
      </c>
      <c r="Z30" s="79">
        <f t="shared" si="39"/>
        <v>528.18404907975116</v>
      </c>
      <c r="AA30" s="79">
        <f t="shared" si="40"/>
        <v>0.56659619450317389</v>
      </c>
      <c r="AB30" s="80">
        <f t="shared" si="41"/>
        <v>281.34826591879346</v>
      </c>
      <c r="AD30">
        <v>85.608108108108098</v>
      </c>
      <c r="AE30">
        <v>10.614754098360599</v>
      </c>
      <c r="AF30" s="139">
        <v>67.269938650306699</v>
      </c>
      <c r="AG30" s="140">
        <v>12.6428571428571</v>
      </c>
      <c r="AH30">
        <v>72.4233128834355</v>
      </c>
      <c r="AI30">
        <v>12.2380952380952</v>
      </c>
      <c r="AJ30" s="139">
        <v>85.566502463054107</v>
      </c>
      <c r="AK30">
        <v>10.6006378678792</v>
      </c>
      <c r="AL30" s="139">
        <v>75.675675675675606</v>
      </c>
      <c r="AM30" s="140">
        <v>9.9180327868852398</v>
      </c>
      <c r="AN30">
        <v>80.540540540540505</v>
      </c>
      <c r="AO30">
        <v>9.5901639344262293</v>
      </c>
    </row>
    <row r="31" spans="1:41" ht="15.6" x14ac:dyDescent="0.3">
      <c r="A31" s="7" t="s">
        <v>23</v>
      </c>
      <c r="B31" s="7">
        <f>RADIANS(B20)</f>
        <v>-2.4783675378319478E-2</v>
      </c>
      <c r="C31" s="7" t="s">
        <v>29</v>
      </c>
      <c r="N31" s="2">
        <f>AH40</f>
        <v>13070</v>
      </c>
      <c r="O31" s="2"/>
      <c r="P31" s="2">
        <v>560</v>
      </c>
      <c r="Q31" s="2"/>
      <c r="R31" s="2">
        <f>P31</f>
        <v>560</v>
      </c>
      <c r="S31" s="2"/>
      <c r="T31" s="2">
        <v>0</v>
      </c>
      <c r="U31" s="2"/>
      <c r="V31" s="2">
        <f>R31</f>
        <v>560</v>
      </c>
      <c r="W31" s="2"/>
      <c r="X31" s="2">
        <v>0</v>
      </c>
      <c r="Y31" s="2"/>
      <c r="Z31" s="2">
        <f>R31</f>
        <v>560</v>
      </c>
      <c r="AA31" s="2"/>
      <c r="AB31" s="2">
        <f>AB21</f>
        <v>1100</v>
      </c>
      <c r="AD31">
        <v>98.175675675675606</v>
      </c>
      <c r="AE31">
        <v>8.3811475409835996</v>
      </c>
      <c r="AF31" s="139">
        <v>75</v>
      </c>
      <c r="AG31" s="140">
        <v>9.9047619047618998</v>
      </c>
      <c r="AH31">
        <v>81.226993865030593</v>
      </c>
      <c r="AI31">
        <v>9.6190476190476204</v>
      </c>
      <c r="AJ31" s="139">
        <v>95.812807881773395</v>
      </c>
      <c r="AK31">
        <v>8.4091511936339494</v>
      </c>
      <c r="AL31" s="139">
        <v>83.175675675675606</v>
      </c>
      <c r="AM31" s="140">
        <v>7.6434426229508103</v>
      </c>
      <c r="AN31">
        <v>89.459459459459396</v>
      </c>
      <c r="AO31">
        <v>7.3975409836065502</v>
      </c>
    </row>
    <row r="32" spans="1:41" x14ac:dyDescent="0.3">
      <c r="A32" s="1" t="s">
        <v>147</v>
      </c>
      <c r="B32" s="2">
        <v>2.9600000000000001E-2</v>
      </c>
      <c r="C32" s="2" t="s">
        <v>148</v>
      </c>
      <c r="AD32">
        <v>107.29729729729701</v>
      </c>
      <c r="AE32">
        <v>6.4959016393442601</v>
      </c>
      <c r="AF32" s="139">
        <v>84.018404907975395</v>
      </c>
      <c r="AG32" s="140">
        <v>7.5714285714285703</v>
      </c>
      <c r="AH32">
        <v>90.460122699386503</v>
      </c>
      <c r="AI32">
        <v>7.2857142857142803</v>
      </c>
      <c r="AJ32" s="139">
        <v>108.423645320197</v>
      </c>
      <c r="AK32">
        <v>6.5063155235568999</v>
      </c>
      <c r="AL32" s="139">
        <v>93.716216216216196</v>
      </c>
      <c r="AM32" s="140">
        <v>5.6762295081967196</v>
      </c>
      <c r="AN32">
        <v>99.391891891891802</v>
      </c>
      <c r="AO32">
        <v>5.4508196721311402</v>
      </c>
    </row>
    <row r="33" spans="1:41" ht="15" thickBot="1" x14ac:dyDescent="0.35">
      <c r="B33" s="2">
        <f>3600*B32</f>
        <v>106.56</v>
      </c>
      <c r="AD33">
        <v>119.05405405405401</v>
      </c>
      <c r="AE33">
        <v>4.7950819672131102</v>
      </c>
      <c r="AF33" s="139">
        <v>93.680981595092007</v>
      </c>
      <c r="AG33" s="140">
        <v>5.5238095238095202</v>
      </c>
      <c r="AH33">
        <v>100.76687116564401</v>
      </c>
      <c r="AI33">
        <v>5.2857142857142803</v>
      </c>
      <c r="AJ33" s="139">
        <v>121.82266009852199</v>
      </c>
      <c r="AK33">
        <v>4.8727737779461897</v>
      </c>
      <c r="AL33" s="139">
        <v>106.28378378378299</v>
      </c>
      <c r="AM33" s="140">
        <v>3.9959016393442601</v>
      </c>
      <c r="AN33">
        <v>112.567567567567</v>
      </c>
      <c r="AO33">
        <v>3.7704918032786798</v>
      </c>
    </row>
    <row r="34" spans="1:41" ht="15.6" x14ac:dyDescent="0.3">
      <c r="N34" s="68" t="s">
        <v>9</v>
      </c>
      <c r="O34" s="69" t="s">
        <v>119</v>
      </c>
      <c r="P34" s="69" t="s">
        <v>120</v>
      </c>
      <c r="Q34" s="69" t="s">
        <v>121</v>
      </c>
      <c r="R34" s="69" t="s">
        <v>122</v>
      </c>
      <c r="S34" s="69" t="s">
        <v>123</v>
      </c>
      <c r="T34" s="69" t="s">
        <v>124</v>
      </c>
      <c r="U34" s="69" t="s">
        <v>125</v>
      </c>
      <c r="V34" s="69" t="s">
        <v>126</v>
      </c>
      <c r="W34" s="70" t="s">
        <v>127</v>
      </c>
      <c r="X34" s="70" t="s">
        <v>128</v>
      </c>
      <c r="Y34" s="70" t="s">
        <v>129</v>
      </c>
      <c r="Z34" s="70" t="s">
        <v>130</v>
      </c>
      <c r="AA34" s="70" t="s">
        <v>131</v>
      </c>
      <c r="AB34" s="71" t="s">
        <v>154</v>
      </c>
      <c r="AD34">
        <v>129.39189189189099</v>
      </c>
      <c r="AE34">
        <v>3.25819672131147</v>
      </c>
      <c r="AF34" s="139">
        <v>104.41717791411</v>
      </c>
      <c r="AG34" s="140">
        <v>3.7619047619047601</v>
      </c>
      <c r="AH34">
        <v>112.147239263803</v>
      </c>
      <c r="AI34">
        <v>3.5714285714285698</v>
      </c>
      <c r="AJ34" s="139">
        <v>136.00985221674799</v>
      </c>
      <c r="AK34">
        <v>3.47006441834028</v>
      </c>
      <c r="AL34" s="139">
        <v>119.864864864864</v>
      </c>
      <c r="AM34" s="140">
        <v>2.47950819672131</v>
      </c>
      <c r="AN34">
        <v>127.567567567567</v>
      </c>
      <c r="AO34">
        <v>2.2540983606557301</v>
      </c>
    </row>
    <row r="35" spans="1:41" x14ac:dyDescent="0.3">
      <c r="N35" s="72">
        <v>0</v>
      </c>
      <c r="O35" s="79">
        <f>AJ3</f>
        <v>49.969183359013797</v>
      </c>
      <c r="P35" s="79">
        <f>O35*3.6</f>
        <v>179.88906009244968</v>
      </c>
      <c r="Q35" s="79">
        <f>AJ12</f>
        <v>233.75963020030801</v>
      </c>
      <c r="R35" s="79">
        <f>Q35*3.6</f>
        <v>841.5346687211088</v>
      </c>
      <c r="S35" s="79">
        <f>AK21</f>
        <v>21.3344537815126</v>
      </c>
      <c r="T35" s="79">
        <f>10*S35</f>
        <v>213.34453781512599</v>
      </c>
      <c r="U35" s="79">
        <f>AJ21</f>
        <v>142.78890600924399</v>
      </c>
      <c r="V35" s="79">
        <f>U35*3.6</f>
        <v>514.04006163327836</v>
      </c>
      <c r="W35" s="79">
        <f>AK30</f>
        <v>10.6006378678792</v>
      </c>
      <c r="X35" s="79">
        <f>10*W35</f>
        <v>106.006378678792</v>
      </c>
      <c r="Y35" s="79">
        <f>AJ30</f>
        <v>85.566502463054107</v>
      </c>
      <c r="Z35" s="79">
        <f>Y35*3.6</f>
        <v>308.03940886699479</v>
      </c>
      <c r="AA35" s="79">
        <f>1/S35</f>
        <v>4.6872538207026949E-2</v>
      </c>
      <c r="AB35" s="80">
        <v>0</v>
      </c>
      <c r="AD35">
        <v>144.39189189189099</v>
      </c>
      <c r="AE35">
        <v>1.92622950819672</v>
      </c>
      <c r="AF35" s="139">
        <v>118.37423312883401</v>
      </c>
      <c r="AG35" s="140">
        <v>2.2380952380952301</v>
      </c>
      <c r="AH35">
        <v>127.177914110429</v>
      </c>
      <c r="AI35">
        <v>1.9761904761904701</v>
      </c>
      <c r="AJ35" s="139">
        <v>153.74384236453199</v>
      </c>
      <c r="AK35">
        <v>2.2791777188328899</v>
      </c>
      <c r="AL35" s="139">
        <v>135.472972972972</v>
      </c>
      <c r="AM35" s="140">
        <v>1.1885245901639301</v>
      </c>
      <c r="AN35">
        <v>143.175675675675</v>
      </c>
      <c r="AO35">
        <v>0.98360655737704905</v>
      </c>
    </row>
    <row r="36" spans="1:41" x14ac:dyDescent="0.3">
      <c r="N36" s="72">
        <v>2000</v>
      </c>
      <c r="O36" s="79">
        <f t="shared" ref="O36:O42" si="42">AJ4</f>
        <v>54.776579352850497</v>
      </c>
      <c r="P36" s="79">
        <f t="shared" ref="P36:P42" si="43">O36*3.6</f>
        <v>197.19568567026178</v>
      </c>
      <c r="Q36" s="79">
        <f t="shared" ref="Q36:Q42" si="44">AJ13</f>
        <v>238.56702619414401</v>
      </c>
      <c r="R36" s="79">
        <f t="shared" ref="R36:R42" si="45">Q36*3.6</f>
        <v>858.84129429891846</v>
      </c>
      <c r="S36" s="79">
        <f t="shared" ref="S36:S42" si="46">AK22</f>
        <v>17.858823529411701</v>
      </c>
      <c r="T36" s="79">
        <f t="shared" ref="T36:T42" si="47">10*S36</f>
        <v>178.588235294117</v>
      </c>
      <c r="U36" s="79">
        <f t="shared" ref="U36:U42" si="48">AJ22</f>
        <v>149.44530046224901</v>
      </c>
      <c r="V36" s="79">
        <f t="shared" ref="V36:V42" si="49">U36*3.6</f>
        <v>538.0030816640965</v>
      </c>
      <c r="W36" s="79">
        <f t="shared" ref="W36:W42" si="50">AK31</f>
        <v>8.4091511936339494</v>
      </c>
      <c r="X36" s="79">
        <f t="shared" ref="X36:X42" si="51">10*W36</f>
        <v>84.091511936339487</v>
      </c>
      <c r="Y36" s="79">
        <f t="shared" ref="Y36:Y42" si="52">AJ31</f>
        <v>95.812807881773395</v>
      </c>
      <c r="Z36" s="79">
        <f t="shared" ref="Z36:Z42" si="53">Y36*3.6</f>
        <v>344.92610837438423</v>
      </c>
      <c r="AA36" s="79">
        <f t="shared" ref="AA36:AA42" si="54">1/S36</f>
        <v>5.5994729907773585E-2</v>
      </c>
      <c r="AB36" s="80">
        <f>(AA36+AA35)/2*(N36-N35)/6</f>
        <v>17.144544685800089</v>
      </c>
      <c r="AD36">
        <v>160.81081081081001</v>
      </c>
      <c r="AE36">
        <v>0.84016393442622905</v>
      </c>
      <c r="AF36" s="139">
        <v>135.98159509202401</v>
      </c>
      <c r="AG36" s="140">
        <v>0.88095238095238104</v>
      </c>
      <c r="AH36">
        <v>146.71779141104199</v>
      </c>
      <c r="AI36">
        <v>0.64285714285714401</v>
      </c>
      <c r="AJ36" s="139">
        <v>178.17733990147701</v>
      </c>
      <c r="AK36">
        <v>1.30036630036629</v>
      </c>
      <c r="AL36" s="139">
        <v>153.513513513513</v>
      </c>
      <c r="AM36" s="140">
        <v>2.0491803278689599E-2</v>
      </c>
    </row>
    <row r="37" spans="1:41" x14ac:dyDescent="0.3">
      <c r="A37" s="3"/>
      <c r="N37" s="72">
        <v>4000</v>
      </c>
      <c r="O37" s="79">
        <f t="shared" si="42"/>
        <v>60.693374422187901</v>
      </c>
      <c r="P37" s="79">
        <f t="shared" si="43"/>
        <v>218.49614791987645</v>
      </c>
      <c r="Q37" s="79">
        <f t="shared" si="44"/>
        <v>243.744221879815</v>
      </c>
      <c r="R37" s="79">
        <f t="shared" si="45"/>
        <v>877.47919876733397</v>
      </c>
      <c r="S37" s="79">
        <f t="shared" si="46"/>
        <v>14.6789915966386</v>
      </c>
      <c r="T37" s="79">
        <f t="shared" si="47"/>
        <v>146.78991596638599</v>
      </c>
      <c r="U37" s="79">
        <f t="shared" si="48"/>
        <v>156.84129429892101</v>
      </c>
      <c r="V37" s="79">
        <f t="shared" si="49"/>
        <v>564.62865947611567</v>
      </c>
      <c r="W37" s="79">
        <f t="shared" si="50"/>
        <v>6.5063155235568999</v>
      </c>
      <c r="X37" s="79">
        <f t="shared" si="51"/>
        <v>65.063155235568999</v>
      </c>
      <c r="Y37" s="79">
        <f t="shared" si="52"/>
        <v>108.423645320197</v>
      </c>
      <c r="Z37" s="79">
        <f t="shared" si="53"/>
        <v>390.32512315270918</v>
      </c>
      <c r="AA37" s="79">
        <f t="shared" si="54"/>
        <v>6.8124570643462584E-2</v>
      </c>
      <c r="AB37" s="80">
        <f>(AA37+AA36)/2*(N37-N36)/6+AB36</f>
        <v>37.831094777672782</v>
      </c>
      <c r="AF37" s="73"/>
      <c r="AG37" s="74"/>
      <c r="AJ37" s="139">
        <v>208.91625615763499</v>
      </c>
      <c r="AK37">
        <v>0.51436781609195303</v>
      </c>
      <c r="AL37" s="139"/>
      <c r="AM37" s="140"/>
    </row>
    <row r="38" spans="1:41" ht="15" thickBot="1" x14ac:dyDescent="0.35">
      <c r="A38" s="2"/>
      <c r="N38" s="72">
        <v>6000</v>
      </c>
      <c r="O38" s="79">
        <f t="shared" si="42"/>
        <v>67.349768875192595</v>
      </c>
      <c r="P38" s="79">
        <f t="shared" si="43"/>
        <v>242.45916795069334</v>
      </c>
      <c r="Q38" s="79">
        <f t="shared" si="44"/>
        <v>248.921417565485</v>
      </c>
      <c r="R38" s="79">
        <f t="shared" si="45"/>
        <v>896.11710323574607</v>
      </c>
      <c r="S38" s="79">
        <f t="shared" si="46"/>
        <v>11.684033613445299</v>
      </c>
      <c r="T38" s="79">
        <f t="shared" si="47"/>
        <v>116.840336134453</v>
      </c>
      <c r="U38" s="79">
        <f t="shared" si="48"/>
        <v>164.607087827426</v>
      </c>
      <c r="V38" s="79">
        <f t="shared" si="49"/>
        <v>592.58551617873366</v>
      </c>
      <c r="W38" s="79">
        <f t="shared" si="50"/>
        <v>4.8727737779461897</v>
      </c>
      <c r="X38" s="79">
        <f t="shared" si="51"/>
        <v>48.727737779461897</v>
      </c>
      <c r="Y38" s="79">
        <f t="shared" si="52"/>
        <v>121.82266009852199</v>
      </c>
      <c r="Z38" s="79">
        <f t="shared" si="53"/>
        <v>438.56157635467918</v>
      </c>
      <c r="AA38" s="79">
        <f t="shared" si="54"/>
        <v>8.5586881472957996E-2</v>
      </c>
      <c r="AB38" s="80">
        <f t="shared" ref="AB38:AB41" si="55">(AA38+AA37)/2*(N38-N37)/6+AB37</f>
        <v>63.449670130409544</v>
      </c>
      <c r="AF38" s="120"/>
      <c r="AG38" s="123"/>
      <c r="AJ38" s="141"/>
      <c r="AL38" s="141"/>
      <c r="AM38" s="127"/>
    </row>
    <row r="39" spans="1:41" x14ac:dyDescent="0.3">
      <c r="N39" s="72">
        <v>8000</v>
      </c>
      <c r="O39" s="79">
        <f t="shared" si="42"/>
        <v>75.855161787365105</v>
      </c>
      <c r="P39" s="79">
        <f t="shared" si="43"/>
        <v>273.07858243451437</v>
      </c>
      <c r="Q39" s="79">
        <f t="shared" si="44"/>
        <v>254.83821263482201</v>
      </c>
      <c r="R39" s="79">
        <f t="shared" si="45"/>
        <v>917.41756548535932</v>
      </c>
      <c r="S39" s="79">
        <f t="shared" si="46"/>
        <v>9.0588235294117592</v>
      </c>
      <c r="T39" s="79">
        <f t="shared" si="47"/>
        <v>90.588235294117595</v>
      </c>
      <c r="U39" s="79">
        <f t="shared" si="48"/>
        <v>171.633281972265</v>
      </c>
      <c r="V39" s="79">
        <f t="shared" si="49"/>
        <v>617.87981510015402</v>
      </c>
      <c r="W39" s="79">
        <f t="shared" si="50"/>
        <v>3.47006441834028</v>
      </c>
      <c r="X39" s="79">
        <f t="shared" si="51"/>
        <v>34.700644183402801</v>
      </c>
      <c r="Y39" s="79">
        <f t="shared" si="52"/>
        <v>136.00985221674799</v>
      </c>
      <c r="Z39" s="79">
        <f t="shared" si="53"/>
        <v>489.63546798029279</v>
      </c>
      <c r="AA39" s="79">
        <f t="shared" si="54"/>
        <v>0.11038961038961045</v>
      </c>
      <c r="AB39" s="80">
        <f t="shared" si="55"/>
        <v>96.112418774170948</v>
      </c>
      <c r="AD39" s="119" t="s">
        <v>140</v>
      </c>
      <c r="AE39" s="119" t="s">
        <v>141</v>
      </c>
      <c r="AF39" s="128" t="s">
        <v>142</v>
      </c>
      <c r="AG39" s="119" t="s">
        <v>143</v>
      </c>
      <c r="AH39" s="128" t="s">
        <v>144</v>
      </c>
      <c r="AI39" s="119" t="s">
        <v>145</v>
      </c>
      <c r="AJ39" s="128" t="s">
        <v>178</v>
      </c>
      <c r="AK39" s="129" t="s">
        <v>179</v>
      </c>
      <c r="AL39" s="119" t="s">
        <v>180</v>
      </c>
      <c r="AM39" s="129" t="s">
        <v>183</v>
      </c>
      <c r="AN39" s="119" t="s">
        <v>181</v>
      </c>
      <c r="AO39" s="119" t="s">
        <v>182</v>
      </c>
    </row>
    <row r="40" spans="1:41" x14ac:dyDescent="0.3">
      <c r="N40" s="72">
        <v>10000</v>
      </c>
      <c r="O40" s="79">
        <f t="shared" si="42"/>
        <v>86.579352850539294</v>
      </c>
      <c r="P40" s="79">
        <f t="shared" si="43"/>
        <v>311.68567026194148</v>
      </c>
      <c r="Q40" s="79">
        <f t="shared" si="44"/>
        <v>260.75500770415999</v>
      </c>
      <c r="R40" s="79">
        <f t="shared" si="45"/>
        <v>938.71802773497598</v>
      </c>
      <c r="S40" s="79">
        <f t="shared" si="46"/>
        <v>6.5075630252100796</v>
      </c>
      <c r="T40" s="79">
        <f t="shared" si="47"/>
        <v>65.075630252100794</v>
      </c>
      <c r="U40" s="79">
        <f t="shared" si="48"/>
        <v>182.357473035439</v>
      </c>
      <c r="V40" s="79">
        <f t="shared" si="49"/>
        <v>656.48690292758045</v>
      </c>
      <c r="W40" s="79">
        <f t="shared" si="50"/>
        <v>2.2791777188328899</v>
      </c>
      <c r="X40" s="79">
        <f t="shared" si="51"/>
        <v>22.791777188328901</v>
      </c>
      <c r="Y40" s="79">
        <f t="shared" si="52"/>
        <v>153.74384236453199</v>
      </c>
      <c r="Z40" s="79">
        <f t="shared" si="53"/>
        <v>553.47783251231522</v>
      </c>
      <c r="AA40" s="79">
        <f t="shared" si="54"/>
        <v>0.15366735537190093</v>
      </c>
      <c r="AB40" s="80">
        <f>(AA40+AA39)/2*(N40-N39)/6+AB39</f>
        <v>140.12191306775617</v>
      </c>
      <c r="AD40" s="2">
        <v>13600</v>
      </c>
      <c r="AE40" s="2">
        <f>-661.24*AE$44+AD40</f>
        <v>13269.38</v>
      </c>
      <c r="AF40" s="73">
        <v>13390</v>
      </c>
      <c r="AG40" s="2">
        <f>-626.05*AE$44+AF40</f>
        <v>13076.975</v>
      </c>
      <c r="AH40" s="73">
        <v>13070</v>
      </c>
      <c r="AI40" s="2">
        <f>-606.56*AE$44+AH40</f>
        <v>12766.72</v>
      </c>
      <c r="AJ40" s="73">
        <v>15330</v>
      </c>
      <c r="AK40" s="74">
        <f>-718.48*AE44+AJ40</f>
        <v>14970.76</v>
      </c>
      <c r="AL40" s="2">
        <v>12140</v>
      </c>
      <c r="AM40" s="74">
        <f>-695.86*AE44+AL40</f>
        <v>11792.07</v>
      </c>
      <c r="AN40" s="2">
        <v>11670</v>
      </c>
      <c r="AO40" s="2">
        <f>-659.14*AE44+AN40</f>
        <v>11340.43</v>
      </c>
    </row>
    <row r="41" spans="1:41" ht="15" thickBot="1" x14ac:dyDescent="0.35">
      <c r="A41" s="2"/>
      <c r="N41" s="72">
        <v>12000</v>
      </c>
      <c r="O41" s="79">
        <f t="shared" si="42"/>
        <v>112.095531587057</v>
      </c>
      <c r="P41" s="79">
        <f t="shared" si="43"/>
        <v>403.54391371340517</v>
      </c>
      <c r="Q41" s="79">
        <f t="shared" si="44"/>
        <v>266.302003081664</v>
      </c>
      <c r="R41" s="79">
        <f t="shared" si="45"/>
        <v>958.68721109399041</v>
      </c>
      <c r="S41" s="79">
        <f t="shared" si="46"/>
        <v>4.0672268907562898</v>
      </c>
      <c r="T41" s="79">
        <f t="shared" si="47"/>
        <v>40.672268907562895</v>
      </c>
      <c r="U41" s="79">
        <f t="shared" si="48"/>
        <v>196.040061633281</v>
      </c>
      <c r="V41" s="79">
        <f t="shared" si="49"/>
        <v>705.74422187981156</v>
      </c>
      <c r="W41" s="79">
        <f t="shared" si="50"/>
        <v>1.30036630036629</v>
      </c>
      <c r="X41" s="79">
        <f t="shared" si="51"/>
        <v>13.003663003662901</v>
      </c>
      <c r="Y41" s="79">
        <f t="shared" si="52"/>
        <v>178.17733990147701</v>
      </c>
      <c r="Z41" s="79">
        <f t="shared" si="53"/>
        <v>641.43842364531724</v>
      </c>
      <c r="AA41" s="79">
        <f t="shared" si="54"/>
        <v>0.24586776859504209</v>
      </c>
      <c r="AB41" s="80">
        <f t="shared" si="55"/>
        <v>206.71110039557999</v>
      </c>
      <c r="AD41" s="122">
        <f t="shared" ref="AD41:AO41" si="56">AD40</f>
        <v>13600</v>
      </c>
      <c r="AE41" s="122">
        <f t="shared" si="56"/>
        <v>13269.38</v>
      </c>
      <c r="AF41" s="120">
        <f t="shared" si="56"/>
        <v>13390</v>
      </c>
      <c r="AG41" s="122">
        <f t="shared" si="56"/>
        <v>13076.975</v>
      </c>
      <c r="AH41" s="120">
        <f t="shared" si="56"/>
        <v>13070</v>
      </c>
      <c r="AI41" s="122">
        <f t="shared" si="56"/>
        <v>12766.72</v>
      </c>
      <c r="AJ41" s="120">
        <f t="shared" si="56"/>
        <v>15330</v>
      </c>
      <c r="AK41" s="123">
        <f t="shared" si="56"/>
        <v>14970.76</v>
      </c>
      <c r="AL41" s="122">
        <f t="shared" si="56"/>
        <v>12140</v>
      </c>
      <c r="AM41" s="123">
        <f t="shared" si="56"/>
        <v>11792.07</v>
      </c>
      <c r="AN41" s="122">
        <f t="shared" si="56"/>
        <v>11670</v>
      </c>
      <c r="AO41" s="122">
        <f t="shared" si="56"/>
        <v>11340.43</v>
      </c>
    </row>
    <row r="42" spans="1:41" x14ac:dyDescent="0.3">
      <c r="A42" s="2"/>
      <c r="N42" s="72">
        <v>14000</v>
      </c>
      <c r="O42" s="79">
        <f t="shared" si="42"/>
        <v>152.03389830508399</v>
      </c>
      <c r="P42" s="79">
        <f t="shared" si="43"/>
        <v>547.32203389830238</v>
      </c>
      <c r="Q42" s="79">
        <f t="shared" si="44"/>
        <v>267.78120184899802</v>
      </c>
      <c r="R42" s="79">
        <f t="shared" si="45"/>
        <v>964.01232665639293</v>
      </c>
      <c r="S42" s="79">
        <f t="shared" si="46"/>
        <v>1.8487394957983101</v>
      </c>
      <c r="T42" s="79">
        <f t="shared" si="47"/>
        <v>18.487394957983099</v>
      </c>
      <c r="U42" s="79">
        <f t="shared" si="48"/>
        <v>214.89984591679499</v>
      </c>
      <c r="V42" s="79">
        <f t="shared" si="49"/>
        <v>773.63944530046194</v>
      </c>
      <c r="W42" s="79">
        <f t="shared" si="50"/>
        <v>0.51436781609195303</v>
      </c>
      <c r="X42" s="79">
        <f t="shared" si="51"/>
        <v>5.1436781609195306</v>
      </c>
      <c r="Y42" s="79">
        <f t="shared" si="52"/>
        <v>208.91625615763499</v>
      </c>
      <c r="Z42" s="79">
        <f t="shared" si="53"/>
        <v>752.09852216748595</v>
      </c>
      <c r="AA42" s="79">
        <f t="shared" si="54"/>
        <v>0.54090909090909356</v>
      </c>
      <c r="AB42" s="80">
        <f t="shared" ref="AB42" si="57">(AA42+AA41)/2*(N42-N41)/6+AB41</f>
        <v>337.84057697960259</v>
      </c>
    </row>
    <row r="43" spans="1:41" x14ac:dyDescent="0.3">
      <c r="N43" s="2">
        <f>AJ40</f>
        <v>15330</v>
      </c>
      <c r="O43" s="2"/>
      <c r="P43" s="2">
        <v>830</v>
      </c>
      <c r="Q43" s="2"/>
      <c r="R43" s="2">
        <f>P43</f>
        <v>830</v>
      </c>
      <c r="S43" s="2"/>
      <c r="T43" s="2">
        <v>0</v>
      </c>
      <c r="U43" s="2"/>
      <c r="V43" s="2">
        <f>R43</f>
        <v>830</v>
      </c>
      <c r="W43" s="2"/>
      <c r="X43" s="2">
        <v>0</v>
      </c>
      <c r="Y43" s="2"/>
      <c r="Z43" s="2">
        <f>R43</f>
        <v>830</v>
      </c>
      <c r="AA43" s="2"/>
      <c r="AB43" s="2">
        <v>1100</v>
      </c>
      <c r="AD43" s="2" t="s">
        <v>6</v>
      </c>
      <c r="AE43" s="2" t="s">
        <v>139</v>
      </c>
    </row>
    <row r="44" spans="1:41" x14ac:dyDescent="0.3">
      <c r="AD44" s="2">
        <v>0</v>
      </c>
      <c r="AE44" s="2">
        <v>0.5</v>
      </c>
    </row>
    <row r="45" spans="1:41" ht="15" thickBot="1" x14ac:dyDescent="0.35">
      <c r="AD45" s="2">
        <v>16000</v>
      </c>
      <c r="AE45" s="2">
        <v>0.5</v>
      </c>
    </row>
    <row r="46" spans="1:41" ht="15.6" x14ac:dyDescent="0.3">
      <c r="N46" s="68" t="s">
        <v>9</v>
      </c>
      <c r="O46" s="69" t="s">
        <v>119</v>
      </c>
      <c r="P46" s="69" t="s">
        <v>120</v>
      </c>
      <c r="Q46" s="69" t="s">
        <v>121</v>
      </c>
      <c r="R46" s="69" t="s">
        <v>122</v>
      </c>
      <c r="S46" s="69" t="s">
        <v>123</v>
      </c>
      <c r="T46" s="69" t="s">
        <v>124</v>
      </c>
      <c r="U46" s="69" t="s">
        <v>125</v>
      </c>
      <c r="V46" s="69" t="s">
        <v>126</v>
      </c>
      <c r="W46" s="70" t="s">
        <v>127</v>
      </c>
      <c r="X46" s="70" t="s">
        <v>128</v>
      </c>
      <c r="Y46" s="70" t="s">
        <v>129</v>
      </c>
      <c r="Z46" s="70" t="s">
        <v>130</v>
      </c>
      <c r="AA46" s="70" t="s">
        <v>131</v>
      </c>
      <c r="AB46" s="71" t="s">
        <v>154</v>
      </c>
    </row>
    <row r="47" spans="1:41" ht="15" thickBot="1" x14ac:dyDescent="0.35">
      <c r="A47" s="7"/>
      <c r="B47" s="7"/>
      <c r="C47" s="7"/>
      <c r="D47" s="7"/>
      <c r="E47" s="7"/>
      <c r="F47" s="7"/>
      <c r="G47" s="7"/>
      <c r="H47" s="7"/>
      <c r="N47" s="72">
        <v>0</v>
      </c>
      <c r="O47" s="79">
        <f>AL3</f>
        <v>49.966777408637803</v>
      </c>
      <c r="P47" s="79">
        <f>O47*3.6</f>
        <v>179.88039867109609</v>
      </c>
      <c r="Q47" s="79">
        <f>AL12</f>
        <v>203.84</v>
      </c>
      <c r="R47" s="79">
        <f>Q47*3.6</f>
        <v>733.82400000000007</v>
      </c>
      <c r="S47" s="79">
        <f>AM21</f>
        <v>17.4448818897637</v>
      </c>
      <c r="T47" s="79">
        <f>10*S47</f>
        <v>174.44881889763701</v>
      </c>
      <c r="U47" s="79">
        <f>AL21</f>
        <v>125.91362126245799</v>
      </c>
      <c r="V47" s="79">
        <f>U47*3.6</f>
        <v>453.28903654484878</v>
      </c>
      <c r="W47" s="79">
        <f>AM30</f>
        <v>9.9180327868852398</v>
      </c>
      <c r="X47" s="79">
        <f>10*W47</f>
        <v>99.180327868852402</v>
      </c>
      <c r="Y47" s="79">
        <f>AL30</f>
        <v>75.675675675675606</v>
      </c>
      <c r="Z47" s="79">
        <f>Y47*3.6</f>
        <v>272.43243243243217</v>
      </c>
      <c r="AA47" s="79">
        <f>1/S47</f>
        <v>5.7323403294967538E-2</v>
      </c>
      <c r="AB47" s="80">
        <v>0</v>
      </c>
    </row>
    <row r="48" spans="1:41" x14ac:dyDescent="0.3">
      <c r="A48" s="90"/>
      <c r="B48" s="92" t="str">
        <f t="shared" ref="B48" si="58">N3</f>
        <v>h [m]</v>
      </c>
      <c r="C48" s="84" t="str">
        <f>O3</f>
        <v>Vmin [m/s]</v>
      </c>
      <c r="D48" s="84" t="str">
        <f>Q3</f>
        <v>Vmax [m/s]</v>
      </c>
      <c r="E48" s="84" t="str">
        <f>S3</f>
        <v>wmax [m/s]</v>
      </c>
      <c r="F48" s="84" t="str">
        <f>U3</f>
        <v>Vw [m/s]</v>
      </c>
      <c r="G48" s="84" t="str">
        <f>W3</f>
        <v>γmax [°]</v>
      </c>
      <c r="H48" s="82" t="str">
        <f>Y3</f>
        <v>Vγ [m/s]</v>
      </c>
      <c r="I48" s="85" t="str">
        <f>AB3</f>
        <v>10th [min]</v>
      </c>
      <c r="N48" s="72">
        <v>2000</v>
      </c>
      <c r="O48" s="79">
        <f t="shared" ref="O48:O53" si="59">AL4</f>
        <v>55.149501661129499</v>
      </c>
      <c r="P48" s="79">
        <f t="shared" ref="P48:P53" si="60">O48*3.6</f>
        <v>198.53820598006621</v>
      </c>
      <c r="Q48" s="79">
        <f t="shared" ref="Q48:Q53" si="61">AL13</f>
        <v>204.70468431771801</v>
      </c>
      <c r="R48" s="79">
        <f t="shared" ref="R48:R53" si="62">Q48*3.6</f>
        <v>736.93686354378485</v>
      </c>
      <c r="S48" s="79">
        <f t="shared" ref="S48:S53" si="63">AM22</f>
        <v>14.3444881889763</v>
      </c>
      <c r="T48" s="79">
        <f t="shared" ref="T48:T53" si="64">10*S48</f>
        <v>143.444881889763</v>
      </c>
      <c r="U48" s="79">
        <f t="shared" ref="U48:U53" si="65">AL22</f>
        <v>128.30564784053101</v>
      </c>
      <c r="V48" s="79">
        <f t="shared" ref="V48:V53" si="66">U48*3.6</f>
        <v>461.90033222591165</v>
      </c>
      <c r="W48" s="79">
        <f t="shared" ref="W48:W53" si="67">AM31</f>
        <v>7.6434426229508103</v>
      </c>
      <c r="X48" s="79">
        <f t="shared" ref="X48:X53" si="68">10*W48</f>
        <v>76.434426229508105</v>
      </c>
      <c r="Y48" s="79">
        <f t="shared" ref="Y48:Y53" si="69">AL31</f>
        <v>83.175675675675606</v>
      </c>
      <c r="Z48" s="79">
        <f t="shared" ref="Z48:Z53" si="70">Y48*3.6</f>
        <v>299.43243243243217</v>
      </c>
      <c r="AA48" s="79">
        <f t="shared" ref="AA48:AA53" si="71">1/S48</f>
        <v>6.9713187868807841E-2</v>
      </c>
      <c r="AB48" s="80">
        <f>(AA48+AA47)/2*(N48-N47)/6</f>
        <v>21.172765193962565</v>
      </c>
    </row>
    <row r="49" spans="1:28" x14ac:dyDescent="0.3">
      <c r="A49" s="90"/>
      <c r="B49" s="93">
        <f t="shared" ref="B49:C55" si="72">N4</f>
        <v>0</v>
      </c>
      <c r="C49" s="86">
        <f t="shared" si="72"/>
        <v>49.966777408637803</v>
      </c>
      <c r="D49" s="86">
        <f t="shared" ref="D49:D55" si="73">Q4</f>
        <v>204.98981670061099</v>
      </c>
      <c r="E49" s="86">
        <f t="shared" ref="E49:E55" si="74">S4</f>
        <v>20.5452755905511</v>
      </c>
      <c r="F49" s="86">
        <f t="shared" ref="F49:F55" si="75">U4</f>
        <v>134.68438538205899</v>
      </c>
      <c r="G49" s="86">
        <f t="shared" ref="G49:G55" si="76">W4</f>
        <v>10.614754098360599</v>
      </c>
      <c r="H49" s="79">
        <f t="shared" ref="H49:H55" si="77">Y4</f>
        <v>85.608108108108098</v>
      </c>
      <c r="I49" s="87">
        <f t="shared" ref="I49:I55" si="78">AB4</f>
        <v>0</v>
      </c>
      <c r="N49" s="72">
        <v>4000</v>
      </c>
      <c r="O49" s="79">
        <f t="shared" si="59"/>
        <v>61.328903654485003</v>
      </c>
      <c r="P49" s="79">
        <f t="shared" si="60"/>
        <v>220.78405315614603</v>
      </c>
      <c r="Q49" s="79">
        <f t="shared" si="61"/>
        <v>204.62321792260599</v>
      </c>
      <c r="R49" s="79">
        <f t="shared" si="62"/>
        <v>736.64358452138163</v>
      </c>
      <c r="S49" s="79">
        <f t="shared" si="63"/>
        <v>11.3267716535433</v>
      </c>
      <c r="T49" s="79">
        <f t="shared" si="64"/>
        <v>113.26771653543301</v>
      </c>
      <c r="U49" s="79">
        <f t="shared" si="65"/>
        <v>132.69102990033201</v>
      </c>
      <c r="V49" s="79">
        <f t="shared" si="66"/>
        <v>477.68770764119523</v>
      </c>
      <c r="W49" s="79">
        <f t="shared" si="67"/>
        <v>5.6762295081967196</v>
      </c>
      <c r="X49" s="79">
        <f t="shared" si="68"/>
        <v>56.762295081967196</v>
      </c>
      <c r="Y49" s="79">
        <f t="shared" si="69"/>
        <v>93.716216216216196</v>
      </c>
      <c r="Z49" s="79">
        <f t="shared" si="70"/>
        <v>337.37837837837833</v>
      </c>
      <c r="AA49" s="79">
        <f t="shared" si="71"/>
        <v>8.8286409454292725E-2</v>
      </c>
      <c r="AB49" s="80">
        <f>(AA49+AA48)/2*(N49-N48)/6+AB48</f>
        <v>47.506031414479324</v>
      </c>
    </row>
    <row r="50" spans="1:28" x14ac:dyDescent="0.3">
      <c r="A50" s="90"/>
      <c r="B50" s="93">
        <f t="shared" si="72"/>
        <v>2000</v>
      </c>
      <c r="C50" s="86">
        <f t="shared" ref="C50:C55" si="79">O5</f>
        <v>55.149501661129499</v>
      </c>
      <c r="D50" s="86">
        <f t="shared" si="73"/>
        <v>206.15071283095699</v>
      </c>
      <c r="E50" s="86">
        <f t="shared" si="74"/>
        <v>17.0728346456692</v>
      </c>
      <c r="F50" s="86">
        <f t="shared" si="75"/>
        <v>138.272425249169</v>
      </c>
      <c r="G50" s="86">
        <f t="shared" si="76"/>
        <v>8.3811475409835996</v>
      </c>
      <c r="H50" s="79">
        <f t="shared" si="77"/>
        <v>98.175675675675606</v>
      </c>
      <c r="I50" s="87">
        <f t="shared" si="78"/>
        <v>17.874261982982183</v>
      </c>
      <c r="N50" s="72">
        <v>6000</v>
      </c>
      <c r="O50" s="79">
        <f t="shared" si="59"/>
        <v>68.305647840531506</v>
      </c>
      <c r="P50" s="79">
        <f t="shared" si="60"/>
        <v>245.90033222591342</v>
      </c>
      <c r="Q50" s="79">
        <f t="shared" si="61"/>
        <v>204.41955193482599</v>
      </c>
      <c r="R50" s="79">
        <f t="shared" si="62"/>
        <v>735.91038696537362</v>
      </c>
      <c r="S50" s="79">
        <f t="shared" si="63"/>
        <v>8.5157480314960594</v>
      </c>
      <c r="T50" s="79">
        <f t="shared" si="64"/>
        <v>85.157480314960594</v>
      </c>
      <c r="U50" s="79">
        <f t="shared" si="65"/>
        <v>137.47508305647801</v>
      </c>
      <c r="V50" s="79">
        <f t="shared" si="66"/>
        <v>494.91029900332086</v>
      </c>
      <c r="W50" s="79">
        <f t="shared" si="67"/>
        <v>3.9959016393442601</v>
      </c>
      <c r="X50" s="79">
        <f t="shared" si="68"/>
        <v>39.959016393442603</v>
      </c>
      <c r="Y50" s="79">
        <f t="shared" si="69"/>
        <v>106.28378378378299</v>
      </c>
      <c r="Z50" s="79">
        <f t="shared" si="70"/>
        <v>382.62162162161877</v>
      </c>
      <c r="AA50" s="79">
        <f t="shared" si="71"/>
        <v>0.11742949607027282</v>
      </c>
      <c r="AB50" s="80">
        <f t="shared" ref="AB50:AB53" si="80">(AA50+AA49)/2*(N50-N49)/6+AB49</f>
        <v>81.792015668573583</v>
      </c>
    </row>
    <row r="51" spans="1:28" x14ac:dyDescent="0.3">
      <c r="A51" s="90"/>
      <c r="B51" s="93">
        <f t="shared" si="72"/>
        <v>4000</v>
      </c>
      <c r="C51" s="86">
        <f t="shared" si="79"/>
        <v>60.930232558139501</v>
      </c>
      <c r="D51" s="86">
        <f t="shared" si="73"/>
        <v>207.18940936863501</v>
      </c>
      <c r="E51" s="86">
        <f t="shared" si="74"/>
        <v>13.807086614173199</v>
      </c>
      <c r="F51" s="86">
        <f t="shared" si="75"/>
        <v>142.65780730897001</v>
      </c>
      <c r="G51" s="86">
        <f t="shared" si="76"/>
        <v>6.4959016393442601</v>
      </c>
      <c r="H51" s="79">
        <f t="shared" si="77"/>
        <v>107.29729729729701</v>
      </c>
      <c r="I51" s="87">
        <f t="shared" si="78"/>
        <v>39.70745481558064</v>
      </c>
      <c r="N51" s="72">
        <v>8000</v>
      </c>
      <c r="O51" s="79">
        <f t="shared" si="59"/>
        <v>76.478405315614594</v>
      </c>
      <c r="P51" s="79">
        <f t="shared" si="60"/>
        <v>275.32225913621255</v>
      </c>
      <c r="Q51" s="79">
        <f t="shared" si="61"/>
        <v>203.31975560081401</v>
      </c>
      <c r="R51" s="79">
        <f t="shared" si="62"/>
        <v>731.95112016293047</v>
      </c>
      <c r="S51" s="79">
        <f t="shared" si="63"/>
        <v>5.7460629921259798</v>
      </c>
      <c r="T51" s="79">
        <f t="shared" si="64"/>
        <v>57.460629921259795</v>
      </c>
      <c r="U51" s="79">
        <f t="shared" si="65"/>
        <v>142.45847176079701</v>
      </c>
      <c r="V51" s="79">
        <f t="shared" si="66"/>
        <v>512.85049833886922</v>
      </c>
      <c r="W51" s="79">
        <f t="shared" si="67"/>
        <v>2.47950819672131</v>
      </c>
      <c r="X51" s="79">
        <f t="shared" si="68"/>
        <v>24.7950819672131</v>
      </c>
      <c r="Y51" s="79">
        <f t="shared" si="69"/>
        <v>119.864864864864</v>
      </c>
      <c r="Z51" s="79">
        <f t="shared" si="70"/>
        <v>431.51351351351042</v>
      </c>
      <c r="AA51" s="79">
        <f t="shared" si="71"/>
        <v>0.17403220280918136</v>
      </c>
      <c r="AB51" s="80">
        <f t="shared" si="80"/>
        <v>130.36896548181593</v>
      </c>
    </row>
    <row r="52" spans="1:28" x14ac:dyDescent="0.3">
      <c r="A52" s="90"/>
      <c r="B52" s="93">
        <f t="shared" si="72"/>
        <v>6000</v>
      </c>
      <c r="C52" s="86">
        <f t="shared" si="79"/>
        <v>67.508305647840501</v>
      </c>
      <c r="D52" s="86">
        <f t="shared" si="73"/>
        <v>206.96537678207699</v>
      </c>
      <c r="E52" s="86">
        <f t="shared" si="74"/>
        <v>10.7480314960629</v>
      </c>
      <c r="F52" s="86">
        <f t="shared" si="75"/>
        <v>147.04318936876999</v>
      </c>
      <c r="G52" s="86">
        <f t="shared" si="76"/>
        <v>4.7950819672131102</v>
      </c>
      <c r="H52" s="79">
        <f t="shared" si="77"/>
        <v>119.05405405405401</v>
      </c>
      <c r="I52" s="87">
        <f t="shared" si="78"/>
        <v>67.28526622572754</v>
      </c>
      <c r="N52" s="72">
        <v>10000</v>
      </c>
      <c r="O52" s="79">
        <f t="shared" si="59"/>
        <v>93.023255813953398</v>
      </c>
      <c r="P52" s="79">
        <f t="shared" si="60"/>
        <v>334.88372093023224</v>
      </c>
      <c r="Q52" s="79">
        <f t="shared" si="61"/>
        <v>200.427698574338</v>
      </c>
      <c r="R52" s="79">
        <f t="shared" si="62"/>
        <v>721.53971486761679</v>
      </c>
      <c r="S52" s="79">
        <f t="shared" si="63"/>
        <v>3.0590551181102299</v>
      </c>
      <c r="T52" s="79">
        <f t="shared" si="64"/>
        <v>30.590551181102299</v>
      </c>
      <c r="U52" s="79">
        <f t="shared" si="65"/>
        <v>148.239202657807</v>
      </c>
      <c r="V52" s="79">
        <f t="shared" si="66"/>
        <v>533.66112956810525</v>
      </c>
      <c r="W52" s="79">
        <f t="shared" si="67"/>
        <v>1.1885245901639301</v>
      </c>
      <c r="X52" s="79">
        <f t="shared" si="68"/>
        <v>11.885245901639301</v>
      </c>
      <c r="Y52" s="79">
        <f t="shared" si="69"/>
        <v>135.472972972972</v>
      </c>
      <c r="Z52" s="79">
        <f t="shared" si="70"/>
        <v>487.70270270269924</v>
      </c>
      <c r="AA52" s="79">
        <f t="shared" si="71"/>
        <v>0.3268983268983276</v>
      </c>
      <c r="AB52" s="80">
        <f t="shared" si="80"/>
        <v>213.8573870997341</v>
      </c>
    </row>
    <row r="53" spans="1:28" x14ac:dyDescent="0.3">
      <c r="A53" s="90"/>
      <c r="B53" s="93">
        <f t="shared" si="72"/>
        <v>8000</v>
      </c>
      <c r="C53" s="86">
        <f t="shared" si="79"/>
        <v>75.481727574750806</v>
      </c>
      <c r="D53" s="86">
        <f t="shared" si="73"/>
        <v>206.33401221995899</v>
      </c>
      <c r="E53" s="86">
        <f t="shared" si="74"/>
        <v>7.8956692913385798</v>
      </c>
      <c r="F53" s="86">
        <f t="shared" si="75"/>
        <v>152.62458471760701</v>
      </c>
      <c r="G53" s="86">
        <f t="shared" si="76"/>
        <v>3.25819672131147</v>
      </c>
      <c r="H53" s="79">
        <f t="shared" si="77"/>
        <v>129.39189189189099</v>
      </c>
      <c r="I53" s="87">
        <f t="shared" si="78"/>
        <v>103.90059969969991</v>
      </c>
      <c r="N53" s="72">
        <v>12000</v>
      </c>
      <c r="O53" s="79">
        <f t="shared" si="59"/>
        <v>146.245847176079</v>
      </c>
      <c r="P53" s="79">
        <f t="shared" si="60"/>
        <v>526.48504983388443</v>
      </c>
      <c r="Q53" s="79">
        <f t="shared" si="61"/>
        <v>170</v>
      </c>
      <c r="R53" s="79">
        <f t="shared" si="62"/>
        <v>612</v>
      </c>
      <c r="S53" s="79">
        <f t="shared" si="63"/>
        <v>0.2</v>
      </c>
      <c r="T53" s="79">
        <f t="shared" si="64"/>
        <v>2</v>
      </c>
      <c r="U53" s="79">
        <f t="shared" si="65"/>
        <v>153.42192691029899</v>
      </c>
      <c r="V53" s="79">
        <f t="shared" si="66"/>
        <v>552.31893687707634</v>
      </c>
      <c r="W53" s="79">
        <f t="shared" si="67"/>
        <v>2.0491803278689599E-2</v>
      </c>
      <c r="X53" s="79">
        <f t="shared" si="68"/>
        <v>0.20491803278689599</v>
      </c>
      <c r="Y53" s="79">
        <f t="shared" si="69"/>
        <v>153.513513513513</v>
      </c>
      <c r="Z53" s="79">
        <f t="shared" si="70"/>
        <v>552.64864864864683</v>
      </c>
      <c r="AA53" s="79">
        <f t="shared" si="71"/>
        <v>5</v>
      </c>
      <c r="AB53" s="80">
        <f t="shared" si="80"/>
        <v>1101.6737749161221</v>
      </c>
    </row>
    <row r="54" spans="1:28" x14ac:dyDescent="0.3">
      <c r="A54" s="90"/>
      <c r="B54" s="93">
        <f t="shared" si="72"/>
        <v>10000</v>
      </c>
      <c r="C54" s="86">
        <f t="shared" si="79"/>
        <v>87.641196013289004</v>
      </c>
      <c r="D54" s="86">
        <f t="shared" si="73"/>
        <v>203.64562118126199</v>
      </c>
      <c r="E54" s="86">
        <f t="shared" si="74"/>
        <v>5.08464566929133</v>
      </c>
      <c r="F54" s="86">
        <f t="shared" si="75"/>
        <v>159.60132890365401</v>
      </c>
      <c r="G54" s="86">
        <f t="shared" si="76"/>
        <v>1.92622950819672</v>
      </c>
      <c r="H54" s="79">
        <f t="shared" si="77"/>
        <v>144.39189189189099</v>
      </c>
      <c r="I54" s="87">
        <f t="shared" si="78"/>
        <v>157.78764068928214</v>
      </c>
      <c r="N54" s="2">
        <f>AL40</f>
        <v>12140</v>
      </c>
      <c r="O54" s="2"/>
      <c r="P54" s="2">
        <v>560</v>
      </c>
      <c r="Q54" s="2"/>
      <c r="R54" s="2">
        <f>P54</f>
        <v>560</v>
      </c>
      <c r="S54" s="2"/>
      <c r="T54" s="2">
        <v>0</v>
      </c>
      <c r="U54" s="2"/>
      <c r="V54" s="2">
        <f>R54</f>
        <v>560</v>
      </c>
      <c r="W54" s="2"/>
      <c r="X54" s="2">
        <v>0</v>
      </c>
      <c r="Y54" s="2"/>
      <c r="Z54" s="2">
        <f>R54</f>
        <v>560</v>
      </c>
      <c r="AA54" s="2"/>
      <c r="AB54" s="2">
        <v>800</v>
      </c>
    </row>
    <row r="55" spans="1:28" ht="15" thickBot="1" x14ac:dyDescent="0.35">
      <c r="A55" s="90"/>
      <c r="B55" s="94">
        <f t="shared" si="72"/>
        <v>12000</v>
      </c>
      <c r="C55" s="88">
        <f t="shared" si="79"/>
        <v>116.146179401993</v>
      </c>
      <c r="D55" s="88">
        <f t="shared" si="73"/>
        <v>197.16904276985699</v>
      </c>
      <c r="E55" s="88">
        <f t="shared" si="74"/>
        <v>2.3976377952755801</v>
      </c>
      <c r="F55" s="88">
        <f t="shared" si="75"/>
        <v>167.375415282392</v>
      </c>
      <c r="G55" s="88">
        <f t="shared" si="76"/>
        <v>0.84016393442622905</v>
      </c>
      <c r="H55" s="83">
        <f t="shared" si="77"/>
        <v>160.81081081081001</v>
      </c>
      <c r="I55" s="89">
        <f t="shared" si="78"/>
        <v>260.07892632791885</v>
      </c>
    </row>
    <row r="56" spans="1:28" ht="15" thickBot="1" x14ac:dyDescent="0.35">
      <c r="A56" s="90"/>
      <c r="B56" s="91"/>
      <c r="C56" s="91"/>
      <c r="D56" s="91"/>
      <c r="E56" s="91"/>
      <c r="F56" s="91"/>
      <c r="G56" s="91"/>
      <c r="I56" s="91"/>
    </row>
    <row r="57" spans="1:28" ht="15.6" x14ac:dyDescent="0.3">
      <c r="A57" s="90"/>
      <c r="B57" s="92" t="str">
        <f t="shared" ref="B57:C64" si="81">N13</f>
        <v>h [m]</v>
      </c>
      <c r="C57" s="84" t="str">
        <f t="shared" si="81"/>
        <v>Vmin [m/s]</v>
      </c>
      <c r="D57" s="84" t="str">
        <f t="shared" ref="D57:D64" si="82">Q13</f>
        <v>Vmax [m/s]</v>
      </c>
      <c r="E57" s="84" t="str">
        <f t="shared" ref="E57:E64" si="83">S13</f>
        <v>wmax [m/s]</v>
      </c>
      <c r="F57" s="84" t="str">
        <f t="shared" ref="F57:F64" si="84">U13</f>
        <v>Vw [m/s]</v>
      </c>
      <c r="G57" s="84" t="str">
        <f t="shared" ref="G57:G64" si="85">W13</f>
        <v>γmax [°]</v>
      </c>
      <c r="H57" s="82" t="str">
        <f t="shared" ref="H57:H64" si="86">Y13</f>
        <v>Vγ [m/s]</v>
      </c>
      <c r="I57" s="85" t="str">
        <f t="shared" ref="I57:I64" si="87">AB13</f>
        <v>10th [min]</v>
      </c>
      <c r="N57" s="68" t="s">
        <v>9</v>
      </c>
      <c r="O57" s="69" t="s">
        <v>119</v>
      </c>
      <c r="P57" s="69" t="s">
        <v>120</v>
      </c>
      <c r="Q57" s="69" t="s">
        <v>121</v>
      </c>
      <c r="R57" s="69" t="s">
        <v>122</v>
      </c>
      <c r="S57" s="69" t="s">
        <v>123</v>
      </c>
      <c r="T57" s="69" t="s">
        <v>124</v>
      </c>
      <c r="U57" s="69" t="s">
        <v>125</v>
      </c>
      <c r="V57" s="69" t="s">
        <v>126</v>
      </c>
      <c r="W57" s="70" t="s">
        <v>127</v>
      </c>
      <c r="X57" s="70" t="s">
        <v>128</v>
      </c>
      <c r="Y57" s="70" t="s">
        <v>129</v>
      </c>
      <c r="Z57" s="70" t="s">
        <v>130</v>
      </c>
      <c r="AA57" s="70" t="s">
        <v>131</v>
      </c>
      <c r="AB57" s="71" t="s">
        <v>154</v>
      </c>
    </row>
    <row r="58" spans="1:28" x14ac:dyDescent="0.3">
      <c r="A58" s="90"/>
      <c r="B58" s="93">
        <f t="shared" si="81"/>
        <v>0</v>
      </c>
      <c r="C58" s="86">
        <f t="shared" si="81"/>
        <v>45.966514459665099</v>
      </c>
      <c r="D58" s="86">
        <f t="shared" si="82"/>
        <v>204.78758881150799</v>
      </c>
      <c r="E58" s="86">
        <f t="shared" si="83"/>
        <v>21.384328358208901</v>
      </c>
      <c r="F58" s="86">
        <f t="shared" si="84"/>
        <v>124.170471841704</v>
      </c>
      <c r="G58" s="86">
        <f t="shared" si="85"/>
        <v>12.6428571428571</v>
      </c>
      <c r="H58" s="79">
        <f t="shared" si="86"/>
        <v>67.269938650306699</v>
      </c>
      <c r="I58" s="87">
        <f t="shared" si="87"/>
        <v>0</v>
      </c>
      <c r="N58" s="72">
        <v>0</v>
      </c>
      <c r="O58" s="79">
        <f>AN3</f>
        <v>50.166112956810601</v>
      </c>
      <c r="P58" s="79">
        <f>O58*3.6</f>
        <v>180.59800664451816</v>
      </c>
      <c r="Q58" s="79">
        <f>AN12</f>
        <v>205.18960209424</v>
      </c>
      <c r="R58" s="79">
        <f>Q58*3.6</f>
        <v>738.68256753926403</v>
      </c>
      <c r="S58" s="79">
        <f>AO21</f>
        <v>17.734251968503902</v>
      </c>
      <c r="T58" s="79">
        <f>10*S58</f>
        <v>177.34251968503901</v>
      </c>
      <c r="U58" s="79">
        <f>AN21</f>
        <v>129.102990033222</v>
      </c>
      <c r="V58" s="79">
        <f>U58*3.6</f>
        <v>464.77076411959922</v>
      </c>
      <c r="W58" s="79">
        <f>AO30</f>
        <v>9.5901639344262293</v>
      </c>
      <c r="X58" s="79">
        <f>10*W58</f>
        <v>95.901639344262293</v>
      </c>
      <c r="Y58" s="79">
        <f>AN30</f>
        <v>80.540540540540505</v>
      </c>
      <c r="Z58" s="79">
        <f>Y58*3.6</f>
        <v>289.94594594594582</v>
      </c>
      <c r="AA58" s="79">
        <f>1/S58</f>
        <v>5.6388056388056502E-2</v>
      </c>
      <c r="AB58" s="80">
        <v>0</v>
      </c>
    </row>
    <row r="59" spans="1:28" x14ac:dyDescent="0.3">
      <c r="A59" s="90"/>
      <c r="B59" s="93">
        <f t="shared" si="81"/>
        <v>2000</v>
      </c>
      <c r="C59" s="86">
        <f t="shared" si="81"/>
        <v>50.654490106544898</v>
      </c>
      <c r="D59" s="86">
        <f t="shared" si="82"/>
        <v>205.766521358728</v>
      </c>
      <c r="E59" s="86">
        <f t="shared" si="83"/>
        <v>17.731343283582</v>
      </c>
      <c r="F59" s="86">
        <f t="shared" si="84"/>
        <v>125.875190258751</v>
      </c>
      <c r="G59" s="86">
        <f t="shared" si="85"/>
        <v>9.9047619047618998</v>
      </c>
      <c r="H59" s="79">
        <f t="shared" si="86"/>
        <v>75</v>
      </c>
      <c r="I59" s="87">
        <f t="shared" si="87"/>
        <v>17.193420664310047</v>
      </c>
      <c r="N59" s="72">
        <v>2000</v>
      </c>
      <c r="O59" s="79">
        <f t="shared" ref="O59:O63" si="88">AN4</f>
        <v>55.149501661129499</v>
      </c>
      <c r="P59" s="79">
        <f t="shared" ref="P59:P63" si="89">O59*3.6</f>
        <v>198.53820598006621</v>
      </c>
      <c r="Q59" s="79">
        <f t="shared" ref="Q59:Q63" si="90">AN13</f>
        <v>205.358041884816</v>
      </c>
      <c r="R59" s="79">
        <f t="shared" ref="R59:R63" si="91">Q59*3.6</f>
        <v>739.28895078533765</v>
      </c>
      <c r="S59" s="79">
        <f t="shared" ref="S59:S63" si="92">AO22</f>
        <v>14.509842519685</v>
      </c>
      <c r="T59" s="79">
        <f t="shared" ref="T59:T63" si="93">10*S59</f>
        <v>145.09842519685</v>
      </c>
      <c r="U59" s="79">
        <f t="shared" ref="U59:U63" si="94">AN22</f>
        <v>134.48504983388699</v>
      </c>
      <c r="V59" s="79">
        <f t="shared" ref="V59:V63" si="95">U59*3.6</f>
        <v>484.14617940199315</v>
      </c>
      <c r="W59" s="79">
        <f t="shared" ref="W59:W63" si="96">AO31</f>
        <v>7.3975409836065502</v>
      </c>
      <c r="X59" s="79">
        <f t="shared" ref="X59:X63" si="97">10*W59</f>
        <v>73.975409836065495</v>
      </c>
      <c r="Y59" s="79">
        <f t="shared" ref="Y59:Y63" si="98">AN31</f>
        <v>89.459459459459396</v>
      </c>
      <c r="Z59" s="79">
        <f t="shared" ref="Z59:Z63" si="99">Y59*3.6</f>
        <v>322.05405405405384</v>
      </c>
      <c r="AA59" s="79">
        <f t="shared" ref="AA59:AA63" si="100">1/S59</f>
        <v>6.8918735585402444E-2</v>
      </c>
      <c r="AB59" s="80">
        <f>(AA59+AA58)/2*(N59-N58)/6</f>
        <v>20.884465328909826</v>
      </c>
    </row>
    <row r="60" spans="1:28" x14ac:dyDescent="0.3">
      <c r="A60" s="90"/>
      <c r="B60" s="93">
        <f t="shared" si="81"/>
        <v>4000</v>
      </c>
      <c r="C60" s="86">
        <f t="shared" si="81"/>
        <v>56.1948249619482</v>
      </c>
      <c r="D60" s="86">
        <f t="shared" si="82"/>
        <v>206.31609752558799</v>
      </c>
      <c r="E60" s="86">
        <f t="shared" si="83"/>
        <v>14.406716417910401</v>
      </c>
      <c r="F60" s="86">
        <f t="shared" si="84"/>
        <v>129.497716894977</v>
      </c>
      <c r="G60" s="86">
        <f t="shared" si="85"/>
        <v>7.5714285714285703</v>
      </c>
      <c r="H60" s="79">
        <f t="shared" si="86"/>
        <v>84.018404907975395</v>
      </c>
      <c r="I60" s="87">
        <f t="shared" si="87"/>
        <v>38.161649965872769</v>
      </c>
      <c r="N60" s="72">
        <v>4000</v>
      </c>
      <c r="O60" s="79">
        <f t="shared" si="88"/>
        <v>61.328903654485003</v>
      </c>
      <c r="P60" s="79">
        <f t="shared" si="89"/>
        <v>220.78405315614603</v>
      </c>
      <c r="Q60" s="79">
        <f t="shared" si="90"/>
        <v>205.82722513089001</v>
      </c>
      <c r="R60" s="79">
        <f t="shared" si="91"/>
        <v>740.97801047120402</v>
      </c>
      <c r="S60" s="79">
        <f t="shared" si="92"/>
        <v>11.1614173228346</v>
      </c>
      <c r="T60" s="79">
        <f t="shared" si="93"/>
        <v>111.614173228346</v>
      </c>
      <c r="U60" s="79">
        <f t="shared" si="94"/>
        <v>138.870431893687</v>
      </c>
      <c r="V60" s="79">
        <f t="shared" si="95"/>
        <v>499.9335548172732</v>
      </c>
      <c r="W60" s="79">
        <f t="shared" si="96"/>
        <v>5.4508196721311402</v>
      </c>
      <c r="X60" s="79">
        <f t="shared" si="97"/>
        <v>54.5081967213114</v>
      </c>
      <c r="Y60" s="79">
        <f t="shared" si="98"/>
        <v>99.391891891891802</v>
      </c>
      <c r="Z60" s="79">
        <f t="shared" si="99"/>
        <v>357.81081081081049</v>
      </c>
      <c r="AA60" s="79">
        <f t="shared" si="100"/>
        <v>8.95943562610233E-2</v>
      </c>
      <c r="AB60" s="80">
        <f>(AA60+AA59)/2*(N60-N59)/6+AB59</f>
        <v>47.303313969980792</v>
      </c>
    </row>
    <row r="61" spans="1:28" x14ac:dyDescent="0.3">
      <c r="A61" s="7"/>
      <c r="B61" s="93">
        <f t="shared" si="81"/>
        <v>6000</v>
      </c>
      <c r="C61" s="86">
        <f t="shared" si="81"/>
        <v>62.587519025875103</v>
      </c>
      <c r="D61" s="86">
        <f t="shared" si="82"/>
        <v>206.110006463015</v>
      </c>
      <c r="E61" s="86">
        <f t="shared" si="83"/>
        <v>11.164179104477601</v>
      </c>
      <c r="F61" s="86">
        <f t="shared" si="84"/>
        <v>132.48097412480899</v>
      </c>
      <c r="G61" s="86">
        <f t="shared" si="85"/>
        <v>5.5238095238095202</v>
      </c>
      <c r="H61" s="79">
        <f t="shared" si="86"/>
        <v>93.680981595092007</v>
      </c>
      <c r="I61" s="87">
        <f t="shared" si="87"/>
        <v>64.659026953445888</v>
      </c>
      <c r="N61" s="72">
        <v>6000</v>
      </c>
      <c r="O61" s="79">
        <f t="shared" si="88"/>
        <v>68.305647840531506</v>
      </c>
      <c r="P61" s="79">
        <f t="shared" si="89"/>
        <v>245.90033222591342</v>
      </c>
      <c r="Q61" s="79">
        <f t="shared" si="90"/>
        <v>206.30366492146501</v>
      </c>
      <c r="R61" s="79">
        <f t="shared" si="91"/>
        <v>742.69319371727408</v>
      </c>
      <c r="S61" s="79">
        <f t="shared" si="92"/>
        <v>8.1023622047244093</v>
      </c>
      <c r="T61" s="79">
        <f t="shared" si="93"/>
        <v>81.023622047244089</v>
      </c>
      <c r="U61" s="79">
        <f t="shared" si="94"/>
        <v>144.65116279069699</v>
      </c>
      <c r="V61" s="79">
        <f t="shared" si="95"/>
        <v>520.74418604650918</v>
      </c>
      <c r="W61" s="79">
        <f t="shared" si="96"/>
        <v>3.7704918032786798</v>
      </c>
      <c r="X61" s="79">
        <f t="shared" si="97"/>
        <v>37.7049180327868</v>
      </c>
      <c r="Y61" s="79">
        <f t="shared" si="98"/>
        <v>112.567567567567</v>
      </c>
      <c r="Z61" s="79">
        <f t="shared" si="99"/>
        <v>405.24324324324118</v>
      </c>
      <c r="AA61" s="79">
        <f t="shared" si="100"/>
        <v>0.12342079689018465</v>
      </c>
      <c r="AB61" s="80">
        <f t="shared" ref="AB61:AB63" si="101">(AA61+AA60)/2*(N61-N60)/6+AB60</f>
        <v>82.805839495182113</v>
      </c>
    </row>
    <row r="62" spans="1:28" x14ac:dyDescent="0.3">
      <c r="A62" s="90"/>
      <c r="B62" s="93">
        <f t="shared" si="81"/>
        <v>8000</v>
      </c>
      <c r="C62" s="86">
        <f t="shared" si="81"/>
        <v>70.045662100456596</v>
      </c>
      <c r="D62" s="86">
        <f t="shared" si="82"/>
        <v>204.59867200414999</v>
      </c>
      <c r="E62" s="86">
        <f t="shared" si="83"/>
        <v>8.1679104477611908</v>
      </c>
      <c r="F62" s="86">
        <f t="shared" si="84"/>
        <v>136.10350076103501</v>
      </c>
      <c r="G62" s="86">
        <f t="shared" si="85"/>
        <v>3.7619047619047601</v>
      </c>
      <c r="H62" s="79">
        <f t="shared" si="86"/>
        <v>104.41717791411</v>
      </c>
      <c r="I62" s="87">
        <f t="shared" si="87"/>
        <v>99.992781286609045</v>
      </c>
      <c r="N62" s="72">
        <v>8000</v>
      </c>
      <c r="O62" s="79">
        <f t="shared" si="88"/>
        <v>76.478405315614594</v>
      </c>
      <c r="P62" s="79">
        <f t="shared" si="89"/>
        <v>275.32225913621255</v>
      </c>
      <c r="Q62" s="79">
        <f t="shared" si="90"/>
        <v>202.32356020942399</v>
      </c>
      <c r="R62" s="79">
        <f t="shared" si="91"/>
        <v>728.36481675392633</v>
      </c>
      <c r="S62" s="79">
        <f t="shared" si="92"/>
        <v>5.3740157480314901</v>
      </c>
      <c r="T62" s="79">
        <f t="shared" si="93"/>
        <v>53.740157480314899</v>
      </c>
      <c r="U62" s="79">
        <f t="shared" si="94"/>
        <v>148.239202657807</v>
      </c>
      <c r="V62" s="79">
        <f t="shared" si="95"/>
        <v>533.66112956810525</v>
      </c>
      <c r="W62" s="79">
        <f t="shared" si="96"/>
        <v>2.2540983606557301</v>
      </c>
      <c r="X62" s="79">
        <f t="shared" si="97"/>
        <v>22.540983606557301</v>
      </c>
      <c r="Y62" s="79">
        <f t="shared" si="98"/>
        <v>127.567567567567</v>
      </c>
      <c r="Z62" s="79">
        <f t="shared" si="99"/>
        <v>459.24324324324118</v>
      </c>
      <c r="AA62" s="79">
        <f t="shared" si="100"/>
        <v>0.18608058608058628</v>
      </c>
      <c r="AB62" s="80">
        <f t="shared" si="101"/>
        <v>134.38940332364393</v>
      </c>
    </row>
    <row r="63" spans="1:28" x14ac:dyDescent="0.3">
      <c r="A63" s="90"/>
      <c r="B63" s="93">
        <f t="shared" si="81"/>
        <v>10000</v>
      </c>
      <c r="C63" s="86">
        <f t="shared" si="81"/>
        <v>79.421613394216095</v>
      </c>
      <c r="D63" s="86">
        <f t="shared" si="82"/>
        <v>200.40815373184199</v>
      </c>
      <c r="E63" s="86">
        <f t="shared" si="83"/>
        <v>5.2126865671641802</v>
      </c>
      <c r="F63" s="86">
        <f t="shared" si="84"/>
        <v>139.51293759512899</v>
      </c>
      <c r="G63" s="86">
        <f t="shared" si="85"/>
        <v>2.2380952380952301</v>
      </c>
      <c r="H63" s="79">
        <f t="shared" si="86"/>
        <v>118.37423312883401</v>
      </c>
      <c r="I63" s="87">
        <f t="shared" si="87"/>
        <v>152.37111293530828</v>
      </c>
      <c r="N63" s="72">
        <v>10000</v>
      </c>
      <c r="O63" s="79">
        <f t="shared" si="88"/>
        <v>95.813953488371993</v>
      </c>
      <c r="P63" s="79">
        <f t="shared" si="89"/>
        <v>344.93023255813921</v>
      </c>
      <c r="Q63" s="79">
        <f t="shared" si="90"/>
        <v>190.40540540540499</v>
      </c>
      <c r="R63" s="79">
        <f t="shared" si="91"/>
        <v>685.459459459458</v>
      </c>
      <c r="S63" s="79">
        <f t="shared" si="92"/>
        <v>2.5629921259842501</v>
      </c>
      <c r="T63" s="79">
        <f t="shared" si="93"/>
        <v>25.629921259842501</v>
      </c>
      <c r="U63" s="79">
        <f t="shared" si="94"/>
        <v>154.81727574750801</v>
      </c>
      <c r="V63" s="79">
        <f t="shared" si="95"/>
        <v>557.3421926910288</v>
      </c>
      <c r="W63" s="79">
        <f t="shared" si="96"/>
        <v>0.98360655737704905</v>
      </c>
      <c r="X63" s="79">
        <f t="shared" si="97"/>
        <v>9.8360655737704903</v>
      </c>
      <c r="Y63" s="79">
        <f t="shared" si="98"/>
        <v>143.175675675675</v>
      </c>
      <c r="Z63" s="79">
        <f t="shared" si="99"/>
        <v>515.43243243243001</v>
      </c>
      <c r="AA63" s="79">
        <f t="shared" si="100"/>
        <v>0.39016897081413238</v>
      </c>
      <c r="AB63" s="80">
        <f t="shared" si="101"/>
        <v>230.43099613943036</v>
      </c>
    </row>
    <row r="64" spans="1:28" ht="15" thickBot="1" x14ac:dyDescent="0.35">
      <c r="A64" s="90"/>
      <c r="B64" s="94">
        <f t="shared" si="81"/>
        <v>12000</v>
      </c>
      <c r="C64" s="88">
        <f t="shared" si="81"/>
        <v>102.00913242009101</v>
      </c>
      <c r="D64" s="88">
        <f t="shared" si="82"/>
        <v>189.60554720199701</v>
      </c>
      <c r="E64" s="88">
        <f t="shared" si="83"/>
        <v>2.2164179104477499</v>
      </c>
      <c r="F64" s="88">
        <f t="shared" si="84"/>
        <v>145.692541856925</v>
      </c>
      <c r="G64" s="88">
        <f t="shared" si="85"/>
        <v>0.88095238095238104</v>
      </c>
      <c r="H64" s="83">
        <f t="shared" si="86"/>
        <v>135.98159509202401</v>
      </c>
      <c r="I64" s="89">
        <f t="shared" si="87"/>
        <v>259.54079753281474</v>
      </c>
      <c r="N64" s="2">
        <f>AN40</f>
        <v>11670</v>
      </c>
      <c r="O64" s="2"/>
      <c r="P64" s="2">
        <v>565</v>
      </c>
      <c r="Q64" s="2"/>
      <c r="R64" s="2">
        <f>P64</f>
        <v>565</v>
      </c>
      <c r="S64" s="2"/>
      <c r="T64" s="2">
        <v>0</v>
      </c>
      <c r="U64" s="2"/>
      <c r="V64" s="2">
        <f>R64</f>
        <v>565</v>
      </c>
      <c r="W64" s="2"/>
      <c r="X64" s="2">
        <v>0</v>
      </c>
      <c r="Y64" s="2"/>
      <c r="Z64" s="2">
        <f>R64</f>
        <v>565</v>
      </c>
      <c r="AA64" s="2"/>
      <c r="AB64" s="2">
        <v>800</v>
      </c>
    </row>
    <row r="65" spans="1:9" ht="15" thickBot="1" x14ac:dyDescent="0.35">
      <c r="A65" s="90"/>
    </row>
    <row r="66" spans="1:9" x14ac:dyDescent="0.3">
      <c r="A66" s="90"/>
      <c r="B66" s="92" t="str">
        <f t="shared" ref="B66:C73" si="102">N23</f>
        <v>h [m]</v>
      </c>
      <c r="C66" s="84" t="str">
        <f t="shared" si="102"/>
        <v>Vmin [m/s]</v>
      </c>
      <c r="D66" s="84" t="str">
        <f t="shared" ref="D66:D73" si="103">Q23</f>
        <v>Vmax [m/s]</v>
      </c>
      <c r="E66" s="84" t="str">
        <f t="shared" ref="E66:E73" si="104">S23</f>
        <v>wmax [m/s]</v>
      </c>
      <c r="F66" s="84" t="str">
        <f t="shared" ref="F66:F73" si="105">U23</f>
        <v>Vw [m/s]</v>
      </c>
      <c r="G66" s="84" t="str">
        <f t="shared" ref="G66:G73" si="106">W23</f>
        <v>γmax [°]</v>
      </c>
      <c r="H66" s="82" t="str">
        <f t="shared" ref="H66:H73" si="107">Y23</f>
        <v>Vγ [m/s]</v>
      </c>
      <c r="I66" s="85" t="str">
        <f t="shared" ref="I66:I73" si="108">AB23</f>
        <v>10th [min]</v>
      </c>
    </row>
    <row r="67" spans="1:9" x14ac:dyDescent="0.3">
      <c r="A67" s="90"/>
      <c r="B67" s="93">
        <f t="shared" si="102"/>
        <v>0</v>
      </c>
      <c r="C67" s="86">
        <f t="shared" si="102"/>
        <v>45.966514459665099</v>
      </c>
      <c r="D67" s="86">
        <f t="shared" si="103"/>
        <v>205.594778806584</v>
      </c>
      <c r="E67" s="86">
        <f t="shared" si="104"/>
        <v>21.548507462686501</v>
      </c>
      <c r="F67" s="86">
        <f t="shared" si="105"/>
        <v>129.07153729071501</v>
      </c>
      <c r="G67" s="86">
        <f t="shared" si="106"/>
        <v>12.2380952380952</v>
      </c>
      <c r="H67" s="79">
        <f t="shared" si="107"/>
        <v>72.4233128834355</v>
      </c>
      <c r="I67" s="87">
        <f t="shared" si="108"/>
        <v>0</v>
      </c>
    </row>
    <row r="68" spans="1:9" x14ac:dyDescent="0.3">
      <c r="A68" s="90"/>
      <c r="B68" s="93">
        <f t="shared" si="102"/>
        <v>2000</v>
      </c>
      <c r="C68" s="86">
        <f t="shared" si="102"/>
        <v>50.654490106544898</v>
      </c>
      <c r="D68" s="86">
        <f t="shared" si="103"/>
        <v>206.95154496852001</v>
      </c>
      <c r="E68" s="86">
        <f t="shared" si="104"/>
        <v>17.977611940298502</v>
      </c>
      <c r="F68" s="86">
        <f t="shared" si="105"/>
        <v>131.415525114155</v>
      </c>
      <c r="G68" s="86">
        <f t="shared" si="106"/>
        <v>9.6190476190476204</v>
      </c>
      <c r="H68" s="79">
        <f t="shared" si="107"/>
        <v>81.226993865030593</v>
      </c>
      <c r="I68" s="87">
        <f t="shared" si="108"/>
        <v>17.005277827195663</v>
      </c>
    </row>
    <row r="69" spans="1:9" x14ac:dyDescent="0.3">
      <c r="A69" s="90"/>
      <c r="B69" s="93">
        <f t="shared" si="102"/>
        <v>4000</v>
      </c>
      <c r="C69" s="86">
        <f t="shared" si="102"/>
        <v>56.1948249619482</v>
      </c>
      <c r="D69" s="86">
        <f t="shared" si="103"/>
        <v>207.07176475502001</v>
      </c>
      <c r="E69" s="86">
        <f t="shared" si="104"/>
        <v>14.570895522388</v>
      </c>
      <c r="F69" s="86">
        <f t="shared" si="105"/>
        <v>135.251141552511</v>
      </c>
      <c r="G69" s="86">
        <f t="shared" si="106"/>
        <v>7.2857142857142803</v>
      </c>
      <c r="H69" s="79">
        <f t="shared" si="107"/>
        <v>90.460122699386503</v>
      </c>
      <c r="I69" s="87">
        <f t="shared" si="108"/>
        <v>37.714394851188288</v>
      </c>
    </row>
    <row r="70" spans="1:9" x14ac:dyDescent="0.3">
      <c r="A70" s="90"/>
      <c r="B70" s="93">
        <f t="shared" si="102"/>
        <v>6000</v>
      </c>
      <c r="C70" s="86">
        <f t="shared" si="102"/>
        <v>62.587519025875103</v>
      </c>
      <c r="D70" s="86">
        <f t="shared" si="103"/>
        <v>207.604166666666</v>
      </c>
      <c r="E70" s="86">
        <f t="shared" si="104"/>
        <v>11.041044776119399</v>
      </c>
      <c r="F70" s="86">
        <f t="shared" si="105"/>
        <v>138.23439878234399</v>
      </c>
      <c r="G70" s="86">
        <f t="shared" si="106"/>
        <v>5.2857142857142803</v>
      </c>
      <c r="H70" s="79">
        <f t="shared" si="107"/>
        <v>100.76687116564401</v>
      </c>
      <c r="I70" s="87">
        <f t="shared" si="108"/>
        <v>64.247911598852426</v>
      </c>
    </row>
    <row r="71" spans="1:9" x14ac:dyDescent="0.3">
      <c r="A71" s="90"/>
      <c r="B71" s="93">
        <f t="shared" si="102"/>
        <v>8000</v>
      </c>
      <c r="C71" s="86">
        <f t="shared" si="102"/>
        <v>69.832572298325701</v>
      </c>
      <c r="D71" s="86">
        <f t="shared" si="103"/>
        <v>207.22633305195001</v>
      </c>
      <c r="E71" s="86">
        <f t="shared" si="104"/>
        <v>7.9216417910447703</v>
      </c>
      <c r="F71" s="86">
        <f t="shared" si="105"/>
        <v>142.922374429223</v>
      </c>
      <c r="G71" s="86">
        <f t="shared" si="106"/>
        <v>3.5714285714285698</v>
      </c>
      <c r="H71" s="79">
        <f t="shared" si="107"/>
        <v>112.147239263803</v>
      </c>
      <c r="I71" s="87">
        <f t="shared" si="108"/>
        <v>100.38251105567777</v>
      </c>
    </row>
    <row r="72" spans="1:9" x14ac:dyDescent="0.3">
      <c r="A72" s="90"/>
      <c r="B72" s="93">
        <f t="shared" si="102"/>
        <v>10000</v>
      </c>
      <c r="C72" s="86">
        <f t="shared" si="102"/>
        <v>79.2085235920852</v>
      </c>
      <c r="D72" s="86">
        <f t="shared" si="103"/>
        <v>203.22473158700001</v>
      </c>
      <c r="E72" s="86">
        <f t="shared" si="104"/>
        <v>5.08955223880597</v>
      </c>
      <c r="F72" s="86">
        <f t="shared" si="105"/>
        <v>146.54490106544901</v>
      </c>
      <c r="G72" s="86">
        <f t="shared" si="106"/>
        <v>1.9761904761904701</v>
      </c>
      <c r="H72" s="79">
        <f t="shared" si="107"/>
        <v>127.177914110429</v>
      </c>
      <c r="I72" s="87">
        <f t="shared" si="108"/>
        <v>154.16874376552741</v>
      </c>
    </row>
    <row r="73" spans="1:9" ht="15" thickBot="1" x14ac:dyDescent="0.35">
      <c r="A73" s="90"/>
      <c r="B73" s="94">
        <f t="shared" si="102"/>
        <v>12000</v>
      </c>
      <c r="C73" s="88">
        <f t="shared" si="102"/>
        <v>106.27092846270899</v>
      </c>
      <c r="D73" s="88">
        <f t="shared" si="103"/>
        <v>184.126959788611</v>
      </c>
      <c r="E73" s="88">
        <f t="shared" si="104"/>
        <v>1.76492537313432</v>
      </c>
      <c r="F73" s="88">
        <f t="shared" si="105"/>
        <v>154.00304414003</v>
      </c>
      <c r="G73" s="88">
        <f t="shared" si="106"/>
        <v>0.64285714285714401</v>
      </c>
      <c r="H73" s="83">
        <f t="shared" si="107"/>
        <v>146.71779141104199</v>
      </c>
      <c r="I73" s="89">
        <f t="shared" si="108"/>
        <v>281.34826591879346</v>
      </c>
    </row>
    <row r="74" spans="1:9" ht="15" thickBot="1" x14ac:dyDescent="0.35">
      <c r="A74" s="90"/>
      <c r="B74" s="91"/>
      <c r="C74" s="91"/>
      <c r="D74" s="91"/>
      <c r="E74" s="91"/>
      <c r="F74" s="91"/>
      <c r="G74" s="91"/>
      <c r="I74" s="91"/>
    </row>
    <row r="75" spans="1:9" x14ac:dyDescent="0.3">
      <c r="A75" s="7"/>
      <c r="B75" s="115" t="str">
        <f>N34</f>
        <v>h [m]</v>
      </c>
      <c r="C75" s="116" t="str">
        <f>O34</f>
        <v>Vmin [m/s]</v>
      </c>
      <c r="D75" s="116" t="str">
        <f>Q34</f>
        <v>Vmax [m/s]</v>
      </c>
      <c r="E75" s="116" t="str">
        <f>S34</f>
        <v>wmax [m/s]</v>
      </c>
      <c r="F75" s="116" t="str">
        <f>U34</f>
        <v>Vw [m/s]</v>
      </c>
      <c r="G75" s="116" t="str">
        <f>W34</f>
        <v>γmax [°]</v>
      </c>
      <c r="H75" s="117" t="str">
        <f>Y34</f>
        <v>Vγ [m/s]</v>
      </c>
      <c r="I75" s="118" t="str">
        <f>AB34</f>
        <v>10th [min]</v>
      </c>
    </row>
    <row r="76" spans="1:9" x14ac:dyDescent="0.3">
      <c r="A76" s="90"/>
      <c r="B76" s="93">
        <f t="shared" ref="B76:C76" si="109">N35</f>
        <v>0</v>
      </c>
      <c r="C76" s="86">
        <f t="shared" si="109"/>
        <v>49.969183359013797</v>
      </c>
      <c r="D76" s="86">
        <f t="shared" ref="D76:D82" si="110">Q35</f>
        <v>233.75963020030801</v>
      </c>
      <c r="E76" s="86">
        <f t="shared" ref="E76:E82" si="111">S35</f>
        <v>21.3344537815126</v>
      </c>
      <c r="F76" s="86">
        <f t="shared" ref="F76:F82" si="112">U35</f>
        <v>142.78890600924399</v>
      </c>
      <c r="G76" s="86">
        <f t="shared" ref="G76:G82" si="113">W35</f>
        <v>10.6006378678792</v>
      </c>
      <c r="H76" s="86">
        <f t="shared" ref="H76:H82" si="114">Y35</f>
        <v>85.566502463054107</v>
      </c>
      <c r="I76" s="87">
        <f t="shared" ref="I76:I82" si="115">AB35</f>
        <v>0</v>
      </c>
    </row>
    <row r="77" spans="1:9" x14ac:dyDescent="0.3">
      <c r="A77" s="90"/>
      <c r="B77" s="93">
        <f t="shared" ref="B77:C77" si="116">N36</f>
        <v>2000</v>
      </c>
      <c r="C77" s="86">
        <f t="shared" si="116"/>
        <v>54.776579352850497</v>
      </c>
      <c r="D77" s="86">
        <f t="shared" si="110"/>
        <v>238.56702619414401</v>
      </c>
      <c r="E77" s="86">
        <f t="shared" si="111"/>
        <v>17.858823529411701</v>
      </c>
      <c r="F77" s="86">
        <f t="shared" si="112"/>
        <v>149.44530046224901</v>
      </c>
      <c r="G77" s="86">
        <f t="shared" si="113"/>
        <v>8.4091511936339494</v>
      </c>
      <c r="H77" s="86">
        <f t="shared" si="114"/>
        <v>95.812807881773395</v>
      </c>
      <c r="I77" s="87">
        <f t="shared" si="115"/>
        <v>17.144544685800089</v>
      </c>
    </row>
    <row r="78" spans="1:9" x14ac:dyDescent="0.3">
      <c r="A78" s="90"/>
      <c r="B78" s="93">
        <f t="shared" ref="B78:C78" si="117">N37</f>
        <v>4000</v>
      </c>
      <c r="C78" s="86">
        <f t="shared" si="117"/>
        <v>60.693374422187901</v>
      </c>
      <c r="D78" s="86">
        <f t="shared" si="110"/>
        <v>243.744221879815</v>
      </c>
      <c r="E78" s="86">
        <f t="shared" si="111"/>
        <v>14.6789915966386</v>
      </c>
      <c r="F78" s="86">
        <f t="shared" si="112"/>
        <v>156.84129429892101</v>
      </c>
      <c r="G78" s="86">
        <f t="shared" si="113"/>
        <v>6.5063155235568999</v>
      </c>
      <c r="H78" s="86">
        <f t="shared" si="114"/>
        <v>108.423645320197</v>
      </c>
      <c r="I78" s="87">
        <f t="shared" si="115"/>
        <v>37.831094777672782</v>
      </c>
    </row>
    <row r="79" spans="1:9" x14ac:dyDescent="0.3">
      <c r="A79" s="90"/>
      <c r="B79" s="93">
        <f t="shared" ref="B79:C79" si="118">N38</f>
        <v>6000</v>
      </c>
      <c r="C79" s="86">
        <f t="shared" si="118"/>
        <v>67.349768875192595</v>
      </c>
      <c r="D79" s="86">
        <f t="shared" si="110"/>
        <v>248.921417565485</v>
      </c>
      <c r="E79" s="86">
        <f t="shared" si="111"/>
        <v>11.684033613445299</v>
      </c>
      <c r="F79" s="86">
        <f t="shared" si="112"/>
        <v>164.607087827426</v>
      </c>
      <c r="G79" s="86">
        <f t="shared" si="113"/>
        <v>4.8727737779461897</v>
      </c>
      <c r="H79" s="86">
        <f t="shared" si="114"/>
        <v>121.82266009852199</v>
      </c>
      <c r="I79" s="87">
        <f t="shared" si="115"/>
        <v>63.449670130409544</v>
      </c>
    </row>
    <row r="80" spans="1:9" x14ac:dyDescent="0.3">
      <c r="A80" s="90"/>
      <c r="B80" s="93">
        <f t="shared" ref="B80:C80" si="119">N39</f>
        <v>8000</v>
      </c>
      <c r="C80" s="86">
        <f t="shared" si="119"/>
        <v>75.855161787365105</v>
      </c>
      <c r="D80" s="86">
        <f t="shared" si="110"/>
        <v>254.83821263482201</v>
      </c>
      <c r="E80" s="86">
        <f t="shared" si="111"/>
        <v>9.0588235294117592</v>
      </c>
      <c r="F80" s="86">
        <f t="shared" si="112"/>
        <v>171.633281972265</v>
      </c>
      <c r="G80" s="86">
        <f t="shared" si="113"/>
        <v>3.47006441834028</v>
      </c>
      <c r="H80" s="86">
        <f t="shared" si="114"/>
        <v>136.00985221674799</v>
      </c>
      <c r="I80" s="87">
        <f t="shared" si="115"/>
        <v>96.112418774170948</v>
      </c>
    </row>
    <row r="81" spans="1:9" x14ac:dyDescent="0.3">
      <c r="A81" s="90"/>
      <c r="B81" s="93">
        <f t="shared" ref="B81:C81" si="120">N40</f>
        <v>10000</v>
      </c>
      <c r="C81" s="86">
        <f t="shared" si="120"/>
        <v>86.579352850539294</v>
      </c>
      <c r="D81" s="86">
        <f t="shared" si="110"/>
        <v>260.75500770415999</v>
      </c>
      <c r="E81" s="86">
        <f t="shared" si="111"/>
        <v>6.5075630252100796</v>
      </c>
      <c r="F81" s="86">
        <f t="shared" si="112"/>
        <v>182.357473035439</v>
      </c>
      <c r="G81" s="86">
        <f t="shared" si="113"/>
        <v>2.2791777188328899</v>
      </c>
      <c r="H81" s="86">
        <f t="shared" si="114"/>
        <v>153.74384236453199</v>
      </c>
      <c r="I81" s="87">
        <f t="shared" si="115"/>
        <v>140.12191306775617</v>
      </c>
    </row>
    <row r="82" spans="1:9" x14ac:dyDescent="0.3">
      <c r="A82" s="90"/>
      <c r="B82" s="93">
        <f t="shared" ref="B82:C82" si="121">N41</f>
        <v>12000</v>
      </c>
      <c r="C82" s="86">
        <f t="shared" si="121"/>
        <v>112.095531587057</v>
      </c>
      <c r="D82" s="86">
        <f t="shared" si="110"/>
        <v>266.302003081664</v>
      </c>
      <c r="E82" s="86">
        <f t="shared" si="111"/>
        <v>4.0672268907562898</v>
      </c>
      <c r="F82" s="86">
        <f t="shared" si="112"/>
        <v>196.040061633281</v>
      </c>
      <c r="G82" s="86">
        <f t="shared" si="113"/>
        <v>1.30036630036629</v>
      </c>
      <c r="H82" s="86">
        <f t="shared" si="114"/>
        <v>178.17733990147701</v>
      </c>
      <c r="I82" s="87">
        <f t="shared" si="115"/>
        <v>206.71110039557999</v>
      </c>
    </row>
    <row r="83" spans="1:9" ht="15" thickBot="1" x14ac:dyDescent="0.35">
      <c r="A83" s="90"/>
      <c r="B83" s="136">
        <f t="shared" ref="B83" si="122">N42</f>
        <v>14000</v>
      </c>
      <c r="C83" s="137">
        <f t="shared" ref="C83" si="123">O42</f>
        <v>152.03389830508399</v>
      </c>
      <c r="D83" s="137">
        <f t="shared" ref="D83" si="124">Q42</f>
        <v>267.78120184899802</v>
      </c>
      <c r="E83" s="137">
        <f t="shared" ref="E83" si="125">S42</f>
        <v>1.8487394957983101</v>
      </c>
      <c r="F83" s="137">
        <f t="shared" ref="F83" si="126">U42</f>
        <v>214.89984591679499</v>
      </c>
      <c r="G83" s="137">
        <f t="shared" ref="G83" si="127">W42</f>
        <v>0.51436781609195303</v>
      </c>
      <c r="H83" s="137">
        <f t="shared" ref="H83" si="128">Y42</f>
        <v>208.91625615763499</v>
      </c>
      <c r="I83" s="138">
        <f t="shared" ref="I83" si="129">AB42</f>
        <v>337.84057697960259</v>
      </c>
    </row>
    <row r="84" spans="1:9" ht="15" thickBot="1" x14ac:dyDescent="0.35">
      <c r="A84" s="90"/>
    </row>
    <row r="85" spans="1:9" x14ac:dyDescent="0.3">
      <c r="A85" s="90"/>
      <c r="B85" s="115" t="str">
        <f t="shared" ref="B85:C92" si="130">N46</f>
        <v>h [m]</v>
      </c>
      <c r="C85" s="116" t="str">
        <f t="shared" si="130"/>
        <v>Vmin [m/s]</v>
      </c>
      <c r="D85" s="116" t="str">
        <f t="shared" ref="D85:D92" si="131">Q46</f>
        <v>Vmax [m/s]</v>
      </c>
      <c r="E85" s="116" t="str">
        <f t="shared" ref="E85:E92" si="132">S46</f>
        <v>wmax [m/s]</v>
      </c>
      <c r="F85" s="116" t="str">
        <f t="shared" ref="F85:F92" si="133">U46</f>
        <v>Vw [m/s]</v>
      </c>
      <c r="G85" s="116" t="str">
        <f t="shared" ref="G85:G92" si="134">W46</f>
        <v>γmax [°]</v>
      </c>
      <c r="H85" s="117" t="str">
        <f t="shared" ref="H85:H92" si="135">Y46</f>
        <v>Vγ [m/s]</v>
      </c>
      <c r="I85" s="118" t="str">
        <f t="shared" ref="I85:I92" si="136">AB46</f>
        <v>10th [min]</v>
      </c>
    </row>
    <row r="86" spans="1:9" x14ac:dyDescent="0.3">
      <c r="A86" s="90"/>
      <c r="B86" s="93">
        <f t="shared" si="130"/>
        <v>0</v>
      </c>
      <c r="C86" s="86">
        <f t="shared" si="130"/>
        <v>49.966777408637803</v>
      </c>
      <c r="D86" s="86">
        <f t="shared" si="131"/>
        <v>203.84</v>
      </c>
      <c r="E86" s="86">
        <f t="shared" si="132"/>
        <v>17.4448818897637</v>
      </c>
      <c r="F86" s="86">
        <f t="shared" si="133"/>
        <v>125.91362126245799</v>
      </c>
      <c r="G86" s="86">
        <f t="shared" si="134"/>
        <v>9.9180327868852398</v>
      </c>
      <c r="H86" s="86">
        <f t="shared" si="135"/>
        <v>75.675675675675606</v>
      </c>
      <c r="I86" s="87">
        <f t="shared" si="136"/>
        <v>0</v>
      </c>
    </row>
    <row r="87" spans="1:9" x14ac:dyDescent="0.3">
      <c r="A87" s="90"/>
      <c r="B87" s="93">
        <f t="shared" si="130"/>
        <v>2000</v>
      </c>
      <c r="C87" s="86">
        <f t="shared" si="130"/>
        <v>55.149501661129499</v>
      </c>
      <c r="D87" s="86">
        <f t="shared" si="131"/>
        <v>204.70468431771801</v>
      </c>
      <c r="E87" s="86">
        <f t="shared" si="132"/>
        <v>14.3444881889763</v>
      </c>
      <c r="F87" s="86">
        <f t="shared" si="133"/>
        <v>128.30564784053101</v>
      </c>
      <c r="G87" s="86">
        <f t="shared" si="134"/>
        <v>7.6434426229508103</v>
      </c>
      <c r="H87" s="86">
        <f t="shared" si="135"/>
        <v>83.175675675675606</v>
      </c>
      <c r="I87" s="87">
        <f t="shared" si="136"/>
        <v>21.172765193962565</v>
      </c>
    </row>
    <row r="88" spans="1:9" x14ac:dyDescent="0.3">
      <c r="A88" s="90"/>
      <c r="B88" s="93">
        <f t="shared" si="130"/>
        <v>4000</v>
      </c>
      <c r="C88" s="86">
        <f t="shared" si="130"/>
        <v>61.328903654485003</v>
      </c>
      <c r="D88" s="86">
        <f t="shared" si="131"/>
        <v>204.62321792260599</v>
      </c>
      <c r="E88" s="86">
        <f t="shared" si="132"/>
        <v>11.3267716535433</v>
      </c>
      <c r="F88" s="86">
        <f t="shared" si="133"/>
        <v>132.69102990033201</v>
      </c>
      <c r="G88" s="86">
        <f t="shared" si="134"/>
        <v>5.6762295081967196</v>
      </c>
      <c r="H88" s="86">
        <f t="shared" si="135"/>
        <v>93.716216216216196</v>
      </c>
      <c r="I88" s="87">
        <f t="shared" si="136"/>
        <v>47.506031414479324</v>
      </c>
    </row>
    <row r="89" spans="1:9" x14ac:dyDescent="0.3">
      <c r="A89" s="90"/>
      <c r="B89" s="93">
        <f t="shared" si="130"/>
        <v>6000</v>
      </c>
      <c r="C89" s="86">
        <f t="shared" si="130"/>
        <v>68.305647840531506</v>
      </c>
      <c r="D89" s="86">
        <f t="shared" si="131"/>
        <v>204.41955193482599</v>
      </c>
      <c r="E89" s="86">
        <f t="shared" si="132"/>
        <v>8.5157480314960594</v>
      </c>
      <c r="F89" s="86">
        <f t="shared" si="133"/>
        <v>137.47508305647801</v>
      </c>
      <c r="G89" s="86">
        <f t="shared" si="134"/>
        <v>3.9959016393442601</v>
      </c>
      <c r="H89" s="86">
        <f t="shared" si="135"/>
        <v>106.28378378378299</v>
      </c>
      <c r="I89" s="87">
        <f t="shared" si="136"/>
        <v>81.792015668573583</v>
      </c>
    </row>
    <row r="90" spans="1:9" x14ac:dyDescent="0.3">
      <c r="A90" s="90"/>
      <c r="B90" s="93">
        <f t="shared" si="130"/>
        <v>8000</v>
      </c>
      <c r="C90" s="86">
        <f t="shared" si="130"/>
        <v>76.478405315614594</v>
      </c>
      <c r="D90" s="86">
        <f t="shared" si="131"/>
        <v>203.31975560081401</v>
      </c>
      <c r="E90" s="86">
        <f t="shared" si="132"/>
        <v>5.7460629921259798</v>
      </c>
      <c r="F90" s="86">
        <f t="shared" si="133"/>
        <v>142.45847176079701</v>
      </c>
      <c r="G90" s="86">
        <f t="shared" si="134"/>
        <v>2.47950819672131</v>
      </c>
      <c r="H90" s="86">
        <f t="shared" si="135"/>
        <v>119.864864864864</v>
      </c>
      <c r="I90" s="87">
        <f t="shared" si="136"/>
        <v>130.36896548181593</v>
      </c>
    </row>
    <row r="91" spans="1:9" x14ac:dyDescent="0.3">
      <c r="B91" s="93">
        <f t="shared" si="130"/>
        <v>10000</v>
      </c>
      <c r="C91" s="86">
        <f t="shared" si="130"/>
        <v>93.023255813953398</v>
      </c>
      <c r="D91" s="86">
        <f t="shared" si="131"/>
        <v>200.427698574338</v>
      </c>
      <c r="E91" s="86">
        <f t="shared" si="132"/>
        <v>3.0590551181102299</v>
      </c>
      <c r="F91" s="86">
        <f t="shared" si="133"/>
        <v>148.239202657807</v>
      </c>
      <c r="G91" s="86">
        <f t="shared" si="134"/>
        <v>1.1885245901639301</v>
      </c>
      <c r="H91" s="86">
        <f t="shared" si="135"/>
        <v>135.472972972972</v>
      </c>
      <c r="I91" s="87">
        <f t="shared" si="136"/>
        <v>213.8573870997341</v>
      </c>
    </row>
    <row r="92" spans="1:9" ht="15" thickBot="1" x14ac:dyDescent="0.35">
      <c r="B92" s="94">
        <f t="shared" si="130"/>
        <v>12000</v>
      </c>
      <c r="C92" s="88">
        <f t="shared" si="130"/>
        <v>146.245847176079</v>
      </c>
      <c r="D92" s="88">
        <f t="shared" si="131"/>
        <v>170</v>
      </c>
      <c r="E92" s="88">
        <f t="shared" si="132"/>
        <v>0.2</v>
      </c>
      <c r="F92" s="88">
        <f t="shared" si="133"/>
        <v>153.42192691029899</v>
      </c>
      <c r="G92" s="88">
        <f t="shared" si="134"/>
        <v>2.0491803278689599E-2</v>
      </c>
      <c r="H92" s="88">
        <f t="shared" si="135"/>
        <v>153.513513513513</v>
      </c>
      <c r="I92" s="89">
        <f t="shared" si="136"/>
        <v>1101.6737749161221</v>
      </c>
    </row>
    <row r="93" spans="1:9" ht="15" thickBot="1" x14ac:dyDescent="0.35"/>
    <row r="94" spans="1:9" x14ac:dyDescent="0.3">
      <c r="B94" s="115" t="str">
        <f t="shared" ref="B94:C100" si="137">N57</f>
        <v>h [m]</v>
      </c>
      <c r="C94" s="116" t="str">
        <f t="shared" si="137"/>
        <v>Vmin [m/s]</v>
      </c>
      <c r="D94" s="116" t="str">
        <f t="shared" ref="D94:D100" si="138">Q57</f>
        <v>Vmax [m/s]</v>
      </c>
      <c r="E94" s="116" t="str">
        <f t="shared" ref="E94:E100" si="139">S57</f>
        <v>wmax [m/s]</v>
      </c>
      <c r="F94" s="116" t="str">
        <f t="shared" ref="F94:F100" si="140">U57</f>
        <v>Vw [m/s]</v>
      </c>
      <c r="G94" s="116" t="str">
        <f t="shared" ref="G94:G100" si="141">W57</f>
        <v>γmax [°]</v>
      </c>
      <c r="H94" s="117" t="str">
        <f t="shared" ref="H94:H100" si="142">Y57</f>
        <v>Vγ [m/s]</v>
      </c>
      <c r="I94" s="118" t="str">
        <f t="shared" ref="I94:I100" si="143">AB57</f>
        <v>10th [min]</v>
      </c>
    </row>
    <row r="95" spans="1:9" x14ac:dyDescent="0.3">
      <c r="B95" s="93">
        <f t="shared" si="137"/>
        <v>0</v>
      </c>
      <c r="C95" s="86">
        <f t="shared" si="137"/>
        <v>50.166112956810601</v>
      </c>
      <c r="D95" s="86">
        <f t="shared" si="138"/>
        <v>205.18960209424</v>
      </c>
      <c r="E95" s="86">
        <f t="shared" si="139"/>
        <v>17.734251968503902</v>
      </c>
      <c r="F95" s="86">
        <f t="shared" si="140"/>
        <v>129.102990033222</v>
      </c>
      <c r="G95" s="86">
        <f t="shared" si="141"/>
        <v>9.5901639344262293</v>
      </c>
      <c r="H95" s="86">
        <f t="shared" si="142"/>
        <v>80.540540540540505</v>
      </c>
      <c r="I95" s="87">
        <f t="shared" si="143"/>
        <v>0</v>
      </c>
    </row>
    <row r="96" spans="1:9" x14ac:dyDescent="0.3">
      <c r="B96" s="93">
        <f t="shared" si="137"/>
        <v>2000</v>
      </c>
      <c r="C96" s="86">
        <f t="shared" si="137"/>
        <v>55.149501661129499</v>
      </c>
      <c r="D96" s="86">
        <f t="shared" si="138"/>
        <v>205.358041884816</v>
      </c>
      <c r="E96" s="86">
        <f t="shared" si="139"/>
        <v>14.509842519685</v>
      </c>
      <c r="F96" s="86">
        <f t="shared" si="140"/>
        <v>134.48504983388699</v>
      </c>
      <c r="G96" s="86">
        <f t="shared" si="141"/>
        <v>7.3975409836065502</v>
      </c>
      <c r="H96" s="86">
        <f t="shared" si="142"/>
        <v>89.459459459459396</v>
      </c>
      <c r="I96" s="87">
        <f t="shared" si="143"/>
        <v>20.884465328909826</v>
      </c>
    </row>
    <row r="97" spans="2:9" x14ac:dyDescent="0.3">
      <c r="B97" s="93">
        <f t="shared" si="137"/>
        <v>4000</v>
      </c>
      <c r="C97" s="86">
        <f t="shared" si="137"/>
        <v>61.328903654485003</v>
      </c>
      <c r="D97" s="86">
        <f t="shared" si="138"/>
        <v>205.82722513089001</v>
      </c>
      <c r="E97" s="86">
        <f t="shared" si="139"/>
        <v>11.1614173228346</v>
      </c>
      <c r="F97" s="86">
        <f t="shared" si="140"/>
        <v>138.870431893687</v>
      </c>
      <c r="G97" s="86">
        <f t="shared" si="141"/>
        <v>5.4508196721311402</v>
      </c>
      <c r="H97" s="86">
        <f t="shared" si="142"/>
        <v>99.391891891891802</v>
      </c>
      <c r="I97" s="87">
        <f t="shared" si="143"/>
        <v>47.303313969980792</v>
      </c>
    </row>
    <row r="98" spans="2:9" x14ac:dyDescent="0.3">
      <c r="B98" s="93">
        <f t="shared" si="137"/>
        <v>6000</v>
      </c>
      <c r="C98" s="86">
        <f t="shared" si="137"/>
        <v>68.305647840531506</v>
      </c>
      <c r="D98" s="86">
        <f t="shared" si="138"/>
        <v>206.30366492146501</v>
      </c>
      <c r="E98" s="86">
        <f t="shared" si="139"/>
        <v>8.1023622047244093</v>
      </c>
      <c r="F98" s="86">
        <f t="shared" si="140"/>
        <v>144.65116279069699</v>
      </c>
      <c r="G98" s="86">
        <f t="shared" si="141"/>
        <v>3.7704918032786798</v>
      </c>
      <c r="H98" s="86">
        <f t="shared" si="142"/>
        <v>112.567567567567</v>
      </c>
      <c r="I98" s="87">
        <f t="shared" si="143"/>
        <v>82.805839495182113</v>
      </c>
    </row>
    <row r="99" spans="2:9" x14ac:dyDescent="0.3">
      <c r="B99" s="93">
        <f t="shared" si="137"/>
        <v>8000</v>
      </c>
      <c r="C99" s="86">
        <f t="shared" si="137"/>
        <v>76.478405315614594</v>
      </c>
      <c r="D99" s="86">
        <f t="shared" si="138"/>
        <v>202.32356020942399</v>
      </c>
      <c r="E99" s="86">
        <f t="shared" si="139"/>
        <v>5.3740157480314901</v>
      </c>
      <c r="F99" s="86">
        <f t="shared" si="140"/>
        <v>148.239202657807</v>
      </c>
      <c r="G99" s="86">
        <f t="shared" si="141"/>
        <v>2.2540983606557301</v>
      </c>
      <c r="H99" s="86">
        <f t="shared" si="142"/>
        <v>127.567567567567</v>
      </c>
      <c r="I99" s="87">
        <f t="shared" si="143"/>
        <v>134.38940332364393</v>
      </c>
    </row>
    <row r="100" spans="2:9" ht="15" thickBot="1" x14ac:dyDescent="0.35">
      <c r="B100" s="130">
        <f t="shared" si="137"/>
        <v>10000</v>
      </c>
      <c r="C100" s="131">
        <f t="shared" si="137"/>
        <v>95.813953488371993</v>
      </c>
      <c r="D100" s="131">
        <f t="shared" si="138"/>
        <v>190.40540540540499</v>
      </c>
      <c r="E100" s="131">
        <f t="shared" si="139"/>
        <v>2.5629921259842501</v>
      </c>
      <c r="F100" s="131">
        <f t="shared" si="140"/>
        <v>154.81727574750801</v>
      </c>
      <c r="G100" s="131">
        <f t="shared" si="141"/>
        <v>0.98360655737704905</v>
      </c>
      <c r="H100" s="131">
        <f t="shared" si="142"/>
        <v>143.175675675675</v>
      </c>
      <c r="I100" s="132">
        <f t="shared" si="143"/>
        <v>230.43099613943036</v>
      </c>
    </row>
    <row r="101" spans="2:9" x14ac:dyDescent="0.3">
      <c r="B101" s="133"/>
      <c r="C101" s="134"/>
      <c r="D101" s="134"/>
      <c r="E101" s="134"/>
      <c r="F101" s="134"/>
      <c r="G101" s="134"/>
      <c r="H101" s="135"/>
      <c r="I101" s="13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AF866-95CA-4D72-B47F-473C55EF2355}">
  <dimension ref="A1:X288"/>
  <sheetViews>
    <sheetView workbookViewId="0"/>
  </sheetViews>
  <sheetFormatPr defaultRowHeight="15" x14ac:dyDescent="0.3"/>
  <cols>
    <col min="1" max="1" width="43" style="20" customWidth="1"/>
    <col min="2" max="2" width="12.77734375" style="20" customWidth="1"/>
    <col min="3" max="4" width="8.88671875" style="20"/>
    <col min="5" max="5" width="11" style="20" bestFit="1" customWidth="1"/>
    <col min="6" max="6" width="8.88671875" style="20"/>
    <col min="7" max="7" width="9.6640625" style="20" customWidth="1"/>
    <col min="8" max="8" width="9" style="20" bestFit="1" customWidth="1"/>
    <col min="9" max="9" width="11.5546875" style="20" customWidth="1"/>
    <col min="10" max="10" width="12.33203125" style="20" customWidth="1"/>
    <col min="11" max="11" width="11" style="64" bestFit="1" customWidth="1"/>
    <col min="12" max="14" width="8.88671875" style="20"/>
    <col min="15" max="15" width="10" style="20" customWidth="1"/>
    <col min="16" max="17" width="8.88671875" style="20"/>
    <col min="18" max="18" width="14.21875" style="20" customWidth="1"/>
    <col min="19" max="22" width="8.6640625" style="20" customWidth="1"/>
    <col min="23" max="23" width="14.21875" style="20" customWidth="1"/>
    <col min="24" max="16384" width="8.88671875" style="20"/>
  </cols>
  <sheetData>
    <row r="1" spans="1:24" ht="16.2" thickBot="1" x14ac:dyDescent="0.35">
      <c r="A1" s="25" t="s">
        <v>11</v>
      </c>
      <c r="B1" s="25" t="s">
        <v>22</v>
      </c>
      <c r="C1" s="25">
        <f>Podsumowanie!B30</f>
        <v>1.7453292519943295E-2</v>
      </c>
      <c r="D1" s="25" t="s">
        <v>29</v>
      </c>
    </row>
    <row r="2" spans="1:24" ht="18.600000000000001" thickBot="1" x14ac:dyDescent="0.35">
      <c r="A2" s="25" t="s">
        <v>17</v>
      </c>
      <c r="B2" s="25" t="s">
        <v>69</v>
      </c>
      <c r="C2" s="25">
        <f>Podsumowanie!B17</f>
        <v>6.2309999999999999</v>
      </c>
      <c r="D2" s="25" t="s">
        <v>26</v>
      </c>
      <c r="E2" s="20">
        <f>DEGREES(C5)</f>
        <v>-1.42</v>
      </c>
      <c r="J2" s="143" t="s">
        <v>117</v>
      </c>
      <c r="K2" s="144"/>
      <c r="L2" s="144"/>
      <c r="M2" s="144"/>
      <c r="N2" s="144"/>
      <c r="O2" s="145"/>
    </row>
    <row r="3" spans="1:24" ht="18.600000000000001" thickBot="1" x14ac:dyDescent="0.35">
      <c r="A3" s="25" t="s">
        <v>62</v>
      </c>
      <c r="B3" s="25" t="s">
        <v>70</v>
      </c>
      <c r="C3" s="25">
        <f>Podsumowanie!B10</f>
        <v>9800</v>
      </c>
      <c r="D3" s="25" t="s">
        <v>28</v>
      </c>
      <c r="F3" s="49"/>
      <c r="J3" s="95" t="s">
        <v>63</v>
      </c>
      <c r="K3" s="96" t="s">
        <v>53</v>
      </c>
      <c r="L3" s="95" t="s">
        <v>65</v>
      </c>
      <c r="M3" s="95" t="s">
        <v>66</v>
      </c>
      <c r="N3" s="95" t="s">
        <v>84</v>
      </c>
      <c r="O3" s="95" t="s">
        <v>64</v>
      </c>
      <c r="P3" s="20" t="s">
        <v>151</v>
      </c>
      <c r="R3" s="51" t="s">
        <v>85</v>
      </c>
      <c r="S3" s="52" t="s">
        <v>87</v>
      </c>
      <c r="T3" s="52" t="s">
        <v>86</v>
      </c>
      <c r="U3" s="54" t="s">
        <v>86</v>
      </c>
      <c r="V3" s="54" t="s">
        <v>87</v>
      </c>
      <c r="W3" s="53" t="s">
        <v>88</v>
      </c>
    </row>
    <row r="4" spans="1:24" ht="18" x14ac:dyDescent="0.3">
      <c r="A4" s="25" t="s">
        <v>16</v>
      </c>
      <c r="B4" s="25" t="s">
        <v>5</v>
      </c>
      <c r="C4" s="25">
        <f>Podsumowanie!B3</f>
        <v>17.5</v>
      </c>
      <c r="D4" s="25" t="s">
        <v>71</v>
      </c>
      <c r="F4" s="49"/>
      <c r="J4" s="44">
        <f>SQRT(2*(C$14+G12)*C$10/C$4/C$15/G8)</f>
        <v>50.003599658606447</v>
      </c>
      <c r="K4" s="42">
        <f>J4/G$11</f>
        <v>0.14693975803293108</v>
      </c>
      <c r="L4" s="46">
        <f>G$9*(1-0.605*K4+0.725*K4^2)</f>
        <v>9082.2003077697173</v>
      </c>
      <c r="M4" s="43">
        <f t="shared" ref="M4:M18" si="0">V4</f>
        <v>10.826660759148977</v>
      </c>
      <c r="N4" s="43">
        <f t="shared" ref="N4:N18" si="1">S4</f>
        <v>8.475958446765679</v>
      </c>
      <c r="O4" s="43">
        <f t="shared" ref="O4:O18" si="2">J4*SIN(RADIANS(N4))</f>
        <v>7.3702507124738617</v>
      </c>
      <c r="P4" s="20">
        <f>L4/1000/O4</f>
        <v>1.2322783392427137</v>
      </c>
      <c r="Q4" s="20">
        <v>1</v>
      </c>
      <c r="R4" s="57">
        <f>0.5*G$8*C$4*C$2*(U4-C$5)*J4^2+L4*SIN(U4-C$1)-C$10*(C$14+G$12*(J$18-J4)/(J$18-J$4))*COS(T4)</f>
        <v>4.6671113668708131E-3</v>
      </c>
      <c r="S4" s="57">
        <f t="shared" ref="S4:S18" si="3">DEGREES(T4)</f>
        <v>8.475958446765679</v>
      </c>
      <c r="T4" s="57">
        <v>0.14793338215828561</v>
      </c>
      <c r="U4" s="58">
        <v>0.18896087724361843</v>
      </c>
      <c r="V4" s="58">
        <f>DEGREES(U4)</f>
        <v>10.826660759148977</v>
      </c>
      <c r="W4" s="58">
        <f>-0.5*G$8*C$4*J4^2*((C$7+(C$2^2)*(U4-C$5)^2/(PI()*C$6))/SQRT(1-(J4/G$11)^2))+L4*COS(U4-C$1)-C$10*(C$14+G$12*(J$18-J4)/(J$18-J$4))*SIN(T4)</f>
        <v>7.9383863703696989E-4</v>
      </c>
      <c r="X4" s="20">
        <f t="shared" ref="X4:X18" si="4">Q4</f>
        <v>1</v>
      </c>
    </row>
    <row r="5" spans="1:24" ht="18" x14ac:dyDescent="0.3">
      <c r="A5" s="25" t="s">
        <v>30</v>
      </c>
      <c r="B5" s="25" t="s">
        <v>72</v>
      </c>
      <c r="C5" s="25">
        <f>Podsumowanie!B31</f>
        <v>-2.4783675378319478E-2</v>
      </c>
      <c r="D5" s="25" t="s">
        <v>29</v>
      </c>
      <c r="F5" s="49"/>
      <c r="J5" s="47">
        <f>J$4+Q4*G$14</f>
        <v>61.431913968705985</v>
      </c>
      <c r="K5" s="66">
        <f>J5/G$11</f>
        <v>0.1805228150711313</v>
      </c>
      <c r="L5" s="48">
        <f>G$9*(1-0.605*K5+0.725*K5^2)</f>
        <v>8961.22142788163</v>
      </c>
      <c r="M5" s="14">
        <f t="shared" si="0"/>
        <v>6.6567537203809071</v>
      </c>
      <c r="N5" s="14">
        <f t="shared" si="1"/>
        <v>9.8404246272464171</v>
      </c>
      <c r="O5" s="14">
        <f t="shared" si="2"/>
        <v>10.499003087444358</v>
      </c>
      <c r="P5" s="20">
        <f t="shared" ref="P5:P18" si="5">L5/1000/O5</f>
        <v>0.85353069746195775</v>
      </c>
      <c r="Q5" s="20">
        <v>2</v>
      </c>
      <c r="R5" s="57">
        <f t="shared" ref="R5:R18" si="6">0.5*G$8*C$4*C$2*(U5-C$5)*J5^2+L5*SIN(U5-C$1)-C$10*(C$14+G$12*(J$18-J5)/(J$18-J$4))*COS(T5)</f>
        <v>-2.6983805582858622E-5</v>
      </c>
      <c r="S5" s="57">
        <f t="shared" si="3"/>
        <v>9.8404246272464171</v>
      </c>
      <c r="T5" s="57">
        <v>0.17174780953978569</v>
      </c>
      <c r="U5" s="58">
        <v>0.11618226991502879</v>
      </c>
      <c r="V5" s="58">
        <f t="shared" ref="V5:V18" si="7">DEGREES(U5)</f>
        <v>6.6567537203809071</v>
      </c>
      <c r="W5" s="58">
        <f t="shared" ref="W5:W18" si="8">-0.5*G$8*C$4*J5^2*((C$7+(C$2^2)*(U5-C$5)^2/(PI()*C$6))/SQRT(1-(J5/G$11)^2))+L5*COS(U5-C$1)-C$10*(C$14+G$12*(J$18-J5)/(J$18-J$4))*SIN(T5)</f>
        <v>-7.2510210884502158E-6</v>
      </c>
      <c r="X5" s="20">
        <f t="shared" si="4"/>
        <v>2</v>
      </c>
    </row>
    <row r="6" spans="1:24" ht="18" x14ac:dyDescent="0.3">
      <c r="A6" s="25" t="s">
        <v>15</v>
      </c>
      <c r="B6" s="25" t="s">
        <v>73</v>
      </c>
      <c r="C6" s="25">
        <f>Podsumowanie!B14</f>
        <v>5.1340000000000003</v>
      </c>
      <c r="D6" s="25" t="s">
        <v>8</v>
      </c>
      <c r="F6" s="49"/>
      <c r="J6" s="47">
        <f t="shared" ref="J6:J16" si="9">J$4+Q5*G$14</f>
        <v>72.860228278805522</v>
      </c>
      <c r="K6" s="66">
        <f t="shared" ref="K6:K18" si="10">J6/G$11</f>
        <v>0.21410587210933152</v>
      </c>
      <c r="L6" s="48">
        <f t="shared" ref="L6:L18" si="11">G$9*(1-0.605*K6+0.725*K6^2)</f>
        <v>8856.2688946351827</v>
      </c>
      <c r="M6" s="14">
        <f t="shared" si="0"/>
        <v>4.2612841533692514</v>
      </c>
      <c r="N6" s="14">
        <f t="shared" si="1"/>
        <v>10.433763361660441</v>
      </c>
      <c r="O6" s="14">
        <f t="shared" si="2"/>
        <v>13.194893691702633</v>
      </c>
      <c r="P6" s="20">
        <f t="shared" si="5"/>
        <v>0.67118910554044742</v>
      </c>
      <c r="Q6" s="59">
        <v>3</v>
      </c>
      <c r="R6" s="57">
        <f>0.5*G$8*C$4*C$2*(U6-C$5)*J6^2+L6*SIN(U6-C$1)-C$10*(C$14+G$12*(J$18-J6)/(J$18-J$4))*COS(T6)</f>
        <v>7.1416034188587219E-5</v>
      </c>
      <c r="S6" s="57">
        <f t="shared" si="3"/>
        <v>10.433763361660441</v>
      </c>
      <c r="T6" s="57">
        <v>0.18210352403492658</v>
      </c>
      <c r="U6" s="58">
        <v>7.4373438839352449E-2</v>
      </c>
      <c r="V6" s="58">
        <f t="shared" si="7"/>
        <v>4.2612841533692514</v>
      </c>
      <c r="W6" s="58">
        <f t="shared" si="8"/>
        <v>-3.7409973629110027E-4</v>
      </c>
      <c r="X6" s="20">
        <f t="shared" si="4"/>
        <v>3</v>
      </c>
    </row>
    <row r="7" spans="1:24" ht="18" x14ac:dyDescent="0.3">
      <c r="A7" s="25" t="s">
        <v>18</v>
      </c>
      <c r="B7" s="25" t="s">
        <v>74</v>
      </c>
      <c r="C7" s="25">
        <f>Podsumowanie!B15</f>
        <v>1.533E-2</v>
      </c>
      <c r="D7" s="25" t="s">
        <v>8</v>
      </c>
      <c r="F7" s="22" t="s">
        <v>6</v>
      </c>
      <c r="G7" s="22">
        <v>0</v>
      </c>
      <c r="H7" s="22" t="s">
        <v>3</v>
      </c>
      <c r="J7" s="47">
        <f t="shared" si="9"/>
        <v>84.288542588905074</v>
      </c>
      <c r="K7" s="66">
        <f t="shared" si="10"/>
        <v>0.24768892914753179</v>
      </c>
      <c r="L7" s="48">
        <f t="shared" si="11"/>
        <v>8767.3427080303773</v>
      </c>
      <c r="M7" s="14">
        <f t="shared" si="0"/>
        <v>2.7681224315296546</v>
      </c>
      <c r="N7" s="14">
        <f t="shared" si="1"/>
        <v>10.603235474683798</v>
      </c>
      <c r="O7" s="14">
        <f t="shared" si="2"/>
        <v>15.509669749794682</v>
      </c>
      <c r="P7" s="20">
        <f t="shared" si="5"/>
        <v>0.56528235929371995</v>
      </c>
      <c r="Q7" s="59">
        <v>4</v>
      </c>
      <c r="R7" s="57">
        <f t="shared" si="6"/>
        <v>1.1682983313221484E-5</v>
      </c>
      <c r="S7" s="57">
        <f t="shared" si="3"/>
        <v>10.603235474683798</v>
      </c>
      <c r="T7" s="57">
        <v>0.18506137039749612</v>
      </c>
      <c r="U7" s="58">
        <v>4.8312850528503766E-2</v>
      </c>
      <c r="V7" s="58">
        <f t="shared" si="7"/>
        <v>2.7681224315296546</v>
      </c>
      <c r="W7" s="58">
        <f t="shared" si="8"/>
        <v>-8.1873212366190273E-5</v>
      </c>
      <c r="X7" s="20">
        <f t="shared" si="4"/>
        <v>4</v>
      </c>
    </row>
    <row r="8" spans="1:24" ht="18.600000000000001" x14ac:dyDescent="0.3">
      <c r="A8" s="25" t="s">
        <v>14</v>
      </c>
      <c r="B8" s="25" t="s">
        <v>75</v>
      </c>
      <c r="C8" s="25">
        <f>Podsumowanie!B12</f>
        <v>243.33333333333334</v>
      </c>
      <c r="D8" s="25" t="s">
        <v>27</v>
      </c>
      <c r="F8" s="20" t="s">
        <v>79</v>
      </c>
      <c r="G8" s="20">
        <f>C$9*(1-G7/44300)^4.256</f>
        <v>1.2255</v>
      </c>
      <c r="H8" s="20" t="s">
        <v>80</v>
      </c>
      <c r="J8" s="47">
        <f t="shared" si="9"/>
        <v>95.716856899004597</v>
      </c>
      <c r="K8" s="66">
        <f t="shared" si="10"/>
        <v>0.28127198618573196</v>
      </c>
      <c r="L8" s="48">
        <f t="shared" si="11"/>
        <v>8694.4428680672117</v>
      </c>
      <c r="M8" s="14">
        <f t="shared" si="0"/>
        <v>1.7788560072359005</v>
      </c>
      <c r="N8" s="14">
        <f t="shared" si="1"/>
        <v>10.499870165516411</v>
      </c>
      <c r="O8" s="14">
        <f t="shared" si="2"/>
        <v>17.442798449229731</v>
      </c>
      <c r="P8" s="20">
        <f t="shared" si="5"/>
        <v>0.49845458533353376</v>
      </c>
      <c r="Q8" s="59">
        <v>5</v>
      </c>
      <c r="R8" s="57">
        <f t="shared" si="6"/>
        <v>1.9264043658040464E-6</v>
      </c>
      <c r="S8" s="57">
        <f t="shared" si="3"/>
        <v>10.499870165516411</v>
      </c>
      <c r="T8" s="57">
        <v>0.18325730542018334</v>
      </c>
      <c r="U8" s="58">
        <v>3.104689424514654E-2</v>
      </c>
      <c r="V8" s="58">
        <f t="shared" si="7"/>
        <v>1.7788560072359005</v>
      </c>
      <c r="W8" s="58">
        <f t="shared" si="8"/>
        <v>-1.7377820768160746E-5</v>
      </c>
      <c r="X8" s="20">
        <f t="shared" si="4"/>
        <v>5</v>
      </c>
    </row>
    <row r="9" spans="1:24" ht="18.600000000000001" x14ac:dyDescent="0.3">
      <c r="A9" s="25" t="s">
        <v>25</v>
      </c>
      <c r="B9" s="25" t="s">
        <v>24</v>
      </c>
      <c r="C9" s="25">
        <f>Podsumowanie!B2</f>
        <v>1.2255</v>
      </c>
      <c r="D9" s="25" t="s">
        <v>76</v>
      </c>
      <c r="F9" s="20" t="s">
        <v>81</v>
      </c>
      <c r="G9" s="20">
        <f>C$3*(G8/C$9)^0.85</f>
        <v>9800</v>
      </c>
      <c r="H9" s="20" t="s">
        <v>28</v>
      </c>
      <c r="J9" s="47">
        <f t="shared" si="9"/>
        <v>107.14517120910415</v>
      </c>
      <c r="K9" s="66">
        <f t="shared" si="10"/>
        <v>0.31485504322393226</v>
      </c>
      <c r="L9" s="48">
        <f>G$9*(1-0.605*K9+0.725*K9^2)</f>
        <v>8637.5693747456862</v>
      </c>
      <c r="M9" s="14">
        <f t="shared" si="0"/>
        <v>1.0918417800194611</v>
      </c>
      <c r="N9" s="14">
        <f t="shared" si="1"/>
        <v>10.193733446645203</v>
      </c>
      <c r="O9" s="14">
        <f t="shared" si="2"/>
        <v>18.962241232755577</v>
      </c>
      <c r="P9" s="20">
        <f t="shared" si="5"/>
        <v>0.45551415936134476</v>
      </c>
      <c r="Q9" s="59">
        <v>6</v>
      </c>
      <c r="R9" s="57">
        <f t="shared" si="6"/>
        <v>1.2213879890623502E-3</v>
      </c>
      <c r="S9" s="57">
        <f t="shared" si="3"/>
        <v>10.193733446645203</v>
      </c>
      <c r="T9" s="57">
        <v>0.17791421171462851</v>
      </c>
      <c r="U9" s="58">
        <v>1.9056233972175231E-2</v>
      </c>
      <c r="V9" s="58">
        <f t="shared" si="7"/>
        <v>1.0918417800194611</v>
      </c>
      <c r="W9" s="58">
        <f t="shared" si="8"/>
        <v>5.9513781707210001E-5</v>
      </c>
      <c r="X9" s="20">
        <f t="shared" si="4"/>
        <v>6</v>
      </c>
    </row>
    <row r="10" spans="1:24" ht="18.600000000000001" x14ac:dyDescent="0.3">
      <c r="A10" s="25" t="s">
        <v>89</v>
      </c>
      <c r="B10" s="25" t="s">
        <v>4</v>
      </c>
      <c r="C10" s="25">
        <f>Podsumowanie!B1</f>
        <v>9.81</v>
      </c>
      <c r="D10" s="25" t="s">
        <v>90</v>
      </c>
      <c r="F10" s="20" t="s">
        <v>82</v>
      </c>
      <c r="G10" s="20">
        <f>C$12-6.5*G7/1000</f>
        <v>288.14999999999998</v>
      </c>
      <c r="H10" s="20" t="s">
        <v>56</v>
      </c>
      <c r="J10" s="47">
        <f t="shared" si="9"/>
        <v>118.57348551920369</v>
      </c>
      <c r="K10" s="66">
        <f t="shared" si="10"/>
        <v>0.34843810026213246</v>
      </c>
      <c r="L10" s="48">
        <f t="shared" si="11"/>
        <v>8596.7222280658043</v>
      </c>
      <c r="M10" s="14">
        <f t="shared" si="0"/>
        <v>0.59656492321816701</v>
      </c>
      <c r="N10" s="14">
        <f t="shared" si="1"/>
        <v>9.7167485112945258</v>
      </c>
      <c r="O10" s="14">
        <f t="shared" si="2"/>
        <v>20.012537627862194</v>
      </c>
      <c r="P10" s="20">
        <f t="shared" si="5"/>
        <v>0.42956682395425605</v>
      </c>
      <c r="Q10" s="20">
        <v>7</v>
      </c>
      <c r="R10" s="57">
        <f t="shared" si="6"/>
        <v>2.0676825079135597E-4</v>
      </c>
      <c r="S10" s="57">
        <f t="shared" si="3"/>
        <v>9.7167485112945258</v>
      </c>
      <c r="T10" s="57">
        <v>0.16958925411034689</v>
      </c>
      <c r="U10" s="58">
        <v>1.0412022112064181E-2</v>
      </c>
      <c r="V10" s="58">
        <f t="shared" si="7"/>
        <v>0.59656492321816701</v>
      </c>
      <c r="W10" s="58">
        <f t="shared" si="8"/>
        <v>1.1551163879630622E-5</v>
      </c>
      <c r="X10" s="20">
        <f t="shared" si="4"/>
        <v>7</v>
      </c>
    </row>
    <row r="11" spans="1:24" ht="18.600000000000001" x14ac:dyDescent="0.3">
      <c r="A11" s="25" t="s">
        <v>59</v>
      </c>
      <c r="B11" s="25" t="s">
        <v>77</v>
      </c>
      <c r="C11" s="25">
        <f>Podsumowanie!B13</f>
        <v>340.3</v>
      </c>
      <c r="D11" s="25" t="s">
        <v>55</v>
      </c>
      <c r="F11" s="20" t="s">
        <v>83</v>
      </c>
      <c r="G11" s="20">
        <f>C$11*SQRT(G10/C$12)</f>
        <v>340.3</v>
      </c>
      <c r="H11" s="20" t="s">
        <v>55</v>
      </c>
      <c r="J11" s="47">
        <f t="shared" si="9"/>
        <v>130.00179982930322</v>
      </c>
      <c r="K11" s="66">
        <f>J11/G$11</f>
        <v>0.3820211573003327</v>
      </c>
      <c r="L11" s="48">
        <f t="shared" si="11"/>
        <v>8571.9014280275605</v>
      </c>
      <c r="M11" s="14">
        <f t="shared" si="0"/>
        <v>0.22849923309282991</v>
      </c>
      <c r="N11" s="14">
        <f t="shared" si="1"/>
        <v>9.0804259324614662</v>
      </c>
      <c r="O11" s="14">
        <f t="shared" si="2"/>
        <v>20.516978423923938</v>
      </c>
      <c r="P11" s="20">
        <f t="shared" si="5"/>
        <v>0.41779550823293976</v>
      </c>
      <c r="Q11" s="20">
        <v>8</v>
      </c>
      <c r="R11" s="57">
        <f t="shared" si="6"/>
        <v>1.8267759878654033E-4</v>
      </c>
      <c r="S11" s="57">
        <f t="shared" si="3"/>
        <v>9.0804259324614662</v>
      </c>
      <c r="T11" s="57">
        <v>0.15848333000492884</v>
      </c>
      <c r="U11" s="58">
        <v>3.9880639557518674E-3</v>
      </c>
      <c r="V11" s="58">
        <f t="shared" si="7"/>
        <v>0.22849923309282991</v>
      </c>
      <c r="W11" s="58">
        <f>-0.5*G$8*C$4*J11^2*((C$7+(C$2^2)*(U11-C$5)^2/(PI()*C$6))/SQRT(1-(J11/G$11)^2))+L11*COS(U11-C$1)-C$10*(C$14+G$12*(J$18-J11)/(J$18-J$4))*SIN(T11)</f>
        <v>7.3295168476761319E-6</v>
      </c>
      <c r="X11" s="20">
        <f t="shared" si="4"/>
        <v>8</v>
      </c>
    </row>
    <row r="12" spans="1:24" ht="18" x14ac:dyDescent="0.3">
      <c r="A12" s="25" t="s">
        <v>60</v>
      </c>
      <c r="B12" s="25" t="s">
        <v>78</v>
      </c>
      <c r="C12" s="25">
        <f>Podsumowanie!B18</f>
        <v>288.14999999999998</v>
      </c>
      <c r="D12" s="25" t="s">
        <v>56</v>
      </c>
      <c r="F12" s="20" t="s">
        <v>149</v>
      </c>
      <c r="G12" s="20">
        <f>C13</f>
        <v>996</v>
      </c>
      <c r="H12" s="20" t="s">
        <v>0</v>
      </c>
      <c r="J12" s="47">
        <f t="shared" si="9"/>
        <v>141.43011413940275</v>
      </c>
      <c r="K12" s="66">
        <f t="shared" si="10"/>
        <v>0.4156042143385329</v>
      </c>
      <c r="L12" s="48">
        <f t="shared" si="11"/>
        <v>8563.1069746309568</v>
      </c>
      <c r="M12" s="14">
        <f t="shared" si="0"/>
        <v>-5.20176114856956E-2</v>
      </c>
      <c r="N12" s="14">
        <f t="shared" si="1"/>
        <v>8.2837074207152543</v>
      </c>
      <c r="O12" s="14">
        <f t="shared" si="2"/>
        <v>20.376517452844443</v>
      </c>
      <c r="P12" s="20">
        <f t="shared" si="5"/>
        <v>0.42024389076532787</v>
      </c>
      <c r="Q12" s="59">
        <v>9</v>
      </c>
      <c r="R12" s="57">
        <f t="shared" si="6"/>
        <v>6.0660266171908006E-5</v>
      </c>
      <c r="S12" s="57">
        <f t="shared" si="3"/>
        <v>8.2837074207152543</v>
      </c>
      <c r="T12" s="57">
        <v>0.14457796876336831</v>
      </c>
      <c r="U12" s="58">
        <v>-9.0787858944860742E-4</v>
      </c>
      <c r="V12" s="58">
        <f t="shared" si="7"/>
        <v>-5.20176114856956E-2</v>
      </c>
      <c r="W12" s="58">
        <f t="shared" si="8"/>
        <v>2.5843000912573189E-6</v>
      </c>
      <c r="X12" s="20">
        <f t="shared" si="4"/>
        <v>9</v>
      </c>
    </row>
    <row r="13" spans="1:24" ht="18" x14ac:dyDescent="0.3">
      <c r="A13" s="25" t="s">
        <v>91</v>
      </c>
      <c r="B13" s="25" t="s">
        <v>92</v>
      </c>
      <c r="C13" s="25">
        <f>Podsumowanie!B5</f>
        <v>996</v>
      </c>
      <c r="D13" s="25" t="s">
        <v>0</v>
      </c>
      <c r="F13" s="20" t="s">
        <v>150</v>
      </c>
      <c r="G13" s="20" cm="1">
        <f t="array" ref="G13">C$16*(G25-G7)*MIN(IF(P4:P18&gt;0,P4:P18))</f>
        <v>24.733494087390035</v>
      </c>
      <c r="H13" s="20" t="s">
        <v>0</v>
      </c>
      <c r="J13" s="47">
        <f t="shared" si="9"/>
        <v>152.8584284495023</v>
      </c>
      <c r="K13" s="66">
        <f t="shared" si="10"/>
        <v>0.44918727137673314</v>
      </c>
      <c r="L13" s="48">
        <f t="shared" si="11"/>
        <v>8570.3388678759966</v>
      </c>
      <c r="M13" s="14">
        <f t="shared" si="0"/>
        <v>-0.27042586373062116</v>
      </c>
      <c r="N13" s="14">
        <f t="shared" si="1"/>
        <v>7.3164116029566948</v>
      </c>
      <c r="O13" s="14">
        <f t="shared" si="2"/>
        <v>19.466324923680027</v>
      </c>
      <c r="P13" s="20">
        <f t="shared" si="5"/>
        <v>0.44026486260128705</v>
      </c>
      <c r="Q13" s="59">
        <v>10</v>
      </c>
      <c r="R13" s="57">
        <f t="shared" si="6"/>
        <v>1.5323821571655571E-5</v>
      </c>
      <c r="S13" s="57">
        <f t="shared" si="3"/>
        <v>7.3164116029566948</v>
      </c>
      <c r="T13" s="57">
        <v>0.12769547190271041</v>
      </c>
      <c r="U13" s="58">
        <v>-4.7198217046488548E-3</v>
      </c>
      <c r="V13" s="58">
        <f t="shared" si="7"/>
        <v>-0.27042586373062116</v>
      </c>
      <c r="W13" s="58">
        <f t="shared" si="8"/>
        <v>8.4160046753822826E-7</v>
      </c>
      <c r="X13" s="20">
        <f t="shared" si="4"/>
        <v>10</v>
      </c>
    </row>
    <row r="14" spans="1:24" ht="18" x14ac:dyDescent="0.3">
      <c r="A14" s="25" t="s">
        <v>96</v>
      </c>
      <c r="B14" s="25" t="s">
        <v>93</v>
      </c>
      <c r="C14" s="25">
        <f>Podsumowanie!B4-Podsumowanie!B5</f>
        <v>2844</v>
      </c>
      <c r="D14" s="25" t="s">
        <v>0</v>
      </c>
      <c r="F14" s="20" t="s">
        <v>152</v>
      </c>
      <c r="G14" s="20">
        <f>(J18-J4)/Q17</f>
        <v>11.428314310099539</v>
      </c>
      <c r="H14" s="20" t="s">
        <v>55</v>
      </c>
      <c r="J14" s="47">
        <f t="shared" si="9"/>
        <v>164.28674275960185</v>
      </c>
      <c r="K14" s="66">
        <f t="shared" si="10"/>
        <v>0.48277032841493345</v>
      </c>
      <c r="L14" s="48">
        <f t="shared" si="11"/>
        <v>8593.5971077626727</v>
      </c>
      <c r="M14" s="14">
        <f t="shared" si="0"/>
        <v>-0.44364242181765323</v>
      </c>
      <c r="N14" s="14">
        <f t="shared" si="1"/>
        <v>6.160440170009406</v>
      </c>
      <c r="O14" s="14">
        <f t="shared" si="2"/>
        <v>17.630089950686052</v>
      </c>
      <c r="P14" s="20">
        <f t="shared" si="5"/>
        <v>0.48743920943116137</v>
      </c>
      <c r="Q14" s="59">
        <v>11</v>
      </c>
      <c r="R14" s="57">
        <f t="shared" si="6"/>
        <v>4.6889217628631741E-6</v>
      </c>
      <c r="S14" s="57">
        <f t="shared" si="3"/>
        <v>6.160440170009406</v>
      </c>
      <c r="T14" s="57">
        <v>0.10751996433878337</v>
      </c>
      <c r="U14" s="58">
        <v>-7.7430209622395751E-3</v>
      </c>
      <c r="V14" s="58">
        <f t="shared" si="7"/>
        <v>-0.44364242181765323</v>
      </c>
      <c r="W14" s="58">
        <f t="shared" si="8"/>
        <v>1.9493154468364082E-7</v>
      </c>
      <c r="X14" s="20">
        <f t="shared" si="4"/>
        <v>11</v>
      </c>
    </row>
    <row r="15" spans="1:24" ht="18" x14ac:dyDescent="0.3">
      <c r="A15" s="25" t="s">
        <v>94</v>
      </c>
      <c r="B15" s="25" t="s">
        <v>95</v>
      </c>
      <c r="C15" s="25">
        <f>Podsumowanie!B16</f>
        <v>1.405</v>
      </c>
      <c r="D15" s="25" t="s">
        <v>8</v>
      </c>
      <c r="J15" s="47">
        <f t="shared" si="9"/>
        <v>175.71505706970137</v>
      </c>
      <c r="K15" s="66">
        <f t="shared" si="10"/>
        <v>0.51635338545313358</v>
      </c>
      <c r="L15" s="48">
        <f t="shared" si="11"/>
        <v>8632.8816942909943</v>
      </c>
      <c r="M15" s="14">
        <f t="shared" si="0"/>
        <v>-0.58327296434090359</v>
      </c>
      <c r="N15" s="14">
        <f t="shared" si="1"/>
        <v>4.7895935020542142</v>
      </c>
      <c r="O15" s="14">
        <f t="shared" si="2"/>
        <v>14.671653990281284</v>
      </c>
      <c r="P15" s="20">
        <f t="shared" si="5"/>
        <v>0.58840548584430497</v>
      </c>
      <c r="Q15" s="59">
        <v>12</v>
      </c>
      <c r="R15" s="57">
        <f t="shared" si="6"/>
        <v>1.6487709217472002E-5</v>
      </c>
      <c r="S15" s="57">
        <f t="shared" si="3"/>
        <v>4.7895935020542142</v>
      </c>
      <c r="T15" s="57">
        <v>8.3594176442971832E-2</v>
      </c>
      <c r="U15" s="58">
        <v>-1.0180033665616244E-2</v>
      </c>
      <c r="V15" s="58">
        <f t="shared" si="7"/>
        <v>-0.58327296434090359</v>
      </c>
      <c r="W15" s="58">
        <f t="shared" si="8"/>
        <v>1.2109553608752321E-6</v>
      </c>
      <c r="X15" s="20">
        <f t="shared" si="4"/>
        <v>12</v>
      </c>
    </row>
    <row r="16" spans="1:24" ht="15.6" x14ac:dyDescent="0.3">
      <c r="A16" s="25" t="s">
        <v>146</v>
      </c>
      <c r="B16" s="25" t="s">
        <v>147</v>
      </c>
      <c r="C16" s="25">
        <f>Podsumowanie!B32</f>
        <v>2.9600000000000001E-2</v>
      </c>
      <c r="D16" s="25" t="s">
        <v>148</v>
      </c>
      <c r="J16" s="47">
        <f t="shared" si="9"/>
        <v>187.14337137980093</v>
      </c>
      <c r="K16" s="66">
        <f t="shared" si="10"/>
        <v>0.54993644249133389</v>
      </c>
      <c r="L16" s="48">
        <f t="shared" si="11"/>
        <v>8688.1926274609541</v>
      </c>
      <c r="M16" s="14">
        <f t="shared" si="0"/>
        <v>-0.69750443736473056</v>
      </c>
      <c r="N16" s="14">
        <f t="shared" si="1"/>
        <v>3.1682434851268049</v>
      </c>
      <c r="O16" s="14">
        <f t="shared" si="2"/>
        <v>10.343059484359541</v>
      </c>
      <c r="P16" s="20">
        <f t="shared" si="5"/>
        <v>0.84000219089902495</v>
      </c>
      <c r="Q16" s="20">
        <v>13</v>
      </c>
      <c r="R16" s="57">
        <f t="shared" si="6"/>
        <v>1.4688812370877713E-6</v>
      </c>
      <c r="S16" s="57">
        <f t="shared" si="3"/>
        <v>3.1682434851268049</v>
      </c>
      <c r="T16" s="57">
        <v>5.5296280320322744E-2</v>
      </c>
      <c r="U16" s="58">
        <v>-1.2173748979285108E-2</v>
      </c>
      <c r="V16" s="58">
        <f t="shared" si="7"/>
        <v>-0.69750443736473056</v>
      </c>
      <c r="W16" s="58">
        <f t="shared" si="8"/>
        <v>6.6968141254619695E-8</v>
      </c>
      <c r="X16" s="20">
        <f t="shared" si="4"/>
        <v>13</v>
      </c>
    </row>
    <row r="17" spans="1:24" x14ac:dyDescent="0.3">
      <c r="J17" s="47">
        <f>J$4+Q16*G$14</f>
        <v>198.57168568990045</v>
      </c>
      <c r="K17" s="66">
        <f t="shared" si="10"/>
        <v>0.58351949952953408</v>
      </c>
      <c r="L17" s="48">
        <f>G$9*(1-0.605*K17+0.725*K17^2)</f>
        <v>8759.5299072725538</v>
      </c>
      <c r="M17" s="14">
        <f t="shared" si="0"/>
        <v>-0.79226515549842158</v>
      </c>
      <c r="N17" s="14">
        <f t="shared" si="1"/>
        <v>1.2487324768207024</v>
      </c>
      <c r="O17" s="14">
        <f t="shared" si="2"/>
        <v>4.3274266460251809</v>
      </c>
      <c r="P17" s="20">
        <f t="shared" si="5"/>
        <v>2.0241891137122661</v>
      </c>
      <c r="Q17" s="20">
        <v>14</v>
      </c>
      <c r="R17" s="57">
        <f t="shared" si="6"/>
        <v>1.6044214135035872E-7</v>
      </c>
      <c r="S17" s="57">
        <f t="shared" si="3"/>
        <v>1.2487324768207024</v>
      </c>
      <c r="T17" s="57">
        <v>2.1794493197105028E-2</v>
      </c>
      <c r="U17" s="58">
        <v>-1.3827635512272313E-2</v>
      </c>
      <c r="V17" s="58">
        <f t="shared" si="7"/>
        <v>-0.79226515549842158</v>
      </c>
      <c r="W17" s="58">
        <f t="shared" si="8"/>
        <v>1.9676917872857302E-9</v>
      </c>
      <c r="X17" s="20">
        <f t="shared" si="4"/>
        <v>14</v>
      </c>
    </row>
    <row r="18" spans="1:24" x14ac:dyDescent="0.3">
      <c r="J18" s="47">
        <v>210</v>
      </c>
      <c r="K18" s="66">
        <f t="shared" si="10"/>
        <v>0.61710255656773438</v>
      </c>
      <c r="L18" s="48">
        <f t="shared" si="11"/>
        <v>8846.8935337257954</v>
      </c>
      <c r="M18" s="14">
        <f t="shared" si="0"/>
        <v>-0.87196399984337036</v>
      </c>
      <c r="N18" s="14">
        <f t="shared" si="1"/>
        <v>-1.0330159437384936</v>
      </c>
      <c r="O18" s="14">
        <f t="shared" si="2"/>
        <v>-3.785996060298269</v>
      </c>
      <c r="P18" s="20">
        <f t="shared" si="5"/>
        <v>-2.3367413470126057</v>
      </c>
      <c r="Q18" s="59">
        <v>15</v>
      </c>
      <c r="R18" s="57">
        <f t="shared" si="6"/>
        <v>3.4585471439640969E-4</v>
      </c>
      <c r="S18" s="57">
        <f t="shared" si="3"/>
        <v>-1.0330159437384936</v>
      </c>
      <c r="T18" s="57">
        <v>-1.8029529443833212E-2</v>
      </c>
      <c r="U18" s="58">
        <v>-1.5218642756126133E-2</v>
      </c>
      <c r="V18" s="58">
        <f t="shared" si="7"/>
        <v>-0.87196399984337036</v>
      </c>
      <c r="W18" s="58">
        <f t="shared" si="8"/>
        <v>-3.5284631792364962E-5</v>
      </c>
      <c r="X18" s="20">
        <f t="shared" si="4"/>
        <v>15</v>
      </c>
    </row>
    <row r="19" spans="1:24" ht="15.6" thickBot="1" x14ac:dyDescent="0.35"/>
    <row r="20" spans="1:24" ht="16.2" thickBot="1" x14ac:dyDescent="0.35">
      <c r="A20" s="59"/>
      <c r="B20" s="60"/>
      <c r="C20" s="61"/>
      <c r="D20" s="60"/>
      <c r="E20" s="59"/>
      <c r="J20" s="143" t="s">
        <v>116</v>
      </c>
      <c r="K20" s="144"/>
      <c r="L20" s="144"/>
      <c r="M20" s="144"/>
      <c r="N20" s="144"/>
      <c r="O20" s="145"/>
    </row>
    <row r="21" spans="1:24" ht="18.600000000000001" thickBot="1" x14ac:dyDescent="0.35">
      <c r="A21" s="59"/>
      <c r="B21" s="60"/>
      <c r="C21" s="61"/>
      <c r="D21" s="60"/>
      <c r="E21" s="59"/>
      <c r="F21" s="49"/>
      <c r="J21" s="95" t="s">
        <v>63</v>
      </c>
      <c r="K21" s="96" t="s">
        <v>53</v>
      </c>
      <c r="L21" s="95" t="s">
        <v>65</v>
      </c>
      <c r="M21" s="95" t="s">
        <v>66</v>
      </c>
      <c r="N21" s="95" t="s">
        <v>84</v>
      </c>
      <c r="O21" s="95" t="s">
        <v>64</v>
      </c>
      <c r="P21" s="20" t="s">
        <v>151</v>
      </c>
      <c r="R21" s="51" t="s">
        <v>85</v>
      </c>
      <c r="S21" s="52" t="s">
        <v>87</v>
      </c>
      <c r="T21" s="52" t="s">
        <v>86</v>
      </c>
      <c r="U21" s="54" t="s">
        <v>86</v>
      </c>
      <c r="V21" s="54" t="s">
        <v>87</v>
      </c>
      <c r="W21" s="53" t="s">
        <v>88</v>
      </c>
    </row>
    <row r="22" spans="1:24" x14ac:dyDescent="0.3">
      <c r="A22" s="59"/>
      <c r="B22" s="60"/>
      <c r="C22" s="61"/>
      <c r="D22" s="60"/>
      <c r="E22" s="59"/>
      <c r="F22" s="49"/>
      <c r="J22" s="44">
        <f>SQRT(2*(C$14+G30)*C$10/C$4/C$15/G26)</f>
        <v>54.991165562477157</v>
      </c>
      <c r="K22" s="42">
        <f>J22/G$29</f>
        <v>0.16536954410787785</v>
      </c>
      <c r="L22" s="46">
        <f>G$27*(1-0.605*K22+0.725*K22^2)</f>
        <v>7626.5463874350598</v>
      </c>
      <c r="M22" s="43">
        <f t="shared" ref="M22:M36" si="12">V22</f>
        <v>10.967536375121327</v>
      </c>
      <c r="N22" s="43">
        <f t="shared" ref="N22:N36" si="13">S22</f>
        <v>6.224459527382038</v>
      </c>
      <c r="O22" s="43">
        <f t="shared" ref="O22:O36" si="14">J22*SIN(RADIANS(N22))</f>
        <v>5.9623482875690117</v>
      </c>
      <c r="P22" s="20">
        <f>L22/1000/O22</f>
        <v>1.2791178944268919</v>
      </c>
      <c r="Q22" s="20">
        <v>1</v>
      </c>
      <c r="R22" s="57">
        <f>0.5*G$26*C$4*C$2*(U22-C$5)*J22^2+L22*SIN(U22-C$1)-C$10*(C$14+G$30*(J$36-J22)/(J$36-J$22))*COS(T22)</f>
        <v>-1.1439240915933624E-4</v>
      </c>
      <c r="S22" s="57">
        <f t="shared" ref="S22:S36" si="15">DEGREES(T22)</f>
        <v>6.224459527382038</v>
      </c>
      <c r="T22" s="57">
        <v>0.1086373129099467</v>
      </c>
      <c r="U22" s="58">
        <v>0.19141962057811104</v>
      </c>
      <c r="V22" s="58">
        <f>DEGREES(U22)</f>
        <v>10.967536375121327</v>
      </c>
      <c r="W22" s="58">
        <f>-0.5*G$26*C$4*J22^2*((C$7+(C$2^2)*(U22-C$5)^2/(PI()*C$6))/SQRT(1-(J22/G$29)^2))+L22*COS(U22-C$1)-C$10*(C$14+G$30*(J$36-J22)/(J$36-J$22))*SIN(T22)</f>
        <v>-4.6534721604984952E-5</v>
      </c>
      <c r="X22" s="20">
        <f t="shared" ref="X22:X36" si="16">Q22</f>
        <v>1</v>
      </c>
    </row>
    <row r="23" spans="1:24" x14ac:dyDescent="0.3">
      <c r="A23" s="59"/>
      <c r="B23" s="60"/>
      <c r="C23" s="61"/>
      <c r="D23" s="60"/>
      <c r="E23" s="59"/>
      <c r="F23" s="49"/>
      <c r="J23" s="47">
        <f t="shared" ref="J23:J34" si="17">J$22+Q22*G$32</f>
        <v>66.063225165157363</v>
      </c>
      <c r="K23" s="13">
        <f t="shared" ref="K23:K36" si="18">J23/G$29</f>
        <v>0.19866546409979444</v>
      </c>
      <c r="L23" s="48">
        <f t="shared" ref="L23:L36" si="19">G$27*(1-0.605*K23+0.725*K23^2)</f>
        <v>7532.3823024223429</v>
      </c>
      <c r="M23" s="14">
        <f t="shared" si="12"/>
        <v>7.1021783362790174</v>
      </c>
      <c r="N23" s="14">
        <f t="shared" si="13"/>
        <v>7.5043407650154839</v>
      </c>
      <c r="O23" s="14">
        <f t="shared" si="14"/>
        <v>8.6279433757524959</v>
      </c>
      <c r="P23" s="20">
        <f t="shared" ref="P23:P36" si="20">L23/1000/O23</f>
        <v>0.87302175899658108</v>
      </c>
      <c r="Q23" s="20">
        <v>2</v>
      </c>
      <c r="R23" s="57">
        <f t="shared" ref="R23:R35" si="21">0.5*G$26*C$4*C$2*(U23-C$5)*J23^2+L23*SIN(U23-C$1)-C$10*(C$14+G$30*(J$36-J23)/(J$36-J$22))*COS(T23)</f>
        <v>-1.5690755390096456E-5</v>
      </c>
      <c r="S23" s="57">
        <f t="shared" si="15"/>
        <v>7.5043407650154839</v>
      </c>
      <c r="T23" s="57">
        <v>0.13097545454115028</v>
      </c>
      <c r="U23" s="58">
        <v>0.1239563960318819</v>
      </c>
      <c r="V23" s="58">
        <f t="shared" ref="V23:V36" si="22">DEGREES(U23)</f>
        <v>7.1021783362790174</v>
      </c>
      <c r="W23" s="58">
        <f t="shared" ref="W23:W36" si="23">-0.5*G$26*C$4*J23^2*((C$7+(C$2^2)*(U23-C$5)^2/(PI()*C$6))/SQRT(1-(J23/G$29)^2))+L23*COS(U23-C$1)-C$10*(C$14+G$30*(J$36-J23)/(J$36-J$22))*SIN(T23)</f>
        <v>-4.2300762288505211E-6</v>
      </c>
      <c r="X23" s="20">
        <f t="shared" si="16"/>
        <v>2</v>
      </c>
    </row>
    <row r="24" spans="1:24" x14ac:dyDescent="0.3">
      <c r="A24" s="59"/>
      <c r="B24" s="60"/>
      <c r="C24" s="61"/>
      <c r="D24" s="60"/>
      <c r="E24" s="59"/>
      <c r="F24" s="49"/>
      <c r="J24" s="47">
        <f t="shared" si="17"/>
        <v>77.135284767837561</v>
      </c>
      <c r="K24" s="13">
        <f t="shared" si="18"/>
        <v>0.23196138409171096</v>
      </c>
      <c r="L24" s="48">
        <f t="shared" si="19"/>
        <v>7451.5471358195564</v>
      </c>
      <c r="M24" s="14">
        <f t="shared" si="12"/>
        <v>4.7581989392132797</v>
      </c>
      <c r="N24" s="14">
        <f t="shared" si="13"/>
        <v>8.1313792559775706</v>
      </c>
      <c r="O24" s="14">
        <f t="shared" si="14"/>
        <v>10.910278353441688</v>
      </c>
      <c r="P24" s="20">
        <f t="shared" si="20"/>
        <v>0.68298414526417084</v>
      </c>
      <c r="Q24" s="59">
        <v>3</v>
      </c>
      <c r="R24" s="57">
        <f t="shared" si="21"/>
        <v>5.3297866543289274E-5</v>
      </c>
      <c r="S24" s="57">
        <f t="shared" si="15"/>
        <v>8.1313792559775706</v>
      </c>
      <c r="T24" s="57">
        <v>0.1419193407451754</v>
      </c>
      <c r="U24" s="58">
        <v>8.3046237954173263E-2</v>
      </c>
      <c r="V24" s="58">
        <f t="shared" si="22"/>
        <v>4.7581989392132797</v>
      </c>
      <c r="W24" s="58">
        <f t="shared" si="23"/>
        <v>-2.7104005221190164E-4</v>
      </c>
      <c r="X24" s="20">
        <f t="shared" si="16"/>
        <v>3</v>
      </c>
    </row>
    <row r="25" spans="1:24" x14ac:dyDescent="0.3">
      <c r="A25" s="59"/>
      <c r="B25" s="60"/>
      <c r="C25" s="61"/>
      <c r="D25" s="60"/>
      <c r="E25" s="59"/>
      <c r="F25" s="22" t="s">
        <v>6</v>
      </c>
      <c r="G25" s="22">
        <v>2000</v>
      </c>
      <c r="H25" s="22" t="s">
        <v>3</v>
      </c>
      <c r="J25" s="47">
        <f t="shared" si="17"/>
        <v>88.207344370517774</v>
      </c>
      <c r="K25" s="13">
        <f t="shared" si="18"/>
        <v>0.26525730408362758</v>
      </c>
      <c r="L25" s="48">
        <f t="shared" si="19"/>
        <v>7384.040887626702</v>
      </c>
      <c r="M25" s="14">
        <f t="shared" si="12"/>
        <v>3.2380114813600387</v>
      </c>
      <c r="N25" s="14">
        <f t="shared" si="13"/>
        <v>8.3810080826249251</v>
      </c>
      <c r="O25" s="14">
        <f t="shared" si="14"/>
        <v>12.856670737797735</v>
      </c>
      <c r="P25" s="20">
        <f t="shared" si="20"/>
        <v>0.57433538108105431</v>
      </c>
      <c r="Q25" s="59">
        <v>4</v>
      </c>
      <c r="R25" s="57">
        <f t="shared" si="21"/>
        <v>1.260689168702811E-5</v>
      </c>
      <c r="S25" s="57">
        <f t="shared" si="15"/>
        <v>8.3810080826249251</v>
      </c>
      <c r="T25" s="57">
        <v>0.14627618567806192</v>
      </c>
      <c r="U25" s="58">
        <v>5.6513961567111672E-2</v>
      </c>
      <c r="V25" s="58">
        <f t="shared" si="22"/>
        <v>3.2380114813600387</v>
      </c>
      <c r="W25" s="58">
        <f t="shared" si="23"/>
        <v>-8.3095101217622869E-5</v>
      </c>
      <c r="X25" s="20">
        <f t="shared" si="16"/>
        <v>4</v>
      </c>
    </row>
    <row r="26" spans="1:24" ht="18.600000000000001" x14ac:dyDescent="0.3">
      <c r="A26" s="59"/>
      <c r="B26" s="60"/>
      <c r="C26" s="61"/>
      <c r="D26" s="60"/>
      <c r="E26" s="59"/>
      <c r="F26" s="20" t="s">
        <v>79</v>
      </c>
      <c r="G26" s="20">
        <f>C$9*(1-G25/44300)^4.256</f>
        <v>1.0067546873840096</v>
      </c>
      <c r="H26" s="20" t="s">
        <v>80</v>
      </c>
      <c r="J26" s="47">
        <f t="shared" si="17"/>
        <v>99.279403973197958</v>
      </c>
      <c r="K26" s="13">
        <f t="shared" si="18"/>
        <v>0.29855322407554408</v>
      </c>
      <c r="L26" s="48">
        <f t="shared" si="19"/>
        <v>7329.8635578437788</v>
      </c>
      <c r="M26" s="14">
        <f t="shared" si="12"/>
        <v>2.1999438701265008</v>
      </c>
      <c r="N26" s="14">
        <f t="shared" si="13"/>
        <v>8.3825958500569602</v>
      </c>
      <c r="O26" s="14">
        <f t="shared" si="14"/>
        <v>14.473201768838477</v>
      </c>
      <c r="P26" s="20">
        <f t="shared" si="20"/>
        <v>0.50644381767863833</v>
      </c>
      <c r="Q26" s="59">
        <v>5</v>
      </c>
      <c r="R26" s="57">
        <f t="shared" si="21"/>
        <v>2.6576017262414098E-6</v>
      </c>
      <c r="S26" s="57">
        <f t="shared" si="15"/>
        <v>8.3825958500569602</v>
      </c>
      <c r="T26" s="57">
        <v>0.14630389744750685</v>
      </c>
      <c r="U26" s="58">
        <v>3.8396263892773959E-2</v>
      </c>
      <c r="V26" s="58">
        <f t="shared" si="22"/>
        <v>2.1999438701265008</v>
      </c>
      <c r="W26" s="58">
        <f t="shared" si="23"/>
        <v>-2.2083883777668234E-5</v>
      </c>
      <c r="X26" s="20">
        <f t="shared" si="16"/>
        <v>5</v>
      </c>
    </row>
    <row r="27" spans="1:24" ht="18.600000000000001" x14ac:dyDescent="0.3">
      <c r="A27" s="59"/>
      <c r="B27" s="60"/>
      <c r="C27" s="61"/>
      <c r="D27" s="60"/>
      <c r="E27" s="59"/>
      <c r="F27" s="20" t="s">
        <v>81</v>
      </c>
      <c r="G27" s="20">
        <f>C$3*(G26/C$9)^0.85</f>
        <v>8291.7245933023369</v>
      </c>
      <c r="H27" s="20" t="s">
        <v>28</v>
      </c>
      <c r="J27" s="47">
        <f t="shared" si="17"/>
        <v>110.35146357587817</v>
      </c>
      <c r="K27" s="13">
        <f t="shared" si="18"/>
        <v>0.33184914406746063</v>
      </c>
      <c r="L27" s="48">
        <f t="shared" si="19"/>
        <v>7289.0151464707878</v>
      </c>
      <c r="M27" s="14">
        <f t="shared" si="12"/>
        <v>1.4617216562200592</v>
      </c>
      <c r="N27" s="14">
        <f t="shared" si="13"/>
        <v>8.2002054525738757</v>
      </c>
      <c r="O27" s="14">
        <f t="shared" si="14"/>
        <v>15.739703237926438</v>
      </c>
      <c r="P27" s="20">
        <f t="shared" si="20"/>
        <v>0.46309736824689007</v>
      </c>
      <c r="Q27" s="59">
        <v>6</v>
      </c>
      <c r="R27" s="57">
        <f t="shared" si="21"/>
        <v>1.7719481838867068E-3</v>
      </c>
      <c r="S27" s="57">
        <f t="shared" si="15"/>
        <v>8.2002054525738757</v>
      </c>
      <c r="T27" s="57">
        <v>0.14312058448740586</v>
      </c>
      <c r="U27" s="58">
        <v>2.5511855648744683E-2</v>
      </c>
      <c r="V27" s="58">
        <f t="shared" si="22"/>
        <v>1.4617216562200592</v>
      </c>
      <c r="W27" s="58">
        <f t="shared" si="23"/>
        <v>8.9538288193580229E-5</v>
      </c>
      <c r="X27" s="20">
        <f t="shared" si="16"/>
        <v>6</v>
      </c>
    </row>
    <row r="28" spans="1:24" ht="18.600000000000001" x14ac:dyDescent="0.3">
      <c r="A28" s="59"/>
      <c r="B28" s="60"/>
      <c r="C28" s="61"/>
      <c r="D28" s="60"/>
      <c r="E28" s="59"/>
      <c r="F28" s="20" t="s">
        <v>82</v>
      </c>
      <c r="G28" s="20">
        <f>C$12-6.5*G25/1000</f>
        <v>275.14999999999998</v>
      </c>
      <c r="H28" s="20" t="s">
        <v>56</v>
      </c>
      <c r="J28" s="47">
        <f t="shared" si="17"/>
        <v>121.42352317855838</v>
      </c>
      <c r="K28" s="13">
        <f t="shared" si="18"/>
        <v>0.36514506405937724</v>
      </c>
      <c r="L28" s="48">
        <f t="shared" si="19"/>
        <v>7261.4956535077281</v>
      </c>
      <c r="M28" s="14">
        <f t="shared" si="12"/>
        <v>0.91925993193343325</v>
      </c>
      <c r="N28" s="14">
        <f t="shared" si="13"/>
        <v>7.8652795316857631</v>
      </c>
      <c r="O28" s="14">
        <f t="shared" si="14"/>
        <v>16.616115270423947</v>
      </c>
      <c r="P28" s="20">
        <f t="shared" si="20"/>
        <v>0.43701524305340572</v>
      </c>
      <c r="Q28" s="20">
        <v>7</v>
      </c>
      <c r="R28" s="57">
        <f t="shared" si="21"/>
        <v>6.6501730179879814E-4</v>
      </c>
      <c r="S28" s="57">
        <f t="shared" si="15"/>
        <v>7.8652795316857631</v>
      </c>
      <c r="T28" s="57">
        <v>0.13727502441763423</v>
      </c>
      <c r="U28" s="58">
        <v>1.6044112493897374E-2</v>
      </c>
      <c r="V28" s="58">
        <f t="shared" si="22"/>
        <v>0.91925993193343325</v>
      </c>
      <c r="W28" s="58">
        <f t="shared" si="23"/>
        <v>3.0213222999009304E-5</v>
      </c>
      <c r="X28" s="20">
        <f t="shared" si="16"/>
        <v>7</v>
      </c>
    </row>
    <row r="29" spans="1:24" ht="18.600000000000001" x14ac:dyDescent="0.3">
      <c r="A29" s="59"/>
      <c r="B29" s="60"/>
      <c r="C29" s="61"/>
      <c r="D29" s="60"/>
      <c r="E29" s="59"/>
      <c r="F29" s="20" t="s">
        <v>83</v>
      </c>
      <c r="G29" s="20">
        <f>C$11*SQRT(G28/C$12)</f>
        <v>332.53502547363854</v>
      </c>
      <c r="H29" s="20" t="s">
        <v>55</v>
      </c>
      <c r="J29" s="47">
        <f t="shared" si="17"/>
        <v>132.49558278123857</v>
      </c>
      <c r="K29" s="13">
        <f t="shared" si="18"/>
        <v>0.39844098405129375</v>
      </c>
      <c r="L29" s="48">
        <f t="shared" si="19"/>
        <v>7247.3050789545987</v>
      </c>
      <c r="M29" s="14">
        <f t="shared" si="12"/>
        <v>0.50975789035040642</v>
      </c>
      <c r="N29" s="14">
        <f t="shared" si="13"/>
        <v>7.3910822519492712</v>
      </c>
      <c r="O29" s="14">
        <f t="shared" si="14"/>
        <v>17.04439702898884</v>
      </c>
      <c r="P29" s="20">
        <f t="shared" si="20"/>
        <v>0.42520161121736938</v>
      </c>
      <c r="Q29" s="20">
        <v>8</v>
      </c>
      <c r="R29" s="57">
        <f t="shared" si="21"/>
        <v>1.6705500092939474E-4</v>
      </c>
      <c r="S29" s="57">
        <f t="shared" si="15"/>
        <v>7.3910822519492712</v>
      </c>
      <c r="T29" s="57">
        <v>0.12899872058223186</v>
      </c>
      <c r="U29" s="58">
        <v>8.8969535746348232E-3</v>
      </c>
      <c r="V29" s="58">
        <f t="shared" si="22"/>
        <v>0.50975789035040642</v>
      </c>
      <c r="W29" s="58">
        <f t="shared" si="23"/>
        <v>8.2163396655232646E-6</v>
      </c>
      <c r="X29" s="20">
        <f t="shared" si="16"/>
        <v>8</v>
      </c>
    </row>
    <row r="30" spans="1:24" x14ac:dyDescent="0.3">
      <c r="A30" s="59"/>
      <c r="B30" s="60"/>
      <c r="C30" s="61"/>
      <c r="D30" s="60"/>
      <c r="E30" s="59"/>
      <c r="F30" s="20" t="s">
        <v>149</v>
      </c>
      <c r="G30" s="20">
        <f>G12-G13</f>
        <v>971.26650591261</v>
      </c>
      <c r="H30" s="20" t="s">
        <v>0</v>
      </c>
      <c r="J30" s="47">
        <f t="shared" si="17"/>
        <v>143.56764238391878</v>
      </c>
      <c r="K30" s="13">
        <f t="shared" si="18"/>
        <v>0.4317369040432103</v>
      </c>
      <c r="L30" s="48">
        <f t="shared" si="19"/>
        <v>7246.4434228114023</v>
      </c>
      <c r="M30" s="14">
        <f t="shared" si="12"/>
        <v>0.19356339864558289</v>
      </c>
      <c r="N30" s="14">
        <f t="shared" si="13"/>
        <v>6.7794357537980741</v>
      </c>
      <c r="O30" s="14">
        <f t="shared" si="14"/>
        <v>16.947811552320999</v>
      </c>
      <c r="P30" s="20">
        <f t="shared" si="20"/>
        <v>0.42757399092150061</v>
      </c>
      <c r="Q30" s="59">
        <v>9</v>
      </c>
      <c r="R30" s="57">
        <f t="shared" si="21"/>
        <v>1.0283557276125066E-4</v>
      </c>
      <c r="S30" s="57">
        <f t="shared" si="15"/>
        <v>6.7794357537980741</v>
      </c>
      <c r="T30" s="57">
        <v>0.11832347533120006</v>
      </c>
      <c r="U30" s="58">
        <v>3.3783186177157539E-3</v>
      </c>
      <c r="V30" s="58">
        <f t="shared" si="22"/>
        <v>0.19356339864558289</v>
      </c>
      <c r="W30" s="58">
        <f t="shared" si="23"/>
        <v>4.2515939639997669E-6</v>
      </c>
      <c r="X30" s="20">
        <f t="shared" si="16"/>
        <v>9</v>
      </c>
    </row>
    <row r="31" spans="1:24" x14ac:dyDescent="0.3">
      <c r="A31" s="59"/>
      <c r="B31" s="60"/>
      <c r="C31" s="61"/>
      <c r="D31" s="60"/>
      <c r="E31" s="59"/>
      <c r="F31" s="20" t="s">
        <v>150</v>
      </c>
      <c r="G31" s="20" cm="1">
        <f t="array" ref="G31">C$16*(G43-G25)*MIN(IF(P22:P36&gt;0,P22:P36))</f>
        <v>25.17193538406827</v>
      </c>
      <c r="H31" s="20" t="s">
        <v>0</v>
      </c>
      <c r="J31" s="47">
        <f t="shared" si="17"/>
        <v>154.63970198659896</v>
      </c>
      <c r="K31" s="13">
        <f t="shared" si="18"/>
        <v>0.4650328240351268</v>
      </c>
      <c r="L31" s="48">
        <f t="shared" si="19"/>
        <v>7258.9106850781372</v>
      </c>
      <c r="M31" s="14">
        <f t="shared" si="12"/>
        <v>-5.53311608416171E-2</v>
      </c>
      <c r="N31" s="14">
        <f t="shared" si="13"/>
        <v>6.0238366726531352</v>
      </c>
      <c r="O31" s="14">
        <f t="shared" si="14"/>
        <v>16.228231087914313</v>
      </c>
      <c r="P31" s="20">
        <f t="shared" si="20"/>
        <v>0.44730141231992204</v>
      </c>
      <c r="Q31" s="59">
        <v>10</v>
      </c>
      <c r="R31" s="57">
        <f t="shared" si="21"/>
        <v>2.6008747227024287E-6</v>
      </c>
      <c r="S31" s="57">
        <f t="shared" si="15"/>
        <v>6.0238366726531352</v>
      </c>
      <c r="T31" s="57">
        <v>0.10513578354017707</v>
      </c>
      <c r="U31" s="58">
        <v>-9.6571093563677503E-4</v>
      </c>
      <c r="V31" s="58">
        <f t="shared" si="22"/>
        <v>-5.53311608416171E-2</v>
      </c>
      <c r="W31" s="58">
        <f t="shared" si="23"/>
        <v>8.7025682660168968E-7</v>
      </c>
      <c r="X31" s="20">
        <f t="shared" si="16"/>
        <v>10</v>
      </c>
    </row>
    <row r="32" spans="1:24" x14ac:dyDescent="0.3">
      <c r="A32" s="59"/>
      <c r="B32" s="60"/>
      <c r="C32" s="61"/>
      <c r="D32" s="60"/>
      <c r="E32" s="59"/>
      <c r="F32" s="20" t="s">
        <v>152</v>
      </c>
      <c r="G32" s="20">
        <f>(J36-J22)/Q35</f>
        <v>11.072059602680202</v>
      </c>
      <c r="H32" s="20" t="s">
        <v>55</v>
      </c>
      <c r="J32" s="47">
        <f t="shared" si="17"/>
        <v>165.71176158927918</v>
      </c>
      <c r="K32" s="13">
        <f t="shared" si="18"/>
        <v>0.49832874402704341</v>
      </c>
      <c r="L32" s="48">
        <f t="shared" si="19"/>
        <v>7284.7068657548043</v>
      </c>
      <c r="M32" s="14">
        <f t="shared" si="12"/>
        <v>-0.25454732016375547</v>
      </c>
      <c r="N32" s="14">
        <f t="shared" si="13"/>
        <v>5.1106551621007066</v>
      </c>
      <c r="O32" s="14">
        <f t="shared" si="14"/>
        <v>14.761525300176732</v>
      </c>
      <c r="P32" s="20">
        <f t="shared" si="20"/>
        <v>0.49349282798489591</v>
      </c>
      <c r="Q32" s="59">
        <v>11</v>
      </c>
      <c r="R32" s="57">
        <f t="shared" si="21"/>
        <v>6.005626346450299E-6</v>
      </c>
      <c r="S32" s="57">
        <f t="shared" si="15"/>
        <v>5.1106551621007066</v>
      </c>
      <c r="T32" s="57">
        <v>8.9197759512701855E-2</v>
      </c>
      <c r="U32" s="58">
        <v>-4.4426888389856841E-3</v>
      </c>
      <c r="V32" s="58">
        <f t="shared" si="22"/>
        <v>-0.25454732016375547</v>
      </c>
      <c r="W32" s="58">
        <f t="shared" si="23"/>
        <v>4.4581929614651017E-7</v>
      </c>
      <c r="X32" s="20">
        <f t="shared" si="16"/>
        <v>11</v>
      </c>
    </row>
    <row r="33" spans="1:24" x14ac:dyDescent="0.3">
      <c r="A33" s="59"/>
      <c r="B33" s="60"/>
      <c r="C33" s="61"/>
      <c r="D33" s="60"/>
      <c r="E33" s="59"/>
      <c r="J33" s="47">
        <f t="shared" si="17"/>
        <v>176.78382119195939</v>
      </c>
      <c r="K33" s="13">
        <f t="shared" si="18"/>
        <v>0.53162466401896002</v>
      </c>
      <c r="L33" s="48">
        <f t="shared" si="19"/>
        <v>7323.8319648414017</v>
      </c>
      <c r="M33" s="14">
        <f t="shared" si="12"/>
        <v>-0.41636705444061467</v>
      </c>
      <c r="N33" s="14">
        <f t="shared" si="13"/>
        <v>4.0191204416315243</v>
      </c>
      <c r="O33" s="14">
        <f t="shared" si="14"/>
        <v>12.390666936829433</v>
      </c>
      <c r="P33" s="20">
        <f t="shared" si="20"/>
        <v>0.5910764934752939</v>
      </c>
      <c r="Q33" s="59">
        <v>12</v>
      </c>
      <c r="R33" s="57">
        <f t="shared" si="21"/>
        <v>2.9718285077251494E-7</v>
      </c>
      <c r="S33" s="57">
        <f t="shared" si="15"/>
        <v>4.0191204416315243</v>
      </c>
      <c r="T33" s="57">
        <v>7.0146884740678678E-2</v>
      </c>
      <c r="U33" s="58">
        <v>-7.2669759968192029E-3</v>
      </c>
      <c r="V33" s="58">
        <f t="shared" si="22"/>
        <v>-0.41636705444061467</v>
      </c>
      <c r="W33" s="58">
        <f t="shared" si="23"/>
        <v>1.6730155039113015E-8</v>
      </c>
      <c r="X33" s="20">
        <f t="shared" si="16"/>
        <v>12</v>
      </c>
    </row>
    <row r="34" spans="1:24" x14ac:dyDescent="0.3">
      <c r="A34" s="59"/>
      <c r="B34" s="60"/>
      <c r="C34" s="61"/>
      <c r="D34" s="60"/>
      <c r="E34" s="59"/>
      <c r="J34" s="47">
        <f t="shared" si="17"/>
        <v>187.8558807946396</v>
      </c>
      <c r="K34" s="13">
        <f t="shared" si="18"/>
        <v>0.56492058401087653</v>
      </c>
      <c r="L34" s="48">
        <f t="shared" si="19"/>
        <v>7376.2859823379313</v>
      </c>
      <c r="M34" s="14">
        <f t="shared" si="12"/>
        <v>-0.54956986156674059</v>
      </c>
      <c r="N34" s="14">
        <f t="shared" si="13"/>
        <v>2.7203153879479718</v>
      </c>
      <c r="O34" s="14">
        <f t="shared" si="14"/>
        <v>8.9157574245469124</v>
      </c>
      <c r="P34" s="20">
        <f t="shared" si="20"/>
        <v>0.82733138993098898</v>
      </c>
      <c r="Q34" s="20">
        <v>13</v>
      </c>
      <c r="R34" s="57">
        <f t="shared" si="21"/>
        <v>1.1040392564609647E-6</v>
      </c>
      <c r="S34" s="57">
        <f t="shared" si="15"/>
        <v>2.7203153879479718</v>
      </c>
      <c r="T34" s="57">
        <v>4.7478460212358978E-2</v>
      </c>
      <c r="U34" s="58">
        <v>-9.5918035540690661E-3</v>
      </c>
      <c r="V34" s="58">
        <f t="shared" si="22"/>
        <v>-0.54956986156674059</v>
      </c>
      <c r="W34" s="58">
        <f t="shared" si="23"/>
        <v>3.9735596146783791E-8</v>
      </c>
      <c r="X34" s="20">
        <f t="shared" si="16"/>
        <v>13</v>
      </c>
    </row>
    <row r="35" spans="1:24" x14ac:dyDescent="0.3">
      <c r="A35" s="59"/>
      <c r="B35" s="60"/>
      <c r="C35" s="61"/>
      <c r="D35" s="60"/>
      <c r="E35" s="59"/>
      <c r="J35" s="47">
        <f>J$22+Q34*G$32</f>
        <v>198.92794039731979</v>
      </c>
      <c r="K35" s="13">
        <f t="shared" si="18"/>
        <v>0.59821650400279303</v>
      </c>
      <c r="L35" s="48">
        <f t="shared" si="19"/>
        <v>7442.0689182443921</v>
      </c>
      <c r="M35" s="14">
        <f t="shared" si="12"/>
        <v>-0.66058127671440858</v>
      </c>
      <c r="N35" s="14">
        <f t="shared" si="13"/>
        <v>1.1750941226728557</v>
      </c>
      <c r="O35" s="14">
        <f t="shared" si="14"/>
        <v>4.0795791288031555</v>
      </c>
      <c r="P35" s="20">
        <f t="shared" si="20"/>
        <v>1.824224676928305</v>
      </c>
      <c r="Q35" s="20">
        <v>14</v>
      </c>
      <c r="R35" s="57">
        <f t="shared" si="21"/>
        <v>1.1533848010003567E-7</v>
      </c>
      <c r="S35" s="57">
        <f t="shared" si="15"/>
        <v>1.1750941226728557</v>
      </c>
      <c r="T35" s="57">
        <v>2.050926146147548E-2</v>
      </c>
      <c r="U35" s="58">
        <v>-1.152931825569418E-2</v>
      </c>
      <c r="V35" s="58">
        <f t="shared" si="22"/>
        <v>-0.66058127671440858</v>
      </c>
      <c r="W35" s="58">
        <f t="shared" si="23"/>
        <v>1.0383018889115192E-9</v>
      </c>
      <c r="X35" s="20">
        <f t="shared" si="16"/>
        <v>14</v>
      </c>
    </row>
    <row r="36" spans="1:24" x14ac:dyDescent="0.3">
      <c r="A36" s="59"/>
      <c r="B36" s="60"/>
      <c r="C36" s="61"/>
      <c r="D36" s="60"/>
      <c r="E36" s="59"/>
      <c r="J36" s="47">
        <v>210</v>
      </c>
      <c r="K36" s="13">
        <f t="shared" si="18"/>
        <v>0.63151242399470964</v>
      </c>
      <c r="L36" s="48">
        <f t="shared" si="19"/>
        <v>7521.1807725607841</v>
      </c>
      <c r="M36" s="14">
        <f t="shared" si="12"/>
        <v>-0.75421648371393557</v>
      </c>
      <c r="N36" s="14">
        <f t="shared" si="13"/>
        <v>-0.66947190841436266</v>
      </c>
      <c r="O36" s="14">
        <f t="shared" si="14"/>
        <v>-2.4536868673790679</v>
      </c>
      <c r="P36" s="20">
        <f t="shared" si="20"/>
        <v>-3.0652569700528312</v>
      </c>
      <c r="Q36" s="59">
        <v>15</v>
      </c>
      <c r="R36" s="57">
        <f>0.5*G$26*C$4*C$2*(U36-C$5)*J36^2+L36*SIN(U36-C$1)-C$10*(C$14+G$30*(J$36-J36)/(J$36-J$22))*COS(T36)</f>
        <v>1.2844437878811732E-4</v>
      </c>
      <c r="S36" s="57">
        <f t="shared" si="15"/>
        <v>-0.66947190841436266</v>
      </c>
      <c r="T36" s="57">
        <v>-1.1684489051440559E-2</v>
      </c>
      <c r="U36" s="58">
        <v>-1.3163560913622366E-2</v>
      </c>
      <c r="V36" s="58">
        <f t="shared" si="22"/>
        <v>-0.75421648371393557</v>
      </c>
      <c r="W36" s="58">
        <f t="shared" si="23"/>
        <v>-1.2168876253326744E-5</v>
      </c>
      <c r="X36" s="20">
        <f t="shared" si="16"/>
        <v>15</v>
      </c>
    </row>
    <row r="37" spans="1:24" ht="15.6" thickBot="1" x14ac:dyDescent="0.35">
      <c r="F37" s="59"/>
      <c r="G37" s="59"/>
      <c r="H37" s="60"/>
      <c r="I37" s="61"/>
      <c r="J37" s="62"/>
      <c r="K37" s="61"/>
      <c r="L37" s="60"/>
      <c r="M37" s="59"/>
      <c r="N37" s="59"/>
    </row>
    <row r="38" spans="1:24" ht="16.2" thickBot="1" x14ac:dyDescent="0.35">
      <c r="J38" s="143" t="s">
        <v>115</v>
      </c>
      <c r="K38" s="144"/>
      <c r="L38" s="144"/>
      <c r="M38" s="144"/>
      <c r="N38" s="144"/>
      <c r="O38" s="145"/>
    </row>
    <row r="39" spans="1:24" ht="18.600000000000001" thickBot="1" x14ac:dyDescent="0.35">
      <c r="F39" s="49"/>
      <c r="J39" s="95" t="s">
        <v>63</v>
      </c>
      <c r="K39" s="96" t="s">
        <v>53</v>
      </c>
      <c r="L39" s="95" t="s">
        <v>65</v>
      </c>
      <c r="M39" s="95" t="s">
        <v>66</v>
      </c>
      <c r="N39" s="95" t="s">
        <v>84</v>
      </c>
      <c r="O39" s="95" t="s">
        <v>64</v>
      </c>
      <c r="P39" s="20" t="s">
        <v>151</v>
      </c>
      <c r="R39" s="51" t="s">
        <v>85</v>
      </c>
      <c r="S39" s="52" t="s">
        <v>87</v>
      </c>
      <c r="T39" s="52" t="s">
        <v>86</v>
      </c>
      <c r="U39" s="54" t="s">
        <v>86</v>
      </c>
      <c r="V39" s="54" t="s">
        <v>87</v>
      </c>
      <c r="W39" s="53" t="s">
        <v>88</v>
      </c>
    </row>
    <row r="40" spans="1:24" x14ac:dyDescent="0.3">
      <c r="F40" s="49"/>
      <c r="J40" s="44">
        <f>SQRT(2*(C$14+G48)*C$10/C$4/C$15/G44)</f>
        <v>60.760126838427631</v>
      </c>
      <c r="K40" s="42">
        <f>J40/G$47</f>
        <v>0.18719364618807646</v>
      </c>
      <c r="L40" s="46">
        <f>G$45*(1-0.605*K40+0.725*K40^2)</f>
        <v>6347.681615658601</v>
      </c>
      <c r="M40" s="43">
        <f t="shared" ref="M40:M54" si="24">V40</f>
        <v>11.077985063591866</v>
      </c>
      <c r="N40" s="43">
        <f t="shared" ref="N40:N54" si="25">S40</f>
        <v>4.2434963440040381</v>
      </c>
      <c r="O40" s="43">
        <f t="shared" ref="O40:O54" si="26">J40*SIN(RADIANS(N40))</f>
        <v>4.495963305476808</v>
      </c>
      <c r="P40" s="20">
        <f>L40/1000/O40</f>
        <v>1.4118624162092475</v>
      </c>
      <c r="Q40" s="20">
        <v>1</v>
      </c>
      <c r="R40" s="57">
        <f>0.5*G$44*C$4*C$2*(U40-C$5)*J40^2+L40*SIN(U40-C$1)-C$10*(C$14+G$48*(J$54-J40)/(J$54-J$40))*COS(T40)</f>
        <v>2.2519968479173258E-4</v>
      </c>
      <c r="S40" s="57">
        <f t="shared" ref="S40:S54" si="27">DEGREES(T40)</f>
        <v>4.2434963440040381</v>
      </c>
      <c r="T40" s="57">
        <v>7.4062982999212393E-2</v>
      </c>
      <c r="U40" s="58">
        <v>0.19334731384643147</v>
      </c>
      <c r="V40" s="58">
        <f>DEGREES(U40)</f>
        <v>11.077985063591866</v>
      </c>
      <c r="W40" s="58">
        <f>-0.5*G$44*C$4*J40^2*((C$7+(C$2^2)*(U40-C$5)^2/(PI()*C$6))/SQRT(1-(J40/G$47)^2))+L40*COS(U40-C$1)-C$10*(C$14+G$48*(J$54-J40)/(J$54-J$40))*SIN(T40)</f>
        <v>7.9344207733811345E-5</v>
      </c>
      <c r="X40" s="20">
        <f t="shared" ref="X40:X54" si="28">Q40</f>
        <v>1</v>
      </c>
    </row>
    <row r="41" spans="1:24" x14ac:dyDescent="0.3">
      <c r="F41" s="49"/>
      <c r="J41" s="47">
        <f t="shared" ref="J41:J52" si="29">J$40+Q40*G$50</f>
        <v>71.420117778539947</v>
      </c>
      <c r="K41" s="13">
        <f t="shared" ref="K41:K54" si="30">J41/G$47</f>
        <v>0.22003562128332013</v>
      </c>
      <c r="L41" s="48">
        <f t="shared" ref="L41:L54" si="31">G$45*(1-0.605*K41+0.725*K41^2)</f>
        <v>6276.8869745080628</v>
      </c>
      <c r="M41" s="14">
        <f t="shared" si="24"/>
        <v>7.5428023273776388</v>
      </c>
      <c r="N41" s="14">
        <f t="shared" si="25"/>
        <v>5.4266228435058625</v>
      </c>
      <c r="O41" s="14">
        <f t="shared" si="26"/>
        <v>6.7542646205201482</v>
      </c>
      <c r="P41" s="20">
        <f t="shared" ref="P41:P54" si="32">L41/1000/O41</f>
        <v>0.92932203980256223</v>
      </c>
      <c r="Q41" s="20">
        <v>2</v>
      </c>
      <c r="R41" s="57">
        <f t="shared" ref="R41:R54" si="33">0.5*G$44*C$4*C$2*(U41-C$5)*J41^2+L41*SIN(U41-C$1)-C$10*(C$14+G$48*(J$54-J41)/(J$54-J$40))*COS(T41)</f>
        <v>1.2027435877826065E-4</v>
      </c>
      <c r="S41" s="57">
        <f t="shared" si="27"/>
        <v>5.4266228435058625</v>
      </c>
      <c r="T41" s="57">
        <v>9.4712435883114288E-2</v>
      </c>
      <c r="U41" s="58">
        <v>0.13164673543983102</v>
      </c>
      <c r="V41" s="58">
        <f t="shared" ref="V41:V54" si="34">DEGREES(U41)</f>
        <v>7.5428023273776388</v>
      </c>
      <c r="W41" s="58">
        <f t="shared" ref="W41:W54" si="35">-0.5*G$44*C$4*J41^2*((C$7+(C$2^2)*(U41-C$5)^2/(PI()*C$6))/SQRT(1-(J41/G$47)^2))+L41*COS(U41-C$1)-C$10*(C$14+G$48*(J$54-J41)/(J$54-J$40))*SIN(T41)</f>
        <v>-4.2703059898485662E-4</v>
      </c>
      <c r="X41" s="20">
        <f t="shared" si="28"/>
        <v>2</v>
      </c>
    </row>
    <row r="42" spans="1:24" x14ac:dyDescent="0.3">
      <c r="F42" s="49"/>
      <c r="J42" s="47">
        <f t="shared" si="29"/>
        <v>82.080108718652255</v>
      </c>
      <c r="K42" s="13">
        <f t="shared" si="30"/>
        <v>0.25287759637856377</v>
      </c>
      <c r="L42" s="48">
        <f t="shared" si="31"/>
        <v>6216.9759698389435</v>
      </c>
      <c r="M42" s="14">
        <f t="shared" si="24"/>
        <v>5.2804193255581771</v>
      </c>
      <c r="N42" s="14">
        <f t="shared" si="25"/>
        <v>6.0696448966466887</v>
      </c>
      <c r="O42" s="14">
        <f t="shared" si="26"/>
        <v>8.6789257706901868</v>
      </c>
      <c r="P42" s="20">
        <f t="shared" si="32"/>
        <v>0.71633012357755665</v>
      </c>
      <c r="Q42" s="59">
        <v>3</v>
      </c>
      <c r="R42" s="57">
        <f t="shared" si="33"/>
        <v>1.9949765119235963E-3</v>
      </c>
      <c r="S42" s="57">
        <f t="shared" si="27"/>
        <v>6.0696448966466887</v>
      </c>
      <c r="T42" s="57">
        <v>0.10593528787335564</v>
      </c>
      <c r="U42" s="58">
        <v>9.2160703116928547E-2</v>
      </c>
      <c r="V42" s="58">
        <f t="shared" si="34"/>
        <v>5.2804193255581771</v>
      </c>
      <c r="W42" s="58">
        <f t="shared" si="35"/>
        <v>2.6220301879220642E-4</v>
      </c>
      <c r="X42" s="20">
        <f t="shared" si="28"/>
        <v>3</v>
      </c>
    </row>
    <row r="43" spans="1:24" x14ac:dyDescent="0.3">
      <c r="F43" s="22" t="s">
        <v>6</v>
      </c>
      <c r="G43" s="22">
        <v>4000</v>
      </c>
      <c r="H43" s="22" t="s">
        <v>3</v>
      </c>
      <c r="J43" s="47">
        <f t="shared" si="29"/>
        <v>92.740099658764564</v>
      </c>
      <c r="K43" s="13">
        <f t="shared" si="30"/>
        <v>0.28571957147380739</v>
      </c>
      <c r="L43" s="48">
        <f t="shared" si="31"/>
        <v>6167.9486016512392</v>
      </c>
      <c r="M43" s="14">
        <f t="shared" si="24"/>
        <v>3.7521864052806113</v>
      </c>
      <c r="N43" s="14">
        <f t="shared" si="25"/>
        <v>6.3833476760068892</v>
      </c>
      <c r="O43" s="14">
        <f t="shared" si="26"/>
        <v>10.310853637487972</v>
      </c>
      <c r="P43" s="20">
        <f t="shared" si="32"/>
        <v>0.59819960776341052</v>
      </c>
      <c r="Q43" s="59">
        <v>4</v>
      </c>
      <c r="R43" s="57">
        <f t="shared" si="33"/>
        <v>1.1537081300048158E-3</v>
      </c>
      <c r="S43" s="57">
        <f t="shared" si="27"/>
        <v>6.3833476760068892</v>
      </c>
      <c r="T43" s="57">
        <v>0.11141043424584846</v>
      </c>
      <c r="U43" s="58">
        <v>6.5488006920717018E-2</v>
      </c>
      <c r="V43" s="58">
        <f t="shared" si="34"/>
        <v>3.7521864052806113</v>
      </c>
      <c r="W43" s="58">
        <f t="shared" si="35"/>
        <v>1.1630368499027099E-4</v>
      </c>
      <c r="X43" s="20">
        <f t="shared" si="28"/>
        <v>4</v>
      </c>
    </row>
    <row r="44" spans="1:24" ht="18.600000000000001" x14ac:dyDescent="0.3">
      <c r="F44" s="20" t="s">
        <v>79</v>
      </c>
      <c r="G44" s="20">
        <f>C$9*(1-G43/44300)^4.256</f>
        <v>0.81921393881961735</v>
      </c>
      <c r="H44" s="20" t="s">
        <v>80</v>
      </c>
      <c r="J44" s="47">
        <f t="shared" si="29"/>
        <v>103.40009059887689</v>
      </c>
      <c r="K44" s="13">
        <f t="shared" si="30"/>
        <v>0.31856154656905106</v>
      </c>
      <c r="L44" s="48">
        <f t="shared" si="31"/>
        <v>6129.8048699449537</v>
      </c>
      <c r="M44" s="14">
        <f t="shared" si="24"/>
        <v>2.6749596558875188</v>
      </c>
      <c r="N44" s="14">
        <f t="shared" si="25"/>
        <v>6.4746226298345091</v>
      </c>
      <c r="O44" s="14">
        <f t="shared" si="26"/>
        <v>11.659717978010365</v>
      </c>
      <c r="P44" s="20">
        <f t="shared" si="32"/>
        <v>0.52572496877758568</v>
      </c>
      <c r="Q44" s="59">
        <v>5</v>
      </c>
      <c r="R44" s="57">
        <f t="shared" si="33"/>
        <v>1.2710247610812075E-3</v>
      </c>
      <c r="S44" s="57">
        <f t="shared" si="27"/>
        <v>6.4746226298345091</v>
      </c>
      <c r="T44" s="57">
        <v>0.11300348271474622</v>
      </c>
      <c r="U44" s="58">
        <v>4.668685335325172E-2</v>
      </c>
      <c r="V44" s="58">
        <f t="shared" si="34"/>
        <v>2.6749596558875188</v>
      </c>
      <c r="W44" s="58">
        <f t="shared" si="35"/>
        <v>9.3483406089944765E-5</v>
      </c>
      <c r="X44" s="20">
        <f t="shared" si="28"/>
        <v>5</v>
      </c>
    </row>
    <row r="45" spans="1:24" ht="18.600000000000001" x14ac:dyDescent="0.3">
      <c r="F45" s="20" t="s">
        <v>81</v>
      </c>
      <c r="G45" s="20">
        <f>C$3*(G44/C$9)^0.85</f>
        <v>6959.0104816317789</v>
      </c>
      <c r="H45" s="20" t="s">
        <v>28</v>
      </c>
      <c r="J45" s="47">
        <f t="shared" si="29"/>
        <v>114.06008153898918</v>
      </c>
      <c r="K45" s="13">
        <f t="shared" si="30"/>
        <v>0.35140352166429462</v>
      </c>
      <c r="L45" s="48">
        <f t="shared" si="31"/>
        <v>6102.544774720086</v>
      </c>
      <c r="M45" s="14">
        <f t="shared" si="24"/>
        <v>1.8891678453947742</v>
      </c>
      <c r="N45" s="14">
        <f t="shared" si="25"/>
        <v>6.3999637867512993</v>
      </c>
      <c r="O45" s="14">
        <f t="shared" si="26"/>
        <v>12.714083855207191</v>
      </c>
      <c r="P45" s="20">
        <f t="shared" si="32"/>
        <v>0.47998305219771875</v>
      </c>
      <c r="Q45" s="59">
        <v>6</v>
      </c>
      <c r="R45" s="57">
        <f t="shared" si="33"/>
        <v>6.9132934731896967E-4</v>
      </c>
      <c r="S45" s="57">
        <f t="shared" si="27"/>
        <v>6.3999637867512993</v>
      </c>
      <c r="T45" s="57">
        <v>0.11170044008721441</v>
      </c>
      <c r="U45" s="58">
        <v>3.2972199024946004E-2</v>
      </c>
      <c r="V45" s="58">
        <f t="shared" si="34"/>
        <v>1.8891678453947742</v>
      </c>
      <c r="W45" s="58">
        <f t="shared" si="35"/>
        <v>4.4477069877757458E-5</v>
      </c>
      <c r="X45" s="20">
        <f t="shared" si="28"/>
        <v>6</v>
      </c>
    </row>
    <row r="46" spans="1:24" ht="18.600000000000001" x14ac:dyDescent="0.3">
      <c r="F46" s="20" t="s">
        <v>82</v>
      </c>
      <c r="G46" s="20">
        <f>C$12-6.5*G43/1000</f>
        <v>262.14999999999998</v>
      </c>
      <c r="H46" s="20" t="s">
        <v>56</v>
      </c>
      <c r="J46" s="47">
        <f t="shared" si="29"/>
        <v>124.7200724791015</v>
      </c>
      <c r="K46" s="13">
        <f t="shared" si="30"/>
        <v>0.38424549675953829</v>
      </c>
      <c r="L46" s="48">
        <f t="shared" si="31"/>
        <v>6086.1683159766335</v>
      </c>
      <c r="M46" s="14">
        <f t="shared" si="24"/>
        <v>1.2996235976699841</v>
      </c>
      <c r="N46" s="14">
        <f t="shared" si="25"/>
        <v>6.1890813449344293</v>
      </c>
      <c r="O46" s="14">
        <f t="shared" si="26"/>
        <v>13.44605877838003</v>
      </c>
      <c r="P46" s="20">
        <f t="shared" si="32"/>
        <v>0.45263585533053052</v>
      </c>
      <c r="Q46" s="20">
        <v>7</v>
      </c>
      <c r="R46" s="57">
        <f t="shared" si="33"/>
        <v>3.8912792660994455E-4</v>
      </c>
      <c r="S46" s="57">
        <f t="shared" si="27"/>
        <v>6.1890813449344293</v>
      </c>
      <c r="T46" s="57">
        <v>0.10801984714286467</v>
      </c>
      <c r="U46" s="58">
        <v>2.2682710815955329E-2</v>
      </c>
      <c r="V46" s="58">
        <f t="shared" si="34"/>
        <v>1.2996235976699841</v>
      </c>
      <c r="W46" s="58">
        <f t="shared" si="35"/>
        <v>2.2059970888221869E-5</v>
      </c>
      <c r="X46" s="20">
        <f t="shared" si="28"/>
        <v>7</v>
      </c>
    </row>
    <row r="47" spans="1:24" ht="18.600000000000001" x14ac:dyDescent="0.3">
      <c r="F47" s="20" t="s">
        <v>83</v>
      </c>
      <c r="G47" s="20">
        <f>C$11*SQRT(G46/C$12)</f>
        <v>324.58434394392293</v>
      </c>
      <c r="H47" s="20" t="s">
        <v>55</v>
      </c>
      <c r="J47" s="47">
        <f t="shared" si="29"/>
        <v>135.38006341921383</v>
      </c>
      <c r="K47" s="13">
        <f t="shared" si="30"/>
        <v>0.41708747185478195</v>
      </c>
      <c r="L47" s="48">
        <f t="shared" si="31"/>
        <v>6080.6754937145997</v>
      </c>
      <c r="M47" s="14">
        <f t="shared" si="24"/>
        <v>0.84681681444639834</v>
      </c>
      <c r="N47" s="14">
        <f t="shared" si="25"/>
        <v>5.8560714865164201</v>
      </c>
      <c r="O47" s="14">
        <f t="shared" si="26"/>
        <v>13.81281037812866</v>
      </c>
      <c r="P47" s="20">
        <f t="shared" si="32"/>
        <v>0.44022000789519283</v>
      </c>
      <c r="Q47" s="20">
        <v>8</v>
      </c>
      <c r="R47" s="57">
        <f t="shared" si="33"/>
        <v>2.4908484556362964E-4</v>
      </c>
      <c r="S47" s="57">
        <f t="shared" si="27"/>
        <v>5.8560714865164201</v>
      </c>
      <c r="T47" s="57">
        <v>0.10220772867187025</v>
      </c>
      <c r="U47" s="58">
        <v>1.4779741573339533E-2</v>
      </c>
      <c r="V47" s="58">
        <f t="shared" si="34"/>
        <v>0.84681681444639834</v>
      </c>
      <c r="W47" s="58">
        <f t="shared" si="35"/>
        <v>1.2156526281614788E-5</v>
      </c>
      <c r="X47" s="20">
        <f t="shared" si="28"/>
        <v>8</v>
      </c>
    </row>
    <row r="48" spans="1:24" x14ac:dyDescent="0.3">
      <c r="F48" s="20" t="s">
        <v>149</v>
      </c>
      <c r="G48" s="20">
        <f>G30-G31</f>
        <v>946.09457052854168</v>
      </c>
      <c r="H48" s="20" t="s">
        <v>0</v>
      </c>
      <c r="J48" s="47">
        <f t="shared" si="29"/>
        <v>146.04005435932612</v>
      </c>
      <c r="K48" s="13">
        <f t="shared" si="30"/>
        <v>0.44992944695002557</v>
      </c>
      <c r="L48" s="48">
        <f t="shared" si="31"/>
        <v>6086.0663079339829</v>
      </c>
      <c r="M48" s="14">
        <f t="shared" si="24"/>
        <v>0.49205088202290942</v>
      </c>
      <c r="N48" s="14">
        <f t="shared" si="25"/>
        <v>5.4049179659851205</v>
      </c>
      <c r="O48" s="14">
        <f t="shared" si="26"/>
        <v>13.75606281403244</v>
      </c>
      <c r="P48" s="20">
        <f t="shared" si="32"/>
        <v>0.44242792361529781</v>
      </c>
      <c r="Q48" s="59">
        <v>9</v>
      </c>
      <c r="R48" s="57">
        <f t="shared" si="33"/>
        <v>1.2812340355594642E-4</v>
      </c>
      <c r="S48" s="57">
        <f t="shared" si="27"/>
        <v>5.4049179659851205</v>
      </c>
      <c r="T48" s="57">
        <v>9.4333614306635227E-2</v>
      </c>
      <c r="U48" s="58">
        <v>8.5879079786419458E-3</v>
      </c>
      <c r="V48" s="58">
        <f t="shared" si="34"/>
        <v>0.49205088202290942</v>
      </c>
      <c r="W48" s="58">
        <f t="shared" si="35"/>
        <v>5.8145224102190696E-6</v>
      </c>
      <c r="X48" s="20">
        <f t="shared" si="28"/>
        <v>9</v>
      </c>
    </row>
    <row r="49" spans="6:24" x14ac:dyDescent="0.3">
      <c r="F49" s="20" t="s">
        <v>150</v>
      </c>
      <c r="G49" s="20" cm="1">
        <f t="array" ref="G49">C$16*(G61-G43)*MIN(IF(P40:P54&gt;0,P40:P54))</f>
        <v>26.061024467395416</v>
      </c>
      <c r="H49" s="20" t="s">
        <v>0</v>
      </c>
      <c r="J49" s="47">
        <f t="shared" si="29"/>
        <v>156.70004529943844</v>
      </c>
      <c r="K49" s="13">
        <f t="shared" si="30"/>
        <v>0.48277142204526924</v>
      </c>
      <c r="L49" s="48">
        <f t="shared" si="31"/>
        <v>6102.3407586347839</v>
      </c>
      <c r="M49" s="14">
        <f t="shared" si="24"/>
        <v>0.20930889539549749</v>
      </c>
      <c r="N49" s="14">
        <f t="shared" si="25"/>
        <v>4.8321708863969972</v>
      </c>
      <c r="O49" s="14">
        <f t="shared" si="26"/>
        <v>13.199996370712345</v>
      </c>
      <c r="P49" s="20">
        <f t="shared" si="32"/>
        <v>0.46229866942800291</v>
      </c>
      <c r="Q49" s="59">
        <v>10</v>
      </c>
      <c r="R49" s="57">
        <f t="shared" si="33"/>
        <v>2.2753545636078343E-5</v>
      </c>
      <c r="S49" s="57">
        <f t="shared" si="27"/>
        <v>4.8321708863969972</v>
      </c>
      <c r="T49" s="57">
        <v>8.4337291986640472E-2</v>
      </c>
      <c r="U49" s="58">
        <v>3.65312937836383E-3</v>
      </c>
      <c r="V49" s="58">
        <f t="shared" si="34"/>
        <v>0.20930889539549749</v>
      </c>
      <c r="W49" s="58">
        <f t="shared" si="35"/>
        <v>1.6374965525756124E-6</v>
      </c>
      <c r="X49" s="20">
        <f t="shared" si="28"/>
        <v>10</v>
      </c>
    </row>
    <row r="50" spans="6:24" x14ac:dyDescent="0.3">
      <c r="F50" s="20" t="s">
        <v>152</v>
      </c>
      <c r="G50" s="20">
        <f>(J54-J40)/Q53</f>
        <v>10.659990940112312</v>
      </c>
      <c r="H50" s="20" t="s">
        <v>55</v>
      </c>
      <c r="J50" s="47">
        <f t="shared" si="29"/>
        <v>167.36003623955074</v>
      </c>
      <c r="K50" s="13">
        <f t="shared" si="30"/>
        <v>0.5156133971405128</v>
      </c>
      <c r="L50" s="48">
        <f t="shared" si="31"/>
        <v>6129.4988458170019</v>
      </c>
      <c r="M50" s="14">
        <f t="shared" si="24"/>
        <v>-1.9411792736242894E-2</v>
      </c>
      <c r="N50" s="14">
        <f t="shared" si="25"/>
        <v>4.1280554972928325</v>
      </c>
      <c r="O50" s="14">
        <f t="shared" si="26"/>
        <v>12.047553359245509</v>
      </c>
      <c r="P50" s="20">
        <f t="shared" si="32"/>
        <v>0.50877540551527123</v>
      </c>
      <c r="Q50" s="59">
        <v>11</v>
      </c>
      <c r="R50" s="57">
        <f t="shared" si="33"/>
        <v>1.9509516278048977E-5</v>
      </c>
      <c r="S50" s="57">
        <f t="shared" si="27"/>
        <v>4.1280554972928325</v>
      </c>
      <c r="T50" s="57">
        <v>7.2048160132811789E-2</v>
      </c>
      <c r="U50" s="58">
        <v>-3.3879969696215767E-4</v>
      </c>
      <c r="V50" s="58">
        <f t="shared" si="34"/>
        <v>-1.9411792736242894E-2</v>
      </c>
      <c r="W50" s="58">
        <f t="shared" si="35"/>
        <v>9.7701467893784866E-7</v>
      </c>
      <c r="X50" s="20">
        <f t="shared" si="28"/>
        <v>11</v>
      </c>
    </row>
    <row r="51" spans="6:24" x14ac:dyDescent="0.3">
      <c r="J51" s="47">
        <f t="shared" si="29"/>
        <v>178.02002717966306</v>
      </c>
      <c r="K51" s="13">
        <f t="shared" si="30"/>
        <v>0.54845537223575647</v>
      </c>
      <c r="L51" s="48">
        <f t="shared" si="31"/>
        <v>6167.5405694806368</v>
      </c>
      <c r="M51" s="14">
        <f t="shared" si="24"/>
        <v>-0.20688651749214751</v>
      </c>
      <c r="N51" s="14">
        <f t="shared" si="25"/>
        <v>3.2765549644279632</v>
      </c>
      <c r="O51" s="14">
        <f t="shared" si="26"/>
        <v>10.174825017291409</v>
      </c>
      <c r="P51" s="20">
        <f t="shared" si="32"/>
        <v>0.60615691758819723</v>
      </c>
      <c r="Q51" s="59">
        <v>12</v>
      </c>
      <c r="R51" s="57">
        <f t="shared" si="33"/>
        <v>5.4873089538887143E-7</v>
      </c>
      <c r="S51" s="57">
        <f t="shared" si="27"/>
        <v>3.2765549644279632</v>
      </c>
      <c r="T51" s="57">
        <v>5.7186672251833638E-2</v>
      </c>
      <c r="U51" s="58">
        <v>-3.610850908222816E-3</v>
      </c>
      <c r="V51" s="58">
        <f t="shared" si="34"/>
        <v>-0.20688651749214751</v>
      </c>
      <c r="W51" s="58">
        <f t="shared" si="35"/>
        <v>1.9570984477468301E-7</v>
      </c>
      <c r="X51" s="20">
        <f t="shared" si="28"/>
        <v>12</v>
      </c>
    </row>
    <row r="52" spans="6:24" x14ac:dyDescent="0.3">
      <c r="J52" s="47">
        <f t="shared" si="29"/>
        <v>188.68001811977538</v>
      </c>
      <c r="K52" s="13">
        <f t="shared" si="30"/>
        <v>0.58129734733100014</v>
      </c>
      <c r="L52" s="48">
        <f t="shared" si="31"/>
        <v>6216.4659296256887</v>
      </c>
      <c r="M52" s="14">
        <f t="shared" si="24"/>
        <v>-0.36238851551287138</v>
      </c>
      <c r="N52" s="14">
        <f t="shared" si="25"/>
        <v>2.2546458739388497</v>
      </c>
      <c r="O52" s="14">
        <f t="shared" si="26"/>
        <v>7.4228301988708276</v>
      </c>
      <c r="P52" s="20">
        <f t="shared" si="32"/>
        <v>0.83747920443759405</v>
      </c>
      <c r="Q52" s="20">
        <v>13</v>
      </c>
      <c r="R52" s="57">
        <f t="shared" si="33"/>
        <v>1.0083276720251888E-6</v>
      </c>
      <c r="S52" s="57">
        <f t="shared" si="27"/>
        <v>2.2546458739388497</v>
      </c>
      <c r="T52" s="57">
        <v>3.935099396673794E-2</v>
      </c>
      <c r="U52" s="58">
        <v>-6.3248727671141531E-3</v>
      </c>
      <c r="V52" s="58">
        <f t="shared" si="34"/>
        <v>-0.36238851551287138</v>
      </c>
      <c r="W52" s="58">
        <f t="shared" si="35"/>
        <v>2.6965835786540993E-8</v>
      </c>
      <c r="X52" s="20">
        <f t="shared" si="28"/>
        <v>13</v>
      </c>
    </row>
    <row r="53" spans="6:24" x14ac:dyDescent="0.3">
      <c r="J53" s="47">
        <f>J$40+Q52*G$50</f>
        <v>199.34000905988768</v>
      </c>
      <c r="K53" s="13">
        <f t="shared" si="30"/>
        <v>0.61413932242624369</v>
      </c>
      <c r="L53" s="48">
        <f t="shared" si="31"/>
        <v>6276.2749262521575</v>
      </c>
      <c r="M53" s="14">
        <f t="shared" si="24"/>
        <v>-0.49279205004723869</v>
      </c>
      <c r="N53" s="14">
        <f t="shared" si="25"/>
        <v>1.0306194645703617</v>
      </c>
      <c r="O53" s="14">
        <f t="shared" si="26"/>
        <v>3.5854755188470953</v>
      </c>
      <c r="P53" s="20">
        <f t="shared" si="32"/>
        <v>1.750472118206035</v>
      </c>
      <c r="Q53" s="20">
        <v>14</v>
      </c>
      <c r="R53" s="57">
        <f t="shared" si="33"/>
        <v>7.4112904258072376E-8</v>
      </c>
      <c r="S53" s="57">
        <f t="shared" si="27"/>
        <v>1.0306194645703617</v>
      </c>
      <c r="T53" s="57">
        <v>1.7987702991893856E-2</v>
      </c>
      <c r="U53" s="58">
        <v>-8.6008438009769934E-3</v>
      </c>
      <c r="V53" s="58">
        <f t="shared" si="34"/>
        <v>-0.49279205004723869</v>
      </c>
      <c r="W53" s="58">
        <f t="shared" si="35"/>
        <v>3.1457147997571155E-10</v>
      </c>
      <c r="X53" s="20">
        <f t="shared" si="28"/>
        <v>14</v>
      </c>
    </row>
    <row r="54" spans="6:24" x14ac:dyDescent="0.3">
      <c r="J54" s="47">
        <v>210</v>
      </c>
      <c r="K54" s="13">
        <f t="shared" si="30"/>
        <v>0.64698129752148736</v>
      </c>
      <c r="L54" s="48">
        <f t="shared" si="31"/>
        <v>6346.967559360045</v>
      </c>
      <c r="M54" s="14">
        <f t="shared" si="24"/>
        <v>-0.60330028760353283</v>
      </c>
      <c r="N54" s="14">
        <f t="shared" si="25"/>
        <v>-0.43882912543667807</v>
      </c>
      <c r="O54" s="14">
        <f t="shared" si="26"/>
        <v>-1.6083770246258724</v>
      </c>
      <c r="P54" s="20">
        <f t="shared" si="32"/>
        <v>-3.946193872569415</v>
      </c>
      <c r="Q54" s="59">
        <v>15</v>
      </c>
      <c r="R54" s="57">
        <f t="shared" si="33"/>
        <v>3.1505067454418167E-5</v>
      </c>
      <c r="S54" s="57">
        <f t="shared" si="27"/>
        <v>-0.43882912543667807</v>
      </c>
      <c r="T54" s="57">
        <v>-7.6590130925172318E-3</v>
      </c>
      <c r="U54" s="58">
        <v>-1.0529576396910378E-2</v>
      </c>
      <c r="V54" s="58">
        <f t="shared" si="34"/>
        <v>-0.60330028760353283</v>
      </c>
      <c r="W54" s="58">
        <f t="shared" si="35"/>
        <v>-3.3619363932757551E-6</v>
      </c>
      <c r="X54" s="20">
        <f t="shared" si="28"/>
        <v>15</v>
      </c>
    </row>
    <row r="55" spans="6:24" ht="15.6" thickBot="1" x14ac:dyDescent="0.35"/>
    <row r="56" spans="6:24" ht="16.2" thickBot="1" x14ac:dyDescent="0.35">
      <c r="J56" s="143" t="s">
        <v>114</v>
      </c>
      <c r="K56" s="144"/>
      <c r="L56" s="144"/>
      <c r="M56" s="144"/>
      <c r="N56" s="144"/>
      <c r="O56" s="145"/>
    </row>
    <row r="57" spans="6:24" ht="18.600000000000001" thickBot="1" x14ac:dyDescent="0.35">
      <c r="F57" s="49"/>
      <c r="J57" s="95" t="s">
        <v>63</v>
      </c>
      <c r="K57" s="96" t="s">
        <v>53</v>
      </c>
      <c r="L57" s="95" t="s">
        <v>65</v>
      </c>
      <c r="M57" s="95" t="s">
        <v>66</v>
      </c>
      <c r="N57" s="95" t="s">
        <v>84</v>
      </c>
      <c r="O57" s="95" t="s">
        <v>64</v>
      </c>
      <c r="P57" s="20" t="s">
        <v>151</v>
      </c>
      <c r="R57" s="51" t="s">
        <v>85</v>
      </c>
      <c r="S57" s="52" t="s">
        <v>87</v>
      </c>
      <c r="T57" s="52" t="s">
        <v>86</v>
      </c>
      <c r="U57" s="54" t="s">
        <v>86</v>
      </c>
      <c r="V57" s="54" t="s">
        <v>87</v>
      </c>
      <c r="W57" s="53" t="s">
        <v>88</v>
      </c>
    </row>
    <row r="58" spans="6:24" x14ac:dyDescent="0.3">
      <c r="F58" s="49"/>
      <c r="J58" s="44">
        <f>SQRT(2*(C$14+G66)*C$10/C$4/C$15/G62)</f>
        <v>67.478052266794421</v>
      </c>
      <c r="K58" s="42">
        <f>J58/G$65</f>
        <v>0.21324529385544663</v>
      </c>
      <c r="L58" s="46">
        <f>G$63*(1-0.605*K58+0.725*K58^2)</f>
        <v>5232.6611915050717</v>
      </c>
      <c r="M58" s="43">
        <f t="shared" ref="M58:M72" si="36">V58</f>
        <v>11.163936366601392</v>
      </c>
      <c r="N58" s="43">
        <f t="shared" ref="N58:N72" si="37">S58</f>
        <v>2.5061431139000225</v>
      </c>
      <c r="O58" s="43">
        <f t="shared" ref="O58:O72" si="38">J58*SIN(RADIANS(N58))</f>
        <v>2.9505792299741671</v>
      </c>
      <c r="P58" s="20">
        <f>L58/1000/O58</f>
        <v>1.7734352422561059</v>
      </c>
      <c r="Q58" s="20">
        <v>1</v>
      </c>
      <c r="R58" s="57">
        <f>0.5*G$62*C$4*C$2*(U58-C$5)*J58^2+L58*SIN(U58-C$1)-C$10*(C$14+G$66*(J$72-J58)/(J$72-J$58))*COS(T58)</f>
        <v>-6.9572568463627249E-5</v>
      </c>
      <c r="S58" s="57">
        <f t="shared" ref="S58:S72" si="39">DEGREES(T58)</f>
        <v>2.5061431139000225</v>
      </c>
      <c r="T58" s="57">
        <v>4.3740448863738658E-2</v>
      </c>
      <c r="U58" s="58">
        <v>0.194847447080327</v>
      </c>
      <c r="V58" s="58">
        <f>DEGREES(U58)</f>
        <v>11.163936366601392</v>
      </c>
      <c r="W58" s="58">
        <f>-0.5*G$62*C$4*J58^2*((C$7+(C$2^2)*(U58-C$5)^2/(PI()*C$6))/SQRT(1-(J58/G$65)^2))+L58*COS(U58-C$1)-C$10*(C$14+G$66*(J$72-J58)/(J$72-J$58))*SIN(T58)</f>
        <v>-2.8083796223654645E-5</v>
      </c>
      <c r="X58" s="20">
        <f t="shared" ref="X58:X72" si="40">Q58</f>
        <v>1</v>
      </c>
    </row>
    <row r="59" spans="6:24" x14ac:dyDescent="0.3">
      <c r="F59" s="49"/>
      <c r="J59" s="47">
        <f t="shared" ref="J59:J70" si="41">J$58+Q58*G$68</f>
        <v>77.658191390594823</v>
      </c>
      <c r="K59" s="13">
        <f t="shared" ref="K59:K72" si="42">J59/G$65</f>
        <v>0.24541674347525758</v>
      </c>
      <c r="L59" s="48">
        <f t="shared" ref="L59:L72" si="43">G$63*(1-0.605*K59+0.725*K59^2)</f>
        <v>5181.9194698062765</v>
      </c>
      <c r="M59" s="14">
        <f t="shared" si="36"/>
        <v>7.9788511252817704</v>
      </c>
      <c r="N59" s="14">
        <f t="shared" si="37"/>
        <v>3.5826795641441556</v>
      </c>
      <c r="O59" s="14">
        <f t="shared" si="38"/>
        <v>4.8527683199869056</v>
      </c>
      <c r="P59" s="20">
        <f t="shared" ref="P59:P72" si="44">L59/1000/O59</f>
        <v>1.0678275013591128</v>
      </c>
      <c r="Q59" s="20">
        <v>2</v>
      </c>
      <c r="R59" s="57">
        <f t="shared" ref="R59:R72" si="45">0.5*G$62*C$4*C$2*(U59-C$5)*J59^2+L59*SIN(U59-C$1)-C$10*(C$14+G$66*(J$72-J59)/(J$72-J$58))*COS(T59)</f>
        <v>1.1055712820962071E-4</v>
      </c>
      <c r="S59" s="57">
        <f t="shared" si="39"/>
        <v>3.5826795641441556</v>
      </c>
      <c r="T59" s="57">
        <v>6.2529554438230897E-2</v>
      </c>
      <c r="U59" s="58">
        <v>0.13925722266262147</v>
      </c>
      <c r="V59" s="58">
        <f t="shared" ref="V59:V72" si="46">DEGREES(U59)</f>
        <v>7.9788511252817704</v>
      </c>
      <c r="W59" s="58">
        <f t="shared" ref="W59:W72" si="47">-0.5*G$62*C$4*J59^2*((C$7+(C$2^2)*(U59-C$5)^2/(PI()*C$6))/SQRT(1-(J59/G$65)^2))+L59*COS(U59-C$1)-C$10*(C$14+G$66*(J$72-J59)/(J$72-J$58))*SIN(T59)</f>
        <v>-3.8975027746346314E-4</v>
      </c>
      <c r="X59" s="20">
        <f t="shared" si="40"/>
        <v>2</v>
      </c>
    </row>
    <row r="60" spans="6:24" x14ac:dyDescent="0.3">
      <c r="F60" s="49"/>
      <c r="J60" s="47">
        <f t="shared" si="41"/>
        <v>87.838330514395224</v>
      </c>
      <c r="K60" s="13">
        <f t="shared" si="42"/>
        <v>0.27758819309506849</v>
      </c>
      <c r="L60" s="48">
        <f t="shared" si="43"/>
        <v>5139.8650537869125</v>
      </c>
      <c r="M60" s="14">
        <f t="shared" si="36"/>
        <v>5.828717439109286</v>
      </c>
      <c r="N60" s="14">
        <f t="shared" si="37"/>
        <v>4.2242834047092623</v>
      </c>
      <c r="O60" s="14">
        <f t="shared" si="38"/>
        <v>6.4702485222944768</v>
      </c>
      <c r="P60" s="20">
        <f t="shared" si="44"/>
        <v>0.79438448709914711</v>
      </c>
      <c r="Q60" s="59">
        <v>3</v>
      </c>
      <c r="R60" s="57">
        <f t="shared" si="45"/>
        <v>1.4911252947058529E-5</v>
      </c>
      <c r="S60" s="57">
        <f t="shared" si="39"/>
        <v>4.2242834047092623</v>
      </c>
      <c r="T60" s="57">
        <v>7.3727653949532762E-2</v>
      </c>
      <c r="U60" s="58">
        <v>0.10173031048086914</v>
      </c>
      <c r="V60" s="58">
        <f t="shared" si="46"/>
        <v>5.828717439109286</v>
      </c>
      <c r="W60" s="58">
        <f t="shared" si="47"/>
        <v>-6.7363164816924836E-5</v>
      </c>
      <c r="X60" s="20">
        <f t="shared" si="40"/>
        <v>3</v>
      </c>
    </row>
    <row r="61" spans="6:24" x14ac:dyDescent="0.3">
      <c r="F61" s="22" t="s">
        <v>6</v>
      </c>
      <c r="G61" s="22">
        <v>6000</v>
      </c>
      <c r="H61" s="22" t="s">
        <v>3</v>
      </c>
      <c r="J61" s="47">
        <f t="shared" si="41"/>
        <v>98.018469638195626</v>
      </c>
      <c r="K61" s="13">
        <f t="shared" si="42"/>
        <v>0.30975964271487944</v>
      </c>
      <c r="L61" s="48">
        <f t="shared" si="43"/>
        <v>5106.4979434469815</v>
      </c>
      <c r="M61" s="14">
        <f t="shared" si="36"/>
        <v>4.3145805693541979</v>
      </c>
      <c r="N61" s="14">
        <f t="shared" si="37"/>
        <v>4.5855617829776198</v>
      </c>
      <c r="O61" s="14">
        <f t="shared" si="38"/>
        <v>7.8363550341524988</v>
      </c>
      <c r="P61" s="20">
        <f t="shared" si="44"/>
        <v>0.65164198421227459</v>
      </c>
      <c r="Q61" s="59">
        <v>4</v>
      </c>
      <c r="R61" s="57">
        <f t="shared" si="45"/>
        <v>4.5295741510926746E-3</v>
      </c>
      <c r="S61" s="57">
        <f t="shared" si="39"/>
        <v>4.5855617829776198</v>
      </c>
      <c r="T61" s="57">
        <v>8.0033151166581135E-2</v>
      </c>
      <c r="U61" s="58">
        <v>7.5303636777802302E-2</v>
      </c>
      <c r="V61" s="58">
        <f t="shared" si="46"/>
        <v>4.3145805693541979</v>
      </c>
      <c r="W61" s="58">
        <f t="shared" si="47"/>
        <v>4.0368775489696418E-4</v>
      </c>
      <c r="X61" s="20">
        <f t="shared" si="40"/>
        <v>4</v>
      </c>
    </row>
    <row r="62" spans="6:24" ht="18.600000000000001" x14ac:dyDescent="0.3">
      <c r="F62" s="20" t="s">
        <v>79</v>
      </c>
      <c r="G62" s="20">
        <f>C$9*(1-G61/44300)^4.256</f>
        <v>0.65964919805020483</v>
      </c>
      <c r="H62" s="20" t="s">
        <v>80</v>
      </c>
      <c r="J62" s="47">
        <f t="shared" si="41"/>
        <v>108.19860876199601</v>
      </c>
      <c r="K62" s="13">
        <f t="shared" si="42"/>
        <v>0.34193109233469032</v>
      </c>
      <c r="L62" s="48">
        <f t="shared" si="43"/>
        <v>5081.8181387864806</v>
      </c>
      <c r="M62" s="14">
        <f t="shared" si="36"/>
        <v>3.21118866123757</v>
      </c>
      <c r="N62" s="14">
        <f t="shared" si="37"/>
        <v>4.7511384230513158</v>
      </c>
      <c r="O62" s="14">
        <f t="shared" si="38"/>
        <v>8.9618752846644707</v>
      </c>
      <c r="P62" s="20">
        <f t="shared" si="44"/>
        <v>0.56704852247636939</v>
      </c>
      <c r="Q62" s="59">
        <v>5</v>
      </c>
      <c r="R62" s="57">
        <f t="shared" si="45"/>
        <v>1.9964635866926983E-3</v>
      </c>
      <c r="S62" s="57">
        <f t="shared" si="39"/>
        <v>4.7511384230513158</v>
      </c>
      <c r="T62" s="57">
        <v>8.292300870025672E-2</v>
      </c>
      <c r="U62" s="58">
        <v>5.6045815041304403E-2</v>
      </c>
      <c r="V62" s="58">
        <f t="shared" si="46"/>
        <v>3.21118866123757</v>
      </c>
      <c r="W62" s="58">
        <f t="shared" si="47"/>
        <v>1.5376557666968438E-4</v>
      </c>
      <c r="X62" s="20">
        <f t="shared" si="40"/>
        <v>5</v>
      </c>
    </row>
    <row r="63" spans="6:24" ht="18.600000000000001" x14ac:dyDescent="0.3">
      <c r="F63" s="20" t="s">
        <v>81</v>
      </c>
      <c r="G63" s="20">
        <f>C$3*(G62/C$9)^0.85</f>
        <v>5788.6306580928886</v>
      </c>
      <c r="H63" s="20" t="s">
        <v>28</v>
      </c>
      <c r="J63" s="47">
        <f t="shared" si="41"/>
        <v>118.37874788579643</v>
      </c>
      <c r="K63" s="13">
        <f t="shared" si="42"/>
        <v>0.37410254195450132</v>
      </c>
      <c r="L63" s="48">
        <f t="shared" si="43"/>
        <v>5065.8256398054109</v>
      </c>
      <c r="M63" s="14">
        <f t="shared" si="36"/>
        <v>2.3841509636286906</v>
      </c>
      <c r="N63" s="14">
        <f t="shared" si="37"/>
        <v>4.7687405478940246</v>
      </c>
      <c r="O63" s="14">
        <f t="shared" si="38"/>
        <v>9.8413182374313344</v>
      </c>
      <c r="P63" s="20">
        <f t="shared" si="44"/>
        <v>0.51475071911988424</v>
      </c>
      <c r="Q63" s="59">
        <v>6</v>
      </c>
      <c r="R63" s="57">
        <f t="shared" si="45"/>
        <v>9.6413739811396226E-4</v>
      </c>
      <c r="S63" s="57">
        <f t="shared" si="39"/>
        <v>4.7687405478940246</v>
      </c>
      <c r="T63" s="57">
        <v>8.3230223734109071E-2</v>
      </c>
      <c r="U63" s="58">
        <v>4.1611284179916226E-2</v>
      </c>
      <c r="V63" s="58">
        <f t="shared" si="46"/>
        <v>2.3841509636286906</v>
      </c>
      <c r="W63" s="58">
        <f t="shared" si="47"/>
        <v>6.5519753661646973E-5</v>
      </c>
      <c r="X63" s="20">
        <f t="shared" si="40"/>
        <v>6</v>
      </c>
    </row>
    <row r="64" spans="6:24" ht="18.600000000000001" x14ac:dyDescent="0.3">
      <c r="F64" s="20" t="s">
        <v>82</v>
      </c>
      <c r="G64" s="20">
        <f>C$12-6.5*G61/1000</f>
        <v>249.14999999999998</v>
      </c>
      <c r="H64" s="20" t="s">
        <v>56</v>
      </c>
      <c r="J64" s="47">
        <f t="shared" si="41"/>
        <v>128.55888700959682</v>
      </c>
      <c r="K64" s="13">
        <f t="shared" si="42"/>
        <v>0.40627399157431221</v>
      </c>
      <c r="L64" s="48">
        <f t="shared" si="43"/>
        <v>5058.5204465037732</v>
      </c>
      <c r="M64" s="14">
        <f t="shared" si="36"/>
        <v>1.7494934872568351</v>
      </c>
      <c r="N64" s="14">
        <f t="shared" si="37"/>
        <v>4.6651710126385071</v>
      </c>
      <c r="O64" s="14">
        <f t="shared" si="38"/>
        <v>10.456035873133004</v>
      </c>
      <c r="P64" s="20">
        <f t="shared" si="44"/>
        <v>0.48378950759931344</v>
      </c>
      <c r="Q64" s="20">
        <v>7</v>
      </c>
      <c r="R64" s="57">
        <f t="shared" si="45"/>
        <v>4.4667757174465805E-4</v>
      </c>
      <c r="S64" s="57">
        <f t="shared" si="39"/>
        <v>4.6651710126385071</v>
      </c>
      <c r="T64" s="57">
        <v>8.1422594339139939E-2</v>
      </c>
      <c r="U64" s="58">
        <v>3.053442159482923E-2</v>
      </c>
      <c r="V64" s="58">
        <f t="shared" si="46"/>
        <v>1.7494934872568351</v>
      </c>
      <c r="W64" s="58">
        <f t="shared" si="47"/>
        <v>2.7745195438910741E-5</v>
      </c>
      <c r="X64" s="20">
        <f t="shared" si="40"/>
        <v>7</v>
      </c>
    </row>
    <row r="65" spans="6:24" ht="18.600000000000001" x14ac:dyDescent="0.3">
      <c r="F65" s="20" t="s">
        <v>83</v>
      </c>
      <c r="G65" s="20">
        <f>C$11*SQRT(G64/C$12)</f>
        <v>316.43395756501906</v>
      </c>
      <c r="H65" s="20" t="s">
        <v>55</v>
      </c>
      <c r="J65" s="47">
        <f t="shared" si="41"/>
        <v>138.7390261333972</v>
      </c>
      <c r="K65" s="13">
        <f t="shared" si="42"/>
        <v>0.4384454411941231</v>
      </c>
      <c r="L65" s="48">
        <f t="shared" si="43"/>
        <v>5059.9025588815666</v>
      </c>
      <c r="M65" s="14">
        <f t="shared" si="36"/>
        <v>1.2526616807226538</v>
      </c>
      <c r="N65" s="14">
        <f t="shared" si="37"/>
        <v>4.4544041454189971</v>
      </c>
      <c r="O65" s="14">
        <f t="shared" si="38"/>
        <v>10.775267238995767</v>
      </c>
      <c r="P65" s="20">
        <f t="shared" si="44"/>
        <v>0.46958487865337989</v>
      </c>
      <c r="Q65" s="20">
        <v>8</v>
      </c>
      <c r="R65" s="57">
        <f t="shared" si="45"/>
        <v>1.9392937247175723E-4</v>
      </c>
      <c r="S65" s="57">
        <f t="shared" si="39"/>
        <v>4.4544041454189971</v>
      </c>
      <c r="T65" s="57">
        <v>7.7744018552045782E-2</v>
      </c>
      <c r="U65" s="58">
        <v>2.1863070742176291E-2</v>
      </c>
      <c r="V65" s="58">
        <f t="shared" si="46"/>
        <v>1.2526616807226538</v>
      </c>
      <c r="W65" s="58">
        <f t="shared" si="47"/>
        <v>1.1572517905733548E-5</v>
      </c>
      <c r="X65" s="20">
        <f t="shared" si="40"/>
        <v>8</v>
      </c>
    </row>
    <row r="66" spans="6:24" x14ac:dyDescent="0.3">
      <c r="F66" s="20" t="s">
        <v>149</v>
      </c>
      <c r="G66" s="20">
        <f>G48-G49</f>
        <v>920.03354606114624</v>
      </c>
      <c r="H66" s="20" t="s">
        <v>0</v>
      </c>
      <c r="J66" s="47">
        <f t="shared" si="41"/>
        <v>148.91916525719762</v>
      </c>
      <c r="K66" s="13">
        <f t="shared" si="42"/>
        <v>0.47061689081393404</v>
      </c>
      <c r="L66" s="48">
        <f t="shared" si="43"/>
        <v>5069.9719769387912</v>
      </c>
      <c r="M66" s="14">
        <f t="shared" si="36"/>
        <v>0.85701754651878237</v>
      </c>
      <c r="N66" s="14">
        <f t="shared" si="37"/>
        <v>4.1418101843304438</v>
      </c>
      <c r="O66" s="14">
        <f t="shared" si="38"/>
        <v>10.755728867291857</v>
      </c>
      <c r="P66" s="20">
        <f t="shared" si="44"/>
        <v>0.47137409649257356</v>
      </c>
      <c r="Q66" s="59">
        <v>9</v>
      </c>
      <c r="R66" s="57">
        <f t="shared" si="45"/>
        <v>7.4027269874932244E-5</v>
      </c>
      <c r="S66" s="57">
        <f t="shared" si="39"/>
        <v>4.1418101843304438</v>
      </c>
      <c r="T66" s="57">
        <v>7.2288224709199503E-2</v>
      </c>
      <c r="U66" s="58">
        <v>1.495777793411642E-2</v>
      </c>
      <c r="V66" s="58">
        <f t="shared" si="46"/>
        <v>0.85701754651878237</v>
      </c>
      <c r="W66" s="58">
        <f t="shared" si="47"/>
        <v>4.6672062126162928E-6</v>
      </c>
      <c r="X66" s="20">
        <f t="shared" si="40"/>
        <v>9</v>
      </c>
    </row>
    <row r="67" spans="6:24" x14ac:dyDescent="0.3">
      <c r="F67" s="20" t="s">
        <v>150</v>
      </c>
      <c r="G67" s="20" cm="1">
        <f t="array" ref="G67">C$16*(G79-G61)*MIN(IF(P58:P72&gt;0,P58:P72))</f>
        <v>27.799424816280091</v>
      </c>
      <c r="H67" s="20" t="s">
        <v>0</v>
      </c>
      <c r="J67" s="47">
        <f t="shared" si="41"/>
        <v>159.09930438099803</v>
      </c>
      <c r="K67" s="13">
        <f t="shared" si="42"/>
        <v>0.5027883404337451</v>
      </c>
      <c r="L67" s="48">
        <f t="shared" si="43"/>
        <v>5088.7287006754477</v>
      </c>
      <c r="M67" s="14">
        <f t="shared" si="36"/>
        <v>0.53724187877926888</v>
      </c>
      <c r="N67" s="14">
        <f t="shared" si="37"/>
        <v>3.7263167370956767</v>
      </c>
      <c r="O67" s="14">
        <f t="shared" si="38"/>
        <v>10.339968440127919</v>
      </c>
      <c r="P67" s="20">
        <f t="shared" si="44"/>
        <v>0.49214160856882594</v>
      </c>
      <c r="Q67" s="59">
        <v>10</v>
      </c>
      <c r="R67" s="57">
        <f t="shared" si="45"/>
        <v>1.4918005035724491E-5</v>
      </c>
      <c r="S67" s="57">
        <f t="shared" si="39"/>
        <v>3.7263167370956767</v>
      </c>
      <c r="T67" s="57">
        <v>6.5036496034491478E-2</v>
      </c>
      <c r="U67" s="58">
        <v>9.3766396642984955E-3</v>
      </c>
      <c r="V67" s="58">
        <f t="shared" si="46"/>
        <v>0.53724187877926888</v>
      </c>
      <c r="W67" s="58">
        <f t="shared" si="47"/>
        <v>1.591030695635709E-6</v>
      </c>
      <c r="X67" s="20">
        <f t="shared" si="40"/>
        <v>10</v>
      </c>
    </row>
    <row r="68" spans="6:24" x14ac:dyDescent="0.3">
      <c r="F68" s="20" t="s">
        <v>152</v>
      </c>
      <c r="G68" s="20">
        <f>(J72-J58)/Q71</f>
        <v>10.1801391238004</v>
      </c>
      <c r="H68" s="20" t="s">
        <v>55</v>
      </c>
      <c r="J68" s="47">
        <f t="shared" si="41"/>
        <v>169.27944350479842</v>
      </c>
      <c r="K68" s="13">
        <f t="shared" si="42"/>
        <v>0.53495979005355598</v>
      </c>
      <c r="L68" s="48">
        <f t="shared" si="43"/>
        <v>5116.1727300915354</v>
      </c>
      <c r="M68" s="14">
        <f t="shared" si="36"/>
        <v>0.27539582584870953</v>
      </c>
      <c r="N68" s="14">
        <f t="shared" si="37"/>
        <v>3.201356362602207</v>
      </c>
      <c r="O68" s="14">
        <f t="shared" si="38"/>
        <v>9.4534344009145794</v>
      </c>
      <c r="P68" s="20">
        <f t="shared" si="44"/>
        <v>0.54119725309529487</v>
      </c>
      <c r="Q68" s="59">
        <v>11</v>
      </c>
      <c r="R68" s="57">
        <f t="shared" si="45"/>
        <v>2.0199782738927752E-5</v>
      </c>
      <c r="S68" s="57">
        <f t="shared" si="39"/>
        <v>3.201356362602207</v>
      </c>
      <c r="T68" s="57">
        <v>5.5874209057077975E-2</v>
      </c>
      <c r="U68" s="58">
        <v>4.8065639073088884E-3</v>
      </c>
      <c r="V68" s="58">
        <f t="shared" si="46"/>
        <v>0.27539582584870953</v>
      </c>
      <c r="W68" s="58">
        <f t="shared" si="47"/>
        <v>1.1682529930112651E-6</v>
      </c>
      <c r="X68" s="20">
        <f t="shared" si="40"/>
        <v>11</v>
      </c>
    </row>
    <row r="69" spans="6:24" x14ac:dyDescent="0.3">
      <c r="J69" s="47">
        <f t="shared" si="41"/>
        <v>179.45958262859881</v>
      </c>
      <c r="K69" s="13">
        <f t="shared" si="42"/>
        <v>0.56713123967336687</v>
      </c>
      <c r="L69" s="48">
        <f t="shared" si="43"/>
        <v>5152.3040651870542</v>
      </c>
      <c r="M69" s="14">
        <f t="shared" si="36"/>
        <v>5.8486294205393904E-2</v>
      </c>
      <c r="N69" s="14">
        <f t="shared" si="37"/>
        <v>2.5549841920189889</v>
      </c>
      <c r="O69" s="14">
        <f t="shared" si="38"/>
        <v>7.9999688249217744</v>
      </c>
      <c r="P69" s="20">
        <f t="shared" si="44"/>
        <v>0.64404051790007244</v>
      </c>
      <c r="Q69" s="59">
        <v>12</v>
      </c>
      <c r="R69" s="57">
        <f t="shared" si="45"/>
        <v>5.8446785260457546E-6</v>
      </c>
      <c r="S69" s="57">
        <f t="shared" si="39"/>
        <v>2.5549841920189889</v>
      </c>
      <c r="T69" s="57">
        <v>4.4592886487138383E-2</v>
      </c>
      <c r="U69" s="58">
        <v>1.0207784011742043E-3</v>
      </c>
      <c r="V69" s="58">
        <f t="shared" si="46"/>
        <v>5.8486294205393904E-2</v>
      </c>
      <c r="W69" s="58">
        <f t="shared" si="47"/>
        <v>4.6041691348364111E-7</v>
      </c>
      <c r="X69" s="20">
        <f t="shared" si="40"/>
        <v>12</v>
      </c>
    </row>
    <row r="70" spans="6:24" x14ac:dyDescent="0.3">
      <c r="J70" s="47">
        <f t="shared" si="41"/>
        <v>189.63972175239923</v>
      </c>
      <c r="K70" s="13">
        <f t="shared" si="42"/>
        <v>0.59930268929317776</v>
      </c>
      <c r="L70" s="48">
        <f t="shared" si="43"/>
        <v>5197.122705962006</v>
      </c>
      <c r="M70" s="14">
        <f t="shared" si="36"/>
        <v>-0.12308649786290009</v>
      </c>
      <c r="N70" s="14">
        <f t="shared" si="37"/>
        <v>1.769290429103501</v>
      </c>
      <c r="O70" s="14">
        <f t="shared" si="38"/>
        <v>5.8551332253766653</v>
      </c>
      <c r="P70" s="20">
        <f t="shared" si="44"/>
        <v>0.88761818150221006</v>
      </c>
      <c r="Q70" s="20">
        <v>13</v>
      </c>
      <c r="R70" s="57">
        <f t="shared" si="45"/>
        <v>1.0550829756539315E-6</v>
      </c>
      <c r="S70" s="57">
        <f t="shared" si="39"/>
        <v>1.769290429103501</v>
      </c>
      <c r="T70" s="57">
        <v>3.0879943411879399E-2</v>
      </c>
      <c r="U70" s="58">
        <v>-2.1482646524565705E-3</v>
      </c>
      <c r="V70" s="58">
        <f t="shared" si="46"/>
        <v>-0.12308649786290009</v>
      </c>
      <c r="W70" s="58">
        <f t="shared" si="47"/>
        <v>1.1533211363712326E-7</v>
      </c>
      <c r="X70" s="20">
        <f t="shared" si="40"/>
        <v>13</v>
      </c>
    </row>
    <row r="71" spans="6:24" x14ac:dyDescent="0.3">
      <c r="J71" s="47">
        <f>J$58+Q70*G$68</f>
        <v>199.81986087619964</v>
      </c>
      <c r="K71" s="13">
        <f t="shared" si="42"/>
        <v>0.63147413891298876</v>
      </c>
      <c r="L71" s="48">
        <f t="shared" si="43"/>
        <v>5250.6286524163861</v>
      </c>
      <c r="M71" s="14">
        <f t="shared" si="36"/>
        <v>-0.27654758402359708</v>
      </c>
      <c r="N71" s="14">
        <f t="shared" si="37"/>
        <v>0.81904428701554555</v>
      </c>
      <c r="O71" s="14">
        <f t="shared" si="38"/>
        <v>2.8563315302614809</v>
      </c>
      <c r="P71" s="20">
        <f t="shared" si="44"/>
        <v>1.8382420236546286</v>
      </c>
      <c r="Q71" s="20">
        <v>14</v>
      </c>
      <c r="R71" s="57">
        <f t="shared" si="45"/>
        <v>3.075183485634625E-8</v>
      </c>
      <c r="S71" s="57">
        <f t="shared" si="39"/>
        <v>0.81904428701554555</v>
      </c>
      <c r="T71" s="57">
        <v>1.4295019528070711E-2</v>
      </c>
      <c r="U71" s="58">
        <v>-4.8266658796474373E-3</v>
      </c>
      <c r="V71" s="58">
        <f t="shared" si="46"/>
        <v>-0.27654758402359708</v>
      </c>
      <c r="W71" s="58">
        <f t="shared" si="47"/>
        <v>-1.3278622645884752E-10</v>
      </c>
      <c r="X71" s="20">
        <f t="shared" si="40"/>
        <v>14</v>
      </c>
    </row>
    <row r="72" spans="6:24" x14ac:dyDescent="0.3">
      <c r="J72" s="47">
        <v>210</v>
      </c>
      <c r="K72" s="13">
        <f t="shared" si="42"/>
        <v>0.66364558853279954</v>
      </c>
      <c r="L72" s="48">
        <f t="shared" si="43"/>
        <v>5312.8219045502001</v>
      </c>
      <c r="M72" s="14">
        <f t="shared" si="36"/>
        <v>-0.40743457681722262</v>
      </c>
      <c r="N72" s="14">
        <f t="shared" si="37"/>
        <v>-0.33069690101894095</v>
      </c>
      <c r="O72" s="14">
        <f t="shared" si="38"/>
        <v>-1.2120607176651916</v>
      </c>
      <c r="P72" s="20">
        <f t="shared" si="44"/>
        <v>-4.383296832508818</v>
      </c>
      <c r="Q72" s="59">
        <v>15</v>
      </c>
      <c r="R72" s="57">
        <f t="shared" si="45"/>
        <v>-4.1783805427257903E-3</v>
      </c>
      <c r="S72" s="57">
        <f t="shared" si="39"/>
        <v>-0.33069690101894095</v>
      </c>
      <c r="T72" s="57">
        <v>-5.7717497489223101E-3</v>
      </c>
      <c r="U72" s="58">
        <v>-7.111074851930293E-3</v>
      </c>
      <c r="V72" s="58">
        <f t="shared" si="46"/>
        <v>-0.40743457681722262</v>
      </c>
      <c r="W72" s="58">
        <f t="shared" si="47"/>
        <v>8.8651031148856418E-5</v>
      </c>
      <c r="X72" s="20">
        <f t="shared" si="40"/>
        <v>15</v>
      </c>
    </row>
    <row r="73" spans="6:24" ht="15.6" thickBot="1" x14ac:dyDescent="0.35"/>
    <row r="74" spans="6:24" ht="16.2" thickBot="1" x14ac:dyDescent="0.35">
      <c r="J74" s="143" t="s">
        <v>113</v>
      </c>
      <c r="K74" s="144"/>
      <c r="L74" s="144"/>
      <c r="M74" s="144"/>
      <c r="N74" s="144"/>
      <c r="O74" s="145"/>
    </row>
    <row r="75" spans="6:24" ht="18.600000000000001" thickBot="1" x14ac:dyDescent="0.35">
      <c r="F75" s="49"/>
      <c r="J75" s="95" t="s">
        <v>63</v>
      </c>
      <c r="K75" s="96" t="s">
        <v>53</v>
      </c>
      <c r="L75" s="95" t="s">
        <v>65</v>
      </c>
      <c r="M75" s="95" t="s">
        <v>66</v>
      </c>
      <c r="N75" s="95" t="s">
        <v>84</v>
      </c>
      <c r="O75" s="95" t="s">
        <v>64</v>
      </c>
      <c r="P75" s="20" t="s">
        <v>151</v>
      </c>
      <c r="R75" s="51" t="s">
        <v>85</v>
      </c>
      <c r="S75" s="52" t="s">
        <v>87</v>
      </c>
      <c r="T75" s="52" t="s">
        <v>86</v>
      </c>
      <c r="U75" s="54" t="s">
        <v>86</v>
      </c>
      <c r="V75" s="54" t="s">
        <v>87</v>
      </c>
      <c r="W75" s="53" t="s">
        <v>88</v>
      </c>
    </row>
    <row r="76" spans="6:24" x14ac:dyDescent="0.3">
      <c r="F76" s="49"/>
      <c r="J76" s="44">
        <f>SQRT(2*(C$14+G84)*C$10/C$4/C$15/G80)</f>
        <v>75.356120124418212</v>
      </c>
      <c r="K76" s="42">
        <f>J76/G$83</f>
        <v>0.24460871021104941</v>
      </c>
      <c r="L76" s="46">
        <f>G$81*(1-0.605*K76+0.725*K76^2)</f>
        <v>4269.0070116268253</v>
      </c>
      <c r="M76" s="43">
        <f t="shared" ref="M76:M90" si="48">V76</f>
        <v>11.230198415270635</v>
      </c>
      <c r="N76" s="43">
        <f t="shared" ref="N76:N90" si="49">S76</f>
        <v>0.98742175619971462</v>
      </c>
      <c r="O76" s="43">
        <f t="shared" ref="O76:O90" si="50">J76*SIN(RADIANS(N76))</f>
        <v>1.2986050616650862</v>
      </c>
      <c r="P76" s="20">
        <f>L76/1000/O76</f>
        <v>3.2873790020139424</v>
      </c>
      <c r="Q76" s="20">
        <v>1</v>
      </c>
      <c r="R76" s="57">
        <f>0.5*G$80*C$4*C$2*(U76-C$5)*J76^2+L76*SIN(U76-C$1)-C$10*(C$14+G$84*(J$90-J76)/(J$90-J$76))*COS(T76)</f>
        <v>-5.9870224504265934E-5</v>
      </c>
      <c r="S76" s="57">
        <f t="shared" ref="S76:S90" si="51">DEGREES(T76)</f>
        <v>0.98742175619971462</v>
      </c>
      <c r="T76" s="57">
        <v>1.7233760751509751E-2</v>
      </c>
      <c r="U76" s="58">
        <v>0.19600393799872204</v>
      </c>
      <c r="V76" s="58">
        <f>DEGREES(U76)</f>
        <v>11.230198415270635</v>
      </c>
      <c r="W76" s="58">
        <f>-0.5*G$80*C$4*J76^2*((C$7+(C$2^2)*(U76-C$5)^2/(PI()*C$6))/SQRT(1-(J76/G$83)^2))+L76*COS(U76-C$1)-C$10*(C$14+G$84*(J$90-J76)/(J$90-J$76))*SIN(T76)</f>
        <v>-2.4513266566827951E-5</v>
      </c>
      <c r="X76" s="20">
        <f t="shared" ref="X76:X90" si="52">Q76</f>
        <v>1</v>
      </c>
    </row>
    <row r="77" spans="6:24" x14ac:dyDescent="0.3">
      <c r="F77" s="49"/>
      <c r="J77" s="47">
        <f t="shared" ref="J77:J88" si="53">J$76+Q76*G$86</f>
        <v>84.973540115531193</v>
      </c>
      <c r="K77" s="13">
        <f t="shared" ref="K77:K90" si="54">J77/G$83</f>
        <v>0.27582720574531999</v>
      </c>
      <c r="L77" s="48">
        <f t="shared" ref="L77:L90" si="55">G$81*(1-0.605*K77+0.725*K77^2)</f>
        <v>4235.1180259369066</v>
      </c>
      <c r="M77" s="14">
        <f t="shared" si="48"/>
        <v>8.4098998920405137</v>
      </c>
      <c r="N77" s="14">
        <f t="shared" si="49"/>
        <v>1.9494770071794729</v>
      </c>
      <c r="O77" s="14">
        <f t="shared" si="50"/>
        <v>2.8906492480251651</v>
      </c>
      <c r="P77" s="20">
        <f t="shared" ref="P77:P90" si="56">L77/1000/O77</f>
        <v>1.4651096215946147</v>
      </c>
      <c r="Q77" s="20">
        <v>2</v>
      </c>
      <c r="R77" s="57">
        <f t="shared" ref="R77:R90" si="57">0.5*G$80*C$4*C$2*(U77-C$5)*J77^2+L77*SIN(U77-C$1)-C$10*(C$14+G$84*(J$90-J77)/(J$90-J$76))*COS(T77)</f>
        <v>1.0808003571582958E-4</v>
      </c>
      <c r="S77" s="57">
        <f t="shared" si="51"/>
        <v>1.9494770071794729</v>
      </c>
      <c r="T77" s="57">
        <v>3.4024792467206938E-2</v>
      </c>
      <c r="U77" s="58">
        <v>0.14678044287922262</v>
      </c>
      <c r="V77" s="58">
        <f t="shared" ref="V77:V90" si="58">DEGREES(U77)</f>
        <v>8.4098998920405137</v>
      </c>
      <c r="W77" s="58">
        <f t="shared" ref="W77:W90" si="59">-0.5*G$80*C$4*J77^2*((C$7+(C$2^2)*(U77-C$5)^2/(PI()*C$6))/SQRT(1-(J77/G$83)^2))+L77*COS(U77-C$1)-C$10*(C$14+G$84*(J$90-J77)/(J$90-J$76))*SIN(T77)</f>
        <v>-3.580467778192542E-4</v>
      </c>
      <c r="X77" s="20">
        <f t="shared" si="52"/>
        <v>2</v>
      </c>
    </row>
    <row r="78" spans="6:24" x14ac:dyDescent="0.3">
      <c r="F78" s="49"/>
      <c r="J78" s="47">
        <f t="shared" si="53"/>
        <v>94.590960106644175</v>
      </c>
      <c r="K78" s="13">
        <f t="shared" si="54"/>
        <v>0.30704570127959058</v>
      </c>
      <c r="L78" s="48">
        <f t="shared" si="55"/>
        <v>4207.966653906441</v>
      </c>
      <c r="M78" s="14">
        <f t="shared" si="48"/>
        <v>6.4030025890148377</v>
      </c>
      <c r="N78" s="14">
        <f t="shared" si="49"/>
        <v>2.5724490113481218</v>
      </c>
      <c r="O78" s="14">
        <f t="shared" si="50"/>
        <v>4.2454903492987652</v>
      </c>
      <c r="P78" s="20">
        <f t="shared" si="56"/>
        <v>0.99116151673774922</v>
      </c>
      <c r="Q78" s="59">
        <v>3</v>
      </c>
      <c r="R78" s="57">
        <f t="shared" si="57"/>
        <v>1.3558068894781172E-3</v>
      </c>
      <c r="S78" s="57">
        <f t="shared" si="51"/>
        <v>2.5724490113481218</v>
      </c>
      <c r="T78" s="57">
        <v>4.4897705087697699E-2</v>
      </c>
      <c r="U78" s="58">
        <v>0.11175347719203022</v>
      </c>
      <c r="V78" s="58">
        <f t="shared" si="58"/>
        <v>6.4030025890148377</v>
      </c>
      <c r="W78" s="58">
        <f t="shared" si="59"/>
        <v>2.0589457426467561E-4</v>
      </c>
      <c r="X78" s="20">
        <f t="shared" si="52"/>
        <v>3</v>
      </c>
    </row>
    <row r="79" spans="6:24" x14ac:dyDescent="0.3">
      <c r="F79" s="22" t="s">
        <v>6</v>
      </c>
      <c r="G79" s="22">
        <v>8000</v>
      </c>
      <c r="H79" s="22" t="s">
        <v>3</v>
      </c>
      <c r="J79" s="47">
        <f t="shared" si="53"/>
        <v>104.20838009775716</v>
      </c>
      <c r="K79" s="13">
        <f t="shared" si="54"/>
        <v>0.33826419681386122</v>
      </c>
      <c r="L79" s="48">
        <f t="shared" si="55"/>
        <v>4187.5528955354284</v>
      </c>
      <c r="M79" s="14">
        <f t="shared" si="48"/>
        <v>4.9285749370922387</v>
      </c>
      <c r="N79" s="14">
        <f t="shared" si="49"/>
        <v>2.9640327725234963</v>
      </c>
      <c r="O79" s="14">
        <f t="shared" si="50"/>
        <v>5.3885173513368496</v>
      </c>
      <c r="P79" s="20">
        <f t="shared" si="56"/>
        <v>0.77712525032447533</v>
      </c>
      <c r="Q79" s="59">
        <v>4</v>
      </c>
      <c r="R79" s="57">
        <f t="shared" si="57"/>
        <v>5.4698035819455981E-4</v>
      </c>
      <c r="S79" s="57">
        <f t="shared" si="51"/>
        <v>2.9640327725234963</v>
      </c>
      <c r="T79" s="57">
        <v>5.1732131017551121E-2</v>
      </c>
      <c r="U79" s="58">
        <v>8.6019860083531963E-2</v>
      </c>
      <c r="V79" s="58">
        <f t="shared" si="58"/>
        <v>4.9285749370922387</v>
      </c>
      <c r="W79" s="58">
        <f t="shared" si="59"/>
        <v>7.644415632057644E-5</v>
      </c>
      <c r="X79" s="20">
        <f t="shared" si="52"/>
        <v>4</v>
      </c>
    </row>
    <row r="80" spans="6:24" ht="18.600000000000001" x14ac:dyDescent="0.3">
      <c r="F80" s="20" t="s">
        <v>79</v>
      </c>
      <c r="G80" s="20">
        <f>C$9*(1-G79/44300)^4.256</f>
        <v>0.52502701808540919</v>
      </c>
      <c r="H80" s="20" t="s">
        <v>80</v>
      </c>
      <c r="J80" s="47">
        <f t="shared" si="53"/>
        <v>113.82580008887015</v>
      </c>
      <c r="K80" s="13">
        <f t="shared" si="54"/>
        <v>0.36948269234813186</v>
      </c>
      <c r="L80" s="48">
        <f t="shared" si="55"/>
        <v>4173.8767508238707</v>
      </c>
      <c r="M80" s="14">
        <f t="shared" si="48"/>
        <v>3.8161638133256042</v>
      </c>
      <c r="N80" s="14">
        <f t="shared" si="49"/>
        <v>3.1877922457605918</v>
      </c>
      <c r="O80" s="14">
        <f t="shared" si="50"/>
        <v>6.3297127874424328</v>
      </c>
      <c r="P80" s="20">
        <f t="shared" si="56"/>
        <v>0.65941013296913842</v>
      </c>
      <c r="Q80" s="59">
        <v>5</v>
      </c>
      <c r="R80" s="57">
        <f t="shared" si="57"/>
        <v>5.2020123257534578E-4</v>
      </c>
      <c r="S80" s="57">
        <f t="shared" si="51"/>
        <v>3.1877922457605918</v>
      </c>
      <c r="T80" s="57">
        <v>5.5637470558066573E-2</v>
      </c>
      <c r="U80" s="58">
        <v>6.6604623337994051E-2</v>
      </c>
      <c r="V80" s="58">
        <f t="shared" si="58"/>
        <v>3.8161638133256042</v>
      </c>
      <c r="W80" s="58">
        <f t="shared" si="59"/>
        <v>5.226450730333454E-5</v>
      </c>
      <c r="X80" s="20">
        <f t="shared" si="52"/>
        <v>5</v>
      </c>
    </row>
    <row r="81" spans="6:24" ht="18.600000000000001" x14ac:dyDescent="0.3">
      <c r="F81" s="20" t="s">
        <v>81</v>
      </c>
      <c r="G81" s="20">
        <f>C$3*(G80/C$9)^0.85</f>
        <v>4767.7575487620325</v>
      </c>
      <c r="H81" s="20" t="s">
        <v>28</v>
      </c>
      <c r="J81" s="47">
        <f t="shared" si="53"/>
        <v>123.44322007998312</v>
      </c>
      <c r="K81" s="13">
        <f t="shared" si="54"/>
        <v>0.40070118788240239</v>
      </c>
      <c r="L81" s="48">
        <f t="shared" si="55"/>
        <v>4166.9382197717659</v>
      </c>
      <c r="M81" s="14">
        <f t="shared" si="48"/>
        <v>2.9578843129286958</v>
      </c>
      <c r="N81" s="14">
        <f t="shared" si="49"/>
        <v>3.2819909566188792</v>
      </c>
      <c r="O81" s="14">
        <f t="shared" si="50"/>
        <v>7.0671525211080697</v>
      </c>
      <c r="P81" s="20">
        <f t="shared" si="56"/>
        <v>0.58962053066295295</v>
      </c>
      <c r="Q81" s="59">
        <v>6</v>
      </c>
      <c r="R81" s="57">
        <f t="shared" si="57"/>
        <v>4.9405027675675228E-4</v>
      </c>
      <c r="S81" s="57">
        <f t="shared" si="51"/>
        <v>3.2819909566188792</v>
      </c>
      <c r="T81" s="57">
        <v>5.728154821367782E-2</v>
      </c>
      <c r="U81" s="58">
        <v>5.1624820153696023E-2</v>
      </c>
      <c r="V81" s="58">
        <f t="shared" si="58"/>
        <v>2.9578843129286958</v>
      </c>
      <c r="W81" s="58">
        <f t="shared" si="59"/>
        <v>4.052959639011533E-5</v>
      </c>
      <c r="X81" s="20">
        <f t="shared" si="52"/>
        <v>6</v>
      </c>
    </row>
    <row r="82" spans="6:24" ht="18.600000000000001" x14ac:dyDescent="0.3">
      <c r="F82" s="20" t="s">
        <v>82</v>
      </c>
      <c r="G82" s="20">
        <f>C$12-6.5*G79/1000</f>
        <v>236.14999999999998</v>
      </c>
      <c r="H82" s="20" t="s">
        <v>56</v>
      </c>
      <c r="J82" s="47">
        <f t="shared" si="53"/>
        <v>133.06064007109612</v>
      </c>
      <c r="K82" s="13">
        <f t="shared" si="54"/>
        <v>0.43191968341667303</v>
      </c>
      <c r="L82" s="48">
        <f t="shared" si="55"/>
        <v>4166.7373023791151</v>
      </c>
      <c r="M82" s="14">
        <f t="shared" si="48"/>
        <v>2.2829315037979403</v>
      </c>
      <c r="N82" s="14">
        <f t="shared" si="49"/>
        <v>3.269515369251943</v>
      </c>
      <c r="O82" s="14">
        <f t="shared" si="50"/>
        <v>7.5888267153990645</v>
      </c>
      <c r="P82" s="20">
        <f t="shared" si="56"/>
        <v>0.54906212233362395</v>
      </c>
      <c r="Q82" s="20">
        <v>7</v>
      </c>
      <c r="R82" s="57">
        <f t="shared" si="57"/>
        <v>3.0794662598054856E-4</v>
      </c>
      <c r="S82" s="57">
        <f t="shared" si="51"/>
        <v>3.269515369251943</v>
      </c>
      <c r="T82" s="57">
        <v>5.7063808138004574E-2</v>
      </c>
      <c r="U82" s="58">
        <v>3.9844671338779489E-2</v>
      </c>
      <c r="V82" s="58">
        <f t="shared" si="58"/>
        <v>2.2829315037979403</v>
      </c>
      <c r="W82" s="58">
        <f t="shared" si="59"/>
        <v>2.1778794234705856E-5</v>
      </c>
      <c r="X82" s="20">
        <f t="shared" si="52"/>
        <v>7</v>
      </c>
    </row>
    <row r="83" spans="6:24" ht="18.600000000000001" x14ac:dyDescent="0.3">
      <c r="F83" s="20" t="s">
        <v>83</v>
      </c>
      <c r="G83" s="20">
        <f>C$11*SQRT(G82/C$12)</f>
        <v>308.06801629999455</v>
      </c>
      <c r="H83" s="20" t="s">
        <v>55</v>
      </c>
      <c r="J83" s="47">
        <f t="shared" si="53"/>
        <v>142.67806006220911</v>
      </c>
      <c r="K83" s="13">
        <f t="shared" si="54"/>
        <v>0.46313817895094367</v>
      </c>
      <c r="L83" s="48">
        <f t="shared" si="55"/>
        <v>4173.2739986459173</v>
      </c>
      <c r="M83" s="14">
        <f t="shared" si="48"/>
        <v>1.7433603270428739</v>
      </c>
      <c r="N83" s="14">
        <f t="shared" si="49"/>
        <v>3.1632886855669682</v>
      </c>
      <c r="O83" s="14">
        <f t="shared" si="50"/>
        <v>7.8732263710559476</v>
      </c>
      <c r="P83" s="20">
        <f t="shared" si="56"/>
        <v>0.53005893670071147</v>
      </c>
      <c r="Q83" s="20">
        <v>8</v>
      </c>
      <c r="R83" s="57">
        <f t="shared" si="57"/>
        <v>1.6749051428632811E-4</v>
      </c>
      <c r="S83" s="57">
        <f t="shared" si="51"/>
        <v>3.1632886855669682</v>
      </c>
      <c r="T83" s="57">
        <v>5.5209802754227225E-2</v>
      </c>
      <c r="U83" s="58">
        <v>3.0427377755543286E-2</v>
      </c>
      <c r="V83" s="58">
        <f t="shared" si="58"/>
        <v>1.7433603270428739</v>
      </c>
      <c r="W83" s="58">
        <f t="shared" si="59"/>
        <v>1.0559506563367904E-5</v>
      </c>
      <c r="X83" s="20">
        <f t="shared" si="52"/>
        <v>8</v>
      </c>
    </row>
    <row r="84" spans="6:24" x14ac:dyDescent="0.3">
      <c r="F84" s="20" t="s">
        <v>149</v>
      </c>
      <c r="G84" s="20">
        <f>G66-G67</f>
        <v>892.23412124486617</v>
      </c>
      <c r="H84" s="20" t="s">
        <v>0</v>
      </c>
      <c r="J84" s="47">
        <f t="shared" si="53"/>
        <v>152.29548005332208</v>
      </c>
      <c r="K84" s="13">
        <f t="shared" si="54"/>
        <v>0.49435667448521425</v>
      </c>
      <c r="L84" s="48">
        <f t="shared" si="55"/>
        <v>4186.5483085721726</v>
      </c>
      <c r="M84" s="14">
        <f t="shared" si="48"/>
        <v>1.3058120670640452</v>
      </c>
      <c r="N84" s="14">
        <f t="shared" si="49"/>
        <v>2.9692651726830106</v>
      </c>
      <c r="O84" s="14">
        <f t="shared" si="50"/>
        <v>7.8889454571028219</v>
      </c>
      <c r="P84" s="20">
        <f t="shared" si="56"/>
        <v>0.5306854168706171</v>
      </c>
      <c r="Q84" s="59">
        <v>9</v>
      </c>
      <c r="R84" s="57">
        <f t="shared" si="57"/>
        <v>7.8574277722509578E-5</v>
      </c>
      <c r="S84" s="57">
        <f t="shared" si="51"/>
        <v>2.9692651726830106</v>
      </c>
      <c r="T84" s="57">
        <v>5.1823453628116523E-2</v>
      </c>
      <c r="U84" s="58">
        <v>2.2790719982540592E-2</v>
      </c>
      <c r="V84" s="58">
        <f t="shared" si="58"/>
        <v>1.3058120670640452</v>
      </c>
      <c r="W84" s="58">
        <f t="shared" si="59"/>
        <v>4.5610038341692416E-6</v>
      </c>
      <c r="X84" s="20">
        <f t="shared" si="52"/>
        <v>9</v>
      </c>
    </row>
    <row r="85" spans="6:24" x14ac:dyDescent="0.3">
      <c r="F85" s="20" t="s">
        <v>150</v>
      </c>
      <c r="G85" s="20" cm="1">
        <f t="array" ref="G85">C$16*(G97-G79)*MIN(IF(P76:P90&gt;0,P76:P90))</f>
        <v>31.379489052682121</v>
      </c>
      <c r="H85" s="20" t="s">
        <v>0</v>
      </c>
      <c r="J85" s="47">
        <f t="shared" si="53"/>
        <v>161.91290004443505</v>
      </c>
      <c r="K85" s="13">
        <f t="shared" si="54"/>
        <v>0.52557517001948484</v>
      </c>
      <c r="L85" s="48">
        <f t="shared" si="55"/>
        <v>4206.5602321578826</v>
      </c>
      <c r="M85" s="14">
        <f t="shared" si="48"/>
        <v>0.94651903709496088</v>
      </c>
      <c r="N85" s="14">
        <f t="shared" si="49"/>
        <v>2.6880371630044855</v>
      </c>
      <c r="O85" s="14">
        <f t="shared" si="50"/>
        <v>7.5933734689542423</v>
      </c>
      <c r="P85" s="20">
        <f t="shared" si="56"/>
        <v>0.55397778725839619</v>
      </c>
      <c r="Q85" s="59">
        <v>10</v>
      </c>
      <c r="R85" s="57">
        <f t="shared" si="57"/>
        <v>3.0198178137652576E-5</v>
      </c>
      <c r="S85" s="57">
        <f t="shared" si="51"/>
        <v>2.6880371630044855</v>
      </c>
      <c r="T85" s="57">
        <v>4.6915098910395782E-2</v>
      </c>
      <c r="U85" s="58">
        <v>1.651987363011341E-2</v>
      </c>
      <c r="V85" s="58">
        <f t="shared" si="58"/>
        <v>0.94651903709496088</v>
      </c>
      <c r="W85" s="58">
        <f t="shared" si="59"/>
        <v>1.7082638805732131E-6</v>
      </c>
      <c r="X85" s="20">
        <f t="shared" si="52"/>
        <v>10</v>
      </c>
    </row>
    <row r="86" spans="6:24" x14ac:dyDescent="0.3">
      <c r="F86" s="20" t="s">
        <v>152</v>
      </c>
      <c r="G86" s="20">
        <f>(J90-J76)/Q89</f>
        <v>9.6174199911129836</v>
      </c>
      <c r="H86" s="20" t="s">
        <v>55</v>
      </c>
      <c r="J86" s="47">
        <f t="shared" si="53"/>
        <v>171.53032003554804</v>
      </c>
      <c r="K86" s="13">
        <f t="shared" si="54"/>
        <v>0.55679366555375542</v>
      </c>
      <c r="L86" s="48">
        <f t="shared" si="55"/>
        <v>4233.3097694030457</v>
      </c>
      <c r="M86" s="14">
        <f t="shared" si="48"/>
        <v>0.64818809170824321</v>
      </c>
      <c r="N86" s="14">
        <f t="shared" si="49"/>
        <v>2.3155692556839607</v>
      </c>
      <c r="O86" s="14">
        <f t="shared" si="50"/>
        <v>6.9303921648466016</v>
      </c>
      <c r="P86" s="20">
        <f t="shared" si="56"/>
        <v>0.61083264391240211</v>
      </c>
      <c r="Q86" s="59">
        <v>11</v>
      </c>
      <c r="R86" s="57">
        <f t="shared" si="57"/>
        <v>9.0779249148909003E-6</v>
      </c>
      <c r="S86" s="57">
        <f t="shared" si="51"/>
        <v>2.3155692556839607</v>
      </c>
      <c r="T86" s="57">
        <v>4.0414307569639533E-2</v>
      </c>
      <c r="U86" s="58">
        <v>1.1313016372527801E-2</v>
      </c>
      <c r="V86" s="58">
        <f t="shared" si="58"/>
        <v>0.64818809170824321</v>
      </c>
      <c r="W86" s="58">
        <f t="shared" si="59"/>
        <v>5.4642350733047351E-7</v>
      </c>
      <c r="X86" s="20">
        <f t="shared" si="52"/>
        <v>11</v>
      </c>
    </row>
    <row r="87" spans="6:24" x14ac:dyDescent="0.3">
      <c r="J87" s="47">
        <f t="shared" si="53"/>
        <v>181.14774002666104</v>
      </c>
      <c r="K87" s="13">
        <f t="shared" si="54"/>
        <v>0.58801216108802612</v>
      </c>
      <c r="L87" s="48">
        <f t="shared" si="55"/>
        <v>4266.7969203076627</v>
      </c>
      <c r="M87" s="14">
        <f t="shared" si="48"/>
        <v>0.39799880866800108</v>
      </c>
      <c r="N87" s="14">
        <f t="shared" si="49"/>
        <v>1.8432990886612715</v>
      </c>
      <c r="O87" s="14">
        <f t="shared" si="50"/>
        <v>5.8268142914458707</v>
      </c>
      <c r="P87" s="20">
        <f t="shared" si="56"/>
        <v>0.73226924815015781</v>
      </c>
      <c r="Q87" s="59">
        <v>12</v>
      </c>
      <c r="R87" s="57">
        <f t="shared" si="57"/>
        <v>2.2852073016110808E-6</v>
      </c>
      <c r="S87" s="57">
        <f t="shared" si="51"/>
        <v>1.8432990886612715</v>
      </c>
      <c r="T87" s="57">
        <v>3.2171638196150064E-2</v>
      </c>
      <c r="U87" s="58">
        <v>6.9463896302715657E-3</v>
      </c>
      <c r="V87" s="58">
        <f t="shared" si="58"/>
        <v>0.39799880866800108</v>
      </c>
      <c r="W87" s="58">
        <f t="shared" si="59"/>
        <v>1.6884712294995552E-7</v>
      </c>
      <c r="X87" s="20">
        <f t="shared" si="52"/>
        <v>12</v>
      </c>
    </row>
    <row r="88" spans="6:24" x14ac:dyDescent="0.3">
      <c r="J88" s="47">
        <f t="shared" si="53"/>
        <v>190.76516001777401</v>
      </c>
      <c r="K88" s="13">
        <f t="shared" si="54"/>
        <v>0.61923065662229659</v>
      </c>
      <c r="L88" s="48">
        <f t="shared" si="55"/>
        <v>4307.0216848717337</v>
      </c>
      <c r="M88" s="14">
        <f t="shared" si="48"/>
        <v>0.1862833778060233</v>
      </c>
      <c r="N88" s="14">
        <f t="shared" si="49"/>
        <v>1.257674701872199</v>
      </c>
      <c r="O88" s="14">
        <f t="shared" si="50"/>
        <v>4.1870666835777284</v>
      </c>
      <c r="P88" s="20">
        <f t="shared" si="56"/>
        <v>1.0286489350084835</v>
      </c>
      <c r="Q88" s="20">
        <v>13</v>
      </c>
      <c r="R88" s="57">
        <f t="shared" si="57"/>
        <v>4.5511842472478747E-7</v>
      </c>
      <c r="S88" s="57">
        <f t="shared" si="51"/>
        <v>1.257674701872199</v>
      </c>
      <c r="T88" s="57">
        <v>2.1950564466707963E-2</v>
      </c>
      <c r="U88" s="58">
        <v>3.2512582844516375E-3</v>
      </c>
      <c r="V88" s="58">
        <f t="shared" si="58"/>
        <v>0.1862833778060233</v>
      </c>
      <c r="W88" s="58">
        <f t="shared" si="59"/>
        <v>6.6042730395565741E-8</v>
      </c>
      <c r="X88" s="20">
        <f t="shared" si="52"/>
        <v>13</v>
      </c>
    </row>
    <row r="89" spans="6:24" x14ac:dyDescent="0.3">
      <c r="J89" s="47">
        <f>J$76+Q88*G$86</f>
        <v>200.382580008887</v>
      </c>
      <c r="K89" s="13">
        <f t="shared" si="54"/>
        <v>0.65044915215656729</v>
      </c>
      <c r="L89" s="48">
        <f t="shared" si="55"/>
        <v>4353.9840630952567</v>
      </c>
      <c r="M89" s="14">
        <f t="shared" si="48"/>
        <v>5.6344857407861181E-3</v>
      </c>
      <c r="N89" s="14">
        <f t="shared" si="49"/>
        <v>0.53906108933928476</v>
      </c>
      <c r="O89" s="14">
        <f t="shared" si="50"/>
        <v>1.8852498246164235</v>
      </c>
      <c r="P89" s="20">
        <f t="shared" si="56"/>
        <v>2.3094997841896769</v>
      </c>
      <c r="Q89" s="20">
        <v>14</v>
      </c>
      <c r="R89" s="57">
        <f t="shared" si="57"/>
        <v>2.8384602046571672E-7</v>
      </c>
      <c r="S89" s="57">
        <f t="shared" si="51"/>
        <v>0.53906108933928476</v>
      </c>
      <c r="T89" s="57">
        <v>9.4083908783578231E-3</v>
      </c>
      <c r="U89" s="58">
        <v>9.8340327833389515E-5</v>
      </c>
      <c r="V89" s="58">
        <f t="shared" si="58"/>
        <v>5.6344857407861181E-3</v>
      </c>
      <c r="W89" s="58">
        <f t="shared" si="59"/>
        <v>4.0329609873879235E-8</v>
      </c>
      <c r="X89" s="20">
        <f t="shared" si="52"/>
        <v>14</v>
      </c>
    </row>
    <row r="90" spans="6:24" x14ac:dyDescent="0.3">
      <c r="J90" s="47">
        <v>210</v>
      </c>
      <c r="K90" s="13">
        <f t="shared" si="54"/>
        <v>0.68166764769083787</v>
      </c>
      <c r="L90" s="48">
        <f t="shared" si="55"/>
        <v>4407.6840549782355</v>
      </c>
      <c r="M90" s="14">
        <f t="shared" si="48"/>
        <v>-0.14971251355547566</v>
      </c>
      <c r="N90" s="14">
        <f t="shared" si="49"/>
        <v>-0.34021220890001153</v>
      </c>
      <c r="O90" s="14">
        <f t="shared" si="50"/>
        <v>-1.2469355447795512</v>
      </c>
      <c r="P90" s="20">
        <f t="shared" si="56"/>
        <v>-3.5348130650630232</v>
      </c>
      <c r="Q90" s="59">
        <v>15</v>
      </c>
      <c r="R90" s="57">
        <f t="shared" si="57"/>
        <v>-2.4460457789245993E-3</v>
      </c>
      <c r="S90" s="57">
        <f t="shared" si="51"/>
        <v>-0.34021220890001153</v>
      </c>
      <c r="T90" s="57">
        <v>-5.9378232007879566E-3</v>
      </c>
      <c r="U90" s="58">
        <v>-2.6129762929796925E-3</v>
      </c>
      <c r="V90" s="58">
        <f t="shared" si="58"/>
        <v>-0.14971251355547566</v>
      </c>
      <c r="W90" s="58">
        <f t="shared" si="59"/>
        <v>-2.4539793059830117E-6</v>
      </c>
      <c r="X90" s="20">
        <f t="shared" si="52"/>
        <v>15</v>
      </c>
    </row>
    <row r="91" spans="6:24" ht="15.6" thickBot="1" x14ac:dyDescent="0.35"/>
    <row r="92" spans="6:24" ht="16.2" thickBot="1" x14ac:dyDescent="0.35">
      <c r="J92" s="143" t="s">
        <v>112</v>
      </c>
      <c r="K92" s="144"/>
      <c r="L92" s="144"/>
      <c r="M92" s="144"/>
      <c r="N92" s="144"/>
      <c r="O92" s="145"/>
    </row>
    <row r="93" spans="6:24" ht="18.600000000000001" thickBot="1" x14ac:dyDescent="0.35">
      <c r="F93" s="49"/>
      <c r="J93" s="95" t="s">
        <v>63</v>
      </c>
      <c r="K93" s="96" t="s">
        <v>53</v>
      </c>
      <c r="L93" s="95" t="s">
        <v>65</v>
      </c>
      <c r="M93" s="95" t="s">
        <v>66</v>
      </c>
      <c r="N93" s="95" t="s">
        <v>84</v>
      </c>
      <c r="O93" s="95" t="s">
        <v>64</v>
      </c>
      <c r="P93" s="20" t="s">
        <v>151</v>
      </c>
      <c r="R93" s="51" t="s">
        <v>85</v>
      </c>
      <c r="S93" s="52" t="s">
        <v>87</v>
      </c>
      <c r="T93" s="52" t="s">
        <v>86</v>
      </c>
      <c r="U93" s="54" t="s">
        <v>86</v>
      </c>
      <c r="V93" s="54" t="s">
        <v>87</v>
      </c>
      <c r="W93" s="53" t="s">
        <v>88</v>
      </c>
    </row>
    <row r="94" spans="6:24" x14ac:dyDescent="0.3">
      <c r="F94" s="49"/>
      <c r="J94" s="44">
        <f>SQRT(2*(C$14+G102)*C$10/C$4/C$15/G98)</f>
        <v>84.65692418067519</v>
      </c>
      <c r="K94" s="42">
        <f>J94/G$101</f>
        <v>0.28269062276379625</v>
      </c>
      <c r="L94" s="46">
        <f>G$99*(1-0.605*K94+0.725*K94^2)</f>
        <v>3444.7318873541954</v>
      </c>
      <c r="M94" s="43">
        <f t="shared" ref="M94:M108" si="60">V94</f>
        <v>11.280608243971168</v>
      </c>
      <c r="N94" s="43">
        <f t="shared" ref="N94:N108" si="61">S94</f>
        <v>-0.33703252075205159</v>
      </c>
      <c r="O94" s="43">
        <f t="shared" ref="O94:O108" si="62">J94*SIN(RADIANS(N94))</f>
        <v>-0.49797685370082662</v>
      </c>
      <c r="P94" s="20">
        <f>L94/1000/O94</f>
        <v>-6.9174538168870665</v>
      </c>
      <c r="Q94" s="20">
        <v>1</v>
      </c>
      <c r="R94" s="57">
        <f>0.5*G$98*C$4*C$2*(U94-C$5)*J94^2+L94*SIN(U94-C$1)-C$10*(C$14+G$102*(J$108-J94)/(J$108-J$94))*COS(T94)</f>
        <v>6.2088300182949752E-5</v>
      </c>
      <c r="S94" s="57">
        <f t="shared" ref="S94:S108" si="63">DEGREES(T94)</f>
        <v>-0.33703252075205159</v>
      </c>
      <c r="T94" s="57">
        <v>-5.8823271734194157E-3</v>
      </c>
      <c r="U94" s="58">
        <v>0.19688375548491266</v>
      </c>
      <c r="V94" s="58">
        <f>DEGREES(U94)</f>
        <v>11.280608243971168</v>
      </c>
      <c r="W94" s="58">
        <f>-0.5*G$98*C$4*J94^2*((C$7+(C$2^2)*(U94-C$5)^2/(PI()*C$6))/SQRT(1-(J94/G$101)^2))+L94*COS(U94-C$1)-C$10*(C$14+G$102*(J$108-J94)/(J$108-J$94))*SIN(T94)</f>
        <v>-1.3983784697302326E-4</v>
      </c>
      <c r="X94" s="20">
        <f t="shared" ref="X94:X108" si="64">Q94</f>
        <v>1</v>
      </c>
    </row>
    <row r="95" spans="6:24" x14ac:dyDescent="0.3">
      <c r="F95" s="49"/>
      <c r="J95" s="47">
        <f t="shared" ref="J95:J106" si="65">J$94+Q94*G$104</f>
        <v>93.610001024912677</v>
      </c>
      <c r="K95" s="13">
        <f t="shared" ref="K95:K108" si="66">J95/G$101</f>
        <v>0.31258718342017039</v>
      </c>
      <c r="L95" s="48">
        <f t="shared" ref="L95:L108" si="67">G$99*(1-0.605*K95+0.725*K95^2)</f>
        <v>3424.5943959889405</v>
      </c>
      <c r="M95" s="14">
        <f t="shared" si="60"/>
        <v>8.8347791246710479</v>
      </c>
      <c r="N95" s="14">
        <f t="shared" si="61"/>
        <v>0.50429213300579834</v>
      </c>
      <c r="O95" s="14">
        <f t="shared" si="62"/>
        <v>0.82390322625890877</v>
      </c>
      <c r="P95" s="20">
        <f t="shared" ref="P95:P108" si="68">L95/1000/O95</f>
        <v>4.1565493213796127</v>
      </c>
      <c r="Q95" s="20">
        <v>2</v>
      </c>
      <c r="R95" s="57">
        <f t="shared" ref="R95:R108" si="69">0.5*G$98*C$4*C$2*(U95-C$5)*J95^2+L95*SIN(U95-C$1)-C$10*(C$14+G$102*(J$108-J95)/(J$108-J$94))*COS(T95)</f>
        <v>3.0123395845293999E-5</v>
      </c>
      <c r="S95" s="57">
        <f t="shared" si="63"/>
        <v>0.50429213300579834</v>
      </c>
      <c r="T95" s="57">
        <v>8.8015581128563503E-3</v>
      </c>
      <c r="U95" s="58">
        <v>0.15419598441197238</v>
      </c>
      <c r="V95" s="58">
        <f t="shared" ref="V95:V108" si="70">DEGREES(U95)</f>
        <v>8.8347791246710479</v>
      </c>
      <c r="W95" s="58">
        <f t="shared" ref="W95:W108" si="71">-0.5*G$98*C$4*J95^2*((C$7+(C$2^2)*(U95-C$5)^2/(PI()*C$6))/SQRT(1-(J95/G$101)^2))+L95*COS(U95-C$1)-C$10*(C$14+G$102*(J$108-J95)/(J$108-J$94))*SIN(T95)</f>
        <v>-8.9364544862746698E-5</v>
      </c>
      <c r="X95" s="20">
        <f t="shared" si="64"/>
        <v>2</v>
      </c>
    </row>
    <row r="96" spans="6:24" x14ac:dyDescent="0.3">
      <c r="F96" s="49"/>
      <c r="J96" s="47">
        <f t="shared" si="65"/>
        <v>102.56307786915016</v>
      </c>
      <c r="K96" s="13">
        <f t="shared" si="66"/>
        <v>0.34248374407654447</v>
      </c>
      <c r="L96" s="48">
        <f t="shared" si="67"/>
        <v>3409.49059415173</v>
      </c>
      <c r="M96" s="14">
        <f t="shared" si="60"/>
        <v>7.0019958474922266</v>
      </c>
      <c r="N96" s="14">
        <f t="shared" si="61"/>
        <v>1.0915800996535281</v>
      </c>
      <c r="O96" s="14">
        <f t="shared" si="62"/>
        <v>1.9538793806970549</v>
      </c>
      <c r="P96" s="20">
        <f t="shared" si="68"/>
        <v>1.7449851960336362</v>
      </c>
      <c r="Q96" s="59">
        <v>3</v>
      </c>
      <c r="R96" s="57">
        <f t="shared" si="69"/>
        <v>4.6278310328489169E-3</v>
      </c>
      <c r="S96" s="57">
        <f t="shared" si="63"/>
        <v>1.0915800996535281</v>
      </c>
      <c r="T96" s="57">
        <v>1.9051666788201877E-2</v>
      </c>
      <c r="U96" s="58">
        <v>0.12220788174971009</v>
      </c>
      <c r="V96" s="58">
        <f t="shared" si="70"/>
        <v>7.0019958474922266</v>
      </c>
      <c r="W96" s="58">
        <f t="shared" si="71"/>
        <v>6.2465489145324682E-4</v>
      </c>
      <c r="X96" s="20">
        <f t="shared" si="64"/>
        <v>3</v>
      </c>
    </row>
    <row r="97" spans="6:24" x14ac:dyDescent="0.3">
      <c r="F97" s="22" t="s">
        <v>6</v>
      </c>
      <c r="G97" s="22">
        <v>10000</v>
      </c>
      <c r="H97" s="22" t="s">
        <v>3</v>
      </c>
      <c r="J97" s="47">
        <f t="shared" si="65"/>
        <v>111.51615471338765</v>
      </c>
      <c r="K97" s="13">
        <f t="shared" si="66"/>
        <v>0.37238030473291855</v>
      </c>
      <c r="L97" s="48">
        <f t="shared" si="67"/>
        <v>3399.4204818425642</v>
      </c>
      <c r="M97" s="14">
        <f t="shared" si="60"/>
        <v>5.5965107196425903</v>
      </c>
      <c r="N97" s="14">
        <f t="shared" si="61"/>
        <v>1.4951352851204776</v>
      </c>
      <c r="O97" s="14">
        <f t="shared" si="62"/>
        <v>2.9096875398100739</v>
      </c>
      <c r="P97" s="20">
        <f t="shared" si="68"/>
        <v>1.1683111795792538</v>
      </c>
      <c r="Q97" s="59">
        <v>4</v>
      </c>
      <c r="R97" s="57">
        <f t="shared" si="69"/>
        <v>4.3271182948956266E-4</v>
      </c>
      <c r="S97" s="57">
        <f t="shared" si="63"/>
        <v>1.4951352851204776</v>
      </c>
      <c r="T97" s="57">
        <v>2.6095033488096518E-2</v>
      </c>
      <c r="U97" s="58">
        <v>9.7677538680920495E-2</v>
      </c>
      <c r="V97" s="58">
        <f t="shared" si="70"/>
        <v>5.5965107196425903</v>
      </c>
      <c r="W97" s="58">
        <f t="shared" si="71"/>
        <v>6.7887770796914992E-5</v>
      </c>
      <c r="X97" s="20">
        <f t="shared" si="64"/>
        <v>4</v>
      </c>
    </row>
    <row r="98" spans="6:24" ht="18.600000000000001" x14ac:dyDescent="0.3">
      <c r="F98" s="20" t="s">
        <v>79</v>
      </c>
      <c r="G98" s="20">
        <f>C$9*(1-G97/44300)^4.256</f>
        <v>0.41250653364731776</v>
      </c>
      <c r="H98" s="20" t="s">
        <v>80</v>
      </c>
      <c r="J98" s="47">
        <f t="shared" si="65"/>
        <v>120.46923155762514</v>
      </c>
      <c r="K98" s="13">
        <f t="shared" si="66"/>
        <v>0.40227686538929264</v>
      </c>
      <c r="L98" s="48">
        <f t="shared" si="67"/>
        <v>3394.3840590614423</v>
      </c>
      <c r="M98" s="14">
        <f t="shared" si="60"/>
        <v>4.4971953155520081</v>
      </c>
      <c r="N98" s="14">
        <f t="shared" si="61"/>
        <v>1.7596400701473469</v>
      </c>
      <c r="O98" s="14">
        <f t="shared" si="62"/>
        <v>3.699210777819526</v>
      </c>
      <c r="P98" s="20">
        <f t="shared" si="68"/>
        <v>0.9175968234668257</v>
      </c>
      <c r="Q98" s="59">
        <v>5</v>
      </c>
      <c r="R98" s="57">
        <f t="shared" si="69"/>
        <v>1.924124444485642E-4</v>
      </c>
      <c r="S98" s="57">
        <f t="shared" si="63"/>
        <v>1.7596400701473469</v>
      </c>
      <c r="T98" s="57">
        <v>3.0711512874095185E-2</v>
      </c>
      <c r="U98" s="58">
        <v>7.8490865361647885E-2</v>
      </c>
      <c r="V98" s="58">
        <f t="shared" si="70"/>
        <v>4.4971953155520081</v>
      </c>
      <c r="W98" s="58">
        <f t="shared" si="71"/>
        <v>2.8458387077989755E-5</v>
      </c>
      <c r="X98" s="20">
        <f t="shared" si="64"/>
        <v>5</v>
      </c>
    </row>
    <row r="99" spans="6:24" ht="18.600000000000001" x14ac:dyDescent="0.3">
      <c r="F99" s="20" t="s">
        <v>81</v>
      </c>
      <c r="G99" s="20">
        <f>C$3*(G98/C$9)^0.85</f>
        <v>3883.9708732151303</v>
      </c>
      <c r="H99" s="20" t="s">
        <v>28</v>
      </c>
      <c r="J99" s="47">
        <f t="shared" si="65"/>
        <v>129.42230840186261</v>
      </c>
      <c r="K99" s="13">
        <f t="shared" si="66"/>
        <v>0.43217342604566672</v>
      </c>
      <c r="L99" s="48">
        <f t="shared" si="67"/>
        <v>3394.3813258083655</v>
      </c>
      <c r="M99" s="14">
        <f t="shared" si="60"/>
        <v>3.6225730307039972</v>
      </c>
      <c r="N99" s="14">
        <f t="shared" si="61"/>
        <v>1.913790335897938</v>
      </c>
      <c r="O99" s="14">
        <f t="shared" si="62"/>
        <v>4.322152708930755</v>
      </c>
      <c r="P99" s="20">
        <f t="shared" si="68"/>
        <v>0.78534507093991412</v>
      </c>
      <c r="Q99" s="59">
        <v>6</v>
      </c>
      <c r="R99" s="57">
        <f t="shared" si="69"/>
        <v>1.3482930808095261E-4</v>
      </c>
      <c r="S99" s="57">
        <f t="shared" si="63"/>
        <v>1.913790335897938</v>
      </c>
      <c r="T99" s="57">
        <v>3.3401942554267247E-2</v>
      </c>
      <c r="U99" s="58">
        <v>6.3225826779734387E-2</v>
      </c>
      <c r="V99" s="58">
        <f t="shared" si="70"/>
        <v>3.6225730307039972</v>
      </c>
      <c r="W99" s="58">
        <f t="shared" si="71"/>
        <v>1.5062338661664398E-5</v>
      </c>
      <c r="X99" s="20">
        <f t="shared" si="64"/>
        <v>6</v>
      </c>
    </row>
    <row r="100" spans="6:24" ht="18.600000000000001" x14ac:dyDescent="0.3">
      <c r="F100" s="20" t="s">
        <v>82</v>
      </c>
      <c r="G100" s="20">
        <f>C$12-6.5*G97/1000</f>
        <v>223.14999999999998</v>
      </c>
      <c r="H100" s="20" t="s">
        <v>56</v>
      </c>
      <c r="J100" s="47">
        <f t="shared" si="65"/>
        <v>138.37538524610011</v>
      </c>
      <c r="K100" s="13">
        <f t="shared" si="66"/>
        <v>0.46206998670204086</v>
      </c>
      <c r="L100" s="48">
        <f t="shared" si="67"/>
        <v>3399.4122820833327</v>
      </c>
      <c r="M100" s="14">
        <f t="shared" si="60"/>
        <v>2.9163282653856029</v>
      </c>
      <c r="N100" s="14">
        <f t="shared" si="61"/>
        <v>1.9758293849182271</v>
      </c>
      <c r="O100" s="14">
        <f t="shared" si="62"/>
        <v>4.7708918339990474</v>
      </c>
      <c r="P100" s="20">
        <f t="shared" si="68"/>
        <v>0.71253182850592611</v>
      </c>
      <c r="Q100" s="20">
        <v>7</v>
      </c>
      <c r="R100" s="57">
        <f t="shared" si="69"/>
        <v>7.6145111961523071E-5</v>
      </c>
      <c r="S100" s="57">
        <f t="shared" si="63"/>
        <v>1.9758293849182271</v>
      </c>
      <c r="T100" s="57">
        <v>3.4484728224477457E-2</v>
      </c>
      <c r="U100" s="58">
        <v>5.0899530299953748E-2</v>
      </c>
      <c r="V100" s="58">
        <f t="shared" si="70"/>
        <v>2.9163282653856029</v>
      </c>
      <c r="W100" s="58">
        <f t="shared" si="71"/>
        <v>6.4458988617843715E-6</v>
      </c>
      <c r="X100" s="20">
        <f t="shared" si="64"/>
        <v>7</v>
      </c>
    </row>
    <row r="101" spans="6:24" ht="18.600000000000001" x14ac:dyDescent="0.3">
      <c r="F101" s="20" t="s">
        <v>83</v>
      </c>
      <c r="G101" s="20">
        <f>C$11*SQRT(G100/C$12)</f>
        <v>299.46845549033566</v>
      </c>
      <c r="H101" s="20" t="s">
        <v>55</v>
      </c>
      <c r="J101" s="47">
        <f t="shared" si="65"/>
        <v>147.32846209033761</v>
      </c>
      <c r="K101" s="13">
        <f t="shared" si="66"/>
        <v>0.491966547358415</v>
      </c>
      <c r="L101" s="48">
        <f t="shared" si="67"/>
        <v>3409.4769278863441</v>
      </c>
      <c r="M101" s="14">
        <f t="shared" si="60"/>
        <v>2.3385895092898381</v>
      </c>
      <c r="N101" s="14">
        <f t="shared" si="61"/>
        <v>1.9568016426675021</v>
      </c>
      <c r="O101" s="14">
        <f t="shared" si="62"/>
        <v>5.0306765727533129</v>
      </c>
      <c r="P101" s="20">
        <f t="shared" si="68"/>
        <v>0.67773725433919541</v>
      </c>
      <c r="Q101" s="20">
        <v>8</v>
      </c>
      <c r="R101" s="57">
        <f t="shared" si="69"/>
        <v>-6.2583315229858272E-4</v>
      </c>
      <c r="S101" s="57">
        <f t="shared" si="63"/>
        <v>1.9568016426675021</v>
      </c>
      <c r="T101" s="57">
        <v>3.4152631472981469E-2</v>
      </c>
      <c r="U101" s="58">
        <v>4.0816086789706191E-2</v>
      </c>
      <c r="V101" s="58">
        <f t="shared" si="70"/>
        <v>2.3385895092898381</v>
      </c>
      <c r="W101" s="58">
        <f t="shared" si="71"/>
        <v>1.6903286768865655E-4</v>
      </c>
      <c r="X101" s="20">
        <f t="shared" si="64"/>
        <v>8</v>
      </c>
    </row>
    <row r="102" spans="6:24" x14ac:dyDescent="0.3">
      <c r="F102" s="20" t="s">
        <v>149</v>
      </c>
      <c r="G102" s="20">
        <f>G84-G85</f>
        <v>860.854632192184</v>
      </c>
      <c r="H102" s="20" t="s">
        <v>0</v>
      </c>
      <c r="J102" s="47">
        <f t="shared" si="65"/>
        <v>156.28153893457508</v>
      </c>
      <c r="K102" s="13">
        <f t="shared" si="66"/>
        <v>0.52186310801478908</v>
      </c>
      <c r="L102" s="48">
        <f t="shared" si="67"/>
        <v>3424.5752632174008</v>
      </c>
      <c r="M102" s="14">
        <f t="shared" si="60"/>
        <v>1.8605211406433515</v>
      </c>
      <c r="N102" s="14">
        <f t="shared" si="61"/>
        <v>1.8624610945802194</v>
      </c>
      <c r="O102" s="14">
        <f t="shared" si="62"/>
        <v>5.0792053434599982</v>
      </c>
      <c r="P102" s="20">
        <f t="shared" si="68"/>
        <v>0.67423445827542594</v>
      </c>
      <c r="Q102" s="59">
        <v>9</v>
      </c>
      <c r="R102" s="57">
        <f t="shared" si="69"/>
        <v>3.4375261748209596E-7</v>
      </c>
      <c r="S102" s="57">
        <f t="shared" si="63"/>
        <v>1.8624610945802194</v>
      </c>
      <c r="T102" s="57">
        <v>3.2506078290722343E-2</v>
      </c>
      <c r="U102" s="58">
        <v>3.2472219707186972E-2</v>
      </c>
      <c r="V102" s="58">
        <f t="shared" si="70"/>
        <v>1.8605211406433515</v>
      </c>
      <c r="W102" s="58">
        <f t="shared" si="71"/>
        <v>3.0465798772638664E-9</v>
      </c>
      <c r="X102" s="20">
        <f t="shared" si="64"/>
        <v>9</v>
      </c>
    </row>
    <row r="103" spans="6:24" x14ac:dyDescent="0.3">
      <c r="F103" s="20" t="s">
        <v>150</v>
      </c>
      <c r="G103" s="20" cm="1">
        <f t="array" ref="G103">C$16*(G115-G97)*MIN(IF(P94:P108&gt;0,P94:P108))</f>
        <v>39.914679929905219</v>
      </c>
      <c r="H103" s="20" t="s">
        <v>0</v>
      </c>
      <c r="J103" s="47">
        <f t="shared" si="65"/>
        <v>165.23461577881255</v>
      </c>
      <c r="K103" s="13">
        <f t="shared" si="66"/>
        <v>0.55175966867116311</v>
      </c>
      <c r="L103" s="48">
        <f t="shared" si="67"/>
        <v>3444.7072880765013</v>
      </c>
      <c r="M103" s="14">
        <f t="shared" si="60"/>
        <v>1.4608695534532266</v>
      </c>
      <c r="N103" s="14">
        <f t="shared" si="61"/>
        <v>1.6943371693435449</v>
      </c>
      <c r="O103" s="14">
        <f t="shared" si="62"/>
        <v>4.885566637150073</v>
      </c>
      <c r="P103" s="20">
        <f t="shared" si="68"/>
        <v>0.7050783550638301</v>
      </c>
      <c r="Q103" s="59">
        <v>10</v>
      </c>
      <c r="R103" s="57">
        <f t="shared" si="69"/>
        <v>5.3670009947381914E-7</v>
      </c>
      <c r="S103" s="57">
        <f t="shared" si="63"/>
        <v>1.6943371693435449</v>
      </c>
      <c r="T103" s="57">
        <v>2.9571762243965589E-2</v>
      </c>
      <c r="U103" s="58">
        <v>2.5496983649898101E-2</v>
      </c>
      <c r="V103" s="58">
        <f t="shared" si="70"/>
        <v>1.4608695534532266</v>
      </c>
      <c r="W103" s="58">
        <f t="shared" si="71"/>
        <v>4.3377212932682596E-9</v>
      </c>
      <c r="X103" s="20">
        <f t="shared" si="64"/>
        <v>10</v>
      </c>
    </row>
    <row r="104" spans="6:24" x14ac:dyDescent="0.3">
      <c r="F104" s="20" t="s">
        <v>152</v>
      </c>
      <c r="G104" s="20">
        <f>(J108-J94)/Q107</f>
        <v>8.9530768442374864</v>
      </c>
      <c r="H104" s="20" t="s">
        <v>55</v>
      </c>
      <c r="J104" s="47">
        <f t="shared" si="65"/>
        <v>174.18769262305005</v>
      </c>
      <c r="K104" s="13">
        <f t="shared" si="66"/>
        <v>0.58165622932753724</v>
      </c>
      <c r="L104" s="48">
        <f t="shared" si="67"/>
        <v>3469.8730024636466</v>
      </c>
      <c r="M104" s="14">
        <f t="shared" si="60"/>
        <v>1.1237018167419965</v>
      </c>
      <c r="N104" s="14">
        <f t="shared" si="61"/>
        <v>1.4502328065914312</v>
      </c>
      <c r="O104" s="14">
        <f t="shared" si="62"/>
        <v>4.4084527002552703</v>
      </c>
      <c r="P104" s="20">
        <f t="shared" si="68"/>
        <v>0.78709543651511205</v>
      </c>
      <c r="Q104" s="59">
        <v>11</v>
      </c>
      <c r="R104" s="57">
        <f t="shared" si="69"/>
        <v>8.0479367170482874E-8</v>
      </c>
      <c r="S104" s="57">
        <f t="shared" si="63"/>
        <v>1.4502328065914312</v>
      </c>
      <c r="T104" s="57">
        <v>2.5311337395458596E-2</v>
      </c>
      <c r="U104" s="58">
        <v>1.9612296512789781E-2</v>
      </c>
      <c r="V104" s="58">
        <f t="shared" si="70"/>
        <v>1.1237018167419965</v>
      </c>
      <c r="W104" s="58">
        <f t="shared" si="71"/>
        <v>-1.2871623766841367E-9</v>
      </c>
      <c r="X104" s="20">
        <f t="shared" si="64"/>
        <v>11</v>
      </c>
    </row>
    <row r="105" spans="6:24" x14ac:dyDescent="0.3">
      <c r="J105" s="47">
        <f t="shared" si="65"/>
        <v>183.14076946728756</v>
      </c>
      <c r="K105" s="13">
        <f t="shared" si="66"/>
        <v>0.61155278998391138</v>
      </c>
      <c r="L105" s="48">
        <f t="shared" si="67"/>
        <v>3500.0724063788371</v>
      </c>
      <c r="M105" s="14">
        <f t="shared" si="60"/>
        <v>0.83688844090838577</v>
      </c>
      <c r="N105" s="14">
        <f t="shared" si="61"/>
        <v>1.1242702597520497</v>
      </c>
      <c r="O105" s="14">
        <f t="shared" si="62"/>
        <v>3.593397445448872</v>
      </c>
      <c r="P105" s="20">
        <f t="shared" si="68"/>
        <v>0.97402874564063779</v>
      </c>
      <c r="Q105" s="59">
        <v>12</v>
      </c>
      <c r="R105" s="57">
        <f t="shared" si="69"/>
        <v>1.6745252651162446E-7</v>
      </c>
      <c r="S105" s="57">
        <f t="shared" si="63"/>
        <v>1.1242702597520497</v>
      </c>
      <c r="T105" s="57">
        <v>1.9622217714925155E-2</v>
      </c>
      <c r="U105" s="58">
        <v>1.4606458765733335E-2</v>
      </c>
      <c r="V105" s="58">
        <f t="shared" si="70"/>
        <v>0.83688844090838577</v>
      </c>
      <c r="W105" s="58">
        <f t="shared" si="71"/>
        <v>-3.8062353269197047E-10</v>
      </c>
      <c r="X105" s="20">
        <f t="shared" si="64"/>
        <v>12</v>
      </c>
    </row>
    <row r="106" spans="6:24" x14ac:dyDescent="0.3">
      <c r="J106" s="47">
        <f t="shared" si="65"/>
        <v>192.09384631152503</v>
      </c>
      <c r="K106" s="13">
        <f t="shared" si="66"/>
        <v>0.64144935064028541</v>
      </c>
      <c r="L106" s="48">
        <f t="shared" si="67"/>
        <v>3535.3054998220705</v>
      </c>
      <c r="M106" s="14">
        <f t="shared" si="60"/>
        <v>0.59106424547570169</v>
      </c>
      <c r="N106" s="14">
        <f t="shared" si="61"/>
        <v>0.70651227272565764</v>
      </c>
      <c r="O106" s="14">
        <f t="shared" si="62"/>
        <v>2.3686425381776206</v>
      </c>
      <c r="P106" s="20">
        <f t="shared" si="68"/>
        <v>1.4925449673558822</v>
      </c>
      <c r="Q106" s="20">
        <v>13</v>
      </c>
      <c r="R106" s="57">
        <f t="shared" si="69"/>
        <v>-4.2527972254902124E-8</v>
      </c>
      <c r="S106" s="57">
        <f t="shared" si="63"/>
        <v>0.70651227272565764</v>
      </c>
      <c r="T106" s="57">
        <v>1.2330965364810858E-2</v>
      </c>
      <c r="U106" s="58">
        <v>1.0316017174366992E-2</v>
      </c>
      <c r="V106" s="58">
        <f t="shared" si="70"/>
        <v>0.59106424547570169</v>
      </c>
      <c r="W106" s="58">
        <f t="shared" si="71"/>
        <v>-9.0136609287583269E-10</v>
      </c>
      <c r="X106" s="20">
        <f t="shared" si="64"/>
        <v>13</v>
      </c>
    </row>
    <row r="107" spans="6:24" x14ac:dyDescent="0.3">
      <c r="J107" s="47">
        <f>J$94+Q106*G$104</f>
        <v>201.0469231557625</v>
      </c>
      <c r="K107" s="13">
        <f t="shared" si="66"/>
        <v>0.67134591129665944</v>
      </c>
      <c r="L107" s="48">
        <f t="shared" si="67"/>
        <v>3575.5722827933491</v>
      </c>
      <c r="M107" s="14">
        <f t="shared" si="60"/>
        <v>0.37890176264478331</v>
      </c>
      <c r="N107" s="14">
        <f t="shared" si="61"/>
        <v>0.18208494582551227</v>
      </c>
      <c r="O107" s="14">
        <f t="shared" si="62"/>
        <v>0.63892239187852484</v>
      </c>
      <c r="P107" s="20">
        <f t="shared" si="68"/>
        <v>5.596254456320815</v>
      </c>
      <c r="Q107" s="20">
        <v>14</v>
      </c>
      <c r="R107" s="57">
        <f t="shared" si="69"/>
        <v>-3.510649548843503E-9</v>
      </c>
      <c r="S107" s="57">
        <f t="shared" si="63"/>
        <v>0.18208494582551227</v>
      </c>
      <c r="T107" s="57">
        <v>3.1779818229706936E-3</v>
      </c>
      <c r="U107" s="58">
        <v>6.6130832997615269E-3</v>
      </c>
      <c r="V107" s="58">
        <f t="shared" si="70"/>
        <v>0.37890176264478331</v>
      </c>
      <c r="W107" s="58">
        <f t="shared" si="71"/>
        <v>-9.3777430265618023E-11</v>
      </c>
      <c r="X107" s="20">
        <f t="shared" si="64"/>
        <v>14</v>
      </c>
    </row>
    <row r="108" spans="6:24" x14ac:dyDescent="0.3">
      <c r="J108" s="47">
        <v>210</v>
      </c>
      <c r="K108" s="13">
        <f t="shared" si="66"/>
        <v>0.70124247195303357</v>
      </c>
      <c r="L108" s="48">
        <f t="shared" si="67"/>
        <v>3620.8727552926725</v>
      </c>
      <c r="M108" s="14">
        <f t="shared" si="60"/>
        <v>0.19459258244875921</v>
      </c>
      <c r="N108" s="14">
        <f t="shared" si="61"/>
        <v>-0.47039314858679115</v>
      </c>
      <c r="O108" s="14">
        <f t="shared" si="62"/>
        <v>-1.7240615686887151</v>
      </c>
      <c r="P108" s="20">
        <f t="shared" si="68"/>
        <v>-2.1001992162302141</v>
      </c>
      <c r="Q108" s="59">
        <v>15</v>
      </c>
      <c r="R108" s="57">
        <f t="shared" si="69"/>
        <v>1.7603560991119593E-6</v>
      </c>
      <c r="S108" s="57">
        <f t="shared" si="63"/>
        <v>-0.47039314858679115</v>
      </c>
      <c r="T108" s="57">
        <v>-8.2099092216624172E-3</v>
      </c>
      <c r="U108" s="58">
        <v>3.3962812636893782E-3</v>
      </c>
      <c r="V108" s="58">
        <f t="shared" si="70"/>
        <v>0.19459258244875921</v>
      </c>
      <c r="W108" s="58">
        <f t="shared" si="71"/>
        <v>-3.526643760665138E-5</v>
      </c>
      <c r="X108" s="20">
        <f t="shared" si="64"/>
        <v>15</v>
      </c>
    </row>
    <row r="109" spans="6:24" ht="15.6" thickBot="1" x14ac:dyDescent="0.35"/>
    <row r="110" spans="6:24" ht="16.2" thickBot="1" x14ac:dyDescent="0.35">
      <c r="J110" s="143" t="s">
        <v>111</v>
      </c>
      <c r="K110" s="144"/>
      <c r="L110" s="144"/>
      <c r="M110" s="144"/>
      <c r="N110" s="144"/>
      <c r="O110" s="145"/>
    </row>
    <row r="111" spans="6:24" ht="18.600000000000001" thickBot="1" x14ac:dyDescent="0.35">
      <c r="F111" s="49"/>
      <c r="J111" s="95" t="s">
        <v>63</v>
      </c>
      <c r="K111" s="96" t="s">
        <v>53</v>
      </c>
      <c r="L111" s="95" t="s">
        <v>65</v>
      </c>
      <c r="M111" s="95" t="s">
        <v>66</v>
      </c>
      <c r="N111" s="95" t="s">
        <v>84</v>
      </c>
      <c r="O111" s="95" t="s">
        <v>64</v>
      </c>
      <c r="P111" s="20" t="s">
        <v>151</v>
      </c>
      <c r="R111" s="51" t="s">
        <v>85</v>
      </c>
      <c r="S111" s="52" t="s">
        <v>87</v>
      </c>
      <c r="T111" s="52" t="s">
        <v>86</v>
      </c>
      <c r="U111" s="54" t="s">
        <v>86</v>
      </c>
      <c r="V111" s="54" t="s">
        <v>87</v>
      </c>
      <c r="W111" s="53" t="s">
        <v>88</v>
      </c>
    </row>
    <row r="112" spans="6:24" x14ac:dyDescent="0.3">
      <c r="F112" s="49"/>
      <c r="J112" s="44">
        <f>SQRT(2*(C$14+G120)*C$10/C$4/C$15/G116)</f>
        <v>95.682662323055354</v>
      </c>
      <c r="K112" s="42">
        <f>J112/G$119</f>
        <v>0.32924251957951295</v>
      </c>
      <c r="L112" s="46">
        <f>G$117*(1-0.605*K112+0.725*K112^2)</f>
        <v>2748.3550577908404</v>
      </c>
      <c r="M112" s="43">
        <f t="shared" ref="M112:M126" si="72">V112</f>
        <v>11.318097036542405</v>
      </c>
      <c r="N112" s="43">
        <f t="shared" ref="N112:N126" si="73">S112</f>
        <v>-1.491697454079969</v>
      </c>
      <c r="O112" s="43">
        <f t="shared" ref="O112:O126" si="74">J112*SIN(RADIANS(N112))</f>
        <v>-2.4908197657192126</v>
      </c>
      <c r="P112" s="20">
        <f>L112/1000/O112</f>
        <v>-1.1033937885093286</v>
      </c>
      <c r="Q112" s="20">
        <v>1</v>
      </c>
      <c r="R112" s="57">
        <f>0.5*G$116*C$4*C$2*(U112-C$5)*J112^2+L112*SIN(U112-C$1)-C$10*(C$14+G$120*(J$126-J112)/(J$126-J$112))*COS(T112)</f>
        <v>-3.7797231925651431E-5</v>
      </c>
      <c r="S112" s="57">
        <f t="shared" ref="S112:S126" si="75">DEGREES(T112)</f>
        <v>-1.491697454079969</v>
      </c>
      <c r="T112" s="57">
        <v>-2.603503201731238E-2</v>
      </c>
      <c r="U112" s="58">
        <v>0.19753805834787791</v>
      </c>
      <c r="V112" s="58">
        <f>DEGREES(U112)</f>
        <v>11.318097036542405</v>
      </c>
      <c r="W112" s="58">
        <f>-0.5*G$116*C$4*J112^2*((C$7+(C$2^2)*(U112-C$5)^2/(PI()*C$6))/SQRT(1-(J112/G$119)^2))+L112*COS(U112-C$1)-C$10*(C$14+G$120*(J$126-J112)/(J$126-J$112))*SIN(T112)</f>
        <v>-1.5568849448754918E-5</v>
      </c>
      <c r="X112" s="20">
        <f t="shared" ref="X112:X126" si="76">Q112</f>
        <v>1</v>
      </c>
    </row>
    <row r="113" spans="6:24" x14ac:dyDescent="0.3">
      <c r="F113" s="49"/>
      <c r="J113" s="47">
        <f t="shared" ref="J113:J124" si="77">J$112+Q112*G$122</f>
        <v>103.1339007285514</v>
      </c>
      <c r="K113" s="13">
        <f t="shared" ref="K113:K126" si="78">J113/G$119</f>
        <v>0.35488211244880563</v>
      </c>
      <c r="L113" s="48">
        <f t="shared" ref="L113:L126" si="79">G$117*(1-0.605*K113+0.725*K113^2)</f>
        <v>2739.6200552080186</v>
      </c>
      <c r="M113" s="14">
        <f t="shared" si="72"/>
        <v>9.3972224310776493</v>
      </c>
      <c r="N113" s="14">
        <f t="shared" si="73"/>
        <v>-0.81907383329971362</v>
      </c>
      <c r="O113" s="14">
        <f t="shared" si="74"/>
        <v>-1.4743040924381174</v>
      </c>
      <c r="P113" s="20">
        <f t="shared" ref="P113:P126" si="80">L113/1000/O113</f>
        <v>-1.8582462527641743</v>
      </c>
      <c r="Q113" s="20">
        <v>2</v>
      </c>
      <c r="R113" s="57">
        <f t="shared" ref="R113:R126" si="81">0.5*G$116*C$4*C$2*(U113-C$5)*J113^2+L113*SIN(U113-C$1)-C$10*(C$14+G$120*(J$126-J113)/(J$126-J$112))*COS(T113)</f>
        <v>1.8711108714342117E-4</v>
      </c>
      <c r="S113" s="57">
        <f t="shared" si="75"/>
        <v>-0.81907383329971362</v>
      </c>
      <c r="T113" s="57">
        <v>-1.4295535208011174E-2</v>
      </c>
      <c r="U113" s="58">
        <v>0.16401247196457089</v>
      </c>
      <c r="V113" s="58">
        <f t="shared" ref="V113:V126" si="82">DEGREES(U113)</f>
        <v>9.3972224310776493</v>
      </c>
      <c r="W113" s="58">
        <f t="shared" ref="W113:W126" si="83">-0.5*G$116*C$4*J113^2*((C$7+(C$2^2)*(U113-C$5)^2/(PI()*C$6))/SQRT(1-(J113/G$119)^2))+L113*COS(U113-C$1)-C$10*(C$14+G$120*(J$126-J113)/(J$126-J$112))*SIN(T113)</f>
        <v>-5.5862518348703816E-4</v>
      </c>
      <c r="X113" s="20">
        <f t="shared" si="76"/>
        <v>2</v>
      </c>
    </row>
    <row r="114" spans="6:24" x14ac:dyDescent="0.3">
      <c r="F114" s="49"/>
      <c r="J114" s="47">
        <f t="shared" si="77"/>
        <v>110.58513913404745</v>
      </c>
      <c r="K114" s="13">
        <f t="shared" si="78"/>
        <v>0.38052170531809837</v>
      </c>
      <c r="L114" s="48">
        <f t="shared" si="79"/>
        <v>2733.864098919687</v>
      </c>
      <c r="M114" s="14">
        <f t="shared" si="72"/>
        <v>7.8545467076960529</v>
      </c>
      <c r="N114" s="14">
        <f t="shared" si="73"/>
        <v>-0.30229483362385207</v>
      </c>
      <c r="O114" s="14">
        <f t="shared" si="74"/>
        <v>-0.58344892812388938</v>
      </c>
      <c r="P114" s="20">
        <f t="shared" si="80"/>
        <v>-4.6856956404231829</v>
      </c>
      <c r="Q114" s="59">
        <v>3</v>
      </c>
      <c r="R114" s="57">
        <f t="shared" si="81"/>
        <v>2.6302215701434761E-5</v>
      </c>
      <c r="S114" s="57">
        <f t="shared" si="75"/>
        <v>-0.30229483362385207</v>
      </c>
      <c r="T114" s="57">
        <v>-5.2760401585046799E-3</v>
      </c>
      <c r="U114" s="58">
        <v>0.13708770130097675</v>
      </c>
      <c r="V114" s="58">
        <f t="shared" si="82"/>
        <v>7.8545467076960529</v>
      </c>
      <c r="W114" s="58">
        <f t="shared" si="83"/>
        <v>-8.9020447006760151E-5</v>
      </c>
      <c r="X114" s="20">
        <f t="shared" si="76"/>
        <v>3</v>
      </c>
    </row>
    <row r="115" spans="6:24" x14ac:dyDescent="0.3">
      <c r="F115" s="22" t="s">
        <v>6</v>
      </c>
      <c r="G115" s="22">
        <v>12000</v>
      </c>
      <c r="H115" s="22" t="s">
        <v>3</v>
      </c>
      <c r="J115" s="47">
        <f t="shared" si="77"/>
        <v>118.03637753954349</v>
      </c>
      <c r="K115" s="13">
        <f t="shared" si="78"/>
        <v>0.40616129818739105</v>
      </c>
      <c r="L115" s="48">
        <f t="shared" si="79"/>
        <v>2731.0871889258465</v>
      </c>
      <c r="M115" s="14">
        <f t="shared" si="72"/>
        <v>6.5989655432359458</v>
      </c>
      <c r="N115" s="14">
        <f t="shared" si="73"/>
        <v>9.2600580694849235E-2</v>
      </c>
      <c r="O115" s="14">
        <f t="shared" si="74"/>
        <v>0.19076854242620331</v>
      </c>
      <c r="P115" s="20">
        <f t="shared" si="80"/>
        <v>14.316234501725237</v>
      </c>
      <c r="Q115" s="59">
        <v>4</v>
      </c>
      <c r="R115" s="57">
        <f t="shared" si="81"/>
        <v>2.0994327860535122E-3</v>
      </c>
      <c r="S115" s="57">
        <f t="shared" si="75"/>
        <v>9.2600580694849235E-2</v>
      </c>
      <c r="T115" s="57">
        <v>1.6161850223838177E-3</v>
      </c>
      <c r="U115" s="58">
        <v>0.11517367595512347</v>
      </c>
      <c r="V115" s="58">
        <f t="shared" si="82"/>
        <v>6.5989655432359458</v>
      </c>
      <c r="W115" s="58">
        <f t="shared" si="83"/>
        <v>2.8681629110849372E-4</v>
      </c>
      <c r="X115" s="20">
        <f t="shared" si="76"/>
        <v>4</v>
      </c>
    </row>
    <row r="116" spans="6:24" ht="18.600000000000001" x14ac:dyDescent="0.3">
      <c r="F116" s="20" t="s">
        <v>79</v>
      </c>
      <c r="G116" s="20">
        <f>C$9*(1-G115/44300)^4.256</f>
        <v>0.31943683325898986</v>
      </c>
      <c r="H116" s="20" t="s">
        <v>80</v>
      </c>
      <c r="J116" s="47">
        <f t="shared" si="77"/>
        <v>125.48761594503954</v>
      </c>
      <c r="K116" s="13">
        <f t="shared" si="78"/>
        <v>0.43180089105668373</v>
      </c>
      <c r="L116" s="48">
        <f t="shared" si="79"/>
        <v>2731.2893252264962</v>
      </c>
      <c r="M116" s="14">
        <f t="shared" si="72"/>
        <v>5.5648571570623266</v>
      </c>
      <c r="N116" s="14">
        <f t="shared" si="73"/>
        <v>0.38955112892729887</v>
      </c>
      <c r="O116" s="14">
        <f t="shared" si="74"/>
        <v>0.85317742875583669</v>
      </c>
      <c r="P116" s="20">
        <f t="shared" si="80"/>
        <v>3.2013145603364759</v>
      </c>
      <c r="Q116" s="59">
        <v>5</v>
      </c>
      <c r="R116" s="57">
        <f t="shared" si="81"/>
        <v>9.0277648268966004E-4</v>
      </c>
      <c r="S116" s="57">
        <f t="shared" si="75"/>
        <v>0.38955112892729887</v>
      </c>
      <c r="T116" s="57">
        <v>6.7989498046422915E-3</v>
      </c>
      <c r="U116" s="58">
        <v>9.7125079793908817E-2</v>
      </c>
      <c r="V116" s="58">
        <f t="shared" si="82"/>
        <v>5.5648571570623266</v>
      </c>
      <c r="W116" s="58">
        <f t="shared" si="83"/>
        <v>1.1124616051461089E-4</v>
      </c>
      <c r="X116" s="20">
        <f t="shared" si="76"/>
        <v>5</v>
      </c>
    </row>
    <row r="117" spans="6:24" ht="18.600000000000001" x14ac:dyDescent="0.3">
      <c r="F117" s="20" t="s">
        <v>81</v>
      </c>
      <c r="G117" s="20">
        <f>C$3*(G116/C$9)^0.85</f>
        <v>3125.2660952758069</v>
      </c>
      <c r="H117" s="20" t="s">
        <v>28</v>
      </c>
      <c r="J117" s="47">
        <f t="shared" si="77"/>
        <v>132.93885435053559</v>
      </c>
      <c r="K117" s="13">
        <f t="shared" si="78"/>
        <v>0.45744048392597647</v>
      </c>
      <c r="L117" s="48">
        <f t="shared" si="79"/>
        <v>2734.4705078216371</v>
      </c>
      <c r="M117" s="14">
        <f t="shared" si="72"/>
        <v>4.7040947431318916</v>
      </c>
      <c r="N117" s="14">
        <f t="shared" si="73"/>
        <v>0.6054698626180175</v>
      </c>
      <c r="O117" s="14">
        <f t="shared" si="74"/>
        <v>1.4047975697248258</v>
      </c>
      <c r="P117" s="20">
        <f t="shared" si="80"/>
        <v>1.9465228063836058</v>
      </c>
      <c r="Q117" s="59">
        <v>6</v>
      </c>
      <c r="R117" s="57">
        <f t="shared" si="81"/>
        <v>9.4064613222144544E-5</v>
      </c>
      <c r="S117" s="57">
        <f t="shared" si="75"/>
        <v>0.6054698626180175</v>
      </c>
      <c r="T117" s="57">
        <v>1.056744262428214E-2</v>
      </c>
      <c r="U117" s="58">
        <v>8.2101941593408417E-2</v>
      </c>
      <c r="V117" s="58">
        <f t="shared" si="82"/>
        <v>4.7040947431318916</v>
      </c>
      <c r="W117" s="58">
        <f t="shared" si="83"/>
        <v>1.6225318631768459E-5</v>
      </c>
      <c r="X117" s="20">
        <f t="shared" si="76"/>
        <v>6</v>
      </c>
    </row>
    <row r="118" spans="6:24" ht="18.600000000000001" x14ac:dyDescent="0.3">
      <c r="F118" s="20" t="s">
        <v>82</v>
      </c>
      <c r="G118" s="20">
        <f>C$12-6.5*G115/1000</f>
        <v>210.14999999999998</v>
      </c>
      <c r="H118" s="20" t="s">
        <v>56</v>
      </c>
      <c r="J118" s="47">
        <f t="shared" si="77"/>
        <v>140.39009275603163</v>
      </c>
      <c r="K118" s="13">
        <f t="shared" si="78"/>
        <v>0.48308007679526915</v>
      </c>
      <c r="L118" s="48">
        <f t="shared" si="79"/>
        <v>2740.6307367112677</v>
      </c>
      <c r="M118" s="14">
        <f t="shared" si="72"/>
        <v>3.9807922404272822</v>
      </c>
      <c r="N118" s="14">
        <f t="shared" si="73"/>
        <v>0.75220987326624633</v>
      </c>
      <c r="O118" s="14">
        <f t="shared" si="74"/>
        <v>1.8430638558784707</v>
      </c>
      <c r="P118" s="20">
        <f t="shared" si="80"/>
        <v>1.4869971693981185</v>
      </c>
      <c r="Q118" s="20">
        <v>7</v>
      </c>
      <c r="R118" s="57">
        <f t="shared" si="81"/>
        <v>9.9383833003230393E-6</v>
      </c>
      <c r="S118" s="57">
        <f t="shared" si="75"/>
        <v>0.75220987326624633</v>
      </c>
      <c r="T118" s="57">
        <v>1.3128538954505272E-2</v>
      </c>
      <c r="U118" s="58">
        <v>6.9477931433297793E-2</v>
      </c>
      <c r="V118" s="58">
        <f t="shared" si="82"/>
        <v>3.9807922404272822</v>
      </c>
      <c r="W118" s="58">
        <f t="shared" si="83"/>
        <v>3.3076564704970224E-6</v>
      </c>
      <c r="X118" s="20">
        <f t="shared" si="76"/>
        <v>7</v>
      </c>
    </row>
    <row r="119" spans="6:24" ht="18.600000000000001" x14ac:dyDescent="0.3">
      <c r="F119" s="20" t="s">
        <v>83</v>
      </c>
      <c r="G119" s="20">
        <f>C$11*SQRT(G118/C$12)</f>
        <v>290.61453680179278</v>
      </c>
      <c r="H119" s="20" t="s">
        <v>55</v>
      </c>
      <c r="J119" s="47">
        <f t="shared" si="77"/>
        <v>147.84133116152768</v>
      </c>
      <c r="K119" s="13">
        <f t="shared" si="78"/>
        <v>0.50871966966456184</v>
      </c>
      <c r="L119" s="48">
        <f t="shared" si="79"/>
        <v>2749.7700118953894</v>
      </c>
      <c r="M119" s="14">
        <f t="shared" si="72"/>
        <v>3.3677853812826233</v>
      </c>
      <c r="N119" s="14">
        <f t="shared" si="73"/>
        <v>0.83784868185189465</v>
      </c>
      <c r="O119" s="14">
        <f t="shared" si="74"/>
        <v>2.1618389851459288</v>
      </c>
      <c r="P119" s="20">
        <f t="shared" si="80"/>
        <v>1.2719587493745628</v>
      </c>
      <c r="Q119" s="20">
        <v>8</v>
      </c>
      <c r="R119" s="57">
        <f t="shared" si="81"/>
        <v>-1.0550138540565968E-10</v>
      </c>
      <c r="S119" s="57">
        <f t="shared" si="75"/>
        <v>0.83784868185189465</v>
      </c>
      <c r="T119" s="57">
        <v>1.4623218131810023E-2</v>
      </c>
      <c r="U119" s="58">
        <v>5.8778943403914388E-2</v>
      </c>
      <c r="V119" s="58">
        <f t="shared" si="82"/>
        <v>3.3677853812826233</v>
      </c>
      <c r="W119" s="58">
        <f t="shared" si="83"/>
        <v>6.4744654082460329E-11</v>
      </c>
      <c r="X119" s="20">
        <f t="shared" si="76"/>
        <v>8</v>
      </c>
    </row>
    <row r="120" spans="6:24" x14ac:dyDescent="0.3">
      <c r="F120" s="20" t="s">
        <v>149</v>
      </c>
      <c r="G120" s="20">
        <f>G102-G103</f>
        <v>820.93995226227878</v>
      </c>
      <c r="H120" s="20" t="s">
        <v>0</v>
      </c>
      <c r="J120" s="47">
        <f t="shared" si="77"/>
        <v>155.29256956702372</v>
      </c>
      <c r="K120" s="13">
        <f t="shared" si="78"/>
        <v>0.53435926253385457</v>
      </c>
      <c r="L120" s="48">
        <f t="shared" si="79"/>
        <v>2761.8883333740014</v>
      </c>
      <c r="M120" s="14">
        <f t="shared" si="72"/>
        <v>2.8442278713522002</v>
      </c>
      <c r="N120" s="14">
        <f t="shared" si="73"/>
        <v>0.86752460905814566</v>
      </c>
      <c r="O120" s="14">
        <f t="shared" si="74"/>
        <v>2.3512199217640668</v>
      </c>
      <c r="P120" s="20">
        <f t="shared" si="80"/>
        <v>1.1746618458820386</v>
      </c>
      <c r="Q120" s="59">
        <v>9</v>
      </c>
      <c r="R120" s="57">
        <f t="shared" si="81"/>
        <v>1.8135324353352189E-8</v>
      </c>
      <c r="S120" s="57">
        <f t="shared" si="75"/>
        <v>0.86752460905814566</v>
      </c>
      <c r="T120" s="57">
        <v>1.5141160770141266E-2</v>
      </c>
      <c r="U120" s="58">
        <v>4.9641141032085598E-2</v>
      </c>
      <c r="V120" s="58">
        <f t="shared" si="82"/>
        <v>2.8442278713522002</v>
      </c>
      <c r="W120" s="58">
        <f t="shared" si="83"/>
        <v>-1.1380620890122373E-9</v>
      </c>
      <c r="X120" s="20">
        <f t="shared" si="76"/>
        <v>9</v>
      </c>
    </row>
    <row r="121" spans="6:24" x14ac:dyDescent="0.3">
      <c r="F121" s="20" t="s">
        <v>150</v>
      </c>
      <c r="G121" s="20" cm="1">
        <f t="array" ref="G121">C$16*(G133-G115)*MIN(IF(P112:P126&gt;0,P112:P126))</f>
        <v>68.581365952703976</v>
      </c>
      <c r="H121" s="20" t="s">
        <v>0</v>
      </c>
      <c r="J121" s="47">
        <f t="shared" si="77"/>
        <v>162.74380797251979</v>
      </c>
      <c r="K121" s="13">
        <f t="shared" si="78"/>
        <v>0.55999885540314731</v>
      </c>
      <c r="L121" s="48">
        <f t="shared" si="79"/>
        <v>2776.9857011471036</v>
      </c>
      <c r="M121" s="14">
        <f t="shared" si="72"/>
        <v>2.3939196921585282</v>
      </c>
      <c r="N121" s="14">
        <f t="shared" si="73"/>
        <v>0.84396237027627097</v>
      </c>
      <c r="O121" s="14">
        <f t="shared" si="74"/>
        <v>2.3971169314604004</v>
      </c>
      <c r="P121" s="20">
        <f t="shared" si="80"/>
        <v>1.1584690194713509</v>
      </c>
      <c r="Q121" s="59">
        <v>10</v>
      </c>
      <c r="R121" s="57">
        <f t="shared" si="81"/>
        <v>-1.472097010264406E-3</v>
      </c>
      <c r="S121" s="57">
        <f t="shared" si="75"/>
        <v>0.84396237027627097</v>
      </c>
      <c r="T121" s="57">
        <v>1.4729922124256454E-2</v>
      </c>
      <c r="U121" s="58">
        <v>4.1781780656495397E-2</v>
      </c>
      <c r="V121" s="58">
        <f t="shared" si="82"/>
        <v>2.3939196921585282</v>
      </c>
      <c r="W121" s="58">
        <f t="shared" si="83"/>
        <v>1.1512427488469257E-4</v>
      </c>
      <c r="X121" s="20">
        <f t="shared" si="76"/>
        <v>10</v>
      </c>
    </row>
    <row r="122" spans="6:24" x14ac:dyDescent="0.3">
      <c r="F122" s="20" t="s">
        <v>152</v>
      </c>
      <c r="G122" s="20">
        <f>(J126-J112)/Q125</f>
        <v>7.4512384054960465</v>
      </c>
      <c r="H122" s="20" t="s">
        <v>55</v>
      </c>
      <c r="J122" s="47">
        <f t="shared" si="77"/>
        <v>170.19504637801583</v>
      </c>
      <c r="K122" s="13">
        <f t="shared" si="78"/>
        <v>0.58563844827244005</v>
      </c>
      <c r="L122" s="48">
        <f t="shared" si="79"/>
        <v>2795.0621152146973</v>
      </c>
      <c r="M122" s="14">
        <f t="shared" si="72"/>
        <v>2.0041266869963206</v>
      </c>
      <c r="N122" s="14">
        <f t="shared" si="73"/>
        <v>0.76776901924939744</v>
      </c>
      <c r="O122" s="14">
        <f t="shared" si="74"/>
        <v>2.2805619261229753</v>
      </c>
      <c r="P122" s="20">
        <f t="shared" si="80"/>
        <v>1.2256023759751125</v>
      </c>
      <c r="Q122" s="59">
        <v>11</v>
      </c>
      <c r="R122" s="57">
        <f t="shared" si="81"/>
        <v>3.8118741940706968E-8</v>
      </c>
      <c r="S122" s="57">
        <f t="shared" si="75"/>
        <v>0.76776901924939744</v>
      </c>
      <c r="T122" s="57">
        <v>1.3400097280709709E-2</v>
      </c>
      <c r="U122" s="58">
        <v>3.4978609315171619E-2</v>
      </c>
      <c r="V122" s="58">
        <f t="shared" si="82"/>
        <v>2.0041266869963206</v>
      </c>
      <c r="W122" s="58">
        <f t="shared" si="83"/>
        <v>-1.2132090887462255E-9</v>
      </c>
      <c r="X122" s="20">
        <f t="shared" si="76"/>
        <v>11</v>
      </c>
    </row>
    <row r="123" spans="6:24" x14ac:dyDescent="0.3">
      <c r="J123" s="47">
        <f t="shared" si="77"/>
        <v>177.64628478351187</v>
      </c>
      <c r="K123" s="13">
        <f t="shared" si="78"/>
        <v>0.61127804114173268</v>
      </c>
      <c r="L123" s="48">
        <f t="shared" si="79"/>
        <v>2816.1175755767808</v>
      </c>
      <c r="M123" s="14">
        <f t="shared" si="72"/>
        <v>1.6647308208433345</v>
      </c>
      <c r="N123" s="14">
        <f t="shared" si="73"/>
        <v>0.63754318121717535</v>
      </c>
      <c r="O123" s="14">
        <f t="shared" si="74"/>
        <v>1.9766698585710696</v>
      </c>
      <c r="P123" s="20">
        <f t="shared" si="80"/>
        <v>1.4246777545404299</v>
      </c>
      <c r="Q123" s="59">
        <v>12</v>
      </c>
      <c r="R123" s="57">
        <f t="shared" si="81"/>
        <v>-5.6726655748207122E-4</v>
      </c>
      <c r="S123" s="57">
        <f t="shared" si="75"/>
        <v>0.63754318121717535</v>
      </c>
      <c r="T123" s="57">
        <v>1.1127227635878579E-2</v>
      </c>
      <c r="U123" s="58">
        <v>2.9055033983144032E-2</v>
      </c>
      <c r="V123" s="58">
        <f t="shared" si="82"/>
        <v>1.6647308208433345</v>
      </c>
      <c r="W123" s="58">
        <f t="shared" si="83"/>
        <v>7.5198387889940932E-5</v>
      </c>
      <c r="X123" s="20">
        <f t="shared" si="76"/>
        <v>12</v>
      </c>
    </row>
    <row r="124" spans="6:24" x14ac:dyDescent="0.3">
      <c r="J124" s="47">
        <f t="shared" si="77"/>
        <v>185.09752318900792</v>
      </c>
      <c r="K124" s="13">
        <f t="shared" si="78"/>
        <v>0.63691763401102541</v>
      </c>
      <c r="L124" s="48">
        <f t="shared" si="79"/>
        <v>2840.1520822333555</v>
      </c>
      <c r="M124" s="14">
        <f t="shared" si="72"/>
        <v>1.3676149215353612</v>
      </c>
      <c r="N124" s="14">
        <f t="shared" si="73"/>
        <v>0.44981450536543255</v>
      </c>
      <c r="O124" s="14">
        <f t="shared" si="74"/>
        <v>1.4531383685747512</v>
      </c>
      <c r="P124" s="20">
        <f t="shared" si="80"/>
        <v>1.9544952797709123</v>
      </c>
      <c r="Q124" s="20">
        <v>13</v>
      </c>
      <c r="R124" s="57">
        <f t="shared" si="81"/>
        <v>2.204615157097578E-8</v>
      </c>
      <c r="S124" s="57">
        <f t="shared" si="75"/>
        <v>0.44981450536543255</v>
      </c>
      <c r="T124" s="57">
        <v>7.8507441418564968E-3</v>
      </c>
      <c r="U124" s="58">
        <v>2.3869383280195958E-2</v>
      </c>
      <c r="V124" s="58">
        <f t="shared" si="82"/>
        <v>1.3676149215353612</v>
      </c>
      <c r="W124" s="58">
        <f t="shared" si="83"/>
        <v>-3.5083758120890707E-10</v>
      </c>
      <c r="X124" s="20">
        <f t="shared" si="76"/>
        <v>13</v>
      </c>
    </row>
    <row r="125" spans="6:24" x14ac:dyDescent="0.3">
      <c r="J125" s="47">
        <f>J$112+Q124*G$122</f>
        <v>192.54876159450396</v>
      </c>
      <c r="K125" s="13">
        <f t="shared" si="78"/>
        <v>0.66255722688031804</v>
      </c>
      <c r="L125" s="48">
        <f t="shared" si="79"/>
        <v>2867.1656351844204</v>
      </c>
      <c r="M125" s="14">
        <f t="shared" si="72"/>
        <v>1.1062054337348495</v>
      </c>
      <c r="N125" s="14">
        <f t="shared" si="73"/>
        <v>0.19879771375495933</v>
      </c>
      <c r="O125" s="14">
        <f t="shared" si="74"/>
        <v>0.66808021661716377</v>
      </c>
      <c r="P125" s="20">
        <f t="shared" si="80"/>
        <v>4.2916487629320397</v>
      </c>
      <c r="Q125" s="20">
        <v>14</v>
      </c>
      <c r="R125" s="57">
        <f t="shared" si="81"/>
        <v>-2.3646862246096134E-10</v>
      </c>
      <c r="S125" s="57">
        <f t="shared" si="75"/>
        <v>0.19879771375495933</v>
      </c>
      <c r="T125" s="57">
        <v>3.4696746504612598E-3</v>
      </c>
      <c r="U125" s="58">
        <v>1.9306927022125078E-2</v>
      </c>
      <c r="V125" s="58">
        <f t="shared" si="82"/>
        <v>1.1062054337348495</v>
      </c>
      <c r="W125" s="58">
        <f t="shared" si="83"/>
        <v>-5.4086513046058826E-11</v>
      </c>
      <c r="X125" s="20">
        <f t="shared" si="76"/>
        <v>14</v>
      </c>
    </row>
    <row r="126" spans="6:24" x14ac:dyDescent="0.3">
      <c r="J126" s="47">
        <v>200</v>
      </c>
      <c r="K126" s="13">
        <f t="shared" si="78"/>
        <v>0.68819681974961078</v>
      </c>
      <c r="L126" s="48">
        <f t="shared" si="79"/>
        <v>2897.1582344299759</v>
      </c>
      <c r="M126" s="14">
        <f t="shared" si="72"/>
        <v>0.87513216741489963</v>
      </c>
      <c r="N126" s="14">
        <f t="shared" si="73"/>
        <v>-0.12407852162061309</v>
      </c>
      <c r="O126" s="14">
        <f t="shared" si="74"/>
        <v>-0.4331154081246712</v>
      </c>
      <c r="P126" s="20">
        <f t="shared" si="80"/>
        <v>-6.6891137560177407</v>
      </c>
      <c r="Q126" s="59">
        <v>15</v>
      </c>
      <c r="R126" s="57">
        <f t="shared" si="81"/>
        <v>5.5158052418846637E-6</v>
      </c>
      <c r="S126" s="57">
        <f t="shared" si="75"/>
        <v>-0.12407852162061309</v>
      </c>
      <c r="T126" s="57">
        <v>-2.1655787332866688E-3</v>
      </c>
      <c r="U126" s="58">
        <v>1.5273937711504232E-2</v>
      </c>
      <c r="V126" s="58">
        <f t="shared" si="82"/>
        <v>0.87513216741489963</v>
      </c>
      <c r="W126" s="58">
        <f t="shared" si="83"/>
        <v>-9.7297771390003618E-5</v>
      </c>
      <c r="X126" s="20">
        <f t="shared" si="76"/>
        <v>15</v>
      </c>
    </row>
    <row r="127" spans="6:24" ht="15.6" thickBot="1" x14ac:dyDescent="0.35"/>
    <row r="128" spans="6:24" ht="16.2" thickBot="1" x14ac:dyDescent="0.35">
      <c r="J128" s="143" t="s">
        <v>110</v>
      </c>
      <c r="K128" s="144"/>
      <c r="L128" s="144"/>
      <c r="M128" s="144"/>
      <c r="N128" s="144"/>
      <c r="O128" s="145"/>
    </row>
    <row r="129" spans="6:24" ht="18.600000000000001" thickBot="1" x14ac:dyDescent="0.35">
      <c r="F129" s="49"/>
      <c r="J129" s="95" t="s">
        <v>63</v>
      </c>
      <c r="K129" s="96" t="s">
        <v>53</v>
      </c>
      <c r="L129" s="95" t="s">
        <v>65</v>
      </c>
      <c r="M129" s="95" t="s">
        <v>66</v>
      </c>
      <c r="N129" s="95" t="s">
        <v>84</v>
      </c>
      <c r="O129" s="95" t="s">
        <v>64</v>
      </c>
      <c r="P129" s="20" t="s">
        <v>151</v>
      </c>
      <c r="R129" s="51" t="s">
        <v>85</v>
      </c>
      <c r="S129" s="52" t="s">
        <v>87</v>
      </c>
      <c r="T129" s="52" t="s">
        <v>86</v>
      </c>
      <c r="U129" s="54" t="s">
        <v>86</v>
      </c>
      <c r="V129" s="54" t="s">
        <v>87</v>
      </c>
      <c r="W129" s="53" t="s">
        <v>88</v>
      </c>
    </row>
    <row r="130" spans="6:24" x14ac:dyDescent="0.3">
      <c r="F130" s="49"/>
      <c r="J130" s="44">
        <f>SQRT(2*(C$14+G138)*C$10/C$4/C$15/G134)</f>
        <v>108.5936341211916</v>
      </c>
      <c r="K130" s="42">
        <f>J130/G$137</f>
        <v>0.38579210811592479</v>
      </c>
      <c r="L130" s="46">
        <f>G$135*(1-0.605*K130+0.725*K130^2)</f>
        <v>2168.8194111832249</v>
      </c>
      <c r="M130" s="43">
        <f t="shared" ref="M130:M144" si="84">V130</f>
        <v>11.344512050318915</v>
      </c>
      <c r="N130" s="43">
        <f t="shared" ref="N130:N144" si="85">S130</f>
        <v>-2.4944066395290609</v>
      </c>
      <c r="O130" s="43">
        <f t="shared" ref="O130:O144" si="86">J130*SIN(RADIANS(N130))</f>
        <v>-4.7261966713904355</v>
      </c>
      <c r="P130" s="20">
        <f>L130/1000/O130</f>
        <v>-0.45889317816839043</v>
      </c>
      <c r="Q130" s="20">
        <v>1</v>
      </c>
      <c r="R130" s="57">
        <f>0.5*G$134*C$4*C$2*(U130-C$5)*J130^2+L130*SIN(U130-C$1)-C$10*(C$14+G$138*(J$144-J130)/(J$144-J$130))*COS(T130)</f>
        <v>-2.6662746677175164E-5</v>
      </c>
      <c r="S130" s="57">
        <f t="shared" ref="S130:S144" si="87">DEGREES(T130)</f>
        <v>-2.4944066395290609</v>
      </c>
      <c r="T130" s="57">
        <v>-4.3535608743389451E-2</v>
      </c>
      <c r="U130" s="58">
        <v>0.19799908731023769</v>
      </c>
      <c r="V130" s="58">
        <f>DEGREES(U130)</f>
        <v>11.344512050318915</v>
      </c>
      <c r="W130" s="58">
        <f>-0.5*G$134*C$4*J130^2*((C$7+(C$2^2)*(U130-C$5)^2/(PI()*C$6))/SQRT(1-(J130/G$137)^2))+L130*COS(U130-C$1)-C$10*(C$14+G$138*(J$144-J130)/(J$144-J$130))*SIN(T130)</f>
        <v>-1.181221091428597E-5</v>
      </c>
      <c r="X130" s="20">
        <f t="shared" ref="X130:X144" si="88">Q130</f>
        <v>1</v>
      </c>
    </row>
    <row r="131" spans="6:24" x14ac:dyDescent="0.3">
      <c r="F131" s="49"/>
      <c r="J131" s="47">
        <f t="shared" ref="J131:J143" si="89">J$130+Q130*G$139</f>
        <v>114.40837454110648</v>
      </c>
      <c r="K131" s="13">
        <f t="shared" ref="K131:K144" si="90">J131/G$137</f>
        <v>0.40644968148935401</v>
      </c>
      <c r="L131" s="48">
        <f>G$135*(1-0.605*K131+0.725*K131^2)</f>
        <v>2167.2504435243095</v>
      </c>
      <c r="M131" s="14">
        <f t="shared" si="84"/>
        <v>9.9276939117597465</v>
      </c>
      <c r="N131" s="14">
        <f t="shared" si="85"/>
        <v>-1.9903878119742717</v>
      </c>
      <c r="O131" s="14">
        <f t="shared" si="86"/>
        <v>-3.9736126819577762</v>
      </c>
      <c r="P131" s="20">
        <f t="shared" ref="P131:P144" si="91">L131/1000/O131</f>
        <v>-0.54541059156689564</v>
      </c>
      <c r="Q131" s="20">
        <v>2</v>
      </c>
      <c r="R131" s="57">
        <f t="shared" ref="R131:R144" si="92">0.5*G$134*C$4*C$2*(U131-C$5)*J131^2+L131*SIN(U131-C$1)-C$10*(C$14+G$138*(J$144-J131)/(J$144-J$130))*COS(T131)</f>
        <v>2.0000075164716691E-4</v>
      </c>
      <c r="S131" s="57">
        <f t="shared" si="87"/>
        <v>-1.9903878119742717</v>
      </c>
      <c r="T131" s="57">
        <v>-3.4738820710516857E-2</v>
      </c>
      <c r="U131" s="58">
        <v>0.17327094589040298</v>
      </c>
      <c r="V131" s="58">
        <f t="shared" ref="V131:V144" si="93">DEGREES(U131)</f>
        <v>9.9276939117597465</v>
      </c>
      <c r="W131" s="58">
        <f t="shared" ref="W131:W144" si="94">-0.5*G$134*C$4*J131^2*((C$7+(C$2^2)*(U131-C$5)^2/(PI()*C$6))/SQRT(1-(J131/G$137)^2))+L131*COS(U131-C$1)-C$10*(C$14+G$138*(J$144-J131)/(J$144-J$130))*SIN(T131)</f>
        <v>-5.4750749291088141E-4</v>
      </c>
      <c r="X131" s="20">
        <f t="shared" si="88"/>
        <v>2</v>
      </c>
    </row>
    <row r="132" spans="6:24" x14ac:dyDescent="0.3">
      <c r="F132" s="49"/>
      <c r="J132" s="47">
        <f t="shared" si="89"/>
        <v>120.22311496102137</v>
      </c>
      <c r="K132" s="13">
        <f t="shared" si="90"/>
        <v>0.42710725486278317</v>
      </c>
      <c r="L132" s="48">
        <f t="shared" ref="L132:L144" si="95">G$135*(1-0.605*K132+0.725*K132^2)</f>
        <v>2167.2160554590942</v>
      </c>
      <c r="M132" s="14">
        <f t="shared" si="84"/>
        <v>8.7150246864825061</v>
      </c>
      <c r="N132" s="14">
        <f t="shared" si="85"/>
        <v>-1.5703276359457032</v>
      </c>
      <c r="O132" s="14">
        <f t="shared" si="86"/>
        <v>-3.2945890086727427</v>
      </c>
      <c r="P132" s="20">
        <f t="shared" si="91"/>
        <v>-0.65781074657690852</v>
      </c>
      <c r="Q132" s="59">
        <v>3</v>
      </c>
      <c r="R132" s="57">
        <f t="shared" si="92"/>
        <v>6.0615573602262884E-5</v>
      </c>
      <c r="S132" s="57">
        <f t="shared" si="87"/>
        <v>-1.5703276359457032</v>
      </c>
      <c r="T132" s="57">
        <v>-2.7407387582311381E-2</v>
      </c>
      <c r="U132" s="58">
        <v>0.15210587517170629</v>
      </c>
      <c r="V132" s="58">
        <f t="shared" si="93"/>
        <v>8.7150246864825061</v>
      </c>
      <c r="W132" s="58">
        <f t="shared" si="94"/>
        <v>-1.8659144507182646E-4</v>
      </c>
      <c r="X132" s="20">
        <f t="shared" si="88"/>
        <v>3</v>
      </c>
    </row>
    <row r="133" spans="6:24" x14ac:dyDescent="0.3">
      <c r="F133" s="22" t="s">
        <v>6</v>
      </c>
      <c r="G133" s="22">
        <v>14000</v>
      </c>
      <c r="H133" s="22" t="s">
        <v>3</v>
      </c>
      <c r="J133" s="47">
        <f t="shared" si="89"/>
        <v>126.03785538093626</v>
      </c>
      <c r="K133" s="13">
        <f>J133/G$137</f>
        <v>0.44776482823621244</v>
      </c>
      <c r="L133" s="48">
        <f t="shared" si="95"/>
        <v>2168.7162469875793</v>
      </c>
      <c r="M133" s="14">
        <f t="shared" si="84"/>
        <v>7.6701544822512062</v>
      </c>
      <c r="N133" s="14">
        <f t="shared" si="85"/>
        <v>-1.2209626855075844</v>
      </c>
      <c r="O133" s="14">
        <f t="shared" si="86"/>
        <v>-2.6856406007271487</v>
      </c>
      <c r="P133" s="20">
        <f t="shared" si="91"/>
        <v>-0.8075228853780323</v>
      </c>
      <c r="Q133" s="59">
        <v>4</v>
      </c>
      <c r="R133" s="57">
        <f t="shared" si="92"/>
        <v>1.613195490790531E-5</v>
      </c>
      <c r="S133" s="57">
        <f t="shared" si="87"/>
        <v>-1.2209626855075844</v>
      </c>
      <c r="T133" s="57">
        <v>-2.1309818906099398E-2</v>
      </c>
      <c r="U133" s="58">
        <v>0.13386944985188451</v>
      </c>
      <c r="V133" s="58">
        <f t="shared" si="93"/>
        <v>7.6701544822512062</v>
      </c>
      <c r="W133" s="58">
        <f t="shared" si="94"/>
        <v>-5.5192634135892149E-5</v>
      </c>
      <c r="X133" s="20">
        <f t="shared" si="88"/>
        <v>4</v>
      </c>
    </row>
    <row r="134" spans="6:24" ht="18.600000000000001" x14ac:dyDescent="0.3">
      <c r="F134" s="20" t="s">
        <v>79</v>
      </c>
      <c r="G134" s="20">
        <f>C$9*(1-G133/44300)^4.256</f>
        <v>0.24335422109432633</v>
      </c>
      <c r="H134" s="20" t="s">
        <v>80</v>
      </c>
      <c r="J134" s="47">
        <f t="shared" si="89"/>
        <v>131.85259580085113</v>
      </c>
      <c r="K134" s="13">
        <f t="shared" si="90"/>
        <v>0.4684224016096416</v>
      </c>
      <c r="L134" s="48">
        <f t="shared" si="95"/>
        <v>2171.7510181097637</v>
      </c>
      <c r="M134" s="14">
        <f t="shared" si="84"/>
        <v>6.7643275428051419</v>
      </c>
      <c r="N134" s="14">
        <f t="shared" si="85"/>
        <v>-0.93200545117106481</v>
      </c>
      <c r="O134" s="14">
        <f t="shared" si="86"/>
        <v>-2.1446940734442057</v>
      </c>
      <c r="P134" s="20">
        <f t="shared" si="91"/>
        <v>-1.0126157595158112</v>
      </c>
      <c r="Q134" s="59">
        <v>5</v>
      </c>
      <c r="R134" s="57">
        <f t="shared" si="92"/>
        <v>2.5074590885196812E-3</v>
      </c>
      <c r="S134" s="57">
        <f t="shared" si="87"/>
        <v>-0.93200545117106481</v>
      </c>
      <c r="T134" s="57">
        <v>-1.6266563769470322E-2</v>
      </c>
      <c r="U134" s="58">
        <v>0.11805978730528739</v>
      </c>
      <c r="V134" s="58">
        <f t="shared" si="93"/>
        <v>6.7643275428051419</v>
      </c>
      <c r="W134" s="58">
        <f t="shared" si="94"/>
        <v>3.3510080561427458E-4</v>
      </c>
      <c r="X134" s="20">
        <f t="shared" si="88"/>
        <v>5</v>
      </c>
    </row>
    <row r="135" spans="6:24" ht="18.600000000000001" x14ac:dyDescent="0.3">
      <c r="F135" s="20" t="s">
        <v>81</v>
      </c>
      <c r="G135" s="20">
        <f>C$3*(G134/C$9)^0.85</f>
        <v>2480.0635448498047</v>
      </c>
      <c r="H135" s="20" t="s">
        <v>28</v>
      </c>
      <c r="J135" s="47">
        <f t="shared" si="89"/>
        <v>137.66733622076603</v>
      </c>
      <c r="K135" s="13">
        <f t="shared" si="90"/>
        <v>0.48907997498307088</v>
      </c>
      <c r="L135" s="48">
        <f t="shared" si="95"/>
        <v>2176.3203688256485</v>
      </c>
      <c r="M135" s="14">
        <f t="shared" si="84"/>
        <v>5.9745856278721687</v>
      </c>
      <c r="N135" s="14">
        <f t="shared" si="85"/>
        <v>-0.69548859128302054</v>
      </c>
      <c r="O135" s="14">
        <f t="shared" si="86"/>
        <v>-1.6710429857913305</v>
      </c>
      <c r="P135" s="20">
        <f t="shared" si="91"/>
        <v>-1.3023724627855948</v>
      </c>
      <c r="Q135" s="59">
        <v>6</v>
      </c>
      <c r="R135" s="57">
        <f t="shared" si="92"/>
        <v>6.0587989719351754E-4</v>
      </c>
      <c r="S135" s="57">
        <f t="shared" si="87"/>
        <v>-0.69548859128302054</v>
      </c>
      <c r="T135" s="57">
        <v>-1.2138565827945843E-2</v>
      </c>
      <c r="U135" s="58">
        <v>0.10427619064870204</v>
      </c>
      <c r="V135" s="58">
        <f t="shared" si="93"/>
        <v>5.9745856278721687</v>
      </c>
      <c r="W135" s="58">
        <f t="shared" si="94"/>
        <v>8.2491407738416456E-5</v>
      </c>
      <c r="X135" s="20">
        <f t="shared" si="88"/>
        <v>6</v>
      </c>
    </row>
    <row r="136" spans="6:24" ht="18.600000000000001" x14ac:dyDescent="0.3">
      <c r="F136" s="20" t="s">
        <v>82</v>
      </c>
      <c r="G136" s="20">
        <f>C$12-6.5*G133/1000</f>
        <v>197.14999999999998</v>
      </c>
      <c r="H136" s="20" t="s">
        <v>56</v>
      </c>
      <c r="J136" s="47">
        <f t="shared" si="89"/>
        <v>143.48207664068093</v>
      </c>
      <c r="K136" s="13">
        <f t="shared" si="90"/>
        <v>0.50973754835650009</v>
      </c>
      <c r="L136" s="48">
        <f t="shared" si="95"/>
        <v>2182.4242991352335</v>
      </c>
      <c r="M136" s="14">
        <f t="shared" si="84"/>
        <v>5.2824459525143466</v>
      </c>
      <c r="N136" s="14">
        <f t="shared" si="85"/>
        <v>-0.50529874336657299</v>
      </c>
      <c r="O136" s="14">
        <f t="shared" si="86"/>
        <v>-1.2653702213242568</v>
      </c>
      <c r="P136" s="20">
        <f t="shared" si="91"/>
        <v>-1.7247318313301587</v>
      </c>
      <c r="Q136" s="20">
        <v>7</v>
      </c>
      <c r="R136" s="57">
        <f t="shared" si="92"/>
        <v>6.9994712248444557E-8</v>
      </c>
      <c r="S136" s="57">
        <f t="shared" si="87"/>
        <v>-0.50529874336657299</v>
      </c>
      <c r="T136" s="57">
        <v>-8.8191267779365555E-3</v>
      </c>
      <c r="U136" s="58">
        <v>9.2196074430023381E-2</v>
      </c>
      <c r="V136" s="58">
        <f t="shared" si="93"/>
        <v>5.2824459525143466</v>
      </c>
      <c r="W136" s="58">
        <f t="shared" si="94"/>
        <v>7.3956953201559372E-6</v>
      </c>
      <c r="X136" s="20">
        <f t="shared" si="88"/>
        <v>7</v>
      </c>
    </row>
    <row r="137" spans="6:24" ht="18.600000000000001" x14ac:dyDescent="0.3">
      <c r="F137" s="20" t="s">
        <v>83</v>
      </c>
      <c r="G137" s="20">
        <f>C$11*SQRT(G136/C$12)</f>
        <v>281.48225906311393</v>
      </c>
      <c r="H137" s="20" t="s">
        <v>55</v>
      </c>
      <c r="J137" s="47">
        <f t="shared" si="89"/>
        <v>149.2968170605958</v>
      </c>
      <c r="K137" s="13">
        <f t="shared" si="90"/>
        <v>0.53039512172992931</v>
      </c>
      <c r="L137" s="48">
        <f t="shared" si="95"/>
        <v>2190.0628090385185</v>
      </c>
      <c r="M137" s="14">
        <f t="shared" si="84"/>
        <v>4.6729046006766026</v>
      </c>
      <c r="N137" s="14">
        <f t="shared" si="85"/>
        <v>-0.3568196780961283</v>
      </c>
      <c r="O137" s="14">
        <f t="shared" si="86"/>
        <v>-0.92976652569278551</v>
      </c>
      <c r="P137" s="20">
        <f t="shared" si="91"/>
        <v>-2.3554975883936713</v>
      </c>
      <c r="Q137" s="20">
        <v>8</v>
      </c>
      <c r="R137" s="57">
        <f t="shared" si="92"/>
        <v>2.4823028070386499E-5</v>
      </c>
      <c r="S137" s="57">
        <f t="shared" si="87"/>
        <v>-0.3568196780961283</v>
      </c>
      <c r="T137" s="57">
        <v>-6.2276782186837304E-3</v>
      </c>
      <c r="U137" s="58">
        <v>8.1557570913397562E-2</v>
      </c>
      <c r="V137" s="58">
        <f t="shared" si="93"/>
        <v>4.6729046006766026</v>
      </c>
      <c r="W137" s="58">
        <f t="shared" si="94"/>
        <v>5.6113777020527777E-6</v>
      </c>
      <c r="X137" s="20">
        <f t="shared" si="88"/>
        <v>8</v>
      </c>
    </row>
    <row r="138" spans="6:24" x14ac:dyDescent="0.3">
      <c r="F138" s="20" t="s">
        <v>149</v>
      </c>
      <c r="G138" s="20">
        <f>G120-G121</f>
        <v>752.35858630957478</v>
      </c>
      <c r="H138" s="20" t="s">
        <v>0</v>
      </c>
      <c r="J138" s="47">
        <f t="shared" si="89"/>
        <v>155.11155748051067</v>
      </c>
      <c r="K138" s="13">
        <f t="shared" si="90"/>
        <v>0.55105269510335841</v>
      </c>
      <c r="L138" s="48">
        <f t="shared" si="95"/>
        <v>2199.2358985355031</v>
      </c>
      <c r="M138" s="14">
        <f t="shared" si="84"/>
        <v>4.133690169439876</v>
      </c>
      <c r="N138" s="14">
        <f t="shared" si="85"/>
        <v>-0.24668437482430278</v>
      </c>
      <c r="O138" s="14">
        <f t="shared" si="86"/>
        <v>-0.66782369827923138</v>
      </c>
      <c r="P138" s="20">
        <f t="shared" si="91"/>
        <v>-3.2931384498666825</v>
      </c>
      <c r="Q138" s="59">
        <v>9</v>
      </c>
      <c r="R138" s="57">
        <f>0.5*G$134*C$4*C$2*(U138-C$5)*J138^2+L138*SIN(U138-C$1)-C$10*(C$14+G$138*(J$144-J138)/(J$144-J$130))*COS(T138)</f>
        <v>5.899237294215709E-7</v>
      </c>
      <c r="S138" s="57">
        <f t="shared" si="87"/>
        <v>-0.24668437482430278</v>
      </c>
      <c r="T138" s="57">
        <v>-4.305454553907892E-3</v>
      </c>
      <c r="U138" s="58">
        <v>7.2146503714048113E-2</v>
      </c>
      <c r="V138" s="58">
        <f t="shared" si="93"/>
        <v>4.133690169439876</v>
      </c>
      <c r="W138" s="58">
        <f t="shared" si="94"/>
        <v>9.7461011705490819E-7</v>
      </c>
      <c r="X138" s="20">
        <f t="shared" si="88"/>
        <v>9</v>
      </c>
    </row>
    <row r="139" spans="6:24" x14ac:dyDescent="0.3">
      <c r="F139" s="20" t="s">
        <v>152</v>
      </c>
      <c r="G139" s="20">
        <f>(J144-J130)/Q143</f>
        <v>5.8147404199148855</v>
      </c>
      <c r="H139" s="20" t="s">
        <v>55</v>
      </c>
      <c r="J139" s="47">
        <f t="shared" si="89"/>
        <v>160.92629790042557</v>
      </c>
      <c r="K139" s="13">
        <f t="shared" si="90"/>
        <v>0.57171026847678763</v>
      </c>
      <c r="L139" s="48">
        <f t="shared" si="95"/>
        <v>2209.9435676261878</v>
      </c>
      <c r="M139" s="14">
        <f t="shared" si="84"/>
        <v>3.654694508672427</v>
      </c>
      <c r="N139" s="14">
        <f t="shared" si="85"/>
        <v>-0.17259983034550583</v>
      </c>
      <c r="O139" s="14">
        <f t="shared" si="86"/>
        <v>-0.48477933177478705</v>
      </c>
      <c r="P139" s="20">
        <f t="shared" si="91"/>
        <v>-4.5586588015944063</v>
      </c>
      <c r="Q139" s="59">
        <v>10</v>
      </c>
      <c r="R139" s="57">
        <f>0.5*G$134*C$4*C$2*(U139-C$5)*J139^2+L139*SIN(U139-C$1)-C$10*(C$14+G$138*(J$144-J139)/(J$144-J$130))*COS(T139)</f>
        <v>-3.5215634852647781E-9</v>
      </c>
      <c r="S139" s="57">
        <f t="shared" si="87"/>
        <v>-0.17259983034550583</v>
      </c>
      <c r="T139" s="57">
        <v>-3.0124353279126987E-3</v>
      </c>
      <c r="U139" s="58">
        <v>6.3786452330890309E-2</v>
      </c>
      <c r="V139" s="58">
        <f t="shared" si="93"/>
        <v>3.654694508672427</v>
      </c>
      <c r="W139" s="58">
        <f t="shared" si="94"/>
        <v>1.3096723705530167E-10</v>
      </c>
      <c r="X139" s="20">
        <f t="shared" si="88"/>
        <v>10</v>
      </c>
    </row>
    <row r="140" spans="6:24" x14ac:dyDescent="0.3">
      <c r="J140" s="47">
        <f t="shared" si="89"/>
        <v>166.74103832034046</v>
      </c>
      <c r="K140" s="13">
        <f t="shared" si="90"/>
        <v>0.59236784185021696</v>
      </c>
      <c r="L140" s="48">
        <f t="shared" si="95"/>
        <v>2222.185816310573</v>
      </c>
      <c r="M140" s="14">
        <f t="shared" si="84"/>
        <v>3.2275352938123687</v>
      </c>
      <c r="N140" s="14">
        <f t="shared" si="85"/>
        <v>-0.13323257391899199</v>
      </c>
      <c r="O140" s="14">
        <f t="shared" si="86"/>
        <v>-0.38773043811490915</v>
      </c>
      <c r="P140" s="20">
        <f t="shared" si="91"/>
        <v>-5.731264811487403</v>
      </c>
      <c r="Q140" s="59">
        <v>11</v>
      </c>
      <c r="R140" s="57">
        <f t="shared" si="92"/>
        <v>-6.8292138166725636E-8</v>
      </c>
      <c r="S140" s="57">
        <f t="shared" si="87"/>
        <v>-0.13323257391899199</v>
      </c>
      <c r="T140" s="57">
        <v>-2.3253470857931349E-3</v>
      </c>
      <c r="U140" s="58">
        <v>5.6331117601348402E-2</v>
      </c>
      <c r="V140" s="58">
        <f t="shared" si="93"/>
        <v>3.2275352938123687</v>
      </c>
      <c r="W140" s="58">
        <f t="shared" si="94"/>
        <v>7.5786488196172286E-11</v>
      </c>
      <c r="X140" s="20">
        <f t="shared" si="88"/>
        <v>11</v>
      </c>
    </row>
    <row r="141" spans="6:24" x14ac:dyDescent="0.3">
      <c r="J141" s="47">
        <f t="shared" si="89"/>
        <v>172.55577874025533</v>
      </c>
      <c r="K141" s="13">
        <f t="shared" si="90"/>
        <v>0.61302541522364606</v>
      </c>
      <c r="L141" s="48">
        <f t="shared" si="95"/>
        <v>2235.9626445886579</v>
      </c>
      <c r="M141" s="14">
        <f t="shared" si="84"/>
        <v>2.8452173967613734</v>
      </c>
      <c r="N141" s="14">
        <f t="shared" si="85"/>
        <v>-0.12814713372100536</v>
      </c>
      <c r="O141" s="14">
        <f t="shared" si="86"/>
        <v>-0.38593610567447184</v>
      </c>
      <c r="P141" s="20">
        <f t="shared" si="91"/>
        <v>-5.7936083504833844</v>
      </c>
      <c r="Q141" s="59">
        <v>12</v>
      </c>
      <c r="R141" s="57">
        <f t="shared" si="92"/>
        <v>-4.3713953346014023E-8</v>
      </c>
      <c r="S141" s="57">
        <f t="shared" si="87"/>
        <v>-0.12814713372100536</v>
      </c>
      <c r="T141" s="57">
        <v>-2.2365894104249963E-3</v>
      </c>
      <c r="U141" s="58">
        <v>4.9658411508507812E-2</v>
      </c>
      <c r="V141" s="58">
        <f t="shared" si="93"/>
        <v>2.8452173967613734</v>
      </c>
      <c r="W141" s="58">
        <f t="shared" si="94"/>
        <v>9.6122221293626353E-11</v>
      </c>
      <c r="X141" s="20">
        <f t="shared" si="88"/>
        <v>12</v>
      </c>
    </row>
    <row r="142" spans="6:24" x14ac:dyDescent="0.3">
      <c r="J142" s="47">
        <f t="shared" si="89"/>
        <v>178.37051916017023</v>
      </c>
      <c r="K142" s="13">
        <f t="shared" si="90"/>
        <v>0.63368298859707539</v>
      </c>
      <c r="L142" s="48">
        <f t="shared" si="95"/>
        <v>2251.2740524604433</v>
      </c>
      <c r="M142" s="14">
        <f t="shared" si="84"/>
        <v>2.5018684278352485</v>
      </c>
      <c r="N142" s="14">
        <f t="shared" si="85"/>
        <v>-0.15779325123499754</v>
      </c>
      <c r="O142" s="14">
        <f t="shared" si="86"/>
        <v>-0.49123388848388988</v>
      </c>
      <c r="P142" s="20">
        <f t="shared" si="91"/>
        <v>-4.5828964679302127</v>
      </c>
      <c r="Q142" s="20">
        <v>13</v>
      </c>
      <c r="R142" s="57">
        <f t="shared" si="92"/>
        <v>-1.1237716535106301E-8</v>
      </c>
      <c r="S142" s="57">
        <f t="shared" si="87"/>
        <v>-0.15779325123499754</v>
      </c>
      <c r="T142" s="57">
        <v>-2.7540117714773158E-3</v>
      </c>
      <c r="U142" s="58">
        <v>4.3665841517419236E-2</v>
      </c>
      <c r="V142" s="58">
        <f t="shared" si="93"/>
        <v>2.5018684278352485</v>
      </c>
      <c r="W142" s="58">
        <f t="shared" si="94"/>
        <v>1.0382450454926584E-10</v>
      </c>
      <c r="X142" s="20">
        <f t="shared" si="88"/>
        <v>13</v>
      </c>
    </row>
    <row r="143" spans="6:24" x14ac:dyDescent="0.3">
      <c r="J143" s="47">
        <f t="shared" si="89"/>
        <v>184.18525958008513</v>
      </c>
      <c r="K143" s="13">
        <f t="shared" si="90"/>
        <v>0.65434056197050461</v>
      </c>
      <c r="L143" s="48">
        <f t="shared" si="95"/>
        <v>2268.1200399259283</v>
      </c>
      <c r="M143" s="14">
        <f t="shared" si="84"/>
        <v>2.1925305742750409</v>
      </c>
      <c r="N143" s="14">
        <f t="shared" si="85"/>
        <v>-0.22354281495753445</v>
      </c>
      <c r="O143" s="14">
        <f t="shared" si="86"/>
        <v>-0.71860767568725747</v>
      </c>
      <c r="P143" s="20">
        <f t="shared" si="91"/>
        <v>-3.1562702663268358</v>
      </c>
      <c r="Q143" s="20">
        <v>14</v>
      </c>
      <c r="R143" s="57">
        <f t="shared" si="92"/>
        <v>-8.8439264800399542E-9</v>
      </c>
      <c r="S143" s="57">
        <f t="shared" si="87"/>
        <v>-0.22354281495753445</v>
      </c>
      <c r="T143" s="57">
        <v>-3.9015581401854039E-3</v>
      </c>
      <c r="U143" s="58">
        <v>3.8266877471741553E-2</v>
      </c>
      <c r="V143" s="58">
        <f t="shared" si="93"/>
        <v>2.1925305742750409</v>
      </c>
      <c r="W143" s="58">
        <f t="shared" si="94"/>
        <v>4.1225689528801013E-11</v>
      </c>
      <c r="X143" s="20">
        <f t="shared" si="88"/>
        <v>14</v>
      </c>
    </row>
    <row r="144" spans="6:24" x14ac:dyDescent="0.3">
      <c r="J144" s="47">
        <v>190</v>
      </c>
      <c r="K144" s="13">
        <f t="shared" si="90"/>
        <v>0.67499813534393371</v>
      </c>
      <c r="L144" s="48">
        <f t="shared" si="95"/>
        <v>2286.5006069851138</v>
      </c>
      <c r="M144" s="14">
        <f t="shared" si="84"/>
        <v>1.9129954640056208</v>
      </c>
      <c r="N144" s="14">
        <f t="shared" si="85"/>
        <v>-0.32778253512959044</v>
      </c>
      <c r="O144" s="14">
        <f t="shared" si="86"/>
        <v>-1.0869621198908894</v>
      </c>
      <c r="P144" s="20">
        <f t="shared" si="91"/>
        <v>-2.103569724411956</v>
      </c>
      <c r="Q144" s="59">
        <v>15</v>
      </c>
      <c r="R144" s="57">
        <f t="shared" si="92"/>
        <v>8.9191707957070321E-6</v>
      </c>
      <c r="S144" s="57">
        <f t="shared" si="87"/>
        <v>-0.32778253512959044</v>
      </c>
      <c r="T144" s="57">
        <v>-5.7208844685453309E-3</v>
      </c>
      <c r="U144" s="58">
        <v>3.3388069422614755E-2</v>
      </c>
      <c r="V144" s="58">
        <f t="shared" si="93"/>
        <v>1.9129954640056208</v>
      </c>
      <c r="W144" s="58">
        <f t="shared" si="94"/>
        <v>-8.7151533932683378E-5</v>
      </c>
      <c r="X144" s="20">
        <f t="shared" si="88"/>
        <v>15</v>
      </c>
    </row>
    <row r="145" spans="6:24" ht="15.6" thickBot="1" x14ac:dyDescent="0.35"/>
    <row r="146" spans="6:24" ht="16.2" thickBot="1" x14ac:dyDescent="0.35">
      <c r="J146" s="146" t="s">
        <v>118</v>
      </c>
      <c r="K146" s="147"/>
      <c r="L146" s="147"/>
      <c r="M146" s="147"/>
      <c r="N146" s="147"/>
      <c r="O146" s="148"/>
    </row>
    <row r="147" spans="6:24" ht="18.600000000000001" thickBot="1" x14ac:dyDescent="0.35">
      <c r="F147" s="49"/>
      <c r="J147" s="50" t="s">
        <v>63</v>
      </c>
      <c r="K147" s="65" t="s">
        <v>53</v>
      </c>
      <c r="L147" s="50" t="s">
        <v>65</v>
      </c>
      <c r="M147" s="50" t="s">
        <v>66</v>
      </c>
      <c r="N147" s="50" t="s">
        <v>84</v>
      </c>
      <c r="O147" s="50" t="s">
        <v>64</v>
      </c>
      <c r="P147" s="20" t="s">
        <v>151</v>
      </c>
      <c r="R147" s="51" t="s">
        <v>85</v>
      </c>
      <c r="S147" s="52" t="s">
        <v>87</v>
      </c>
      <c r="T147" s="52" t="s">
        <v>86</v>
      </c>
      <c r="U147" s="54" t="s">
        <v>86</v>
      </c>
      <c r="V147" s="54" t="s">
        <v>87</v>
      </c>
      <c r="W147" s="53" t="s">
        <v>88</v>
      </c>
    </row>
    <row r="148" spans="6:24" x14ac:dyDescent="0.3">
      <c r="F148" s="49"/>
      <c r="J148" s="44">
        <f>SQRT(2*(C$14+G156)*C$10/C$4/C$15/G152)</f>
        <v>50.003599658606447</v>
      </c>
      <c r="K148" s="63">
        <f>J148/G$155</f>
        <v>0.14693975803293108</v>
      </c>
      <c r="L148" s="55">
        <f>G$153*(1-0.605*K148+0.725*K148^2)</f>
        <v>9082.2003077697173</v>
      </c>
      <c r="M148" s="56">
        <f t="shared" ref="M148:M162" si="96">V148</f>
        <v>10.824820544501065</v>
      </c>
      <c r="N148" s="56">
        <f t="shared" ref="N148:N162" si="97">S148</f>
        <v>8.5340965436310583</v>
      </c>
      <c r="O148" s="56">
        <f>J148*SIN(RADIANS(N148))</f>
        <v>7.4204314442374431</v>
      </c>
      <c r="P148" s="20">
        <f>L148/1000/O148</f>
        <v>1.2239450463251393</v>
      </c>
      <c r="Q148" s="20">
        <v>1</v>
      </c>
      <c r="R148" s="57">
        <f>0.5*G$152*C$4*C$2*(U148-C$5)*J148^2+L148*SIN(U148-C$1)-C$10*(C$14+G$156*(J$162-J148)/(J$162-J$148))*COS(T148)</f>
        <v>4.7452618018724024E-3</v>
      </c>
      <c r="S148" s="57">
        <f t="shared" ref="S148:S162" si="98">DEGREES(T148)</f>
        <v>8.5340965436310583</v>
      </c>
      <c r="T148" s="57">
        <v>0.14894808336942988</v>
      </c>
      <c r="U148" s="58">
        <v>0.18892875943906895</v>
      </c>
      <c r="V148" s="58">
        <f>DEGREES(U148)</f>
        <v>10.824820544501065</v>
      </c>
      <c r="W148" s="58">
        <f>-0.5*G$152*C$4*J148^2*(C$7+(C$2^2)*(U148-C$5)^2/(PI()*C$6))+L148*COS(U148-C$1)-C$10*(C$14+G$156*(J$162-J148)/(J$162-J$148))*SIN(T148)</f>
        <v>7.9605591781728435E-4</v>
      </c>
      <c r="X148" s="20">
        <f t="shared" ref="X148:X162" si="99">Q148</f>
        <v>1</v>
      </c>
    </row>
    <row r="149" spans="6:24" x14ac:dyDescent="0.3">
      <c r="F149" s="49"/>
      <c r="J149" s="47">
        <f t="shared" ref="J149:J160" si="100">J$148+Q148*G$158</f>
        <v>63.57477111156313</v>
      </c>
      <c r="K149" s="13">
        <f t="shared" ref="K149:K162" si="101">J149/G$155</f>
        <v>0.18681977993406737</v>
      </c>
      <c r="L149" s="48">
        <f t="shared" ref="L149:L162" si="102">G$153*(1-0.605*K149+0.725*K149^2)</f>
        <v>8940.3216071615425</v>
      </c>
      <c r="M149" s="14">
        <f t="shared" si="96"/>
        <v>6.1351061628144894</v>
      </c>
      <c r="N149" s="14">
        <f t="shared" si="97"/>
        <v>10.00917569243737</v>
      </c>
      <c r="O149" s="14">
        <f t="shared" ref="O149:O162" si="103">J149*SIN(RADIANS(N149))</f>
        <v>11.049669579574266</v>
      </c>
      <c r="P149" s="20">
        <f t="shared" ref="P149:P162" si="104">L149/1000/O149</f>
        <v>0.80910307251974911</v>
      </c>
      <c r="Q149" s="20">
        <v>2</v>
      </c>
      <c r="R149" s="57">
        <f t="shared" ref="R149:R162" si="105">0.5*G$152*C$4*C$2*(U149-C$5)*J149^2+L149*SIN(U149-C$1)-C$10*(C$14+G$156*(J$162-J149)/(J$162-J$148))*COS(T149)</f>
        <v>-2.0962761482223868E-5</v>
      </c>
      <c r="S149" s="57">
        <f t="shared" si="98"/>
        <v>10.00917569243737</v>
      </c>
      <c r="T149" s="57">
        <v>0.17469307124361541</v>
      </c>
      <c r="U149" s="58">
        <v>0.10707780250050813</v>
      </c>
      <c r="V149" s="58">
        <f t="shared" ref="V149:V162" si="106">DEGREES(U149)</f>
        <v>6.1351061628144894</v>
      </c>
      <c r="W149" s="58">
        <f t="shared" ref="W149:W162" si="107">-0.5*G$152*C$4*J149^2*(C$7+(C$2^2)*(U149-C$5)^2/(PI()*C$6))+L149*COS(U149-C$1)-C$10*(C$14+G$156*(J$162-J149)/(J$162-J$148))*SIN(T149)</f>
        <v>-5.2623890951508656E-6</v>
      </c>
      <c r="X149" s="20">
        <f t="shared" si="99"/>
        <v>2</v>
      </c>
    </row>
    <row r="150" spans="6:24" x14ac:dyDescent="0.3">
      <c r="F150" s="49"/>
      <c r="J150" s="17">
        <f t="shared" si="100"/>
        <v>77.145942564519814</v>
      </c>
      <c r="K150" s="15">
        <f t="shared" si="101"/>
        <v>0.22669980183520369</v>
      </c>
      <c r="L150" s="40">
        <f t="shared" si="102"/>
        <v>8821.042719999894</v>
      </c>
      <c r="M150" s="16">
        <f t="shared" si="96"/>
        <v>3.6597010962250498</v>
      </c>
      <c r="N150" s="16">
        <f t="shared" si="97"/>
        <v>10.524387389719854</v>
      </c>
      <c r="O150" s="16">
        <f t="shared" si="103"/>
        <v>14.091016677510662</v>
      </c>
      <c r="P150" s="20">
        <f t="shared" si="104"/>
        <v>0.62600470369737948</v>
      </c>
      <c r="Q150" s="59">
        <v>3</v>
      </c>
      <c r="R150" s="57">
        <f t="shared" si="105"/>
        <v>3.8587888411711901E-5</v>
      </c>
      <c r="S150" s="57">
        <f t="shared" si="98"/>
        <v>10.524387389719854</v>
      </c>
      <c r="T150" s="57">
        <v>0.18368521170598306</v>
      </c>
      <c r="U150" s="58">
        <v>6.387383376797294E-2</v>
      </c>
      <c r="V150" s="58">
        <f t="shared" si="106"/>
        <v>3.6597010962250498</v>
      </c>
      <c r="W150" s="58">
        <f t="shared" si="107"/>
        <v>-2.2754923793399939E-4</v>
      </c>
      <c r="X150" s="20">
        <f t="shared" si="99"/>
        <v>3</v>
      </c>
    </row>
    <row r="151" spans="6:24" x14ac:dyDescent="0.3">
      <c r="F151" s="22" t="s">
        <v>6</v>
      </c>
      <c r="G151" s="22">
        <v>0</v>
      </c>
      <c r="H151" s="22" t="s">
        <v>3</v>
      </c>
      <c r="J151" s="47">
        <f t="shared" si="100"/>
        <v>90.71711401747649</v>
      </c>
      <c r="K151" s="13">
        <f t="shared" si="101"/>
        <v>0.26657982373633998</v>
      </c>
      <c r="L151" s="48">
        <f t="shared" si="102"/>
        <v>8724.3636462847735</v>
      </c>
      <c r="M151" s="14">
        <f t="shared" si="96"/>
        <v>2.2051755862334574</v>
      </c>
      <c r="N151" s="14">
        <f t="shared" si="97"/>
        <v>10.558768918085796</v>
      </c>
      <c r="O151" s="14">
        <f t="shared" si="103"/>
        <v>16.623363660728348</v>
      </c>
      <c r="P151" s="20">
        <f t="shared" si="104"/>
        <v>0.52482540984743864</v>
      </c>
      <c r="Q151" s="59">
        <v>4</v>
      </c>
      <c r="R151" s="57">
        <f t="shared" si="105"/>
        <v>4.6804416342638433E-6</v>
      </c>
      <c r="S151" s="57">
        <f t="shared" si="98"/>
        <v>10.558768918085796</v>
      </c>
      <c r="T151" s="57">
        <v>0.18428528257783658</v>
      </c>
      <c r="U151" s="58">
        <v>3.8487574564369971E-2</v>
      </c>
      <c r="V151" s="58">
        <f t="shared" si="106"/>
        <v>2.2051755862334574</v>
      </c>
      <c r="W151" s="58">
        <f t="shared" si="107"/>
        <v>-3.8246887015702669E-5</v>
      </c>
      <c r="X151" s="20">
        <f t="shared" si="99"/>
        <v>4</v>
      </c>
    </row>
    <row r="152" spans="6:24" ht="18.600000000000001" x14ac:dyDescent="0.3">
      <c r="F152" s="20" t="s">
        <v>79</v>
      </c>
      <c r="G152" s="20">
        <f>C$9*(1-G151/44300)^4.256</f>
        <v>1.2255</v>
      </c>
      <c r="H152" s="20" t="s">
        <v>80</v>
      </c>
      <c r="J152" s="17">
        <f t="shared" si="100"/>
        <v>104.28828547043318</v>
      </c>
      <c r="K152" s="15">
        <f t="shared" si="101"/>
        <v>0.3064598456374763</v>
      </c>
      <c r="L152" s="40">
        <f t="shared" si="102"/>
        <v>8650.2843860161793</v>
      </c>
      <c r="M152" s="16">
        <f t="shared" si="96"/>
        <v>1.282307637303383</v>
      </c>
      <c r="N152" s="16">
        <f t="shared" si="97"/>
        <v>10.302379053945719</v>
      </c>
      <c r="O152" s="16">
        <f t="shared" si="103"/>
        <v>18.651236946256194</v>
      </c>
      <c r="P152" s="20">
        <f t="shared" si="104"/>
        <v>0.46379145849372339</v>
      </c>
      <c r="Q152" s="59">
        <v>5</v>
      </c>
      <c r="R152" s="57">
        <f>0.5*G$152*C$4*C$2*(U152-C$5)*J152^2+L152*SIN(U152-C$1)-C$10*(C$14+G$156*(J$162-J152)/(J$162-J$148))*COS(T152)</f>
        <v>1.7577842154423706E-3</v>
      </c>
      <c r="S152" s="57">
        <f t="shared" si="98"/>
        <v>10.302379053945719</v>
      </c>
      <c r="T152" s="57">
        <v>0.1798104352798513</v>
      </c>
      <c r="U152" s="58">
        <v>2.2380490294413295E-2</v>
      </c>
      <c r="V152" s="58">
        <f t="shared" si="106"/>
        <v>1.282307637303383</v>
      </c>
      <c r="W152" s="58">
        <f t="shared" si="107"/>
        <v>8.8817612777347676E-5</v>
      </c>
      <c r="X152" s="20">
        <f t="shared" si="99"/>
        <v>5</v>
      </c>
    </row>
    <row r="153" spans="6:24" ht="18.600000000000001" x14ac:dyDescent="0.3">
      <c r="F153" s="20" t="s">
        <v>81</v>
      </c>
      <c r="G153" s="20">
        <f>C$3*(G152/C$9)^0.85</f>
        <v>9800</v>
      </c>
      <c r="H153" s="20" t="s">
        <v>28</v>
      </c>
      <c r="J153" s="47">
        <f t="shared" si="100"/>
        <v>117.85945692338986</v>
      </c>
      <c r="K153" s="13">
        <f t="shared" si="101"/>
        <v>0.34633986753861257</v>
      </c>
      <c r="L153" s="48">
        <f t="shared" si="102"/>
        <v>8598.8049391941131</v>
      </c>
      <c r="M153" s="14">
        <f t="shared" si="96"/>
        <v>0.66215822359114684</v>
      </c>
      <c r="N153" s="14">
        <f t="shared" si="97"/>
        <v>9.8404411582403561</v>
      </c>
      <c r="O153" s="14">
        <f t="shared" si="103"/>
        <v>20.142769131400129</v>
      </c>
      <c r="P153" s="20">
        <f t="shared" si="104"/>
        <v>0.42689289060011226</v>
      </c>
      <c r="Q153" s="59">
        <v>6</v>
      </c>
      <c r="R153" s="57">
        <f t="shared" si="105"/>
        <v>1.5596175944665447E-4</v>
      </c>
      <c r="S153" s="57">
        <f t="shared" si="98"/>
        <v>9.8404411582403561</v>
      </c>
      <c r="T153" s="57">
        <v>0.17174809806005856</v>
      </c>
      <c r="U153" s="58">
        <v>1.1556841170822302E-2</v>
      </c>
      <c r="V153" s="58">
        <f t="shared" si="106"/>
        <v>0.66215822359114684</v>
      </c>
      <c r="W153" s="58">
        <f t="shared" si="107"/>
        <v>1.1127083780593239E-5</v>
      </c>
      <c r="X153" s="20">
        <f t="shared" si="99"/>
        <v>6</v>
      </c>
    </row>
    <row r="154" spans="6:24" ht="18.600000000000001" x14ac:dyDescent="0.3">
      <c r="F154" s="20" t="s">
        <v>82</v>
      </c>
      <c r="G154" s="20">
        <f>C$12-6.5*G151/1000</f>
        <v>288.14999999999998</v>
      </c>
      <c r="H154" s="20" t="s">
        <v>56</v>
      </c>
      <c r="J154" s="17">
        <f t="shared" si="100"/>
        <v>131.43062837634653</v>
      </c>
      <c r="K154" s="15">
        <f t="shared" si="101"/>
        <v>0.38621988943974883</v>
      </c>
      <c r="L154" s="40">
        <f t="shared" si="102"/>
        <v>8569.9253058185714</v>
      </c>
      <c r="M154" s="16">
        <f t="shared" si="96"/>
        <v>0.22646079082610579</v>
      </c>
      <c r="N154" s="16">
        <f t="shared" si="97"/>
        <v>9.2139691228902265</v>
      </c>
      <c r="O154" s="16">
        <f t="shared" si="103"/>
        <v>21.044915868900333</v>
      </c>
      <c r="P154" s="20">
        <f t="shared" si="104"/>
        <v>0.40722069687543871</v>
      </c>
      <c r="Q154" s="20">
        <v>7</v>
      </c>
      <c r="R154" s="57">
        <f t="shared" si="105"/>
        <v>2.0599865820258856E-4</v>
      </c>
      <c r="S154" s="57">
        <f t="shared" si="98"/>
        <v>9.2139691228902265</v>
      </c>
      <c r="T154" s="57">
        <v>0.16081409837152846</v>
      </c>
      <c r="U154" s="58">
        <v>3.9524864265857154E-3</v>
      </c>
      <c r="V154" s="58">
        <f t="shared" si="106"/>
        <v>0.22646079082610579</v>
      </c>
      <c r="W154" s="58">
        <f t="shared" si="107"/>
        <v>8.2731867223628797E-6</v>
      </c>
      <c r="X154" s="20">
        <f t="shared" si="99"/>
        <v>7</v>
      </c>
    </row>
    <row r="155" spans="6:24" ht="18.600000000000001" x14ac:dyDescent="0.3">
      <c r="F155" s="20" t="s">
        <v>83</v>
      </c>
      <c r="G155" s="20">
        <f>C$11*SQRT(G154/C$12)</f>
        <v>340.3</v>
      </c>
      <c r="H155" s="20" t="s">
        <v>55</v>
      </c>
      <c r="J155" s="47">
        <f t="shared" si="100"/>
        <v>145.00179982930322</v>
      </c>
      <c r="K155" s="13">
        <f t="shared" si="101"/>
        <v>0.42609991134088515</v>
      </c>
      <c r="L155" s="48">
        <f t="shared" si="102"/>
        <v>8563.6454858895577</v>
      </c>
      <c r="M155" s="14">
        <f t="shared" si="96"/>
        <v>-9.0717276310724959E-2</v>
      </c>
      <c r="N155" s="14">
        <f t="shared" si="97"/>
        <v>8.443007202406795</v>
      </c>
      <c r="O155" s="14">
        <f t="shared" si="103"/>
        <v>21.289969337318755</v>
      </c>
      <c r="P155" s="20">
        <f t="shared" si="104"/>
        <v>0.40223850726165755</v>
      </c>
      <c r="Q155" s="20">
        <v>8</v>
      </c>
      <c r="R155" s="57">
        <f t="shared" si="105"/>
        <v>6.2257746321847662E-5</v>
      </c>
      <c r="S155" s="57">
        <f t="shared" si="98"/>
        <v>8.443007202406795</v>
      </c>
      <c r="T155" s="57">
        <v>0.14735827445159388</v>
      </c>
      <c r="U155" s="58">
        <v>-1.583315160063605E-3</v>
      </c>
      <c r="V155" s="58">
        <f t="shared" si="106"/>
        <v>-9.0717276310724959E-2</v>
      </c>
      <c r="W155" s="58">
        <f t="shared" si="107"/>
        <v>2.7233018045080826E-6</v>
      </c>
      <c r="X155" s="20">
        <f t="shared" si="99"/>
        <v>8</v>
      </c>
    </row>
    <row r="156" spans="6:24" x14ac:dyDescent="0.3">
      <c r="F156" s="20" t="s">
        <v>149</v>
      </c>
      <c r="G156" s="20">
        <f>C13</f>
        <v>996</v>
      </c>
      <c r="H156" s="20" t="s">
        <v>0</v>
      </c>
      <c r="J156" s="17">
        <f t="shared" si="100"/>
        <v>158.57297128225991</v>
      </c>
      <c r="K156" s="15">
        <f t="shared" si="101"/>
        <v>0.46597993324202147</v>
      </c>
      <c r="L156" s="40">
        <f t="shared" si="102"/>
        <v>8579.9654794070721</v>
      </c>
      <c r="M156" s="16">
        <f t="shared" si="96"/>
        <v>-0.32842154238093918</v>
      </c>
      <c r="N156" s="16">
        <f t="shared" si="97"/>
        <v>7.5366088416314847</v>
      </c>
      <c r="O156" s="16">
        <f t="shared" si="103"/>
        <v>20.79837447623704</v>
      </c>
      <c r="P156" s="20">
        <f t="shared" si="104"/>
        <v>0.41253057969554396</v>
      </c>
      <c r="Q156" s="59">
        <v>9</v>
      </c>
      <c r="R156" s="57">
        <f t="shared" si="105"/>
        <v>1.9506584067130461E-5</v>
      </c>
      <c r="S156" s="57">
        <f t="shared" si="98"/>
        <v>7.5366088416314847</v>
      </c>
      <c r="T156" s="57">
        <v>0.1315386387213853</v>
      </c>
      <c r="U156" s="58">
        <v>-5.7320372490254857E-3</v>
      </c>
      <c r="V156" s="58">
        <f t="shared" si="106"/>
        <v>-0.32842154238093918</v>
      </c>
      <c r="W156" s="58">
        <f t="shared" si="107"/>
        <v>9.6474832389503717E-7</v>
      </c>
      <c r="X156" s="20">
        <f t="shared" si="99"/>
        <v>9</v>
      </c>
    </row>
    <row r="157" spans="6:24" x14ac:dyDescent="0.3">
      <c r="F157" s="20" t="s">
        <v>150</v>
      </c>
      <c r="G157" s="20" cm="1">
        <f t="array" ref="G157">C$16*(G169-G151)*MIN(IF(P148:P162&gt;0,P148:P162))</f>
        <v>23.812519629890129</v>
      </c>
      <c r="H157" s="20" t="s">
        <v>0</v>
      </c>
      <c r="J157" s="47">
        <f t="shared" si="100"/>
        <v>172.14414273521658</v>
      </c>
      <c r="K157" s="13">
        <f t="shared" si="101"/>
        <v>0.50585995514315774</v>
      </c>
      <c r="L157" s="48">
        <f t="shared" si="102"/>
        <v>8618.8852863711109</v>
      </c>
      <c r="M157" s="14">
        <f t="shared" si="96"/>
        <v>-0.51093728290561435</v>
      </c>
      <c r="N157" s="14">
        <f t="shared" si="97"/>
        <v>6.4974993579279028</v>
      </c>
      <c r="O157" s="14">
        <f t="shared" si="103"/>
        <v>19.479805331610653</v>
      </c>
      <c r="P157" s="20">
        <f t="shared" si="104"/>
        <v>0.44245233151200458</v>
      </c>
      <c r="Q157" s="59">
        <v>10</v>
      </c>
      <c r="R157" s="57">
        <f t="shared" si="105"/>
        <v>6.6423272073734552E-6</v>
      </c>
      <c r="S157" s="57">
        <f t="shared" si="98"/>
        <v>6.4974993579279028</v>
      </c>
      <c r="T157" s="57">
        <v>0.11340275694205942</v>
      </c>
      <c r="U157" s="58">
        <v>-8.91753785789671E-3</v>
      </c>
      <c r="V157" s="58">
        <f t="shared" si="106"/>
        <v>-0.51093728290561435</v>
      </c>
      <c r="W157" s="58">
        <f t="shared" si="107"/>
        <v>2.5372582967975177E-7</v>
      </c>
      <c r="X157" s="20">
        <f t="shared" si="99"/>
        <v>10</v>
      </c>
    </row>
    <row r="158" spans="6:24" x14ac:dyDescent="0.3">
      <c r="F158" s="20" t="s">
        <v>152</v>
      </c>
      <c r="G158" s="20">
        <f>(J162-J148)/Q161</f>
        <v>13.571171452956682</v>
      </c>
      <c r="H158" s="20" t="s">
        <v>55</v>
      </c>
      <c r="J158" s="17">
        <f t="shared" si="100"/>
        <v>185.71531418817327</v>
      </c>
      <c r="K158" s="15">
        <f t="shared" si="101"/>
        <v>0.545739977044294</v>
      </c>
      <c r="L158" s="40">
        <f t="shared" si="102"/>
        <v>8680.4049067816795</v>
      </c>
      <c r="M158" s="16">
        <f t="shared" si="96"/>
        <v>-0.65399524794623265</v>
      </c>
      <c r="N158" s="16">
        <f t="shared" si="97"/>
        <v>5.3243805732538965</v>
      </c>
      <c r="O158" s="16">
        <f t="shared" si="103"/>
        <v>17.233319072323038</v>
      </c>
      <c r="P158" s="20">
        <f t="shared" si="104"/>
        <v>0.50369896073719989</v>
      </c>
      <c r="Q158" s="59">
        <v>11</v>
      </c>
      <c r="R158" s="57">
        <f>0.5*G$152*C$4*C$2*(U158-C$5)*J158^2+L158*SIN(U158-C$1)-C$10*(C$14+G$156*(J$162-J158)/(J$162-J$148))*COS(T158)</f>
        <v>1.6396566934417933E-5</v>
      </c>
      <c r="S158" s="57">
        <f t="shared" si="98"/>
        <v>5.3243805732538965</v>
      </c>
      <c r="T158" s="57">
        <v>9.2927971632503631E-2</v>
      </c>
      <c r="U158" s="58">
        <v>-1.1414370369058444E-2</v>
      </c>
      <c r="V158" s="58">
        <f t="shared" si="106"/>
        <v>-0.65399524794623265</v>
      </c>
      <c r="W158" s="58">
        <f t="shared" si="107"/>
        <v>1.389348653901834E-6</v>
      </c>
      <c r="X158" s="20">
        <f t="shared" si="99"/>
        <v>11</v>
      </c>
    </row>
    <row r="159" spans="6:24" x14ac:dyDescent="0.3">
      <c r="J159" s="47">
        <f t="shared" si="100"/>
        <v>199.28648564112996</v>
      </c>
      <c r="K159" s="13">
        <f t="shared" si="101"/>
        <v>0.58561999894543038</v>
      </c>
      <c r="L159" s="48">
        <f t="shared" si="102"/>
        <v>8764.5243406387726</v>
      </c>
      <c r="M159" s="14">
        <f t="shared" si="96"/>
        <v>-0.76813945162483566</v>
      </c>
      <c r="N159" s="14">
        <f t="shared" si="97"/>
        <v>4.0130945249696941</v>
      </c>
      <c r="O159" s="14">
        <f t="shared" si="103"/>
        <v>13.946956639852674</v>
      </c>
      <c r="P159" s="20">
        <f t="shared" si="104"/>
        <v>0.62841841176982061</v>
      </c>
      <c r="Q159" s="59">
        <v>12</v>
      </c>
      <c r="R159" s="57">
        <f t="shared" si="105"/>
        <v>8.2072983786929399E-6</v>
      </c>
      <c r="S159" s="57">
        <f t="shared" si="98"/>
        <v>4.0130945249696941</v>
      </c>
      <c r="T159" s="57">
        <v>7.0041712654478949E-2</v>
      </c>
      <c r="U159" s="58">
        <v>-1.3406562545317089E-2</v>
      </c>
      <c r="V159" s="58">
        <f t="shared" si="106"/>
        <v>-0.76813945162483566</v>
      </c>
      <c r="W159" s="58">
        <f t="shared" si="107"/>
        <v>5.2064388000871986E-7</v>
      </c>
      <c r="X159" s="20">
        <f t="shared" si="99"/>
        <v>12</v>
      </c>
    </row>
    <row r="160" spans="6:24" x14ac:dyDescent="0.3">
      <c r="J160" s="17">
        <f t="shared" si="100"/>
        <v>212.85765709408662</v>
      </c>
      <c r="K160" s="15">
        <f t="shared" si="101"/>
        <v>0.62550002084656664</v>
      </c>
      <c r="L160" s="40">
        <f t="shared" si="102"/>
        <v>8871.2435879423956</v>
      </c>
      <c r="M160" s="16">
        <f t="shared" si="96"/>
        <v>-0.86064690538083011</v>
      </c>
      <c r="N160" s="16">
        <f t="shared" si="97"/>
        <v>2.5571848552372707</v>
      </c>
      <c r="O160" s="16">
        <f t="shared" si="103"/>
        <v>9.4969593037034628</v>
      </c>
      <c r="P160" s="20">
        <f t="shared" si="104"/>
        <v>0.93411409949739788</v>
      </c>
      <c r="Q160" s="20">
        <v>13</v>
      </c>
      <c r="R160" s="57">
        <f t="shared" si="105"/>
        <v>8.8338492787443101E-7</v>
      </c>
      <c r="S160" s="57">
        <f t="shared" si="98"/>
        <v>2.5571848552372707</v>
      </c>
      <c r="T160" s="57">
        <v>4.4631295306024936E-2</v>
      </c>
      <c r="U160" s="58">
        <v>-1.5021122195995587E-2</v>
      </c>
      <c r="V160" s="58">
        <f t="shared" si="106"/>
        <v>-0.86064690538083011</v>
      </c>
      <c r="W160" s="58">
        <f t="shared" si="107"/>
        <v>3.394643499632366E-8</v>
      </c>
      <c r="X160" s="20">
        <f t="shared" si="99"/>
        <v>13</v>
      </c>
    </row>
    <row r="161" spans="6:24" x14ac:dyDescent="0.3">
      <c r="J161" s="47">
        <f>J$148+Q160*G$158</f>
        <v>226.42882854704331</v>
      </c>
      <c r="K161" s="13">
        <f t="shared" si="101"/>
        <v>0.6653800427477029</v>
      </c>
      <c r="L161" s="48">
        <f t="shared" si="102"/>
        <v>9000.562648692543</v>
      </c>
      <c r="M161" s="14">
        <f t="shared" si="96"/>
        <v>-0.93666863189136962</v>
      </c>
      <c r="N161" s="14">
        <f t="shared" si="97"/>
        <v>0.94810593851791991</v>
      </c>
      <c r="O161" s="14">
        <f t="shared" si="103"/>
        <v>3.7466759623333377</v>
      </c>
      <c r="P161" s="20">
        <f t="shared" si="104"/>
        <v>2.4022794442803148</v>
      </c>
      <c r="Q161" s="20">
        <v>14</v>
      </c>
      <c r="R161" s="57">
        <f t="shared" si="105"/>
        <v>1.6327248886227608E-8</v>
      </c>
      <c r="S161" s="57">
        <f t="shared" si="98"/>
        <v>0.94810593851791991</v>
      </c>
      <c r="T161" s="57">
        <v>1.6547570284848628E-2</v>
      </c>
      <c r="U161" s="58">
        <v>-1.6347951626655161E-2</v>
      </c>
      <c r="V161" s="58">
        <f t="shared" si="106"/>
        <v>-0.93666863189136962</v>
      </c>
      <c r="W161" s="58">
        <f t="shared" si="107"/>
        <v>5.6388671509921551E-11</v>
      </c>
      <c r="X161" s="20">
        <f t="shared" si="99"/>
        <v>14</v>
      </c>
    </row>
    <row r="162" spans="6:24" x14ac:dyDescent="0.3">
      <c r="J162" s="17">
        <v>240</v>
      </c>
      <c r="K162" s="15">
        <f t="shared" si="101"/>
        <v>0.70526006464883928</v>
      </c>
      <c r="L162" s="40">
        <f t="shared" si="102"/>
        <v>9152.4815228892166</v>
      </c>
      <c r="M162" s="16">
        <f t="shared" si="96"/>
        <v>-0.99993275161340145</v>
      </c>
      <c r="N162" s="16">
        <f t="shared" si="97"/>
        <v>-0.82480440882995443</v>
      </c>
      <c r="O162" s="16">
        <f t="shared" si="103"/>
        <v>-3.4548133010788673</v>
      </c>
      <c r="P162" s="20">
        <f t="shared" si="104"/>
        <v>-2.6491971418632332</v>
      </c>
      <c r="Q162" s="59">
        <v>15</v>
      </c>
      <c r="R162" s="57">
        <f t="shared" si="105"/>
        <v>-3.032143744349014E-3</v>
      </c>
      <c r="S162" s="57">
        <f t="shared" si="98"/>
        <v>-0.82480440882995443</v>
      </c>
      <c r="T162" s="57">
        <v>-1.4395552619048095E-2</v>
      </c>
      <c r="U162" s="58">
        <v>-1.7452118814180496E-2</v>
      </c>
      <c r="V162" s="58">
        <f t="shared" si="106"/>
        <v>-0.99993275161340145</v>
      </c>
      <c r="W162" s="58">
        <f t="shared" si="107"/>
        <v>-9.8387042271497194E-5</v>
      </c>
      <c r="X162" s="20">
        <f t="shared" si="99"/>
        <v>15</v>
      </c>
    </row>
    <row r="163" spans="6:24" ht="15.6" thickBot="1" x14ac:dyDescent="0.35"/>
    <row r="164" spans="6:24" ht="16.2" thickBot="1" x14ac:dyDescent="0.35">
      <c r="J164" s="146" t="s">
        <v>102</v>
      </c>
      <c r="K164" s="147"/>
      <c r="L164" s="147"/>
      <c r="M164" s="147"/>
      <c r="N164" s="147"/>
      <c r="O164" s="148"/>
    </row>
    <row r="165" spans="6:24" ht="18.600000000000001" thickBot="1" x14ac:dyDescent="0.35">
      <c r="F165" s="49"/>
      <c r="J165" s="50" t="s">
        <v>63</v>
      </c>
      <c r="K165" s="65" t="s">
        <v>53</v>
      </c>
      <c r="L165" s="50" t="s">
        <v>65</v>
      </c>
      <c r="M165" s="50" t="s">
        <v>66</v>
      </c>
      <c r="N165" s="50" t="s">
        <v>84</v>
      </c>
      <c r="O165" s="50" t="s">
        <v>64</v>
      </c>
      <c r="P165" s="20" t="s">
        <v>151</v>
      </c>
      <c r="R165" s="51" t="s">
        <v>85</v>
      </c>
      <c r="S165" s="52" t="s">
        <v>87</v>
      </c>
      <c r="T165" s="52" t="s">
        <v>86</v>
      </c>
      <c r="U165" s="54" t="s">
        <v>86</v>
      </c>
      <c r="V165" s="54" t="s">
        <v>87</v>
      </c>
      <c r="W165" s="53" t="s">
        <v>88</v>
      </c>
    </row>
    <row r="166" spans="6:24" x14ac:dyDescent="0.3">
      <c r="F166" s="49"/>
      <c r="J166" s="44">
        <f>SQRT(2*(C$14+G174)*C$10/C$4/C$15/G170)</f>
        <v>54.997802373144332</v>
      </c>
      <c r="K166" s="63">
        <f>J166/G$173</f>
        <v>0.16538950233831606</v>
      </c>
      <c r="L166" s="55">
        <f>G$171*(1-0.605*K166+0.725*K166^2)</f>
        <v>7626.4859512137027</v>
      </c>
      <c r="M166" s="56">
        <f t="shared" ref="M166:M180" si="108">V166</f>
        <v>10.965961446550329</v>
      </c>
      <c r="N166" s="56">
        <f t="shared" ref="N166:N180" si="109">S166</f>
        <v>6.2960293276450141</v>
      </c>
      <c r="O166" s="56">
        <f>J166*SIN(RADIANS(N166))</f>
        <v>6.0313575382436655</v>
      </c>
      <c r="P166" s="20">
        <f>L166/1000/O166</f>
        <v>1.2644725342272678</v>
      </c>
      <c r="Q166" s="20">
        <v>1</v>
      </c>
      <c r="R166" s="57">
        <f>0.5*G$170*C$4*C$2*(U166-C$5)*J166^2+L166*SIN(U166-C$1)-C$10*(C$14+G$174*(J$180-J166)/(J$180-J$166))*COS(T166)</f>
        <v>-1.2213519949000329E-4</v>
      </c>
      <c r="S166" s="57">
        <f t="shared" ref="S166:S180" si="110">DEGREES(T166)</f>
        <v>6.2960293276450141</v>
      </c>
      <c r="T166" s="57">
        <v>0.10988644156953034</v>
      </c>
      <c r="U166" s="58">
        <v>0.19139213288906343</v>
      </c>
      <c r="V166" s="58">
        <f>DEGREES(U166)</f>
        <v>10.965961446550329</v>
      </c>
      <c r="W166" s="58">
        <f>-0.5*G$170*C$4*J166^2*(C$7+(C$2^2)*(U166-C$5)^2/(PI()*C$6))+L166*COS(U166-C$1)-C$10*(C$14+G$174*(J$180-J166)/(J$180-J$166))*SIN(T166)</f>
        <v>-4.8975960453390144E-5</v>
      </c>
      <c r="X166" s="20">
        <f t="shared" ref="X166:X180" si="111">Q166</f>
        <v>1</v>
      </c>
    </row>
    <row r="167" spans="6:24" x14ac:dyDescent="0.3">
      <c r="F167" s="49"/>
      <c r="J167" s="47">
        <f t="shared" ref="J167:J178" si="112">J$166+Q166*G$176</f>
        <v>68.926530775062588</v>
      </c>
      <c r="K167" s="13">
        <f t="shared" ref="K167:K180" si="113">J167/G$173</f>
        <v>0.20727600251097966</v>
      </c>
      <c r="L167" s="48">
        <f t="shared" ref="L167:L180" si="114">G$171*(1-0.605*K167+0.725*K167^2)</f>
        <v>7510.200039000898</v>
      </c>
      <c r="M167" s="14">
        <f t="shared" si="108"/>
        <v>6.4262789908510189</v>
      </c>
      <c r="N167" s="14">
        <f t="shared" si="109"/>
        <v>7.7329580043155568</v>
      </c>
      <c r="O167" s="14">
        <f t="shared" ref="O167:O180" si="115">J167*SIN(RADIANS(N167))</f>
        <v>9.2744922129408316</v>
      </c>
      <c r="P167" s="20">
        <f t="shared" ref="P167:P180" si="116">L167/1000/O167</f>
        <v>0.80976940478981785</v>
      </c>
      <c r="Q167" s="20">
        <v>2</v>
      </c>
      <c r="R167" s="57">
        <f t="shared" ref="R167:R180" si="117">0.5*G$170*C$4*C$2*(U167-C$5)*J167^2+L167*SIN(U167-C$1)-C$10*(C$14+G$174*(J$180-J167)/(J$180-J$166))*COS(T167)</f>
        <v>1.7228896467713639E-4</v>
      </c>
      <c r="S167" s="57">
        <f t="shared" si="110"/>
        <v>7.7329580043155568</v>
      </c>
      <c r="T167" s="57">
        <v>0.13496557809375634</v>
      </c>
      <c r="U167" s="58">
        <v>0.11215972704208883</v>
      </c>
      <c r="V167" s="58">
        <f t="shared" ref="V167:V180" si="118">DEGREES(U167)</f>
        <v>6.4262789908510189</v>
      </c>
      <c r="W167" s="58">
        <f t="shared" ref="W167:W180" si="119">-0.5*G$170*C$4*J167^2*(C$7+(C$2^2)*(U167-C$5)^2/(PI()*C$6))+L167*COS(U167-C$1)-C$10*(C$14+G$174*(J$180-J167)/(J$180-J$166))*SIN(T167)</f>
        <v>-7.1480745828012004E-4</v>
      </c>
      <c r="X167" s="20">
        <f t="shared" si="111"/>
        <v>2</v>
      </c>
    </row>
    <row r="168" spans="6:24" x14ac:dyDescent="0.3">
      <c r="F168" s="49"/>
      <c r="J168" s="17">
        <f t="shared" si="112"/>
        <v>82.855259176980852</v>
      </c>
      <c r="K168" s="15">
        <f t="shared" si="113"/>
        <v>0.24916250268364329</v>
      </c>
      <c r="L168" s="40">
        <f t="shared" si="114"/>
        <v>7415.0082277217552</v>
      </c>
      <c r="M168" s="16">
        <f t="shared" si="108"/>
        <v>3.9498927223129572</v>
      </c>
      <c r="N168" s="16">
        <f t="shared" si="109"/>
        <v>8.286930205641049</v>
      </c>
      <c r="O168" s="16">
        <f t="shared" si="115"/>
        <v>11.941967909912769</v>
      </c>
      <c r="P168" s="20">
        <f t="shared" si="116"/>
        <v>0.62092012670430285</v>
      </c>
      <c r="Q168" s="59">
        <v>3</v>
      </c>
      <c r="R168" s="57">
        <f>0.5*G$170*C$4*C$2*(U168-C$5)*J168^2+L168*SIN(U168-C$1)-C$10*(C$14+G$174*(J$180-J168)/(J$180-J$166))*COS(T168)</f>
        <v>3.3370175515301526E-5</v>
      </c>
      <c r="S168" s="57">
        <f t="shared" si="110"/>
        <v>8.286930205641049</v>
      </c>
      <c r="T168" s="57">
        <v>0.14463421697140708</v>
      </c>
      <c r="U168" s="58">
        <v>6.8938633104923194E-2</v>
      </c>
      <c r="V168" s="58">
        <f t="shared" si="118"/>
        <v>3.9498927223129572</v>
      </c>
      <c r="W168" s="58">
        <f t="shared" si="119"/>
        <v>-1.9608401817095E-4</v>
      </c>
      <c r="X168" s="20">
        <f t="shared" si="111"/>
        <v>3</v>
      </c>
    </row>
    <row r="169" spans="6:24" x14ac:dyDescent="0.3">
      <c r="F169" s="22" t="s">
        <v>6</v>
      </c>
      <c r="G169" s="22">
        <v>2000</v>
      </c>
      <c r="H169" s="22" t="s">
        <v>3</v>
      </c>
      <c r="J169" s="47">
        <f t="shared" si="112"/>
        <v>96.783987578899115</v>
      </c>
      <c r="K169" s="13">
        <f t="shared" si="113"/>
        <v>0.29104900285630692</v>
      </c>
      <c r="L169" s="48">
        <f t="shared" si="114"/>
        <v>7340.9105173762737</v>
      </c>
      <c r="M169" s="14">
        <f t="shared" si="108"/>
        <v>2.4610393946821176</v>
      </c>
      <c r="N169" s="14">
        <f t="shared" si="109"/>
        <v>8.3866437999952002</v>
      </c>
      <c r="O169" s="14">
        <f t="shared" si="115"/>
        <v>14.116178384878824</v>
      </c>
      <c r="P169" s="20">
        <f t="shared" si="116"/>
        <v>0.52003526147273815</v>
      </c>
      <c r="Q169" s="59">
        <v>4</v>
      </c>
      <c r="R169" s="57">
        <f>0.5*G$170*C$4*C$2*(U169-C$5)*J169^2+L169*SIN(U169-C$1)-C$10*(C$14+G$174*(J$180-J169)/(J$180-J$166))*COS(T169)</f>
        <v>5.2686809794977307E-6</v>
      </c>
      <c r="S169" s="57">
        <f t="shared" si="110"/>
        <v>8.3866437999952002</v>
      </c>
      <c r="T169" s="57">
        <v>0.14637454750188503</v>
      </c>
      <c r="U169" s="58">
        <v>4.2953240458491179E-2</v>
      </c>
      <c r="V169" s="58">
        <f t="shared" si="118"/>
        <v>2.4610393946821176</v>
      </c>
      <c r="W169" s="58">
        <f t="shared" si="119"/>
        <v>-4.2068598304467741E-5</v>
      </c>
      <c r="X169" s="20">
        <f t="shared" si="111"/>
        <v>4</v>
      </c>
    </row>
    <row r="170" spans="6:24" ht="18.600000000000001" x14ac:dyDescent="0.3">
      <c r="F170" s="20" t="s">
        <v>79</v>
      </c>
      <c r="G170" s="20">
        <f>C$9*(1-G169/44300)^4.256</f>
        <v>1.0067546873840096</v>
      </c>
      <c r="H170" s="20" t="s">
        <v>80</v>
      </c>
      <c r="J170" s="17">
        <f t="shared" si="112"/>
        <v>110.71271598081738</v>
      </c>
      <c r="K170" s="15">
        <f t="shared" si="113"/>
        <v>0.33293550302897051</v>
      </c>
      <c r="L170" s="40">
        <f t="shared" si="114"/>
        <v>7287.9069079644514</v>
      </c>
      <c r="M170" s="16">
        <f t="shared" si="108"/>
        <v>1.5003640922396659</v>
      </c>
      <c r="N170" s="16">
        <f t="shared" si="109"/>
        <v>8.2103179103462853</v>
      </c>
      <c r="O170" s="16">
        <f t="shared" si="115"/>
        <v>15.810569850142658</v>
      </c>
      <c r="P170" s="20">
        <f t="shared" si="116"/>
        <v>0.46095156449397007</v>
      </c>
      <c r="Q170" s="59">
        <v>5</v>
      </c>
      <c r="R170" s="57">
        <f t="shared" si="117"/>
        <v>2.355962227738928E-3</v>
      </c>
      <c r="S170" s="57">
        <f t="shared" si="110"/>
        <v>8.2103179103462853</v>
      </c>
      <c r="T170" s="57">
        <v>0.14329708017100329</v>
      </c>
      <c r="U170" s="58">
        <v>2.6186293388278072E-2</v>
      </c>
      <c r="V170" s="58">
        <f t="shared" si="118"/>
        <v>1.5003640922396659</v>
      </c>
      <c r="W170" s="58">
        <f t="shared" si="119"/>
        <v>1.1712736068147933E-4</v>
      </c>
      <c r="X170" s="20">
        <f t="shared" si="111"/>
        <v>5</v>
      </c>
    </row>
    <row r="171" spans="6:24" ht="18.600000000000001" x14ac:dyDescent="0.3">
      <c r="F171" s="20" t="s">
        <v>81</v>
      </c>
      <c r="G171" s="20">
        <f>C$3*(G170/C$9)^0.85</f>
        <v>8291.7245933023369</v>
      </c>
      <c r="H171" s="20" t="s">
        <v>28</v>
      </c>
      <c r="J171" s="47">
        <f t="shared" si="112"/>
        <v>124.64144438273564</v>
      </c>
      <c r="K171" s="13">
        <f t="shared" si="113"/>
        <v>0.37482200320163417</v>
      </c>
      <c r="L171" s="48">
        <f t="shared" si="114"/>
        <v>7255.9973994862921</v>
      </c>
      <c r="M171" s="14">
        <f t="shared" si="108"/>
        <v>0.84646897167180801</v>
      </c>
      <c r="N171" s="14">
        <f t="shared" si="109"/>
        <v>7.8408226597121837</v>
      </c>
      <c r="O171" s="14">
        <f t="shared" si="115"/>
        <v>17.003764787802723</v>
      </c>
      <c r="P171" s="20">
        <f t="shared" si="116"/>
        <v>0.42672887387216873</v>
      </c>
      <c r="Q171" s="59">
        <v>6</v>
      </c>
      <c r="R171" s="57">
        <f t="shared" si="117"/>
        <v>5.8785852161236107E-4</v>
      </c>
      <c r="S171" s="57">
        <f t="shared" si="110"/>
        <v>7.8408226597121837</v>
      </c>
      <c r="T171" s="57">
        <v>0.13684817147695655</v>
      </c>
      <c r="U171" s="58">
        <v>1.477367057164366E-2</v>
      </c>
      <c r="V171" s="58">
        <f t="shared" si="118"/>
        <v>0.84646897167180801</v>
      </c>
      <c r="W171" s="58">
        <f t="shared" si="119"/>
        <v>2.6942979275190737E-5</v>
      </c>
      <c r="X171" s="20">
        <f t="shared" si="111"/>
        <v>6</v>
      </c>
    </row>
    <row r="172" spans="6:24" ht="18.600000000000001" x14ac:dyDescent="0.3">
      <c r="F172" s="20" t="s">
        <v>82</v>
      </c>
      <c r="G172" s="20">
        <f>C$12-6.5*G169/1000</f>
        <v>275.14999999999998</v>
      </c>
      <c r="H172" s="20" t="s">
        <v>56</v>
      </c>
      <c r="J172" s="17">
        <f t="shared" si="112"/>
        <v>138.57017278465389</v>
      </c>
      <c r="K172" s="15">
        <f t="shared" si="113"/>
        <v>0.41670850337429777</v>
      </c>
      <c r="L172" s="40">
        <f t="shared" si="114"/>
        <v>7245.1819919417921</v>
      </c>
      <c r="M172" s="16">
        <f t="shared" si="108"/>
        <v>0.38240740040740423</v>
      </c>
      <c r="N172" s="16">
        <f t="shared" si="109"/>
        <v>7.3194357882925356</v>
      </c>
      <c r="O172" s="16">
        <f t="shared" si="115"/>
        <v>17.653988314402035</v>
      </c>
      <c r="P172" s="20">
        <f t="shared" si="116"/>
        <v>0.41039916096643214</v>
      </c>
      <c r="Q172" s="20">
        <v>7</v>
      </c>
      <c r="R172" s="57">
        <f t="shared" si="117"/>
        <v>1.8442200234858319E-4</v>
      </c>
      <c r="S172" s="57">
        <f t="shared" si="110"/>
        <v>7.3194357882925356</v>
      </c>
      <c r="T172" s="57">
        <v>0.12774825389401137</v>
      </c>
      <c r="U172" s="58">
        <v>6.6742682211015092E-3</v>
      </c>
      <c r="V172" s="58">
        <f t="shared" si="118"/>
        <v>0.38240740040740423</v>
      </c>
      <c r="W172" s="58">
        <f>-0.5*G$170*C$4*J172^2*(C$7+(C$2^2)*(U172-C$5)^2/(PI()*C$6))+L172*COS(U172-C$1)-C$10*(C$14+G$174*(J$180-J172)/(J$180-J$166))*SIN(T172)</f>
        <v>8.1183761722058989E-6</v>
      </c>
      <c r="X172" s="20">
        <f t="shared" si="111"/>
        <v>7</v>
      </c>
    </row>
    <row r="173" spans="6:24" ht="18.600000000000001" x14ac:dyDescent="0.3">
      <c r="F173" s="20" t="s">
        <v>83</v>
      </c>
      <c r="G173" s="20">
        <f>C$11*SQRT(G172/C$12)</f>
        <v>332.53502547363854</v>
      </c>
      <c r="H173" s="20" t="s">
        <v>55</v>
      </c>
      <c r="J173" s="47">
        <f t="shared" si="112"/>
        <v>152.49890118657217</v>
      </c>
      <c r="K173" s="13">
        <f t="shared" si="113"/>
        <v>0.45859500354696142</v>
      </c>
      <c r="L173" s="48">
        <f t="shared" si="114"/>
        <v>7255.4606853309551</v>
      </c>
      <c r="M173" s="14">
        <f t="shared" si="108"/>
        <v>4.1837475028470468E-2</v>
      </c>
      <c r="N173" s="14">
        <f t="shared" si="109"/>
        <v>6.6672300442745804</v>
      </c>
      <c r="O173" s="14">
        <f t="shared" si="115"/>
        <v>17.705531190081363</v>
      </c>
      <c r="P173" s="20">
        <f t="shared" si="116"/>
        <v>0.40978497665155977</v>
      </c>
      <c r="Q173" s="20">
        <v>8</v>
      </c>
      <c r="R173" s="57">
        <f t="shared" si="117"/>
        <v>7.9086687037488446E-5</v>
      </c>
      <c r="S173" s="57">
        <f t="shared" si="110"/>
        <v>6.6672300442745804</v>
      </c>
      <c r="T173" s="57">
        <v>0.11636511626047874</v>
      </c>
      <c r="U173" s="58">
        <v>7.3020168996771803E-4</v>
      </c>
      <c r="V173" s="58">
        <f t="shared" si="118"/>
        <v>4.1837475028470468E-2</v>
      </c>
      <c r="W173" s="58">
        <f t="shared" si="119"/>
        <v>3.4046192922687624E-6</v>
      </c>
      <c r="X173" s="20">
        <f t="shared" si="111"/>
        <v>8</v>
      </c>
    </row>
    <row r="174" spans="6:24" x14ac:dyDescent="0.3">
      <c r="F174" s="20" t="s">
        <v>149</v>
      </c>
      <c r="G174" s="20">
        <f>G156-G157</f>
        <v>972.18748037010982</v>
      </c>
      <c r="H174" s="20" t="s">
        <v>0</v>
      </c>
      <c r="J174" s="17">
        <f t="shared" si="112"/>
        <v>166.42762958849042</v>
      </c>
      <c r="K174" s="15">
        <f t="shared" si="113"/>
        <v>0.50048150371962496</v>
      </c>
      <c r="L174" s="40">
        <f t="shared" si="114"/>
        <v>7286.8334796537783</v>
      </c>
      <c r="M174" s="16">
        <f t="shared" si="108"/>
        <v>-0.21508226389339924</v>
      </c>
      <c r="N174" s="16">
        <f t="shared" si="109"/>
        <v>5.894524669328594</v>
      </c>
      <c r="O174" s="16">
        <f t="shared" si="115"/>
        <v>17.091698158194212</v>
      </c>
      <c r="P174" s="20">
        <f t="shared" si="116"/>
        <v>0.42633759455670456</v>
      </c>
      <c r="Q174" s="59">
        <v>9</v>
      </c>
      <c r="R174" s="57">
        <f t="shared" si="117"/>
        <v>3.006697806995362E-5</v>
      </c>
      <c r="S174" s="57">
        <f t="shared" si="110"/>
        <v>5.894524669328594</v>
      </c>
      <c r="T174" s="57">
        <v>0.10287886331981397</v>
      </c>
      <c r="U174" s="58">
        <v>-3.7538936675831349E-3</v>
      </c>
      <c r="V174" s="58">
        <f t="shared" si="118"/>
        <v>-0.21508226389339924</v>
      </c>
      <c r="W174" s="58">
        <f t="shared" si="119"/>
        <v>1.3260705600259826E-6</v>
      </c>
      <c r="X174" s="20">
        <f t="shared" si="111"/>
        <v>9</v>
      </c>
    </row>
    <row r="175" spans="6:24" x14ac:dyDescent="0.3">
      <c r="F175" s="20" t="s">
        <v>150</v>
      </c>
      <c r="G175" s="20" cm="1">
        <f t="array" ref="G175">C$16*(G187-G169)*MIN(IF(P166:P180&gt;0,P166:P180))</f>
        <v>24.259270617772341</v>
      </c>
      <c r="H175" s="20" t="s">
        <v>0</v>
      </c>
      <c r="J175" s="47">
        <f t="shared" si="112"/>
        <v>180.3563579904087</v>
      </c>
      <c r="K175" s="13">
        <f t="shared" si="113"/>
        <v>0.54236800389228867</v>
      </c>
      <c r="L175" s="48">
        <f t="shared" si="114"/>
        <v>7339.3003749102627</v>
      </c>
      <c r="M175" s="14">
        <f t="shared" si="108"/>
        <v>-0.41341837887006899</v>
      </c>
      <c r="N175" s="14">
        <f t="shared" si="109"/>
        <v>5.0054122852088252</v>
      </c>
      <c r="O175" s="14">
        <f t="shared" si="115"/>
        <v>15.736064297182113</v>
      </c>
      <c r="P175" s="20">
        <f t="shared" si="116"/>
        <v>0.46639999915509528</v>
      </c>
      <c r="Q175" s="59">
        <v>10</v>
      </c>
      <c r="R175" s="57">
        <f>0.5*G$170*C$4*C$2*(U175-C$5)*J175^2+L175*SIN(U175-C$1)-C$10*(C$14+G$174*(J$180-J175)/(J$180-J$166))*COS(T175)</f>
        <v>8.0735480878502131E-7</v>
      </c>
      <c r="S175" s="57">
        <f t="shared" si="110"/>
        <v>5.0054122852088252</v>
      </c>
      <c r="T175" s="57">
        <v>8.7360924796667461E-2</v>
      </c>
      <c r="U175" s="58">
        <v>-7.2155118995400587E-3</v>
      </c>
      <c r="V175" s="58">
        <f t="shared" si="118"/>
        <v>-0.41341837887006899</v>
      </c>
      <c r="W175" s="58">
        <f t="shared" si="119"/>
        <v>2.7425312509876676E-7</v>
      </c>
      <c r="X175" s="20">
        <f t="shared" si="111"/>
        <v>10</v>
      </c>
    </row>
    <row r="176" spans="6:24" x14ac:dyDescent="0.3">
      <c r="F176" s="20" t="s">
        <v>152</v>
      </c>
      <c r="G176" s="20">
        <f>(J180-J166)/Q179</f>
        <v>13.928728401918262</v>
      </c>
      <c r="H176" s="20" t="s">
        <v>55</v>
      </c>
      <c r="J176" s="17">
        <f t="shared" si="112"/>
        <v>194.28508639232695</v>
      </c>
      <c r="K176" s="15">
        <f t="shared" si="113"/>
        <v>0.58425450406495227</v>
      </c>
      <c r="L176" s="40">
        <f t="shared" si="114"/>
        <v>7412.8613711004073</v>
      </c>
      <c r="M176" s="16">
        <f t="shared" si="108"/>
        <v>-0.56956427250345765</v>
      </c>
      <c r="N176" s="16">
        <f t="shared" si="109"/>
        <v>4.0000546080143433</v>
      </c>
      <c r="O176" s="16">
        <f t="shared" si="115"/>
        <v>13.552827247832465</v>
      </c>
      <c r="P176" s="20">
        <f t="shared" si="116"/>
        <v>0.54696051499409204</v>
      </c>
      <c r="Q176" s="59">
        <v>11</v>
      </c>
      <c r="R176" s="57">
        <f t="shared" si="117"/>
        <v>5.1627830544020981E-6</v>
      </c>
      <c r="S176" s="57">
        <f t="shared" si="110"/>
        <v>4.0000546080143433</v>
      </c>
      <c r="T176" s="57">
        <v>6.9814123169421455E-2</v>
      </c>
      <c r="U176" s="58">
        <v>-9.940771856911541E-3</v>
      </c>
      <c r="V176" s="58">
        <f t="shared" si="118"/>
        <v>-0.56956427250345765</v>
      </c>
      <c r="W176" s="58">
        <f t="shared" si="119"/>
        <v>3.1275430956156924E-7</v>
      </c>
      <c r="X176" s="20">
        <f t="shared" si="111"/>
        <v>11</v>
      </c>
    </row>
    <row r="177" spans="6:24" x14ac:dyDescent="0.3">
      <c r="J177" s="47">
        <f t="shared" si="112"/>
        <v>208.21381479424522</v>
      </c>
      <c r="K177" s="13">
        <f t="shared" si="113"/>
        <v>0.62614100423761587</v>
      </c>
      <c r="L177" s="48">
        <f t="shared" si="114"/>
        <v>7507.5164682242139</v>
      </c>
      <c r="M177" s="14">
        <f t="shared" si="108"/>
        <v>-0.69459778893894752</v>
      </c>
      <c r="N177" s="14">
        <f t="shared" si="109"/>
        <v>2.8758835703330257</v>
      </c>
      <c r="O177" s="14">
        <f t="shared" si="115"/>
        <v>10.446620853234647</v>
      </c>
      <c r="P177" s="20">
        <f t="shared" si="116"/>
        <v>0.71865501521476383</v>
      </c>
      <c r="Q177" s="59">
        <v>12</v>
      </c>
      <c r="R177" s="57">
        <f t="shared" si="117"/>
        <v>1.5220975910779089E-6</v>
      </c>
      <c r="S177" s="57">
        <f t="shared" si="110"/>
        <v>2.8758835703330257</v>
      </c>
      <c r="T177" s="57">
        <v>5.0193637206321216E-2</v>
      </c>
      <c r="U177" s="58">
        <v>-1.2123018394057284E-2</v>
      </c>
      <c r="V177" s="58">
        <f t="shared" si="118"/>
        <v>-0.69459778893894752</v>
      </c>
      <c r="W177" s="58">
        <f t="shared" si="119"/>
        <v>6.4276719058398157E-8</v>
      </c>
      <c r="X177" s="20">
        <f t="shared" si="111"/>
        <v>12</v>
      </c>
    </row>
    <row r="178" spans="6:24" x14ac:dyDescent="0.3">
      <c r="J178" s="17">
        <f t="shared" si="112"/>
        <v>222.14254319616347</v>
      </c>
      <c r="K178" s="15">
        <f t="shared" si="113"/>
        <v>0.66802750441027947</v>
      </c>
      <c r="L178" s="40">
        <f t="shared" si="114"/>
        <v>7623.2656662816808</v>
      </c>
      <c r="M178" s="16">
        <f t="shared" si="108"/>
        <v>-0.79621767794834442</v>
      </c>
      <c r="N178" s="16">
        <f t="shared" si="109"/>
        <v>1.6282230671640936</v>
      </c>
      <c r="O178" s="16">
        <f t="shared" si="115"/>
        <v>6.3119646004359042</v>
      </c>
      <c r="P178" s="20">
        <f t="shared" si="116"/>
        <v>1.2077484822641777</v>
      </c>
      <c r="Q178" s="20">
        <v>13</v>
      </c>
      <c r="R178" s="57">
        <f t="shared" si="117"/>
        <v>2.3774919100105762E-7</v>
      </c>
      <c r="S178" s="57">
        <f t="shared" si="110"/>
        <v>1.6282230671640936</v>
      </c>
      <c r="T178" s="57">
        <v>2.8417853478934205E-2</v>
      </c>
      <c r="U178" s="58">
        <v>-1.389662004278246E-2</v>
      </c>
      <c r="V178" s="58">
        <f t="shared" si="118"/>
        <v>-0.79621767794834442</v>
      </c>
      <c r="W178" s="58">
        <f t="shared" si="119"/>
        <v>4.7616595111321658E-9</v>
      </c>
      <c r="X178" s="20">
        <f t="shared" si="111"/>
        <v>13</v>
      </c>
    </row>
    <row r="179" spans="6:24" x14ac:dyDescent="0.3">
      <c r="J179" s="47">
        <f>J$166+Q178*G$176</f>
        <v>236.07127159808175</v>
      </c>
      <c r="K179" s="13">
        <f t="shared" si="113"/>
        <v>0.70991400458294318</v>
      </c>
      <c r="L179" s="48">
        <f t="shared" si="114"/>
        <v>7760.1089652728097</v>
      </c>
      <c r="M179" s="14">
        <f t="shared" si="108"/>
        <v>-0.87990611998924095</v>
      </c>
      <c r="N179" s="14">
        <f t="shared" si="109"/>
        <v>0.25057734083340388</v>
      </c>
      <c r="O179" s="14">
        <f t="shared" si="115"/>
        <v>1.0324307203314493</v>
      </c>
      <c r="P179" s="20">
        <f t="shared" si="116"/>
        <v>7.5163483732656866</v>
      </c>
      <c r="Q179" s="20">
        <v>14</v>
      </c>
      <c r="R179" s="57">
        <f t="shared" si="117"/>
        <v>-2.200249582529068E-8</v>
      </c>
      <c r="S179" s="57">
        <f t="shared" si="110"/>
        <v>0.25057734083340388</v>
      </c>
      <c r="T179" s="57">
        <v>4.3733996284349291E-3</v>
      </c>
      <c r="U179" s="58">
        <v>-1.5357258902260546E-2</v>
      </c>
      <c r="V179" s="58">
        <f t="shared" si="118"/>
        <v>-0.87990611998924095</v>
      </c>
      <c r="W179" s="58">
        <f t="shared" si="119"/>
        <v>-1.1965539670200087E-10</v>
      </c>
      <c r="X179" s="20">
        <f t="shared" si="111"/>
        <v>14</v>
      </c>
    </row>
    <row r="180" spans="6:24" x14ac:dyDescent="0.3">
      <c r="J180" s="17">
        <v>250</v>
      </c>
      <c r="K180" s="15">
        <f t="shared" si="113"/>
        <v>0.75180050475560678</v>
      </c>
      <c r="L180" s="40">
        <f t="shared" si="114"/>
        <v>7918.0463651976006</v>
      </c>
      <c r="M180" s="16">
        <f t="shared" si="108"/>
        <v>-0.94965121954651888</v>
      </c>
      <c r="N180" s="16">
        <f t="shared" si="109"/>
        <v>-1.265294083697446</v>
      </c>
      <c r="O180" s="16">
        <f t="shared" si="115"/>
        <v>-5.5204382120468454</v>
      </c>
      <c r="P180" s="20">
        <f t="shared" si="116"/>
        <v>-1.4343148244859678</v>
      </c>
      <c r="Q180" s="59">
        <v>15</v>
      </c>
      <c r="R180" s="57">
        <f t="shared" si="117"/>
        <v>-1.2362419511191547E-4</v>
      </c>
      <c r="S180" s="57">
        <f t="shared" si="110"/>
        <v>-1.265294083697446</v>
      </c>
      <c r="T180" s="57">
        <v>-2.208354776652514E-2</v>
      </c>
      <c r="U180" s="58">
        <v>-1.6574540526666286E-2</v>
      </c>
      <c r="V180" s="58">
        <f t="shared" si="118"/>
        <v>-0.94965121954651888</v>
      </c>
      <c r="W180" s="58">
        <f t="shared" si="119"/>
        <v>1.9701783458003774E-6</v>
      </c>
      <c r="X180" s="20">
        <f t="shared" si="111"/>
        <v>15</v>
      </c>
    </row>
    <row r="181" spans="6:24" ht="15.6" thickBot="1" x14ac:dyDescent="0.35"/>
    <row r="182" spans="6:24" ht="16.2" thickBot="1" x14ac:dyDescent="0.35">
      <c r="J182" s="146" t="s">
        <v>103</v>
      </c>
      <c r="K182" s="147"/>
      <c r="L182" s="147"/>
      <c r="M182" s="147"/>
      <c r="N182" s="147"/>
      <c r="O182" s="148"/>
    </row>
    <row r="183" spans="6:24" ht="18.600000000000001" thickBot="1" x14ac:dyDescent="0.35">
      <c r="F183" s="49"/>
      <c r="J183" s="50" t="s">
        <v>63</v>
      </c>
      <c r="K183" s="65" t="s">
        <v>53</v>
      </c>
      <c r="L183" s="50" t="s">
        <v>65</v>
      </c>
      <c r="M183" s="50" t="s">
        <v>66</v>
      </c>
      <c r="N183" s="50" t="s">
        <v>84</v>
      </c>
      <c r="O183" s="50" t="s">
        <v>64</v>
      </c>
      <c r="P183" s="20" t="s">
        <v>151</v>
      </c>
      <c r="R183" s="51" t="s">
        <v>85</v>
      </c>
      <c r="S183" s="52" t="s">
        <v>87</v>
      </c>
      <c r="T183" s="52" t="s">
        <v>86</v>
      </c>
      <c r="U183" s="54" t="s">
        <v>86</v>
      </c>
      <c r="V183" s="54" t="s">
        <v>87</v>
      </c>
      <c r="W183" s="53" t="s">
        <v>88</v>
      </c>
    </row>
    <row r="184" spans="6:24" x14ac:dyDescent="0.3">
      <c r="F184" s="49"/>
      <c r="J184" s="44">
        <f>SQRT(2*(C$14+G192)*C$10/C$4/C$15/G188)</f>
        <v>60.774822867479457</v>
      </c>
      <c r="K184" s="63">
        <f>J184/G$191</f>
        <v>0.1872389226449544</v>
      </c>
      <c r="L184" s="55">
        <f>G$189*(1-0.605*K184+0.725*K184^2)</f>
        <v>6347.5765252344036</v>
      </c>
      <c r="M184" s="56">
        <f t="shared" ref="M184:M198" si="120">V184</f>
        <v>11.076680196177048</v>
      </c>
      <c r="N184" s="56">
        <f t="shared" ref="N184:N198" si="121">S184</f>
        <v>4.3352519858762006</v>
      </c>
      <c r="O184" s="56">
        <f>J184*SIN(RADIANS(N184))</f>
        <v>4.5941052352232363</v>
      </c>
      <c r="P184" s="20">
        <f>L184/1000/O184</f>
        <v>1.3816785206762821</v>
      </c>
      <c r="Q184" s="20">
        <v>1</v>
      </c>
      <c r="R184" s="57">
        <f>0.5*G$188*C$4*C$2*(U184-C$5)*J184^2+L184*SIN(U184-C$1)-C$10*(C$14+G$192*(J$198-J184)/(J$198-J$184))*COS(T184)</f>
        <v>5.8827814791584387E-4</v>
      </c>
      <c r="S184" s="57">
        <f t="shared" ref="S184:S198" si="122">DEGREES(T184)</f>
        <v>4.3352519858762006</v>
      </c>
      <c r="T184" s="57">
        <v>7.5664421057162409E-2</v>
      </c>
      <c r="U184" s="58">
        <v>0.19332453961374088</v>
      </c>
      <c r="V184" s="58">
        <f>DEGREES(U184)</f>
        <v>11.076680196177048</v>
      </c>
      <c r="W184" s="58">
        <f>-0.5*G$188*C$4*J184^2*(C$7+(C$2^2)*(U184-C$5)^2/(PI()*C$6))+L184*COS(U184-C$1)-C$10*(C$14+G$192*(J$198-J184)/(J$198-J$184))*SIN(T184)</f>
        <v>1.3568752456194488E-4</v>
      </c>
      <c r="X184" s="20">
        <f t="shared" ref="X184:X198" si="123">Q184</f>
        <v>1</v>
      </c>
    </row>
    <row r="185" spans="6:24" x14ac:dyDescent="0.3">
      <c r="F185" s="49"/>
      <c r="J185" s="47">
        <f t="shared" ref="J185:J196" si="124">J$184+Q184*G$194</f>
        <v>74.290906948373788</v>
      </c>
      <c r="K185" s="13">
        <f t="shared" ref="K185:K198" si="125">J185/G$191</f>
        <v>0.22888013034050933</v>
      </c>
      <c r="L185" s="48">
        <f t="shared" ref="L185:L198" si="126">G$189*(1-0.605*K185+0.725*K185^2)</f>
        <v>6259.6817995846741</v>
      </c>
      <c r="M185" s="14">
        <f t="shared" si="120"/>
        <v>6.8807668068570873</v>
      </c>
      <c r="N185" s="14">
        <f t="shared" si="121"/>
        <v>5.6886707058220987</v>
      </c>
      <c r="O185" s="14">
        <f t="shared" ref="O185:O198" si="127">J185*SIN(RADIANS(N185))</f>
        <v>7.3639369749192412</v>
      </c>
      <c r="P185" s="20">
        <f t="shared" ref="P185:P198" si="128">L185/1000/O185</f>
        <v>0.85004554233753793</v>
      </c>
      <c r="Q185" s="20">
        <v>2</v>
      </c>
      <c r="R185" s="57">
        <f t="shared" ref="R185:R198" si="129">0.5*G$188*C$4*C$2*(U185-C$5)*J185^2+L185*SIN(U185-C$1)-C$10*(C$14+G$192*(J$198-J185)/(J$198-J$184))*COS(T185)</f>
        <v>1.2331525067565963E-4</v>
      </c>
      <c r="S185" s="57">
        <f t="shared" si="122"/>
        <v>5.6886707058220987</v>
      </c>
      <c r="T185" s="57">
        <v>9.9286033878345378E-2</v>
      </c>
      <c r="U185" s="58">
        <v>0.12009203584159291</v>
      </c>
      <c r="V185" s="58">
        <f t="shared" ref="V185:V198" si="130">DEGREES(U185)</f>
        <v>6.8807668068570873</v>
      </c>
      <c r="W185" s="58">
        <f t="shared" ref="W185:W198" si="131">-0.5*G$188*C$4*J185^2*(C$7+(C$2^2)*(U185-C$5)^2/(PI()*C$6))+L185*COS(U185-C$1)-C$10*(C$14+G$192*(J$198-J185)/(J$198-J$184))*SIN(T185)</f>
        <v>-4.9011550208888366E-4</v>
      </c>
      <c r="X185" s="20">
        <f t="shared" si="123"/>
        <v>2</v>
      </c>
    </row>
    <row r="186" spans="6:24" x14ac:dyDescent="0.3">
      <c r="F186" s="49"/>
      <c r="J186" s="17">
        <f t="shared" si="124"/>
        <v>87.806991029268104</v>
      </c>
      <c r="K186" s="15">
        <f t="shared" si="125"/>
        <v>0.27052133803606421</v>
      </c>
      <c r="L186" s="40">
        <f t="shared" si="126"/>
        <v>6189.2840148828554</v>
      </c>
      <c r="M186" s="16">
        <f t="shared" si="120"/>
        <v>4.4501336679133434</v>
      </c>
      <c r="N186" s="16">
        <f t="shared" si="121"/>
        <v>6.2970631803409027</v>
      </c>
      <c r="O186" s="16">
        <f t="shared" si="127"/>
        <v>9.6309660989828672</v>
      </c>
      <c r="P186" s="20">
        <f t="shared" si="128"/>
        <v>0.6426441492236703</v>
      </c>
      <c r="Q186" s="59">
        <v>3</v>
      </c>
      <c r="R186" s="57">
        <f t="shared" si="129"/>
        <v>0</v>
      </c>
      <c r="S186" s="57">
        <f t="shared" si="122"/>
        <v>6.2970631803409027</v>
      </c>
      <c r="T186" s="57">
        <v>0.10990448570305422</v>
      </c>
      <c r="U186" s="58">
        <v>7.7669484658939775E-2</v>
      </c>
      <c r="V186" s="58">
        <f t="shared" si="130"/>
        <v>4.4501336679133434</v>
      </c>
      <c r="W186" s="58">
        <f t="shared" si="131"/>
        <v>0</v>
      </c>
      <c r="X186" s="20">
        <f t="shared" si="123"/>
        <v>3</v>
      </c>
    </row>
    <row r="187" spans="6:24" x14ac:dyDescent="0.3">
      <c r="F187" s="22" t="s">
        <v>6</v>
      </c>
      <c r="G187" s="22">
        <v>4000</v>
      </c>
      <c r="H187" s="22" t="s">
        <v>3</v>
      </c>
      <c r="J187" s="47">
        <f t="shared" si="124"/>
        <v>101.32307511016243</v>
      </c>
      <c r="K187" s="13">
        <f t="shared" si="125"/>
        <v>0.31216254573161911</v>
      </c>
      <c r="L187" s="48">
        <f t="shared" si="126"/>
        <v>6136.3831711289467</v>
      </c>
      <c r="M187" s="14">
        <f t="shared" si="120"/>
        <v>2.9250299849744197</v>
      </c>
      <c r="N187" s="14">
        <f t="shared" si="121"/>
        <v>6.5009310987434752</v>
      </c>
      <c r="O187" s="14">
        <f t="shared" si="127"/>
        <v>11.471733720203598</v>
      </c>
      <c r="P187" s="20">
        <f t="shared" si="128"/>
        <v>0.53491332006092274</v>
      </c>
      <c r="Q187" s="59">
        <v>4</v>
      </c>
      <c r="R187" s="57">
        <f t="shared" si="129"/>
        <v>4.0425293263979256E-6</v>
      </c>
      <c r="S187" s="57">
        <f t="shared" si="122"/>
        <v>6.5009310987434752</v>
      </c>
      <c r="T187" s="57">
        <v>0.11346265211836624</v>
      </c>
      <c r="U187" s="58">
        <v>5.1051403957363892E-2</v>
      </c>
      <c r="V187" s="58">
        <f t="shared" si="130"/>
        <v>2.9250299849744197</v>
      </c>
      <c r="W187" s="58">
        <f t="shared" si="131"/>
        <v>-3.0012276965862839E-5</v>
      </c>
      <c r="X187" s="20">
        <f t="shared" si="123"/>
        <v>4</v>
      </c>
    </row>
    <row r="188" spans="6:24" ht="18.600000000000001" x14ac:dyDescent="0.3">
      <c r="F188" s="20" t="s">
        <v>79</v>
      </c>
      <c r="G188" s="20">
        <f>C$9*(1-G187/44300)^4.256</f>
        <v>0.81921393881961735</v>
      </c>
      <c r="H188" s="20" t="s">
        <v>80</v>
      </c>
      <c r="J188" s="17">
        <f t="shared" si="124"/>
        <v>114.83915919105675</v>
      </c>
      <c r="K188" s="15">
        <f t="shared" si="125"/>
        <v>0.35380375342717402</v>
      </c>
      <c r="L188" s="40">
        <f t="shared" si="126"/>
        <v>6100.9792683229471</v>
      </c>
      <c r="M188" s="16">
        <f t="shared" si="120"/>
        <v>1.9091857046101051</v>
      </c>
      <c r="N188" s="16">
        <f t="shared" si="121"/>
        <v>6.4540371593229766</v>
      </c>
      <c r="O188" s="16">
        <f t="shared" si="127"/>
        <v>12.908625595070941</v>
      </c>
      <c r="P188" s="20">
        <f t="shared" si="128"/>
        <v>0.47262810617518869</v>
      </c>
      <c r="Q188" s="59">
        <v>5</v>
      </c>
      <c r="R188" s="57">
        <f t="shared" si="129"/>
        <v>2.4432155696558766E-3</v>
      </c>
      <c r="S188" s="57">
        <f t="shared" si="122"/>
        <v>6.4540371593229766</v>
      </c>
      <c r="T188" s="57">
        <v>0.11264419847624778</v>
      </c>
      <c r="U188" s="58">
        <v>3.3321576577454215E-2</v>
      </c>
      <c r="V188" s="58">
        <f t="shared" si="130"/>
        <v>1.9091857046101051</v>
      </c>
      <c r="W188" s="58">
        <f t="shared" si="131"/>
        <v>1.2902542175652343E-4</v>
      </c>
      <c r="X188" s="20">
        <f t="shared" si="123"/>
        <v>5</v>
      </c>
    </row>
    <row r="189" spans="6:24" ht="18.600000000000001" x14ac:dyDescent="0.3">
      <c r="F189" s="20" t="s">
        <v>81</v>
      </c>
      <c r="G189" s="20">
        <f>C$3*(G188/C$9)^0.85</f>
        <v>6959.0104816317789</v>
      </c>
      <c r="H189" s="20" t="s">
        <v>28</v>
      </c>
      <c r="J189" s="47">
        <f t="shared" si="124"/>
        <v>128.35524327195108</v>
      </c>
      <c r="K189" s="13">
        <f t="shared" si="125"/>
        <v>0.39544496112272892</v>
      </c>
      <c r="L189" s="48">
        <f t="shared" si="126"/>
        <v>6083.07230646486</v>
      </c>
      <c r="M189" s="14">
        <f t="shared" si="120"/>
        <v>1.2005754182836241</v>
      </c>
      <c r="N189" s="14">
        <f t="shared" si="121"/>
        <v>6.2326242033885793</v>
      </c>
      <c r="O189" s="14">
        <f t="shared" si="127"/>
        <v>13.934939289695631</v>
      </c>
      <c r="P189" s="20">
        <f t="shared" si="128"/>
        <v>0.43653382192795526</v>
      </c>
      <c r="Q189" s="59">
        <v>6</v>
      </c>
      <c r="R189" s="57">
        <f t="shared" si="129"/>
        <v>1.0012022466980852E-3</v>
      </c>
      <c r="S189" s="57">
        <f t="shared" si="122"/>
        <v>6.2326242033885793</v>
      </c>
      <c r="T189" s="57">
        <v>0.10877981338861943</v>
      </c>
      <c r="U189" s="58">
        <v>2.0953993967557372E-2</v>
      </c>
      <c r="V189" s="58">
        <f t="shared" si="130"/>
        <v>1.2005754182836241</v>
      </c>
      <c r="W189" s="58">
        <f>-0.5*G$188*C$4*J189^2*(C$7+(C$2^2)*(U189-C$5)^2/(PI()*C$6))+L189*COS(U189-C$1)-C$10*(C$14+G$192*(J$198-J189)/(J$198-J$184))*SIN(T189)</f>
        <v>4.5257931105879834E-5</v>
      </c>
      <c r="X189" s="20">
        <f t="shared" si="123"/>
        <v>6</v>
      </c>
    </row>
    <row r="190" spans="6:24" ht="18.600000000000001" x14ac:dyDescent="0.3">
      <c r="F190" s="20" t="s">
        <v>82</v>
      </c>
      <c r="G190" s="20">
        <f>C$12-6.5*G187/1000</f>
        <v>262.14999999999998</v>
      </c>
      <c r="H190" s="20" t="s">
        <v>56</v>
      </c>
      <c r="J190" s="17">
        <f t="shared" si="124"/>
        <v>141.87132735284541</v>
      </c>
      <c r="K190" s="15">
        <f t="shared" si="125"/>
        <v>0.43708616881828388</v>
      </c>
      <c r="L190" s="40">
        <f t="shared" si="126"/>
        <v>6082.6622855546802</v>
      </c>
      <c r="M190" s="16">
        <f t="shared" si="120"/>
        <v>0.68780831060155467</v>
      </c>
      <c r="N190" s="16">
        <f t="shared" si="121"/>
        <v>5.8769301592532965</v>
      </c>
      <c r="O190" s="16">
        <f t="shared" si="127"/>
        <v>14.526491315183527</v>
      </c>
      <c r="P190" s="20">
        <f t="shared" si="128"/>
        <v>0.41872893829474833</v>
      </c>
      <c r="Q190" s="20">
        <v>7</v>
      </c>
      <c r="R190" s="57">
        <f t="shared" si="129"/>
        <v>3.2475763146067038E-4</v>
      </c>
      <c r="S190" s="57">
        <f t="shared" si="122"/>
        <v>5.8769301592532965</v>
      </c>
      <c r="T190" s="57">
        <v>0.10257178118872472</v>
      </c>
      <c r="U190" s="58">
        <v>1.2004519642576948E-2</v>
      </c>
      <c r="V190" s="58">
        <f t="shared" si="130"/>
        <v>0.68780831060155467</v>
      </c>
      <c r="W190" s="58">
        <f t="shared" si="131"/>
        <v>1.403133683197666E-5</v>
      </c>
      <c r="X190" s="20">
        <f t="shared" si="123"/>
        <v>7</v>
      </c>
    </row>
    <row r="191" spans="6:24" ht="18.600000000000001" x14ac:dyDescent="0.3">
      <c r="F191" s="20" t="s">
        <v>83</v>
      </c>
      <c r="G191" s="20">
        <f>C$11*SQRT(G190/C$12)</f>
        <v>324.58434394392293</v>
      </c>
      <c r="H191" s="20" t="s">
        <v>55</v>
      </c>
      <c r="J191" s="47">
        <f t="shared" si="124"/>
        <v>155.38741143373971</v>
      </c>
      <c r="K191" s="13">
        <f t="shared" si="125"/>
        <v>0.47872737651383868</v>
      </c>
      <c r="L191" s="48">
        <f t="shared" si="126"/>
        <v>6099.7492055924122</v>
      </c>
      <c r="M191" s="14">
        <f t="shared" si="120"/>
        <v>0.30552080202177606</v>
      </c>
      <c r="N191" s="14">
        <f t="shared" si="121"/>
        <v>5.4088801185306981</v>
      </c>
      <c r="O191" s="14">
        <f t="shared" si="127"/>
        <v>14.647223220020457</v>
      </c>
      <c r="P191" s="20">
        <f t="shared" si="128"/>
        <v>0.4164440668354813</v>
      </c>
      <c r="Q191" s="20">
        <v>8</v>
      </c>
      <c r="R191" s="57">
        <f t="shared" si="129"/>
        <v>9.356584632769227E-5</v>
      </c>
      <c r="S191" s="57">
        <f t="shared" si="122"/>
        <v>5.4088801185306981</v>
      </c>
      <c r="T191" s="57">
        <v>9.4402766914021843E-2</v>
      </c>
      <c r="U191" s="58">
        <v>5.3323439286137404E-3</v>
      </c>
      <c r="V191" s="58">
        <f t="shared" si="130"/>
        <v>0.30552080202177606</v>
      </c>
      <c r="W191" s="58">
        <f t="shared" si="131"/>
        <v>4.4028934098605532E-6</v>
      </c>
      <c r="X191" s="20">
        <f t="shared" si="123"/>
        <v>8</v>
      </c>
    </row>
    <row r="192" spans="6:24" x14ac:dyDescent="0.3">
      <c r="F192" s="20" t="s">
        <v>149</v>
      </c>
      <c r="G192" s="20">
        <f>G174-G175</f>
        <v>947.92820975233747</v>
      </c>
      <c r="H192" s="20" t="s">
        <v>0</v>
      </c>
      <c r="J192" s="17">
        <f t="shared" si="124"/>
        <v>168.90349551463407</v>
      </c>
      <c r="K192" s="15">
        <f t="shared" si="125"/>
        <v>0.52036858420939369</v>
      </c>
      <c r="L192" s="40">
        <f t="shared" si="126"/>
        <v>6134.3330665780522</v>
      </c>
      <c r="M192" s="16">
        <f t="shared" si="120"/>
        <v>1.337074220601738E-2</v>
      </c>
      <c r="N192" s="16">
        <f t="shared" si="121"/>
        <v>4.8403347652994428</v>
      </c>
      <c r="O192" s="16">
        <f t="shared" si="127"/>
        <v>14.251963458480866</v>
      </c>
      <c r="P192" s="20">
        <f t="shared" si="128"/>
        <v>0.43042020732432601</v>
      </c>
      <c r="Q192" s="59">
        <v>9</v>
      </c>
      <c r="R192" s="57">
        <f t="shared" si="129"/>
        <v>8.3241175161674619E-6</v>
      </c>
      <c r="S192" s="57">
        <f t="shared" si="122"/>
        <v>4.8403347652994428</v>
      </c>
      <c r="T192" s="57">
        <v>8.4479778553222251E-2</v>
      </c>
      <c r="U192" s="58">
        <v>2.3336347493037326E-4</v>
      </c>
      <c r="V192" s="58">
        <f t="shared" si="130"/>
        <v>1.337074220601738E-2</v>
      </c>
      <c r="W192" s="58">
        <f t="shared" si="131"/>
        <v>1.2740447346004657E-6</v>
      </c>
      <c r="X192" s="20">
        <f t="shared" si="123"/>
        <v>9</v>
      </c>
    </row>
    <row r="193" spans="6:24" x14ac:dyDescent="0.3">
      <c r="F193" s="20" t="s">
        <v>150</v>
      </c>
      <c r="G193" s="20" cm="1">
        <f t="array" ref="G193">C$16*(G205-G187)*MIN(IF(P184:P198&gt;0,P184:P198))</f>
        <v>24.653488756660494</v>
      </c>
      <c r="H193" s="20" t="s">
        <v>0</v>
      </c>
      <c r="J193" s="47">
        <f t="shared" si="124"/>
        <v>182.41957959552838</v>
      </c>
      <c r="K193" s="13">
        <f t="shared" si="125"/>
        <v>0.5620097919049486</v>
      </c>
      <c r="L193" s="48">
        <f t="shared" si="126"/>
        <v>6186.413868511605</v>
      </c>
      <c r="M193" s="14">
        <f t="shared" si="120"/>
        <v>-0.21460276597560071</v>
      </c>
      <c r="N193" s="14">
        <f t="shared" si="121"/>
        <v>4.1772218490054129</v>
      </c>
      <c r="O193" s="14">
        <f t="shared" si="127"/>
        <v>13.28775325013026</v>
      </c>
      <c r="P193" s="20">
        <f t="shared" si="128"/>
        <v>0.46557260298696163</v>
      </c>
      <c r="Q193" s="59">
        <v>10</v>
      </c>
      <c r="R193" s="57">
        <f t="shared" si="129"/>
        <v>4.4014268496539444E-6</v>
      </c>
      <c r="S193" s="57">
        <f t="shared" si="122"/>
        <v>4.1772218490054129</v>
      </c>
      <c r="T193" s="57">
        <v>7.2906274851389868E-2</v>
      </c>
      <c r="U193" s="58">
        <v>-3.7455248501610935E-3</v>
      </c>
      <c r="V193" s="58">
        <f t="shared" si="130"/>
        <v>-0.21460276597560071</v>
      </c>
      <c r="W193" s="58">
        <f t="shared" si="131"/>
        <v>5.8437672123545781E-7</v>
      </c>
      <c r="X193" s="20">
        <f t="shared" si="123"/>
        <v>10</v>
      </c>
    </row>
    <row r="194" spans="6:24" x14ac:dyDescent="0.3">
      <c r="F194" s="20" t="s">
        <v>152</v>
      </c>
      <c r="G194" s="20">
        <f>(J198-J184)/Q197</f>
        <v>13.516084080894325</v>
      </c>
      <c r="H194" s="20" t="s">
        <v>55</v>
      </c>
      <c r="J194" s="17">
        <f t="shared" si="124"/>
        <v>195.93566367642271</v>
      </c>
      <c r="K194" s="15">
        <f t="shared" si="125"/>
        <v>0.6036509996005035</v>
      </c>
      <c r="L194" s="40">
        <f t="shared" si="126"/>
        <v>6255.9916113930658</v>
      </c>
      <c r="M194" s="16">
        <f t="shared" si="120"/>
        <v>-0.39570261493055675</v>
      </c>
      <c r="N194" s="16">
        <f t="shared" si="121"/>
        <v>3.4217215401771606</v>
      </c>
      <c r="O194" s="16">
        <f t="shared" si="127"/>
        <v>11.694383720202119</v>
      </c>
      <c r="P194" s="20">
        <f t="shared" si="128"/>
        <v>0.53495692984537546</v>
      </c>
      <c r="Q194" s="59">
        <v>11</v>
      </c>
      <c r="R194" s="57">
        <f t="shared" si="129"/>
        <v>2.7455680537968874E-6</v>
      </c>
      <c r="S194" s="57">
        <f t="shared" si="122"/>
        <v>3.4217215401771606</v>
      </c>
      <c r="T194" s="57">
        <v>5.9720306962502891E-2</v>
      </c>
      <c r="U194" s="58">
        <v>-6.9063134892894881E-3</v>
      </c>
      <c r="V194" s="58">
        <f t="shared" si="130"/>
        <v>-0.39570261493055675</v>
      </c>
      <c r="W194" s="58">
        <f t="shared" si="131"/>
        <v>1.5022555999166798E-7</v>
      </c>
      <c r="X194" s="20">
        <f t="shared" si="123"/>
        <v>11</v>
      </c>
    </row>
    <row r="195" spans="6:24" x14ac:dyDescent="0.3">
      <c r="J195" s="47">
        <f t="shared" si="124"/>
        <v>209.45174775731704</v>
      </c>
      <c r="K195" s="13">
        <f t="shared" si="125"/>
        <v>0.64529220729605841</v>
      </c>
      <c r="L195" s="48">
        <f t="shared" si="126"/>
        <v>6343.0662952224357</v>
      </c>
      <c r="M195" s="14">
        <f t="shared" si="120"/>
        <v>-0.54181107436432374</v>
      </c>
      <c r="N195" s="14">
        <f t="shared" si="121"/>
        <v>2.5734667279888623</v>
      </c>
      <c r="O195" s="14">
        <f t="shared" si="127"/>
        <v>9.4044603526430546</v>
      </c>
      <c r="P195" s="20">
        <f t="shared" si="128"/>
        <v>0.67447424491930186</v>
      </c>
      <c r="Q195" s="59">
        <v>12</v>
      </c>
      <c r="R195" s="57">
        <f t="shared" si="129"/>
        <v>1.5249752323143184E-6</v>
      </c>
      <c r="S195" s="57">
        <f t="shared" si="122"/>
        <v>2.5734667279888623</v>
      </c>
      <c r="T195" s="57">
        <v>4.4915467593930961E-2</v>
      </c>
      <c r="U195" s="58">
        <v>-9.4563871714252925E-3</v>
      </c>
      <c r="V195" s="58">
        <f t="shared" si="130"/>
        <v>-0.54181107436432374</v>
      </c>
      <c r="W195" s="58">
        <f t="shared" si="131"/>
        <v>5.4397105486714281E-8</v>
      </c>
      <c r="X195" s="20">
        <f t="shared" si="123"/>
        <v>12</v>
      </c>
    </row>
    <row r="196" spans="6:24" x14ac:dyDescent="0.3">
      <c r="J196" s="17">
        <f t="shared" si="124"/>
        <v>222.96783183821137</v>
      </c>
      <c r="K196" s="15">
        <f t="shared" si="125"/>
        <v>0.68693341499161331</v>
      </c>
      <c r="L196" s="40">
        <f t="shared" si="126"/>
        <v>6447.6379199997173</v>
      </c>
      <c r="M196" s="16">
        <f t="shared" si="120"/>
        <v>-0.6613010339004205</v>
      </c>
      <c r="N196" s="16">
        <f t="shared" si="121"/>
        <v>1.6302127105355193</v>
      </c>
      <c r="O196" s="16">
        <f t="shared" si="127"/>
        <v>6.3431539881021051</v>
      </c>
      <c r="P196" s="20">
        <f t="shared" si="128"/>
        <v>1.0164719210811519</v>
      </c>
      <c r="Q196" s="20">
        <v>13</v>
      </c>
      <c r="R196" s="57">
        <f t="shared" si="129"/>
        <v>-5.3427356760948896E-8</v>
      </c>
      <c r="S196" s="57">
        <f t="shared" si="122"/>
        <v>1.6302127105355193</v>
      </c>
      <c r="T196" s="57">
        <v>2.8452579306706062E-2</v>
      </c>
      <c r="U196" s="58">
        <v>-1.1541880388404976E-2</v>
      </c>
      <c r="V196" s="58">
        <f t="shared" si="130"/>
        <v>-0.6613010339004205</v>
      </c>
      <c r="W196" s="58">
        <f t="shared" si="131"/>
        <v>-1.700982465990819E-9</v>
      </c>
      <c r="X196" s="20">
        <f t="shared" si="123"/>
        <v>13</v>
      </c>
    </row>
    <row r="197" spans="6:24" x14ac:dyDescent="0.3">
      <c r="J197" s="47">
        <f>J$184+Q196*G$194</f>
        <v>236.4839159191057</v>
      </c>
      <c r="K197" s="13">
        <f t="shared" si="125"/>
        <v>0.72857462268716822</v>
      </c>
      <c r="L197" s="48">
        <f t="shared" si="126"/>
        <v>6569.7064857249079</v>
      </c>
      <c r="M197" s="14">
        <f t="shared" si="120"/>
        <v>-0.76020657762458255</v>
      </c>
      <c r="N197" s="14">
        <f t="shared" si="121"/>
        <v>0.58820265120793103</v>
      </c>
      <c r="O197" s="14">
        <f t="shared" si="127"/>
        <v>2.4277184838864638</v>
      </c>
      <c r="P197" s="20">
        <f t="shared" si="128"/>
        <v>2.7061236833389581</v>
      </c>
      <c r="Q197" s="20">
        <v>14</v>
      </c>
      <c r="R197" s="57">
        <f t="shared" si="129"/>
        <v>-3.5324774216860533E-9</v>
      </c>
      <c r="S197" s="57">
        <f t="shared" si="122"/>
        <v>0.58820265120793103</v>
      </c>
      <c r="T197" s="57">
        <v>1.0266072932538197E-2</v>
      </c>
      <c r="U197" s="58">
        <v>-1.3268107774866819E-2</v>
      </c>
      <c r="V197" s="58">
        <f t="shared" si="130"/>
        <v>-0.76020657762458255</v>
      </c>
      <c r="W197" s="58">
        <f t="shared" si="131"/>
        <v>-1.1186784831807017E-10</v>
      </c>
      <c r="X197" s="20">
        <f t="shared" si="123"/>
        <v>14</v>
      </c>
    </row>
    <row r="198" spans="6:24" x14ac:dyDescent="0.3">
      <c r="J198" s="17">
        <v>250</v>
      </c>
      <c r="K198" s="15">
        <f t="shared" si="125"/>
        <v>0.77021583038272312</v>
      </c>
      <c r="L198" s="40">
        <f t="shared" si="126"/>
        <v>6709.2719923980094</v>
      </c>
      <c r="M198" s="16">
        <f t="shared" si="120"/>
        <v>-0.84296319757659366</v>
      </c>
      <c r="N198" s="16">
        <f t="shared" si="121"/>
        <v>-0.55765422757862571</v>
      </c>
      <c r="O198" s="16">
        <f t="shared" si="127"/>
        <v>-2.4331871735815236</v>
      </c>
      <c r="P198" s="20">
        <f t="shared" si="128"/>
        <v>-2.7574006904377657</v>
      </c>
      <c r="Q198" s="59">
        <v>15</v>
      </c>
      <c r="R198" s="57">
        <f t="shared" si="129"/>
        <v>-7.7611839515157044E-6</v>
      </c>
      <c r="S198" s="57">
        <f t="shared" si="122"/>
        <v>-0.55765422757862571</v>
      </c>
      <c r="T198" s="57">
        <v>-9.7329023589127848E-3</v>
      </c>
      <c r="U198" s="58">
        <v>-1.4712483270851045E-2</v>
      </c>
      <c r="V198" s="58">
        <f t="shared" si="130"/>
        <v>-0.84296319757659366</v>
      </c>
      <c r="W198" s="58">
        <f t="shared" si="131"/>
        <v>6.6402662923792377E-8</v>
      </c>
      <c r="X198" s="20">
        <f t="shared" si="123"/>
        <v>15</v>
      </c>
    </row>
    <row r="199" spans="6:24" ht="15.6" thickBot="1" x14ac:dyDescent="0.35"/>
    <row r="200" spans="6:24" ht="16.2" thickBot="1" x14ac:dyDescent="0.35">
      <c r="J200" s="146" t="s">
        <v>104</v>
      </c>
      <c r="K200" s="147"/>
      <c r="L200" s="147"/>
      <c r="M200" s="147"/>
      <c r="N200" s="147"/>
      <c r="O200" s="148"/>
    </row>
    <row r="201" spans="6:24" ht="18.600000000000001" thickBot="1" x14ac:dyDescent="0.35">
      <c r="F201" s="49"/>
      <c r="J201" s="50" t="s">
        <v>63</v>
      </c>
      <c r="K201" s="65" t="s">
        <v>53</v>
      </c>
      <c r="L201" s="50" t="s">
        <v>65</v>
      </c>
      <c r="M201" s="50" t="s">
        <v>66</v>
      </c>
      <c r="N201" s="50" t="s">
        <v>84</v>
      </c>
      <c r="O201" s="50" t="s">
        <v>64</v>
      </c>
      <c r="P201" s="20" t="s">
        <v>151</v>
      </c>
      <c r="R201" s="51" t="s">
        <v>85</v>
      </c>
      <c r="S201" s="52" t="s">
        <v>87</v>
      </c>
      <c r="T201" s="52" t="s">
        <v>86</v>
      </c>
      <c r="U201" s="54" t="s">
        <v>86</v>
      </c>
      <c r="V201" s="54" t="s">
        <v>87</v>
      </c>
      <c r="W201" s="53" t="s">
        <v>88</v>
      </c>
    </row>
    <row r="202" spans="6:24" x14ac:dyDescent="0.3">
      <c r="F202" s="49"/>
      <c r="J202" s="44">
        <f>SQRT(2*(C$14+G210)*C$10/C$4/C$15/G206)</f>
        <v>67.507098382792009</v>
      </c>
      <c r="K202" s="63">
        <f>J202/G$209</f>
        <v>0.21333708588756956</v>
      </c>
      <c r="L202" s="55">
        <f>G$207*(1-0.605*K202+0.725*K202^2)</f>
        <v>5232.5040565013296</v>
      </c>
      <c r="M202" s="56">
        <f t="shared" ref="M202:M216" si="132">V202</f>
        <v>11.163041695569946</v>
      </c>
      <c r="N202" s="56">
        <f t="shared" ref="N202:N216" si="133">S202</f>
        <v>2.6260426738960372</v>
      </c>
      <c r="O202" s="56">
        <f>J202*SIN(RADIANS(N202))</f>
        <v>3.0929758269251808</v>
      </c>
      <c r="P202" s="20">
        <f>L202/1000/O202</f>
        <v>1.6917377791804851</v>
      </c>
      <c r="Q202" s="20">
        <v>1</v>
      </c>
      <c r="R202" s="57">
        <f>0.5*G$206*C$4*C$2*(U202-C$5)*J202^2+L202*SIN(U202-C$1)-C$10*(C$14+G$210*(J$216-J202)/(J$216-J$202))*COS(T202)</f>
        <v>-7.4739749834407121E-5</v>
      </c>
      <c r="S202" s="57">
        <f t="shared" ref="S202:S216" si="134">DEGREES(T202)</f>
        <v>2.6260426738960372</v>
      </c>
      <c r="T202" s="57">
        <v>4.5833090957361593E-2</v>
      </c>
      <c r="U202" s="58">
        <v>0.19483183212510607</v>
      </c>
      <c r="V202" s="58">
        <f>DEGREES(U202)</f>
        <v>11.163041695569946</v>
      </c>
      <c r="W202" s="58">
        <f>-0.5*G$206*C$4*J202^2*(C$7+(C$2^2)*(U202-C$5)^2/(PI()*C$6))+L202*COS(U202-C$1)-C$10*(C$14+G$210*(J$216-J202)/(J$216-J$202))*SIN(T202)</f>
        <v>-2.9116133418938261E-5</v>
      </c>
      <c r="X202" s="20">
        <f t="shared" ref="X202:X216" si="135">Q202</f>
        <v>1</v>
      </c>
    </row>
    <row r="203" spans="6:24" x14ac:dyDescent="0.3">
      <c r="F203" s="49"/>
      <c r="J203" s="47">
        <f t="shared" ref="J203:J214" si="136">J$202+Q202*G$212</f>
        <v>81.256591355449729</v>
      </c>
      <c r="K203" s="13">
        <f t="shared" ref="K203:K216" si="137">J203/G$209</f>
        <v>0.25678846853455539</v>
      </c>
      <c r="L203" s="48">
        <f t="shared" ref="L203:L216" si="138">G$207*(1-0.605*K203+0.725*K203^2)</f>
        <v>5166.061733452616</v>
      </c>
      <c r="M203" s="14">
        <f t="shared" si="132"/>
        <v>7.1861754533971016</v>
      </c>
      <c r="N203" s="14">
        <f t="shared" si="133"/>
        <v>3.9195211499287526</v>
      </c>
      <c r="O203" s="14">
        <f t="shared" ref="O203:O216" si="139">J203*SIN(RADIANS(N203))</f>
        <v>5.5543110462825993</v>
      </c>
      <c r="P203" s="20">
        <f t="shared" ref="P203:P216" si="140">L203/1000/O203</f>
        <v>0.93009946515511921</v>
      </c>
      <c r="Q203" s="20">
        <v>2</v>
      </c>
      <c r="R203" s="57">
        <f t="shared" ref="R203:R216" si="141">0.5*G$206*C$4*C$2*(U203-C$5)*J203^2+L203*SIN(U203-C$1)-C$10*(C$14+G$210*(J$216-J203)/(J$216-J$202))*COS(T203)</f>
        <v>4.5077739923726767E-3</v>
      </c>
      <c r="S203" s="57">
        <f t="shared" si="134"/>
        <v>3.9195211499287526</v>
      </c>
      <c r="T203" s="57">
        <v>6.8408549167811042E-2</v>
      </c>
      <c r="U203" s="58">
        <v>0.12542242228777575</v>
      </c>
      <c r="V203" s="58">
        <f t="shared" ref="V203:V216" si="142">DEGREES(U203)</f>
        <v>7.1861754533971016</v>
      </c>
      <c r="W203" s="58">
        <f t="shared" ref="W203:W216" si="143">-0.5*G$206*C$4*J203^2*(C$7+(C$2^2)*(U203-C$5)^2/(PI()*C$6))+L203*COS(U203-C$1)-C$10*(C$14+G$210*(J$216-J203)/(J$216-J$202))*SIN(T203)</f>
        <v>6.4474956434423802E-4</v>
      </c>
      <c r="X203" s="20">
        <f t="shared" si="135"/>
        <v>2</v>
      </c>
    </row>
    <row r="204" spans="6:24" x14ac:dyDescent="0.3">
      <c r="F204" s="49"/>
      <c r="J204" s="17">
        <f t="shared" si="136"/>
        <v>95.006084328107434</v>
      </c>
      <c r="K204" s="15">
        <f t="shared" si="137"/>
        <v>0.30023985118154117</v>
      </c>
      <c r="L204" s="40">
        <f t="shared" si="138"/>
        <v>5115.4665558396282</v>
      </c>
      <c r="M204" s="16">
        <f t="shared" si="132"/>
        <v>4.7948701104898115</v>
      </c>
      <c r="N204" s="16">
        <f t="shared" si="133"/>
        <v>4.5514839023028006</v>
      </c>
      <c r="O204" s="16">
        <f t="shared" si="139"/>
        <v>7.5391942899459314</v>
      </c>
      <c r="P204" s="20">
        <f t="shared" si="140"/>
        <v>0.67851634526271298</v>
      </c>
      <c r="Q204" s="59">
        <v>3</v>
      </c>
      <c r="R204" s="57">
        <f t="shared" si="141"/>
        <v>2.8139694550191052E-3</v>
      </c>
      <c r="S204" s="57">
        <f t="shared" si="134"/>
        <v>4.5514839023028006</v>
      </c>
      <c r="T204" s="57">
        <v>7.9438379946703788E-2</v>
      </c>
      <c r="U204" s="58">
        <v>8.3686270633511514E-2</v>
      </c>
      <c r="V204" s="58">
        <f t="shared" si="142"/>
        <v>4.7948701104898115</v>
      </c>
      <c r="W204" s="58">
        <f t="shared" si="143"/>
        <v>2.9203481790318619E-4</v>
      </c>
      <c r="X204" s="20">
        <f t="shared" si="135"/>
        <v>3</v>
      </c>
    </row>
    <row r="205" spans="6:24" x14ac:dyDescent="0.3">
      <c r="F205" s="22" t="s">
        <v>6</v>
      </c>
      <c r="G205" s="22">
        <v>6000</v>
      </c>
      <c r="H205" s="22" t="s">
        <v>3</v>
      </c>
      <c r="J205" s="47">
        <f t="shared" si="136"/>
        <v>108.75557730076515</v>
      </c>
      <c r="K205" s="13">
        <f>J205/G$209</f>
        <v>0.34369123382852701</v>
      </c>
      <c r="L205" s="48">
        <f>G$207*(1-0.605*K205+0.725*K205^2)</f>
        <v>5080.7185236623645</v>
      </c>
      <c r="M205" s="14">
        <f t="shared" si="132"/>
        <v>3.2528563868846669</v>
      </c>
      <c r="N205" s="14">
        <f t="shared" si="133"/>
        <v>4.811608555250217</v>
      </c>
      <c r="O205" s="14">
        <f t="shared" si="139"/>
        <v>9.1223893899419153</v>
      </c>
      <c r="P205" s="20">
        <f t="shared" si="140"/>
        <v>0.55695041139816048</v>
      </c>
      <c r="Q205" s="59">
        <v>4</v>
      </c>
      <c r="R205" s="57">
        <f t="shared" si="141"/>
        <v>1.4910564495949075E-3</v>
      </c>
      <c r="S205" s="57">
        <f t="shared" si="134"/>
        <v>4.811608555250217</v>
      </c>
      <c r="T205" s="57">
        <v>8.397841160624378E-2</v>
      </c>
      <c r="U205" s="58">
        <v>5.6773054045663927E-2</v>
      </c>
      <c r="V205" s="58">
        <f t="shared" si="142"/>
        <v>3.2528563868846669</v>
      </c>
      <c r="W205" s="58">
        <f t="shared" si="143"/>
        <v>1.2324681983955088E-4</v>
      </c>
      <c r="X205" s="20">
        <f t="shared" si="135"/>
        <v>4</v>
      </c>
    </row>
    <row r="206" spans="6:24" ht="18.600000000000001" x14ac:dyDescent="0.3">
      <c r="F206" s="20" t="s">
        <v>79</v>
      </c>
      <c r="G206" s="20">
        <f>C$9*(1-G205/44300)^4.256</f>
        <v>0.65964919805020483</v>
      </c>
      <c r="H206" s="20" t="s">
        <v>80</v>
      </c>
      <c r="J206" s="17">
        <f t="shared" si="136"/>
        <v>122.50507027342286</v>
      </c>
      <c r="K206" s="15">
        <f t="shared" si="137"/>
        <v>0.38714261647551279</v>
      </c>
      <c r="L206" s="40">
        <f t="shared" si="138"/>
        <v>5061.817636920825</v>
      </c>
      <c r="M206" s="16">
        <f t="shared" si="132"/>
        <v>2.2041283467711539</v>
      </c>
      <c r="N206" s="16">
        <f t="shared" si="133"/>
        <v>4.837785227601449</v>
      </c>
      <c r="O206" s="16">
        <f t="shared" si="139"/>
        <v>10.331463734528578</v>
      </c>
      <c r="P206" s="20">
        <f t="shared" si="140"/>
        <v>0.48994196437082055</v>
      </c>
      <c r="Q206" s="59">
        <v>5</v>
      </c>
      <c r="R206" s="57">
        <f t="shared" si="141"/>
        <v>2.0082074479432777E-4</v>
      </c>
      <c r="S206" s="57">
        <f t="shared" si="134"/>
        <v>4.837785227601449</v>
      </c>
      <c r="T206" s="57">
        <v>8.4435280725988549E-2</v>
      </c>
      <c r="U206" s="58">
        <v>3.8469296787695964E-2</v>
      </c>
      <c r="V206" s="58">
        <f t="shared" si="142"/>
        <v>2.2041283467711539</v>
      </c>
      <c r="W206" s="58">
        <f t="shared" si="143"/>
        <v>2.3702888483967399E-5</v>
      </c>
      <c r="X206" s="20">
        <f t="shared" si="135"/>
        <v>5</v>
      </c>
    </row>
    <row r="207" spans="6:24" ht="18.600000000000001" x14ac:dyDescent="0.3">
      <c r="F207" s="20" t="s">
        <v>81</v>
      </c>
      <c r="G207" s="20">
        <f>C$3*(G206/C$9)^0.85</f>
        <v>5788.6306580928886</v>
      </c>
      <c r="H207" s="20" t="s">
        <v>28</v>
      </c>
      <c r="J207" s="47">
        <f t="shared" si="136"/>
        <v>136.25456324608058</v>
      </c>
      <c r="K207" s="13">
        <f t="shared" si="137"/>
        <v>0.43059399912249863</v>
      </c>
      <c r="L207" s="48">
        <f t="shared" si="138"/>
        <v>5058.7638956150086</v>
      </c>
      <c r="M207" s="14">
        <f t="shared" si="132"/>
        <v>1.4605029046860214</v>
      </c>
      <c r="N207" s="14">
        <f t="shared" si="133"/>
        <v>4.7012977908406377</v>
      </c>
      <c r="O207" s="14">
        <f t="shared" si="139"/>
        <v>11.167571590036756</v>
      </c>
      <c r="P207" s="20">
        <f t="shared" si="140"/>
        <v>0.4529869233279174</v>
      </c>
      <c r="Q207" s="59">
        <v>6</v>
      </c>
      <c r="R207" s="57">
        <f t="shared" si="141"/>
        <v>2.8615636983886361E-4</v>
      </c>
      <c r="S207" s="57">
        <f t="shared" si="134"/>
        <v>4.7012977908406377</v>
      </c>
      <c r="T207" s="57">
        <v>8.2053125566904847E-2</v>
      </c>
      <c r="U207" s="58">
        <v>2.5490584421711992E-2</v>
      </c>
      <c r="V207" s="58">
        <f t="shared" si="142"/>
        <v>1.4605029046860214</v>
      </c>
      <c r="W207" s="58">
        <f>-0.5*G$206*C$4*J207^2*(C$7+(C$2^2)*(U207-C$5)^2/(PI()*C$6))+L207*COS(U207-C$1)-C$10*(C$14+G$210*(J$216-J207)/(J$216-J$202))*SIN(T207)</f>
        <v>1.8448228729539551E-5</v>
      </c>
      <c r="X207" s="20">
        <f t="shared" si="135"/>
        <v>6</v>
      </c>
    </row>
    <row r="208" spans="6:24" ht="18.600000000000001" x14ac:dyDescent="0.3">
      <c r="F208" s="20" t="s">
        <v>82</v>
      </c>
      <c r="G208" s="20">
        <f>C$12-6.5*G205/1000</f>
        <v>249.14999999999998</v>
      </c>
      <c r="H208" s="20" t="s">
        <v>56</v>
      </c>
      <c r="J208" s="17">
        <f t="shared" si="136"/>
        <v>150.0040562187383</v>
      </c>
      <c r="K208" s="15">
        <f t="shared" si="137"/>
        <v>0.47404538176948446</v>
      </c>
      <c r="L208" s="40">
        <f t="shared" si="138"/>
        <v>5071.5572997449171</v>
      </c>
      <c r="M208" s="16">
        <f t="shared" si="132"/>
        <v>0.91525203720758919</v>
      </c>
      <c r="N208" s="16">
        <f t="shared" si="133"/>
        <v>4.4411964203142356</v>
      </c>
      <c r="O208" s="16">
        <f t="shared" si="139"/>
        <v>11.615699441731646</v>
      </c>
      <c r="P208" s="20">
        <f t="shared" si="140"/>
        <v>0.43661230433738385</v>
      </c>
      <c r="Q208" s="20">
        <v>7</v>
      </c>
      <c r="R208" s="57">
        <f t="shared" si="141"/>
        <v>3.0464846349786967E-4</v>
      </c>
      <c r="S208" s="57">
        <f t="shared" si="134"/>
        <v>4.4411964203142356</v>
      </c>
      <c r="T208" s="57">
        <v>7.7513500262269386E-2</v>
      </c>
      <c r="U208" s="58">
        <v>1.5974161534858079E-2</v>
      </c>
      <c r="V208" s="58">
        <f t="shared" si="142"/>
        <v>0.91525203720758919</v>
      </c>
      <c r="W208" s="58">
        <f t="shared" si="143"/>
        <v>1.3922252492193365E-5</v>
      </c>
      <c r="X208" s="20">
        <f t="shared" si="135"/>
        <v>7</v>
      </c>
    </row>
    <row r="209" spans="6:24" ht="18.600000000000001" x14ac:dyDescent="0.3">
      <c r="F209" s="20" t="s">
        <v>83</v>
      </c>
      <c r="G209" s="20">
        <f>C$11*SQRT(G208/C$12)</f>
        <v>316.43395756501906</v>
      </c>
      <c r="H209" s="20" t="s">
        <v>55</v>
      </c>
      <c r="J209" s="47">
        <f t="shared" si="136"/>
        <v>163.75354919139602</v>
      </c>
      <c r="K209" s="13">
        <f t="shared" si="137"/>
        <v>0.5174967644164703</v>
      </c>
      <c r="L209" s="48">
        <f t="shared" si="138"/>
        <v>5100.1978493105498</v>
      </c>
      <c r="M209" s="14">
        <f t="shared" si="132"/>
        <v>0.50431754952629126</v>
      </c>
      <c r="N209" s="14">
        <f t="shared" si="133"/>
        <v>4.0796182290809062</v>
      </c>
      <c r="O209" s="14">
        <f t="shared" si="139"/>
        <v>11.649856719336304</v>
      </c>
      <c r="P209" s="20">
        <f t="shared" si="140"/>
        <v>0.43779060740251829</v>
      </c>
      <c r="Q209" s="20">
        <v>8</v>
      </c>
      <c r="R209" s="57">
        <f t="shared" si="141"/>
        <v>1.359486959700007E-4</v>
      </c>
      <c r="S209" s="57">
        <f t="shared" si="134"/>
        <v>4.0796182290809062</v>
      </c>
      <c r="T209" s="57">
        <v>7.1202770321842093E-2</v>
      </c>
      <c r="U209" s="58">
        <v>8.8020017148233518E-3</v>
      </c>
      <c r="V209" s="58">
        <f t="shared" si="142"/>
        <v>0.50431754952629126</v>
      </c>
      <c r="W209" s="58">
        <f t="shared" si="143"/>
        <v>5.9979829529765993E-6</v>
      </c>
      <c r="X209" s="20">
        <f t="shared" si="135"/>
        <v>8</v>
      </c>
    </row>
    <row r="210" spans="6:24" x14ac:dyDescent="0.3">
      <c r="F210" s="20" t="s">
        <v>149</v>
      </c>
      <c r="G210" s="20">
        <f>G192-G193</f>
        <v>923.27472099567694</v>
      </c>
      <c r="H210" s="20" t="s">
        <v>0</v>
      </c>
      <c r="J210" s="17">
        <f t="shared" si="136"/>
        <v>177.50304216405374</v>
      </c>
      <c r="K210" s="15">
        <f t="shared" si="137"/>
        <v>0.56094814706345608</v>
      </c>
      <c r="L210" s="40">
        <f t="shared" si="138"/>
        <v>5144.6855443119066</v>
      </c>
      <c r="M210" s="16">
        <f t="shared" si="132"/>
        <v>0.18742454285699822</v>
      </c>
      <c r="N210" s="16">
        <f t="shared" si="133"/>
        <v>3.629192998806515</v>
      </c>
      <c r="O210" s="16">
        <f t="shared" si="139"/>
        <v>11.235768597414845</v>
      </c>
      <c r="P210" s="20">
        <f t="shared" si="140"/>
        <v>0.45788461196109087</v>
      </c>
      <c r="Q210" s="59">
        <v>9</v>
      </c>
      <c r="R210" s="57">
        <f t="shared" si="141"/>
        <v>6.7600791226141155E-5</v>
      </c>
      <c r="S210" s="57">
        <f t="shared" si="134"/>
        <v>3.629192998806515</v>
      </c>
      <c r="T210" s="57">
        <v>6.3341367019500328E-2</v>
      </c>
      <c r="U210" s="58">
        <v>3.2711753718998385E-3</v>
      </c>
      <c r="V210" s="58">
        <f t="shared" si="142"/>
        <v>0.18742454285699822</v>
      </c>
      <c r="W210" s="58">
        <f t="shared" si="143"/>
        <v>2.788039864753955E-6</v>
      </c>
      <c r="X210" s="20">
        <f t="shared" si="135"/>
        <v>9</v>
      </c>
    </row>
    <row r="211" spans="6:24" x14ac:dyDescent="0.3">
      <c r="F211" s="20" t="s">
        <v>150</v>
      </c>
      <c r="G211" s="20" cm="1">
        <f t="array" ref="G211">C$16*(G223-G205)*MIN(IF(P202:P216&gt;0,P202:P216))</f>
        <v>25.847448416773126</v>
      </c>
      <c r="H211" s="20" t="s">
        <v>0</v>
      </c>
      <c r="J211" s="47">
        <f t="shared" si="136"/>
        <v>191.25253513671146</v>
      </c>
      <c r="K211" s="13">
        <f t="shared" si="137"/>
        <v>0.60439952971044197</v>
      </c>
      <c r="L211" s="48">
        <f t="shared" si="138"/>
        <v>5205.0203847489875</v>
      </c>
      <c r="M211" s="14">
        <f t="shared" si="132"/>
        <v>-6.1747771431594434E-2</v>
      </c>
      <c r="N211" s="14">
        <f t="shared" si="133"/>
        <v>3.0968641194983784</v>
      </c>
      <c r="O211" s="14">
        <f t="shared" si="139"/>
        <v>10.332257855884164</v>
      </c>
      <c r="P211" s="20">
        <f t="shared" si="140"/>
        <v>0.50376408112818793</v>
      </c>
      <c r="Q211" s="59">
        <v>10</v>
      </c>
      <c r="R211" s="57">
        <f t="shared" si="141"/>
        <v>1.0853676940314472E-5</v>
      </c>
      <c r="S211" s="57">
        <f t="shared" si="134"/>
        <v>3.0968641194983784</v>
      </c>
      <c r="T211" s="57">
        <v>5.4050475372121827E-2</v>
      </c>
      <c r="U211" s="58">
        <v>-1.0777019172502154E-3</v>
      </c>
      <c r="V211" s="58">
        <f t="shared" si="142"/>
        <v>-6.1747771431594434E-2</v>
      </c>
      <c r="W211" s="58">
        <f t="shared" si="143"/>
        <v>8.6348950389947277E-7</v>
      </c>
      <c r="X211" s="20">
        <f t="shared" si="135"/>
        <v>10</v>
      </c>
    </row>
    <row r="212" spans="6:24" x14ac:dyDescent="0.3">
      <c r="F212" s="20" t="s">
        <v>152</v>
      </c>
      <c r="G212" s="20">
        <f>(J216-J202)/Q215</f>
        <v>13.749492972657714</v>
      </c>
      <c r="H212" s="20" t="s">
        <v>55</v>
      </c>
      <c r="J212" s="17">
        <f t="shared" si="136"/>
        <v>205.00202810936915</v>
      </c>
      <c r="K212" s="15">
        <f t="shared" si="137"/>
        <v>0.64785091235742764</v>
      </c>
      <c r="L212" s="40">
        <f t="shared" si="138"/>
        <v>5281.2023706217915</v>
      </c>
      <c r="M212" s="16">
        <f t="shared" si="132"/>
        <v>-0.26097292681004436</v>
      </c>
      <c r="N212" s="16">
        <f t="shared" si="133"/>
        <v>2.4859645458768358</v>
      </c>
      <c r="O212" s="16">
        <f t="shared" si="139"/>
        <v>8.8918921051395934</v>
      </c>
      <c r="P212" s="20">
        <f t="shared" si="140"/>
        <v>0.59393459886554512</v>
      </c>
      <c r="Q212" s="59">
        <v>11</v>
      </c>
      <c r="R212" s="57">
        <f t="shared" si="141"/>
        <v>1.0679286788217723E-6</v>
      </c>
      <c r="S212" s="57">
        <f t="shared" si="134"/>
        <v>2.4859645458768358</v>
      </c>
      <c r="T212" s="57">
        <v>4.3388266413396409E-2</v>
      </c>
      <c r="U212" s="58">
        <v>-4.554836831401456E-3</v>
      </c>
      <c r="V212" s="58">
        <f t="shared" si="142"/>
        <v>-0.26097292681004436</v>
      </c>
      <c r="W212" s="58">
        <f t="shared" si="143"/>
        <v>2.4444761947961524E-7</v>
      </c>
      <c r="X212" s="20">
        <f t="shared" si="135"/>
        <v>11</v>
      </c>
    </row>
    <row r="213" spans="6:24" x14ac:dyDescent="0.3">
      <c r="J213" s="47">
        <f t="shared" si="136"/>
        <v>218.75152108202687</v>
      </c>
      <c r="K213" s="13">
        <f t="shared" si="137"/>
        <v>0.69130229500441354</v>
      </c>
      <c r="L213" s="48">
        <f t="shared" si="138"/>
        <v>5373.2315019303205</v>
      </c>
      <c r="M213" s="14">
        <f t="shared" si="132"/>
        <v>-0.42259393284516378</v>
      </c>
      <c r="N213" s="14">
        <f t="shared" si="133"/>
        <v>1.7973891682682457</v>
      </c>
      <c r="O213" s="14">
        <f t="shared" si="139"/>
        <v>6.8611882541645359</v>
      </c>
      <c r="P213" s="20">
        <f t="shared" si="140"/>
        <v>0.78313424772581197</v>
      </c>
      <c r="Q213" s="59">
        <v>12</v>
      </c>
      <c r="R213" s="57">
        <f t="shared" si="141"/>
        <v>3.7965219235047698E-7</v>
      </c>
      <c r="S213" s="57">
        <f t="shared" si="134"/>
        <v>1.7973891682682457</v>
      </c>
      <c r="T213" s="57">
        <v>3.1370358925963272E-2</v>
      </c>
      <c r="U213" s="58">
        <v>-7.3756555270999159E-3</v>
      </c>
      <c r="V213" s="58">
        <f t="shared" si="142"/>
        <v>-0.42259393284516378</v>
      </c>
      <c r="W213" s="58">
        <f t="shared" si="143"/>
        <v>7.9738811109564267E-9</v>
      </c>
      <c r="X213" s="20">
        <f t="shared" si="135"/>
        <v>12</v>
      </c>
    </row>
    <row r="214" spans="6:24" x14ac:dyDescent="0.3">
      <c r="J214" s="17">
        <f t="shared" si="136"/>
        <v>232.50101405468459</v>
      </c>
      <c r="K214" s="15">
        <f t="shared" si="137"/>
        <v>0.73475367765139932</v>
      </c>
      <c r="L214" s="40">
        <f t="shared" si="138"/>
        <v>5481.1077786745727</v>
      </c>
      <c r="M214" s="16">
        <f t="shared" si="132"/>
        <v>-0.55539315874337603</v>
      </c>
      <c r="N214" s="16">
        <f t="shared" si="133"/>
        <v>1.0302724887061983</v>
      </c>
      <c r="O214" s="16">
        <f t="shared" si="139"/>
        <v>4.1805258931385039</v>
      </c>
      <c r="P214" s="20">
        <f t="shared" si="140"/>
        <v>1.3111048511075396</v>
      </c>
      <c r="Q214" s="20">
        <v>13</v>
      </c>
      <c r="R214" s="57">
        <f t="shared" si="141"/>
        <v>5.7665602071210742E-8</v>
      </c>
      <c r="S214" s="57">
        <f t="shared" si="134"/>
        <v>1.0302724887061983</v>
      </c>
      <c r="T214" s="57">
        <v>1.7981647120639252E-2</v>
      </c>
      <c r="U214" s="58">
        <v>-9.6934392631234448E-3</v>
      </c>
      <c r="V214" s="58">
        <f t="shared" si="142"/>
        <v>-0.55539315874337603</v>
      </c>
      <c r="W214" s="58">
        <f t="shared" si="143"/>
        <v>2.7080204745288938E-10</v>
      </c>
      <c r="X214" s="20">
        <f t="shared" si="135"/>
        <v>13</v>
      </c>
    </row>
    <row r="215" spans="6:24" x14ac:dyDescent="0.3">
      <c r="J215" s="47">
        <f>J$202+Q214*G$212</f>
        <v>246.25050702734231</v>
      </c>
      <c r="K215" s="13">
        <f t="shared" si="137"/>
        <v>0.77820506029838521</v>
      </c>
      <c r="L215" s="48">
        <f t="shared" si="138"/>
        <v>5604.8312008545508</v>
      </c>
      <c r="M215" s="14">
        <f t="shared" si="132"/>
        <v>-0.66575363167472579</v>
      </c>
      <c r="N215" s="14">
        <f t="shared" si="133"/>
        <v>0.18238076985665283</v>
      </c>
      <c r="O215" s="14">
        <f t="shared" si="139"/>
        <v>0.78384972833171684</v>
      </c>
      <c r="P215" s="20">
        <f t="shared" si="140"/>
        <v>7.1503899258642667</v>
      </c>
      <c r="Q215" s="20">
        <v>14</v>
      </c>
      <c r="R215" s="57">
        <f t="shared" si="141"/>
        <v>-1.3558747014030814E-8</v>
      </c>
      <c r="S215" s="57">
        <f t="shared" si="134"/>
        <v>0.18238076985665283</v>
      </c>
      <c r="T215" s="57">
        <v>3.1831449263206185E-3</v>
      </c>
      <c r="U215" s="58">
        <v>-1.1619592879833576E-2</v>
      </c>
      <c r="V215" s="58">
        <f t="shared" si="142"/>
        <v>-0.66575363167472579</v>
      </c>
      <c r="W215" s="58">
        <f t="shared" si="143"/>
        <v>-5.3390181165013928E-11</v>
      </c>
      <c r="X215" s="20">
        <f t="shared" si="135"/>
        <v>14</v>
      </c>
    </row>
    <row r="216" spans="6:24" x14ac:dyDescent="0.3">
      <c r="J216" s="17">
        <v>260</v>
      </c>
      <c r="K216" s="15">
        <f t="shared" si="137"/>
        <v>0.82165644294537088</v>
      </c>
      <c r="L216" s="40">
        <f t="shared" si="138"/>
        <v>5744.4017684702512</v>
      </c>
      <c r="M216" s="16">
        <f t="shared" si="132"/>
        <v>-0.75840235321220606</v>
      </c>
      <c r="N216" s="16">
        <f t="shared" si="133"/>
        <v>-0.74967015342449483</v>
      </c>
      <c r="O216" s="16">
        <f t="shared" si="139"/>
        <v>-3.4017981804473965</v>
      </c>
      <c r="P216" s="20">
        <f t="shared" si="140"/>
        <v>-1.6886368513827474</v>
      </c>
      <c r="Q216" s="59">
        <v>15</v>
      </c>
      <c r="R216" s="57">
        <f t="shared" si="141"/>
        <v>-1.298060997214634E-4</v>
      </c>
      <c r="S216" s="57">
        <f t="shared" si="134"/>
        <v>-0.74967015342449483</v>
      </c>
      <c r="T216" s="57">
        <v>-1.3084212481188478E-2</v>
      </c>
      <c r="U216" s="58">
        <v>-1.3236618118425988E-2</v>
      </c>
      <c r="V216" s="58">
        <f t="shared" si="142"/>
        <v>-0.75840235321220606</v>
      </c>
      <c r="W216" s="58">
        <f t="shared" si="143"/>
        <v>6.0831786186099635E-7</v>
      </c>
      <c r="X216" s="20">
        <f t="shared" si="135"/>
        <v>15</v>
      </c>
    </row>
    <row r="217" spans="6:24" ht="15.6" thickBot="1" x14ac:dyDescent="0.35"/>
    <row r="218" spans="6:24" ht="16.2" thickBot="1" x14ac:dyDescent="0.35">
      <c r="J218" s="146" t="s">
        <v>105</v>
      </c>
      <c r="K218" s="147"/>
      <c r="L218" s="147"/>
      <c r="M218" s="147"/>
      <c r="N218" s="147"/>
      <c r="O218" s="148"/>
    </row>
    <row r="219" spans="6:24" ht="18.600000000000001" thickBot="1" x14ac:dyDescent="0.35">
      <c r="F219" s="49"/>
      <c r="J219" s="50" t="s">
        <v>63</v>
      </c>
      <c r="K219" s="65" t="s">
        <v>53</v>
      </c>
      <c r="L219" s="50" t="s">
        <v>65</v>
      </c>
      <c r="M219" s="50" t="s">
        <v>66</v>
      </c>
      <c r="N219" s="50" t="s">
        <v>84</v>
      </c>
      <c r="O219" s="50" t="s">
        <v>64</v>
      </c>
      <c r="P219" s="20" t="s">
        <v>151</v>
      </c>
      <c r="R219" s="51" t="s">
        <v>85</v>
      </c>
      <c r="S219" s="52" t="s">
        <v>87</v>
      </c>
      <c r="T219" s="52" t="s">
        <v>86</v>
      </c>
      <c r="U219" s="54" t="s">
        <v>86</v>
      </c>
      <c r="V219" s="54" t="s">
        <v>87</v>
      </c>
      <c r="W219" s="53" t="s">
        <v>88</v>
      </c>
    </row>
    <row r="220" spans="6:24" x14ac:dyDescent="0.3">
      <c r="F220" s="49"/>
      <c r="J220" s="44">
        <f>SQRT(2*(C$14+G228)*C$10/C$4/C$15/G224)</f>
        <v>75.408472283559973</v>
      </c>
      <c r="K220" s="63">
        <f>J220/G$227</f>
        <v>0.24477864722616227</v>
      </c>
      <c r="L220" s="55">
        <f>G$225*(1-0.605*K220+0.725*K220^2)</f>
        <v>4268.8042996884033</v>
      </c>
      <c r="M220" s="56">
        <f t="shared" ref="M220:M234" si="144">V220</f>
        <v>11.229915754164143</v>
      </c>
      <c r="N220" s="56">
        <f t="shared" ref="N220:N234" si="145">S220</f>
        <v>1.1477500246873169</v>
      </c>
      <c r="O220" s="56">
        <f>J220*SIN(RADIANS(N220))</f>
        <v>1.5104827664983591</v>
      </c>
      <c r="P220" s="20">
        <f>L220/1000/O220</f>
        <v>2.8261191682341784</v>
      </c>
      <c r="Q220" s="20">
        <v>1</v>
      </c>
      <c r="R220" s="57">
        <f>0.5*G$224*C$4*C$2*(U220-C$5)*J220^2+L220*SIN(U220-C$1)-C$10*(C$14+G$228*(J$234-J220)/(J$234-J$220))*COS(T220)</f>
        <v>-6.7939712607767433E-5</v>
      </c>
      <c r="S220" s="57">
        <f t="shared" ref="S220:S234" si="146">DEGREES(T220)</f>
        <v>1.1477500246873169</v>
      </c>
      <c r="T220" s="57">
        <v>2.003201692063988E-2</v>
      </c>
      <c r="U220" s="58">
        <v>0.19599900463174641</v>
      </c>
      <c r="V220" s="58">
        <f>DEGREES(U220)</f>
        <v>11.229915754164143</v>
      </c>
      <c r="W220" s="58">
        <f>-0.5*G$224*C$4*J220^2*(C$7+(C$2^2)*(U220-C$5)^2/(PI()*C$6))+L220*COS(U220-C$1)-C$10*(C$14+G$228*(J$234-J220)/(J$234-J$220))*SIN(T220)</f>
        <v>-2.6853249892155873E-5</v>
      </c>
      <c r="X220" s="20">
        <f t="shared" ref="X220:X234" si="147">Q220</f>
        <v>1</v>
      </c>
    </row>
    <row r="221" spans="6:24" x14ac:dyDescent="0.3">
      <c r="F221" s="49"/>
      <c r="J221" s="47">
        <f t="shared" ref="J221:J232" si="148">J$220+Q220*G$230</f>
        <v>88.593581406162826</v>
      </c>
      <c r="K221" s="13">
        <f t="shared" ref="K221:K234" si="149">J221/G$227</f>
        <v>0.28757799160783698</v>
      </c>
      <c r="L221" s="48">
        <f t="shared" ref="L221:L234" si="150">G$225*(1-0.605*K221+0.725*K221^2)</f>
        <v>4224.1073837148515</v>
      </c>
      <c r="M221" s="14">
        <f t="shared" si="144"/>
        <v>7.6473295546694429</v>
      </c>
      <c r="N221" s="14">
        <f t="shared" si="145"/>
        <v>2.3340557006488836</v>
      </c>
      <c r="O221" s="14">
        <f t="shared" ref="O221:O234" si="151">J221*SIN(RADIANS(N221))</f>
        <v>3.6080347921481848</v>
      </c>
      <c r="P221" s="20">
        <f t="shared" ref="P221:P234" si="152">L221/1000/O221</f>
        <v>1.1707501803772418</v>
      </c>
      <c r="Q221" s="20">
        <v>2</v>
      </c>
      <c r="R221" s="57">
        <f t="shared" ref="R221:R234" si="153">0.5*G$224*C$4*C$2*(U221-C$5)*J221^2+L221*SIN(U221-C$1)-C$10*(C$14+G$228*(J$234-J221)/(J$234-J$220))*COS(T221)</f>
        <v>2.2808708308730274E-5</v>
      </c>
      <c r="S221" s="57">
        <f t="shared" si="146"/>
        <v>2.3340557006488836</v>
      </c>
      <c r="T221" s="57">
        <v>4.0736956901266164E-2</v>
      </c>
      <c r="U221" s="58">
        <v>0.13347107971405348</v>
      </c>
      <c r="V221" s="58">
        <f t="shared" ref="V221:V234" si="154">DEGREES(U221)</f>
        <v>7.6473295546694429</v>
      </c>
      <c r="W221" s="58">
        <f t="shared" ref="W221:W234" si="155">-0.5*G$224*C$4*J221^2*(C$7+(C$2^2)*(U221-C$5)^2/(PI()*C$6))+L221*COS(U221-C$1)-C$10*(C$14+G$228*(J$234-J221)/(J$234-J$220))*SIN(T221)</f>
        <v>-8.0847409662965219E-5</v>
      </c>
      <c r="X221" s="20">
        <f t="shared" si="147"/>
        <v>2</v>
      </c>
    </row>
    <row r="222" spans="6:24" x14ac:dyDescent="0.3">
      <c r="F222" s="49"/>
      <c r="J222" s="17">
        <f t="shared" si="148"/>
        <v>101.77869052876569</v>
      </c>
      <c r="K222" s="15">
        <f t="shared" si="149"/>
        <v>0.3303773359895118</v>
      </c>
      <c r="L222" s="40">
        <f t="shared" si="150"/>
        <v>4192.0740447991284</v>
      </c>
      <c r="M222" s="16">
        <f t="shared" si="144"/>
        <v>5.3581106086666574</v>
      </c>
      <c r="N222" s="16">
        <f t="shared" si="145"/>
        <v>2.9872812699434648</v>
      </c>
      <c r="O222" s="16">
        <f t="shared" si="151"/>
        <v>5.3041227141843814</v>
      </c>
      <c r="P222" s="20">
        <f t="shared" si="152"/>
        <v>0.79034258268358082</v>
      </c>
      <c r="Q222" s="59">
        <v>3</v>
      </c>
      <c r="R222" s="57">
        <f>0.5*G$224*C$4*C$2*(U222-C$5)*J222^2+L222*SIN(U222-C$1)-C$10*(C$14+G$228*(J$234-J222)/(J$234-J$220))*COS(T222)</f>
        <v>6.7723449319601059E-6</v>
      </c>
      <c r="S222" s="57">
        <f t="shared" si="146"/>
        <v>2.9872812699434648</v>
      </c>
      <c r="T222" s="57">
        <v>5.2137893843670985E-2</v>
      </c>
      <c r="U222" s="58">
        <v>9.3516671807270593E-2</v>
      </c>
      <c r="V222" s="58">
        <f t="shared" si="154"/>
        <v>5.3581106086666574</v>
      </c>
      <c r="W222" s="58">
        <f t="shared" si="155"/>
        <v>-3.3829933499873732E-5</v>
      </c>
      <c r="X222" s="20">
        <f t="shared" si="147"/>
        <v>3</v>
      </c>
    </row>
    <row r="223" spans="6:24" x14ac:dyDescent="0.3">
      <c r="F223" s="22" t="s">
        <v>6</v>
      </c>
      <c r="G223" s="22">
        <v>8000</v>
      </c>
      <c r="H223" s="22" t="s">
        <v>3</v>
      </c>
      <c r="J223" s="47">
        <f t="shared" si="148"/>
        <v>114.96379965136855</v>
      </c>
      <c r="K223" s="13">
        <f t="shared" si="149"/>
        <v>0.37317668037118651</v>
      </c>
      <c r="L223" s="48">
        <f t="shared" si="150"/>
        <v>4172.7042829412349</v>
      </c>
      <c r="M223" s="14">
        <f t="shared" si="144"/>
        <v>3.8129448707757154</v>
      </c>
      <c r="N223" s="14">
        <f t="shared" si="145"/>
        <v>3.322251199790685</v>
      </c>
      <c r="O223" s="14">
        <f t="shared" si="151"/>
        <v>6.6623516912070553</v>
      </c>
      <c r="P223" s="20">
        <f t="shared" si="152"/>
        <v>0.62631101994335614</v>
      </c>
      <c r="Q223" s="59">
        <v>4</v>
      </c>
      <c r="R223" s="57">
        <f t="shared" si="153"/>
        <v>1.9154158071614802E-3</v>
      </c>
      <c r="S223" s="57">
        <f t="shared" si="146"/>
        <v>3.322251199790685</v>
      </c>
      <c r="T223" s="57">
        <v>5.7984222014679399E-2</v>
      </c>
      <c r="U223" s="58">
        <v>6.6548442192065946E-2</v>
      </c>
      <c r="V223" s="58">
        <f t="shared" si="154"/>
        <v>3.8129448707757154</v>
      </c>
      <c r="W223" s="58">
        <f t="shared" si="155"/>
        <v>1.559450502099935E-4</v>
      </c>
      <c r="X223" s="20">
        <f t="shared" si="147"/>
        <v>4</v>
      </c>
    </row>
    <row r="224" spans="6:24" ht="18.600000000000001" x14ac:dyDescent="0.3">
      <c r="F224" s="20" t="s">
        <v>79</v>
      </c>
      <c r="G224" s="20">
        <f>C$9*(1-G223/44300)^4.256</f>
        <v>0.52502701808540919</v>
      </c>
      <c r="H224" s="20" t="s">
        <v>80</v>
      </c>
      <c r="J224" s="17">
        <f t="shared" si="148"/>
        <v>128.14890877397141</v>
      </c>
      <c r="K224" s="15">
        <f t="shared" si="149"/>
        <v>0.41597602475286133</v>
      </c>
      <c r="L224" s="40">
        <f t="shared" si="150"/>
        <v>4165.9980981411709</v>
      </c>
      <c r="M224" s="16">
        <f t="shared" si="144"/>
        <v>2.7241320872169408</v>
      </c>
      <c r="N224" s="16">
        <f t="shared" si="145"/>
        <v>3.450266495476265</v>
      </c>
      <c r="O224" s="16">
        <f t="shared" si="151"/>
        <v>7.7122732956668987</v>
      </c>
      <c r="P224" s="20">
        <f t="shared" si="152"/>
        <v>0.54017770616114136</v>
      </c>
      <c r="Q224" s="59">
        <v>5</v>
      </c>
      <c r="R224" s="57">
        <f t="shared" si="153"/>
        <v>8.7060040823416784E-4</v>
      </c>
      <c r="S224" s="57">
        <f t="shared" si="146"/>
        <v>3.450266495476265</v>
      </c>
      <c r="T224" s="57">
        <v>6.0218510417306866E-2</v>
      </c>
      <c r="U224" s="58">
        <v>4.7545074181160947E-2</v>
      </c>
      <c r="V224" s="58">
        <f t="shared" si="154"/>
        <v>2.7241320872169408</v>
      </c>
      <c r="W224" s="58">
        <f t="shared" si="155"/>
        <v>6.0124470110167749E-5</v>
      </c>
      <c r="X224" s="20">
        <f t="shared" si="147"/>
        <v>5</v>
      </c>
    </row>
    <row r="225" spans="6:24" ht="18.600000000000001" x14ac:dyDescent="0.3">
      <c r="F225" s="20" t="s">
        <v>81</v>
      </c>
      <c r="G225" s="20">
        <f>C$3*(G224/C$9)^0.85</f>
        <v>4767.7575487620325</v>
      </c>
      <c r="H225" s="20" t="s">
        <v>28</v>
      </c>
      <c r="J225" s="47">
        <f t="shared" si="148"/>
        <v>141.33401789657427</v>
      </c>
      <c r="K225" s="13">
        <f t="shared" si="149"/>
        <v>0.45877536913453604</v>
      </c>
      <c r="L225" s="48">
        <f t="shared" si="150"/>
        <v>4171.9554903989347</v>
      </c>
      <c r="M225" s="14">
        <f t="shared" si="144"/>
        <v>1.9299220312452787</v>
      </c>
      <c r="N225" s="14">
        <f t="shared" si="145"/>
        <v>3.4328944111709769</v>
      </c>
      <c r="O225" s="14">
        <f t="shared" si="151"/>
        <v>8.463005944470062</v>
      </c>
      <c r="P225" s="20">
        <f t="shared" si="152"/>
        <v>0.49296379061685447</v>
      </c>
      <c r="Q225" s="59">
        <v>6</v>
      </c>
      <c r="R225" s="57">
        <f t="shared" si="153"/>
        <v>4.3952075793640688E-4</v>
      </c>
      <c r="S225" s="57">
        <f t="shared" si="146"/>
        <v>3.4328944111709769</v>
      </c>
      <c r="T225" s="57">
        <v>5.9915310348245557E-2</v>
      </c>
      <c r="U225" s="58">
        <v>3.3683493752006993E-2</v>
      </c>
      <c r="V225" s="58">
        <f t="shared" si="154"/>
        <v>1.9299220312452787</v>
      </c>
      <c r="W225" s="58">
        <f t="shared" si="155"/>
        <v>2.6835484050025116E-5</v>
      </c>
      <c r="X225" s="20">
        <f t="shared" si="147"/>
        <v>6</v>
      </c>
    </row>
    <row r="226" spans="6:24" ht="18.600000000000001" x14ac:dyDescent="0.3">
      <c r="F226" s="20" t="s">
        <v>82</v>
      </c>
      <c r="G226" s="20">
        <f>C$12-6.5*G223/1000</f>
        <v>236.14999999999998</v>
      </c>
      <c r="H226" s="20" t="s">
        <v>56</v>
      </c>
      <c r="J226" s="17">
        <f t="shared" si="148"/>
        <v>154.51912701917712</v>
      </c>
      <c r="K226" s="15">
        <f t="shared" si="149"/>
        <v>0.50157471351621075</v>
      </c>
      <c r="L226" s="40">
        <f t="shared" si="150"/>
        <v>4190.5764597145289</v>
      </c>
      <c r="M226" s="16">
        <f t="shared" si="144"/>
        <v>1.3339816879677033</v>
      </c>
      <c r="N226" s="16">
        <f t="shared" si="145"/>
        <v>3.3059040725247772</v>
      </c>
      <c r="O226" s="16">
        <f t="shared" si="151"/>
        <v>8.9106392452715344</v>
      </c>
      <c r="P226" s="20">
        <f t="shared" si="152"/>
        <v>0.4702890942351049</v>
      </c>
      <c r="Q226" s="20">
        <v>7</v>
      </c>
      <c r="R226" s="57">
        <f t="shared" si="153"/>
        <v>1.9403277110541239E-4</v>
      </c>
      <c r="S226" s="57">
        <f t="shared" si="146"/>
        <v>3.3059040725247772</v>
      </c>
      <c r="T226" s="57">
        <v>5.7698910820646772E-2</v>
      </c>
      <c r="U226" s="58">
        <v>2.3282372616348048E-2</v>
      </c>
      <c r="V226" s="58">
        <f t="shared" si="154"/>
        <v>1.3339816879677033</v>
      </c>
      <c r="W226" s="58">
        <f t="shared" si="155"/>
        <v>1.1364372994648875E-5</v>
      </c>
      <c r="X226" s="20">
        <f t="shared" si="147"/>
        <v>7</v>
      </c>
    </row>
    <row r="227" spans="6:24" ht="18.600000000000001" x14ac:dyDescent="0.3">
      <c r="F227" s="20" t="s">
        <v>83</v>
      </c>
      <c r="G227" s="20">
        <f>C$11*SQRT(G226/C$12)</f>
        <v>308.06801629999455</v>
      </c>
      <c r="H227" s="20" t="s">
        <v>55</v>
      </c>
      <c r="J227" s="47">
        <f t="shared" si="148"/>
        <v>167.70423614177997</v>
      </c>
      <c r="K227" s="13">
        <f t="shared" si="149"/>
        <v>0.54437405789788551</v>
      </c>
      <c r="L227" s="48">
        <f t="shared" si="150"/>
        <v>4221.861006087951</v>
      </c>
      <c r="M227" s="14">
        <f t="shared" si="144"/>
        <v>0.87615253851935804</v>
      </c>
      <c r="N227" s="14">
        <f t="shared" si="145"/>
        <v>3.0907773664568867</v>
      </c>
      <c r="O227" s="14">
        <f t="shared" si="151"/>
        <v>9.0422908414317256</v>
      </c>
      <c r="P227" s="20">
        <f t="shared" si="152"/>
        <v>0.46690170446004764</v>
      </c>
      <c r="Q227" s="20">
        <v>8</v>
      </c>
      <c r="R227" s="57">
        <f t="shared" si="153"/>
        <v>5.4326177632901818E-5</v>
      </c>
      <c r="S227" s="57">
        <f t="shared" si="146"/>
        <v>3.0907773664568867</v>
      </c>
      <c r="T227" s="57">
        <v>5.3944241490792015E-2</v>
      </c>
      <c r="U227" s="58">
        <v>1.5291746546869241E-2</v>
      </c>
      <c r="V227" s="58">
        <f t="shared" si="154"/>
        <v>0.87615253851935804</v>
      </c>
      <c r="W227" s="58">
        <f t="shared" si="155"/>
        <v>4.0964528125186916E-6</v>
      </c>
      <c r="X227" s="20">
        <f t="shared" si="147"/>
        <v>8</v>
      </c>
    </row>
    <row r="228" spans="6:24" x14ac:dyDescent="0.3">
      <c r="F228" s="20" t="s">
        <v>149</v>
      </c>
      <c r="G228" s="20">
        <f>G210-G211</f>
        <v>897.42727257890385</v>
      </c>
      <c r="H228" s="20" t="s">
        <v>0</v>
      </c>
      <c r="J228" s="17">
        <f t="shared" si="148"/>
        <v>180.88934526438283</v>
      </c>
      <c r="K228" s="15">
        <f t="shared" si="149"/>
        <v>0.58717340227956027</v>
      </c>
      <c r="L228" s="40">
        <f t="shared" si="150"/>
        <v>4265.8091295192016</v>
      </c>
      <c r="M228" s="16">
        <f t="shared" si="144"/>
        <v>0.5173497478361645</v>
      </c>
      <c r="N228" s="16">
        <f t="shared" si="145"/>
        <v>2.8006240782143763</v>
      </c>
      <c r="O228" s="16">
        <f t="shared" si="151"/>
        <v>8.8383708083461361</v>
      </c>
      <c r="P228" s="20">
        <f t="shared" si="152"/>
        <v>0.48264654448430333</v>
      </c>
      <c r="Q228" s="59">
        <v>9</v>
      </c>
      <c r="R228" s="57">
        <f t="shared" si="153"/>
        <v>4.1600753320381045E-5</v>
      </c>
      <c r="S228" s="57">
        <f t="shared" si="146"/>
        <v>2.8006240782143763</v>
      </c>
      <c r="T228" s="57">
        <v>4.8880111275472059E-2</v>
      </c>
      <c r="U228" s="58">
        <v>9.0294564841034795E-3</v>
      </c>
      <c r="V228" s="58">
        <f t="shared" si="154"/>
        <v>0.5173497478361645</v>
      </c>
      <c r="W228" s="58">
        <f t="shared" si="155"/>
        <v>2.4807206955301808E-6</v>
      </c>
      <c r="X228" s="20">
        <f t="shared" si="147"/>
        <v>9</v>
      </c>
    </row>
    <row r="229" spans="6:24" x14ac:dyDescent="0.3">
      <c r="F229" s="20" t="s">
        <v>150</v>
      </c>
      <c r="G229" s="20" cm="1">
        <f t="array" ref="G229">C$16*(G241-G223)*MIN(IF(P220:P234&gt;0,P220:P234))</f>
        <v>27.64058090403482</v>
      </c>
      <c r="H229" s="20" t="s">
        <v>0</v>
      </c>
      <c r="J229" s="47">
        <f t="shared" si="148"/>
        <v>194.07445438698568</v>
      </c>
      <c r="K229" s="13">
        <f t="shared" si="149"/>
        <v>0.62997274666123493</v>
      </c>
      <c r="L229" s="48">
        <f t="shared" si="150"/>
        <v>4322.4208300082819</v>
      </c>
      <c r="M229" s="14">
        <f t="shared" si="144"/>
        <v>0.23131551953996535</v>
      </c>
      <c r="N229" s="14">
        <f t="shared" si="145"/>
        <v>2.4433927318837516</v>
      </c>
      <c r="O229" s="14">
        <f t="shared" si="151"/>
        <v>8.2738448971163852</v>
      </c>
      <c r="P229" s="20">
        <f t="shared" si="152"/>
        <v>0.5224198524092154</v>
      </c>
      <c r="Q229" s="59">
        <v>10</v>
      </c>
      <c r="R229" s="57">
        <f t="shared" si="153"/>
        <v>1.2097207218175754E-5</v>
      </c>
      <c r="S229" s="57">
        <f t="shared" si="146"/>
        <v>2.4433927318837516</v>
      </c>
      <c r="T229" s="57">
        <v>4.2645248090670496E-2</v>
      </c>
      <c r="U229" s="58">
        <v>4.0372174269336742E-3</v>
      </c>
      <c r="V229" s="58">
        <f t="shared" si="154"/>
        <v>0.23131551953996535</v>
      </c>
      <c r="W229" s="58">
        <f t="shared" si="155"/>
        <v>1.0887315511354245E-6</v>
      </c>
      <c r="X229" s="20">
        <f t="shared" si="147"/>
        <v>10</v>
      </c>
    </row>
    <row r="230" spans="6:24" x14ac:dyDescent="0.3">
      <c r="F230" s="20" t="s">
        <v>152</v>
      </c>
      <c r="G230" s="20">
        <f>(J234-J220)/Q233</f>
        <v>13.185109122602858</v>
      </c>
      <c r="H230" s="20" t="s">
        <v>55</v>
      </c>
      <c r="J230" s="17">
        <f t="shared" si="148"/>
        <v>207.25956350958856</v>
      </c>
      <c r="K230" s="15">
        <f t="shared" si="149"/>
        <v>0.6727720910429098</v>
      </c>
      <c r="L230" s="40">
        <f t="shared" si="150"/>
        <v>4391.6961075551917</v>
      </c>
      <c r="M230" s="16">
        <f t="shared" si="144"/>
        <v>-1.0335890527196432E-4</v>
      </c>
      <c r="N230" s="16">
        <f t="shared" si="145"/>
        <v>2.0236940809498627</v>
      </c>
      <c r="O230" s="16">
        <f t="shared" si="151"/>
        <v>7.3189116831358092</v>
      </c>
      <c r="P230" s="20">
        <f t="shared" si="152"/>
        <v>0.60004769803063895</v>
      </c>
      <c r="Q230" s="59">
        <v>11</v>
      </c>
      <c r="R230" s="57">
        <f t="shared" si="153"/>
        <v>1.3293683878146112E-5</v>
      </c>
      <c r="S230" s="57">
        <f t="shared" si="146"/>
        <v>2.0236940809498627</v>
      </c>
      <c r="T230" s="57">
        <v>3.5320124765695758E-2</v>
      </c>
      <c r="U230" s="58">
        <v>-1.8039532082527024E-6</v>
      </c>
      <c r="V230" s="58">
        <f t="shared" si="154"/>
        <v>-1.0335890527196432E-4</v>
      </c>
      <c r="W230" s="58">
        <f t="shared" si="155"/>
        <v>6.8611552705988288E-7</v>
      </c>
      <c r="X230" s="20">
        <f t="shared" si="147"/>
        <v>11</v>
      </c>
    </row>
    <row r="231" spans="6:24" x14ac:dyDescent="0.3">
      <c r="J231" s="47">
        <f t="shared" si="148"/>
        <v>220.44467263219141</v>
      </c>
      <c r="K231" s="13">
        <f t="shared" si="149"/>
        <v>0.71557143542458457</v>
      </c>
      <c r="L231" s="48">
        <f t="shared" si="150"/>
        <v>4473.6349621599311</v>
      </c>
      <c r="M231" s="14">
        <f t="shared" si="144"/>
        <v>-0.18977213156531386</v>
      </c>
      <c r="N231" s="14">
        <f t="shared" si="145"/>
        <v>1.5438749020929985</v>
      </c>
      <c r="O231" s="14">
        <f t="shared" si="151"/>
        <v>5.9393172888374073</v>
      </c>
      <c r="P231" s="20">
        <f t="shared" si="152"/>
        <v>0.75322377044376143</v>
      </c>
      <c r="Q231" s="59">
        <v>12</v>
      </c>
      <c r="R231" s="57">
        <f t="shared" si="153"/>
        <v>3.8882353692315519E-7</v>
      </c>
      <c r="S231" s="57">
        <f t="shared" si="146"/>
        <v>1.5438749020929985</v>
      </c>
      <c r="T231" s="57">
        <v>2.6945700280427917E-2</v>
      </c>
      <c r="U231" s="58">
        <v>-3.3121485243425871E-3</v>
      </c>
      <c r="V231" s="58">
        <f t="shared" si="154"/>
        <v>-0.18977213156531386</v>
      </c>
      <c r="W231" s="58">
        <f t="shared" si="155"/>
        <v>1.4355282473843545E-7</v>
      </c>
      <c r="X231" s="20">
        <f t="shared" si="147"/>
        <v>12</v>
      </c>
    </row>
    <row r="232" spans="6:24" x14ac:dyDescent="0.3">
      <c r="J232" s="17">
        <f t="shared" si="148"/>
        <v>233.62978175479427</v>
      </c>
      <c r="K232" s="15">
        <f t="shared" si="149"/>
        <v>0.75837077980625933</v>
      </c>
      <c r="L232" s="40">
        <f t="shared" si="150"/>
        <v>4568.2373938224982</v>
      </c>
      <c r="M232" s="16">
        <f t="shared" si="144"/>
        <v>-0.34700809711475028</v>
      </c>
      <c r="N232" s="16">
        <f t="shared" si="145"/>
        <v>1.0046673141350291</v>
      </c>
      <c r="O232" s="16">
        <f t="shared" si="151"/>
        <v>4.0964304766626878</v>
      </c>
      <c r="P232" s="20">
        <f t="shared" si="152"/>
        <v>1.1151751310922249</v>
      </c>
      <c r="Q232" s="20">
        <v>13</v>
      </c>
      <c r="R232" s="57">
        <f t="shared" si="153"/>
        <v>1.8695573089644313E-8</v>
      </c>
      <c r="S232" s="57">
        <f t="shared" si="146"/>
        <v>1.0046673141350291</v>
      </c>
      <c r="T232" s="57">
        <v>1.7534752518824425E-2</v>
      </c>
      <c r="U232" s="58">
        <v>-6.0564338257326272E-3</v>
      </c>
      <c r="V232" s="58">
        <f t="shared" si="154"/>
        <v>-0.34700809711475028</v>
      </c>
      <c r="W232" s="58">
        <f t="shared" si="155"/>
        <v>-3.3310243452433497E-11</v>
      </c>
      <c r="X232" s="20">
        <f t="shared" si="147"/>
        <v>13</v>
      </c>
    </row>
    <row r="233" spans="6:24" x14ac:dyDescent="0.3">
      <c r="J233" s="47">
        <f>J$220+Q232*G$230</f>
        <v>246.81489087739712</v>
      </c>
      <c r="K233" s="13">
        <f t="shared" si="149"/>
        <v>0.80117012418793399</v>
      </c>
      <c r="L233" s="48">
        <f t="shared" si="150"/>
        <v>4675.503402542894</v>
      </c>
      <c r="M233" s="14">
        <f t="shared" si="144"/>
        <v>-0.4786890881958939</v>
      </c>
      <c r="N233" s="14">
        <f t="shared" si="145"/>
        <v>0.40558732891304172</v>
      </c>
      <c r="O233" s="14">
        <f t="shared" si="151"/>
        <v>1.7471471221434423</v>
      </c>
      <c r="P233" s="20">
        <f t="shared" si="152"/>
        <v>2.6760788163087685</v>
      </c>
      <c r="Q233" s="20">
        <v>14</v>
      </c>
      <c r="R233" s="57">
        <f t="shared" si="153"/>
        <v>-5.1368260756134987E-9</v>
      </c>
      <c r="S233" s="57">
        <f t="shared" si="146"/>
        <v>0.40558732891304172</v>
      </c>
      <c r="T233" s="57">
        <v>7.0788342939017718E-3</v>
      </c>
      <c r="U233" s="58">
        <v>-8.3547006823878715E-3</v>
      </c>
      <c r="V233" s="58">
        <f t="shared" si="154"/>
        <v>-0.4786890881958939</v>
      </c>
      <c r="W233" s="58">
        <f t="shared" si="155"/>
        <v>-6.3266725192079321E-11</v>
      </c>
      <c r="X233" s="20">
        <f t="shared" si="147"/>
        <v>14</v>
      </c>
    </row>
    <row r="234" spans="6:24" x14ac:dyDescent="0.3">
      <c r="J234" s="17">
        <v>260</v>
      </c>
      <c r="K234" s="15">
        <f t="shared" si="149"/>
        <v>0.84396946856960886</v>
      </c>
      <c r="L234" s="40">
        <f t="shared" si="150"/>
        <v>4795.4329883211194</v>
      </c>
      <c r="M234" s="16">
        <f t="shared" si="144"/>
        <v>-0.58997895774024434</v>
      </c>
      <c r="N234" s="16">
        <f t="shared" si="145"/>
        <v>-0.25482118133748283</v>
      </c>
      <c r="O234" s="16">
        <f t="shared" si="151"/>
        <v>-1.1563380286563369</v>
      </c>
      <c r="P234" s="20">
        <f t="shared" si="152"/>
        <v>-4.1470857737796667</v>
      </c>
      <c r="Q234" s="59">
        <v>15</v>
      </c>
      <c r="R234" s="57">
        <f t="shared" si="153"/>
        <v>3.2105235732160509E-5</v>
      </c>
      <c r="S234" s="57">
        <f t="shared" si="146"/>
        <v>-0.25482118133748283</v>
      </c>
      <c r="T234" s="57">
        <v>-4.447468618160603E-3</v>
      </c>
      <c r="U234" s="58">
        <v>-1.0297075330051747E-2</v>
      </c>
      <c r="V234" s="58">
        <f t="shared" si="154"/>
        <v>-0.58997895774024434</v>
      </c>
      <c r="W234" s="58">
        <f t="shared" si="155"/>
        <v>-8.6156688894334366E-8</v>
      </c>
      <c r="X234" s="20">
        <f t="shared" si="147"/>
        <v>15</v>
      </c>
    </row>
    <row r="235" spans="6:24" ht="15.6" thickBot="1" x14ac:dyDescent="0.35"/>
    <row r="236" spans="6:24" ht="16.2" thickBot="1" x14ac:dyDescent="0.35">
      <c r="J236" s="146" t="s">
        <v>106</v>
      </c>
      <c r="K236" s="147"/>
      <c r="L236" s="147"/>
      <c r="M236" s="147"/>
      <c r="N236" s="147"/>
      <c r="O236" s="148"/>
    </row>
    <row r="237" spans="6:24" ht="18.600000000000001" thickBot="1" x14ac:dyDescent="0.35">
      <c r="F237" s="49"/>
      <c r="J237" s="50" t="s">
        <v>63</v>
      </c>
      <c r="K237" s="65" t="s">
        <v>53</v>
      </c>
      <c r="L237" s="50" t="s">
        <v>65</v>
      </c>
      <c r="M237" s="50" t="s">
        <v>66</v>
      </c>
      <c r="N237" s="50" t="s">
        <v>84</v>
      </c>
      <c r="O237" s="50" t="s">
        <v>64</v>
      </c>
      <c r="P237" s="20" t="s">
        <v>151</v>
      </c>
      <c r="R237" s="51" t="s">
        <v>85</v>
      </c>
      <c r="S237" s="52" t="s">
        <v>87</v>
      </c>
      <c r="T237" s="52" t="s">
        <v>86</v>
      </c>
      <c r="U237" s="54" t="s">
        <v>86</v>
      </c>
      <c r="V237" s="54" t="s">
        <v>87</v>
      </c>
      <c r="W237" s="53" t="s">
        <v>88</v>
      </c>
    </row>
    <row r="238" spans="6:24" x14ac:dyDescent="0.3">
      <c r="F238" s="49"/>
      <c r="J238" s="44">
        <f>SQRT(2*(C$14+G246)*C$10/C$4/C$15/G242)</f>
        <v>84.758912726482023</v>
      </c>
      <c r="K238" s="63">
        <f>J238/G$245</f>
        <v>0.28303118800176047</v>
      </c>
      <c r="L238" s="55">
        <f>G$243*(1-0.605*K238+0.725*K238^2)</f>
        <v>3444.4741481686724</v>
      </c>
      <c r="M238" s="56">
        <f t="shared" ref="M238:M252" si="156">V238</f>
        <v>11.28133064418599</v>
      </c>
      <c r="N238" s="56">
        <f t="shared" ref="N238:N252" si="157">S238</f>
        <v>-0.1191480432908426</v>
      </c>
      <c r="O238" s="56">
        <f>J238*SIN(RADIANS(N238))</f>
        <v>-0.17625820627653679</v>
      </c>
      <c r="P238" s="20">
        <f>L238/1000/O238</f>
        <v>-19.54220584070017</v>
      </c>
      <c r="Q238" s="20">
        <v>1</v>
      </c>
      <c r="R238" s="57">
        <f>0.5*G$242*C$4*C$2*(U238-C$5)*J238^2+L238*SIN(U238-C$1)-C$10*(C$14+G$246*(J$252-J238)/(J$252-J$238))*COS(T238)</f>
        <v>2.3550109472125769E-4</v>
      </c>
      <c r="S238" s="57">
        <f t="shared" ref="S238:S252" si="158">DEGREES(T238)</f>
        <v>-0.1191480432908426</v>
      </c>
      <c r="T238" s="57">
        <v>-2.0795256527339429E-3</v>
      </c>
      <c r="U238" s="58">
        <v>0.19689636374717842</v>
      </c>
      <c r="V238" s="58">
        <f>DEGREES(U238)</f>
        <v>11.28133064418599</v>
      </c>
      <c r="W238" s="58">
        <f>-0.5*G$242*C$4*J238^2*(C$7+(C$2^2)*(U238-C$5)^2/(PI()*C$6))+L238*COS(U238-C$1)-C$10*(C$14+G$246*(J$252-J238)/(J$252-J$238))*SIN(T238)</f>
        <v>7.166012046866399E-5</v>
      </c>
      <c r="X238" s="20">
        <f t="shared" ref="X238:X252" si="159">Q238</f>
        <v>1</v>
      </c>
    </row>
    <row r="239" spans="6:24" x14ac:dyDescent="0.3">
      <c r="F239" s="49"/>
      <c r="J239" s="47">
        <f t="shared" ref="J239:J250" si="160">J$238+Q238*G$248</f>
        <v>97.990418960304737</v>
      </c>
      <c r="K239" s="13">
        <f t="shared" ref="K239:K252" si="161">J239/G$245</f>
        <v>0.32721449342589287</v>
      </c>
      <c r="L239" s="48">
        <f t="shared" ref="L239:L252" si="162">G$243*(1-0.605*K239+0.725*K239^2)</f>
        <v>3416.5757288212176</v>
      </c>
      <c r="M239" s="14">
        <f t="shared" si="156"/>
        <v>7.9727966200287321</v>
      </c>
      <c r="N239" s="14">
        <f t="shared" si="157"/>
        <v>0.98828154236098598</v>
      </c>
      <c r="O239" s="14">
        <f t="shared" ref="O239:O252" si="163">J239*SIN(RADIANS(N239))</f>
        <v>1.6901300794529088</v>
      </c>
      <c r="P239" s="20">
        <f t="shared" ref="P239:P252" si="164">L239/1000/O239</f>
        <v>2.021486849063804</v>
      </c>
      <c r="Q239" s="20">
        <v>2</v>
      </c>
      <c r="R239" s="57">
        <f t="shared" ref="R239:R252" si="165">0.5*G$242*C$4*C$2*(U239-C$5)*J239^2+L239*SIN(U239-C$1)-C$10*(C$14+G$246*(J$252-J239)/(J$252-J$238))*COS(T239)</f>
        <v>7.1049282269086689E-5</v>
      </c>
      <c r="S239" s="57">
        <f t="shared" si="158"/>
        <v>0.98828154236098598</v>
      </c>
      <c r="T239" s="57">
        <v>1.7248766850887019E-2</v>
      </c>
      <c r="U239" s="58">
        <v>0.13915155161137666</v>
      </c>
      <c r="V239" s="58">
        <f t="shared" ref="V239:V252" si="166">DEGREES(U239)</f>
        <v>7.9727966200287321</v>
      </c>
      <c r="W239" s="58">
        <f t="shared" ref="W239:W252" si="167">-0.5*G$242*C$4*J239^2*(C$7+(C$2^2)*(U239-C$5)^2/(PI()*C$6))+L239*COS(U239-C$1)-C$10*(C$14+G$246*(J$252-J239)/(J$252-J$238))*SIN(T239)</f>
        <v>-2.6075575453887723E-4</v>
      </c>
      <c r="X239" s="20">
        <f t="shared" si="159"/>
        <v>2</v>
      </c>
    </row>
    <row r="240" spans="6:24" x14ac:dyDescent="0.3">
      <c r="F240" s="49"/>
      <c r="J240" s="17">
        <f t="shared" si="160"/>
        <v>111.22192519412745</v>
      </c>
      <c r="K240" s="15">
        <f t="shared" si="161"/>
        <v>0.37139779885002533</v>
      </c>
      <c r="L240" s="40">
        <f t="shared" si="162"/>
        <v>3399.6714269347035</v>
      </c>
      <c r="M240" s="16">
        <f t="shared" si="156"/>
        <v>5.7706867428782065</v>
      </c>
      <c r="N240" s="16">
        <f t="shared" si="157"/>
        <v>1.6444758527660663</v>
      </c>
      <c r="O240" s="16">
        <f t="shared" si="163"/>
        <v>3.1917998350332355</v>
      </c>
      <c r="P240" s="20">
        <f t="shared" si="164"/>
        <v>1.0651267631572214</v>
      </c>
      <c r="Q240" s="59">
        <v>3</v>
      </c>
      <c r="R240" s="57">
        <f t="shared" si="165"/>
        <v>5.7943107094615698E-6</v>
      </c>
      <c r="S240" s="57">
        <f t="shared" si="158"/>
        <v>1.6444758527660663</v>
      </c>
      <c r="T240" s="57">
        <v>2.8701518100309357E-2</v>
      </c>
      <c r="U240" s="58">
        <v>0.10071748376441214</v>
      </c>
      <c r="V240" s="58">
        <f t="shared" si="166"/>
        <v>5.7706867428782065</v>
      </c>
      <c r="W240" s="58">
        <f t="shared" si="167"/>
        <v>-2.7430346790424665E-5</v>
      </c>
      <c r="X240" s="20">
        <f t="shared" si="159"/>
        <v>3</v>
      </c>
    </row>
    <row r="241" spans="6:24" x14ac:dyDescent="0.3">
      <c r="F241" s="22" t="s">
        <v>6</v>
      </c>
      <c r="G241" s="22">
        <v>10000</v>
      </c>
      <c r="H241" s="22" t="s">
        <v>3</v>
      </c>
      <c r="J241" s="47">
        <f t="shared" si="160"/>
        <v>124.45343142795016</v>
      </c>
      <c r="K241" s="13">
        <f t="shared" si="161"/>
        <v>0.41558110427415779</v>
      </c>
      <c r="L241" s="48">
        <f t="shared" si="162"/>
        <v>3393.7612425091302</v>
      </c>
      <c r="M241" s="14">
        <f t="shared" si="156"/>
        <v>4.2365750277684366</v>
      </c>
      <c r="N241" s="14">
        <f t="shared" si="157"/>
        <v>2.0198732843272666</v>
      </c>
      <c r="O241" s="14">
        <f t="shared" si="163"/>
        <v>4.3865027622645894</v>
      </c>
      <c r="P241" s="20">
        <f t="shared" si="164"/>
        <v>0.77368268674178531</v>
      </c>
      <c r="Q241" s="59">
        <v>4</v>
      </c>
      <c r="R241" s="57">
        <f t="shared" si="165"/>
        <v>2.9389848350547254E-6</v>
      </c>
      <c r="S241" s="57">
        <f t="shared" si="158"/>
        <v>2.0198732843272666</v>
      </c>
      <c r="T241" s="57">
        <v>3.5253439284582383E-2</v>
      </c>
      <c r="U241" s="58">
        <v>7.3942183242329415E-2</v>
      </c>
      <c r="V241" s="58">
        <f t="shared" si="166"/>
        <v>4.2365750277684366</v>
      </c>
      <c r="W241" s="58">
        <f t="shared" si="167"/>
        <v>1.6809480030133273E-5</v>
      </c>
      <c r="X241" s="20">
        <f t="shared" si="159"/>
        <v>4</v>
      </c>
    </row>
    <row r="242" spans="6:24" ht="18.600000000000001" x14ac:dyDescent="0.3">
      <c r="F242" s="20" t="s">
        <v>79</v>
      </c>
      <c r="G242" s="20">
        <f>C$9*(1-G241/44300)^4.256</f>
        <v>0.41250653364731776</v>
      </c>
      <c r="H242" s="20" t="s">
        <v>80</v>
      </c>
      <c r="J242" s="17">
        <f t="shared" si="160"/>
        <v>137.68493766177286</v>
      </c>
      <c r="K242" s="15">
        <f t="shared" si="161"/>
        <v>0.45976440969829019</v>
      </c>
      <c r="L242" s="40">
        <f t="shared" si="162"/>
        <v>3398.8451755444971</v>
      </c>
      <c r="M242" s="16">
        <f t="shared" si="156"/>
        <v>3.1280043097448731</v>
      </c>
      <c r="N242" s="16">
        <f t="shared" si="157"/>
        <v>2.208052333531588</v>
      </c>
      <c r="O242" s="16">
        <f t="shared" si="163"/>
        <v>5.3047589905295549</v>
      </c>
      <c r="P242" s="20">
        <f t="shared" si="164"/>
        <v>0.64071622888285129</v>
      </c>
      <c r="Q242" s="59">
        <v>5</v>
      </c>
      <c r="R242" s="57">
        <f t="shared" si="165"/>
        <v>8.0329191405326128E-5</v>
      </c>
      <c r="S242" s="57">
        <f t="shared" si="158"/>
        <v>2.208052333531588</v>
      </c>
      <c r="T242" s="57">
        <v>3.85377832764702E-2</v>
      </c>
      <c r="U242" s="58">
        <v>5.4593974221620586E-2</v>
      </c>
      <c r="V242" s="58">
        <f t="shared" si="166"/>
        <v>3.1280043097448731</v>
      </c>
      <c r="W242" s="58">
        <f>-0.5*G$242*C$4*J242^2*(C$7+(C$2^2)*(U242-C$5)^2/(PI()*C$6))+L242*COS(U242-C$1)-C$10*(C$14+G$246*(J$252-J242)/(J$252-J$238))*SIN(T242)</f>
        <v>1.2759611081492039E-5</v>
      </c>
      <c r="X242" s="20">
        <f t="shared" si="159"/>
        <v>5</v>
      </c>
    </row>
    <row r="243" spans="6:24" ht="18.600000000000001" x14ac:dyDescent="0.3">
      <c r="F243" s="20" t="s">
        <v>81</v>
      </c>
      <c r="G243" s="20">
        <f>C$3*(G242/C$9)^0.85</f>
        <v>3883.9708732151303</v>
      </c>
      <c r="H243" s="20" t="s">
        <v>28</v>
      </c>
      <c r="J243" s="47">
        <f t="shared" si="160"/>
        <v>150.91644389559559</v>
      </c>
      <c r="K243" s="13">
        <f t="shared" si="161"/>
        <v>0.50394771512242265</v>
      </c>
      <c r="L243" s="48">
        <f t="shared" si="162"/>
        <v>3414.9232260408044</v>
      </c>
      <c r="M243" s="14">
        <f t="shared" si="156"/>
        <v>2.3026481597782196</v>
      </c>
      <c r="N243" s="14">
        <f t="shared" si="157"/>
        <v>2.2632944813167701</v>
      </c>
      <c r="O243" s="14">
        <f t="shared" si="163"/>
        <v>5.9599421407489368</v>
      </c>
      <c r="P243" s="20">
        <f t="shared" si="164"/>
        <v>0.57297925808583083</v>
      </c>
      <c r="Q243" s="59">
        <v>6</v>
      </c>
      <c r="R243" s="57">
        <f t="shared" si="165"/>
        <v>2.8038151504006237E-4</v>
      </c>
      <c r="S243" s="57">
        <f t="shared" si="158"/>
        <v>2.2632944813167701</v>
      </c>
      <c r="T243" s="57">
        <v>3.9501940641194923E-2</v>
      </c>
      <c r="U243" s="58">
        <v>4.0188791903118394E-2</v>
      </c>
      <c r="V243" s="58">
        <f t="shared" si="166"/>
        <v>2.3026481597782196</v>
      </c>
      <c r="W243" s="58">
        <f t="shared" si="167"/>
        <v>1.8606143839861033E-5</v>
      </c>
      <c r="X243" s="20">
        <f t="shared" si="159"/>
        <v>6</v>
      </c>
    </row>
    <row r="244" spans="6:24" ht="18.600000000000001" x14ac:dyDescent="0.3">
      <c r="F244" s="20" t="s">
        <v>82</v>
      </c>
      <c r="G244" s="20">
        <f>C$12-6.5*G241/1000</f>
        <v>223.14999999999998</v>
      </c>
      <c r="H244" s="20" t="s">
        <v>56</v>
      </c>
      <c r="J244" s="17">
        <f t="shared" si="160"/>
        <v>164.14795012941829</v>
      </c>
      <c r="K244" s="15">
        <f t="shared" si="161"/>
        <v>0.54813102054655505</v>
      </c>
      <c r="L244" s="40">
        <f t="shared" si="162"/>
        <v>3441.9953939980528</v>
      </c>
      <c r="M244" s="16">
        <f t="shared" si="156"/>
        <v>1.672725868025515</v>
      </c>
      <c r="N244" s="16">
        <f t="shared" si="157"/>
        <v>2.2184662575960092</v>
      </c>
      <c r="O244" s="16">
        <f t="shared" si="163"/>
        <v>6.3541452396842191</v>
      </c>
      <c r="P244" s="20">
        <f t="shared" si="164"/>
        <v>0.54169290505061052</v>
      </c>
      <c r="Q244" s="20">
        <v>7</v>
      </c>
      <c r="R244" s="57">
        <f t="shared" si="165"/>
        <v>1.2228701234562322E-4</v>
      </c>
      <c r="S244" s="57">
        <f t="shared" si="158"/>
        <v>2.2184662575960092</v>
      </c>
      <c r="T244" s="57">
        <v>3.8719540539447025E-2</v>
      </c>
      <c r="U244" s="58">
        <v>2.9194573880325377E-2</v>
      </c>
      <c r="V244" s="58">
        <f t="shared" si="166"/>
        <v>1.672725868025515</v>
      </c>
      <c r="W244" s="58">
        <f t="shared" si="167"/>
        <v>7.6267363056103932E-6</v>
      </c>
      <c r="X244" s="20">
        <f t="shared" si="159"/>
        <v>7</v>
      </c>
    </row>
    <row r="245" spans="6:24" ht="18.600000000000001" x14ac:dyDescent="0.3">
      <c r="F245" s="20" t="s">
        <v>83</v>
      </c>
      <c r="G245" s="20">
        <f>C$11*SQRT(G244/C$12)</f>
        <v>299.46845549033566</v>
      </c>
      <c r="H245" s="20" t="s">
        <v>55</v>
      </c>
      <c r="J245" s="47">
        <f t="shared" si="160"/>
        <v>177.37945636324099</v>
      </c>
      <c r="K245" s="13">
        <f t="shared" si="161"/>
        <v>0.59231432597068745</v>
      </c>
      <c r="L245" s="48">
        <f t="shared" si="162"/>
        <v>3480.0616794162406</v>
      </c>
      <c r="M245" s="14">
        <f t="shared" si="156"/>
        <v>1.1818142882664355</v>
      </c>
      <c r="N245" s="14">
        <f t="shared" si="157"/>
        <v>2.0941004970141206</v>
      </c>
      <c r="O245" s="14">
        <f t="shared" si="163"/>
        <v>6.4815893523049448</v>
      </c>
      <c r="P245" s="20">
        <f t="shared" si="164"/>
        <v>0.5369148661321288</v>
      </c>
      <c r="Q245" s="20">
        <v>8</v>
      </c>
      <c r="R245" s="57">
        <f t="shared" si="165"/>
        <v>4.4182968849781901E-5</v>
      </c>
      <c r="S245" s="57">
        <f t="shared" si="158"/>
        <v>2.0941004970141206</v>
      </c>
      <c r="T245" s="57">
        <v>3.6548948540546085E-2</v>
      </c>
      <c r="U245" s="58">
        <v>2.0626550477362688E-2</v>
      </c>
      <c r="V245" s="58">
        <f t="shared" si="166"/>
        <v>1.1818142882664355</v>
      </c>
      <c r="W245" s="58">
        <f t="shared" si="167"/>
        <v>3.0466637781501049E-6</v>
      </c>
      <c r="X245" s="20">
        <f t="shared" si="159"/>
        <v>8</v>
      </c>
    </row>
    <row r="246" spans="6:24" x14ac:dyDescent="0.3">
      <c r="F246" s="20" t="s">
        <v>149</v>
      </c>
      <c r="G246" s="20">
        <f>G228-G229</f>
        <v>869.78669167486908</v>
      </c>
      <c r="H246" s="20" t="s">
        <v>0</v>
      </c>
      <c r="J246" s="17">
        <f t="shared" si="160"/>
        <v>190.61096259706372</v>
      </c>
      <c r="K246" s="15">
        <f t="shared" si="161"/>
        <v>0.63649763139481996</v>
      </c>
      <c r="L246" s="40">
        <f t="shared" si="162"/>
        <v>3529.1220822953705</v>
      </c>
      <c r="M246" s="16">
        <f t="shared" si="156"/>
        <v>0.79235649162105282</v>
      </c>
      <c r="N246" s="16">
        <f t="shared" si="157"/>
        <v>1.9032746107483791</v>
      </c>
      <c r="O246" s="16">
        <f t="shared" si="163"/>
        <v>6.3306284067224148</v>
      </c>
      <c r="P246" s="20">
        <f t="shared" si="164"/>
        <v>0.5574678934792382</v>
      </c>
      <c r="Q246" s="59">
        <v>9</v>
      </c>
      <c r="R246" s="57">
        <f t="shared" si="165"/>
        <v>4.4667358451988548E-6</v>
      </c>
      <c r="S246" s="57">
        <f t="shared" si="158"/>
        <v>1.9032746107483791</v>
      </c>
      <c r="T246" s="57">
        <v>3.3218408527172671E-2</v>
      </c>
      <c r="U246" s="58">
        <v>1.3829229628338234E-2</v>
      </c>
      <c r="V246" s="58">
        <f t="shared" si="166"/>
        <v>0.79235649162105282</v>
      </c>
      <c r="W246" s="58">
        <f t="shared" si="167"/>
        <v>1.0500150438019773E-6</v>
      </c>
      <c r="X246" s="20">
        <f t="shared" si="159"/>
        <v>9</v>
      </c>
    </row>
    <row r="247" spans="6:24" x14ac:dyDescent="0.3">
      <c r="F247" s="20" t="s">
        <v>150</v>
      </c>
      <c r="G247" s="20" cm="1">
        <f t="array" ref="G247">C$16*(G259-G241)*MIN(IF(P238:P252&gt;0,P238:P252))</f>
        <v>31.785360075022027</v>
      </c>
      <c r="H247" s="20" t="s">
        <v>0</v>
      </c>
      <c r="J247" s="47">
        <f t="shared" si="160"/>
        <v>203.84246883088645</v>
      </c>
      <c r="K247" s="13">
        <f t="shared" si="161"/>
        <v>0.68068093681895248</v>
      </c>
      <c r="L247" s="48">
        <f t="shared" si="162"/>
        <v>3589.1766026354394</v>
      </c>
      <c r="M247" s="14">
        <f t="shared" si="156"/>
        <v>0.4785955299637849</v>
      </c>
      <c r="N247" s="14">
        <f t="shared" si="157"/>
        <v>1.6543588872235861</v>
      </c>
      <c r="O247" s="14">
        <f t="shared" si="163"/>
        <v>5.8849316011574802</v>
      </c>
      <c r="P247" s="20">
        <f t="shared" si="164"/>
        <v>0.60989266246178642</v>
      </c>
      <c r="Q247" s="59">
        <v>10</v>
      </c>
      <c r="R247" s="57">
        <f t="shared" si="165"/>
        <v>9.4755232566967607E-6</v>
      </c>
      <c r="S247" s="57">
        <f t="shared" si="158"/>
        <v>1.6543588872235861</v>
      </c>
      <c r="T247" s="57">
        <v>2.887400959168113E-2</v>
      </c>
      <c r="U247" s="58">
        <v>8.3530677831952244E-3</v>
      </c>
      <c r="V247" s="58">
        <f t="shared" si="166"/>
        <v>0.4785955299637849</v>
      </c>
      <c r="W247" s="58">
        <f>-0.5*G$242*C$4*J247^2*(C$7+(C$2^2)*(U247-C$5)^2/(PI()*C$6))+L247*COS(U247-C$1)-C$10*(C$14+G$246*(J$252-J247)/(J$252-J$238))*SIN(T247)</f>
        <v>8.3521308624767698E-7</v>
      </c>
      <c r="X247" s="20">
        <f t="shared" si="159"/>
        <v>10</v>
      </c>
    </row>
    <row r="248" spans="6:24" x14ac:dyDescent="0.3">
      <c r="F248" s="20" t="s">
        <v>152</v>
      </c>
      <c r="G248" s="20">
        <f>(J252-J238)/Q251</f>
        <v>13.231506233822712</v>
      </c>
      <c r="H248" s="20" t="s">
        <v>55</v>
      </c>
      <c r="J248" s="17">
        <f t="shared" si="160"/>
        <v>217.07397506470915</v>
      </c>
      <c r="K248" s="15">
        <f t="shared" si="161"/>
        <v>0.72486424224308488</v>
      </c>
      <c r="L248" s="40">
        <f t="shared" si="162"/>
        <v>3660.2252404364499</v>
      </c>
      <c r="M248" s="16">
        <f t="shared" si="156"/>
        <v>0.22240533243631105</v>
      </c>
      <c r="N248" s="16">
        <f t="shared" si="157"/>
        <v>1.352628755016289</v>
      </c>
      <c r="O248" s="16">
        <f t="shared" si="163"/>
        <v>5.1241684815684021</v>
      </c>
      <c r="P248" s="20">
        <f t="shared" si="164"/>
        <v>0.71430618520883038</v>
      </c>
      <c r="Q248" s="59">
        <v>11</v>
      </c>
      <c r="R248" s="57">
        <f t="shared" si="165"/>
        <v>7.5331881816964597E-6</v>
      </c>
      <c r="S248" s="57">
        <f t="shared" si="158"/>
        <v>1.352628755016289</v>
      </c>
      <c r="T248" s="57">
        <v>2.360782533218601E-2</v>
      </c>
      <c r="U248" s="58">
        <v>3.8817053250061696E-3</v>
      </c>
      <c r="V248" s="58">
        <f t="shared" si="166"/>
        <v>0.22240533243631105</v>
      </c>
      <c r="W248" s="58">
        <f t="shared" si="167"/>
        <v>5.5790314945625141E-7</v>
      </c>
      <c r="X248" s="20">
        <f t="shared" si="159"/>
        <v>11</v>
      </c>
    </row>
    <row r="249" spans="6:24" x14ac:dyDescent="0.3">
      <c r="J249" s="47">
        <f t="shared" si="160"/>
        <v>230.30548129853184</v>
      </c>
      <c r="K249" s="13">
        <f t="shared" si="161"/>
        <v>0.76904754766721728</v>
      </c>
      <c r="L249" s="48">
        <f t="shared" si="162"/>
        <v>3742.2679956984002</v>
      </c>
      <c r="M249" s="14">
        <f t="shared" si="156"/>
        <v>1.0739759848925978E-2</v>
      </c>
      <c r="N249" s="14">
        <f t="shared" si="157"/>
        <v>1.0012426591171011</v>
      </c>
      <c r="O249" s="14">
        <f t="shared" si="163"/>
        <v>4.0243790814868685</v>
      </c>
      <c r="P249" s="20">
        <f t="shared" si="164"/>
        <v>0.92989947515475158</v>
      </c>
      <c r="Q249" s="59">
        <v>12</v>
      </c>
      <c r="R249" s="57">
        <f t="shared" si="165"/>
        <v>2.2439598978962749E-6</v>
      </c>
      <c r="S249" s="57">
        <f t="shared" si="158"/>
        <v>1.0012426591171011</v>
      </c>
      <c r="T249" s="57">
        <v>1.7474981013016633E-2</v>
      </c>
      <c r="U249" s="58">
        <v>1.8744417023724711E-4</v>
      </c>
      <c r="V249" s="58">
        <f t="shared" si="166"/>
        <v>1.0739759848925978E-2</v>
      </c>
      <c r="W249" s="58">
        <f t="shared" si="167"/>
        <v>2.7068324470747029E-7</v>
      </c>
      <c r="X249" s="20">
        <f t="shared" si="159"/>
        <v>12</v>
      </c>
    </row>
    <row r="250" spans="6:24" x14ac:dyDescent="0.3">
      <c r="J250" s="17">
        <f t="shared" si="160"/>
        <v>243.53698753235454</v>
      </c>
      <c r="K250" s="15">
        <f t="shared" si="161"/>
        <v>0.81323085309134968</v>
      </c>
      <c r="L250" s="40">
        <f t="shared" si="162"/>
        <v>3835.3048684212913</v>
      </c>
      <c r="M250" s="16">
        <f t="shared" si="156"/>
        <v>-0.16597864684463215</v>
      </c>
      <c r="N250" s="16">
        <f t="shared" si="157"/>
        <v>0.60185109279968052</v>
      </c>
      <c r="O250" s="16">
        <f t="shared" si="163"/>
        <v>2.5581344362064216</v>
      </c>
      <c r="P250" s="20">
        <f t="shared" si="164"/>
        <v>1.4992585276748966</v>
      </c>
      <c r="Q250" s="20">
        <v>13</v>
      </c>
      <c r="R250" s="57">
        <f t="shared" si="165"/>
        <v>5.4747943067923188E-8</v>
      </c>
      <c r="S250" s="57">
        <f t="shared" si="158"/>
        <v>0.60185109279968052</v>
      </c>
      <c r="T250" s="57">
        <v>1.0504283176080362E-2</v>
      </c>
      <c r="U250" s="58">
        <v>-2.8968738754437283E-3</v>
      </c>
      <c r="V250" s="58">
        <f t="shared" si="166"/>
        <v>-0.16597864684463215</v>
      </c>
      <c r="W250" s="58">
        <f t="shared" si="167"/>
        <v>1.1119539067294681E-8</v>
      </c>
      <c r="X250" s="20">
        <f t="shared" si="159"/>
        <v>13</v>
      </c>
    </row>
    <row r="251" spans="6:24" x14ac:dyDescent="0.3">
      <c r="J251" s="47">
        <f>J$238+Q250*G$248</f>
        <v>256.7684937661773</v>
      </c>
      <c r="K251" s="13">
        <f t="shared" si="161"/>
        <v>0.85741415851548231</v>
      </c>
      <c r="L251" s="48">
        <f t="shared" si="162"/>
        <v>3939.3358586051245</v>
      </c>
      <c r="M251" s="14">
        <f t="shared" si="156"/>
        <v>-0.31490521177942588</v>
      </c>
      <c r="N251" s="14">
        <f t="shared" si="157"/>
        <v>0.15498303208490721</v>
      </c>
      <c r="O251" s="14">
        <f t="shared" si="163"/>
        <v>0.69454873495695568</v>
      </c>
      <c r="P251" s="20">
        <f t="shared" si="164"/>
        <v>5.6717918561168537</v>
      </c>
      <c r="Q251" s="20">
        <v>14</v>
      </c>
      <c r="R251" s="57">
        <f t="shared" si="165"/>
        <v>-4.8748916015028954E-9</v>
      </c>
      <c r="S251" s="57">
        <f t="shared" si="158"/>
        <v>0.15498303208490721</v>
      </c>
      <c r="T251" s="57">
        <v>2.7049641946056426E-3</v>
      </c>
      <c r="U251" s="58">
        <v>-5.4961327772410128E-3</v>
      </c>
      <c r="V251" s="58">
        <f t="shared" si="166"/>
        <v>-0.31490521177942588</v>
      </c>
      <c r="W251" s="58">
        <f t="shared" si="167"/>
        <v>-1.9767298908845987E-11</v>
      </c>
      <c r="X251" s="20">
        <f t="shared" si="159"/>
        <v>14</v>
      </c>
    </row>
    <row r="252" spans="6:24" x14ac:dyDescent="0.3">
      <c r="J252" s="17">
        <v>270</v>
      </c>
      <c r="K252" s="15">
        <f t="shared" si="161"/>
        <v>0.90159746393961471</v>
      </c>
      <c r="L252" s="40">
        <f t="shared" si="162"/>
        <v>4054.3609662498961</v>
      </c>
      <c r="M252" s="16">
        <f t="shared" si="156"/>
        <v>-0.44146991347133208</v>
      </c>
      <c r="N252" s="16">
        <f t="shared" si="157"/>
        <v>-0.33970680393758612</v>
      </c>
      <c r="O252" s="16">
        <f t="shared" si="163"/>
        <v>-1.6008212204360281</v>
      </c>
      <c r="P252" s="20">
        <f t="shared" si="164"/>
        <v>-2.5326756757669528</v>
      </c>
      <c r="Q252" s="59">
        <v>15</v>
      </c>
      <c r="R252" s="57">
        <f t="shared" si="165"/>
        <v>6.0357648180797696E-5</v>
      </c>
      <c r="S252" s="57">
        <f t="shared" si="158"/>
        <v>-0.33970680393758612</v>
      </c>
      <c r="T252" s="57">
        <v>-5.9290022201377154E-3</v>
      </c>
      <c r="U252" s="58">
        <v>-7.705103538569214E-3</v>
      </c>
      <c r="V252" s="58">
        <f t="shared" si="166"/>
        <v>-0.44146991347133208</v>
      </c>
      <c r="W252" s="58">
        <f t="shared" si="167"/>
        <v>9.7359611572755966E-6</v>
      </c>
      <c r="X252" s="20">
        <f t="shared" si="159"/>
        <v>15</v>
      </c>
    </row>
    <row r="253" spans="6:24" ht="15.6" thickBot="1" x14ac:dyDescent="0.35"/>
    <row r="254" spans="6:24" ht="16.2" thickBot="1" x14ac:dyDescent="0.35">
      <c r="J254" s="146" t="s">
        <v>107</v>
      </c>
      <c r="K254" s="147"/>
      <c r="L254" s="147"/>
      <c r="M254" s="147"/>
      <c r="N254" s="147"/>
      <c r="O254" s="148"/>
    </row>
    <row r="255" spans="6:24" ht="18.600000000000001" thickBot="1" x14ac:dyDescent="0.35">
      <c r="F255" s="49"/>
      <c r="J255" s="50" t="s">
        <v>63</v>
      </c>
      <c r="K255" s="65" t="s">
        <v>53</v>
      </c>
      <c r="L255" s="50" t="s">
        <v>65</v>
      </c>
      <c r="M255" s="50" t="s">
        <v>66</v>
      </c>
      <c r="N255" s="50" t="s">
        <v>84</v>
      </c>
      <c r="O255" s="50" t="s">
        <v>64</v>
      </c>
      <c r="P255" s="20" t="s">
        <v>151</v>
      </c>
      <c r="R255" s="51" t="s">
        <v>85</v>
      </c>
      <c r="S255" s="52" t="s">
        <v>87</v>
      </c>
      <c r="T255" s="52" t="s">
        <v>86</v>
      </c>
      <c r="U255" s="54" t="s">
        <v>86</v>
      </c>
      <c r="V255" s="54" t="s">
        <v>87</v>
      </c>
      <c r="W255" s="53" t="s">
        <v>88</v>
      </c>
    </row>
    <row r="256" spans="6:24" x14ac:dyDescent="0.3">
      <c r="F256" s="49"/>
      <c r="J256" s="44">
        <f>SQRT(2*(C$14+G264)*C$10/C$4/C$15/G260)</f>
        <v>95.905119267981505</v>
      </c>
      <c r="K256" s="63">
        <f>J256/G$263</f>
        <v>0.33000799038965994</v>
      </c>
      <c r="L256" s="55">
        <f>G$261*(1-0.605*K256+0.725*K256^2)</f>
        <v>2748.0511319160419</v>
      </c>
      <c r="M256" s="56">
        <f t="shared" ref="M256:M270" si="168">V256</f>
        <v>11.32048537731912</v>
      </c>
      <c r="N256" s="56">
        <f t="shared" ref="N256:N270" si="169">S256</f>
        <v>-1.1905003035422175</v>
      </c>
      <c r="O256" s="56">
        <f>J256*SIN(RADIANS(N256))</f>
        <v>-1.992587573657663</v>
      </c>
      <c r="P256" s="20">
        <f>L256/1000/O256</f>
        <v>-1.3791369414552876</v>
      </c>
      <c r="Q256" s="20">
        <v>1</v>
      </c>
      <c r="R256" s="57">
        <f>0.5*G$260*C$4*C$2*(U256-C$5)*J256^2+L256*SIN(U256-C$1)-C$10*(C$14+G$264*(J$270-J256)/(J$270-J$256))*COS(T256)</f>
        <v>-6.3651445088908076E-5</v>
      </c>
      <c r="S256" s="57">
        <f t="shared" ref="S256:S270" si="170">DEGREES(T256)</f>
        <v>-1.1905003035422175</v>
      </c>
      <c r="T256" s="57">
        <v>-2.0778150042803607E-2</v>
      </c>
      <c r="U256" s="58">
        <v>0.19757974275809123</v>
      </c>
      <c r="V256" s="58">
        <f>DEGREES(U256)</f>
        <v>11.32048537731912</v>
      </c>
      <c r="W256" s="58">
        <f>-0.5*G$260*C$4*J256^2*(C$7+(C$2^2)*(U256-C$5)^2/(PI()*C$6))+L256*COS(U256-C$1)-C$10*(C$14+G$264*(J$270-J256)/(J$270-J$256))*SIN(T256)</f>
        <v>-2.5115796915997635E-5</v>
      </c>
      <c r="X256" s="20">
        <f t="shared" ref="X256:X270" si="171">Q256</f>
        <v>1</v>
      </c>
    </row>
    <row r="257" spans="6:24" x14ac:dyDescent="0.3">
      <c r="F257" s="49"/>
      <c r="J257" s="47">
        <f>J$256+Q256*G$266</f>
        <v>109.05475360598282</v>
      </c>
      <c r="K257" s="13">
        <f t="shared" ref="K257:K270" si="172">J257/G$263</f>
        <v>0.37525567305107388</v>
      </c>
      <c r="L257" s="48">
        <f t="shared" ref="L257:L270" si="173">G$261*(1-0.605*K257+0.725*K257^2)</f>
        <v>2734.8032013066395</v>
      </c>
      <c r="M257" s="14">
        <f t="shared" si="168"/>
        <v>8.3128456740892798</v>
      </c>
      <c r="N257" s="14">
        <f t="shared" si="169"/>
        <v>-0.17100031637682545</v>
      </c>
      <c r="O257" s="14">
        <f t="shared" ref="O257:O270" si="174">J257*SIN(RADIANS(N257))</f>
        <v>-0.32547545112179771</v>
      </c>
      <c r="P257" s="20">
        <f t="shared" ref="P257:P270" si="175">L257/1000/O257</f>
        <v>-8.4024868600097147</v>
      </c>
      <c r="Q257" s="20">
        <v>2</v>
      </c>
      <c r="R257" s="57">
        <f t="shared" ref="R257:R270" si="176">0.5*G$260*C$4*C$2*(U257-C$5)*J257^2+L257*SIN(U257-C$1)-C$10*(C$14+G$264*(J$270-J257)/(J$270-J$256))*COS(T257)</f>
        <v>9.7506277961656451E-4</v>
      </c>
      <c r="S257" s="57">
        <f t="shared" si="170"/>
        <v>-0.17100031637682545</v>
      </c>
      <c r="T257" s="57">
        <v>-2.9845185427275845E-3</v>
      </c>
      <c r="U257" s="58">
        <v>0.1450865272230254</v>
      </c>
      <c r="V257" s="58">
        <f t="shared" ref="V257:V270" si="177">DEGREES(U257)</f>
        <v>8.3128456740892798</v>
      </c>
      <c r="W257" s="58">
        <f t="shared" ref="W257:W270" si="178">-0.5*G$260*C$4*J257^2*(C$7+(C$2^2)*(U257-C$5)^2/(PI()*C$6))+L257*COS(U257-C$1)-C$10*(C$14+G$264*(J$270-J257)/(J$270-J$256))*SIN(T257)</f>
        <v>2.1380820898286856E-4</v>
      </c>
      <c r="X257" s="20">
        <f t="shared" si="171"/>
        <v>2</v>
      </c>
    </row>
    <row r="258" spans="6:24" x14ac:dyDescent="0.3">
      <c r="F258" s="49"/>
      <c r="J258" s="17">
        <f t="shared" ref="J258:J269" si="179">J$256+Q257*G$266</f>
        <v>122.20438794398414</v>
      </c>
      <c r="K258" s="15">
        <f t="shared" si="172"/>
        <v>0.42050335571248781</v>
      </c>
      <c r="L258" s="40">
        <f t="shared" si="173"/>
        <v>2730.8331279566437</v>
      </c>
      <c r="M258" s="16">
        <f t="shared" si="168"/>
        <v>6.2232889635036406</v>
      </c>
      <c r="N258" s="16">
        <f t="shared" si="169"/>
        <v>0.47793214816272006</v>
      </c>
      <c r="O258" s="16">
        <f t="shared" si="174"/>
        <v>1.0193548081776733</v>
      </c>
      <c r="P258" s="20">
        <f t="shared" si="175"/>
        <v>2.6789819462750404</v>
      </c>
      <c r="Q258" s="59">
        <v>3</v>
      </c>
      <c r="R258" s="57">
        <f t="shared" si="176"/>
        <v>7.0733949542045593E-6</v>
      </c>
      <c r="S258" s="57">
        <f t="shared" si="170"/>
        <v>0.47793214816272006</v>
      </c>
      <c r="T258" s="57">
        <v>8.3414895865688322E-3</v>
      </c>
      <c r="U258" s="58">
        <v>0.10861688271616375</v>
      </c>
      <c r="V258" s="58">
        <f t="shared" si="177"/>
        <v>6.2232889635036406</v>
      </c>
      <c r="W258" s="58">
        <f t="shared" si="178"/>
        <v>-3.1754574479236908E-5</v>
      </c>
      <c r="X258" s="20">
        <f t="shared" si="171"/>
        <v>3</v>
      </c>
    </row>
    <row r="259" spans="6:24" x14ac:dyDescent="0.3">
      <c r="F259" s="22" t="s">
        <v>6</v>
      </c>
      <c r="G259" s="22">
        <v>12000</v>
      </c>
      <c r="H259" s="22" t="s">
        <v>3</v>
      </c>
      <c r="J259" s="47">
        <f t="shared" si="179"/>
        <v>135.35402228198546</v>
      </c>
      <c r="K259" s="13">
        <f t="shared" si="172"/>
        <v>0.46575103837390175</v>
      </c>
      <c r="L259" s="48">
        <f t="shared" si="173"/>
        <v>2736.1409118660554</v>
      </c>
      <c r="M259" s="14">
        <f t="shared" si="168"/>
        <v>4.7171650695000151</v>
      </c>
      <c r="N259" s="14">
        <f t="shared" si="169"/>
        <v>0.88566547794150752</v>
      </c>
      <c r="O259" s="14">
        <f t="shared" si="174"/>
        <v>2.0921891960663968</v>
      </c>
      <c r="P259" s="20">
        <f t="shared" si="175"/>
        <v>1.3077884720035724</v>
      </c>
      <c r="Q259" s="59">
        <v>4</v>
      </c>
      <c r="R259" s="57">
        <f t="shared" si="176"/>
        <v>1.028441300150007E-3</v>
      </c>
      <c r="S259" s="57">
        <f t="shared" si="170"/>
        <v>0.88566547794150752</v>
      </c>
      <c r="T259" s="57">
        <v>1.5457778661328516E-2</v>
      </c>
      <c r="U259" s="58">
        <v>8.2330061822842401E-2</v>
      </c>
      <c r="V259" s="58">
        <f t="shared" si="177"/>
        <v>4.7171650695000151</v>
      </c>
      <c r="W259" s="58">
        <f t="shared" si="178"/>
        <v>1.0245349903925671E-4</v>
      </c>
      <c r="X259" s="20">
        <f t="shared" si="171"/>
        <v>4</v>
      </c>
    </row>
    <row r="260" spans="6:24" ht="18.600000000000001" x14ac:dyDescent="0.3">
      <c r="F260" s="20" t="s">
        <v>79</v>
      </c>
      <c r="G260" s="20">
        <f>C$9*(1-G259/44300)^4.256</f>
        <v>0.31943683325898986</v>
      </c>
      <c r="H260" s="20" t="s">
        <v>80</v>
      </c>
      <c r="J260" s="17">
        <f t="shared" si="179"/>
        <v>148.5036566199868</v>
      </c>
      <c r="K260" s="15">
        <f t="shared" si="172"/>
        <v>0.51099872103531574</v>
      </c>
      <c r="L260" s="40">
        <f t="shared" si="173"/>
        <v>2750.7265530348736</v>
      </c>
      <c r="M260" s="16">
        <f t="shared" si="168"/>
        <v>3.5983228948925077</v>
      </c>
      <c r="N260" s="16">
        <f t="shared" si="169"/>
        <v>1.1277240741206442</v>
      </c>
      <c r="O260" s="16">
        <f t="shared" si="174"/>
        <v>2.922734226213219</v>
      </c>
      <c r="P260" s="20">
        <f t="shared" si="175"/>
        <v>0.94114837003116647</v>
      </c>
      <c r="Q260" s="59">
        <v>5</v>
      </c>
      <c r="R260" s="57">
        <f t="shared" si="176"/>
        <v>3.5572658816818148E-5</v>
      </c>
      <c r="S260" s="57">
        <f t="shared" si="170"/>
        <v>1.1277240741206442</v>
      </c>
      <c r="T260" s="57">
        <v>1.968249814740982E-2</v>
      </c>
      <c r="U260" s="58">
        <v>6.2802582065768109E-2</v>
      </c>
      <c r="V260" s="58">
        <f t="shared" si="177"/>
        <v>3.5983228948925077</v>
      </c>
      <c r="W260" s="58">
        <f t="shared" si="178"/>
        <v>9.4769983434161986E-6</v>
      </c>
      <c r="X260" s="20">
        <f t="shared" si="171"/>
        <v>5</v>
      </c>
    </row>
    <row r="261" spans="6:24" ht="18.600000000000001" x14ac:dyDescent="0.3">
      <c r="F261" s="20" t="s">
        <v>81</v>
      </c>
      <c r="G261" s="20">
        <f>C$3*(G260/C$9)^0.85</f>
        <v>3125.2660952758069</v>
      </c>
      <c r="H261" s="20" t="s">
        <v>28</v>
      </c>
      <c r="J261" s="47">
        <f t="shared" si="179"/>
        <v>161.65329095798813</v>
      </c>
      <c r="K261" s="13">
        <f t="shared" si="172"/>
        <v>0.55624640369672973</v>
      </c>
      <c r="L261" s="48">
        <f t="shared" si="173"/>
        <v>2774.5900514630994</v>
      </c>
      <c r="M261" s="14">
        <f t="shared" si="168"/>
        <v>2.7460615548393146</v>
      </c>
      <c r="N261" s="14">
        <f t="shared" si="169"/>
        <v>1.2502057056948608</v>
      </c>
      <c r="O261" s="14">
        <f t="shared" si="174"/>
        <v>3.5270281939514052</v>
      </c>
      <c r="P261" s="20">
        <f t="shared" si="175"/>
        <v>0.78666511830592056</v>
      </c>
      <c r="Q261" s="59">
        <v>6</v>
      </c>
      <c r="R261" s="57">
        <f t="shared" si="176"/>
        <v>5.3931260481476784E-5</v>
      </c>
      <c r="S261" s="57">
        <f t="shared" si="170"/>
        <v>1.2502057056948608</v>
      </c>
      <c r="T261" s="57">
        <v>2.1820205891594543E-2</v>
      </c>
      <c r="U261" s="58">
        <v>4.7927815594380863E-2</v>
      </c>
      <c r="V261" s="58">
        <f t="shared" si="177"/>
        <v>2.7460615548393146</v>
      </c>
      <c r="W261" s="58">
        <f t="shared" si="178"/>
        <v>5.5992694569795276E-6</v>
      </c>
      <c r="X261" s="20">
        <f t="shared" si="171"/>
        <v>6</v>
      </c>
    </row>
    <row r="262" spans="6:24" ht="18.600000000000001" x14ac:dyDescent="0.3">
      <c r="F262" s="20" t="s">
        <v>82</v>
      </c>
      <c r="G262" s="20">
        <f>C$12-6.5*G259/1000</f>
        <v>210.14999999999998</v>
      </c>
      <c r="H262" s="20" t="s">
        <v>56</v>
      </c>
      <c r="J262" s="17">
        <f t="shared" si="179"/>
        <v>174.80292529598944</v>
      </c>
      <c r="K262" s="15">
        <f t="shared" si="172"/>
        <v>0.60149408635814361</v>
      </c>
      <c r="L262" s="40">
        <f t="shared" si="173"/>
        <v>2807.7314071507317</v>
      </c>
      <c r="M262" s="16">
        <f t="shared" si="168"/>
        <v>2.0829881787767732</v>
      </c>
      <c r="N262" s="16">
        <f t="shared" si="169"/>
        <v>1.2822882367250636</v>
      </c>
      <c r="O262" s="16">
        <f t="shared" si="174"/>
        <v>3.9117894145384553</v>
      </c>
      <c r="P262" s="20">
        <f t="shared" si="175"/>
        <v>0.71776138989373761</v>
      </c>
      <c r="Q262" s="20">
        <v>7</v>
      </c>
      <c r="R262" s="57">
        <f t="shared" si="176"/>
        <v>2.2135460312711075E-5</v>
      </c>
      <c r="S262" s="57">
        <f t="shared" si="170"/>
        <v>1.2822882367250636</v>
      </c>
      <c r="T262" s="57">
        <v>2.2380151690444831E-2</v>
      </c>
      <c r="U262" s="58">
        <v>3.6355001999774962E-2</v>
      </c>
      <c r="V262" s="58">
        <f t="shared" si="177"/>
        <v>2.0829881787767732</v>
      </c>
      <c r="W262" s="58">
        <f t="shared" si="178"/>
        <v>1.7426185650037951E-6</v>
      </c>
      <c r="X262" s="20">
        <f t="shared" si="171"/>
        <v>7</v>
      </c>
    </row>
    <row r="263" spans="6:24" ht="18.600000000000001" x14ac:dyDescent="0.3">
      <c r="F263" s="20" t="s">
        <v>83</v>
      </c>
      <c r="G263" s="20">
        <f>C$11*SQRT(G262/C$12)</f>
        <v>290.61453680179278</v>
      </c>
      <c r="H263" s="20" t="s">
        <v>55</v>
      </c>
      <c r="J263" s="47">
        <f t="shared" si="179"/>
        <v>187.95255963399075</v>
      </c>
      <c r="K263" s="13">
        <f t="shared" si="172"/>
        <v>0.64674176901955749</v>
      </c>
      <c r="L263" s="48">
        <f t="shared" si="173"/>
        <v>2850.150620097771</v>
      </c>
      <c r="M263" s="14">
        <f t="shared" si="168"/>
        <v>1.5577118230962506</v>
      </c>
      <c r="N263" s="14">
        <f t="shared" si="169"/>
        <v>1.2429671118646619</v>
      </c>
      <c r="O263" s="14">
        <f t="shared" si="174"/>
        <v>4.0770983167547614</v>
      </c>
      <c r="P263" s="20">
        <f t="shared" si="175"/>
        <v>0.69906350023131125</v>
      </c>
      <c r="Q263" s="20">
        <v>8</v>
      </c>
      <c r="R263" s="57">
        <f t="shared" si="176"/>
        <v>1.3049793778918684E-7</v>
      </c>
      <c r="S263" s="57">
        <f t="shared" si="170"/>
        <v>1.2429671118646619</v>
      </c>
      <c r="T263" s="57">
        <v>2.1693868596043026E-2</v>
      </c>
      <c r="U263" s="58">
        <v>2.7187200110273025E-2</v>
      </c>
      <c r="V263" s="58">
        <f t="shared" si="177"/>
        <v>1.5577118230962506</v>
      </c>
      <c r="W263" s="58">
        <f t="shared" si="178"/>
        <v>4.1072553358389996E-8</v>
      </c>
      <c r="X263" s="20">
        <f t="shared" si="171"/>
        <v>8</v>
      </c>
    </row>
    <row r="264" spans="6:24" x14ac:dyDescent="0.3">
      <c r="F264" s="20" t="s">
        <v>149</v>
      </c>
      <c r="G264" s="20">
        <f>G246-G247</f>
        <v>838.00133159984705</v>
      </c>
      <c r="H264" s="20" t="s">
        <v>0</v>
      </c>
      <c r="J264" s="17">
        <f t="shared" si="179"/>
        <v>201.10219397199208</v>
      </c>
      <c r="K264" s="15">
        <f t="shared" si="172"/>
        <v>0.69198945168097148</v>
      </c>
      <c r="L264" s="40">
        <f t="shared" si="173"/>
        <v>2901.8476903042174</v>
      </c>
      <c r="M264" s="16">
        <f t="shared" si="168"/>
        <v>1.1350672348930608</v>
      </c>
      <c r="N264" s="16">
        <f t="shared" si="169"/>
        <v>1.144859061158001</v>
      </c>
      <c r="O264" s="16">
        <f t="shared" si="174"/>
        <v>4.0180681828372915</v>
      </c>
      <c r="P264" s="20">
        <f t="shared" si="175"/>
        <v>0.72219971345909972</v>
      </c>
      <c r="Q264" s="59">
        <v>9</v>
      </c>
      <c r="R264" s="57">
        <f t="shared" si="176"/>
        <v>3.536115400493145E-9</v>
      </c>
      <c r="S264" s="57">
        <f t="shared" si="170"/>
        <v>1.144859061158001</v>
      </c>
      <c r="T264" s="57">
        <v>1.9981560088498242E-2</v>
      </c>
      <c r="U264" s="58">
        <v>1.9810660480391779E-2</v>
      </c>
      <c r="V264" s="58">
        <f t="shared" si="177"/>
        <v>1.1350672348930608</v>
      </c>
      <c r="W264" s="58">
        <f t="shared" si="178"/>
        <v>-1.1664269550237805E-10</v>
      </c>
      <c r="X264" s="20">
        <f t="shared" si="171"/>
        <v>9</v>
      </c>
    </row>
    <row r="265" spans="6:24" x14ac:dyDescent="0.3">
      <c r="F265" s="20" t="s">
        <v>150</v>
      </c>
      <c r="G265" s="20" cm="1">
        <f t="array" ref="G265">C$16*(G277-G259)*MIN(IF(P256:P270&gt;0,P256:P270))</f>
        <v>41.384559213693628</v>
      </c>
      <c r="H265" s="20" t="s">
        <v>0</v>
      </c>
      <c r="J265" s="47">
        <f t="shared" si="179"/>
        <v>214.25182830999341</v>
      </c>
      <c r="K265" s="13">
        <f t="shared" si="172"/>
        <v>0.73723713434238536</v>
      </c>
      <c r="L265" s="48">
        <f t="shared" si="173"/>
        <v>2962.8226177700708</v>
      </c>
      <c r="M265" s="14">
        <f t="shared" si="168"/>
        <v>0.79035838081639054</v>
      </c>
      <c r="N265" s="14">
        <f t="shared" si="169"/>
        <v>0.9964368464677672</v>
      </c>
      <c r="O265" s="14">
        <f t="shared" si="174"/>
        <v>3.7258879539719691</v>
      </c>
      <c r="P265" s="20">
        <f t="shared" si="175"/>
        <v>0.7951990651279689</v>
      </c>
      <c r="Q265" s="59">
        <v>10</v>
      </c>
      <c r="R265" s="57">
        <f t="shared" si="176"/>
        <v>1.0048097465187311E-8</v>
      </c>
      <c r="S265" s="57">
        <f t="shared" si="170"/>
        <v>0.9964368464677672</v>
      </c>
      <c r="T265" s="57">
        <v>1.7391103759051767E-2</v>
      </c>
      <c r="U265" s="58">
        <v>1.3794356015977203E-2</v>
      </c>
      <c r="V265" s="58">
        <f t="shared" si="177"/>
        <v>0.79035838081639054</v>
      </c>
      <c r="W265" s="58">
        <f t="shared" si="178"/>
        <v>-1.0049916454590857E-10</v>
      </c>
      <c r="X265" s="20">
        <f t="shared" si="171"/>
        <v>10</v>
      </c>
    </row>
    <row r="266" spans="6:24" x14ac:dyDescent="0.3">
      <c r="F266" s="20" t="s">
        <v>152</v>
      </c>
      <c r="G266" s="20">
        <f>(J270-J256)/Q269</f>
        <v>13.149634338001322</v>
      </c>
      <c r="H266" s="20" t="s">
        <v>55</v>
      </c>
      <c r="J266" s="17">
        <f t="shared" si="179"/>
        <v>227.40146264799472</v>
      </c>
      <c r="K266" s="15">
        <f t="shared" si="172"/>
        <v>0.78248481700379935</v>
      </c>
      <c r="L266" s="40">
        <f t="shared" si="173"/>
        <v>3033.0754024953312</v>
      </c>
      <c r="M266" s="16">
        <f t="shared" si="168"/>
        <v>0.50584371467806866</v>
      </c>
      <c r="N266" s="16">
        <f t="shared" si="169"/>
        <v>0.80338884107447284</v>
      </c>
      <c r="O266" s="16">
        <f t="shared" si="174"/>
        <v>3.1884688999976776</v>
      </c>
      <c r="P266" s="20">
        <f t="shared" si="175"/>
        <v>0.95126391306421099</v>
      </c>
      <c r="Q266" s="59">
        <v>11</v>
      </c>
      <c r="R266" s="57">
        <f t="shared" si="176"/>
        <v>3.6488927435129881E-9</v>
      </c>
      <c r="S266" s="57">
        <f t="shared" si="170"/>
        <v>0.80338884107447284</v>
      </c>
      <c r="T266" s="57">
        <v>1.4021780450531009E-2</v>
      </c>
      <c r="U266" s="58">
        <v>8.8286383216510667E-3</v>
      </c>
      <c r="V266" s="58">
        <f t="shared" si="177"/>
        <v>0.50584371467806866</v>
      </c>
      <c r="W266" s="58">
        <f t="shared" si="178"/>
        <v>-9.0381035988684744E-11</v>
      </c>
      <c r="X266" s="20">
        <f t="shared" si="171"/>
        <v>11</v>
      </c>
    </row>
    <row r="267" spans="6:24" x14ac:dyDescent="0.3">
      <c r="J267" s="47">
        <f t="shared" si="179"/>
        <v>240.55109698599603</v>
      </c>
      <c r="K267" s="13">
        <f t="shared" si="172"/>
        <v>0.82773249966521323</v>
      </c>
      <c r="L267" s="48">
        <f t="shared" si="173"/>
        <v>3112.6060444799982</v>
      </c>
      <c r="M267" s="14">
        <f t="shared" si="168"/>
        <v>0.26852089408415913</v>
      </c>
      <c r="N267" s="14">
        <f t="shared" si="169"/>
        <v>0.56947113167351726</v>
      </c>
      <c r="O267" s="14">
        <f t="shared" si="174"/>
        <v>2.3908331676222629</v>
      </c>
      <c r="P267" s="20">
        <f t="shared" si="175"/>
        <v>1.3018917784111028</v>
      </c>
      <c r="Q267" s="59">
        <v>12</v>
      </c>
      <c r="R267" s="57">
        <f t="shared" si="176"/>
        <v>-2.1391315385699272E-9</v>
      </c>
      <c r="S267" s="57">
        <f t="shared" si="170"/>
        <v>0.56947113167351726</v>
      </c>
      <c r="T267" s="57">
        <v>9.9391462427610416E-3</v>
      </c>
      <c r="U267" s="58">
        <v>4.6865737121675405E-3</v>
      </c>
      <c r="V267" s="58">
        <f t="shared" si="177"/>
        <v>0.26852089408415913</v>
      </c>
      <c r="W267" s="58">
        <f t="shared" si="178"/>
        <v>-3.3651303965598345E-11</v>
      </c>
      <c r="X267" s="20">
        <f t="shared" si="171"/>
        <v>12</v>
      </c>
    </row>
    <row r="268" spans="6:24" x14ac:dyDescent="0.3">
      <c r="J268" s="17">
        <f t="shared" si="179"/>
        <v>253.70073132399739</v>
      </c>
      <c r="K268" s="15">
        <f t="shared" si="172"/>
        <v>0.87298018232662722</v>
      </c>
      <c r="L268" s="40">
        <f t="shared" si="173"/>
        <v>3201.4145437240727</v>
      </c>
      <c r="M268" s="16">
        <f t="shared" si="168"/>
        <v>6.8690844755189218E-2</v>
      </c>
      <c r="N268" s="16">
        <f t="shared" si="169"/>
        <v>0.2970549273900448</v>
      </c>
      <c r="O268" s="16">
        <f t="shared" si="174"/>
        <v>1.31532750470402</v>
      </c>
      <c r="P268" s="20">
        <f t="shared" si="175"/>
        <v>2.4339295972104429</v>
      </c>
      <c r="Q268" s="20">
        <v>13</v>
      </c>
      <c r="R268" s="57">
        <f t="shared" si="176"/>
        <v>3.2978277886286378E-8</v>
      </c>
      <c r="S268" s="57">
        <f t="shared" si="170"/>
        <v>0.2970549273900448</v>
      </c>
      <c r="T268" s="57">
        <v>5.184586542228968E-3</v>
      </c>
      <c r="U268" s="58">
        <v>1.19888140695433E-3</v>
      </c>
      <c r="V268" s="58">
        <f t="shared" si="177"/>
        <v>6.8690844755189218E-2</v>
      </c>
      <c r="W268" s="58">
        <f t="shared" si="178"/>
        <v>4.3752919509643107E-8</v>
      </c>
      <c r="X268" s="20">
        <f t="shared" si="171"/>
        <v>13</v>
      </c>
    </row>
    <row r="269" spans="6:24" x14ac:dyDescent="0.3">
      <c r="J269" s="47">
        <f t="shared" si="179"/>
        <v>266.85036566199869</v>
      </c>
      <c r="K269" s="13">
        <f t="shared" si="172"/>
        <v>0.9182278649880411</v>
      </c>
      <c r="L269" s="48">
        <f t="shared" si="173"/>
        <v>3299.5009002275538</v>
      </c>
      <c r="M269" s="14">
        <f t="shared" si="168"/>
        <v>-0.10099644086098053</v>
      </c>
      <c r="N269" s="14">
        <f t="shared" si="169"/>
        <v>-1.2514853548325556E-2</v>
      </c>
      <c r="O269" s="14">
        <f t="shared" si="174"/>
        <v>-5.8286897349208208E-2</v>
      </c>
      <c r="P269" s="20">
        <f t="shared" si="175"/>
        <v>-56.607935064026456</v>
      </c>
      <c r="Q269" s="20">
        <v>14</v>
      </c>
      <c r="R269" s="57">
        <f t="shared" si="176"/>
        <v>-3.7616700865328312E-9</v>
      </c>
      <c r="S269" s="57">
        <f t="shared" si="170"/>
        <v>-1.2514853548325556E-2</v>
      </c>
      <c r="T269" s="57">
        <v>-2.1842539982317623E-4</v>
      </c>
      <c r="U269" s="58">
        <v>-1.7627204258198468E-3</v>
      </c>
      <c r="V269" s="58">
        <f t="shared" si="177"/>
        <v>-0.10099644086098053</v>
      </c>
      <c r="W269" s="58">
        <f t="shared" si="178"/>
        <v>8.1445961086501484E-13</v>
      </c>
      <c r="X269" s="20">
        <f t="shared" si="171"/>
        <v>14</v>
      </c>
    </row>
    <row r="270" spans="6:24" x14ac:dyDescent="0.3">
      <c r="J270" s="17">
        <v>280</v>
      </c>
      <c r="K270" s="15">
        <f t="shared" si="172"/>
        <v>0.96347554764945498</v>
      </c>
      <c r="L270" s="40">
        <f t="shared" si="173"/>
        <v>3406.8651139904418</v>
      </c>
      <c r="M270" s="16">
        <f t="shared" si="168"/>
        <v>-0.24619021552539802</v>
      </c>
      <c r="N270" s="16">
        <f t="shared" si="169"/>
        <v>-0.35868153931218083</v>
      </c>
      <c r="O270" s="16">
        <f t="shared" si="174"/>
        <v>-1.7528372226578621</v>
      </c>
      <c r="P270" s="20">
        <f t="shared" si="175"/>
        <v>-1.9436289177066561</v>
      </c>
      <c r="Q270" s="59">
        <v>15</v>
      </c>
      <c r="R270" s="57">
        <f t="shared" si="176"/>
        <v>-2.1757587091997266E-6</v>
      </c>
      <c r="S270" s="57">
        <f t="shared" si="170"/>
        <v>-0.35868153931218083</v>
      </c>
      <c r="T270" s="57">
        <v>-6.2601738271190329E-3</v>
      </c>
      <c r="U270" s="58">
        <v>-4.2968298471126572E-3</v>
      </c>
      <c r="V270" s="58">
        <f t="shared" si="177"/>
        <v>-0.24619021552539802</v>
      </c>
      <c r="W270" s="58">
        <f t="shared" si="178"/>
        <v>1.2749296729452908E-8</v>
      </c>
      <c r="X270" s="20">
        <f t="shared" si="171"/>
        <v>15</v>
      </c>
    </row>
    <row r="271" spans="6:24" ht="15.6" thickBot="1" x14ac:dyDescent="0.35"/>
    <row r="272" spans="6:24" ht="16.2" thickBot="1" x14ac:dyDescent="0.35">
      <c r="J272" s="146" t="s">
        <v>108</v>
      </c>
      <c r="K272" s="147"/>
      <c r="L272" s="147"/>
      <c r="M272" s="147"/>
      <c r="N272" s="147"/>
      <c r="O272" s="148"/>
    </row>
    <row r="273" spans="6:24" ht="18.600000000000001" thickBot="1" x14ac:dyDescent="0.35">
      <c r="F273" s="49"/>
      <c r="J273" s="50" t="s">
        <v>63</v>
      </c>
      <c r="K273" s="65" t="s">
        <v>53</v>
      </c>
      <c r="L273" s="50" t="s">
        <v>65</v>
      </c>
      <c r="M273" s="50" t="s">
        <v>66</v>
      </c>
      <c r="N273" s="50" t="s">
        <v>84</v>
      </c>
      <c r="O273" s="50" t="s">
        <v>64</v>
      </c>
      <c r="P273" s="20" t="s">
        <v>151</v>
      </c>
      <c r="R273" s="51" t="s">
        <v>85</v>
      </c>
      <c r="S273" s="52" t="s">
        <v>87</v>
      </c>
      <c r="T273" s="52" t="s">
        <v>86</v>
      </c>
      <c r="U273" s="54" t="s">
        <v>86</v>
      </c>
      <c r="V273" s="54" t="s">
        <v>87</v>
      </c>
      <c r="W273" s="53" t="s">
        <v>88</v>
      </c>
    </row>
    <row r="274" spans="6:24" x14ac:dyDescent="0.3">
      <c r="F274" s="49"/>
      <c r="J274" s="44">
        <f>SQRT(2*(C$14+G282)*C$10/C$4/C$15/G278)</f>
        <v>109.25978862609615</v>
      </c>
      <c r="K274" s="63">
        <f>J274/G$281</f>
        <v>0.38815870310888023</v>
      </c>
      <c r="L274" s="55">
        <f>G$279*(1-0.605*K274+0.725*K274^2)</f>
        <v>2168.5618328061728</v>
      </c>
      <c r="M274" s="56">
        <f t="shared" ref="M274:M288" si="180">V274</f>
        <v>11.34992283089915</v>
      </c>
      <c r="N274" s="56">
        <f t="shared" ref="N274:N288" si="181">S274</f>
        <v>-2.0795157824083095</v>
      </c>
      <c r="O274" s="56">
        <f>J274*SIN(RADIANS(N274))</f>
        <v>-3.9646476107517663</v>
      </c>
      <c r="P274" s="20">
        <f>L274/1000/O274</f>
        <v>-0.54697467359399832</v>
      </c>
      <c r="Q274" s="20">
        <v>1</v>
      </c>
      <c r="R274" s="57">
        <f>0.5*G$278*C$4*C$2*(U274-C$5)*J274^2+L274*SIN(U274-C$1)-C$10*(C$14+G$282*(J$288-J274)/(J$288-J$274))*COS(T274)</f>
        <v>2.2577899653697386E-4</v>
      </c>
      <c r="S274" s="57">
        <f t="shared" ref="S274:S288" si="182">DEGREES(T274)</f>
        <v>-2.0795157824083095</v>
      </c>
      <c r="T274" s="57">
        <v>-3.6294397250210976E-2</v>
      </c>
      <c r="U274" s="58">
        <v>0.19809352324646576</v>
      </c>
      <c r="V274" s="58">
        <f>DEGREES(U274)</f>
        <v>11.34992283089915</v>
      </c>
      <c r="W274" s="58">
        <f>-0.5*G$278*C$4*J274^2*(C$7+(C$2^2)*(U274-C$5)^2/(PI()*C$6))+L274*COS(U274-C$1)-C$10*(C$14+G$282*(J$288-J274)/(J$288-J$274))*SIN(T274)</f>
        <v>-5.6367752586083952E-4</v>
      </c>
      <c r="X274" s="20">
        <f t="shared" ref="X274:X288" si="183">Q274</f>
        <v>1</v>
      </c>
    </row>
    <row r="275" spans="6:24" x14ac:dyDescent="0.3">
      <c r="F275" s="49"/>
      <c r="J275" s="47">
        <f t="shared" ref="J275:J287" si="184">J$274+Q274*G$283</f>
        <v>122.16980372423214</v>
      </c>
      <c r="K275" s="13">
        <f t="shared" ref="K275:K288" si="185">J275/G$281</f>
        <v>0.43402310373258457</v>
      </c>
      <c r="L275" s="48">
        <f t="shared" ref="L275:L288" si="186">G$279*(1-0.605*K275+0.725*K275^2)</f>
        <v>2167.5474187613268</v>
      </c>
      <c r="M275" s="14">
        <f t="shared" si="180"/>
        <v>8.6659512213257575</v>
      </c>
      <c r="N275" s="14">
        <f t="shared" si="181"/>
        <v>-1.1567354789402851</v>
      </c>
      <c r="O275" s="14">
        <f t="shared" ref="O275:O288" si="187">J275*SIN(RADIANS(N275))</f>
        <v>-2.4662994003600991</v>
      </c>
      <c r="P275" s="20">
        <f t="shared" ref="P275:P288" si="188">L275/1000/O275</f>
        <v>-0.87886629597560129</v>
      </c>
      <c r="Q275" s="20">
        <v>2</v>
      </c>
      <c r="R275" s="57">
        <f t="shared" ref="R275:R288" si="189">0.5*G$278*C$4*C$2*(U275-C$5)*J275^2+L275*SIN(U275-C$1)-C$10*(C$14+G$282*(J$288-J275)/(J$288-J$274))*COS(T275)</f>
        <v>2.400384059001226E-3</v>
      </c>
      <c r="S275" s="57">
        <f t="shared" si="182"/>
        <v>-1.1567354789402851</v>
      </c>
      <c r="T275" s="57">
        <v>-2.0188842682141502E-2</v>
      </c>
      <c r="U275" s="58">
        <v>0.1512493816293583</v>
      </c>
      <c r="V275" s="58">
        <f t="shared" ref="V275:V288" si="190">DEGREES(U275)</f>
        <v>8.6659512213257575</v>
      </c>
      <c r="W275" s="58">
        <f t="shared" ref="W275:W288" si="191">-0.5*G$278*C$4*J275^2*(C$7+(C$2^2)*(U275-C$5)^2/(PI()*C$6))+L275*COS(U275-C$1)-C$10*(C$14+G$282*(J$288-J275)/(J$288-J$274))*SIN(T275)</f>
        <v>4.4157891511531489E-4</v>
      </c>
      <c r="X275" s="20">
        <f t="shared" si="183"/>
        <v>2</v>
      </c>
    </row>
    <row r="276" spans="6:24" x14ac:dyDescent="0.3">
      <c r="F276" s="49"/>
      <c r="J276" s="17">
        <f t="shared" si="184"/>
        <v>135.07981882236814</v>
      </c>
      <c r="K276" s="15">
        <f t="shared" si="185"/>
        <v>0.47988750435628896</v>
      </c>
      <c r="L276" s="40">
        <f t="shared" si="186"/>
        <v>2174.0975400445027</v>
      </c>
      <c r="M276" s="16">
        <f t="shared" si="180"/>
        <v>6.7166043246161298</v>
      </c>
      <c r="N276" s="16">
        <f t="shared" si="181"/>
        <v>-0.52745119208956459</v>
      </c>
      <c r="O276" s="16">
        <f t="shared" si="187"/>
        <v>-1.243494821852305</v>
      </c>
      <c r="P276" s="20">
        <f t="shared" si="188"/>
        <v>-1.7483768342565154</v>
      </c>
      <c r="Q276" s="59">
        <v>3</v>
      </c>
      <c r="R276" s="57">
        <f t="shared" si="189"/>
        <v>1.1372700100764632E-5</v>
      </c>
      <c r="S276" s="57">
        <f t="shared" si="182"/>
        <v>-0.52745119208956459</v>
      </c>
      <c r="T276" s="57">
        <v>-9.2057599455319713E-3</v>
      </c>
      <c r="U276" s="58">
        <v>0.11722686001824148</v>
      </c>
      <c r="V276" s="58">
        <f t="shared" si="190"/>
        <v>6.7166043246161298</v>
      </c>
      <c r="W276" s="58">
        <f t="shared" si="191"/>
        <v>-4.8321721465072187E-5</v>
      </c>
      <c r="X276" s="20">
        <f t="shared" si="183"/>
        <v>3</v>
      </c>
    </row>
    <row r="277" spans="6:24" x14ac:dyDescent="0.3">
      <c r="F277" s="22" t="s">
        <v>6</v>
      </c>
      <c r="G277" s="22">
        <v>14000</v>
      </c>
      <c r="H277" s="22" t="s">
        <v>3</v>
      </c>
      <c r="J277" s="47">
        <f t="shared" si="184"/>
        <v>147.98983392050411</v>
      </c>
      <c r="K277" s="13">
        <f t="shared" si="185"/>
        <v>0.52575190497999325</v>
      </c>
      <c r="L277" s="48">
        <f t="shared" si="186"/>
        <v>2188.2121966557011</v>
      </c>
      <c r="M277" s="14">
        <f t="shared" si="180"/>
        <v>5.2597847526710044</v>
      </c>
      <c r="N277" s="14">
        <f t="shared" si="181"/>
        <v>-9.8558200944551463E-2</v>
      </c>
      <c r="O277" s="14">
        <f t="shared" si="187"/>
        <v>-0.25456682359821631</v>
      </c>
      <c r="P277" s="20">
        <f t="shared" si="188"/>
        <v>-8.5958262971036792</v>
      </c>
      <c r="Q277" s="59">
        <v>4</v>
      </c>
      <c r="R277" s="57">
        <f t="shared" si="189"/>
        <v>7.8798343747621402E-4</v>
      </c>
      <c r="S277" s="57">
        <f t="shared" si="182"/>
        <v>-9.8558200944551463E-2</v>
      </c>
      <c r="T277" s="57">
        <v>-1.7201651113246082E-3</v>
      </c>
      <c r="U277" s="58">
        <v>9.1800561880304637E-2</v>
      </c>
      <c r="V277" s="58">
        <f t="shared" si="190"/>
        <v>5.2597847526710044</v>
      </c>
      <c r="W277" s="58">
        <f t="shared" si="191"/>
        <v>9.4021654938103438E-5</v>
      </c>
      <c r="X277" s="20">
        <f t="shared" si="183"/>
        <v>4</v>
      </c>
    </row>
    <row r="278" spans="6:24" ht="18.600000000000001" x14ac:dyDescent="0.3">
      <c r="F278" s="20" t="s">
        <v>79</v>
      </c>
      <c r="G278" s="20">
        <f>C$9*(1-G277/44300)^4.256</f>
        <v>0.24335422109432633</v>
      </c>
      <c r="H278" s="20" t="s">
        <v>80</v>
      </c>
      <c r="J278" s="17">
        <f t="shared" si="184"/>
        <v>160.89984901864011</v>
      </c>
      <c r="K278" s="15">
        <f t="shared" si="185"/>
        <v>0.57161630560369758</v>
      </c>
      <c r="L278" s="40">
        <f t="shared" si="186"/>
        <v>2209.891388594921</v>
      </c>
      <c r="M278" s="16">
        <f t="shared" si="180"/>
        <v>4.1446243162837941</v>
      </c>
      <c r="N278" s="16">
        <f t="shared" si="181"/>
        <v>0.18788925757743111</v>
      </c>
      <c r="O278" s="16">
        <f t="shared" si="187"/>
        <v>0.52763570458657094</v>
      </c>
      <c r="P278" s="20">
        <f t="shared" si="188"/>
        <v>4.1882900823144293</v>
      </c>
      <c r="Q278" s="59">
        <v>5</v>
      </c>
      <c r="R278" s="57">
        <f t="shared" si="189"/>
        <v>2.8780102729797363E-4</v>
      </c>
      <c r="S278" s="57">
        <f t="shared" si="182"/>
        <v>0.18788925757743111</v>
      </c>
      <c r="T278" s="57">
        <v>3.2792861738538777E-3</v>
      </c>
      <c r="U278" s="58">
        <v>7.233734057737104E-2</v>
      </c>
      <c r="V278" s="58">
        <f t="shared" si="190"/>
        <v>4.1446243162837941</v>
      </c>
      <c r="W278" s="58">
        <f t="shared" si="191"/>
        <v>3.1215518831118061E-5</v>
      </c>
      <c r="X278" s="20">
        <f t="shared" si="183"/>
        <v>5</v>
      </c>
    </row>
    <row r="279" spans="6:24" ht="18.600000000000001" x14ac:dyDescent="0.3">
      <c r="F279" s="20" t="s">
        <v>81</v>
      </c>
      <c r="G279" s="20">
        <f>C$3*(G278/C$9)^0.85</f>
        <v>2480.0635448498047</v>
      </c>
      <c r="H279" s="20" t="s">
        <v>28</v>
      </c>
      <c r="J279" s="47">
        <f t="shared" si="184"/>
        <v>173.80986411677611</v>
      </c>
      <c r="K279" s="13">
        <f t="shared" si="185"/>
        <v>0.61748070622740203</v>
      </c>
      <c r="L279" s="48">
        <f t="shared" si="186"/>
        <v>2239.1351158621637</v>
      </c>
      <c r="M279" s="14">
        <f t="shared" si="180"/>
        <v>3.2734489365707016</v>
      </c>
      <c r="N279" s="14">
        <f t="shared" si="181"/>
        <v>0.36922739197915083</v>
      </c>
      <c r="O279" s="14">
        <f t="shared" si="187"/>
        <v>1.1200636276132583</v>
      </c>
      <c r="P279" s="20">
        <f t="shared" si="188"/>
        <v>1.9991142116037932</v>
      </c>
      <c r="Q279" s="59">
        <v>6</v>
      </c>
      <c r="R279" s="57">
        <f t="shared" si="189"/>
        <v>7.1373506216332316E-7</v>
      </c>
      <c r="S279" s="57">
        <f t="shared" si="182"/>
        <v>0.36922739197915083</v>
      </c>
      <c r="T279" s="57">
        <v>6.4442336785878844E-3</v>
      </c>
      <c r="U279" s="58">
        <v>5.7132461839065757E-2</v>
      </c>
      <c r="V279" s="58">
        <f t="shared" si="190"/>
        <v>3.2734489365707016</v>
      </c>
      <c r="W279" s="58">
        <f t="shared" si="191"/>
        <v>3.6387870352427854E-6</v>
      </c>
      <c r="X279" s="20">
        <f t="shared" si="183"/>
        <v>6</v>
      </c>
    </row>
    <row r="280" spans="6:24" ht="18.600000000000001" x14ac:dyDescent="0.3">
      <c r="F280" s="20" t="s">
        <v>82</v>
      </c>
      <c r="G280" s="20">
        <f>C$12-6.5*G277/1000</f>
        <v>197.14999999999998</v>
      </c>
      <c r="H280" s="20" t="s">
        <v>56</v>
      </c>
      <c r="J280" s="17">
        <f t="shared" si="184"/>
        <v>186.71987921491208</v>
      </c>
      <c r="K280" s="15">
        <f t="shared" si="185"/>
        <v>0.66334510685110626</v>
      </c>
      <c r="L280" s="40">
        <f t="shared" si="186"/>
        <v>2275.9433784574276</v>
      </c>
      <c r="M280" s="16">
        <f t="shared" si="180"/>
        <v>2.5809002367884233</v>
      </c>
      <c r="N280" s="16">
        <f t="shared" si="181"/>
        <v>0.47023431684693445</v>
      </c>
      <c r="O280" s="16">
        <f t="shared" si="187"/>
        <v>1.5324184418371918</v>
      </c>
      <c r="P280" s="20">
        <f t="shared" si="188"/>
        <v>1.4851970691039424</v>
      </c>
      <c r="Q280" s="20">
        <v>7</v>
      </c>
      <c r="R280" s="57">
        <f t="shared" si="189"/>
        <v>2.5096887839026749E-6</v>
      </c>
      <c r="S280" s="57">
        <f t="shared" si="182"/>
        <v>0.47023431684693445</v>
      </c>
      <c r="T280" s="57">
        <v>8.2071370848452469E-3</v>
      </c>
      <c r="U280" s="58">
        <v>4.504520679745927E-2</v>
      </c>
      <c r="V280" s="58">
        <f t="shared" si="190"/>
        <v>2.5809002367884233</v>
      </c>
      <c r="W280" s="58">
        <f t="shared" si="191"/>
        <v>9.6841523600232904E-7</v>
      </c>
      <c r="X280" s="20">
        <f t="shared" si="183"/>
        <v>7</v>
      </c>
    </row>
    <row r="281" spans="6:24" ht="18.600000000000001" x14ac:dyDescent="0.3">
      <c r="F281" s="20" t="s">
        <v>83</v>
      </c>
      <c r="G281" s="20">
        <f>C$11*SQRT(G280/C$12)</f>
        <v>281.48225906311393</v>
      </c>
      <c r="H281" s="20" t="s">
        <v>55</v>
      </c>
      <c r="J281" s="47">
        <f t="shared" si="184"/>
        <v>199.62989431304806</v>
      </c>
      <c r="K281" s="13">
        <f t="shared" si="185"/>
        <v>0.70920950747481049</v>
      </c>
      <c r="L281" s="48">
        <f t="shared" si="186"/>
        <v>2320.3161763807134</v>
      </c>
      <c r="M281" s="14">
        <f t="shared" si="180"/>
        <v>2.0219739530200367</v>
      </c>
      <c r="N281" s="14">
        <f t="shared" si="181"/>
        <v>0.50775606056937628</v>
      </c>
      <c r="O281" s="14">
        <f t="shared" si="187"/>
        <v>1.7690999722607754</v>
      </c>
      <c r="P281" s="20">
        <f t="shared" si="188"/>
        <v>1.3115800196500627</v>
      </c>
      <c r="Q281" s="20">
        <v>8</v>
      </c>
      <c r="R281" s="57">
        <f t="shared" si="189"/>
        <v>-1.7583267654117662E-3</v>
      </c>
      <c r="S281" s="57">
        <f t="shared" si="182"/>
        <v>0.50775606056937628</v>
      </c>
      <c r="T281" s="57">
        <v>8.8620150538913697E-3</v>
      </c>
      <c r="U281" s="58">
        <v>3.5290102869764785E-2</v>
      </c>
      <c r="V281" s="58">
        <f t="shared" si="190"/>
        <v>2.0219739530200367</v>
      </c>
      <c r="W281" s="58">
        <f t="shared" si="191"/>
        <v>1.044879963387757E-4</v>
      </c>
      <c r="X281" s="20">
        <f t="shared" si="183"/>
        <v>8</v>
      </c>
    </row>
    <row r="282" spans="6:24" x14ac:dyDescent="0.3">
      <c r="F282" s="20" t="s">
        <v>149</v>
      </c>
      <c r="G282" s="20">
        <f>G264-G265</f>
        <v>796.61677238615346</v>
      </c>
      <c r="H282" s="20" t="s">
        <v>0</v>
      </c>
      <c r="J282" s="17">
        <f t="shared" si="184"/>
        <v>212.53990941118406</v>
      </c>
      <c r="K282" s="15">
        <f t="shared" si="185"/>
        <v>0.75507390809851493</v>
      </c>
      <c r="L282" s="40">
        <f t="shared" si="186"/>
        <v>2372.2535096320216</v>
      </c>
      <c r="M282" s="16">
        <f t="shared" si="180"/>
        <v>1.5648989252858665</v>
      </c>
      <c r="N282" s="16">
        <f t="shared" si="181"/>
        <v>0.49346440849938117</v>
      </c>
      <c r="O282" s="16">
        <f t="shared" si="187"/>
        <v>1.830494060119348</v>
      </c>
      <c r="P282" s="20">
        <f t="shared" si="188"/>
        <v>1.295963511336033</v>
      </c>
      <c r="Q282" s="59">
        <v>9</v>
      </c>
      <c r="R282" s="57">
        <f t="shared" si="189"/>
        <v>-1.9541439905879088E-4</v>
      </c>
      <c r="S282" s="57">
        <f t="shared" si="182"/>
        <v>0.49346440849938117</v>
      </c>
      <c r="T282" s="57">
        <v>8.6125786697204918E-3</v>
      </c>
      <c r="U282" s="58">
        <v>2.7312638707159116E-2</v>
      </c>
      <c r="V282" s="58">
        <f t="shared" si="190"/>
        <v>1.5648989252858665</v>
      </c>
      <c r="W282" s="58">
        <f t="shared" si="191"/>
        <v>8.5125354530646291E-5</v>
      </c>
      <c r="X282" s="20">
        <f t="shared" si="183"/>
        <v>9</v>
      </c>
    </row>
    <row r="283" spans="6:24" x14ac:dyDescent="0.3">
      <c r="F283" s="20" t="s">
        <v>152</v>
      </c>
      <c r="G283" s="20">
        <f>(J288-J274)/Q287</f>
        <v>12.910015098135988</v>
      </c>
      <c r="H283" s="20" t="s">
        <v>55</v>
      </c>
      <c r="J283" s="47">
        <f t="shared" si="184"/>
        <v>225.44992450932006</v>
      </c>
      <c r="K283" s="13">
        <f t="shared" si="185"/>
        <v>0.80093830872221927</v>
      </c>
      <c r="L283" s="48">
        <f t="shared" si="186"/>
        <v>2431.7553782113514</v>
      </c>
      <c r="M283" s="14">
        <f t="shared" si="180"/>
        <v>1.1867478309263915</v>
      </c>
      <c r="N283" s="14">
        <f t="shared" si="181"/>
        <v>0.43555556936498624</v>
      </c>
      <c r="O283" s="14">
        <f t="shared" si="187"/>
        <v>1.7138264860497157</v>
      </c>
      <c r="P283" s="20">
        <f t="shared" si="188"/>
        <v>1.4189040710979008</v>
      </c>
      <c r="Q283" s="59">
        <v>10</v>
      </c>
      <c r="R283" s="57">
        <f t="shared" si="189"/>
        <v>-6.2864430583431385E-4</v>
      </c>
      <c r="S283" s="57">
        <f t="shared" si="182"/>
        <v>0.43555556936498624</v>
      </c>
      <c r="T283" s="57">
        <v>7.6018787608175577E-3</v>
      </c>
      <c r="U283" s="58">
        <v>2.0712657040566518E-2</v>
      </c>
      <c r="V283" s="58">
        <f t="shared" si="190"/>
        <v>1.1867478309263915</v>
      </c>
      <c r="W283" s="58">
        <f t="shared" si="191"/>
        <v>6.2744088211275084E-5</v>
      </c>
      <c r="X283" s="20">
        <f t="shared" si="183"/>
        <v>10</v>
      </c>
    </row>
    <row r="284" spans="6:24" x14ac:dyDescent="0.3">
      <c r="J284" s="17">
        <f t="shared" si="184"/>
        <v>238.35993960745606</v>
      </c>
      <c r="K284" s="15">
        <f t="shared" si="185"/>
        <v>0.84680270934592372</v>
      </c>
      <c r="L284" s="40">
        <f t="shared" si="186"/>
        <v>2498.821782118704</v>
      </c>
      <c r="M284" s="16">
        <f t="shared" si="180"/>
        <v>0.87065356610932332</v>
      </c>
      <c r="N284" s="16">
        <f t="shared" si="181"/>
        <v>0.33982601524518041</v>
      </c>
      <c r="O284" s="16">
        <f t="shared" si="187"/>
        <v>1.4137242612844962</v>
      </c>
      <c r="P284" s="20">
        <f t="shared" si="188"/>
        <v>1.7675453768108207</v>
      </c>
      <c r="Q284" s="59">
        <v>11</v>
      </c>
      <c r="R284" s="57">
        <f t="shared" si="189"/>
        <v>-1.7110159751609899E-4</v>
      </c>
      <c r="S284" s="57">
        <f t="shared" si="182"/>
        <v>0.33982601524518041</v>
      </c>
      <c r="T284" s="57">
        <v>5.9310828499608437E-3</v>
      </c>
      <c r="U284" s="58">
        <v>1.5195771372837808E-2</v>
      </c>
      <c r="V284" s="58">
        <f t="shared" si="190"/>
        <v>0.87065356610932332</v>
      </c>
      <c r="W284" s="58">
        <f t="shared" si="191"/>
        <v>5.0264479170891718E-5</v>
      </c>
      <c r="X284" s="20">
        <f t="shared" si="183"/>
        <v>11</v>
      </c>
    </row>
    <row r="285" spans="6:24" x14ac:dyDescent="0.3">
      <c r="J285" s="47">
        <f t="shared" si="184"/>
        <v>251.269954705592</v>
      </c>
      <c r="K285" s="13">
        <f t="shared" si="185"/>
        <v>0.89266710996962784</v>
      </c>
      <c r="L285" s="48">
        <f t="shared" si="186"/>
        <v>2573.4527213540773</v>
      </c>
      <c r="M285" s="14">
        <f t="shared" si="180"/>
        <v>0.60399124352384148</v>
      </c>
      <c r="N285" s="14">
        <f t="shared" si="181"/>
        <v>0.21037324979373834</v>
      </c>
      <c r="O285" s="14">
        <f t="shared" si="187"/>
        <v>0.92258729393033978</v>
      </c>
      <c r="P285" s="20">
        <f t="shared" si="188"/>
        <v>2.7893866935787073</v>
      </c>
      <c r="Q285" s="59">
        <v>12</v>
      </c>
      <c r="R285" s="57">
        <f t="shared" si="189"/>
        <v>-6.4991458566510119E-4</v>
      </c>
      <c r="S285" s="57">
        <f t="shared" si="182"/>
        <v>0.21037324979373834</v>
      </c>
      <c r="T285" s="57">
        <v>3.6717058670212156E-3</v>
      </c>
      <c r="U285" s="58">
        <v>1.0541635852705912E-2</v>
      </c>
      <c r="V285" s="58">
        <f t="shared" si="190"/>
        <v>0.60399124352384148</v>
      </c>
      <c r="W285" s="58">
        <f t="shared" si="191"/>
        <v>3.4715922296868484E-5</v>
      </c>
      <c r="X285" s="20">
        <f t="shared" si="183"/>
        <v>12</v>
      </c>
    </row>
    <row r="286" spans="6:24" x14ac:dyDescent="0.3">
      <c r="J286" s="17">
        <f t="shared" si="184"/>
        <v>264.179969803728</v>
      </c>
      <c r="K286" s="15">
        <f t="shared" si="185"/>
        <v>0.93853151059333229</v>
      </c>
      <c r="L286" s="40">
        <f t="shared" si="186"/>
        <v>2655.6481959174739</v>
      </c>
      <c r="M286" s="16">
        <f t="shared" si="180"/>
        <v>0.37716530923331004</v>
      </c>
      <c r="N286" s="16">
        <f t="shared" si="181"/>
        <v>5.0060320163240142E-2</v>
      </c>
      <c r="O286" s="16">
        <f t="shared" si="187"/>
        <v>0.23081861000699294</v>
      </c>
      <c r="P286" s="20">
        <f t="shared" si="188"/>
        <v>11.505346972832987</v>
      </c>
      <c r="Q286" s="20">
        <v>13</v>
      </c>
      <c r="R286" s="57">
        <f t="shared" si="189"/>
        <v>-1.8819795150193386E-4</v>
      </c>
      <c r="S286" s="57">
        <f t="shared" si="182"/>
        <v>5.0060320163240142E-2</v>
      </c>
      <c r="T286" s="57">
        <v>8.7371741145104574E-4</v>
      </c>
      <c r="U286" s="58">
        <v>6.5827764704238304E-3</v>
      </c>
      <c r="V286" s="58">
        <f t="shared" si="190"/>
        <v>0.37716530923331004</v>
      </c>
      <c r="W286" s="58">
        <f t="shared" si="191"/>
        <v>2.3933284371224772E-5</v>
      </c>
      <c r="X286" s="20">
        <f t="shared" si="183"/>
        <v>13</v>
      </c>
    </row>
    <row r="287" spans="6:24" x14ac:dyDescent="0.3">
      <c r="J287" s="47">
        <f t="shared" si="184"/>
        <v>277.089984901864</v>
      </c>
      <c r="K287" s="13">
        <f t="shared" si="185"/>
        <v>0.98439591121703662</v>
      </c>
      <c r="L287" s="48">
        <f t="shared" si="186"/>
        <v>2745.408205808892</v>
      </c>
      <c r="M287" s="14">
        <f t="shared" si="180"/>
        <v>0.18278073438877401</v>
      </c>
      <c r="N287" s="14">
        <f t="shared" si="181"/>
        <v>-0.13916882042533787</v>
      </c>
      <c r="O287" s="14">
        <f t="shared" si="187"/>
        <v>-0.67303820211156007</v>
      </c>
      <c r="P287" s="20">
        <f t="shared" si="188"/>
        <v>-4.0791268566859511</v>
      </c>
      <c r="Q287" s="20">
        <v>14</v>
      </c>
      <c r="R287" s="57">
        <f t="shared" si="189"/>
        <v>-2.5647750589996576E-9</v>
      </c>
      <c r="S287" s="57">
        <f t="shared" si="182"/>
        <v>-0.13916882042533787</v>
      </c>
      <c r="T287" s="57">
        <v>-2.428954132538881E-3</v>
      </c>
      <c r="U287" s="58">
        <v>3.1901256242973315E-3</v>
      </c>
      <c r="V287" s="58">
        <f t="shared" si="190"/>
        <v>0.18278073438877401</v>
      </c>
      <c r="W287" s="58">
        <f t="shared" si="191"/>
        <v>6.9633188104489818E-12</v>
      </c>
      <c r="X287" s="20">
        <f t="shared" si="183"/>
        <v>14</v>
      </c>
    </row>
    <row r="288" spans="6:24" x14ac:dyDescent="0.3">
      <c r="J288" s="17">
        <v>290</v>
      </c>
      <c r="K288" s="15">
        <f t="shared" si="185"/>
        <v>1.030260311840741</v>
      </c>
      <c r="L288" s="40">
        <f t="shared" si="186"/>
        <v>2842.7327510283317</v>
      </c>
      <c r="M288" s="16">
        <f t="shared" si="180"/>
        <v>1.5066941885727464E-2</v>
      </c>
      <c r="N288" s="16">
        <f t="shared" si="181"/>
        <v>-0.35607339735538929</v>
      </c>
      <c r="O288" s="16">
        <f t="shared" si="187"/>
        <v>-1.8022378161267048</v>
      </c>
      <c r="P288" s="20">
        <f t="shared" si="188"/>
        <v>-1.5773349807617598</v>
      </c>
      <c r="Q288" s="59">
        <v>15</v>
      </c>
      <c r="R288" s="57">
        <f t="shared" si="189"/>
        <v>1.45998019434046E-5</v>
      </c>
      <c r="S288" s="57">
        <f t="shared" si="182"/>
        <v>-0.35607339735538929</v>
      </c>
      <c r="T288" s="57">
        <v>-6.2146531626136123E-3</v>
      </c>
      <c r="U288" s="58">
        <v>2.6296774411258748E-4</v>
      </c>
      <c r="V288" s="58">
        <f t="shared" si="190"/>
        <v>1.5066941885727464E-2</v>
      </c>
      <c r="W288" s="58">
        <f t="shared" si="191"/>
        <v>2.4095953676805948E-8</v>
      </c>
      <c r="X288" s="20">
        <f t="shared" si="183"/>
        <v>15</v>
      </c>
    </row>
  </sheetData>
  <mergeCells count="16">
    <mergeCell ref="J236:O236"/>
    <mergeCell ref="J254:O254"/>
    <mergeCell ref="J272:O272"/>
    <mergeCell ref="J146:O146"/>
    <mergeCell ref="J164:O164"/>
    <mergeCell ref="J182:O182"/>
    <mergeCell ref="J200:O200"/>
    <mergeCell ref="J218:O218"/>
    <mergeCell ref="J92:O92"/>
    <mergeCell ref="J110:O110"/>
    <mergeCell ref="J128:O128"/>
    <mergeCell ref="J2:O2"/>
    <mergeCell ref="J20:O20"/>
    <mergeCell ref="J38:O38"/>
    <mergeCell ref="J56:O56"/>
    <mergeCell ref="J74:O7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B099-80E8-48F6-91E5-B49D65C90E71}">
  <dimension ref="A1:Y82"/>
  <sheetViews>
    <sheetView zoomScaleNormal="100" workbookViewId="0"/>
  </sheetViews>
  <sheetFormatPr defaultRowHeight="15" x14ac:dyDescent="0.25"/>
  <cols>
    <col min="1" max="1" width="34.77734375" style="23" customWidth="1"/>
    <col min="2" max="2" width="9.5546875" style="23" customWidth="1"/>
    <col min="3" max="3" width="8.88671875" style="23"/>
    <col min="4" max="4" width="9.77734375" style="23" bestFit="1" customWidth="1"/>
    <col min="5" max="6" width="8.88671875" style="23"/>
    <col min="7" max="7" width="10.6640625" style="23" customWidth="1"/>
    <col min="8" max="8" width="9" style="23" bestFit="1" customWidth="1"/>
    <col min="9" max="10" width="9.5546875" style="23" customWidth="1"/>
    <col min="11" max="11" width="8" style="23" customWidth="1"/>
    <col min="12" max="12" width="10.21875" style="23" customWidth="1"/>
    <col min="13" max="13" width="8.6640625" style="23" customWidth="1"/>
    <col min="14" max="14" width="8.77734375" style="23" customWidth="1"/>
    <col min="15" max="15" width="8.88671875" style="23" customWidth="1"/>
    <col min="16" max="16" width="7.5546875" style="23" customWidth="1"/>
    <col min="17" max="16384" width="8.88671875" style="23"/>
  </cols>
  <sheetData>
    <row r="1" spans="1:12" ht="18.600000000000001" thickBot="1" x14ac:dyDescent="0.3">
      <c r="A1" s="21" t="s">
        <v>10</v>
      </c>
      <c r="B1" s="22" t="s">
        <v>6</v>
      </c>
      <c r="C1" s="22">
        <v>0</v>
      </c>
      <c r="D1" s="22" t="s">
        <v>3</v>
      </c>
      <c r="G1" s="143" t="s">
        <v>165</v>
      </c>
      <c r="H1" s="144"/>
      <c r="I1" s="144"/>
      <c r="J1" s="144"/>
      <c r="K1" s="144"/>
      <c r="L1" s="145"/>
    </row>
    <row r="2" spans="1:12" ht="18.600000000000001" thickBot="1" x14ac:dyDescent="0.35">
      <c r="A2" s="24" t="s">
        <v>17</v>
      </c>
      <c r="B2" s="25" t="s">
        <v>69</v>
      </c>
      <c r="C2" s="25">
        <f>Podsumowanie!B17</f>
        <v>6.2309999999999999</v>
      </c>
      <c r="D2" s="25" t="s">
        <v>26</v>
      </c>
      <c r="G2" s="98" t="s">
        <v>63</v>
      </c>
      <c r="H2" s="98" t="s">
        <v>53</v>
      </c>
      <c r="I2" s="98" t="s">
        <v>65</v>
      </c>
      <c r="J2" s="98" t="s">
        <v>66</v>
      </c>
      <c r="K2" s="98" t="s">
        <v>84</v>
      </c>
      <c r="L2" s="98" t="s">
        <v>64</v>
      </c>
    </row>
    <row r="3" spans="1:12" ht="18" x14ac:dyDescent="0.3">
      <c r="A3" s="24" t="s">
        <v>62</v>
      </c>
      <c r="B3" s="25" t="s">
        <v>70</v>
      </c>
      <c r="C3" s="25">
        <f>Podsumowanie!B10</f>
        <v>9800</v>
      </c>
      <c r="D3" s="25" t="s">
        <v>28</v>
      </c>
      <c r="G3" s="81">
        <f>SQRT(2*C$11/C$4/C$16/C$15)</f>
        <v>45.931239174747347</v>
      </c>
      <c r="H3" s="99">
        <f t="shared" ref="H3:H17" si="0">G3/C$19</f>
        <v>0.13497278629076503</v>
      </c>
      <c r="I3" s="100">
        <f t="shared" ref="I3:I17" si="1">C$17*(1-0.605*H3+0.725*H3^2)</f>
        <v>9129.1827749248059</v>
      </c>
      <c r="J3" s="67">
        <f t="shared" ref="J3:J17" ca="1" si="2">OFFSET(D22,A22-2,0,1,1)</f>
        <v>10.628885063334991</v>
      </c>
      <c r="K3" s="67">
        <f t="shared" ref="K3:K17" ca="1" si="3">OFFSET(D21,A22-2,0,1,1)</f>
        <v>11.285434100115996</v>
      </c>
      <c r="L3" s="67">
        <f ca="1">G3*SIN(RADIANS(K3))</f>
        <v>8.988598510749636</v>
      </c>
    </row>
    <row r="4" spans="1:12" ht="18" x14ac:dyDescent="0.3">
      <c r="A4" s="24" t="s">
        <v>16</v>
      </c>
      <c r="B4" s="25" t="s">
        <v>5</v>
      </c>
      <c r="C4" s="25">
        <f>Podsumowanie!B3</f>
        <v>17.5</v>
      </c>
      <c r="D4" s="25" t="s">
        <v>71</v>
      </c>
      <c r="G4" s="47">
        <v>63</v>
      </c>
      <c r="H4" s="19">
        <f t="shared" si="0"/>
        <v>0.1851307669703203</v>
      </c>
      <c r="I4" s="48">
        <f t="shared" si="1"/>
        <v>8945.8721958784008</v>
      </c>
      <c r="J4" s="67">
        <f t="shared" ca="1" si="2"/>
        <v>5.1441759564103995</v>
      </c>
      <c r="K4" s="67">
        <f t="shared" ca="1" si="3"/>
        <v>12.519934957973641</v>
      </c>
      <c r="L4" s="67">
        <f t="shared" ref="L4:L17" ca="1" si="4">G4*SIN(RADIANS(K4))</f>
        <v>13.657094900680693</v>
      </c>
    </row>
    <row r="5" spans="1:12" ht="18" x14ac:dyDescent="0.3">
      <c r="A5" s="24" t="s">
        <v>30</v>
      </c>
      <c r="B5" s="25" t="s">
        <v>72</v>
      </c>
      <c r="C5" s="25">
        <f>Podsumowanie!B31</f>
        <v>-2.4783675378319478E-2</v>
      </c>
      <c r="D5" s="25" t="s">
        <v>29</v>
      </c>
      <c r="G5" s="47">
        <v>77</v>
      </c>
      <c r="H5" s="19">
        <f t="shared" si="0"/>
        <v>0.22627093740816925</v>
      </c>
      <c r="I5" s="48">
        <f t="shared" si="1"/>
        <v>8822.2052183131</v>
      </c>
      <c r="J5" s="67">
        <f t="shared" ca="1" si="2"/>
        <v>3.0232630154714775</v>
      </c>
      <c r="K5" s="67">
        <f t="shared" ca="1" si="3"/>
        <v>12.484885826133842</v>
      </c>
      <c r="L5" s="67">
        <f t="shared" ca="1" si="4"/>
        <v>16.646019177387522</v>
      </c>
    </row>
    <row r="6" spans="1:12" ht="15.6" x14ac:dyDescent="0.3">
      <c r="A6" s="24" t="s">
        <v>12</v>
      </c>
      <c r="B6" s="25" t="s">
        <v>3</v>
      </c>
      <c r="C6" s="25">
        <f>Podsumowanie!B7</f>
        <v>3240</v>
      </c>
      <c r="D6" s="25" t="s">
        <v>0</v>
      </c>
      <c r="G6" s="47">
        <v>90</v>
      </c>
      <c r="H6" s="19">
        <f t="shared" si="0"/>
        <v>0.26447252424331469</v>
      </c>
      <c r="I6" s="48">
        <f t="shared" si="1"/>
        <v>8728.9067165071629</v>
      </c>
      <c r="J6" s="67">
        <f t="shared" ca="1" si="2"/>
        <v>1.8568807818505122</v>
      </c>
      <c r="K6" s="67">
        <f t="shared" ca="1" si="3"/>
        <v>12.054828549213855</v>
      </c>
      <c r="L6" s="67">
        <f t="shared" ca="1" si="4"/>
        <v>18.79628605023618</v>
      </c>
    </row>
    <row r="7" spans="1:12" ht="18" x14ac:dyDescent="0.3">
      <c r="A7" s="24" t="s">
        <v>15</v>
      </c>
      <c r="B7" s="25" t="s">
        <v>73</v>
      </c>
      <c r="C7" s="25">
        <f>Podsumowanie!B14</f>
        <v>5.1340000000000003</v>
      </c>
      <c r="D7" s="25" t="s">
        <v>8</v>
      </c>
      <c r="G7" s="47">
        <v>104</v>
      </c>
      <c r="H7" s="19">
        <f t="shared" si="0"/>
        <v>0.30561269468116364</v>
      </c>
      <c r="I7" s="48">
        <f t="shared" si="1"/>
        <v>8651.6230747981353</v>
      </c>
      <c r="J7" s="67">
        <f t="shared" ca="1" si="2"/>
        <v>1.0503140462729392</v>
      </c>
      <c r="K7" s="67">
        <f t="shared" ca="1" si="3"/>
        <v>11.320569014344034</v>
      </c>
      <c r="L7" s="67">
        <f t="shared" ca="1" si="4"/>
        <v>20.41500961267004</v>
      </c>
    </row>
    <row r="8" spans="1:12" ht="18" x14ac:dyDescent="0.3">
      <c r="A8" s="24" t="s">
        <v>18</v>
      </c>
      <c r="B8" s="25" t="s">
        <v>74</v>
      </c>
      <c r="C8" s="25">
        <f>Podsumowanie!B15</f>
        <v>1.533E-2</v>
      </c>
      <c r="D8" s="25" t="s">
        <v>8</v>
      </c>
      <c r="G8" s="47">
        <v>117</v>
      </c>
      <c r="H8" s="19">
        <f t="shared" si="0"/>
        <v>0.34381428151630911</v>
      </c>
      <c r="I8" s="48">
        <f t="shared" si="1"/>
        <v>8601.3948134301645</v>
      </c>
      <c r="J8" s="67">
        <f t="shared" ca="1" si="2"/>
        <v>0.54236424710963427</v>
      </c>
      <c r="K8" s="67">
        <f t="shared" ca="1" si="3"/>
        <v>10.447041493427335</v>
      </c>
      <c r="L8" s="67">
        <f t="shared" ca="1" si="4"/>
        <v>21.215215120819067</v>
      </c>
    </row>
    <row r="9" spans="1:12" ht="18" x14ac:dyDescent="0.3">
      <c r="A9" s="24" t="s">
        <v>14</v>
      </c>
      <c r="B9" s="25" t="s">
        <v>75</v>
      </c>
      <c r="C9" s="25">
        <f>Podsumowanie!B12</f>
        <v>243.33333333333334</v>
      </c>
      <c r="D9" s="25" t="s">
        <v>27</v>
      </c>
      <c r="G9" s="47">
        <v>130</v>
      </c>
      <c r="H9" s="19">
        <f t="shared" si="0"/>
        <v>0.38201586835145457</v>
      </c>
      <c r="I9" s="48">
        <f t="shared" si="1"/>
        <v>8571.9040752360306</v>
      </c>
      <c r="J9" s="67">
        <f t="shared" ca="1" si="2"/>
        <v>0.17729575653275917</v>
      </c>
      <c r="K9" s="67">
        <f t="shared" ca="1" si="3"/>
        <v>9.4124859848353584</v>
      </c>
      <c r="L9" s="67">
        <f t="shared" ca="1" si="4"/>
        <v>21.260323979985298</v>
      </c>
    </row>
    <row r="10" spans="1:12" ht="18" x14ac:dyDescent="0.3">
      <c r="A10" s="24" t="s">
        <v>25</v>
      </c>
      <c r="B10" s="25" t="s">
        <v>24</v>
      </c>
      <c r="C10" s="25">
        <f>Podsumowanie!B2</f>
        <v>1.2255</v>
      </c>
      <c r="D10" s="25" t="s">
        <v>76</v>
      </c>
      <c r="G10" s="47">
        <v>144</v>
      </c>
      <c r="H10" s="19">
        <f t="shared" si="0"/>
        <v>0.42315603878930352</v>
      </c>
      <c r="I10" s="48">
        <f t="shared" si="1"/>
        <v>8563.3364866474058</v>
      </c>
      <c r="J10" s="67">
        <f t="shared" ca="1" si="2"/>
        <v>-0.11190393726166412</v>
      </c>
      <c r="K10" s="67">
        <f t="shared" ca="1" si="3"/>
        <v>8.12407442886221</v>
      </c>
      <c r="L10" s="67">
        <f t="shared" ca="1" si="4"/>
        <v>20.349677620290091</v>
      </c>
    </row>
    <row r="11" spans="1:12" ht="15.6" x14ac:dyDescent="0.3">
      <c r="A11" s="24" t="s">
        <v>19</v>
      </c>
      <c r="B11" s="25" t="s">
        <v>13</v>
      </c>
      <c r="C11" s="25">
        <f>Podsumowanie!B8</f>
        <v>31784.400000000001</v>
      </c>
      <c r="D11" s="25" t="s">
        <v>28</v>
      </c>
      <c r="G11" s="47">
        <v>158</v>
      </c>
      <c r="H11" s="19">
        <f t="shared" si="0"/>
        <v>0.46429620922715248</v>
      </c>
      <c r="I11" s="48">
        <f t="shared" si="1"/>
        <v>8578.8195166509231</v>
      </c>
      <c r="J11" s="67">
        <f t="shared" ca="1" si="2"/>
        <v>-0.32870526738342559</v>
      </c>
      <c r="K11" s="67">
        <f t="shared" ca="1" si="3"/>
        <v>6.6470958819319073</v>
      </c>
      <c r="L11" s="67">
        <f t="shared" ca="1" si="4"/>
        <v>18.289075488771584</v>
      </c>
    </row>
    <row r="12" spans="1:12" ht="18" x14ac:dyDescent="0.3">
      <c r="A12" s="24" t="s">
        <v>59</v>
      </c>
      <c r="B12" s="25" t="s">
        <v>77</v>
      </c>
      <c r="C12" s="25">
        <f>Podsumowanie!B13</f>
        <v>340.3</v>
      </c>
      <c r="D12" s="25" t="s">
        <v>55</v>
      </c>
      <c r="G12" s="47">
        <v>171</v>
      </c>
      <c r="H12" s="19">
        <f t="shared" si="0"/>
        <v>0.50249779606229794</v>
      </c>
      <c r="I12" s="48">
        <f t="shared" si="1"/>
        <v>8614.7317361588866</v>
      </c>
      <c r="J12" s="67">
        <f t="shared" ca="1" si="2"/>
        <v>-0.48502181541003947</v>
      </c>
      <c r="K12" s="67">
        <f t="shared" ca="1" si="3"/>
        <v>5.0895245037582635</v>
      </c>
      <c r="L12" s="67">
        <f t="shared" ca="1" si="4"/>
        <v>15.169784028476812</v>
      </c>
    </row>
    <row r="13" spans="1:12" ht="18" x14ac:dyDescent="0.3">
      <c r="A13" s="24" t="s">
        <v>60</v>
      </c>
      <c r="B13" s="25" t="s">
        <v>78</v>
      </c>
      <c r="C13" s="25">
        <f>Podsumowanie!B18</f>
        <v>288.14999999999998</v>
      </c>
      <c r="D13" s="25" t="s">
        <v>56</v>
      </c>
      <c r="G13" s="47">
        <v>185</v>
      </c>
      <c r="H13" s="19">
        <f t="shared" si="0"/>
        <v>0.54363796650014695</v>
      </c>
      <c r="I13" s="48">
        <f t="shared" si="1"/>
        <v>8676.5981020186773</v>
      </c>
      <c r="J13" s="67">
        <f t="shared" ca="1" si="2"/>
        <v>-0.61871805035806582</v>
      </c>
      <c r="K13" s="67">
        <f t="shared" ca="1" si="3"/>
        <v>3.1816993387095391</v>
      </c>
      <c r="L13" s="67">
        <f t="shared" ca="1" si="4"/>
        <v>10.267979776560965</v>
      </c>
    </row>
    <row r="14" spans="1:12" ht="15.6" x14ac:dyDescent="0.3">
      <c r="A14" s="24" t="s">
        <v>11</v>
      </c>
      <c r="B14" s="25" t="s">
        <v>22</v>
      </c>
      <c r="C14" s="25">
        <f>Podsumowanie!B30</f>
        <v>1.7453292519943295E-2</v>
      </c>
      <c r="D14" s="25" t="s">
        <v>29</v>
      </c>
      <c r="G14" s="47">
        <v>200</v>
      </c>
      <c r="H14" s="19">
        <f t="shared" si="0"/>
        <v>0.58771672054069934</v>
      </c>
      <c r="I14" s="48">
        <f t="shared" si="1"/>
        <v>8769.5723182143229</v>
      </c>
      <c r="J14" s="67">
        <f t="shared" ca="1" si="2"/>
        <v>-0.73299148639355316</v>
      </c>
      <c r="K14" s="67">
        <f t="shared" ca="1" si="3"/>
        <v>0.82007732955849288</v>
      </c>
      <c r="L14" s="67">
        <f t="shared" ca="1" si="4"/>
        <v>2.8625121646929066</v>
      </c>
    </row>
    <row r="15" spans="1:12" ht="18" x14ac:dyDescent="0.25">
      <c r="A15" s="25" t="s">
        <v>94</v>
      </c>
      <c r="B15" s="25" t="s">
        <v>95</v>
      </c>
      <c r="C15" s="25">
        <f>Podsumowanie!B16</f>
        <v>1.405</v>
      </c>
      <c r="D15" s="25" t="s">
        <v>8</v>
      </c>
      <c r="G15" s="47">
        <v>213</v>
      </c>
      <c r="H15" s="19">
        <f t="shared" si="0"/>
        <v>0.62591830737584486</v>
      </c>
      <c r="I15" s="48">
        <f t="shared" si="1"/>
        <v>8872.4826895146798</v>
      </c>
      <c r="J15" s="67">
        <f t="shared" ca="1" si="2"/>
        <v>-0.81415612653222769</v>
      </c>
      <c r="K15" s="67">
        <f t="shared" ca="1" si="3"/>
        <v>-1.5554526029645968</v>
      </c>
      <c r="L15" s="67">
        <f t="shared" ca="1" si="4"/>
        <v>-5.7817646009204191</v>
      </c>
    </row>
    <row r="16" spans="1:12" ht="18.600000000000001" x14ac:dyDescent="0.25">
      <c r="A16" s="23" t="s">
        <v>21</v>
      </c>
      <c r="B16" s="20" t="s">
        <v>79</v>
      </c>
      <c r="C16" s="20">
        <f>C10*(1-C1/44300)^4.256</f>
        <v>1.2255</v>
      </c>
      <c r="D16" s="20" t="s">
        <v>80</v>
      </c>
      <c r="G16" s="47">
        <v>227</v>
      </c>
      <c r="H16" s="19">
        <f t="shared" si="0"/>
        <v>0.66705847781369376</v>
      </c>
      <c r="I16" s="48">
        <f t="shared" si="1"/>
        <v>9006.5009111508916</v>
      </c>
      <c r="J16" s="67">
        <f t="shared" ca="1" si="2"/>
        <v>-0.88779142694607349</v>
      </c>
      <c r="K16" s="67">
        <f t="shared" ca="1" si="3"/>
        <v>-4.5515948521004326</v>
      </c>
      <c r="L16" s="67">
        <f t="shared" ca="1" si="4"/>
        <v>-18.013990853386808</v>
      </c>
    </row>
    <row r="17" spans="1:25" ht="18.600000000000001" x14ac:dyDescent="0.25">
      <c r="A17" s="23" t="s">
        <v>20</v>
      </c>
      <c r="B17" s="20" t="s">
        <v>81</v>
      </c>
      <c r="C17" s="20">
        <f>C3*(C16/C10)^0.85</f>
        <v>9800</v>
      </c>
      <c r="D17" s="20" t="s">
        <v>28</v>
      </c>
      <c r="G17" s="47">
        <v>240</v>
      </c>
      <c r="H17" s="19">
        <f t="shared" si="0"/>
        <v>0.70526006464883928</v>
      </c>
      <c r="I17" s="48">
        <f t="shared" si="1"/>
        <v>9152.4815228892166</v>
      </c>
      <c r="J17" s="67">
        <f t="shared" ca="1" si="2"/>
        <v>-0.94663824324600077</v>
      </c>
      <c r="K17" s="67">
        <f t="shared" ca="1" si="3"/>
        <v>-7.8694159127469661</v>
      </c>
      <c r="L17" s="67">
        <f t="shared" ca="1" si="4"/>
        <v>-32.859791866052333</v>
      </c>
    </row>
    <row r="18" spans="1:25" ht="18.600000000000001" x14ac:dyDescent="0.25">
      <c r="A18" s="23" t="s">
        <v>61</v>
      </c>
      <c r="B18" s="20" t="s">
        <v>82</v>
      </c>
      <c r="C18" s="20">
        <f>C13-6.5*C1/1000</f>
        <v>288.14999999999998</v>
      </c>
      <c r="D18" s="20" t="s">
        <v>56</v>
      </c>
    </row>
    <row r="19" spans="1:25" ht="18.600000000000001" x14ac:dyDescent="0.3">
      <c r="A19" s="23" t="s">
        <v>54</v>
      </c>
      <c r="B19" s="20" t="s">
        <v>83</v>
      </c>
      <c r="C19" s="20">
        <f>C12*SQRT(C18/C13)</f>
        <v>340.3</v>
      </c>
      <c r="D19" s="20" t="s">
        <v>55</v>
      </c>
      <c r="Y19" s="41"/>
    </row>
    <row r="20" spans="1:25" ht="19.2" thickBot="1" x14ac:dyDescent="0.35">
      <c r="A20" s="23" t="s">
        <v>155</v>
      </c>
      <c r="B20" s="20" t="s">
        <v>157</v>
      </c>
      <c r="C20" s="20">
        <f>Podsumowanie!B9</f>
        <v>37670.400000000001</v>
      </c>
      <c r="D20" s="20" t="s">
        <v>28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03"/>
    </row>
    <row r="21" spans="1:25" ht="18.600000000000001" thickBot="1" x14ac:dyDescent="0.3">
      <c r="A21" s="26">
        <v>1</v>
      </c>
      <c r="B21" s="27">
        <f>-I3*COS(C21+C22-C$14)+0.5*C$16*C$4*C$2*(C22-C$5)*G3^2*SIN(C21)+0.5*C$16*C$4*((C$8+1/PI()/C$7*C$2^2*(C22-C$5)^2)/SQRT(1-H3^2))*G3^2*COS(C21)</f>
        <v>-1.9383592143640271E-4</v>
      </c>
      <c r="C21" s="28">
        <v>0.19696798256386749</v>
      </c>
      <c r="D21" s="29">
        <f t="shared" ref="D21:D50" si="5">DEGREES(C21)</f>
        <v>11.285434100115996</v>
      </c>
      <c r="F21" s="143" t="s">
        <v>166</v>
      </c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5"/>
    </row>
    <row r="22" spans="1:25" ht="18.600000000000001" thickBot="1" x14ac:dyDescent="0.3">
      <c r="A22" s="30">
        <v>2</v>
      </c>
      <c r="B22" s="31">
        <f>I3*SIN(C21+C22-C$14)+0.5*C$16*C$4*C$2*(C22-C$5)*G3^2*COS(C21)-0.5*C$16*C$4*(C$8+1/PI()/C$7*C$2^2*(C22-C$5)^2)/SQRT(1-H3^2)*G3^2*SIN(C21)-C$11</f>
        <v>3.40223778039217E-8</v>
      </c>
      <c r="C22" s="32">
        <v>0.18550904017124162</v>
      </c>
      <c r="D22" s="33">
        <f t="shared" si="5"/>
        <v>10.628885063334991</v>
      </c>
      <c r="F22" s="98" t="s">
        <v>1</v>
      </c>
      <c r="G22" s="98" t="s">
        <v>7</v>
      </c>
      <c r="H22" s="98" t="s">
        <v>109</v>
      </c>
      <c r="I22" s="98" t="s">
        <v>2</v>
      </c>
      <c r="J22" s="98" t="s">
        <v>63</v>
      </c>
      <c r="K22" s="98" t="s">
        <v>53</v>
      </c>
      <c r="L22" s="98" t="s">
        <v>67</v>
      </c>
      <c r="M22" s="98" t="s">
        <v>65</v>
      </c>
      <c r="N22" s="98" t="s">
        <v>68</v>
      </c>
      <c r="O22" s="98" t="s">
        <v>64</v>
      </c>
      <c r="P22" s="98" t="s">
        <v>84</v>
      </c>
      <c r="Q22" s="98" t="s">
        <v>66</v>
      </c>
    </row>
    <row r="23" spans="1:25" x14ac:dyDescent="0.25">
      <c r="A23" s="34">
        <v>3</v>
      </c>
      <c r="B23" s="27">
        <f>-I4*COS(C23+C24-C$14)+0.5*C$16*C$4*C$2*(C24-C$5)*G4^2*SIN(C23)+0.5*C$16*C$4*(C$8+1/PI()/C$7*C$2^2*(C24-C$5)^2)/SQRT(1-H4^2)*G4^2*COS(C23)</f>
        <v>-9.4564711616840214E-10</v>
      </c>
      <c r="C23" s="35">
        <v>0.21851408715217793</v>
      </c>
      <c r="D23" s="36">
        <f t="shared" si="5"/>
        <v>12.519934957973641</v>
      </c>
      <c r="F23" s="42">
        <v>1.405</v>
      </c>
      <c r="G23" s="101">
        <v>0.1406</v>
      </c>
      <c r="H23" s="101">
        <f>G23/SQRT(1-K23^2)</f>
        <v>0.14189846949054521</v>
      </c>
      <c r="I23" s="43">
        <f>F23^3/H23^2</f>
        <v>137.74427271309332</v>
      </c>
      <c r="J23" s="44">
        <f t="shared" ref="J23:J41" si="6">SQRT((2*C$11)/(C$4*C$16*F23))</f>
        <v>45.931239174747347</v>
      </c>
      <c r="K23" s="42">
        <f t="shared" ref="K23:K41" si="7">J23/C$19</f>
        <v>0.13497278629076503</v>
      </c>
      <c r="L23" s="46">
        <f t="shared" ref="L23:L41" si="8">C$11*SQRT((2*C$11)/(C$16*C$4*I23))/J23</f>
        <v>3210.0766645375693</v>
      </c>
      <c r="M23" s="46">
        <f t="shared" ref="M23:M41" si="9">C$17*(1-0.605*K23+0.725*K23^2)</f>
        <v>9129.1827749248059</v>
      </c>
      <c r="N23" s="46">
        <f>(M23-L23)</f>
        <v>5919.1061103872362</v>
      </c>
      <c r="O23" s="43">
        <f t="shared" ref="O23:O41" si="10">N23/C$11*J23</f>
        <v>8.5536262586962355</v>
      </c>
      <c r="P23" s="43">
        <f>DEGREES(ASIN(O23/J23))</f>
        <v>10.73266409448583</v>
      </c>
      <c r="Q23" s="42">
        <v>12.989000000000001</v>
      </c>
    </row>
    <row r="24" spans="1:25" x14ac:dyDescent="0.25">
      <c r="A24" s="37">
        <v>4</v>
      </c>
      <c r="B24" s="31">
        <f>I4*SIN(C23+C24-C$14)+0.5*C$16*C$4*C$2*(C24-C$5)*G4^2*COS(C23)-0.5*C$16*C$4*(C$8+1/PI()/C$7*C$2^2*(C24-C$5)^2)/SQRT(1-H4^2)*G4^2*SIN(C23)-C$11</f>
        <v>-2.3764005163684487E-7</v>
      </c>
      <c r="C24" s="38">
        <v>8.9782807741289772E-2</v>
      </c>
      <c r="D24" s="39">
        <f t="shared" si="5"/>
        <v>5.1441759564103995</v>
      </c>
      <c r="F24" s="13">
        <v>1.3560000000000001</v>
      </c>
      <c r="G24" s="18">
        <v>0.13239999999999999</v>
      </c>
      <c r="H24" s="18">
        <f t="shared" ref="H24:H41" si="11">G24/SQRT(1-K24^2)</f>
        <v>0.13366756192250395</v>
      </c>
      <c r="I24" s="14">
        <f t="shared" ref="I24:I41" si="12">F24^3/H24^2</f>
        <v>139.54909208441669</v>
      </c>
      <c r="J24" s="47">
        <f t="shared" si="6"/>
        <v>46.753753171001605</v>
      </c>
      <c r="K24" s="13">
        <f t="shared" si="7"/>
        <v>0.13738981243315193</v>
      </c>
      <c r="L24" s="48">
        <f t="shared" si="8"/>
        <v>3133.1439934879313</v>
      </c>
      <c r="M24" s="48">
        <f t="shared" si="9"/>
        <v>9119.5295018656016</v>
      </c>
      <c r="N24" s="48">
        <f t="shared" ref="N24:N41" si="13">(M24-L24)</f>
        <v>5986.3855083776707</v>
      </c>
      <c r="O24" s="14">
        <f t="shared" si="10"/>
        <v>8.805766050174002</v>
      </c>
      <c r="P24" s="14">
        <f t="shared" ref="P24:P41" si="14">DEGREES(ASIN(O24/J24))</f>
        <v>10.856129187627817</v>
      </c>
      <c r="Q24" s="13">
        <v>11.238</v>
      </c>
    </row>
    <row r="25" spans="1:25" x14ac:dyDescent="0.25">
      <c r="A25" s="26">
        <v>5</v>
      </c>
      <c r="B25" s="27">
        <f>-I5*COS(C25+C26-C$14)+0.5*C$16*C$4*C$2*(C26-C$5)*G5^2*SIN(C25)+0.5*C$16*C$4*(C$8+1/PI()/C$7*C$2^2*(C26-C$5)^2)/SQRT(1-H5^2)*G5^2*COS(C25)</f>
        <v>-1.6575540939811617E-9</v>
      </c>
      <c r="C25" s="28">
        <v>0.21790236440160785</v>
      </c>
      <c r="D25" s="29">
        <f t="shared" si="5"/>
        <v>12.484885826133842</v>
      </c>
      <c r="F25" s="13">
        <v>1.302</v>
      </c>
      <c r="G25" s="18">
        <v>0.1231</v>
      </c>
      <c r="H25" s="18">
        <f t="shared" si="11"/>
        <v>0.12432813906055584</v>
      </c>
      <c r="I25" s="14">
        <f t="shared" si="12"/>
        <v>142.78878110133579</v>
      </c>
      <c r="J25" s="47">
        <f t="shared" si="6"/>
        <v>47.713451350907093</v>
      </c>
      <c r="K25" s="13">
        <f t="shared" si="7"/>
        <v>0.14020996576816661</v>
      </c>
      <c r="L25" s="48">
        <f t="shared" si="8"/>
        <v>3035.0962389833576</v>
      </c>
      <c r="M25" s="48">
        <f t="shared" si="9"/>
        <v>9108.3711320880884</v>
      </c>
      <c r="N25" s="48">
        <f t="shared" si="13"/>
        <v>6073.2748931047308</v>
      </c>
      <c r="O25" s="14">
        <f t="shared" si="10"/>
        <v>9.1169537934596221</v>
      </c>
      <c r="P25" s="14">
        <f t="shared" si="14"/>
        <v>11.015656382473013</v>
      </c>
      <c r="Q25" s="13">
        <v>10.574999999999999</v>
      </c>
    </row>
    <row r="26" spans="1:25" x14ac:dyDescent="0.25">
      <c r="A26" s="30">
        <v>6</v>
      </c>
      <c r="B26" s="31">
        <f>I5*SIN(C25+C26-C$14)+0.5*C$16*C$4*C$2*(C26-C$5)*G5^2*COS(C25)-0.5*C$16*C$4*(C$8+1/PI()/C$7*C$2^2*(C26-C$5)^2)/SQRT(1-H5^2)*G5^2*SIN(C25)-C$11</f>
        <v>-6.5301355789415538E-7</v>
      </c>
      <c r="C26" s="32">
        <v>5.2765893773749552E-2</v>
      </c>
      <c r="D26" s="33">
        <f t="shared" si="5"/>
        <v>3.0232630154714775</v>
      </c>
      <c r="F26" s="13">
        <v>1.1930000000000001</v>
      </c>
      <c r="G26" s="18">
        <v>0.1061</v>
      </c>
      <c r="H26" s="18">
        <f t="shared" si="11"/>
        <v>0.10725683576324806</v>
      </c>
      <c r="I26" s="14">
        <f t="shared" si="12"/>
        <v>147.59490643412707</v>
      </c>
      <c r="J26" s="47">
        <f t="shared" si="6"/>
        <v>49.845516744372453</v>
      </c>
      <c r="K26" s="13">
        <f t="shared" si="7"/>
        <v>0.14647521817329548</v>
      </c>
      <c r="L26" s="48">
        <f t="shared" si="8"/>
        <v>2857.5810315451645</v>
      </c>
      <c r="M26" s="48">
        <f t="shared" si="9"/>
        <v>9083.9861321245189</v>
      </c>
      <c r="N26" s="48">
        <f t="shared" si="13"/>
        <v>6226.4051005793544</v>
      </c>
      <c r="O26" s="14">
        <f t="shared" si="10"/>
        <v>9.7644876007781889</v>
      </c>
      <c r="P26" s="14">
        <f t="shared" si="14"/>
        <v>11.297011852574007</v>
      </c>
      <c r="Q26" s="13">
        <v>9.5760000000000005</v>
      </c>
    </row>
    <row r="27" spans="1:25" x14ac:dyDescent="0.25">
      <c r="A27" s="34">
        <v>7</v>
      </c>
      <c r="B27" s="27">
        <f>-I6*COS(C27+C28-C$14)+0.5*C$16*C$4*C$2*(C28-C$5)*G6^2*SIN(C27)+0.5*C$16*C$4*(C$8+1/PI()/C$7*C$2^2*(C28-C$5)^2)/SQRT(1-H6^2)*G6^2*COS(C27)</f>
        <v>-1.425632945029065E-10</v>
      </c>
      <c r="C27" s="35">
        <v>0.21039644894719306</v>
      </c>
      <c r="D27" s="36">
        <f t="shared" si="5"/>
        <v>12.054828549213855</v>
      </c>
      <c r="F27" s="13">
        <v>1.095</v>
      </c>
      <c r="G27" s="18">
        <v>9.1899999999999996E-2</v>
      </c>
      <c r="H27" s="18">
        <f t="shared" si="11"/>
        <v>9.2993293411092012E-2</v>
      </c>
      <c r="I27" s="14">
        <f t="shared" si="12"/>
        <v>151.82353529035166</v>
      </c>
      <c r="J27" s="47">
        <f t="shared" si="6"/>
        <v>52.028255570921075</v>
      </c>
      <c r="K27" s="13">
        <f t="shared" si="7"/>
        <v>0.15288937869797553</v>
      </c>
      <c r="L27" s="48">
        <f t="shared" si="8"/>
        <v>2699.3023151557204</v>
      </c>
      <c r="M27" s="48">
        <f t="shared" si="9"/>
        <v>9059.5994005527318</v>
      </c>
      <c r="N27" s="48">
        <f t="shared" si="13"/>
        <v>6360.297085397011</v>
      </c>
      <c r="O27" s="14">
        <f t="shared" si="10"/>
        <v>10.411244581178821</v>
      </c>
      <c r="P27" s="14">
        <f t="shared" si="14"/>
        <v>11.543245891454635</v>
      </c>
      <c r="Q27" s="13">
        <v>8.6869999999999994</v>
      </c>
    </row>
    <row r="28" spans="1:25" x14ac:dyDescent="0.25">
      <c r="A28" s="37">
        <v>8</v>
      </c>
      <c r="B28" s="31">
        <f>I6*SIN(C27+C28-C$14)+0.5*C$16*C$4*C$2*(C28-C$5)*G6^2*COS(C27)-0.5*C$16*C$4*(C$8+1/PI()/C$7*C$2^2*(C28-C$5)^2)/SQRT(1-H6^2)*G6^2*SIN(C27)-C$11</f>
        <v>-1.8103746697306633E-6</v>
      </c>
      <c r="C28" s="38">
        <v>3.2408683460298002E-2</v>
      </c>
      <c r="D28" s="39">
        <f t="shared" si="5"/>
        <v>1.8568807818505122</v>
      </c>
      <c r="F28" s="13">
        <v>0.997</v>
      </c>
      <c r="G28" s="18">
        <v>7.9399999999999998E-2</v>
      </c>
      <c r="H28" s="18">
        <f t="shared" si="11"/>
        <v>8.0439265010784439E-2</v>
      </c>
      <c r="I28" s="14">
        <f t="shared" si="12"/>
        <v>153.1613859191055</v>
      </c>
      <c r="J28" s="47">
        <f t="shared" si="6"/>
        <v>54.52538557089337</v>
      </c>
      <c r="K28" s="13">
        <f t="shared" si="7"/>
        <v>0.16022740396971311</v>
      </c>
      <c r="L28" s="48">
        <f t="shared" si="8"/>
        <v>2564.4069957961651</v>
      </c>
      <c r="M28" s="48">
        <f t="shared" si="9"/>
        <v>9032.4171149468875</v>
      </c>
      <c r="N28" s="48">
        <f t="shared" si="13"/>
        <v>6468.0101191507219</v>
      </c>
      <c r="O28" s="14">
        <f t="shared" si="10"/>
        <v>11.095718202109621</v>
      </c>
      <c r="P28" s="14">
        <f t="shared" si="14"/>
        <v>11.741492302050027</v>
      </c>
      <c r="Q28" s="13">
        <v>8.0169999999999995</v>
      </c>
    </row>
    <row r="29" spans="1:25" x14ac:dyDescent="0.25">
      <c r="A29" s="26">
        <v>9</v>
      </c>
      <c r="B29" s="27">
        <f>-I7*COS(C29+C30-C$14)+0.5*C$16*C$4*C$2*(C30-C$5)*G7^2*SIN(C29)+0.5*C$16*C$4*(C$8+1/PI()/C$7*C$2^2*(C30-C$5)^2)/SQRT(1-H7^2)*G7^2*COS(C29)</f>
        <v>2.0840161596424878E-8</v>
      </c>
      <c r="C29" s="28">
        <v>0.19758120249955258</v>
      </c>
      <c r="D29" s="29">
        <f t="shared" si="5"/>
        <v>11.320569014344034</v>
      </c>
      <c r="F29" s="13">
        <v>0.80100000000000005</v>
      </c>
      <c r="G29" s="18">
        <v>5.7599999999999998E-2</v>
      </c>
      <c r="H29" s="18">
        <f t="shared" si="11"/>
        <v>5.8542958727727065E-2</v>
      </c>
      <c r="I29" s="14">
        <f t="shared" si="12"/>
        <v>149.95060176366397</v>
      </c>
      <c r="J29" s="47">
        <f t="shared" si="6"/>
        <v>60.831715833399635</v>
      </c>
      <c r="K29" s="13">
        <f t="shared" si="7"/>
        <v>0.17875908267234686</v>
      </c>
      <c r="L29" s="48">
        <f t="shared" si="8"/>
        <v>2323.0372252004595</v>
      </c>
      <c r="M29" s="48">
        <f t="shared" si="9"/>
        <v>8967.1763213126433</v>
      </c>
      <c r="N29" s="48">
        <f t="shared" si="13"/>
        <v>6644.1390961121833</v>
      </c>
      <c r="O29" s="14">
        <f t="shared" si="10"/>
        <v>12.716124307908188</v>
      </c>
      <c r="P29" s="14">
        <f t="shared" si="14"/>
        <v>12.065967232805786</v>
      </c>
      <c r="Q29" s="13">
        <v>6.1310000000000002</v>
      </c>
    </row>
    <row r="30" spans="1:25" x14ac:dyDescent="0.25">
      <c r="A30" s="30">
        <v>10</v>
      </c>
      <c r="B30" s="31">
        <f>I7*SIN(C29+C30-C$14)+0.5*C$16*C$4*C$2*(C30-C$5)*G7^2*COS(C29)-0.5*C$16*C$4*(C$8+1/PI()/C$7*C$2^2*(C30-C$5)^2)/SQRT(1-H7^2)*G7^2*SIN(C29)-C$11</f>
        <v>-5.0979760999325663E-6</v>
      </c>
      <c r="C30" s="32">
        <v>1.8331438287406868E-2</v>
      </c>
      <c r="D30" s="33">
        <f t="shared" si="5"/>
        <v>1.0503140462729392</v>
      </c>
      <c r="F30" s="13">
        <v>0.61099999999999999</v>
      </c>
      <c r="G30" s="18">
        <v>4.0599999999999997E-2</v>
      </c>
      <c r="H30" s="18">
        <f t="shared" si="11"/>
        <v>4.1478087425256667E-2</v>
      </c>
      <c r="I30" s="14">
        <f t="shared" si="12"/>
        <v>132.58249436255377</v>
      </c>
      <c r="J30" s="47">
        <f t="shared" si="6"/>
        <v>69.65073750571058</v>
      </c>
      <c r="K30" s="13">
        <f t="shared" si="7"/>
        <v>0.20467451515048657</v>
      </c>
      <c r="L30" s="48">
        <f t="shared" si="8"/>
        <v>2157.7023272656756</v>
      </c>
      <c r="M30" s="48">
        <f t="shared" si="9"/>
        <v>8884.125023738341</v>
      </c>
      <c r="N30" s="48">
        <f t="shared" si="13"/>
        <v>6726.4226964726658</v>
      </c>
      <c r="O30" s="14">
        <f t="shared" si="10"/>
        <v>14.739944802622405</v>
      </c>
      <c r="P30" s="14">
        <f t="shared" si="14"/>
        <v>12.217688873856957</v>
      </c>
      <c r="Q30" s="13">
        <v>4.5730000000000004</v>
      </c>
    </row>
    <row r="31" spans="1:25" x14ac:dyDescent="0.25">
      <c r="A31" s="34">
        <v>11</v>
      </c>
      <c r="B31" s="27">
        <f>-I8*COS(C31+C32-C$14)+0.5*C$16*C$4*C$2*(C32-C$5)*G8^2*SIN(C31)+0.5*C$16*C$4*(C$8+1/PI()/C$7*C$2^2*(C32-C$5)^2)/SQRT(1-H8^2)*G8^2*COS(C31)</f>
        <v>9.9874796433141455E-8</v>
      </c>
      <c r="C31" s="35">
        <v>0.18233527115277254</v>
      </c>
      <c r="D31" s="36">
        <f t="shared" si="5"/>
        <v>10.447041493427335</v>
      </c>
      <c r="F31" s="13">
        <v>0.49099999999999999</v>
      </c>
      <c r="G31" s="18">
        <v>3.1699999999999999E-2</v>
      </c>
      <c r="H31" s="18">
        <f t="shared" si="11"/>
        <v>3.2560034796634503E-2</v>
      </c>
      <c r="I31" s="14">
        <f t="shared" si="12"/>
        <v>111.65412068255624</v>
      </c>
      <c r="J31" s="47">
        <f t="shared" si="6"/>
        <v>77.697237598430291</v>
      </c>
      <c r="K31" s="13">
        <f t="shared" si="7"/>
        <v>0.22831982838210488</v>
      </c>
      <c r="L31" s="48">
        <f t="shared" si="8"/>
        <v>2107.7416904076372</v>
      </c>
      <c r="M31" s="48">
        <f t="shared" si="9"/>
        <v>8816.6749898729431</v>
      </c>
      <c r="N31" s="48">
        <f t="shared" si="13"/>
        <v>6708.9332994653059</v>
      </c>
      <c r="O31" s="14">
        <f t="shared" si="10"/>
        <v>16.400044820747812</v>
      </c>
      <c r="P31" s="14">
        <f t="shared" si="14"/>
        <v>12.185433162938734</v>
      </c>
      <c r="Q31" s="13">
        <v>3.3540000000000001</v>
      </c>
    </row>
    <row r="32" spans="1:25" x14ac:dyDescent="0.25">
      <c r="A32" s="37">
        <v>12</v>
      </c>
      <c r="B32" s="31">
        <f>I8*SIN(C31+C32-C$14)+0.5*C$16*C$4*C$2*(C32-C$5)*G8^2*COS(C31)-0.5*C$16*C$4*(C$8+1/PI()/C$7*C$2^2*(C32-C$5)^2)/SQRT(1-H8^2)*G8^2*SIN(C31)-C$11</f>
        <v>-1.0193485650233924E-5</v>
      </c>
      <c r="C32" s="38">
        <v>9.4660418571632567E-3</v>
      </c>
      <c r="D32" s="39">
        <f t="shared" si="5"/>
        <v>0.54236424710963427</v>
      </c>
      <c r="F32" s="13">
        <v>0.38800000000000001</v>
      </c>
      <c r="G32" s="18">
        <v>2.52E-2</v>
      </c>
      <c r="H32" s="18">
        <f t="shared" si="11"/>
        <v>2.607472843461852E-2</v>
      </c>
      <c r="I32" s="14">
        <f t="shared" si="12"/>
        <v>85.912348049635341</v>
      </c>
      <c r="J32" s="47">
        <f t="shared" si="6"/>
        <v>87.403829604220221</v>
      </c>
      <c r="K32" s="13">
        <f t="shared" si="7"/>
        <v>0.25684346048845202</v>
      </c>
      <c r="L32" s="48">
        <f t="shared" si="8"/>
        <v>2136.0041197352807</v>
      </c>
      <c r="M32" s="48">
        <f t="shared" si="9"/>
        <v>8745.8817642692957</v>
      </c>
      <c r="N32" s="48">
        <f t="shared" si="13"/>
        <v>6609.8776445340154</v>
      </c>
      <c r="O32" s="14">
        <f t="shared" si="10"/>
        <v>18.176483411598003</v>
      </c>
      <c r="P32" s="14">
        <f t="shared" si="14"/>
        <v>12.002818375593382</v>
      </c>
      <c r="Q32" s="13">
        <v>2.5739999999999998</v>
      </c>
    </row>
    <row r="33" spans="1:18" x14ac:dyDescent="0.25">
      <c r="A33" s="26">
        <v>13</v>
      </c>
      <c r="B33" s="27">
        <f>-I9*COS(C33+C34-C$14)+0.5*C$16*C$4*C$2*(C34-C$5)*G9^2*SIN(C33)+0.5*C$16*C$4*(C$8+1/PI()/C$7*C$2^2*(C34-C$5)^2)/SQRT(1-H9^2)*G9^2*COS(C33)</f>
        <v>1.311241248913575E-7</v>
      </c>
      <c r="C33" s="28">
        <v>0.16427887123319806</v>
      </c>
      <c r="D33" s="29">
        <f t="shared" si="5"/>
        <v>9.4124859848353584</v>
      </c>
      <c r="F33" s="13">
        <v>0.246</v>
      </c>
      <c r="G33" s="18">
        <v>1.8800000000000001E-2</v>
      </c>
      <c r="H33" s="18">
        <f t="shared" si="11"/>
        <v>1.9861656754997497E-2</v>
      </c>
      <c r="I33" s="14">
        <f t="shared" si="12"/>
        <v>37.737608688049505</v>
      </c>
      <c r="J33" s="47">
        <f t="shared" si="6"/>
        <v>109.76876320968472</v>
      </c>
      <c r="K33" s="13">
        <f t="shared" si="7"/>
        <v>0.3225646876570224</v>
      </c>
      <c r="L33" s="48">
        <f t="shared" si="8"/>
        <v>2566.2229388761889</v>
      </c>
      <c r="M33" s="48">
        <f t="shared" si="9"/>
        <v>8626.7748486053661</v>
      </c>
      <c r="N33" s="48">
        <f t="shared" si="13"/>
        <v>6060.5519097291772</v>
      </c>
      <c r="O33" s="14">
        <f t="shared" si="10"/>
        <v>20.930371109697354</v>
      </c>
      <c r="P33" s="14">
        <f t="shared" si="14"/>
        <v>10.992291862783986</v>
      </c>
      <c r="Q33" s="13">
        <v>1.242</v>
      </c>
    </row>
    <row r="34" spans="1:18" x14ac:dyDescent="0.25">
      <c r="A34" s="30">
        <v>14</v>
      </c>
      <c r="B34" s="31">
        <f>I9*SIN(C33+C34-C$14)+0.5*C$16*C$4*C$2*(C34-C$5)*G9^2*COS(C33)-0.5*C$16*C$4*(C$8+1/PI()/C$7*C$2^2*(C34-C$5)^2)/SQRT(1-H9^2)*G9^2*SIN(C33)-C$11</f>
        <v>-7.4457711889408529E-6</v>
      </c>
      <c r="C34" s="32">
        <v>3.0943947013108934E-3</v>
      </c>
      <c r="D34" s="33">
        <f t="shared" si="5"/>
        <v>0.17729575653275917</v>
      </c>
      <c r="F34" s="13">
        <v>0.2</v>
      </c>
      <c r="G34" s="18">
        <v>1.7500000000000002E-2</v>
      </c>
      <c r="H34" s="18">
        <f t="shared" si="11"/>
        <v>1.8740215468900156E-2</v>
      </c>
      <c r="I34" s="14">
        <f t="shared" si="12"/>
        <v>22.77932375249959</v>
      </c>
      <c r="J34" s="47">
        <f t="shared" si="6"/>
        <v>121.73944756404192</v>
      </c>
      <c r="K34" s="13">
        <f t="shared" si="7"/>
        <v>0.35774154441387573</v>
      </c>
      <c r="L34" s="48">
        <f t="shared" si="8"/>
        <v>2978.2325227485503</v>
      </c>
      <c r="M34" s="48">
        <f t="shared" si="9"/>
        <v>8588.2412676904678</v>
      </c>
      <c r="N34" s="48">
        <f t="shared" si="13"/>
        <v>5610.008744941917</v>
      </c>
      <c r="O34" s="14">
        <f t="shared" si="10"/>
        <v>21.48725052033932</v>
      </c>
      <c r="P34" s="14">
        <f t="shared" si="14"/>
        <v>10.166074476829049</v>
      </c>
      <c r="Q34" s="13">
        <v>0.68799999999999994</v>
      </c>
    </row>
    <row r="35" spans="1:18" x14ac:dyDescent="0.25">
      <c r="A35" s="34">
        <v>15</v>
      </c>
      <c r="B35" s="27">
        <f>-I10*COS(C35+C36-C$14)+0.5*C$16*C$4*C$2*(C36-C$5)*G10^2*SIN(C35)+0.5*C$16*C$4*(C$8+1/PI()/C$7*C$2^2*(C36-C$5)^2)/SQRT(1-H10^2)*G10^2*COS(C35)</f>
        <v>5.2766563385375775E-7</v>
      </c>
      <c r="C35" s="35">
        <v>0.1417918474607234</v>
      </c>
      <c r="D35" s="36">
        <f t="shared" si="5"/>
        <v>8.12407442886221</v>
      </c>
      <c r="F35" s="13">
        <v>0.151</v>
      </c>
      <c r="G35" s="18">
        <v>1.6299999999999999E-2</v>
      </c>
      <c r="H35" s="18">
        <f t="shared" si="11"/>
        <v>1.7886280671334263E-2</v>
      </c>
      <c r="I35" s="14">
        <f t="shared" si="12"/>
        <v>10.761944773018142</v>
      </c>
      <c r="J35" s="47">
        <f t="shared" si="6"/>
        <v>140.10636022829706</v>
      </c>
      <c r="K35" s="13">
        <f t="shared" si="7"/>
        <v>0.41171425280134311</v>
      </c>
      <c r="L35" s="48">
        <f t="shared" si="8"/>
        <v>3764.9317839069986</v>
      </c>
      <c r="M35" s="48">
        <f t="shared" si="9"/>
        <v>8563.3049825849903</v>
      </c>
      <c r="N35" s="48">
        <f t="shared" si="13"/>
        <v>4798.3731986779912</v>
      </c>
      <c r="O35" s="14">
        <f t="shared" si="10"/>
        <v>21.151338514610458</v>
      </c>
      <c r="P35" s="14">
        <f t="shared" si="14"/>
        <v>8.6829290764418818</v>
      </c>
      <c r="Q35" s="13">
        <v>0.23699999999999999</v>
      </c>
    </row>
    <row r="36" spans="1:18" x14ac:dyDescent="0.25">
      <c r="A36" s="37">
        <v>16</v>
      </c>
      <c r="B36" s="31">
        <f>I10*SIN(C35+C36-C$14)+0.5*C$16*C$4*C$2*(C36-C$5)*G10^2*COS(C35)-0.5*C$16*C$4*(C$8+1/PI()/C$7*C$2^2*(C36-C$5)^2)/SQRT(1-H10^2)*G10^2*SIN(C35)-C$11</f>
        <v>-2.9235816327854991E-5</v>
      </c>
      <c r="C36" s="38">
        <v>-1.9530921511612062E-3</v>
      </c>
      <c r="D36" s="39">
        <f t="shared" si="5"/>
        <v>-0.11190393726166412</v>
      </c>
      <c r="F36" s="13">
        <v>0.12</v>
      </c>
      <c r="G36" s="18">
        <v>1.61E-2</v>
      </c>
      <c r="H36" s="18">
        <f t="shared" si="11"/>
        <v>1.8151848021324215E-2</v>
      </c>
      <c r="I36" s="14">
        <f t="shared" si="12"/>
        <v>5.2444753046297592</v>
      </c>
      <c r="J36" s="47">
        <f t="shared" si="6"/>
        <v>157.1649509973418</v>
      </c>
      <c r="K36" s="13">
        <f t="shared" si="7"/>
        <v>0.46184234792048723</v>
      </c>
      <c r="L36" s="48">
        <f t="shared" si="8"/>
        <v>4807.8799854081462</v>
      </c>
      <c r="M36" s="48">
        <f t="shared" si="9"/>
        <v>8577.2215267133233</v>
      </c>
      <c r="N36" s="48">
        <f t="shared" si="13"/>
        <v>3769.3415413051771</v>
      </c>
      <c r="O36" s="14">
        <f t="shared" si="10"/>
        <v>18.638337632029327</v>
      </c>
      <c r="P36" s="14">
        <f t="shared" si="14"/>
        <v>6.8107880995113605</v>
      </c>
      <c r="Q36" s="13">
        <v>-3.9E-2</v>
      </c>
    </row>
    <row r="37" spans="1:18" x14ac:dyDescent="0.25">
      <c r="A37" s="26">
        <v>17</v>
      </c>
      <c r="B37" s="27">
        <f>-I11*COS(C37+C38-C$14)+0.5*C$16*C$4*C$2*(C38-C$5)*G11^2*SIN(C37)+0.5*C$16*C$4*(C$8+1/PI()/C$7*C$2^2*(C38-C$5)^2)/SQRT(1-H11^2)*G11^2*COS(C37)</f>
        <v>-3.4561098800622858E-6</v>
      </c>
      <c r="C37" s="28">
        <v>0.11601370883546804</v>
      </c>
      <c r="D37" s="29">
        <f t="shared" si="5"/>
        <v>6.6470958819319073</v>
      </c>
      <c r="F37" s="13">
        <v>9.4E-2</v>
      </c>
      <c r="G37" s="18">
        <v>1.5699999999999999E-2</v>
      </c>
      <c r="H37" s="18">
        <f t="shared" si="11"/>
        <v>1.8404422864167699E-2</v>
      </c>
      <c r="I37" s="14">
        <f t="shared" si="12"/>
        <v>2.4521055171972201</v>
      </c>
      <c r="J37" s="47">
        <f t="shared" si="6"/>
        <v>177.57523483887357</v>
      </c>
      <c r="K37" s="13">
        <f t="shared" si="7"/>
        <v>0.52181967334373658</v>
      </c>
      <c r="L37" s="48">
        <f t="shared" si="8"/>
        <v>6223.1227455728904</v>
      </c>
      <c r="M37" s="48">
        <f t="shared" si="9"/>
        <v>8640.792613171232</v>
      </c>
      <c r="N37" s="48">
        <f t="shared" si="13"/>
        <v>2417.6698675983416</v>
      </c>
      <c r="O37" s="14">
        <f t="shared" si="10"/>
        <v>13.507201473101391</v>
      </c>
      <c r="P37" s="14">
        <f t="shared" si="14"/>
        <v>4.3623981096041033</v>
      </c>
      <c r="Q37" s="13">
        <v>-0.28000000000000003</v>
      </c>
    </row>
    <row r="38" spans="1:18" x14ac:dyDescent="0.25">
      <c r="A38" s="30">
        <v>18</v>
      </c>
      <c r="B38" s="31">
        <f>I11*SIN(C37+C38-C$14)+0.5*C$16*C$4*C$2*(C38-C$5)*G11^2*COS(C37)-0.5*C$16*C$4*(C$8+1/PI()/C$7*C$2^2*(C38-C$5)^2)/SQRT(1-H11^2)*G11^2*SIN(C37)-C$11</f>
        <v>-1.1595329851843417E-7</v>
      </c>
      <c r="C38" s="32">
        <v>-5.7369891844891024E-3</v>
      </c>
      <c r="D38" s="33">
        <f t="shared" si="5"/>
        <v>-0.32870526738342559</v>
      </c>
      <c r="F38" s="13">
        <v>7.9000000000000001E-2</v>
      </c>
      <c r="G38" s="18">
        <v>1.5599999999999999E-2</v>
      </c>
      <c r="H38" s="18">
        <f t="shared" si="11"/>
        <v>1.8973630880205605E-2</v>
      </c>
      <c r="I38" s="14">
        <f t="shared" si="12"/>
        <v>1.3695578421809176</v>
      </c>
      <c r="J38" s="47">
        <f t="shared" si="6"/>
        <v>193.70140856220578</v>
      </c>
      <c r="K38" s="13">
        <f t="shared" si="7"/>
        <v>0.56920778302146868</v>
      </c>
      <c r="L38" s="48">
        <f t="shared" si="8"/>
        <v>7633.7401689722401</v>
      </c>
      <c r="M38" s="48">
        <f t="shared" si="9"/>
        <v>8727.1692937577009</v>
      </c>
      <c r="N38" s="48">
        <f t="shared" si="13"/>
        <v>1093.4291247854608</v>
      </c>
      <c r="O38" s="14">
        <f t="shared" si="10"/>
        <v>6.6636073556173354</v>
      </c>
      <c r="P38" s="14">
        <f t="shared" si="14"/>
        <v>1.9714462974080442</v>
      </c>
      <c r="Q38" s="13">
        <v>-0.41699999999999998</v>
      </c>
    </row>
    <row r="39" spans="1:18" x14ac:dyDescent="0.25">
      <c r="A39" s="34">
        <v>19</v>
      </c>
      <c r="B39" s="27">
        <f>-I12*COS(C39+C40-C$14)+0.5*C$16*C$4*C$2*(C40-C$5)*G12^2*SIN(C39)+0.5*C$16*C$4*(C$8+1/PI()/C$7*C$2^2*(C40-C$5)^2)/SQRT(1-H12^2)*G12^2*COS(C39)</f>
        <v>-1.0428233508719131E-5</v>
      </c>
      <c r="C39" s="35">
        <v>8.8828959951512215E-2</v>
      </c>
      <c r="D39" s="36">
        <f t="shared" si="5"/>
        <v>5.0895245037582635</v>
      </c>
      <c r="F39" s="13">
        <v>6.4000000000000001E-2</v>
      </c>
      <c r="G39" s="18">
        <v>1.54E-2</v>
      </c>
      <c r="H39" s="18">
        <f t="shared" si="11"/>
        <v>1.9880227992554469E-2</v>
      </c>
      <c r="I39" s="14">
        <f t="shared" si="12"/>
        <v>0.66328045571929173</v>
      </c>
      <c r="J39" s="47">
        <f t="shared" si="6"/>
        <v>215.2069722760954</v>
      </c>
      <c r="K39" s="13">
        <f t="shared" si="7"/>
        <v>0.63240367991799995</v>
      </c>
      <c r="L39" s="48">
        <f t="shared" si="8"/>
        <v>9873.142478227317</v>
      </c>
      <c r="M39" s="48">
        <f t="shared" si="9"/>
        <v>8892.0125958922272</v>
      </c>
      <c r="N39" s="48">
        <f t="shared" si="13"/>
        <v>-981.12988233508986</v>
      </c>
      <c r="O39" s="14">
        <f t="shared" si="10"/>
        <v>-6.6430699143899652</v>
      </c>
      <c r="P39" s="14">
        <f t="shared" si="14"/>
        <v>-1.7689033802147709</v>
      </c>
      <c r="Q39" s="13">
        <v>-0.55500000000000005</v>
      </c>
    </row>
    <row r="40" spans="1:18" x14ac:dyDescent="0.25">
      <c r="A40" s="37">
        <v>20</v>
      </c>
      <c r="B40" s="31">
        <f>I12*SIN(C39+C40-C$14)+0.5*C$16*C$4*C$2*(C40-C$5)*G12^2*COS(C39)-0.5*C$16*C$4*(C$8+1/PI()/C$7*C$2^2*(C40-C$5)^2)/SQRT(1-H12^2)*G12^2*SIN(C39)-C$11</f>
        <v>-4.0423037717118859E-7</v>
      </c>
      <c r="C40" s="38">
        <v>-8.4652276229053598E-3</v>
      </c>
      <c r="D40" s="39">
        <f t="shared" si="5"/>
        <v>-0.48502181541003947</v>
      </c>
      <c r="F40" s="13">
        <v>5.2999999999999999E-2</v>
      </c>
      <c r="G40" s="18">
        <v>1.5299999999999999E-2</v>
      </c>
      <c r="H40" s="18">
        <f t="shared" si="11"/>
        <v>2.1277510886063888E-2</v>
      </c>
      <c r="I40" s="14">
        <f t="shared" si="12"/>
        <v>0.32884100440655578</v>
      </c>
      <c r="J40" s="47">
        <f t="shared" si="6"/>
        <v>236.48760862027481</v>
      </c>
      <c r="K40" s="13">
        <f t="shared" si="7"/>
        <v>0.69493860893410164</v>
      </c>
      <c r="L40" s="48">
        <f t="shared" si="8"/>
        <v>12760.243717113381</v>
      </c>
      <c r="M40" s="48">
        <f t="shared" si="9"/>
        <v>9110.995344310224</v>
      </c>
      <c r="N40" s="48">
        <f t="shared" si="13"/>
        <v>-3649.2483728031566</v>
      </c>
      <c r="O40" s="14">
        <f t="shared" si="10"/>
        <v>-27.151748057086103</v>
      </c>
      <c r="P40" s="14">
        <f t="shared" si="14"/>
        <v>-6.5928139924485389</v>
      </c>
      <c r="Q40" s="13">
        <v>-0.65800000000000003</v>
      </c>
    </row>
    <row r="41" spans="1:18" x14ac:dyDescent="0.25">
      <c r="A41" s="26">
        <v>21</v>
      </c>
      <c r="B41" s="27">
        <f>-I13*COS(C41+C42-C$14)+0.5*C$16*C$4*C$2*(C42-C$5)*G13^2*SIN(C41)+0.5*C$16*C$4*(C$8+1/PI()/C$7*C$2^2*(C42-C$5)^2)/SQRT(1-H13^2)*G13^2*COS(C41)</f>
        <v>-1.3680593838216737E-5</v>
      </c>
      <c r="C41" s="28">
        <v>5.5531129269007731E-2</v>
      </c>
      <c r="D41" s="29">
        <f t="shared" si="5"/>
        <v>3.1816993387095391</v>
      </c>
      <c r="F41" s="13">
        <v>4.4999999999999998E-2</v>
      </c>
      <c r="G41" s="18">
        <v>1.55E-2</v>
      </c>
      <c r="H41" s="18">
        <f t="shared" si="11"/>
        <v>2.3604244911804791E-2</v>
      </c>
      <c r="I41" s="14">
        <f t="shared" si="12"/>
        <v>0.16355254899959151</v>
      </c>
      <c r="J41" s="47">
        <f t="shared" si="6"/>
        <v>256.64929026200639</v>
      </c>
      <c r="K41" s="13">
        <f t="shared" si="7"/>
        <v>0.75418539600942225</v>
      </c>
      <c r="L41" s="48">
        <f t="shared" si="8"/>
        <v>16672.150266105964</v>
      </c>
      <c r="M41" s="48">
        <f t="shared" si="9"/>
        <v>9369.7276071505166</v>
      </c>
      <c r="N41" s="48">
        <f t="shared" si="13"/>
        <v>-7302.4226589554473</v>
      </c>
      <c r="O41" s="14">
        <f t="shared" si="10"/>
        <v>-58.964825279511615</v>
      </c>
      <c r="P41" s="14">
        <f t="shared" si="14"/>
        <v>-13.282273563743974</v>
      </c>
      <c r="Q41" s="13">
        <v>-0.754</v>
      </c>
    </row>
    <row r="42" spans="1:18" ht="15.6" thickBot="1" x14ac:dyDescent="0.3">
      <c r="A42" s="30">
        <v>22</v>
      </c>
      <c r="B42" s="31">
        <f>I13*SIN(C41+C42-C$14)+0.5*C$16*C$4*C$2*(C42-C$5)*G13^2*COS(C41)-0.5*C$16*C$4*(C$8+1/PI()/C$7*C$2^2*(C42-C$5)^2)/SQRT(1-H13^2)*G13^2*SIN(C41)-C$11</f>
        <v>-1.1582887964323163E-6</v>
      </c>
      <c r="C42" s="32">
        <v>-1.079866712026833E-2</v>
      </c>
      <c r="D42" s="33">
        <f t="shared" si="5"/>
        <v>-0.61871805035806582</v>
      </c>
    </row>
    <row r="43" spans="1:18" ht="18.600000000000001" thickBot="1" x14ac:dyDescent="0.3">
      <c r="A43" s="34">
        <v>23</v>
      </c>
      <c r="B43" s="27">
        <f>-I14*COS(C43+C44-C$14)+0.5*C$16*C$4*C$2*(C44-C$5)*G14^2*SIN(C43)+0.5*C$16*C$4*(C$8+1/PI()/C$7*C$2^2*(C44-C$5)^2)/SQRT(1-H14^2)*G14^2*COS(C43)</f>
        <v>-6.9345236624940298E-5</v>
      </c>
      <c r="C43" s="35">
        <v>1.4313049521758317E-2</v>
      </c>
      <c r="D43" s="36">
        <f t="shared" si="5"/>
        <v>0.82007732955849288</v>
      </c>
      <c r="F43" s="143" t="s">
        <v>188</v>
      </c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5"/>
    </row>
    <row r="44" spans="1:18" ht="18.600000000000001" thickBot="1" x14ac:dyDescent="0.3">
      <c r="A44" s="37">
        <v>24</v>
      </c>
      <c r="B44" s="31">
        <f>I14*SIN(C43+C44-C$14)+0.5*C$16*C$4*C$2*(C44-C$5)*G14^2*COS(C43)-0.5*C$16*C$4*(C$8+1/PI()/C$7*C$2^2*(C44-C$5)^2)/SQRT(1-H14^2)*G14^2*SIN(C43)-C$11</f>
        <v>-8.2509395724628121E-6</v>
      </c>
      <c r="C44" s="38">
        <v>-1.2793114826654718E-2</v>
      </c>
      <c r="D44" s="39">
        <f t="shared" si="5"/>
        <v>-0.73299148639355316</v>
      </c>
      <c r="F44" s="98" t="s">
        <v>1</v>
      </c>
      <c r="G44" s="98" t="s">
        <v>7</v>
      </c>
      <c r="H44" s="98" t="s">
        <v>109</v>
      </c>
      <c r="I44" s="98" t="s">
        <v>2</v>
      </c>
      <c r="J44" s="98" t="s">
        <v>63</v>
      </c>
      <c r="K44" s="98" t="s">
        <v>53</v>
      </c>
      <c r="L44" s="98" t="s">
        <v>67</v>
      </c>
      <c r="M44" s="98" t="s">
        <v>65</v>
      </c>
      <c r="N44" s="98" t="s">
        <v>68</v>
      </c>
      <c r="O44" s="98" t="s">
        <v>64</v>
      </c>
      <c r="P44" s="98" t="s">
        <v>84</v>
      </c>
      <c r="Q44" s="98" t="s">
        <v>66</v>
      </c>
    </row>
    <row r="45" spans="1:18" x14ac:dyDescent="0.25">
      <c r="A45" s="26">
        <v>25</v>
      </c>
      <c r="B45" s="27">
        <f>-I15*COS(C45+C46-C$14)+0.5*C$16*C$4*C$2*(C46-C$5)*G15^2*SIN(C45)+0.5*C$16*C$4*(C$8+1/PI()/C$7*C$2^2*(C46-C$5)^2)/SQRT(1-H15^2)*G15^2*COS(C45)</f>
        <v>4.8113046432263218E-5</v>
      </c>
      <c r="C45" s="28">
        <v>-2.7147769280448326E-2</v>
      </c>
      <c r="D45" s="29">
        <f t="shared" si="5"/>
        <v>-1.5554526029645968</v>
      </c>
      <c r="F45" s="107">
        <f>F23</f>
        <v>1.405</v>
      </c>
      <c r="G45" s="109">
        <f t="shared" ref="G45:Q45" si="15">G23</f>
        <v>0.1406</v>
      </c>
      <c r="H45" s="101">
        <f>G45/SQRT(1-K45^2)</f>
        <v>0.14214289818317746</v>
      </c>
      <c r="I45" s="43">
        <f>F45^3/H45^2</f>
        <v>137.270950378355</v>
      </c>
      <c r="J45" s="44">
        <f>SQRT((2*C$20)/(C$4*C$16*F45))</f>
        <v>50.003599658606447</v>
      </c>
      <c r="K45" s="42">
        <f>J45/C$19</f>
        <v>0.14693975803293108</v>
      </c>
      <c r="L45" s="46">
        <f>C$20*SQRT((2*C$20)/(C$16*C$4*I45))/J45</f>
        <v>3811.0888481989809</v>
      </c>
      <c r="M45" s="46">
        <f>C$17*(1-0.605*K45+0.725*K45^2)</f>
        <v>9082.2003077697173</v>
      </c>
      <c r="N45" s="46">
        <f>(M45-L45)</f>
        <v>5271.1114595707368</v>
      </c>
      <c r="O45" s="43">
        <f>N45/C$20*J45</f>
        <v>6.9968608557453011</v>
      </c>
      <c r="P45" s="43">
        <f>DEGREES(ASIN(O45/J45))</f>
        <v>8.0436303684514012</v>
      </c>
      <c r="Q45" s="107">
        <f t="shared" si="15"/>
        <v>12.989000000000001</v>
      </c>
      <c r="R45" s="97"/>
    </row>
    <row r="46" spans="1:18" x14ac:dyDescent="0.25">
      <c r="A46" s="30">
        <v>26</v>
      </c>
      <c r="B46" s="31">
        <f>I15*SIN(C45+C46-C$14)+0.5*C$16*C$4*C$2*(C46-C$5)*G15^2*COS(C45)-0.5*C$16*C$4*(C$8+1/PI()/C$7*C$2^2*(C46-C$5)^2)/SQRT(1-H15^2)*G15^2*SIN(C45)-C$11</f>
        <v>6.4764353737700731E-6</v>
      </c>
      <c r="C46" s="32">
        <v>-1.4209705033270936E-2</v>
      </c>
      <c r="D46" s="33">
        <f t="shared" si="5"/>
        <v>-0.81415612653222769</v>
      </c>
      <c r="F46" s="108">
        <f t="shared" ref="F46:Q63" si="16">F24</f>
        <v>1.3560000000000001</v>
      </c>
      <c r="G46" s="12">
        <f t="shared" si="16"/>
        <v>0.13239999999999999</v>
      </c>
      <c r="H46" s="18">
        <f t="shared" ref="H46:H63" si="17">G46/SQRT(1-K46^2)</f>
        <v>0.13390631544786302</v>
      </c>
      <c r="I46" s="14">
        <f t="shared" ref="I46:I63" si="18">F46^3/H46^2</f>
        <v>139.05190664681123</v>
      </c>
      <c r="J46" s="47">
        <f t="shared" ref="J46:J63" si="19">SQRT((2*C$20)/(C$4*C$16*F46))</f>
        <v>50.899039479548854</v>
      </c>
      <c r="K46" s="13">
        <f t="shared" ref="K46:K63" si="20">J46/C$19</f>
        <v>0.14957108280796019</v>
      </c>
      <c r="L46" s="48">
        <f t="shared" ref="L46:L63" si="21">C$20*SQRT((2*C$20)/(C$16*C$4*I46))/J46</f>
        <v>3719.9885438401025</v>
      </c>
      <c r="M46" s="48">
        <f t="shared" ref="M46:M63" si="22">C$17*(1-0.605*K46+0.725*K46^2)</f>
        <v>9072.1426201433205</v>
      </c>
      <c r="N46" s="48">
        <f t="shared" ref="N46:N63" si="23">(M46-L46)</f>
        <v>5352.1540763032181</v>
      </c>
      <c r="O46" s="14">
        <f t="shared" ref="O46:O63" si="24">N46/C$20*J46</f>
        <v>7.2316593832395144</v>
      </c>
      <c r="P46" s="14">
        <f t="shared" ref="P46:P63" si="25">DEGREES(ASIN(O46/J46))</f>
        <v>8.1681382141631502</v>
      </c>
      <c r="Q46" s="108">
        <f t="shared" si="16"/>
        <v>11.238</v>
      </c>
      <c r="R46" s="97"/>
    </row>
    <row r="47" spans="1:18" x14ac:dyDescent="0.25">
      <c r="A47" s="34">
        <v>27</v>
      </c>
      <c r="B47" s="27">
        <f>-I16*COS(C47+C48-C$14)+0.5*C$16*C$4*C$2*(C48-C$5)*G16^2*SIN(C47)+0.5*C$16*C$4*(C$8+1/PI()/C$7*C$2^2*(C48-C$5)^2)/SQRT(1-H16^2)*G16^2*COS(C47)</f>
        <v>1.3211008426878834E-3</v>
      </c>
      <c r="C47" s="35">
        <v>-7.9440316385976886E-2</v>
      </c>
      <c r="D47" s="36">
        <f t="shared" si="5"/>
        <v>-4.5515948521004326</v>
      </c>
      <c r="F47" s="108">
        <f t="shared" si="16"/>
        <v>1.302</v>
      </c>
      <c r="G47" s="12">
        <f t="shared" si="16"/>
        <v>0.1231</v>
      </c>
      <c r="H47" s="18">
        <f t="shared" si="17"/>
        <v>0.12455963204934717</v>
      </c>
      <c r="I47" s="14">
        <f t="shared" si="18"/>
        <v>142.25853088599183</v>
      </c>
      <c r="J47" s="47">
        <f t="shared" si="19"/>
        <v>51.943826523036044</v>
      </c>
      <c r="K47" s="13">
        <f t="shared" si="20"/>
        <v>0.15264127688226872</v>
      </c>
      <c r="L47" s="48">
        <f t="shared" si="21"/>
        <v>3603.8488196249828</v>
      </c>
      <c r="M47" s="48">
        <f t="shared" si="22"/>
        <v>9060.5318179606402</v>
      </c>
      <c r="N47" s="48">
        <f t="shared" si="23"/>
        <v>5456.6829983356574</v>
      </c>
      <c r="O47" s="14">
        <f t="shared" si="24"/>
        <v>7.5242364046239905</v>
      </c>
      <c r="P47" s="14">
        <f t="shared" si="25"/>
        <v>8.3287861268441628</v>
      </c>
      <c r="Q47" s="108">
        <f t="shared" si="16"/>
        <v>10.574999999999999</v>
      </c>
      <c r="R47" s="97"/>
    </row>
    <row r="48" spans="1:18" x14ac:dyDescent="0.25">
      <c r="A48" s="37">
        <v>28</v>
      </c>
      <c r="B48" s="31">
        <f>I16*SIN(C47+C48-C$14)+0.5*C$16*C$4*C$2*(C48-C$5)*G16^2*COS(C47)-0.5*C$16*C$4*(C$8+1/PI()/C$7*C$2^2*(C48-C$5)^2)/SQRT(1-H16^2)*G16^2*SIN(C47)-C$11</f>
        <v>2.8757414838764817E-5</v>
      </c>
      <c r="C48" s="38">
        <v>-1.5494883471187689E-2</v>
      </c>
      <c r="D48" s="39">
        <f t="shared" si="5"/>
        <v>-0.88779142694607349</v>
      </c>
      <c r="F48" s="108">
        <f t="shared" si="16"/>
        <v>1.1930000000000001</v>
      </c>
      <c r="G48" s="12">
        <f t="shared" si="16"/>
        <v>0.1061</v>
      </c>
      <c r="H48" s="18">
        <f t="shared" si="17"/>
        <v>0.10747524635918708</v>
      </c>
      <c r="I48" s="14">
        <f t="shared" si="18"/>
        <v>146.99563288311066</v>
      </c>
      <c r="J48" s="47">
        <f t="shared" si="19"/>
        <v>54.264925328474433</v>
      </c>
      <c r="K48" s="13">
        <f t="shared" si="20"/>
        <v>0.15946201977218463</v>
      </c>
      <c r="L48" s="48">
        <f t="shared" si="21"/>
        <v>3393.6592795047109</v>
      </c>
      <c r="M48" s="48">
        <f t="shared" si="22"/>
        <v>9035.216589273221</v>
      </c>
      <c r="N48" s="48">
        <f t="shared" si="23"/>
        <v>5641.5573097685101</v>
      </c>
      <c r="O48" s="14">
        <f t="shared" si="24"/>
        <v>8.1267702533261463</v>
      </c>
      <c r="P48" s="14">
        <f t="shared" si="25"/>
        <v>8.6130772413725154</v>
      </c>
      <c r="Q48" s="108">
        <f t="shared" si="16"/>
        <v>9.5760000000000005</v>
      </c>
      <c r="R48" s="97"/>
    </row>
    <row r="49" spans="1:18" x14ac:dyDescent="0.25">
      <c r="A49" s="26">
        <v>29</v>
      </c>
      <c r="B49" s="27">
        <f>-I17*COS(C49+C50-C$14)+0.5*C$16*C$4*C$2*(C50-C$5)*G17^2*SIN(C49)+0.5*C$16*C$4*(C$8+1/PI()/C$7*C$2^2*(C50-C$5)^2)/SQRT(1-H17^2)*G17^2*COS(C49)</f>
        <v>-1.8562021068646573E-5</v>
      </c>
      <c r="C49" s="28">
        <v>-0.13734721788626936</v>
      </c>
      <c r="D49" s="29">
        <f t="shared" si="5"/>
        <v>-7.8694159127469661</v>
      </c>
      <c r="F49" s="108">
        <f t="shared" si="16"/>
        <v>1.095</v>
      </c>
      <c r="G49" s="12">
        <f t="shared" si="16"/>
        <v>9.1899999999999996E-2</v>
      </c>
      <c r="H49" s="18">
        <f t="shared" si="17"/>
        <v>9.3200070009460123E-2</v>
      </c>
      <c r="I49" s="14">
        <f t="shared" si="18"/>
        <v>151.15060170104371</v>
      </c>
      <c r="J49" s="47">
        <f t="shared" si="19"/>
        <v>56.641190380387968</v>
      </c>
      <c r="K49" s="13">
        <f t="shared" si="20"/>
        <v>0.16644487328941512</v>
      </c>
      <c r="L49" s="48">
        <f t="shared" si="21"/>
        <v>3206.2866824514763</v>
      </c>
      <c r="M49" s="48">
        <f t="shared" si="22"/>
        <v>9009.9845262410181</v>
      </c>
      <c r="N49" s="48">
        <f t="shared" si="23"/>
        <v>5803.6978437895414</v>
      </c>
      <c r="O49" s="14">
        <f t="shared" si="24"/>
        <v>8.7264365252381317</v>
      </c>
      <c r="P49" s="14">
        <f t="shared" si="25"/>
        <v>8.8625851590442206</v>
      </c>
      <c r="Q49" s="108">
        <f t="shared" si="16"/>
        <v>8.6869999999999994</v>
      </c>
      <c r="R49" s="97"/>
    </row>
    <row r="50" spans="1:18" x14ac:dyDescent="0.25">
      <c r="A50" s="30">
        <v>30</v>
      </c>
      <c r="B50" s="31">
        <f>I17*SIN(C49+C50-C$14)+0.5*C$16*C$4*C$2*(C50-C$5)*G17^2*COS(C49)-0.5*C$16*C$4*(C$8+1/PI()/C$7*C$2^2*(C50-C$5)^2)/SQRT(1-H17^2)*G17^2*SIN(C49)-C$11</f>
        <v>-1.8798818928189576E-6</v>
      </c>
      <c r="C50" s="32">
        <v>-1.6521954169937687E-2</v>
      </c>
      <c r="D50" s="33">
        <f t="shared" si="5"/>
        <v>-0.94663824324600077</v>
      </c>
      <c r="F50" s="108">
        <f t="shared" si="16"/>
        <v>0.997</v>
      </c>
      <c r="G50" s="12">
        <f t="shared" si="16"/>
        <v>7.9399999999999998E-2</v>
      </c>
      <c r="H50" s="18">
        <f t="shared" si="17"/>
        <v>8.0636237708339636E-2</v>
      </c>
      <c r="I50" s="14">
        <f t="shared" si="18"/>
        <v>152.41403546502147</v>
      </c>
      <c r="J50" s="47">
        <f t="shared" si="19"/>
        <v>59.359721189867201</v>
      </c>
      <c r="K50" s="13">
        <f t="shared" si="20"/>
        <v>0.17443350334959506</v>
      </c>
      <c r="L50" s="48">
        <f t="shared" si="21"/>
        <v>3046.739547611071</v>
      </c>
      <c r="M50" s="48">
        <f t="shared" si="22"/>
        <v>8981.9679282204797</v>
      </c>
      <c r="N50" s="48">
        <f t="shared" si="23"/>
        <v>5935.2283806094092</v>
      </c>
      <c r="O50" s="14">
        <f t="shared" si="24"/>
        <v>9.352528825580869</v>
      </c>
      <c r="P50" s="14">
        <f t="shared" si="25"/>
        <v>9.065113581964436</v>
      </c>
      <c r="Q50" s="108">
        <f t="shared" si="16"/>
        <v>8.0169999999999995</v>
      </c>
      <c r="R50" s="97"/>
    </row>
    <row r="51" spans="1:18" x14ac:dyDescent="0.25">
      <c r="F51" s="108">
        <f t="shared" si="16"/>
        <v>0.80100000000000005</v>
      </c>
      <c r="G51" s="12">
        <f t="shared" si="16"/>
        <v>5.7599999999999998E-2</v>
      </c>
      <c r="H51" s="18">
        <f t="shared" si="17"/>
        <v>5.8722716721602231E-2</v>
      </c>
      <c r="I51" s="14">
        <f t="shared" si="18"/>
        <v>149.03396967562713</v>
      </c>
      <c r="J51" s="47">
        <f>SQRT((2*C$20)/(C$4*C$16*F51))</f>
        <v>66.225183986583758</v>
      </c>
      <c r="K51" s="13">
        <f t="shared" si="20"/>
        <v>0.19460823974899721</v>
      </c>
      <c r="L51" s="48">
        <f t="shared" si="21"/>
        <v>2761.6831810105427</v>
      </c>
      <c r="M51" s="48">
        <f t="shared" si="22"/>
        <v>8915.2509139083304</v>
      </c>
      <c r="N51" s="48">
        <f t="shared" si="23"/>
        <v>6153.5677328977872</v>
      </c>
      <c r="O51" s="14">
        <f t="shared" si="24"/>
        <v>10.818073481700779</v>
      </c>
      <c r="P51" s="14">
        <f t="shared" si="25"/>
        <v>9.4015623470499214</v>
      </c>
      <c r="Q51" s="108">
        <f t="shared" si="16"/>
        <v>6.1310000000000002</v>
      </c>
      <c r="R51" s="97"/>
    </row>
    <row r="52" spans="1:18" x14ac:dyDescent="0.25">
      <c r="F52" s="108">
        <f t="shared" si="16"/>
        <v>0.61099999999999999</v>
      </c>
      <c r="G52" s="12">
        <f t="shared" si="16"/>
        <v>4.0599999999999997E-2</v>
      </c>
      <c r="H52" s="18">
        <f t="shared" si="17"/>
        <v>4.1647036203496288E-2</v>
      </c>
      <c r="I52" s="14">
        <f t="shared" si="18"/>
        <v>131.50898621657379</v>
      </c>
      <c r="J52" s="47">
        <f t="shared" si="19"/>
        <v>75.826118710009638</v>
      </c>
      <c r="K52" s="13">
        <f t="shared" si="20"/>
        <v>0.22282138909788315</v>
      </c>
      <c r="L52" s="48">
        <f>C$20*SQRT((2*C$20)/(C$16*C$4*I52))/J52</f>
        <v>2567.6931466451501</v>
      </c>
      <c r="M52" s="48">
        <f t="shared" si="22"/>
        <v>8831.6507681163712</v>
      </c>
      <c r="N52" s="48">
        <f t="shared" si="23"/>
        <v>6263.9576214712215</v>
      </c>
      <c r="O52" s="14">
        <f t="shared" si="24"/>
        <v>12.608615629251254</v>
      </c>
      <c r="P52" s="14">
        <f t="shared" si="25"/>
        <v>9.5717908479207487</v>
      </c>
      <c r="Q52" s="108">
        <f t="shared" si="16"/>
        <v>4.5730000000000004</v>
      </c>
      <c r="R52" s="97"/>
    </row>
    <row r="53" spans="1:18" x14ac:dyDescent="0.25">
      <c r="F53" s="108">
        <f t="shared" si="16"/>
        <v>0.49099999999999999</v>
      </c>
      <c r="G53" s="12">
        <f t="shared" si="16"/>
        <v>3.1699999999999999E-2</v>
      </c>
      <c r="H53" s="18">
        <f t="shared" si="17"/>
        <v>3.2727117882718475E-2</v>
      </c>
      <c r="I53" s="14">
        <f t="shared" si="18"/>
        <v>110.51696624418474</v>
      </c>
      <c r="J53" s="47">
        <f t="shared" si="19"/>
        <v>84.586038462196655</v>
      </c>
      <c r="K53" s="13">
        <f t="shared" si="20"/>
        <v>0.24856314564265838</v>
      </c>
      <c r="L53" s="48">
        <f t="shared" si="21"/>
        <v>2510.8831394891204</v>
      </c>
      <c r="M53" s="48">
        <f t="shared" si="22"/>
        <v>8765.2418530111281</v>
      </c>
      <c r="N53" s="48">
        <f t="shared" si="23"/>
        <v>6254.3587135220077</v>
      </c>
      <c r="O53" s="14">
        <f t="shared" si="24"/>
        <v>14.043690183760917</v>
      </c>
      <c r="P53" s="14">
        <f t="shared" si="25"/>
        <v>9.5569853339032012</v>
      </c>
      <c r="Q53" s="108">
        <f t="shared" si="16"/>
        <v>3.3540000000000001</v>
      </c>
      <c r="R53" s="97"/>
    </row>
    <row r="54" spans="1:18" x14ac:dyDescent="0.25">
      <c r="D54" s="111"/>
      <c r="F54" s="108">
        <f t="shared" si="16"/>
        <v>0.38800000000000001</v>
      </c>
      <c r="G54" s="12">
        <f t="shared" si="16"/>
        <v>2.52E-2</v>
      </c>
      <c r="H54" s="18">
        <f t="shared" si="17"/>
        <v>2.6246938089753917E-2</v>
      </c>
      <c r="I54" s="14">
        <f t="shared" si="18"/>
        <v>84.788681737988711</v>
      </c>
      <c r="J54" s="47">
        <f t="shared" si="19"/>
        <v>95.153237375780506</v>
      </c>
      <c r="K54" s="13">
        <f t="shared" si="20"/>
        <v>0.27961574309662213</v>
      </c>
      <c r="L54" s="48">
        <f t="shared" si="21"/>
        <v>2548.2800428254272</v>
      </c>
      <c r="M54" s="48">
        <f t="shared" si="22"/>
        <v>8697.6624268901451</v>
      </c>
      <c r="N54" s="48">
        <f t="shared" si="23"/>
        <v>6149.3823840647183</v>
      </c>
      <c r="O54" s="14">
        <f t="shared" si="24"/>
        <v>15.532981909014856</v>
      </c>
      <c r="P54" s="14">
        <f t="shared" si="25"/>
        <v>9.3951099197923718</v>
      </c>
      <c r="Q54" s="108">
        <f t="shared" si="16"/>
        <v>2.5739999999999998</v>
      </c>
      <c r="R54" s="97"/>
    </row>
    <row r="55" spans="1:18" x14ac:dyDescent="0.25">
      <c r="F55" s="108">
        <f t="shared" si="16"/>
        <v>0.246</v>
      </c>
      <c r="G55" s="12">
        <f t="shared" si="16"/>
        <v>1.8800000000000001E-2</v>
      </c>
      <c r="H55" s="18">
        <f t="shared" si="17"/>
        <v>2.0078734595328405E-2</v>
      </c>
      <c r="I55" s="14">
        <f t="shared" si="18"/>
        <v>36.926032106715681</v>
      </c>
      <c r="J55" s="47">
        <f t="shared" si="19"/>
        <v>119.50109313783031</v>
      </c>
      <c r="K55" s="13">
        <f t="shared" si="20"/>
        <v>0.35116395279997153</v>
      </c>
      <c r="L55" s="48">
        <f t="shared" si="21"/>
        <v>3074.6909093490208</v>
      </c>
      <c r="M55" s="48">
        <f t="shared" si="22"/>
        <v>8594.109968855013</v>
      </c>
      <c r="N55" s="48">
        <f t="shared" si="23"/>
        <v>5519.4190595059918</v>
      </c>
      <c r="O55" s="14">
        <f t="shared" si="24"/>
        <v>17.509148060459705</v>
      </c>
      <c r="P55" s="14">
        <f t="shared" si="25"/>
        <v>8.4252352182755548</v>
      </c>
      <c r="Q55" s="108">
        <f t="shared" si="16"/>
        <v>1.242</v>
      </c>
      <c r="R55" s="97"/>
    </row>
    <row r="56" spans="1:18" x14ac:dyDescent="0.25">
      <c r="D56" s="111"/>
      <c r="F56" s="108">
        <f t="shared" si="16"/>
        <v>0.2</v>
      </c>
      <c r="G56" s="12">
        <f t="shared" si="16"/>
        <v>1.7500000000000002E-2</v>
      </c>
      <c r="H56" s="18">
        <f t="shared" si="17"/>
        <v>1.900018791011741E-2</v>
      </c>
      <c r="I56" s="14">
        <f t="shared" si="18"/>
        <v>22.160226488223248</v>
      </c>
      <c r="J56" s="47">
        <f t="shared" si="19"/>
        <v>132.53312360009389</v>
      </c>
      <c r="K56" s="13">
        <f t="shared" si="20"/>
        <v>0.38945966382631175</v>
      </c>
      <c r="L56" s="48">
        <f t="shared" si="21"/>
        <v>3578.7233932464342</v>
      </c>
      <c r="M56" s="48">
        <f t="shared" si="22"/>
        <v>8568.5717385312328</v>
      </c>
      <c r="N56" s="48">
        <f t="shared" si="23"/>
        <v>4989.8483452847986</v>
      </c>
      <c r="O56" s="14">
        <f t="shared" si="24"/>
        <v>17.555433111709835</v>
      </c>
      <c r="P56" s="14">
        <f t="shared" si="25"/>
        <v>7.611811206763905</v>
      </c>
      <c r="Q56" s="108">
        <f t="shared" si="16"/>
        <v>0.68799999999999994</v>
      </c>
      <c r="R56" s="97"/>
    </row>
    <row r="57" spans="1:18" x14ac:dyDescent="0.25">
      <c r="F57" s="108">
        <f t="shared" si="16"/>
        <v>0.151</v>
      </c>
      <c r="G57" s="12">
        <f t="shared" si="16"/>
        <v>1.6299999999999999E-2</v>
      </c>
      <c r="H57" s="18">
        <f t="shared" si="17"/>
        <v>1.8234203519592283E-2</v>
      </c>
      <c r="I57" s="14">
        <f t="shared" si="18"/>
        <v>10.355170313465019</v>
      </c>
      <c r="J57" s="47">
        <f t="shared" si="19"/>
        <v>152.52848545684387</v>
      </c>
      <c r="K57" s="13">
        <f t="shared" si="20"/>
        <v>0.44821770630868019</v>
      </c>
      <c r="L57" s="48">
        <f t="shared" si="21"/>
        <v>4548.9386772480075</v>
      </c>
      <c r="M57" s="48">
        <f t="shared" si="22"/>
        <v>8569.9054118222393</v>
      </c>
      <c r="N57" s="48">
        <f t="shared" si="23"/>
        <v>4020.9667345742319</v>
      </c>
      <c r="O57" s="14">
        <f t="shared" si="24"/>
        <v>16.28100487642708</v>
      </c>
      <c r="P57" s="14">
        <f t="shared" si="25"/>
        <v>6.1274678793495507</v>
      </c>
      <c r="Q57" s="108">
        <f t="shared" si="16"/>
        <v>0.23699999999999999</v>
      </c>
      <c r="R57" s="97"/>
    </row>
    <row r="58" spans="1:18" x14ac:dyDescent="0.25">
      <c r="D58" s="111"/>
      <c r="F58" s="108">
        <f t="shared" si="16"/>
        <v>0.12</v>
      </c>
      <c r="G58" s="12">
        <f t="shared" si="16"/>
        <v>1.61E-2</v>
      </c>
      <c r="H58" s="18">
        <f t="shared" si="17"/>
        <v>1.8625454429605587E-2</v>
      </c>
      <c r="I58" s="14">
        <f t="shared" si="18"/>
        <v>4.9811541619791422</v>
      </c>
      <c r="J58" s="47">
        <f t="shared" si="19"/>
        <v>171.09952684133759</v>
      </c>
      <c r="K58" s="13">
        <f t="shared" si="20"/>
        <v>0.50279026400628146</v>
      </c>
      <c r="L58" s="48">
        <f t="shared" si="21"/>
        <v>5846.9026545417864</v>
      </c>
      <c r="M58" s="48">
        <f t="shared" si="22"/>
        <v>8615.0866669691495</v>
      </c>
      <c r="N58" s="48">
        <f t="shared" si="23"/>
        <v>2768.1840124273631</v>
      </c>
      <c r="O58" s="14">
        <f t="shared" si="24"/>
        <v>12.573133673549451</v>
      </c>
      <c r="P58" s="14">
        <f t="shared" si="25"/>
        <v>4.2141403363716705</v>
      </c>
      <c r="Q58" s="108">
        <f t="shared" si="16"/>
        <v>-3.9E-2</v>
      </c>
      <c r="R58" s="97"/>
    </row>
    <row r="59" spans="1:18" x14ac:dyDescent="0.25">
      <c r="F59" s="108">
        <f t="shared" si="16"/>
        <v>9.4E-2</v>
      </c>
      <c r="G59" s="12">
        <f t="shared" si="16"/>
        <v>1.5699999999999999E-2</v>
      </c>
      <c r="H59" s="18">
        <f t="shared" si="17"/>
        <v>1.9077252152436108E-2</v>
      </c>
      <c r="I59" s="14">
        <f t="shared" si="18"/>
        <v>2.2821906449343095</v>
      </c>
      <c r="J59" s="47">
        <f t="shared" si="19"/>
        <v>193.31942947117105</v>
      </c>
      <c r="K59" s="13">
        <f t="shared" si="20"/>
        <v>0.56808530552797842</v>
      </c>
      <c r="L59" s="48">
        <f t="shared" si="21"/>
        <v>7645.1885051396703</v>
      </c>
      <c r="M59" s="48">
        <f t="shared" si="22"/>
        <v>8724.7543200297987</v>
      </c>
      <c r="N59" s="48">
        <f t="shared" si="23"/>
        <v>1079.5658148901284</v>
      </c>
      <c r="O59" s="14">
        <f t="shared" si="24"/>
        <v>5.5401866561315911</v>
      </c>
      <c r="P59" s="14">
        <f t="shared" si="25"/>
        <v>1.6422186865760517</v>
      </c>
      <c r="Q59" s="108">
        <f t="shared" si="16"/>
        <v>-0.28000000000000003</v>
      </c>
      <c r="R59" s="97"/>
    </row>
    <row r="60" spans="1:18" x14ac:dyDescent="0.25">
      <c r="F60" s="108">
        <f t="shared" si="16"/>
        <v>7.9000000000000001E-2</v>
      </c>
      <c r="G60" s="12">
        <f t="shared" si="16"/>
        <v>1.5599999999999999E-2</v>
      </c>
      <c r="H60" s="18">
        <f t="shared" si="17"/>
        <v>1.9876192668656284E-2</v>
      </c>
      <c r="I60" s="14">
        <f t="shared" si="18"/>
        <v>1.2480008411773349</v>
      </c>
      <c r="J60" s="47">
        <f t="shared" si="19"/>
        <v>210.87538374923409</v>
      </c>
      <c r="K60" s="13">
        <f t="shared" si="20"/>
        <v>0.61967494489930675</v>
      </c>
      <c r="L60" s="48">
        <f t="shared" si="21"/>
        <v>9477.7737760170839</v>
      </c>
      <c r="M60" s="48">
        <f t="shared" si="22"/>
        <v>8854.246201963997</v>
      </c>
      <c r="N60" s="48">
        <f t="shared" si="23"/>
        <v>-623.52757405308694</v>
      </c>
      <c r="O60" s="14">
        <f t="shared" si="24"/>
        <v>-3.4904491711442853</v>
      </c>
      <c r="P60" s="14">
        <f t="shared" si="25"/>
        <v>-0.9484138718922922</v>
      </c>
      <c r="Q60" s="108">
        <f t="shared" si="16"/>
        <v>-0.41699999999999998</v>
      </c>
      <c r="R60" s="97"/>
    </row>
    <row r="61" spans="1:18" x14ac:dyDescent="0.25">
      <c r="F61" s="108">
        <f t="shared" si="16"/>
        <v>6.4000000000000001E-2</v>
      </c>
      <c r="G61" s="12">
        <f t="shared" si="16"/>
        <v>1.54E-2</v>
      </c>
      <c r="H61" s="18">
        <f t="shared" si="17"/>
        <v>2.1233732361773092E-2</v>
      </c>
      <c r="I61" s="14">
        <f t="shared" si="18"/>
        <v>0.58141635465795716</v>
      </c>
      <c r="J61" s="47">
        <f t="shared" si="19"/>
        <v>234.2876760736531</v>
      </c>
      <c r="K61" s="13">
        <f t="shared" si="20"/>
        <v>0.68847392322554535</v>
      </c>
      <c r="L61" s="48">
        <f t="shared" si="21"/>
        <v>12498.174868139644</v>
      </c>
      <c r="M61" s="48">
        <f t="shared" si="22"/>
        <v>9085.7821259377251</v>
      </c>
      <c r="N61" s="48">
        <f t="shared" si="23"/>
        <v>-3412.3927422019187</v>
      </c>
      <c r="O61" s="14">
        <f t="shared" si="24"/>
        <v>-21.223070777615526</v>
      </c>
      <c r="P61" s="14">
        <f t="shared" si="25"/>
        <v>-5.1972924657023354</v>
      </c>
      <c r="Q61" s="108">
        <f t="shared" si="16"/>
        <v>-0.55500000000000005</v>
      </c>
      <c r="R61" s="97"/>
    </row>
    <row r="62" spans="1:18" x14ac:dyDescent="0.25">
      <c r="F62" s="108">
        <f t="shared" si="16"/>
        <v>5.2999999999999999E-2</v>
      </c>
      <c r="G62" s="12">
        <f t="shared" si="16"/>
        <v>1.5299999999999999E-2</v>
      </c>
      <c r="H62" s="18">
        <f t="shared" si="17"/>
        <v>2.3396928204901576E-2</v>
      </c>
      <c r="I62" s="14">
        <f t="shared" si="18"/>
        <v>0.27196306312845486</v>
      </c>
      <c r="J62" s="47">
        <f t="shared" si="19"/>
        <v>257.45509849363816</v>
      </c>
      <c r="K62" s="13">
        <f t="shared" si="20"/>
        <v>0.75655333086581888</v>
      </c>
      <c r="L62" s="48">
        <f t="shared" si="21"/>
        <v>16629.653665092912</v>
      </c>
      <c r="M62" s="48">
        <f t="shared" si="22"/>
        <v>9381.1050573623525</v>
      </c>
      <c r="N62" s="48">
        <f t="shared" si="23"/>
        <v>-7248.5486077305595</v>
      </c>
      <c r="O62" s="14">
        <f t="shared" si="24"/>
        <v>-49.539580034700847</v>
      </c>
      <c r="P62" s="14">
        <f t="shared" si="25"/>
        <v>-11.094062303539495</v>
      </c>
      <c r="Q62" s="108">
        <f t="shared" si="16"/>
        <v>-0.65800000000000003</v>
      </c>
      <c r="R62" s="97"/>
    </row>
    <row r="63" spans="1:18" x14ac:dyDescent="0.25">
      <c r="F63" s="108">
        <f t="shared" si="16"/>
        <v>4.4999999999999998E-2</v>
      </c>
      <c r="G63" s="12">
        <f t="shared" si="16"/>
        <v>1.55E-2</v>
      </c>
      <c r="H63" s="18">
        <f t="shared" si="17"/>
        <v>2.7152402522411426E-2</v>
      </c>
      <c r="I63" s="14">
        <f t="shared" si="18"/>
        <v>0.1236007240465347</v>
      </c>
      <c r="J63" s="47">
        <f t="shared" si="19"/>
        <v>279.40435732860772</v>
      </c>
      <c r="K63" s="13">
        <f t="shared" si="20"/>
        <v>0.82105306296975522</v>
      </c>
      <c r="L63" s="48">
        <f t="shared" si="21"/>
        <v>22729.81919956105</v>
      </c>
      <c r="M63" s="48">
        <f t="shared" si="22"/>
        <v>9721.6567690187003</v>
      </c>
      <c r="N63" s="48">
        <f t="shared" si="23"/>
        <v>-13008.16243054235</v>
      </c>
      <c r="O63" s="14">
        <f t="shared" si="24"/>
        <v>-96.482576875526277</v>
      </c>
      <c r="P63" s="14">
        <f t="shared" si="25"/>
        <v>-20.201039096367715</v>
      </c>
      <c r="Q63" s="108">
        <f t="shared" si="16"/>
        <v>-0.754</v>
      </c>
      <c r="R63" s="97"/>
    </row>
    <row r="64" spans="1:18" ht="15.6" thickBot="1" x14ac:dyDescent="0.3">
      <c r="F64" s="97"/>
    </row>
    <row r="65" spans="2:12" ht="18.600000000000001" thickBot="1" x14ac:dyDescent="0.3">
      <c r="F65" s="97"/>
      <c r="G65" s="143" t="s">
        <v>187</v>
      </c>
      <c r="H65" s="144"/>
      <c r="I65" s="144"/>
      <c r="J65" s="144"/>
      <c r="K65" s="144"/>
      <c r="L65" s="145"/>
    </row>
    <row r="66" spans="2:12" ht="18.600000000000001" thickBot="1" x14ac:dyDescent="0.3">
      <c r="B66" s="59" t="s">
        <v>174</v>
      </c>
      <c r="C66" s="59" t="s">
        <v>175</v>
      </c>
      <c r="D66" s="20" t="s">
        <v>176</v>
      </c>
      <c r="E66" s="20" t="s">
        <v>177</v>
      </c>
      <c r="F66" s="97"/>
      <c r="G66" s="98" t="s">
        <v>63</v>
      </c>
      <c r="H66" s="98" t="s">
        <v>53</v>
      </c>
      <c r="I66" s="98" t="s">
        <v>65</v>
      </c>
      <c r="J66" s="98" t="s">
        <v>66</v>
      </c>
      <c r="K66" s="98" t="s">
        <v>84</v>
      </c>
      <c r="L66" s="98" t="s">
        <v>64</v>
      </c>
    </row>
    <row r="67" spans="2:12" x14ac:dyDescent="0.25">
      <c r="B67" s="27">
        <f>-I67*COS(C67+D67-C$14)+0.5*C$16*C$4*C$2*(D67-C$5)*G67^2*SIN(C67)+0.5*C$16*C$4*((C$8+1/PI()/C$7*C$2^2*(D67-C$5)^2)/SQRT(1-H67^2))*G67^2*COS(C67)</f>
        <v>2.7745332272388623E-4</v>
      </c>
      <c r="C67" s="28">
        <v>0.14793343286375529</v>
      </c>
      <c r="D67" s="32">
        <v>0.18896084936053378</v>
      </c>
      <c r="E67" s="31">
        <f>I67*SIN(C67+D67-C$14)+0.5*C$16*C$4*C$2*(D67-C$5)*G67^2*COS(C67)-0.5*C$16*C$4*(C$8+1/PI()/C$7*C$2^2*(D67-C$5)^2)/SQRT(1-H67^2)*G67^2*SIN(C67)-C$20</f>
        <v>-1.7484126146882772E-8</v>
      </c>
      <c r="F67" s="97"/>
      <c r="G67" s="81">
        <f>SQRT(2*C$20/C$4/C$16/C$15)</f>
        <v>50.003599658606447</v>
      </c>
      <c r="H67" s="99">
        <f>G67/C$19</f>
        <v>0.14693975803293108</v>
      </c>
      <c r="I67" s="100">
        <f>C$17*(1-0.605*H67+0.725*H67^2)</f>
        <v>9082.2003077697173</v>
      </c>
      <c r="J67" s="67">
        <f>DEGREES(D67)</f>
        <v>10.826659161565907</v>
      </c>
      <c r="K67" s="67">
        <f>DEGREES(C67)</f>
        <v>8.4759613519750889</v>
      </c>
      <c r="L67" s="67">
        <f>G67*SIN(RADIANS(K67))</f>
        <v>7.3702532202370961</v>
      </c>
    </row>
    <row r="68" spans="2:12" x14ac:dyDescent="0.25">
      <c r="B68" s="27">
        <f t="shared" ref="B68:B81" si="26">-I68*COS(C68+D68-C$14)+0.5*C$16*C$4*C$2*(D68-C$5)*G68^2*SIN(C68)+0.5*C$16*C$4*((C$8+1/PI()/C$7*C$2^2*(D68-C$5)^2)/SQRT(1-H68^2))*G68^2*COS(C68)</f>
        <v>-3.168679540976882E-8</v>
      </c>
      <c r="C68" s="35">
        <v>0.16773259066219992</v>
      </c>
      <c r="D68" s="38">
        <v>0.11208487692558182</v>
      </c>
      <c r="E68" s="31">
        <f t="shared" ref="E68:E81" si="27">I68*SIN(C68+D68-C$14)+0.5*C$16*C$4*C$2*(D68-C$5)*G68^2*COS(C68)-0.5*C$16*C$4*(C$8+1/PI()/C$7*C$2^2*(D68-C$5)^2)/SQRT(1-H68^2)*G68^2*SIN(C68)-C$20</f>
        <v>0</v>
      </c>
      <c r="F68" s="97"/>
      <c r="G68" s="11">
        <f t="shared" ref="G68:G81" si="28">G4</f>
        <v>63</v>
      </c>
      <c r="H68" s="99">
        <f t="shared" ref="H68:H81" si="29">G68/C$19</f>
        <v>0.1851307669703203</v>
      </c>
      <c r="I68" s="100">
        <f t="shared" ref="I68:I81" si="30">C$17*(1-0.605*H68+0.725*H68^2)</f>
        <v>8945.8721958784008</v>
      </c>
      <c r="J68" s="67">
        <f t="shared" ref="J68:J81" si="31">DEGREES(D68)</f>
        <v>6.4219903950791046</v>
      </c>
      <c r="K68" s="67">
        <f t="shared" ref="K68:K81" si="32">DEGREES(C68)</f>
        <v>9.6103695317394973</v>
      </c>
      <c r="L68" s="67">
        <f t="shared" ref="L68:L81" si="33">G68*SIN(RADIANS(K68))</f>
        <v>10.517673094918594</v>
      </c>
    </row>
    <row r="69" spans="2:12" x14ac:dyDescent="0.25">
      <c r="B69" s="27">
        <f t="shared" si="26"/>
        <v>1.8363425624556839E-7</v>
      </c>
      <c r="C69" s="28">
        <v>0.17245658267784997</v>
      </c>
      <c r="D69" s="32">
        <v>6.7776597718882892E-2</v>
      </c>
      <c r="E69" s="31">
        <f t="shared" si="27"/>
        <v>0</v>
      </c>
      <c r="G69" s="11">
        <f t="shared" si="28"/>
        <v>77</v>
      </c>
      <c r="H69" s="99">
        <f t="shared" si="29"/>
        <v>0.22627093740816925</v>
      </c>
      <c r="I69" s="100">
        <f t="shared" si="30"/>
        <v>8822.2052183131</v>
      </c>
      <c r="J69" s="67">
        <f t="shared" si="31"/>
        <v>3.8833129990479924</v>
      </c>
      <c r="K69" s="67">
        <f t="shared" si="32"/>
        <v>9.8810343366897442</v>
      </c>
      <c r="L69" s="67">
        <f t="shared" si="33"/>
        <v>13.213431508761673</v>
      </c>
    </row>
    <row r="70" spans="2:12" x14ac:dyDescent="0.25">
      <c r="B70" s="27">
        <f t="shared" si="26"/>
        <v>8.2377027865732089E-8</v>
      </c>
      <c r="C70" s="35">
        <v>0.16902787769226077</v>
      </c>
      <c r="D70" s="38">
        <v>4.341008238787749E-2</v>
      </c>
      <c r="E70" s="31">
        <f t="shared" si="27"/>
        <v>0</v>
      </c>
      <c r="G70" s="11">
        <f t="shared" si="28"/>
        <v>90</v>
      </c>
      <c r="H70" s="99">
        <f t="shared" si="29"/>
        <v>0.26447252424331469</v>
      </c>
      <c r="I70" s="100">
        <f t="shared" si="30"/>
        <v>8728.9067165071629</v>
      </c>
      <c r="J70" s="67">
        <f t="shared" si="31"/>
        <v>2.4872145091405669</v>
      </c>
      <c r="K70" s="67">
        <f t="shared" si="32"/>
        <v>9.6845840118200197</v>
      </c>
      <c r="L70" s="67">
        <f t="shared" si="33"/>
        <v>15.140174430539227</v>
      </c>
    </row>
    <row r="71" spans="2:12" x14ac:dyDescent="0.25">
      <c r="B71" s="27">
        <f t="shared" si="26"/>
        <v>1.0735766409197822E-7</v>
      </c>
      <c r="C71" s="28">
        <v>0.16024777977810101</v>
      </c>
      <c r="D71" s="32">
        <v>2.656539385775241E-2</v>
      </c>
      <c r="E71" s="31">
        <f t="shared" si="27"/>
        <v>0</v>
      </c>
      <c r="G71" s="11">
        <f t="shared" si="28"/>
        <v>104</v>
      </c>
      <c r="H71" s="99">
        <f t="shared" si="29"/>
        <v>0.30561269468116364</v>
      </c>
      <c r="I71" s="100">
        <f t="shared" si="30"/>
        <v>8651.6230747981353</v>
      </c>
      <c r="J71" s="67">
        <f t="shared" si="31"/>
        <v>1.5220849491519735</v>
      </c>
      <c r="K71" s="67">
        <f t="shared" si="32"/>
        <v>9.1815214576270474</v>
      </c>
      <c r="L71" s="67">
        <f t="shared" si="33"/>
        <v>16.594532934542872</v>
      </c>
    </row>
    <row r="72" spans="2:12" x14ac:dyDescent="0.25">
      <c r="B72" s="27">
        <f t="shared" si="26"/>
        <v>-6.669552021776326E-7</v>
      </c>
      <c r="C72" s="35">
        <v>0.14868234488214263</v>
      </c>
      <c r="D72" s="38">
        <v>1.5961928421868318E-2</v>
      </c>
      <c r="E72" s="31">
        <f t="shared" si="27"/>
        <v>0</v>
      </c>
      <c r="G72" s="11">
        <f t="shared" si="28"/>
        <v>117</v>
      </c>
      <c r="H72" s="99">
        <f t="shared" si="29"/>
        <v>0.34381428151630911</v>
      </c>
      <c r="I72" s="100">
        <f t="shared" si="30"/>
        <v>8601.3948134301645</v>
      </c>
      <c r="J72" s="67">
        <f t="shared" si="31"/>
        <v>0.91455113146296929</v>
      </c>
      <c r="K72" s="67">
        <f t="shared" si="32"/>
        <v>8.5188708498553076</v>
      </c>
      <c r="L72" s="67">
        <f t="shared" si="33"/>
        <v>17.331811830570416</v>
      </c>
    </row>
    <row r="73" spans="2:12" x14ac:dyDescent="0.25">
      <c r="B73" s="27">
        <f t="shared" si="26"/>
        <v>1.6905960364965722E-7</v>
      </c>
      <c r="C73" s="28">
        <v>0.13439179825216302</v>
      </c>
      <c r="D73" s="32">
        <v>8.3452943340957073E-3</v>
      </c>
      <c r="E73" s="31">
        <f t="shared" si="27"/>
        <v>0</v>
      </c>
      <c r="G73" s="11">
        <f t="shared" si="28"/>
        <v>130</v>
      </c>
      <c r="H73" s="99">
        <f t="shared" si="29"/>
        <v>0.38201586835145457</v>
      </c>
      <c r="I73" s="100">
        <f t="shared" si="30"/>
        <v>8571.9040752360306</v>
      </c>
      <c r="J73" s="67">
        <f t="shared" si="31"/>
        <v>0.47815014413812279</v>
      </c>
      <c r="K73" s="67">
        <f t="shared" si="32"/>
        <v>7.7000828410225743</v>
      </c>
      <c r="L73" s="67">
        <f t="shared" si="33"/>
        <v>17.418390369877066</v>
      </c>
    </row>
    <row r="74" spans="2:12" x14ac:dyDescent="0.25">
      <c r="B74" s="27">
        <f t="shared" si="26"/>
        <v>-7.2103830461855978E-8</v>
      </c>
      <c r="C74" s="35">
        <v>0.11617173564747714</v>
      </c>
      <c r="D74" s="38">
        <v>2.315798135552717E-3</v>
      </c>
      <c r="E74" s="31">
        <f t="shared" si="27"/>
        <v>0</v>
      </c>
      <c r="G74" s="11">
        <f t="shared" si="28"/>
        <v>144</v>
      </c>
      <c r="H74" s="99">
        <f t="shared" si="29"/>
        <v>0.42315603878930352</v>
      </c>
      <c r="I74" s="100">
        <f t="shared" si="30"/>
        <v>8563.3364866474058</v>
      </c>
      <c r="J74" s="67">
        <f t="shared" si="31"/>
        <v>0.13268545937143561</v>
      </c>
      <c r="K74" s="67">
        <f t="shared" si="32"/>
        <v>6.6561501513099364</v>
      </c>
      <c r="L74" s="67">
        <f t="shared" si="33"/>
        <v>16.691127182864182</v>
      </c>
    </row>
    <row r="75" spans="2:12" x14ac:dyDescent="0.25">
      <c r="B75" s="27">
        <f t="shared" si="26"/>
        <v>2.9948569135740399E-7</v>
      </c>
      <c r="C75" s="28">
        <v>9.4983332865406389E-2</v>
      </c>
      <c r="D75" s="32">
        <v>-2.2000840472557073E-3</v>
      </c>
      <c r="E75" s="31">
        <f t="shared" si="27"/>
        <v>0</v>
      </c>
      <c r="G75" s="11">
        <f t="shared" si="28"/>
        <v>158</v>
      </c>
      <c r="H75" s="99">
        <f t="shared" si="29"/>
        <v>0.46429620922715248</v>
      </c>
      <c r="I75" s="100">
        <f t="shared" si="30"/>
        <v>8578.8195166509231</v>
      </c>
      <c r="J75" s="67">
        <f t="shared" si="31"/>
        <v>-0.12605553048181278</v>
      </c>
      <c r="K75" s="67">
        <f t="shared" si="32"/>
        <v>5.4421440972740305</v>
      </c>
      <c r="L75" s="67">
        <f t="shared" si="33"/>
        <v>14.98481110922846</v>
      </c>
    </row>
    <row r="76" spans="2:12" x14ac:dyDescent="0.25">
      <c r="B76" s="27">
        <f t="shared" si="26"/>
        <v>0</v>
      </c>
      <c r="C76" s="35">
        <v>7.2441828969194155E-2</v>
      </c>
      <c r="D76" s="38">
        <v>-5.4522853218342453E-3</v>
      </c>
      <c r="E76" s="31">
        <f t="shared" si="27"/>
        <v>0</v>
      </c>
      <c r="G76" s="11">
        <f t="shared" si="28"/>
        <v>171</v>
      </c>
      <c r="H76" s="99">
        <f t="shared" si="29"/>
        <v>0.50249779606229794</v>
      </c>
      <c r="I76" s="100">
        <f t="shared" si="30"/>
        <v>8614.7317361588866</v>
      </c>
      <c r="J76" s="67">
        <f t="shared" si="31"/>
        <v>-0.31239293764223003</v>
      </c>
      <c r="K76" s="67">
        <f t="shared" si="32"/>
        <v>4.1506110601433681</v>
      </c>
      <c r="L76" s="67">
        <f t="shared" si="33"/>
        <v>12.376720991353015</v>
      </c>
    </row>
    <row r="77" spans="2:12" x14ac:dyDescent="0.25">
      <c r="B77" s="27">
        <f t="shared" si="26"/>
        <v>0</v>
      </c>
      <c r="C77" s="28">
        <v>4.4668823771694122E-2</v>
      </c>
      <c r="D77" s="32">
        <v>-8.2294827706069565E-3</v>
      </c>
      <c r="E77" s="31">
        <f t="shared" si="27"/>
        <v>0</v>
      </c>
      <c r="G77" s="11">
        <f t="shared" si="28"/>
        <v>185</v>
      </c>
      <c r="H77" s="99">
        <f t="shared" si="29"/>
        <v>0.54363796650014695</v>
      </c>
      <c r="I77" s="100">
        <f t="shared" si="30"/>
        <v>8676.5981020186773</v>
      </c>
      <c r="J77" s="67">
        <f t="shared" si="31"/>
        <v>-0.471514630331406</v>
      </c>
      <c r="K77" s="67">
        <f t="shared" si="32"/>
        <v>2.5593350779317166</v>
      </c>
      <c r="L77" s="67">
        <f t="shared" si="33"/>
        <v>8.2609845624498632</v>
      </c>
    </row>
    <row r="78" spans="2:12" x14ac:dyDescent="0.25">
      <c r="B78" s="27">
        <f t="shared" si="26"/>
        <v>2.3646862246096134E-11</v>
      </c>
      <c r="C78" s="35">
        <v>1.0144240485789782E-2</v>
      </c>
      <c r="D78" s="38">
        <v>-1.0597499514966252E-2</v>
      </c>
      <c r="E78" s="31">
        <f t="shared" si="27"/>
        <v>0</v>
      </c>
      <c r="G78" s="11">
        <f t="shared" si="28"/>
        <v>200</v>
      </c>
      <c r="H78" s="99">
        <f t="shared" si="29"/>
        <v>0.58771672054069934</v>
      </c>
      <c r="I78" s="100">
        <f t="shared" si="30"/>
        <v>8769.5723182143229</v>
      </c>
      <c r="J78" s="67">
        <f t="shared" si="31"/>
        <v>-0.60719199559950321</v>
      </c>
      <c r="K78" s="67">
        <f t="shared" si="32"/>
        <v>0.58122216620149447</v>
      </c>
      <c r="L78" s="67">
        <f t="shared" si="33"/>
        <v>2.0288133006934532</v>
      </c>
    </row>
    <row r="79" spans="2:12" x14ac:dyDescent="0.25">
      <c r="B79" s="27">
        <f t="shared" si="26"/>
        <v>0</v>
      </c>
      <c r="C79" s="28">
        <v>-2.4673188871389057E-2</v>
      </c>
      <c r="D79" s="32">
        <v>-1.2273588843819074E-2</v>
      </c>
      <c r="E79" s="31">
        <f t="shared" si="27"/>
        <v>0</v>
      </c>
      <c r="G79" s="11">
        <f t="shared" si="28"/>
        <v>213</v>
      </c>
      <c r="H79" s="99">
        <f t="shared" si="29"/>
        <v>0.62591830737584486</v>
      </c>
      <c r="I79" s="100">
        <f t="shared" si="30"/>
        <v>8872.4826895146798</v>
      </c>
      <c r="J79" s="67">
        <f t="shared" si="31"/>
        <v>-0.70322484022968468</v>
      </c>
      <c r="K79" s="67">
        <f t="shared" si="32"/>
        <v>-1.413669589459744</v>
      </c>
      <c r="L79" s="67">
        <f t="shared" si="33"/>
        <v>-5.2548560285710719</v>
      </c>
    </row>
    <row r="80" spans="2:12" x14ac:dyDescent="0.25">
      <c r="B80" s="27">
        <f t="shared" si="26"/>
        <v>-8.5492501966655254E-11</v>
      </c>
      <c r="C80" s="35">
        <v>-6.8640683615494427E-2</v>
      </c>
      <c r="D80" s="38">
        <v>-1.3786421166099471E-2</v>
      </c>
      <c r="E80" s="31">
        <f t="shared" si="27"/>
        <v>0</v>
      </c>
      <c r="G80" s="11">
        <f t="shared" si="28"/>
        <v>227</v>
      </c>
      <c r="H80" s="99">
        <f t="shared" si="29"/>
        <v>0.66705847781369376</v>
      </c>
      <c r="I80" s="100">
        <f t="shared" si="30"/>
        <v>9006.5009111508916</v>
      </c>
      <c r="J80" s="67">
        <f t="shared" si="31"/>
        <v>-0.78990374740732661</v>
      </c>
      <c r="K80" s="67">
        <f t="shared" si="32"/>
        <v>-3.9328214740606109</v>
      </c>
      <c r="L80" s="67">
        <f t="shared" si="33"/>
        <v>-15.569202627979092</v>
      </c>
    </row>
    <row r="81" spans="2:12" x14ac:dyDescent="0.25">
      <c r="B81" s="27">
        <f t="shared" si="26"/>
        <v>0</v>
      </c>
      <c r="C81" s="28">
        <v>-0.11732384163102186</v>
      </c>
      <c r="D81" s="32">
        <v>-1.4985728028929437E-2</v>
      </c>
      <c r="E81" s="31">
        <f t="shared" si="27"/>
        <v>0</v>
      </c>
      <c r="G81" s="11">
        <f t="shared" si="28"/>
        <v>240</v>
      </c>
      <c r="H81" s="99">
        <f t="shared" si="29"/>
        <v>0.70526006464883928</v>
      </c>
      <c r="I81" s="100">
        <f t="shared" si="30"/>
        <v>9152.4815228892166</v>
      </c>
      <c r="J81" s="67">
        <f t="shared" si="31"/>
        <v>-0.85861896898855883</v>
      </c>
      <c r="K81" s="67">
        <f t="shared" si="32"/>
        <v>-6.7221609617188172</v>
      </c>
      <c r="L81" s="67">
        <f t="shared" si="33"/>
        <v>-28.093168474097734</v>
      </c>
    </row>
    <row r="82" spans="2:12" x14ac:dyDescent="0.25">
      <c r="D82" s="111"/>
    </row>
  </sheetData>
  <mergeCells count="4">
    <mergeCell ref="G65:L65"/>
    <mergeCell ref="F43:Q43"/>
    <mergeCell ref="G1:L1"/>
    <mergeCell ref="F21:Q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B4C4-EF6D-4484-8909-0AB052F44B91}">
  <dimension ref="A1:Q100"/>
  <sheetViews>
    <sheetView workbookViewId="0"/>
  </sheetViews>
  <sheetFormatPr defaultRowHeight="15" x14ac:dyDescent="0.25"/>
  <cols>
    <col min="1" max="1" width="34.77734375" style="23" customWidth="1"/>
    <col min="2" max="2" width="9.5546875" style="23" customWidth="1"/>
    <col min="3" max="6" width="8.88671875" style="23"/>
    <col min="7" max="7" width="10" style="23" customWidth="1"/>
    <col min="8" max="8" width="9" style="23" bestFit="1" customWidth="1"/>
    <col min="9" max="10" width="10" style="23" customWidth="1"/>
    <col min="11" max="16" width="8.44140625" style="23" customWidth="1"/>
    <col min="17" max="16384" width="8.88671875" style="23"/>
  </cols>
  <sheetData>
    <row r="1" spans="1:12" ht="18.600000000000001" thickBot="1" x14ac:dyDescent="0.3">
      <c r="A1" s="21" t="s">
        <v>10</v>
      </c>
      <c r="B1" s="22" t="s">
        <v>6</v>
      </c>
      <c r="C1" s="22">
        <v>2000</v>
      </c>
      <c r="D1" s="22" t="s">
        <v>3</v>
      </c>
      <c r="G1" s="143" t="s">
        <v>164</v>
      </c>
      <c r="H1" s="144"/>
      <c r="I1" s="144"/>
      <c r="J1" s="144"/>
      <c r="K1" s="144"/>
      <c r="L1" s="145"/>
    </row>
    <row r="2" spans="1:12" ht="18.600000000000001" thickBot="1" x14ac:dyDescent="0.35">
      <c r="A2" s="24" t="s">
        <v>17</v>
      </c>
      <c r="B2" s="25" t="s">
        <v>69</v>
      </c>
      <c r="C2" s="25">
        <f>Podsumowanie!B17</f>
        <v>6.2309999999999999</v>
      </c>
      <c r="D2" s="25" t="s">
        <v>26</v>
      </c>
      <c r="G2" s="98" t="s">
        <v>63</v>
      </c>
      <c r="H2" s="98" t="s">
        <v>53</v>
      </c>
      <c r="I2" s="98" t="s">
        <v>65</v>
      </c>
      <c r="J2" s="98" t="s">
        <v>66</v>
      </c>
      <c r="K2" s="98" t="s">
        <v>84</v>
      </c>
      <c r="L2" s="98" t="s">
        <v>64</v>
      </c>
    </row>
    <row r="3" spans="1:12" ht="18" x14ac:dyDescent="0.3">
      <c r="A3" s="24" t="s">
        <v>62</v>
      </c>
      <c r="B3" s="25" t="s">
        <v>70</v>
      </c>
      <c r="C3" s="25">
        <f>Podsumowanie!B10</f>
        <v>9800</v>
      </c>
      <c r="D3" s="25" t="s">
        <v>28</v>
      </c>
      <c r="G3" s="81">
        <f>SQRT(2*C$11/C$4/C$16/C$15)</f>
        <v>50.676077307156149</v>
      </c>
      <c r="H3" s="99">
        <f t="shared" ref="H3:H17" si="0">G3/C$19</f>
        <v>0.15239320199421658</v>
      </c>
      <c r="I3" s="100">
        <f t="shared" ref="I3:I17" si="1">C$17*(1-0.605*H3+0.725*H3^2)</f>
        <v>7666.8543126653058</v>
      </c>
      <c r="J3" s="67">
        <f t="shared" ref="J3:J17" ca="1" si="2">OFFSET(D24,A24-2,0,1,1)</f>
        <v>10.826329470161857</v>
      </c>
      <c r="K3" s="67">
        <f t="shared" ref="K3:K17" ca="1" si="3">OFFSET(D23,A24-2,0,1,1)</f>
        <v>8.4785894798649384</v>
      </c>
      <c r="L3" s="67">
        <f ca="1">G3*SIN(RADIANS(K3))</f>
        <v>7.4716717845893363</v>
      </c>
    </row>
    <row r="4" spans="1:12" ht="18" x14ac:dyDescent="0.3">
      <c r="A4" s="24" t="s">
        <v>16</v>
      </c>
      <c r="B4" s="25" t="s">
        <v>5</v>
      </c>
      <c r="C4" s="25">
        <f>Podsumowanie!B3</f>
        <v>17.5</v>
      </c>
      <c r="D4" s="25" t="s">
        <v>71</v>
      </c>
      <c r="G4" s="47">
        <v>63</v>
      </c>
      <c r="H4" s="19">
        <f t="shared" si="0"/>
        <v>0.18945372719841289</v>
      </c>
      <c r="I4" s="48">
        <f t="shared" si="1"/>
        <v>7557.1002917601072</v>
      </c>
      <c r="J4" s="67">
        <f t="shared" ca="1" si="2"/>
        <v>6.6280075371753995</v>
      </c>
      <c r="K4" s="67">
        <f t="shared" ca="1" si="3"/>
        <v>9.5688619351921904</v>
      </c>
      <c r="L4" s="14">
        <f t="shared" ref="L4:L17" ca="1" si="4">G4*SIN(RADIANS(K4))</f>
        <v>10.472670871708774</v>
      </c>
    </row>
    <row r="5" spans="1:12" ht="18" x14ac:dyDescent="0.3">
      <c r="A5" s="24" t="s">
        <v>30</v>
      </c>
      <c r="B5" s="25" t="s">
        <v>72</v>
      </c>
      <c r="C5" s="25">
        <f>Podsumowanie!B31</f>
        <v>-2.4783675378319478E-2</v>
      </c>
      <c r="D5" s="25" t="s">
        <v>29</v>
      </c>
      <c r="G5" s="47">
        <v>77</v>
      </c>
      <c r="H5" s="19">
        <f t="shared" si="0"/>
        <v>0.23155455546472686</v>
      </c>
      <c r="I5" s="48">
        <f t="shared" si="1"/>
        <v>7452.4543909784215</v>
      </c>
      <c r="J5" s="67">
        <f t="shared" ca="1" si="2"/>
        <v>4.0236866207914401</v>
      </c>
      <c r="K5" s="67">
        <f t="shared" ca="1" si="3"/>
        <v>9.8775863372976502</v>
      </c>
      <c r="L5" s="14">
        <f t="shared" ca="1" si="4"/>
        <v>13.208866442927064</v>
      </c>
    </row>
    <row r="6" spans="1:12" ht="15.6" x14ac:dyDescent="0.3">
      <c r="A6" s="24" t="s">
        <v>12</v>
      </c>
      <c r="B6" s="25" t="s">
        <v>3</v>
      </c>
      <c r="C6" s="25">
        <f>Podsumowanie!B7</f>
        <v>3240</v>
      </c>
      <c r="D6" s="25" t="s">
        <v>0</v>
      </c>
      <c r="G6" s="47">
        <v>90</v>
      </c>
      <c r="H6" s="19">
        <f t="shared" si="0"/>
        <v>0.27064818171201843</v>
      </c>
      <c r="I6" s="48">
        <f t="shared" si="1"/>
        <v>7374.3648155270776</v>
      </c>
      <c r="J6" s="67">
        <f t="shared" ca="1" si="2"/>
        <v>2.5909548444285755</v>
      </c>
      <c r="K6" s="67">
        <f t="shared" ca="1" si="3"/>
        <v>9.7101638418609646</v>
      </c>
      <c r="L6" s="14">
        <f t="shared" ca="1" si="4"/>
        <v>15.179780998868225</v>
      </c>
    </row>
    <row r="7" spans="1:12" ht="18" x14ac:dyDescent="0.3">
      <c r="A7" s="24" t="s">
        <v>15</v>
      </c>
      <c r="B7" s="25" t="s">
        <v>73</v>
      </c>
      <c r="C7" s="25">
        <f>Podsumowanie!B14</f>
        <v>5.1340000000000003</v>
      </c>
      <c r="D7" s="25" t="s">
        <v>8</v>
      </c>
      <c r="G7" s="47">
        <v>104</v>
      </c>
      <c r="H7" s="19">
        <f t="shared" si="0"/>
        <v>0.31274900997833238</v>
      </c>
      <c r="I7" s="48">
        <f t="shared" si="1"/>
        <v>7310.8177845674127</v>
      </c>
      <c r="J7" s="67">
        <f t="shared" ca="1" si="2"/>
        <v>1.6003078334512915</v>
      </c>
      <c r="K7" s="67">
        <f t="shared" ca="1" si="3"/>
        <v>9.2363886368049872</v>
      </c>
      <c r="L7" s="14">
        <f t="shared" ca="1" si="4"/>
        <v>16.692841063626801</v>
      </c>
    </row>
    <row r="8" spans="1:12" ht="18" x14ac:dyDescent="0.3">
      <c r="A8" s="24" t="s">
        <v>18</v>
      </c>
      <c r="B8" s="25" t="s">
        <v>74</v>
      </c>
      <c r="C8" s="25">
        <f>Podsumowanie!B15</f>
        <v>1.533E-2</v>
      </c>
      <c r="D8" s="25" t="s">
        <v>8</v>
      </c>
      <c r="G8" s="47">
        <v>117</v>
      </c>
      <c r="H8" s="19">
        <f t="shared" si="0"/>
        <v>0.35184263622562395</v>
      </c>
      <c r="I8" s="48">
        <f t="shared" si="1"/>
        <v>7270.8914453793768</v>
      </c>
      <c r="J8" s="67">
        <f t="shared" ca="1" si="2"/>
        <v>0.97665002888028007</v>
      </c>
      <c r="K8" s="67">
        <f t="shared" ca="1" si="3"/>
        <v>8.600947790051185</v>
      </c>
      <c r="L8" s="14">
        <f t="shared" ca="1" si="4"/>
        <v>17.497548840057917</v>
      </c>
    </row>
    <row r="9" spans="1:12" ht="18" x14ac:dyDescent="0.3">
      <c r="A9" s="24" t="s">
        <v>14</v>
      </c>
      <c r="B9" s="25" t="s">
        <v>75</v>
      </c>
      <c r="C9" s="25">
        <f>Podsumowanie!B12</f>
        <v>243.33333333333334</v>
      </c>
      <c r="D9" s="25" t="s">
        <v>27</v>
      </c>
      <c r="G9" s="47">
        <v>130</v>
      </c>
      <c r="H9" s="19">
        <f t="shared" si="0"/>
        <v>0.39093626247291552</v>
      </c>
      <c r="I9" s="48">
        <f t="shared" si="1"/>
        <v>7249.339997725524</v>
      </c>
      <c r="J9" s="67">
        <f t="shared" ca="1" si="2"/>
        <v>0.52865466286100304</v>
      </c>
      <c r="K9" s="67">
        <f t="shared" ca="1" si="3"/>
        <v>7.8100490340690687</v>
      </c>
      <c r="L9" s="14">
        <f t="shared" ca="1" si="4"/>
        <v>17.665613725845322</v>
      </c>
    </row>
    <row r="10" spans="1:12" ht="18" x14ac:dyDescent="0.3">
      <c r="A10" s="24" t="s">
        <v>25</v>
      </c>
      <c r="B10" s="25" t="s">
        <v>24</v>
      </c>
      <c r="C10" s="25">
        <f>Podsumowanie!B2</f>
        <v>1.2255</v>
      </c>
      <c r="D10" s="25" t="s">
        <v>76</v>
      </c>
      <c r="G10" s="47">
        <v>144</v>
      </c>
      <c r="H10" s="19">
        <f t="shared" si="0"/>
        <v>0.43303709073922947</v>
      </c>
      <c r="I10" s="48">
        <f t="shared" si="1"/>
        <v>7246.6801813170014</v>
      </c>
      <c r="J10" s="67">
        <f t="shared" ca="1" si="2"/>
        <v>0.17402183293086845</v>
      </c>
      <c r="K10" s="67">
        <f t="shared" ca="1" si="3"/>
        <v>6.7969124125720555</v>
      </c>
      <c r="L10" s="14">
        <f t="shared" ca="1" si="4"/>
        <v>17.042466045129036</v>
      </c>
    </row>
    <row r="11" spans="1:12" ht="15.6" x14ac:dyDescent="0.3">
      <c r="A11" s="24" t="s">
        <v>19</v>
      </c>
      <c r="B11" s="25" t="s">
        <v>13</v>
      </c>
      <c r="C11" s="25">
        <f>Podsumowanie!B8</f>
        <v>31784.400000000001</v>
      </c>
      <c r="D11" s="25" t="s">
        <v>28</v>
      </c>
      <c r="G11" s="47">
        <v>158</v>
      </c>
      <c r="H11" s="19">
        <f t="shared" si="0"/>
        <v>0.47513791900554347</v>
      </c>
      <c r="I11" s="48">
        <f t="shared" si="1"/>
        <v>7265.330890001379</v>
      </c>
      <c r="J11" s="67">
        <f t="shared" ca="1" si="2"/>
        <v>-9.1562506090783286E-2</v>
      </c>
      <c r="K11" s="67">
        <f t="shared" ca="1" si="3"/>
        <v>5.6138786465575343</v>
      </c>
      <c r="L11" s="14">
        <f t="shared" ca="1" si="4"/>
        <v>15.456187088475248</v>
      </c>
    </row>
    <row r="12" spans="1:12" ht="18" x14ac:dyDescent="0.3">
      <c r="A12" s="24" t="s">
        <v>59</v>
      </c>
      <c r="B12" s="25" t="s">
        <v>77</v>
      </c>
      <c r="C12" s="25">
        <f>Podsumowanie!B13</f>
        <v>340.3</v>
      </c>
      <c r="D12" s="25" t="s">
        <v>55</v>
      </c>
      <c r="G12" s="47">
        <v>171</v>
      </c>
      <c r="H12" s="19">
        <f t="shared" si="0"/>
        <v>0.51423154525283499</v>
      </c>
      <c r="I12" s="48">
        <f t="shared" si="1"/>
        <v>7301.7310233399539</v>
      </c>
      <c r="J12" s="67">
        <f t="shared" ca="1" si="2"/>
        <v>-0.28280150957692157</v>
      </c>
      <c r="K12" s="67">
        <f t="shared" ca="1" si="3"/>
        <v>4.3501277043174396</v>
      </c>
      <c r="L12" s="14">
        <f t="shared" ca="1" si="4"/>
        <v>12.970543024404115</v>
      </c>
    </row>
    <row r="13" spans="1:12" ht="18" x14ac:dyDescent="0.3">
      <c r="A13" s="24" t="s">
        <v>60</v>
      </c>
      <c r="B13" s="25" t="s">
        <v>78</v>
      </c>
      <c r="C13" s="25">
        <f>Podsumowanie!B18</f>
        <v>288.14999999999998</v>
      </c>
      <c r="D13" s="25" t="s">
        <v>56</v>
      </c>
      <c r="G13" s="47">
        <v>185</v>
      </c>
      <c r="H13" s="19">
        <f t="shared" si="0"/>
        <v>0.55633237351914899</v>
      </c>
      <c r="I13" s="48">
        <f t="shared" si="1"/>
        <v>7361.4806018463523</v>
      </c>
      <c r="J13" s="67">
        <f t="shared" ca="1" si="2"/>
        <v>-0.44607788399528248</v>
      </c>
      <c r="K13" s="67">
        <f t="shared" ca="1" si="3"/>
        <v>2.7856377262148779</v>
      </c>
      <c r="L13" s="14">
        <f t="shared" ca="1" si="4"/>
        <v>8.9908887340058499</v>
      </c>
    </row>
    <row r="14" spans="1:12" ht="15.6" x14ac:dyDescent="0.3">
      <c r="A14" s="24" t="s">
        <v>11</v>
      </c>
      <c r="B14" s="25" t="s">
        <v>22</v>
      </c>
      <c r="C14" s="25">
        <f>Podsumowanie!B30</f>
        <v>1.7453292519943295E-2</v>
      </c>
      <c r="D14" s="25" t="s">
        <v>29</v>
      </c>
      <c r="G14" s="47">
        <v>200</v>
      </c>
      <c r="H14" s="19">
        <f t="shared" si="0"/>
        <v>0.60144040380448538</v>
      </c>
      <c r="I14" s="48">
        <f t="shared" si="1"/>
        <v>7449.146166611913</v>
      </c>
      <c r="J14" s="67">
        <f t="shared" ca="1" si="2"/>
        <v>-0.58526481562626287</v>
      </c>
      <c r="K14" s="67">
        <f t="shared" ca="1" si="3"/>
        <v>0.8285633250032155</v>
      </c>
      <c r="L14" s="14">
        <f t="shared" ca="1" si="4"/>
        <v>2.8921308112019721</v>
      </c>
    </row>
    <row r="15" spans="1:12" ht="18" x14ac:dyDescent="0.25">
      <c r="A15" s="25" t="s">
        <v>94</v>
      </c>
      <c r="B15" s="25" t="s">
        <v>95</v>
      </c>
      <c r="C15" s="25">
        <f>Podsumowanie!B16</f>
        <v>1.405</v>
      </c>
      <c r="D15" s="25" t="s">
        <v>8</v>
      </c>
      <c r="G15" s="47">
        <v>213</v>
      </c>
      <c r="H15" s="19">
        <f t="shared" si="0"/>
        <v>0.64053403005177689</v>
      </c>
      <c r="I15" s="48">
        <f t="shared" si="1"/>
        <v>7544.9113341378525</v>
      </c>
      <c r="J15" s="67">
        <f t="shared" ca="1" si="2"/>
        <v>-0.68376206332790557</v>
      </c>
      <c r="K15" s="67">
        <f t="shared" ca="1" si="3"/>
        <v>-1.1601236737056397</v>
      </c>
      <c r="L15" s="14">
        <f t="shared" ca="1" si="4"/>
        <v>-4.3125245898372349</v>
      </c>
    </row>
    <row r="16" spans="1:12" ht="18.600000000000001" x14ac:dyDescent="0.25">
      <c r="A16" s="23" t="s">
        <v>21</v>
      </c>
      <c r="B16" s="20" t="s">
        <v>79</v>
      </c>
      <c r="C16" s="20">
        <f>C10*(1-C1/44300)^4.256</f>
        <v>1.0067546873840096</v>
      </c>
      <c r="D16" s="20" t="s">
        <v>80</v>
      </c>
      <c r="G16" s="47">
        <v>227</v>
      </c>
      <c r="H16" s="19">
        <f t="shared" si="0"/>
        <v>0.6826348583180909</v>
      </c>
      <c r="I16" s="48">
        <f t="shared" si="1"/>
        <v>7668.5924879229515</v>
      </c>
      <c r="J16" s="67">
        <f t="shared" ca="1" si="2"/>
        <v>-0.77266716490448717</v>
      </c>
      <c r="K16" s="67">
        <f t="shared" ca="1" si="3"/>
        <v>-3.6951687282374004</v>
      </c>
      <c r="L16" s="14">
        <f t="shared" ca="1" si="4"/>
        <v>-14.629732815478791</v>
      </c>
    </row>
    <row r="17" spans="1:17" ht="18.600000000000001" x14ac:dyDescent="0.25">
      <c r="A17" s="23" t="s">
        <v>20</v>
      </c>
      <c r="B17" s="20" t="s">
        <v>81</v>
      </c>
      <c r="C17" s="20">
        <f>C3*(C16/C10)^0.85</f>
        <v>8291.7245933023369</v>
      </c>
      <c r="D17" s="20" t="s">
        <v>28</v>
      </c>
      <c r="G17" s="47">
        <v>240</v>
      </c>
      <c r="H17" s="19">
        <f t="shared" si="0"/>
        <v>0.72172848456538252</v>
      </c>
      <c r="I17" s="48">
        <f t="shared" si="1"/>
        <v>7802.5208917121972</v>
      </c>
      <c r="J17" s="67">
        <f t="shared" ca="1" si="2"/>
        <v>-0.84319311840330646</v>
      </c>
      <c r="K17" s="67">
        <f t="shared" ca="1" si="3"/>
        <v>-6.5363174489245219</v>
      </c>
      <c r="L17" s="14">
        <f t="shared" ca="1" si="4"/>
        <v>-27.319914121592564</v>
      </c>
    </row>
    <row r="18" spans="1:17" ht="18.600000000000001" x14ac:dyDescent="0.25">
      <c r="A18" s="23" t="s">
        <v>61</v>
      </c>
      <c r="B18" s="20" t="s">
        <v>82</v>
      </c>
      <c r="C18" s="20">
        <f>C13-6.5*C1/1000</f>
        <v>275.14999999999998</v>
      </c>
      <c r="D18" s="20" t="s">
        <v>56</v>
      </c>
    </row>
    <row r="19" spans="1:17" ht="18.600000000000001" x14ac:dyDescent="0.25">
      <c r="A19" s="23" t="s">
        <v>54</v>
      </c>
      <c r="B19" s="20" t="s">
        <v>83</v>
      </c>
      <c r="C19" s="20">
        <f>C12*SQRT(C18/C13)</f>
        <v>332.53502547363854</v>
      </c>
      <c r="D19" s="20" t="s">
        <v>55</v>
      </c>
    </row>
    <row r="20" spans="1:17" ht="18.600000000000001" x14ac:dyDescent="0.3">
      <c r="A20" s="23" t="s">
        <v>155</v>
      </c>
      <c r="B20" s="20" t="s">
        <v>157</v>
      </c>
      <c r="C20" s="20">
        <f>Podsumowanie!B9</f>
        <v>37670.400000000001</v>
      </c>
      <c r="D20" s="20" t="s">
        <v>28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03"/>
    </row>
    <row r="21" spans="1:17" ht="15.6" x14ac:dyDescent="0.25">
      <c r="F21" s="104"/>
      <c r="G21" s="104"/>
      <c r="H21" s="104"/>
      <c r="I21" s="104"/>
      <c r="J21" s="104"/>
      <c r="K21" s="104"/>
      <c r="L21" s="104"/>
      <c r="M21" s="104"/>
      <c r="N21" s="104"/>
      <c r="O21" s="104"/>
    </row>
    <row r="22" spans="1:17" ht="15.6" thickBot="1" x14ac:dyDescent="0.3"/>
    <row r="23" spans="1:17" ht="18.600000000000001" thickBot="1" x14ac:dyDescent="0.3">
      <c r="A23" s="26">
        <v>1</v>
      </c>
      <c r="B23" s="27">
        <f>-I3*COS(C23+C24-C$14)+0.5*C$16*C$4*C$2*(C24-C$5)*G3^2*SIN(C23)+0.5*C$16*C$4*((C$8+1/PI()/C$7*C$2^2*(C24-C$5)^2)/SQRT(1-H3^2))*G3^2*COS(C23)</f>
        <v>5.6366474382230081E-5</v>
      </c>
      <c r="C23" s="28">
        <v>0.14797930234859663</v>
      </c>
      <c r="D23" s="29">
        <f t="shared" ref="D23:D52" si="5">DEGREES(C23)</f>
        <v>8.4785894798649384</v>
      </c>
      <c r="F23" s="143" t="s">
        <v>173</v>
      </c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</row>
    <row r="24" spans="1:17" ht="18.600000000000001" thickBot="1" x14ac:dyDescent="0.3">
      <c r="A24" s="30">
        <v>2</v>
      </c>
      <c r="B24" s="31">
        <f>I3*SIN(C23+C24-C$14)+0.5*C$16*C$4*C$2*(C24-C$5)*G3^2*COS(C23)-0.5*C$16*C$4*(C$8+1/PI()/C$7*C$2^2*(C24-C$5)^2)/SQRT(1-H3^2)*G3^2*SIN(C23)-C$11</f>
        <v>-4.3168256524950266E-8</v>
      </c>
      <c r="C24" s="32">
        <v>0.1889550951600176</v>
      </c>
      <c r="D24" s="33">
        <f t="shared" si="5"/>
        <v>10.826329470161857</v>
      </c>
      <c r="F24" s="98" t="s">
        <v>1</v>
      </c>
      <c r="G24" s="98" t="s">
        <v>7</v>
      </c>
      <c r="H24" s="98" t="s">
        <v>109</v>
      </c>
      <c r="I24" s="98" t="s">
        <v>2</v>
      </c>
      <c r="J24" s="98" t="s">
        <v>63</v>
      </c>
      <c r="K24" s="98" t="s">
        <v>53</v>
      </c>
      <c r="L24" s="98" t="s">
        <v>67</v>
      </c>
      <c r="M24" s="98" t="s">
        <v>65</v>
      </c>
      <c r="N24" s="98" t="s">
        <v>68</v>
      </c>
      <c r="O24" s="98" t="s">
        <v>64</v>
      </c>
      <c r="P24" s="98" t="s">
        <v>84</v>
      </c>
      <c r="Q24" s="98" t="s">
        <v>66</v>
      </c>
    </row>
    <row r="25" spans="1:17" x14ac:dyDescent="0.25">
      <c r="A25" s="34">
        <v>3</v>
      </c>
      <c r="B25" s="27">
        <f>-I4*COS(C25+C26-C$14)+0.5*C$16*C$4*C$2*(C26-C$5)*G4^2*SIN(C25)+0.5*C$16*C$4*(C$8+1/PI()/C$7*C$2^2*(C26-C$5)^2)/SQRT(1-H4^2)*G4^2*COS(C25)</f>
        <v>3.0386469006771222E-5</v>
      </c>
      <c r="C25" s="35">
        <v>0.16700814643785999</v>
      </c>
      <c r="D25" s="36">
        <f t="shared" si="5"/>
        <v>9.5688619351921904</v>
      </c>
      <c r="F25" s="42">
        <v>1.405</v>
      </c>
      <c r="G25" s="101">
        <v>0.1406</v>
      </c>
      <c r="H25" s="101">
        <f>G25/SQRT(1-K25^2)</f>
        <v>0.14226162371160983</v>
      </c>
      <c r="I25" s="43">
        <f>F25^3/H25^2</f>
        <v>137.04192493821594</v>
      </c>
      <c r="J25" s="44">
        <f t="shared" ref="J25:J43" si="6">SQRT((2*C$11)/(C$4*C$16*F25))</f>
        <v>50.676077307156149</v>
      </c>
      <c r="K25" s="42">
        <f t="shared" ref="K25:K43" si="7">J25/C$19</f>
        <v>0.15239320199421658</v>
      </c>
      <c r="L25" s="46">
        <f t="shared" ref="L25:L43" si="8">C$11*SQRT((2*C$11)/(C$16*C$4*I25))/J25</f>
        <v>3218.2920659781435</v>
      </c>
      <c r="M25" s="46">
        <f t="shared" ref="M25:M43" si="9">C$17*(1-0.605*K25+0.725*K25^2)</f>
        <v>7666.8543126653058</v>
      </c>
      <c r="N25" s="46">
        <f>(M25-L25)</f>
        <v>4448.5622466871628</v>
      </c>
      <c r="O25" s="43">
        <f t="shared" ref="O25:O43" si="10">N25/C$11*J25</f>
        <v>7.0926518769841458</v>
      </c>
      <c r="P25" s="43">
        <f>DEGREES(ASIN(O25/J25))</f>
        <v>8.0455637102699935</v>
      </c>
      <c r="Q25" s="43">
        <v>12.989000000000001</v>
      </c>
    </row>
    <row r="26" spans="1:17" x14ac:dyDescent="0.25">
      <c r="A26" s="37">
        <v>4</v>
      </c>
      <c r="B26" s="31">
        <f>I4*SIN(C25+C26-C$14)+0.5*C$16*C$4*C$2*(C26-C$5)*G4^2*COS(C25)-0.5*C$16*C$4*(C$8+1/PI()/C$7*C$2^2*(C26-C$5)^2)/SQRT(1-H4^2)*G4^2*SIN(C25)-C$11</f>
        <v>1.5592377167195082E-8</v>
      </c>
      <c r="C26" s="38">
        <v>0.11568055437071117</v>
      </c>
      <c r="D26" s="39">
        <f t="shared" si="5"/>
        <v>6.6280075371753995</v>
      </c>
      <c r="F26" s="13">
        <v>1.3560000000000001</v>
      </c>
      <c r="G26" s="18">
        <v>0.13239999999999999</v>
      </c>
      <c r="H26" s="18">
        <f t="shared" ref="H26:H43" si="11">G26/SQRT(1-K26^2)</f>
        <v>0.13402230081929475</v>
      </c>
      <c r="I26" s="14">
        <f t="shared" ref="I26:I43" si="12">F26^3/H26^2</f>
        <v>138.81133461941846</v>
      </c>
      <c r="J26" s="47">
        <f t="shared" si="6"/>
        <v>51.583559526432204</v>
      </c>
      <c r="K26" s="13">
        <f t="shared" si="7"/>
        <v>0.15512218435625047</v>
      </c>
      <c r="L26" s="48">
        <f t="shared" si="8"/>
        <v>3141.4590104430613</v>
      </c>
      <c r="M26" s="48">
        <f t="shared" si="9"/>
        <v>7658.2092662311334</v>
      </c>
      <c r="N26" s="48">
        <f t="shared" ref="N26:N43" si="13">(M26-L26)</f>
        <v>4516.7502557880725</v>
      </c>
      <c r="O26" s="14">
        <f t="shared" si="10"/>
        <v>7.3303273204928168</v>
      </c>
      <c r="P26" s="14">
        <f t="shared" ref="P26:P43" si="14">DEGREES(ASIN(O26/J26))</f>
        <v>8.1697230478918037</v>
      </c>
      <c r="Q26" s="14">
        <v>11.238</v>
      </c>
    </row>
    <row r="27" spans="1:17" x14ac:dyDescent="0.25">
      <c r="A27" s="26">
        <v>5</v>
      </c>
      <c r="B27" s="27">
        <f>-I5*COS(C27+C28-C$14)+0.5*C$16*C$4*C$2*(C28-C$5)*G5^2*SIN(C27)+0.5*C$16*C$4*(C$8+1/PI()/C$7*C$2^2*(C28-C$5)^2)/SQRT(1-H5^2)*G5^2*COS(C27)</f>
        <v>2.0313231743784854E-5</v>
      </c>
      <c r="C27" s="28">
        <v>0.17239640373585116</v>
      </c>
      <c r="D27" s="29">
        <f t="shared" si="5"/>
        <v>9.8775863372976502</v>
      </c>
      <c r="F27" s="13">
        <v>1.302</v>
      </c>
      <c r="G27" s="18">
        <v>0.1231</v>
      </c>
      <c r="H27" s="18">
        <f t="shared" si="11"/>
        <v>0.12467210925672442</v>
      </c>
      <c r="I27" s="14">
        <f t="shared" si="12"/>
        <v>142.00195987710399</v>
      </c>
      <c r="J27" s="47">
        <f t="shared" si="6"/>
        <v>52.642397477034805</v>
      </c>
      <c r="K27" s="13">
        <f t="shared" si="7"/>
        <v>0.15830632397912017</v>
      </c>
      <c r="L27" s="48">
        <f t="shared" si="8"/>
        <v>3043.4932330717602</v>
      </c>
      <c r="M27" s="48">
        <f t="shared" si="9"/>
        <v>7648.2355290203341</v>
      </c>
      <c r="N27" s="48">
        <f t="shared" si="13"/>
        <v>4604.7422959485739</v>
      </c>
      <c r="O27" s="14">
        <f t="shared" si="10"/>
        <v>7.6265298140798201</v>
      </c>
      <c r="P27" s="14">
        <f t="shared" si="14"/>
        <v>8.3299995123073014</v>
      </c>
      <c r="Q27" s="14">
        <v>10.574999999999999</v>
      </c>
    </row>
    <row r="28" spans="1:17" x14ac:dyDescent="0.25">
      <c r="A28" s="30">
        <v>6</v>
      </c>
      <c r="B28" s="31">
        <f>I5*SIN(C27+C28-C$14)+0.5*C$16*C$4*C$2*(C28-C$5)*G5^2*COS(C27)-0.5*C$16*C$4*(C$8+1/PI()/C$7*C$2^2*(C28-C$5)^2)/SQRT(1-H5^2)*G5^2*SIN(C27)-C$11</f>
        <v>5.8207660913467407E-11</v>
      </c>
      <c r="C28" s="32">
        <v>7.0226579601255154E-2</v>
      </c>
      <c r="D28" s="33">
        <f t="shared" si="5"/>
        <v>4.0236866207914401</v>
      </c>
      <c r="F28" s="13">
        <v>1.1930000000000001</v>
      </c>
      <c r="G28" s="18">
        <v>0.1061</v>
      </c>
      <c r="H28" s="18">
        <f t="shared" si="11"/>
        <v>0.10758140832971608</v>
      </c>
      <c r="I28" s="14">
        <f t="shared" si="12"/>
        <v>146.70566370415551</v>
      </c>
      <c r="J28" s="47">
        <f t="shared" si="6"/>
        <v>54.994711776505412</v>
      </c>
      <c r="K28" s="13">
        <f t="shared" si="7"/>
        <v>0.16538020828986352</v>
      </c>
      <c r="L28" s="48">
        <f t="shared" si="8"/>
        <v>2866.2284282607102</v>
      </c>
      <c r="M28" s="48">
        <f t="shared" si="9"/>
        <v>7626.5140942537291</v>
      </c>
      <c r="N28" s="48">
        <f t="shared" si="13"/>
        <v>4760.2856659930185</v>
      </c>
      <c r="O28" s="14">
        <f t="shared" si="10"/>
        <v>8.2364473822100202</v>
      </c>
      <c r="P28" s="14">
        <f t="shared" si="14"/>
        <v>8.6134814192828628</v>
      </c>
      <c r="Q28" s="14">
        <v>9.5760000000000005</v>
      </c>
    </row>
    <row r="29" spans="1:17" x14ac:dyDescent="0.25">
      <c r="A29" s="34">
        <v>7</v>
      </c>
      <c r="B29" s="27">
        <f>-I6*COS(C29+C30-C$14)+0.5*C$16*C$4*C$2*(C30-C$5)*G6^2*SIN(C29)+0.5*C$16*C$4*(C$8+1/PI()/C$7*C$2^2*(C30-C$5)^2)/SQRT(1-H6^2)*G6^2*COS(C29)</f>
        <v>-1.0951293688776786E-5</v>
      </c>
      <c r="C29" s="35">
        <v>0.16947432994857581</v>
      </c>
      <c r="D29" s="36">
        <f t="shared" si="5"/>
        <v>9.7101638418609646</v>
      </c>
      <c r="F29" s="13">
        <v>1.095</v>
      </c>
      <c r="G29" s="18">
        <v>9.1899999999999996E-2</v>
      </c>
      <c r="H29" s="18">
        <f t="shared" si="11"/>
        <v>9.3300618988222478E-2</v>
      </c>
      <c r="I29" s="14">
        <f t="shared" si="12"/>
        <v>150.82499080089298</v>
      </c>
      <c r="J29" s="47">
        <f t="shared" si="6"/>
        <v>57.402934230393036</v>
      </c>
      <c r="K29" s="13">
        <f t="shared" si="7"/>
        <v>0.17262221971544953</v>
      </c>
      <c r="L29" s="48">
        <f t="shared" si="8"/>
        <v>2708.2230083737518</v>
      </c>
      <c r="M29" s="48">
        <f t="shared" si="9"/>
        <v>7604.8996472687086</v>
      </c>
      <c r="N29" s="48">
        <f t="shared" si="13"/>
        <v>4896.6766388949563</v>
      </c>
      <c r="O29" s="14">
        <f t="shared" si="10"/>
        <v>8.84344543392322</v>
      </c>
      <c r="P29" s="14">
        <f t="shared" si="14"/>
        <v>8.8622322855909577</v>
      </c>
      <c r="Q29" s="14">
        <v>8.6869999999999994</v>
      </c>
    </row>
    <row r="30" spans="1:17" x14ac:dyDescent="0.25">
      <c r="A30" s="37">
        <v>8</v>
      </c>
      <c r="B30" s="31">
        <f>I6*SIN(C29+C30-C$14)+0.5*C$16*C$4*C$2*(C30-C$5)*G6^2*COS(C29)-0.5*C$16*C$4*(C$8+1/PI()/C$7*C$2^2*(C30-C$5)^2)/SQRT(1-H6^2)*G6^2*SIN(C29)-C$11</f>
        <v>0</v>
      </c>
      <c r="C30" s="38">
        <v>4.5220692805776098E-2</v>
      </c>
      <c r="D30" s="39">
        <f t="shared" si="5"/>
        <v>2.5909548444285755</v>
      </c>
      <c r="F30" s="13">
        <v>0.997</v>
      </c>
      <c r="G30" s="18">
        <v>7.9399999999999998E-2</v>
      </c>
      <c r="H30" s="18">
        <f t="shared" si="11"/>
        <v>8.073206737545717E-2</v>
      </c>
      <c r="I30" s="14">
        <f t="shared" si="12"/>
        <v>152.05241663970384</v>
      </c>
      <c r="J30" s="47">
        <f t="shared" si="6"/>
        <v>60.158025431899048</v>
      </c>
      <c r="K30" s="13">
        <f t="shared" si="7"/>
        <v>0.18090733553920932</v>
      </c>
      <c r="L30" s="48">
        <f t="shared" si="8"/>
        <v>2573.7415469292687</v>
      </c>
      <c r="M30" s="48">
        <f t="shared" si="9"/>
        <v>7580.9453033195414</v>
      </c>
      <c r="N30" s="48">
        <f t="shared" si="13"/>
        <v>5007.2037563902722</v>
      </c>
      <c r="O30" s="14">
        <f t="shared" si="10"/>
        <v>9.4770859578795399</v>
      </c>
      <c r="P30" s="14">
        <f t="shared" si="14"/>
        <v>9.0639358298498749</v>
      </c>
      <c r="Q30" s="14">
        <v>8.0169999999999995</v>
      </c>
    </row>
    <row r="31" spans="1:17" x14ac:dyDescent="0.25">
      <c r="A31" s="26">
        <v>9</v>
      </c>
      <c r="B31" s="27">
        <f>-I7*COS(C31+C32-C$14)+0.5*C$16*C$4*C$2*(C32-C$5)*G7^2*SIN(C31)+0.5*C$16*C$4*(C$8+1/PI()/C$7*C$2^2*(C32-C$5)^2)/SQRT(1-H7^2)*G7^2*COS(C31)</f>
        <v>6.7889108322560787E-5</v>
      </c>
      <c r="C31" s="28">
        <v>0.16120539270603773</v>
      </c>
      <c r="D31" s="29">
        <f t="shared" si="5"/>
        <v>9.2363886368049872</v>
      </c>
      <c r="F31" s="13">
        <v>0.80100000000000005</v>
      </c>
      <c r="G31" s="18">
        <v>5.7599999999999998E-2</v>
      </c>
      <c r="H31" s="18">
        <f t="shared" si="11"/>
        <v>5.8810292365043419E-2</v>
      </c>
      <c r="I31" s="14">
        <f t="shared" si="12"/>
        <v>148.5904409173144</v>
      </c>
      <c r="J31" s="47">
        <f t="shared" si="6"/>
        <v>67.115818986986241</v>
      </c>
      <c r="K31" s="13">
        <f t="shared" si="7"/>
        <v>0.20183082636600877</v>
      </c>
      <c r="L31" s="48">
        <f t="shared" si="8"/>
        <v>2333.6452642290719</v>
      </c>
      <c r="M31" s="48">
        <f t="shared" si="9"/>
        <v>7524.1241577962555</v>
      </c>
      <c r="N31" s="48">
        <f t="shared" si="13"/>
        <v>5190.4788935671841</v>
      </c>
      <c r="O31" s="14">
        <f t="shared" si="10"/>
        <v>10.960195626673077</v>
      </c>
      <c r="P31" s="14">
        <f t="shared" si="14"/>
        <v>9.3986500491109783</v>
      </c>
      <c r="Q31" s="14">
        <v>6.1310000000000002</v>
      </c>
    </row>
    <row r="32" spans="1:17" x14ac:dyDescent="0.25">
      <c r="A32" s="30">
        <v>10</v>
      </c>
      <c r="B32" s="31">
        <f>I7*SIN(C31+C32-C$14)+0.5*C$16*C$4*C$2*(C32-C$5)*G7^2*COS(C31)-0.5*C$16*C$4*(C$8+1/PI()/C$7*C$2^2*(C32-C$5)^2)/SQRT(1-H7^2)*G7^2*SIN(C31)-C$11</f>
        <v>-2.9067450668662786E-9</v>
      </c>
      <c r="C32" s="32">
        <v>2.7930640739182087E-2</v>
      </c>
      <c r="D32" s="33">
        <f t="shared" si="5"/>
        <v>1.6003078334512915</v>
      </c>
      <c r="F32" s="13">
        <v>0.61099999999999999</v>
      </c>
      <c r="G32" s="18">
        <v>4.0599999999999997E-2</v>
      </c>
      <c r="H32" s="18">
        <f t="shared" si="11"/>
        <v>4.1729529682456377E-2</v>
      </c>
      <c r="I32" s="14">
        <f t="shared" si="12"/>
        <v>130.98955018412488</v>
      </c>
      <c r="J32" s="47">
        <f t="shared" si="6"/>
        <v>76.845872694860617</v>
      </c>
      <c r="K32" s="13">
        <f t="shared" si="7"/>
        <v>0.23109106352152523</v>
      </c>
      <c r="L32" s="48">
        <f t="shared" si="8"/>
        <v>2170.7824275598468</v>
      </c>
      <c r="M32" s="48">
        <f t="shared" si="9"/>
        <v>7453.490434096203</v>
      </c>
      <c r="N32" s="48">
        <f t="shared" si="13"/>
        <v>5282.7080065363562</v>
      </c>
      <c r="O32" s="14">
        <f t="shared" si="10"/>
        <v>12.772124279659636</v>
      </c>
      <c r="P32" s="14">
        <f t="shared" si="14"/>
        <v>9.5672092552942356</v>
      </c>
      <c r="Q32" s="14">
        <v>4.5730000000000004</v>
      </c>
    </row>
    <row r="33" spans="1:17" x14ac:dyDescent="0.25">
      <c r="A33" s="34">
        <v>11</v>
      </c>
      <c r="B33" s="27">
        <f>-I8*COS(C33+C34-C$14)+0.5*C$16*C$4*C$2*(C34-C$5)*G8^2*SIN(C33)+0.5*C$16*C$4*(C$8+1/PI()/C$7*C$2^2*(C34-C$5)^2)/SQRT(1-H8^2)*G8^2*COS(C33)</f>
        <v>-1.1880229067173786E-6</v>
      </c>
      <c r="C33" s="35">
        <v>0.15011485772852318</v>
      </c>
      <c r="D33" s="36">
        <f t="shared" si="5"/>
        <v>8.600947790051185</v>
      </c>
      <c r="F33" s="13">
        <v>0.49099999999999999</v>
      </c>
      <c r="G33" s="18">
        <v>3.1699999999999999E-2</v>
      </c>
      <c r="H33" s="18">
        <f t="shared" si="11"/>
        <v>3.2808892848855943E-2</v>
      </c>
      <c r="I33" s="14">
        <f t="shared" si="12"/>
        <v>109.96673381980925</v>
      </c>
      <c r="J33" s="47">
        <f t="shared" si="6"/>
        <v>85.723600970367059</v>
      </c>
      <c r="K33" s="13">
        <f t="shared" si="7"/>
        <v>0.2577881859159607</v>
      </c>
      <c r="L33" s="48">
        <f t="shared" si="8"/>
        <v>2123.8512706011747</v>
      </c>
      <c r="M33" s="48">
        <f t="shared" si="9"/>
        <v>7398.0246098218031</v>
      </c>
      <c r="N33" s="48">
        <f t="shared" si="13"/>
        <v>5274.1733392206279</v>
      </c>
      <c r="O33" s="14">
        <f t="shared" si="10"/>
        <v>14.224623739315433</v>
      </c>
      <c r="P33" s="14">
        <f t="shared" si="14"/>
        <v>9.5516076920564839</v>
      </c>
      <c r="Q33" s="14">
        <v>3.3540000000000001</v>
      </c>
    </row>
    <row r="34" spans="1:17" x14ac:dyDescent="0.25">
      <c r="A34" s="37">
        <v>12</v>
      </c>
      <c r="B34" s="31">
        <f>I8*SIN(C33+C34-C$14)+0.5*C$16*C$4*C$2*(C34-C$5)*G8^2*COS(C33)-0.5*C$16*C$4*(C$8+1/PI()/C$7*C$2^2*(C34-C$5)^2)/SQRT(1-H8^2)*G8^2*SIN(C33)-C$11</f>
        <v>0</v>
      </c>
      <c r="C34" s="38">
        <v>1.7045758643658596E-2</v>
      </c>
      <c r="D34" s="39">
        <f t="shared" si="5"/>
        <v>0.97665002888028007</v>
      </c>
      <c r="F34" s="13">
        <v>0.38800000000000001</v>
      </c>
      <c r="G34" s="18">
        <v>2.52E-2</v>
      </c>
      <c r="H34" s="18">
        <f t="shared" si="11"/>
        <v>2.633149900995466E-2</v>
      </c>
      <c r="I34" s="14">
        <f t="shared" si="12"/>
        <v>84.244975783912906</v>
      </c>
      <c r="J34" s="47">
        <f t="shared" si="6"/>
        <v>96.43291375426584</v>
      </c>
      <c r="K34" s="13">
        <f t="shared" si="7"/>
        <v>0.28999325294204381</v>
      </c>
      <c r="L34" s="48">
        <f t="shared" si="8"/>
        <v>2157.0383946701104</v>
      </c>
      <c r="M34" s="48">
        <f t="shared" si="9"/>
        <v>7342.5190132519374</v>
      </c>
      <c r="N34" s="48">
        <f t="shared" si="13"/>
        <v>5185.480618581827</v>
      </c>
      <c r="O34" s="14">
        <f t="shared" si="10"/>
        <v>15.732592254883478</v>
      </c>
      <c r="P34" s="14">
        <f t="shared" si="14"/>
        <v>9.3895174901937484</v>
      </c>
      <c r="Q34" s="14">
        <v>2.5739999999999998</v>
      </c>
    </row>
    <row r="35" spans="1:17" x14ac:dyDescent="0.25">
      <c r="A35" s="26">
        <v>13</v>
      </c>
      <c r="B35" s="27">
        <f>-I9*COS(C35+C36-C$14)+0.5*C$16*C$4*C$2*(C36-C$5)*G9^2*SIN(C35)+0.5*C$16*C$4*(C$8+1/PI()/C$7*C$2^2*(C36-C$5)^2)/SQRT(1-H9^2)*G9^2*COS(C35)</f>
        <v>8.982098734122701E-6</v>
      </c>
      <c r="C35" s="28">
        <v>0.13631107038670803</v>
      </c>
      <c r="D35" s="29">
        <f t="shared" si="5"/>
        <v>7.8100490340690687</v>
      </c>
      <c r="F35" s="13">
        <v>0.246</v>
      </c>
      <c r="G35" s="18">
        <v>1.8800000000000001E-2</v>
      </c>
      <c r="H35" s="18">
        <f t="shared" si="11"/>
        <v>2.0186359025518498E-2</v>
      </c>
      <c r="I35" s="14">
        <f t="shared" si="12"/>
        <v>36.533336326050119</v>
      </c>
      <c r="J35" s="47">
        <f t="shared" si="6"/>
        <v>121.10821371837065</v>
      </c>
      <c r="K35" s="13">
        <f t="shared" si="7"/>
        <v>0.36419686481408381</v>
      </c>
      <c r="L35" s="48">
        <f t="shared" si="8"/>
        <v>2608.1760561410169</v>
      </c>
      <c r="M35" s="48">
        <f t="shared" si="9"/>
        <v>7262.0949667593732</v>
      </c>
      <c r="N35" s="48">
        <f t="shared" si="13"/>
        <v>4653.9189106183567</v>
      </c>
      <c r="O35" s="14">
        <f t="shared" si="10"/>
        <v>17.732843975507944</v>
      </c>
      <c r="P35" s="14">
        <f t="shared" si="14"/>
        <v>8.4196026591168174</v>
      </c>
      <c r="Q35" s="14">
        <v>1.242</v>
      </c>
    </row>
    <row r="36" spans="1:17" x14ac:dyDescent="0.25">
      <c r="A36" s="30">
        <v>14</v>
      </c>
      <c r="B36" s="31">
        <f>I9*SIN(C35+C36-C$14)+0.5*C$16*C$4*C$2*(C36-C$5)*G9^2*COS(C35)-0.5*C$16*C$4*(C$8+1/PI()/C$7*C$2^2*(C36-C$5)^2)/SQRT(1-H9^2)*G9^2*SIN(C35)-C$11</f>
        <v>1.6589183360338211E-9</v>
      </c>
      <c r="C36" s="32">
        <v>9.2267644729450895E-3</v>
      </c>
      <c r="D36" s="33">
        <f t="shared" si="5"/>
        <v>0.52865466286100304</v>
      </c>
      <c r="F36" s="13">
        <v>0.2</v>
      </c>
      <c r="G36" s="18">
        <v>1.7500000000000002E-2</v>
      </c>
      <c r="H36" s="18">
        <f t="shared" si="11"/>
        <v>1.9129926723217672E-2</v>
      </c>
      <c r="I36" s="14">
        <f t="shared" si="12"/>
        <v>21.86066525260534</v>
      </c>
      <c r="J36" s="47">
        <f t="shared" si="6"/>
        <v>134.31550654696235</v>
      </c>
      <c r="K36" s="13">
        <f t="shared" si="7"/>
        <v>0.4039138624740452</v>
      </c>
      <c r="L36" s="48">
        <f t="shared" si="8"/>
        <v>3040.1662147071988</v>
      </c>
      <c r="M36" s="48">
        <f t="shared" si="9"/>
        <v>7246.2480638854977</v>
      </c>
      <c r="N36" s="48">
        <f t="shared" si="13"/>
        <v>4206.0818491782993</v>
      </c>
      <c r="O36" s="14">
        <f t="shared" si="10"/>
        <v>17.77419155781979</v>
      </c>
      <c r="P36" s="14">
        <f t="shared" si="14"/>
        <v>7.6043498531875633</v>
      </c>
      <c r="Q36" s="14">
        <v>0.68799999999999994</v>
      </c>
    </row>
    <row r="37" spans="1:17" x14ac:dyDescent="0.25">
      <c r="A37" s="34">
        <v>15</v>
      </c>
      <c r="B37" s="27">
        <f>-I10*COS(C37+C38-C$14)+0.5*C$16*C$4*C$2*(C38-C$5)*G10^2*SIN(C37)+0.5*C$16*C$4*(C$8+1/PI()/C$7*C$2^2*(C38-C$5)^2)/SQRT(1-H10^2)*G10^2*COS(C37)</f>
        <v>1.3621734069602098E-6</v>
      </c>
      <c r="C37" s="35">
        <v>0.11862850056905359</v>
      </c>
      <c r="D37" s="36">
        <f t="shared" si="5"/>
        <v>6.7969124125720555</v>
      </c>
      <c r="F37" s="13">
        <v>0.151</v>
      </c>
      <c r="G37" s="18">
        <v>1.6299999999999999E-2</v>
      </c>
      <c r="H37" s="18">
        <f t="shared" si="11"/>
        <v>1.8410006272309612E-2</v>
      </c>
      <c r="I37" s="14">
        <f t="shared" si="12"/>
        <v>10.15834524775588</v>
      </c>
      <c r="J37" s="47">
        <f t="shared" si="6"/>
        <v>154.57977772254398</v>
      </c>
      <c r="K37" s="13">
        <f t="shared" si="7"/>
        <v>0.46485261966727226</v>
      </c>
      <c r="L37" s="48">
        <f t="shared" si="8"/>
        <v>3875.1722076926999</v>
      </c>
      <c r="M37" s="48">
        <f t="shared" si="9"/>
        <v>7258.807335481345</v>
      </c>
      <c r="N37" s="48">
        <f t="shared" si="13"/>
        <v>3383.6351277886451</v>
      </c>
      <c r="O37" s="14">
        <f t="shared" si="10"/>
        <v>16.455920701594508</v>
      </c>
      <c r="P37" s="14">
        <f t="shared" si="14"/>
        <v>6.1110504453636878</v>
      </c>
      <c r="Q37" s="14">
        <v>0.23699999999999999</v>
      </c>
    </row>
    <row r="38" spans="1:17" x14ac:dyDescent="0.25">
      <c r="A38" s="37">
        <v>16</v>
      </c>
      <c r="B38" s="31">
        <f>I10*SIN(C37+C38-C$14)+0.5*C$16*C$4*C$2*(C38-C$5)*G10^2*COS(C37)-0.5*C$16*C$4*(C$8+1/PI()/C$7*C$2^2*(C38-C$5)^2)/SQRT(1-H10^2)*G10^2*SIN(C37)-C$11</f>
        <v>1.3096723705530167E-10</v>
      </c>
      <c r="C38" s="38">
        <v>3.0372539549991481E-3</v>
      </c>
      <c r="D38" s="39">
        <f t="shared" si="5"/>
        <v>0.17402183293086845</v>
      </c>
      <c r="F38" s="13">
        <v>0.12</v>
      </c>
      <c r="G38" s="18">
        <v>1.61E-2</v>
      </c>
      <c r="H38" s="18">
        <f t="shared" si="11"/>
        <v>1.8868333587532336E-2</v>
      </c>
      <c r="I38" s="14">
        <f t="shared" si="12"/>
        <v>4.8537415381340931</v>
      </c>
      <c r="J38" s="47">
        <f t="shared" si="6"/>
        <v>173.40057333126614</v>
      </c>
      <c r="K38" s="13">
        <f t="shared" si="7"/>
        <v>0.52145055422142994</v>
      </c>
      <c r="L38" s="48">
        <f t="shared" si="8"/>
        <v>4997.6555173296911</v>
      </c>
      <c r="M38" s="48">
        <f t="shared" si="9"/>
        <v>7310.4624861842904</v>
      </c>
      <c r="N38" s="48">
        <f t="shared" si="13"/>
        <v>2312.8069688545993</v>
      </c>
      <c r="O38" s="14">
        <f t="shared" si="10"/>
        <v>12.617575112443062</v>
      </c>
      <c r="P38" s="14">
        <f t="shared" si="14"/>
        <v>4.1728425651410506</v>
      </c>
      <c r="Q38" s="14">
        <v>-3.9E-2</v>
      </c>
    </row>
    <row r="39" spans="1:17" x14ac:dyDescent="0.25">
      <c r="A39" s="26">
        <v>17</v>
      </c>
      <c r="B39" s="27">
        <f>-I11*COS(C39+C40-C$14)+0.5*C$16*C$4*C$2*(C40-C$5)*G11^2*SIN(C39)+0.5*C$16*C$4*(C$8+1/PI()/C$7*C$2^2*(C40-C$5)^2)/SQRT(1-H11^2)*G11^2*COS(C39)</f>
        <v>1.3035586653131759E-4</v>
      </c>
      <c r="C39" s="28">
        <v>9.7980666189832005E-2</v>
      </c>
      <c r="D39" s="29">
        <f t="shared" si="5"/>
        <v>5.6138786465575343</v>
      </c>
      <c r="F39" s="13">
        <v>9.4E-2</v>
      </c>
      <c r="G39" s="18">
        <v>1.5699999999999999E-2</v>
      </c>
      <c r="H39" s="18">
        <f t="shared" si="11"/>
        <v>1.9430455238531014E-2</v>
      </c>
      <c r="I39" s="14">
        <f t="shared" si="12"/>
        <v>2.1999743083067629</v>
      </c>
      <c r="J39" s="47">
        <f t="shared" si="6"/>
        <v>195.91930220508064</v>
      </c>
      <c r="K39" s="13">
        <f t="shared" si="7"/>
        <v>0.58916892115658348</v>
      </c>
      <c r="L39" s="48">
        <f t="shared" si="8"/>
        <v>6570.057037059205</v>
      </c>
      <c r="M39" s="48">
        <f t="shared" si="9"/>
        <v>7422.8747019820375</v>
      </c>
      <c r="N39" s="48">
        <f t="shared" si="13"/>
        <v>852.81766492283259</v>
      </c>
      <c r="O39" s="14">
        <f t="shared" si="10"/>
        <v>5.2567750789647629</v>
      </c>
      <c r="P39" s="14">
        <f t="shared" si="14"/>
        <v>1.5375063769229413</v>
      </c>
      <c r="Q39" s="14">
        <v>-0.28000000000000003</v>
      </c>
    </row>
    <row r="40" spans="1:17" x14ac:dyDescent="0.25">
      <c r="A40" s="30">
        <v>18</v>
      </c>
      <c r="B40" s="31">
        <f>I11*SIN(C39+C40-C$14)+0.5*C$16*C$4*C$2*(C40-C$5)*G11^2*COS(C39)-0.5*C$16*C$4*(C$8+1/PI()/C$7*C$2^2*(C40-C$5)^2)/SQRT(1-H11^2)*G11^2*SIN(C39)-C$11</f>
        <v>2.0372681319713593E-10</v>
      </c>
      <c r="C40" s="32">
        <v>-1.5980672026615302E-3</v>
      </c>
      <c r="D40" s="33">
        <f t="shared" si="5"/>
        <v>-9.1562506090783286E-2</v>
      </c>
      <c r="F40" s="13">
        <v>7.9000000000000001E-2</v>
      </c>
      <c r="G40" s="18">
        <v>1.5599999999999999E-2</v>
      </c>
      <c r="H40" s="18">
        <f t="shared" si="11"/>
        <v>2.0361803037671784E-2</v>
      </c>
      <c r="I40" s="14">
        <f t="shared" si="12"/>
        <v>1.1891833216697907</v>
      </c>
      <c r="J40" s="47">
        <f t="shared" si="6"/>
        <v>213.71135922237772</v>
      </c>
      <c r="K40" s="13">
        <f t="shared" si="7"/>
        <v>0.64267323094156148</v>
      </c>
      <c r="L40" s="48">
        <f t="shared" si="8"/>
        <v>8192.2492717794303</v>
      </c>
      <c r="M40" s="48">
        <f t="shared" si="9"/>
        <v>7550.6818445695535</v>
      </c>
      <c r="N40" s="48">
        <f t="shared" si="13"/>
        <v>-641.56742720987677</v>
      </c>
      <c r="O40" s="14">
        <f t="shared" si="10"/>
        <v>-4.3137591680770013</v>
      </c>
      <c r="P40" s="14">
        <f t="shared" si="14"/>
        <v>-1.1565926195738492</v>
      </c>
      <c r="Q40" s="14">
        <v>-0.41699999999999998</v>
      </c>
    </row>
    <row r="41" spans="1:17" x14ac:dyDescent="0.25">
      <c r="A41" s="34">
        <v>19</v>
      </c>
      <c r="B41" s="27">
        <f>-I12*COS(C41+C42-C$14)+0.5*C$16*C$4*C$2*(C42-C$5)*G12^2*SIN(C41)+0.5*C$16*C$4*(C$8+1/PI()/C$7*C$2^2*(C42-C$5)^2)/SQRT(1-H12^2)*G12^2*COS(C41)</f>
        <v>4.6176881369319744E-5</v>
      </c>
      <c r="C41" s="35">
        <v>7.5924051322561664E-2</v>
      </c>
      <c r="D41" s="36">
        <f t="shared" si="5"/>
        <v>4.3501277043174396</v>
      </c>
      <c r="F41" s="13">
        <v>6.4000000000000001E-2</v>
      </c>
      <c r="G41" s="18">
        <v>1.54E-2</v>
      </c>
      <c r="H41" s="18">
        <f t="shared" si="11"/>
        <v>2.1996241341556724E-2</v>
      </c>
      <c r="I41" s="14">
        <f t="shared" si="12"/>
        <v>0.54180495160104325</v>
      </c>
      <c r="J41" s="47">
        <f t="shared" si="6"/>
        <v>237.438513744658</v>
      </c>
      <c r="K41" s="13">
        <f t="shared" si="7"/>
        <v>0.7140255779266198</v>
      </c>
      <c r="L41" s="48">
        <f t="shared" si="8"/>
        <v>10924.020832758992</v>
      </c>
      <c r="M41" s="48">
        <f t="shared" si="9"/>
        <v>7774.6784072011342</v>
      </c>
      <c r="N41" s="48">
        <f t="shared" si="13"/>
        <v>-3149.3424255578575</v>
      </c>
      <c r="O41" s="14">
        <f t="shared" si="10"/>
        <v>-23.526484212300808</v>
      </c>
      <c r="P41" s="14">
        <f t="shared" si="14"/>
        <v>-5.686456256846494</v>
      </c>
      <c r="Q41" s="14">
        <v>-0.55500000000000005</v>
      </c>
    </row>
    <row r="42" spans="1:17" x14ac:dyDescent="0.25">
      <c r="A42" s="37">
        <v>20</v>
      </c>
      <c r="B42" s="31">
        <f>I12*SIN(C41+C42-C$14)+0.5*C$16*C$4*C$2*(C42-C$5)*G12^2*COS(C41)-0.5*C$16*C$4*(C$8+1/PI()/C$7*C$2^2*(C42-C$5)^2)/SQRT(1-H12^2)*G12^2*SIN(C41)-C$11</f>
        <v>3.0195224098861217E-10</v>
      </c>
      <c r="C42" s="38">
        <v>-4.9358174717275575E-3</v>
      </c>
      <c r="D42" s="39">
        <f t="shared" si="5"/>
        <v>-0.28280150957692157</v>
      </c>
      <c r="F42" s="13">
        <v>5.2999999999999999E-2</v>
      </c>
      <c r="G42" s="18">
        <v>1.5299999999999999E-2</v>
      </c>
      <c r="H42" s="18">
        <f t="shared" si="11"/>
        <v>2.467892247053724E-2</v>
      </c>
      <c r="I42" s="14">
        <f t="shared" si="12"/>
        <v>0.24444165841253057</v>
      </c>
      <c r="J42" s="47">
        <f t="shared" si="6"/>
        <v>260.91750520883818</v>
      </c>
      <c r="K42" s="13">
        <f t="shared" si="7"/>
        <v>0.78463164846231281</v>
      </c>
      <c r="L42" s="48">
        <f t="shared" si="8"/>
        <v>14800.089497595171</v>
      </c>
      <c r="M42" s="48">
        <f t="shared" si="9"/>
        <v>8056.5862082158401</v>
      </c>
      <c r="N42" s="48">
        <f t="shared" si="13"/>
        <v>-6743.5032893793305</v>
      </c>
      <c r="O42" s="14">
        <f t="shared" si="10"/>
        <v>-55.357283907591416</v>
      </c>
      <c r="P42" s="14">
        <f t="shared" si="14"/>
        <v>-12.249194422557752</v>
      </c>
      <c r="Q42" s="14">
        <v>-0.65800000000000003</v>
      </c>
    </row>
    <row r="43" spans="1:17" x14ac:dyDescent="0.25">
      <c r="A43" s="26">
        <v>21</v>
      </c>
      <c r="B43" s="27">
        <f>-I13*COS(C43+C44-C$14)+0.5*C$16*C$4*C$2*(C44-C$5)*G13^2*SIN(C43)+0.5*C$16*C$4*(C$8+1/PI()/C$7*C$2^2*(C44-C$5)^2)/SQRT(1-H13^2)*G13^2*COS(C43)</f>
        <v>1.0572734026936814E-5</v>
      </c>
      <c r="C43" s="28">
        <v>4.8618550090217975E-2</v>
      </c>
      <c r="D43" s="29">
        <f t="shared" si="5"/>
        <v>2.7856377262148779</v>
      </c>
      <c r="F43" s="13">
        <v>4.4999999999999998E-2</v>
      </c>
      <c r="G43" s="18">
        <v>1.55E-2</v>
      </c>
      <c r="H43" s="18">
        <f t="shared" si="11"/>
        <v>2.9562454905947399E-2</v>
      </c>
      <c r="I43" s="14">
        <f t="shared" si="12"/>
        <v>0.10426932211873355</v>
      </c>
      <c r="J43" s="47">
        <f t="shared" si="6"/>
        <v>283.16195051177249</v>
      </c>
      <c r="K43" s="13">
        <f t="shared" si="7"/>
        <v>0.85152518928933074</v>
      </c>
      <c r="L43" s="48">
        <f t="shared" si="8"/>
        <v>20880.553149168769</v>
      </c>
      <c r="M43" s="48">
        <f t="shared" si="9"/>
        <v>8378.9638407783114</v>
      </c>
      <c r="N43" s="48">
        <f t="shared" si="13"/>
        <v>-12501.589308390458</v>
      </c>
      <c r="O43" s="14">
        <f t="shared" si="10"/>
        <v>-111.37458668595167</v>
      </c>
      <c r="P43" s="14">
        <f t="shared" si="14"/>
        <v>-23.161530218468361</v>
      </c>
      <c r="Q43" s="14">
        <v>-0.754</v>
      </c>
    </row>
    <row r="44" spans="1:17" ht="15.6" thickBot="1" x14ac:dyDescent="0.3">
      <c r="A44" s="30">
        <v>22</v>
      </c>
      <c r="B44" s="31">
        <f>I13*SIN(C43+C44-C$14)+0.5*C$16*C$4*C$2*(C44-C$5)*G13^2*COS(C43)-0.5*C$16*C$4*(C$8+1/PI()/C$7*C$2^2*(C44-C$5)^2)/SQRT(1-H13^2)*G13^2*SIN(C43)-C$11</f>
        <v>1.2005330063402653E-10</v>
      </c>
      <c r="C44" s="32">
        <v>-7.785527796046997E-3</v>
      </c>
      <c r="D44" s="33">
        <f t="shared" si="5"/>
        <v>-0.44607788399528248</v>
      </c>
    </row>
    <row r="45" spans="1:17" ht="18.600000000000001" thickBot="1" x14ac:dyDescent="0.3">
      <c r="A45" s="34">
        <v>23</v>
      </c>
      <c r="B45" s="27">
        <f>-I14*COS(C45+C46-C$14)+0.5*C$16*C$4*C$2*(C46-C$5)*G14^2*SIN(C45)+0.5*C$16*C$4*(C$8+1/PI()/C$7*C$2^2*(C46-C$5)^2)/SQRT(1-H14^2)*G14^2*COS(C45)</f>
        <v>3.0620968027506024E-4</v>
      </c>
      <c r="C45" s="35">
        <v>1.4461158082577967E-2</v>
      </c>
      <c r="D45" s="36">
        <f t="shared" si="5"/>
        <v>0.8285633250032155</v>
      </c>
      <c r="F45" s="143" t="s">
        <v>189</v>
      </c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5"/>
    </row>
    <row r="46" spans="1:17" ht="18.600000000000001" thickBot="1" x14ac:dyDescent="0.3">
      <c r="A46" s="37">
        <v>24</v>
      </c>
      <c r="B46" s="31">
        <f>I14*SIN(C45+C46-C$14)+0.5*C$16*C$4*C$2*(C46-C$5)*G14^2*COS(C45)-0.5*C$16*C$4*(C$8+1/PI()/C$7*C$2^2*(C46-C$5)^2)/SQRT(1-H14^2)*G14^2*SIN(C45)-C$11</f>
        <v>-4.2434445749677252E-3</v>
      </c>
      <c r="C46" s="38">
        <v>-1.0214798028755846E-2</v>
      </c>
      <c r="D46" s="39">
        <f t="shared" si="5"/>
        <v>-0.58526481562626287</v>
      </c>
      <c r="F46" s="98" t="s">
        <v>1</v>
      </c>
      <c r="G46" s="98" t="s">
        <v>7</v>
      </c>
      <c r="H46" s="98" t="s">
        <v>109</v>
      </c>
      <c r="I46" s="98" t="s">
        <v>2</v>
      </c>
      <c r="J46" s="98" t="s">
        <v>63</v>
      </c>
      <c r="K46" s="98" t="s">
        <v>53</v>
      </c>
      <c r="L46" s="98" t="s">
        <v>67</v>
      </c>
      <c r="M46" s="98" t="s">
        <v>65</v>
      </c>
      <c r="N46" s="98" t="s">
        <v>68</v>
      </c>
      <c r="O46" s="98" t="s">
        <v>64</v>
      </c>
      <c r="P46" s="98" t="s">
        <v>84</v>
      </c>
      <c r="Q46" s="98" t="s">
        <v>66</v>
      </c>
    </row>
    <row r="47" spans="1:17" x14ac:dyDescent="0.25">
      <c r="A47" s="26">
        <v>25</v>
      </c>
      <c r="B47" s="27">
        <f>-I15*COS(C47+C48-C$14)+0.5*C$16*C$4*C$2*(C48-C$5)*G15^2*SIN(C47)+0.5*C$16*C$4*(C$8+1/PI()/C$7*C$2^2*(C48-C$5)^2)/SQRT(1-H15^2)*G15^2*COS(C47)</f>
        <v>-4.3450441444292665E-4</v>
      </c>
      <c r="C47" s="28">
        <v>-2.0247977836495779E-2</v>
      </c>
      <c r="D47" s="29">
        <f t="shared" si="5"/>
        <v>-1.1601236737056397</v>
      </c>
      <c r="F47" s="107">
        <f>F25</f>
        <v>1.405</v>
      </c>
      <c r="G47" s="109">
        <f t="shared" ref="G47:Q47" si="15">G25</f>
        <v>0.1406</v>
      </c>
      <c r="H47" s="101">
        <f>G47/SQRT(1-K47^2)</f>
        <v>0.14257584608567159</v>
      </c>
      <c r="I47" s="43">
        <f>F47^3/H47^2</f>
        <v>136.4385382007226</v>
      </c>
      <c r="J47" s="44">
        <f>SQRT((2*C$20)/(C$4*C$16*F47))</f>
        <v>55.16912514149616</v>
      </c>
      <c r="K47" s="42">
        <f>J47/C$19</f>
        <v>0.16590470451320818</v>
      </c>
      <c r="L47" s="46">
        <f>C$20*SQRT((2*C$20)/(C$16*C$4*I47))/J47</f>
        <v>3822.6969056125863</v>
      </c>
      <c r="M47" s="46">
        <f>C$17*(1-0.605*K47+0.725*K47^2)</f>
        <v>7624.9275068064835</v>
      </c>
      <c r="N47" s="46">
        <f>(M47-L47)</f>
        <v>3802.2306011938972</v>
      </c>
      <c r="O47" s="43">
        <f>N47/C$20*J47</f>
        <v>5.5684499196741282</v>
      </c>
      <c r="P47" s="43">
        <f>DEGREES(ASIN(O47/J47))</f>
        <v>5.7929667324693073</v>
      </c>
      <c r="Q47" s="107">
        <f t="shared" si="15"/>
        <v>12.989000000000001</v>
      </c>
    </row>
    <row r="48" spans="1:17" x14ac:dyDescent="0.25">
      <c r="A48" s="30">
        <v>26</v>
      </c>
      <c r="B48" s="31">
        <f>I15*SIN(C47+C48-C$14)+0.5*C$16*C$4*C$2*(C48-C$5)*G15^2*COS(C47)-0.5*C$16*C$4*(C$8+1/PI()/C$7*C$2^2*(C48-C$5)^2)/SQRT(1-H15^2)*G15^2*SIN(C47)-C$11</f>
        <v>-5.9285852330503985E-5</v>
      </c>
      <c r="C48" s="32">
        <v>-1.1933899305301927E-2</v>
      </c>
      <c r="D48" s="33">
        <f t="shared" si="5"/>
        <v>-0.68376206332790557</v>
      </c>
      <c r="F48" s="108">
        <f t="shared" ref="F48:Q63" si="16">F26</f>
        <v>1.3560000000000001</v>
      </c>
      <c r="G48" s="12">
        <f t="shared" si="16"/>
        <v>0.13239999999999999</v>
      </c>
      <c r="H48" s="18">
        <f t="shared" ref="H48:H65" si="17">G48/SQRT(1-K48^2)</f>
        <v>0.13432932293213554</v>
      </c>
      <c r="I48" s="14">
        <f t="shared" ref="I48:I65" si="18">F48^3/H48^2</f>
        <v>138.17752742903559</v>
      </c>
      <c r="J48" s="47">
        <f t="shared" ref="J48:J65" si="19">SQRT((2*C$20)/(C$4*C$16*F48))</f>
        <v>56.157066647218301</v>
      </c>
      <c r="K48" s="13">
        <f t="shared" ref="K48:K65" si="20">J48/C$19</f>
        <v>0.16887564420389187</v>
      </c>
      <c r="L48" s="48">
        <f t="shared" ref="L48:L65" si="21">C$20*SQRT((2*C$20)/(C$16*C$4*I48))/J48</f>
        <v>3731.7399163589362</v>
      </c>
      <c r="M48" s="48">
        <f t="shared" ref="M48:M65" si="22">C$17*(1-0.605*K48+0.725*K48^2)</f>
        <v>7616.0029192418642</v>
      </c>
      <c r="N48" s="48">
        <f t="shared" ref="N48:N65" si="23">(M48-L48)</f>
        <v>3884.263002882928</v>
      </c>
      <c r="O48" s="14">
        <f t="shared" ref="O48:O65" si="24">N48/C$20*J48</f>
        <v>5.790456600625979</v>
      </c>
      <c r="P48" s="14">
        <f t="shared" ref="P48:P65" si="25">DEGREES(ASIN(O48/J48))</f>
        <v>5.9183905399334522</v>
      </c>
      <c r="Q48" s="108">
        <f t="shared" si="16"/>
        <v>11.238</v>
      </c>
    </row>
    <row r="49" spans="1:17" x14ac:dyDescent="0.25">
      <c r="A49" s="34">
        <v>27</v>
      </c>
      <c r="B49" s="27">
        <f>-I16*COS(C49+C50-C$14)+0.5*C$16*C$4*C$2*(C50-C$5)*G16^2*SIN(C49)+0.5*C$16*C$4*(C$8+1/PI()/C$7*C$2^2*(C50-C$5)^2)/SQRT(1-H16^2)*G16^2*COS(C49)</f>
        <v>-1.5897411958576413E-3</v>
      </c>
      <c r="C49" s="35">
        <v>-6.4492860724474202E-2</v>
      </c>
      <c r="D49" s="36">
        <f t="shared" si="5"/>
        <v>-3.6951687282374004</v>
      </c>
      <c r="F49" s="108">
        <f t="shared" si="16"/>
        <v>1.302</v>
      </c>
      <c r="G49" s="12">
        <f t="shared" si="16"/>
        <v>0.1231</v>
      </c>
      <c r="H49" s="18">
        <f t="shared" si="17"/>
        <v>0.12496990499506264</v>
      </c>
      <c r="I49" s="14">
        <f t="shared" si="18"/>
        <v>141.32600202764306</v>
      </c>
      <c r="J49" s="47">
        <f t="shared" si="19"/>
        <v>57.309783402449696</v>
      </c>
      <c r="K49" s="13">
        <f t="shared" si="20"/>
        <v>0.17234209635758471</v>
      </c>
      <c r="L49" s="48">
        <f t="shared" si="21"/>
        <v>3615.7191314331853</v>
      </c>
      <c r="M49" s="48">
        <f t="shared" si="22"/>
        <v>7605.7239775569824</v>
      </c>
      <c r="N49" s="48">
        <f t="shared" si="23"/>
        <v>3990.0048461237971</v>
      </c>
      <c r="O49" s="14">
        <f t="shared" si="24"/>
        <v>6.0701854375339641</v>
      </c>
      <c r="P49" s="14">
        <f t="shared" si="25"/>
        <v>6.0801070922742904</v>
      </c>
      <c r="Q49" s="108">
        <f t="shared" si="16"/>
        <v>10.574999999999999</v>
      </c>
    </row>
    <row r="50" spans="1:17" x14ac:dyDescent="0.25">
      <c r="A50" s="37">
        <v>28</v>
      </c>
      <c r="B50" s="31">
        <f>I16*SIN(C49+C50-C$14)+0.5*C$16*C$4*C$2*(C50-C$5)*G16^2*COS(C49)-0.5*C$16*C$4*(C$8+1/PI()/C$7*C$2^2*(C50-C$5)^2)/SQRT(1-H16^2)*G16^2*SIN(C49)-C$11</f>
        <v>-2.8256018777028657E-4</v>
      </c>
      <c r="C50" s="38">
        <v>-1.3485586049633279E-2</v>
      </c>
      <c r="D50" s="39">
        <f t="shared" si="5"/>
        <v>-0.77266716490448717</v>
      </c>
      <c r="F50" s="108">
        <f t="shared" si="16"/>
        <v>1.1930000000000001</v>
      </c>
      <c r="G50" s="12">
        <f t="shared" si="16"/>
        <v>0.1061</v>
      </c>
      <c r="H50" s="18">
        <f t="shared" si="17"/>
        <v>0.10786261422859951</v>
      </c>
      <c r="I50" s="14">
        <f t="shared" si="18"/>
        <v>145.94171557351478</v>
      </c>
      <c r="J50" s="47">
        <f t="shared" si="19"/>
        <v>59.870658846163224</v>
      </c>
      <c r="K50" s="13">
        <f t="shared" si="20"/>
        <v>0.18004316616238497</v>
      </c>
      <c r="L50" s="48">
        <f t="shared" si="21"/>
        <v>3405.8908826798274</v>
      </c>
      <c r="M50" s="48">
        <f t="shared" si="22"/>
        <v>7583.4052818457139</v>
      </c>
      <c r="N50" s="48">
        <f t="shared" si="23"/>
        <v>4177.5143991658861</v>
      </c>
      <c r="O50" s="14">
        <f t="shared" si="24"/>
        <v>6.6394447475310931</v>
      </c>
      <c r="P50" s="14">
        <f t="shared" si="25"/>
        <v>6.366995727986362</v>
      </c>
      <c r="Q50" s="108">
        <f t="shared" si="16"/>
        <v>9.5760000000000005</v>
      </c>
    </row>
    <row r="51" spans="1:17" x14ac:dyDescent="0.25">
      <c r="A51" s="26">
        <v>29</v>
      </c>
      <c r="B51" s="27">
        <f>-I17*COS(C51+C52-C$14)+0.5*C$16*C$4*C$2*(C52-C$5)*G17^2*SIN(C51)+0.5*C$16*C$4*(C$8+1/PI()/C$7*C$2^2*(C52-C$5)^2)/SQRT(1-H17^2)*G17^2*COS(C51)</f>
        <v>-4.5647984916286077E-4</v>
      </c>
      <c r="C51" s="28">
        <v>-0.11408026043928921</v>
      </c>
      <c r="D51" s="29">
        <f t="shared" si="5"/>
        <v>-6.5363174489245219</v>
      </c>
      <c r="F51" s="108">
        <f t="shared" si="16"/>
        <v>1.095</v>
      </c>
      <c r="G51" s="12">
        <f t="shared" si="16"/>
        <v>9.1899999999999996E-2</v>
      </c>
      <c r="H51" s="18">
        <f t="shared" si="17"/>
        <v>9.3567089799529338E-2</v>
      </c>
      <c r="I51" s="14">
        <f t="shared" si="18"/>
        <v>149.967141565389</v>
      </c>
      <c r="J51" s="47">
        <f t="shared" si="19"/>
        <v>62.492399379113387</v>
      </c>
      <c r="K51" s="13">
        <f t="shared" si="20"/>
        <v>0.18792726958642564</v>
      </c>
      <c r="L51" s="48">
        <f t="shared" si="21"/>
        <v>3218.9129676567945</v>
      </c>
      <c r="M51" s="48">
        <f t="shared" si="22"/>
        <v>7561.2947948576411</v>
      </c>
      <c r="N51" s="48">
        <f t="shared" si="23"/>
        <v>4342.3818272008466</v>
      </c>
      <c r="O51" s="14">
        <f t="shared" si="24"/>
        <v>7.2036893529678316</v>
      </c>
      <c r="P51" s="14">
        <f t="shared" si="25"/>
        <v>6.6193742840196466</v>
      </c>
      <c r="Q51" s="108">
        <f t="shared" si="16"/>
        <v>8.6869999999999994</v>
      </c>
    </row>
    <row r="52" spans="1:17" x14ac:dyDescent="0.25">
      <c r="A52" s="30">
        <v>30</v>
      </c>
      <c r="B52" s="31">
        <f>I17*SIN(C51+C52-C$14)+0.5*C$16*C$4*C$2*(C52-C$5)*G17^2*COS(C51)-0.5*C$16*C$4*(C$8+1/PI()/C$7*C$2^2*(C52-C$5)^2)/SQRT(1-H17^2)*G17^2*SIN(C51)-C$11</f>
        <v>1.6841799551912118E-3</v>
      </c>
      <c r="C52" s="32">
        <v>-1.4716496146296091E-2</v>
      </c>
      <c r="D52" s="33">
        <f t="shared" si="5"/>
        <v>-0.84319311840330646</v>
      </c>
      <c r="F52" s="108">
        <f t="shared" si="16"/>
        <v>0.997</v>
      </c>
      <c r="G52" s="12">
        <f t="shared" si="16"/>
        <v>7.9399999999999998E-2</v>
      </c>
      <c r="H52" s="18">
        <f t="shared" si="17"/>
        <v>8.0986183703012665E-2</v>
      </c>
      <c r="I52" s="14">
        <f t="shared" si="18"/>
        <v>151.09970150424917</v>
      </c>
      <c r="J52" s="47">
        <f t="shared" si="19"/>
        <v>65.49176277401169</v>
      </c>
      <c r="K52" s="13">
        <f t="shared" si="20"/>
        <v>0.19694696124334576</v>
      </c>
      <c r="L52" s="48">
        <f t="shared" si="21"/>
        <v>3059.9618200260456</v>
      </c>
      <c r="M52" s="48">
        <f t="shared" si="22"/>
        <v>7536.9161754985207</v>
      </c>
      <c r="N52" s="48">
        <f t="shared" si="23"/>
        <v>4476.9543554724751</v>
      </c>
      <c r="O52" s="14">
        <f t="shared" si="24"/>
        <v>7.7833957855154638</v>
      </c>
      <c r="P52" s="14">
        <f t="shared" si="25"/>
        <v>6.8254729450379639</v>
      </c>
      <c r="Q52" s="108">
        <f t="shared" si="16"/>
        <v>8.0169999999999995</v>
      </c>
    </row>
    <row r="53" spans="1:17" x14ac:dyDescent="0.25">
      <c r="F53" s="108">
        <f t="shared" si="16"/>
        <v>0.80100000000000005</v>
      </c>
      <c r="G53" s="12">
        <f t="shared" si="16"/>
        <v>5.7599999999999998E-2</v>
      </c>
      <c r="H53" s="18">
        <f t="shared" si="17"/>
        <v>5.9042906999553516E-2</v>
      </c>
      <c r="I53" s="14">
        <f t="shared" si="18"/>
        <v>147.42192719106473</v>
      </c>
      <c r="J53" s="47">
        <f>SQRT((2*C$20)/(C$4*C$16*F53))</f>
        <v>73.066448972051234</v>
      </c>
      <c r="K53" s="13">
        <f t="shared" si="20"/>
        <v>0.21972557287155159</v>
      </c>
      <c r="L53" s="48">
        <f t="shared" si="21"/>
        <v>2776.7414779475421</v>
      </c>
      <c r="M53" s="48">
        <f t="shared" si="22"/>
        <v>7479.7039042529877</v>
      </c>
      <c r="N53" s="48">
        <f t="shared" si="23"/>
        <v>4702.9624263054457</v>
      </c>
      <c r="O53" s="14">
        <f t="shared" si="24"/>
        <v>9.1219834177264136</v>
      </c>
      <c r="P53" s="14">
        <f t="shared" si="25"/>
        <v>7.1718068698596991</v>
      </c>
      <c r="Q53" s="108">
        <f t="shared" si="16"/>
        <v>6.1310000000000002</v>
      </c>
    </row>
    <row r="54" spans="1:17" x14ac:dyDescent="0.25">
      <c r="F54" s="108">
        <f t="shared" si="16"/>
        <v>0.61099999999999999</v>
      </c>
      <c r="G54" s="12">
        <f t="shared" si="16"/>
        <v>4.0599999999999997E-2</v>
      </c>
      <c r="H54" s="18">
        <f t="shared" si="17"/>
        <v>4.1949234855997303E-2</v>
      </c>
      <c r="I54" s="14">
        <f t="shared" si="18"/>
        <v>129.62105237547289</v>
      </c>
      <c r="J54" s="47">
        <f t="shared" si="19"/>
        <v>83.659189751681339</v>
      </c>
      <c r="K54" s="13">
        <f t="shared" si="20"/>
        <v>0.25158008433103646</v>
      </c>
      <c r="L54" s="48">
        <f>C$20*SQRT((2*C$20)/(C$16*C$4*I54))/J54</f>
        <v>2586.324806414666</v>
      </c>
      <c r="M54" s="48">
        <f t="shared" si="22"/>
        <v>7410.1578840648353</v>
      </c>
      <c r="N54" s="48">
        <f t="shared" si="23"/>
        <v>4823.8330776501698</v>
      </c>
      <c r="O54" s="14">
        <f t="shared" si="24"/>
        <v>10.712866515183606</v>
      </c>
      <c r="P54" s="14">
        <f t="shared" si="25"/>
        <v>7.3571359550047424</v>
      </c>
      <c r="Q54" s="108">
        <f t="shared" si="16"/>
        <v>4.5730000000000004</v>
      </c>
    </row>
    <row r="55" spans="1:17" x14ac:dyDescent="0.25">
      <c r="F55" s="108">
        <f t="shared" si="16"/>
        <v>0.49099999999999999</v>
      </c>
      <c r="G55" s="12">
        <f t="shared" si="16"/>
        <v>3.1699999999999999E-2</v>
      </c>
      <c r="H55" s="18">
        <f t="shared" si="17"/>
        <v>3.3027305824385622E-2</v>
      </c>
      <c r="I55" s="14">
        <f t="shared" si="18"/>
        <v>108.51710033278086</v>
      </c>
      <c r="J55" s="47">
        <f t="shared" si="19"/>
        <v>93.324036129489869</v>
      </c>
      <c r="K55" s="13">
        <f t="shared" si="20"/>
        <v>0.28064422987192383</v>
      </c>
      <c r="L55" s="48">
        <f t="shared" si="21"/>
        <v>2533.9140963888722</v>
      </c>
      <c r="M55" s="48">
        <f t="shared" si="22"/>
        <v>7357.3475544881176</v>
      </c>
      <c r="N55" s="48">
        <f t="shared" si="23"/>
        <v>4823.4334580992454</v>
      </c>
      <c r="O55" s="14">
        <f t="shared" si="24"/>
        <v>11.949495580398514</v>
      </c>
      <c r="P55" s="14">
        <f t="shared" si="25"/>
        <v>7.3565230981190624</v>
      </c>
      <c r="Q55" s="108">
        <f t="shared" si="16"/>
        <v>3.3540000000000001</v>
      </c>
    </row>
    <row r="56" spans="1:17" x14ac:dyDescent="0.25">
      <c r="F56" s="108">
        <f t="shared" si="16"/>
        <v>0.38800000000000001</v>
      </c>
      <c r="G56" s="12">
        <f t="shared" si="16"/>
        <v>2.52E-2</v>
      </c>
      <c r="H56" s="18">
        <f t="shared" si="17"/>
        <v>2.6558255460316382E-2</v>
      </c>
      <c r="I56" s="14">
        <f t="shared" si="18"/>
        <v>82.812536830465831</v>
      </c>
      <c r="J56" s="47">
        <f t="shared" si="19"/>
        <v>104.98285915900846</v>
      </c>
      <c r="K56" s="13">
        <f t="shared" si="20"/>
        <v>0.31570466602571734</v>
      </c>
      <c r="L56" s="48">
        <f t="shared" si="21"/>
        <v>2578.5054291038718</v>
      </c>
      <c r="M56" s="48">
        <f t="shared" si="22"/>
        <v>7307.1570748048371</v>
      </c>
      <c r="N56" s="48">
        <f t="shared" si="23"/>
        <v>4728.6516457009657</v>
      </c>
      <c r="O56" s="14">
        <f t="shared" si="24"/>
        <v>13.178181535970895</v>
      </c>
      <c r="P56" s="14">
        <f t="shared" si="25"/>
        <v>7.2111893711289934</v>
      </c>
      <c r="Q56" s="108">
        <f t="shared" si="16"/>
        <v>2.5739999999999998</v>
      </c>
    </row>
    <row r="57" spans="1:17" x14ac:dyDescent="0.25">
      <c r="F57" s="108">
        <f t="shared" si="16"/>
        <v>0.246</v>
      </c>
      <c r="G57" s="12">
        <f t="shared" si="16"/>
        <v>1.8800000000000001E-2</v>
      </c>
      <c r="H57" s="18">
        <f t="shared" si="17"/>
        <v>2.0478406173850845E-2</v>
      </c>
      <c r="I57" s="14">
        <f t="shared" si="18"/>
        <v>35.498746344346031</v>
      </c>
      <c r="J57" s="47">
        <f t="shared" si="19"/>
        <v>131.84592323108529</v>
      </c>
      <c r="K57" s="13">
        <f t="shared" si="20"/>
        <v>0.39648732654039559</v>
      </c>
      <c r="L57" s="48">
        <f t="shared" si="21"/>
        <v>3135.8933005342715</v>
      </c>
      <c r="M57" s="48">
        <f t="shared" si="22"/>
        <v>7247.7696227192109</v>
      </c>
      <c r="N57" s="48">
        <f t="shared" si="23"/>
        <v>4111.8763221849395</v>
      </c>
      <c r="O57" s="14">
        <f t="shared" si="24"/>
        <v>14.391515086394433</v>
      </c>
      <c r="P57" s="14">
        <f t="shared" si="25"/>
        <v>6.2665519508155469</v>
      </c>
      <c r="Q57" s="108">
        <f t="shared" si="16"/>
        <v>1.242</v>
      </c>
    </row>
    <row r="58" spans="1:17" x14ac:dyDescent="0.25">
      <c r="F58" s="108">
        <f t="shared" si="16"/>
        <v>0.2</v>
      </c>
      <c r="G58" s="12">
        <f t="shared" si="16"/>
        <v>1.7500000000000002E-2</v>
      </c>
      <c r="H58" s="18">
        <f t="shared" si="17"/>
        <v>1.9484883939445256E-2</v>
      </c>
      <c r="I58" s="14">
        <f t="shared" si="18"/>
        <v>21.071446043904139</v>
      </c>
      <c r="J58" s="47">
        <f t="shared" si="19"/>
        <v>146.22420248156047</v>
      </c>
      <c r="K58" s="13">
        <f t="shared" si="20"/>
        <v>0.43972571693249279</v>
      </c>
      <c r="L58" s="48">
        <f t="shared" si="21"/>
        <v>3670.0168597623929</v>
      </c>
      <c r="M58" s="48">
        <f t="shared" si="22"/>
        <v>7248.2193715049016</v>
      </c>
      <c r="N58" s="48">
        <f t="shared" si="23"/>
        <v>3578.2025117425087</v>
      </c>
      <c r="O58" s="14">
        <f t="shared" si="24"/>
        <v>13.889414728727724</v>
      </c>
      <c r="P58" s="14">
        <f t="shared" si="25"/>
        <v>5.4505780419934196</v>
      </c>
      <c r="Q58" s="108">
        <f t="shared" si="16"/>
        <v>0.68799999999999994</v>
      </c>
    </row>
    <row r="59" spans="1:17" x14ac:dyDescent="0.25">
      <c r="F59" s="108">
        <f t="shared" si="16"/>
        <v>0.151</v>
      </c>
      <c r="G59" s="12">
        <f t="shared" si="16"/>
        <v>1.6299999999999999E-2</v>
      </c>
      <c r="H59" s="18">
        <f t="shared" si="17"/>
        <v>1.8898684055514439E-2</v>
      </c>
      <c r="I59" s="14">
        <f t="shared" si="18"/>
        <v>9.6397930983393785</v>
      </c>
      <c r="J59" s="47">
        <f t="shared" si="19"/>
        <v>168.28514665470004</v>
      </c>
      <c r="K59" s="13">
        <f t="shared" si="20"/>
        <v>0.50606743279149924</v>
      </c>
      <c r="L59" s="48">
        <f t="shared" si="21"/>
        <v>4714.70852877385</v>
      </c>
      <c r="M59" s="48">
        <f t="shared" si="22"/>
        <v>7292.6114299821356</v>
      </c>
      <c r="N59" s="48">
        <f t="shared" si="23"/>
        <v>2577.9029012082856</v>
      </c>
      <c r="O59" s="14">
        <f t="shared" si="24"/>
        <v>11.516277177609291</v>
      </c>
      <c r="P59" s="14">
        <f t="shared" si="25"/>
        <v>3.9239956112313976</v>
      </c>
      <c r="Q59" s="108">
        <f t="shared" si="16"/>
        <v>0.23699999999999999</v>
      </c>
    </row>
    <row r="60" spans="1:17" x14ac:dyDescent="0.25">
      <c r="F60" s="108">
        <f t="shared" si="16"/>
        <v>0.12</v>
      </c>
      <c r="G60" s="12">
        <f t="shared" si="16"/>
        <v>1.61E-2</v>
      </c>
      <c r="H60" s="18">
        <f t="shared" si="17"/>
        <v>1.9556708475660382E-2</v>
      </c>
      <c r="I60" s="14">
        <f t="shared" si="18"/>
        <v>4.5180622905768697</v>
      </c>
      <c r="J60" s="47">
        <f t="shared" si="19"/>
        <v>188.774633674515</v>
      </c>
      <c r="K60" s="13">
        <f t="shared" si="20"/>
        <v>0.56768345952622057</v>
      </c>
      <c r="L60" s="48">
        <f t="shared" si="21"/>
        <v>6139.2419246793079</v>
      </c>
      <c r="M60" s="48">
        <f t="shared" si="22"/>
        <v>7381.2374868300367</v>
      </c>
      <c r="N60" s="48">
        <f t="shared" si="23"/>
        <v>1241.9955621507288</v>
      </c>
      <c r="O60" s="14">
        <f t="shared" si="24"/>
        <v>6.2239120707605222</v>
      </c>
      <c r="P60" s="14">
        <f t="shared" si="25"/>
        <v>1.8893880212302687</v>
      </c>
      <c r="Q60" s="108">
        <f t="shared" si="16"/>
        <v>-3.9E-2</v>
      </c>
    </row>
    <row r="61" spans="1:17" x14ac:dyDescent="0.25">
      <c r="F61" s="108">
        <f t="shared" si="16"/>
        <v>9.4E-2</v>
      </c>
      <c r="G61" s="12">
        <f t="shared" si="16"/>
        <v>1.5699999999999999E-2</v>
      </c>
      <c r="H61" s="18">
        <f t="shared" si="17"/>
        <v>2.0463978827268366E-2</v>
      </c>
      <c r="I61" s="14">
        <f t="shared" si="18"/>
        <v>1.9833684714345106</v>
      </c>
      <c r="J61" s="47">
        <f t="shared" si="19"/>
        <v>213.28992051759229</v>
      </c>
      <c r="K61" s="13">
        <f t="shared" si="20"/>
        <v>0.64140587961763651</v>
      </c>
      <c r="L61" s="48">
        <f t="shared" si="21"/>
        <v>8200.9177448375576</v>
      </c>
      <c r="M61" s="48">
        <f t="shared" si="22"/>
        <v>7547.2565125301544</v>
      </c>
      <c r="N61" s="48">
        <f t="shared" si="23"/>
        <v>-653.66123230740322</v>
      </c>
      <c r="O61" s="14">
        <f t="shared" si="24"/>
        <v>-3.7010319052698528</v>
      </c>
      <c r="P61" s="14">
        <f t="shared" si="25"/>
        <v>-0.99425303527418607</v>
      </c>
      <c r="Q61" s="108">
        <f t="shared" si="16"/>
        <v>-0.28000000000000003</v>
      </c>
    </row>
    <row r="62" spans="1:17" x14ac:dyDescent="0.25">
      <c r="F62" s="108">
        <f t="shared" si="16"/>
        <v>7.9000000000000001E-2</v>
      </c>
      <c r="G62" s="12">
        <f t="shared" si="16"/>
        <v>1.5599999999999999E-2</v>
      </c>
      <c r="H62" s="18">
        <f t="shared" si="17"/>
        <v>2.1834005150403395E-2</v>
      </c>
      <c r="I62" s="14">
        <f t="shared" si="18"/>
        <v>1.0342236316826663</v>
      </c>
      <c r="J62" s="47">
        <f t="shared" si="19"/>
        <v>232.65945881398463</v>
      </c>
      <c r="K62" s="13">
        <f t="shared" si="20"/>
        <v>0.69965399429007979</v>
      </c>
      <c r="L62" s="48">
        <f t="shared" si="21"/>
        <v>10411.338071110835</v>
      </c>
      <c r="M62" s="48">
        <f t="shared" si="22"/>
        <v>7724.6388260436879</v>
      </c>
      <c r="N62" s="48">
        <f t="shared" si="23"/>
        <v>-2686.6992450671469</v>
      </c>
      <c r="O62" s="14">
        <f t="shared" si="24"/>
        <v>-16.593558665510944</v>
      </c>
      <c r="P62" s="14">
        <f t="shared" si="25"/>
        <v>-4.0898777947470855</v>
      </c>
      <c r="Q62" s="108">
        <f t="shared" si="16"/>
        <v>-0.41699999999999998</v>
      </c>
    </row>
    <row r="63" spans="1:17" x14ac:dyDescent="0.25">
      <c r="F63" s="108">
        <f t="shared" si="16"/>
        <v>6.4000000000000001E-2</v>
      </c>
      <c r="G63" s="12">
        <f t="shared" si="16"/>
        <v>1.54E-2</v>
      </c>
      <c r="H63" s="18">
        <f t="shared" si="17"/>
        <v>2.4479809875890633E-2</v>
      </c>
      <c r="I63" s="14">
        <f t="shared" si="18"/>
        <v>0.43744538681410711</v>
      </c>
      <c r="J63" s="47">
        <f t="shared" si="19"/>
        <v>258.49031287076554</v>
      </c>
      <c r="K63" s="13">
        <f t="shared" si="20"/>
        <v>0.777332590762705</v>
      </c>
      <c r="L63" s="48">
        <f t="shared" si="21"/>
        <v>14408.816092949228</v>
      </c>
      <c r="M63" s="48">
        <f t="shared" si="22"/>
        <v>8024.6655664618584</v>
      </c>
      <c r="N63" s="48">
        <f t="shared" si="23"/>
        <v>-6384.1505264873695</v>
      </c>
      <c r="O63" s="14">
        <f t="shared" si="24"/>
        <v>-43.807367774321023</v>
      </c>
      <c r="P63" s="14">
        <f t="shared" si="25"/>
        <v>-9.7572333349142522</v>
      </c>
      <c r="Q63" s="108">
        <f t="shared" si="16"/>
        <v>-0.55500000000000005</v>
      </c>
    </row>
    <row r="64" spans="1:17" x14ac:dyDescent="0.25">
      <c r="F64" s="108">
        <f t="shared" ref="F64:Q65" si="26">F42</f>
        <v>5.2999999999999999E-2</v>
      </c>
      <c r="G64" s="12">
        <f t="shared" si="26"/>
        <v>1.5299999999999999E-2</v>
      </c>
      <c r="H64" s="18">
        <f t="shared" si="17"/>
        <v>2.9426096672026204E-2</v>
      </c>
      <c r="I64" s="14">
        <f t="shared" si="18"/>
        <v>0.17193420861701758</v>
      </c>
      <c r="J64" s="47">
        <f t="shared" si="19"/>
        <v>284.0510012096114</v>
      </c>
      <c r="K64" s="13">
        <f t="shared" si="20"/>
        <v>0.85419874434288523</v>
      </c>
      <c r="L64" s="48">
        <f t="shared" si="21"/>
        <v>20914.959095733888</v>
      </c>
      <c r="M64" s="48">
        <f t="shared" si="22"/>
        <v>8392.966496104551</v>
      </c>
      <c r="N64" s="48">
        <f t="shared" si="23"/>
        <v>-12521.992599629337</v>
      </c>
      <c r="O64" s="14">
        <f t="shared" si="24"/>
        <v>-94.421204315963138</v>
      </c>
      <c r="P64" s="14">
        <f t="shared" si="25"/>
        <v>-19.415077701351869</v>
      </c>
      <c r="Q64" s="108">
        <f t="shared" si="26"/>
        <v>-0.65800000000000003</v>
      </c>
    </row>
    <row r="65" spans="2:17" x14ac:dyDescent="0.25">
      <c r="F65" s="108">
        <f t="shared" si="26"/>
        <v>4.4999999999999998E-2</v>
      </c>
      <c r="G65" s="12">
        <f t="shared" si="26"/>
        <v>1.55E-2</v>
      </c>
      <c r="H65" s="18">
        <f t="shared" si="17"/>
        <v>4.1332896456467601E-2</v>
      </c>
      <c r="I65" s="14">
        <f t="shared" si="18"/>
        <v>5.333912181736971E-2</v>
      </c>
      <c r="J65" s="47">
        <f t="shared" si="19"/>
        <v>308.26768592225096</v>
      </c>
      <c r="K65" s="13">
        <f t="shared" si="20"/>
        <v>0.92702320750476452</v>
      </c>
      <c r="L65" s="48">
        <f t="shared" si="21"/>
        <v>34600.594281638158</v>
      </c>
      <c r="M65" s="48">
        <f t="shared" si="22"/>
        <v>8807.4340362682451</v>
      </c>
      <c r="N65" s="48">
        <f t="shared" si="23"/>
        <v>-25793.160245369912</v>
      </c>
      <c r="O65" s="14">
        <f t="shared" si="24"/>
        <v>-211.07282697985636</v>
      </c>
      <c r="P65" s="14">
        <f t="shared" si="25"/>
        <v>-43.212513772549386</v>
      </c>
      <c r="Q65" s="108">
        <f t="shared" si="26"/>
        <v>-0.754</v>
      </c>
    </row>
    <row r="66" spans="2:17" ht="15.6" thickBot="1" x14ac:dyDescent="0.3">
      <c r="F66" s="97"/>
    </row>
    <row r="67" spans="2:17" ht="18.600000000000001" thickBot="1" x14ac:dyDescent="0.3">
      <c r="F67" s="97"/>
      <c r="G67" s="143" t="s">
        <v>190</v>
      </c>
      <c r="H67" s="144"/>
      <c r="I67" s="144"/>
      <c r="J67" s="144"/>
      <c r="K67" s="144"/>
      <c r="L67" s="145"/>
    </row>
    <row r="68" spans="2:17" ht="18.600000000000001" thickBot="1" x14ac:dyDescent="0.3">
      <c r="B68" s="59" t="s">
        <v>174</v>
      </c>
      <c r="C68" s="59" t="s">
        <v>175</v>
      </c>
      <c r="D68" s="20" t="s">
        <v>176</v>
      </c>
      <c r="E68" s="20" t="s">
        <v>177</v>
      </c>
      <c r="F68" s="97"/>
      <c r="G68" s="98" t="s">
        <v>63</v>
      </c>
      <c r="H68" s="98" t="s">
        <v>53</v>
      </c>
      <c r="I68" s="98" t="s">
        <v>65</v>
      </c>
      <c r="J68" s="98" t="s">
        <v>66</v>
      </c>
      <c r="K68" s="98" t="s">
        <v>84</v>
      </c>
      <c r="L68" s="98" t="s">
        <v>64</v>
      </c>
    </row>
    <row r="69" spans="2:17" x14ac:dyDescent="0.25">
      <c r="B69" s="27">
        <f>-I69*COS(C69+D69-C$14)+0.5*C$16*C$4*C$2*(D69-C$5)*G69^2*SIN(C69)+0.5*C$16*C$4*((C$8+1/PI()/C$7*C$2^2*(D69-C$5)^2)/SQRT(1-H69^2))*G69^2*COS(C69)</f>
        <v>-2.5570793332008179E-4</v>
      </c>
      <c r="C69" s="28">
        <v>0.10721994042406234</v>
      </c>
      <c r="D69" s="32">
        <v>0.19150319294788698</v>
      </c>
      <c r="E69" s="31">
        <f>I69*SIN(C69+D69-C$14)+0.5*C$16*C$4*C$2*(D69-C$5)*G69^2*COS(C69)-0.5*C$16*C$4*(C$8+1/PI()/C$7*C$2^2*(D69-C$5)^2)/SQRT(1-H69^2)*G69^2*SIN(C69)-C$20</f>
        <v>-2.0403684175107628E-5</v>
      </c>
      <c r="F69" s="97"/>
      <c r="G69" s="81">
        <f>SQRT(2*C$20/C$4/C$16/C$15)</f>
        <v>55.169125141496167</v>
      </c>
      <c r="H69" s="99">
        <f>G69/C$19</f>
        <v>0.16590470451320821</v>
      </c>
      <c r="I69" s="100">
        <f>C$17*(1-0.605*H69+0.725*H69^2)</f>
        <v>7624.9275068064844</v>
      </c>
      <c r="J69" s="67">
        <f>DEGREES(D69)</f>
        <v>10.972324719193393</v>
      </c>
      <c r="K69" s="67">
        <f>DEGREES(C69)</f>
        <v>6.1432500659428984</v>
      </c>
      <c r="L69" s="67">
        <f>G69*SIN(RADIANS(K69))</f>
        <v>5.9039031285428445</v>
      </c>
    </row>
    <row r="70" spans="2:17" x14ac:dyDescent="0.25">
      <c r="B70" s="27">
        <f t="shared" ref="B70:B83" si="27">-I70*COS(C70+D70-C$14)+0.5*C$16*C$4*C$2*(D70-C$5)*G70^2*SIN(C70)+0.5*C$16*C$4*((C$8+1/PI()/C$7*C$2^2*(D70-C$5)^2)/SQRT(1-H70^2))*G70^2*COS(C70)</f>
        <v>1.6555758065806003E-5</v>
      </c>
      <c r="C70" s="35">
        <v>0.1211476795746988</v>
      </c>
      <c r="D70" s="38">
        <v>0.14253518475346841</v>
      </c>
      <c r="E70" s="31">
        <f t="shared" ref="E70:E83" si="28">I70*SIN(C70+D70-C$14)+0.5*C$16*C$4*C$2*(D70-C$5)*G70^2*COS(C70)-0.5*C$16*C$4*(C$8+1/PI()/C$7*C$2^2*(D70-C$5)^2)/SQRT(1-H70^2)*G70^2*SIN(C70)-C$20</f>
        <v>0</v>
      </c>
      <c r="F70" s="97"/>
      <c r="G70" s="11">
        <f>G4</f>
        <v>63</v>
      </c>
      <c r="H70" s="99">
        <f>G70/C$19</f>
        <v>0.18945372719841289</v>
      </c>
      <c r="I70" s="100">
        <f>C$17*(1-0.605*H70+0.725*H70^2)</f>
        <v>7557.1002917601072</v>
      </c>
      <c r="J70" s="67">
        <f>DEGREES(D70)</f>
        <v>8.1666645184911797</v>
      </c>
      <c r="K70" s="67">
        <f>DEGREES(C70)</f>
        <v>6.9412507374334895</v>
      </c>
      <c r="L70" s="67">
        <f>G70*SIN(RADIANS(K70))</f>
        <v>7.6136479266441786</v>
      </c>
    </row>
    <row r="71" spans="2:17" x14ac:dyDescent="0.25">
      <c r="B71" s="27">
        <f t="shared" si="27"/>
        <v>-1.8096870462613879E-5</v>
      </c>
      <c r="C71" s="28">
        <v>0.13196718977889652</v>
      </c>
      <c r="D71" s="32">
        <v>8.8340147813580988E-2</v>
      </c>
      <c r="E71" s="31">
        <f t="shared" si="28"/>
        <v>0</v>
      </c>
      <c r="G71" s="11">
        <f t="shared" ref="G71:G83" si="29">G5</f>
        <v>77</v>
      </c>
      <c r="H71" s="99">
        <f t="shared" ref="H71:H83" si="30">G71/C$19</f>
        <v>0.23155455546472686</v>
      </c>
      <c r="I71" s="100">
        <f t="shared" ref="I71:I83" si="31">C$17*(1-0.605*H71+0.725*H71^2)</f>
        <v>7452.4543909784215</v>
      </c>
      <c r="J71" s="67">
        <f t="shared" ref="J71:J83" si="32">DEGREES(D71)</f>
        <v>5.0615176312800374</v>
      </c>
      <c r="K71" s="67">
        <f t="shared" ref="K71:K83" si="33">DEGREES(C71)</f>
        <v>7.5611630085327457</v>
      </c>
      <c r="L71" s="67">
        <f t="shared" ref="L71:L83" si="34">G71*SIN(RADIANS(K71))</f>
        <v>10.13200503336143</v>
      </c>
    </row>
    <row r="72" spans="2:17" x14ac:dyDescent="0.25">
      <c r="B72" s="27">
        <f t="shared" si="27"/>
        <v>1.2357467312540393E-5</v>
      </c>
      <c r="C72" s="35">
        <v>0.13295899651871498</v>
      </c>
      <c r="D72" s="38">
        <v>5.8515401051168543E-2</v>
      </c>
      <c r="E72" s="31">
        <f t="shared" si="28"/>
        <v>0</v>
      </c>
      <c r="G72" s="11">
        <f t="shared" si="29"/>
        <v>90</v>
      </c>
      <c r="H72" s="99">
        <f t="shared" si="30"/>
        <v>0.27064818171201843</v>
      </c>
      <c r="I72" s="100">
        <f t="shared" si="31"/>
        <v>7374.3648155270776</v>
      </c>
      <c r="J72" s="67">
        <f t="shared" si="32"/>
        <v>3.3526855167473384</v>
      </c>
      <c r="K72" s="67">
        <f t="shared" si="33"/>
        <v>7.6179893488169741</v>
      </c>
      <c r="L72" s="67">
        <f t="shared" si="34"/>
        <v>11.931083911249189</v>
      </c>
    </row>
    <row r="73" spans="2:17" x14ac:dyDescent="0.25">
      <c r="B73" s="27">
        <f t="shared" si="27"/>
        <v>-2.4207251954067033E-5</v>
      </c>
      <c r="C73" s="28">
        <v>0.12838141254733532</v>
      </c>
      <c r="D73" s="32">
        <v>3.7894264659439507E-2</v>
      </c>
      <c r="E73" s="31">
        <f t="shared" si="28"/>
        <v>0</v>
      </c>
      <c r="G73" s="11">
        <f t="shared" si="29"/>
        <v>104</v>
      </c>
      <c r="H73" s="99">
        <f t="shared" si="30"/>
        <v>0.31274900997833238</v>
      </c>
      <c r="I73" s="100">
        <f t="shared" si="31"/>
        <v>7310.8177845674127</v>
      </c>
      <c r="J73" s="67">
        <f t="shared" si="32"/>
        <v>2.1711814327376335</v>
      </c>
      <c r="K73" s="67">
        <f t="shared" si="33"/>
        <v>7.3557131068901844</v>
      </c>
      <c r="L73" s="67">
        <f t="shared" si="34"/>
        <v>13.315020562624683</v>
      </c>
    </row>
    <row r="74" spans="2:17" x14ac:dyDescent="0.25">
      <c r="B74" s="27">
        <f t="shared" si="27"/>
        <v>-1.77124979927612E-5</v>
      </c>
      <c r="C74" s="35">
        <v>0.12054129857215795</v>
      </c>
      <c r="D74" s="38">
        <v>2.4915098271703823E-2</v>
      </c>
      <c r="E74" s="31">
        <f t="shared" si="28"/>
        <v>-7.2759576141834259E-11</v>
      </c>
      <c r="G74" s="11">
        <f t="shared" si="29"/>
        <v>117</v>
      </c>
      <c r="H74" s="99">
        <f t="shared" si="30"/>
        <v>0.35184263622562395</v>
      </c>
      <c r="I74" s="100">
        <f t="shared" si="31"/>
        <v>7270.8914453793768</v>
      </c>
      <c r="J74" s="67">
        <f t="shared" si="32"/>
        <v>1.4275299771223207</v>
      </c>
      <c r="K74" s="67">
        <f t="shared" si="33"/>
        <v>6.9065076652109871</v>
      </c>
      <c r="L74" s="67">
        <f t="shared" si="34"/>
        <v>14.069202687727604</v>
      </c>
    </row>
    <row r="75" spans="2:17" x14ac:dyDescent="0.25">
      <c r="B75" s="27">
        <f t="shared" si="27"/>
        <v>1.3426868599708541E-4</v>
      </c>
      <c r="C75" s="28">
        <v>0.10998841005841214</v>
      </c>
      <c r="D75" s="32">
        <v>1.5594628975856683E-2</v>
      </c>
      <c r="E75" s="31">
        <f t="shared" si="28"/>
        <v>3.3469405025243759E-10</v>
      </c>
      <c r="G75" s="11">
        <f t="shared" si="29"/>
        <v>130</v>
      </c>
      <c r="H75" s="99">
        <f t="shared" si="30"/>
        <v>0.39093626247291552</v>
      </c>
      <c r="I75" s="100">
        <f t="shared" si="31"/>
        <v>7249.339997725524</v>
      </c>
      <c r="J75" s="67">
        <f t="shared" si="32"/>
        <v>0.89350642338900932</v>
      </c>
      <c r="K75" s="67">
        <f t="shared" si="33"/>
        <v>6.301871691701268</v>
      </c>
      <c r="L75" s="67">
        <f t="shared" si="34"/>
        <v>14.269681521769151</v>
      </c>
    </row>
    <row r="76" spans="2:17" x14ac:dyDescent="0.25">
      <c r="B76" s="27">
        <f t="shared" si="27"/>
        <v>4.085869477421511E-5</v>
      </c>
      <c r="C76" s="35">
        <v>9.5935079084573383E-2</v>
      </c>
      <c r="D76" s="38">
        <v>8.2197086731073867E-3</v>
      </c>
      <c r="E76" s="31">
        <f t="shared" si="28"/>
        <v>3.1286617740988731E-10</v>
      </c>
      <c r="G76" s="11">
        <f t="shared" si="29"/>
        <v>144</v>
      </c>
      <c r="H76" s="99">
        <f t="shared" si="30"/>
        <v>0.43303709073922947</v>
      </c>
      <c r="I76" s="100">
        <f t="shared" si="31"/>
        <v>7246.6801813170014</v>
      </c>
      <c r="J76" s="67">
        <f t="shared" si="32"/>
        <v>0.47095461579613129</v>
      </c>
      <c r="K76" s="67">
        <f t="shared" si="33"/>
        <v>5.4966751387998318</v>
      </c>
      <c r="L76" s="67">
        <f t="shared" si="34"/>
        <v>13.793470522752523</v>
      </c>
    </row>
    <row r="77" spans="2:17" x14ac:dyDescent="0.25">
      <c r="B77" s="27">
        <f t="shared" si="27"/>
        <v>-1.244847508132807E-4</v>
      </c>
      <c r="C77" s="28">
        <v>7.9157714122313427E-2</v>
      </c>
      <c r="D77" s="32">
        <v>2.69984526813263E-3</v>
      </c>
      <c r="E77" s="31">
        <f t="shared" si="28"/>
        <v>-1.4551915228366852E-10</v>
      </c>
      <c r="G77" s="11">
        <f t="shared" si="29"/>
        <v>158</v>
      </c>
      <c r="H77" s="99">
        <f t="shared" si="30"/>
        <v>0.47513791900554347</v>
      </c>
      <c r="I77" s="100">
        <f t="shared" si="31"/>
        <v>7265.330890001379</v>
      </c>
      <c r="J77" s="67">
        <f t="shared" si="32"/>
        <v>0.15468973920236578</v>
      </c>
      <c r="K77" s="67">
        <f t="shared" si="33"/>
        <v>4.5354029351116729</v>
      </c>
      <c r="L77" s="67">
        <f t="shared" si="34"/>
        <v>12.493861647888915</v>
      </c>
    </row>
    <row r="78" spans="2:17" x14ac:dyDescent="0.25">
      <c r="B78" s="27">
        <f t="shared" si="27"/>
        <v>6.6482153670222033E-5</v>
      </c>
      <c r="C78" s="35">
        <v>6.100280212984268E-2</v>
      </c>
      <c r="D78" s="38">
        <v>-1.2718561799265828E-3</v>
      </c>
      <c r="E78" s="31">
        <f t="shared" si="28"/>
        <v>5.8207660913467407E-11</v>
      </c>
      <c r="G78" s="11">
        <f t="shared" si="29"/>
        <v>171</v>
      </c>
      <c r="H78" s="99">
        <f t="shared" si="30"/>
        <v>0.51423154525283499</v>
      </c>
      <c r="I78" s="100">
        <f t="shared" si="31"/>
        <v>7301.7310233399539</v>
      </c>
      <c r="J78" s="67">
        <f t="shared" si="32"/>
        <v>-7.2871991257424648E-2</v>
      </c>
      <c r="K78" s="67">
        <f t="shared" si="33"/>
        <v>3.4952031005116551</v>
      </c>
      <c r="L78" s="67">
        <f t="shared" si="34"/>
        <v>10.425010517896679</v>
      </c>
    </row>
    <row r="79" spans="2:17" x14ac:dyDescent="0.25">
      <c r="B79" s="27">
        <f t="shared" si="27"/>
        <v>1.8531793102738447E-5</v>
      </c>
      <c r="C79" s="28">
        <v>3.8338934112512407E-2</v>
      </c>
      <c r="D79" s="32">
        <v>-4.6593232419173116E-3</v>
      </c>
      <c r="E79" s="31">
        <f t="shared" si="28"/>
        <v>0</v>
      </c>
      <c r="G79" s="11">
        <f t="shared" si="29"/>
        <v>185</v>
      </c>
      <c r="H79" s="99">
        <f t="shared" si="30"/>
        <v>0.55633237351914899</v>
      </c>
      <c r="I79" s="100">
        <f t="shared" si="31"/>
        <v>7361.4806018463523</v>
      </c>
      <c r="J79" s="67">
        <f t="shared" si="32"/>
        <v>-0.26695955714907421</v>
      </c>
      <c r="K79" s="67">
        <f t="shared" si="33"/>
        <v>2.1966591156771016</v>
      </c>
      <c r="L79" s="67">
        <f t="shared" si="34"/>
        <v>7.0909653754233606</v>
      </c>
    </row>
    <row r="80" spans="2:17" x14ac:dyDescent="0.25">
      <c r="B80" s="27">
        <f t="shared" si="27"/>
        <v>5.8149924370809458E-5</v>
      </c>
      <c r="C80" s="35">
        <v>9.819290526933663E-3</v>
      </c>
      <c r="D80" s="38">
        <v>-7.5423340968098756E-3</v>
      </c>
      <c r="E80" s="31">
        <f t="shared" si="28"/>
        <v>0</v>
      </c>
      <c r="G80" s="11">
        <f t="shared" si="29"/>
        <v>200</v>
      </c>
      <c r="H80" s="99">
        <f t="shared" si="30"/>
        <v>0.60144040380448538</v>
      </c>
      <c r="I80" s="100">
        <f t="shared" si="31"/>
        <v>7449.146166611913</v>
      </c>
      <c r="J80" s="67">
        <f t="shared" si="32"/>
        <v>-0.43214391142482156</v>
      </c>
      <c r="K80" s="67">
        <f t="shared" si="33"/>
        <v>0.56260390500608914</v>
      </c>
      <c r="L80" s="67">
        <f t="shared" si="34"/>
        <v>1.9638265468410658</v>
      </c>
    </row>
    <row r="81" spans="2:12" x14ac:dyDescent="0.25">
      <c r="B81" s="27">
        <f t="shared" si="27"/>
        <v>2.8759985070792027E-5</v>
      </c>
      <c r="C81" s="28">
        <v>-1.9269424650110219E-2</v>
      </c>
      <c r="D81" s="32">
        <v>-9.5776403678969058E-3</v>
      </c>
      <c r="E81" s="31">
        <f t="shared" si="28"/>
        <v>0</v>
      </c>
      <c r="G81" s="11">
        <f t="shared" si="29"/>
        <v>213</v>
      </c>
      <c r="H81" s="99">
        <f t="shared" si="30"/>
        <v>0.64053403005177689</v>
      </c>
      <c r="I81" s="100">
        <f t="shared" si="31"/>
        <v>7544.9113341378525</v>
      </c>
      <c r="J81" s="67">
        <f t="shared" si="32"/>
        <v>-0.54875837077461775</v>
      </c>
      <c r="K81" s="67">
        <f t="shared" si="33"/>
        <v>-1.1040567060966686</v>
      </c>
      <c r="L81" s="67">
        <f t="shared" si="34"/>
        <v>-4.1041334546748507</v>
      </c>
    </row>
    <row r="82" spans="2:12" x14ac:dyDescent="0.25">
      <c r="B82" s="27">
        <f t="shared" si="27"/>
        <v>1.7711990949464962E-6</v>
      </c>
      <c r="C82" s="35">
        <v>-5.6430131216735936E-2</v>
      </c>
      <c r="D82" s="38">
        <v>-1.1408020499353581E-2</v>
      </c>
      <c r="E82" s="31">
        <f t="shared" si="28"/>
        <v>0</v>
      </c>
      <c r="G82" s="11">
        <f t="shared" si="29"/>
        <v>227</v>
      </c>
      <c r="H82" s="99">
        <f t="shared" si="30"/>
        <v>0.6826348583180909</v>
      </c>
      <c r="I82" s="100">
        <f t="shared" si="31"/>
        <v>7668.5924879229515</v>
      </c>
      <c r="J82" s="67">
        <f t="shared" si="32"/>
        <v>-0.6536314272116861</v>
      </c>
      <c r="K82" s="67">
        <f t="shared" si="33"/>
        <v>-3.2332083560884062</v>
      </c>
      <c r="L82" s="67">
        <f t="shared" si="34"/>
        <v>-12.802842451743265</v>
      </c>
    </row>
    <row r="83" spans="2:12" x14ac:dyDescent="0.25">
      <c r="B83" s="27">
        <f t="shared" si="27"/>
        <v>-2.7764326659962535E-7</v>
      </c>
      <c r="C83" s="28">
        <v>-9.8113913608488243E-2</v>
      </c>
      <c r="D83" s="38">
        <v>-1.2851359039504752E-2</v>
      </c>
      <c r="E83" s="112">
        <f t="shared" si="28"/>
        <v>0</v>
      </c>
      <c r="G83" s="11">
        <f t="shared" si="29"/>
        <v>240</v>
      </c>
      <c r="H83" s="19">
        <f t="shared" si="30"/>
        <v>0.72172848456538252</v>
      </c>
      <c r="I83" s="48">
        <f t="shared" si="31"/>
        <v>7802.5208917121972</v>
      </c>
      <c r="J83" s="14">
        <f t="shared" si="32"/>
        <v>-0.73632863397092163</v>
      </c>
      <c r="K83" s="14">
        <f t="shared" si="33"/>
        <v>-5.6215131612775497</v>
      </c>
      <c r="L83" s="14">
        <f t="shared" si="34"/>
        <v>-23.509578329784773</v>
      </c>
    </row>
    <row r="84" spans="2:12" ht="15.6" x14ac:dyDescent="0.25">
      <c r="B84" s="106"/>
      <c r="C84" s="106"/>
      <c r="D84" s="106"/>
      <c r="E84" s="106"/>
      <c r="F84" s="110"/>
      <c r="G84" s="113"/>
      <c r="H84" s="113"/>
      <c r="I84" s="113"/>
      <c r="J84" s="113"/>
      <c r="K84" s="113"/>
      <c r="L84" s="113"/>
    </row>
    <row r="85" spans="2:12" ht="15.6" x14ac:dyDescent="0.25">
      <c r="B85" s="59"/>
      <c r="C85" s="59"/>
      <c r="D85" s="59"/>
      <c r="E85" s="59"/>
      <c r="F85" s="110"/>
      <c r="G85" s="104"/>
      <c r="H85" s="104"/>
      <c r="I85" s="104"/>
      <c r="J85" s="104"/>
      <c r="K85" s="104"/>
      <c r="L85" s="104"/>
    </row>
    <row r="86" spans="2:12" x14ac:dyDescent="0.25">
      <c r="B86" s="114"/>
      <c r="C86" s="110"/>
      <c r="D86" s="110"/>
      <c r="E86" s="114"/>
      <c r="F86" s="110"/>
      <c r="G86" s="102"/>
      <c r="H86" s="105"/>
      <c r="I86" s="62"/>
      <c r="J86" s="60"/>
      <c r="K86" s="60"/>
      <c r="L86" s="60"/>
    </row>
    <row r="87" spans="2:12" x14ac:dyDescent="0.25">
      <c r="B87" s="114"/>
      <c r="C87" s="110"/>
      <c r="D87" s="110"/>
      <c r="E87" s="114"/>
      <c r="F87" s="110"/>
      <c r="G87" s="102"/>
      <c r="H87" s="105"/>
      <c r="I87" s="62"/>
      <c r="J87" s="60"/>
      <c r="K87" s="60"/>
      <c r="L87" s="60"/>
    </row>
    <row r="88" spans="2:12" x14ac:dyDescent="0.25">
      <c r="B88" s="114"/>
      <c r="C88" s="110"/>
      <c r="D88" s="110"/>
      <c r="E88" s="114"/>
      <c r="F88" s="106"/>
      <c r="G88" s="102"/>
      <c r="H88" s="105"/>
      <c r="I88" s="62"/>
      <c r="J88" s="60"/>
      <c r="K88" s="60"/>
      <c r="L88" s="60"/>
    </row>
    <row r="89" spans="2:12" x14ac:dyDescent="0.25">
      <c r="B89" s="114"/>
      <c r="C89" s="110"/>
      <c r="D89" s="110"/>
      <c r="E89" s="114"/>
      <c r="F89" s="106"/>
      <c r="G89" s="102"/>
      <c r="H89" s="105"/>
      <c r="I89" s="62"/>
      <c r="J89" s="60"/>
      <c r="K89" s="60"/>
      <c r="L89" s="60"/>
    </row>
    <row r="90" spans="2:12" x14ac:dyDescent="0.25">
      <c r="B90" s="114"/>
      <c r="C90" s="110"/>
      <c r="D90" s="110"/>
      <c r="E90" s="114"/>
      <c r="F90" s="106"/>
      <c r="G90" s="102"/>
      <c r="H90" s="105"/>
      <c r="I90" s="62"/>
      <c r="J90" s="60"/>
      <c r="K90" s="60"/>
      <c r="L90" s="60"/>
    </row>
    <row r="91" spans="2:12" x14ac:dyDescent="0.25">
      <c r="B91" s="114"/>
      <c r="C91" s="110"/>
      <c r="D91" s="110"/>
      <c r="E91" s="114"/>
      <c r="F91" s="106"/>
      <c r="G91" s="102"/>
      <c r="H91" s="105"/>
      <c r="I91" s="62"/>
      <c r="J91" s="60"/>
      <c r="K91" s="60"/>
      <c r="L91" s="60"/>
    </row>
    <row r="92" spans="2:12" x14ac:dyDescent="0.25">
      <c r="B92" s="114"/>
      <c r="C92" s="110"/>
      <c r="D92" s="110"/>
      <c r="E92" s="114"/>
      <c r="F92" s="106"/>
      <c r="G92" s="102"/>
      <c r="H92" s="105"/>
      <c r="I92" s="62"/>
      <c r="J92" s="60"/>
      <c r="K92" s="60"/>
      <c r="L92" s="60"/>
    </row>
    <row r="93" spans="2:12" x14ac:dyDescent="0.25">
      <c r="B93" s="114"/>
      <c r="C93" s="110"/>
      <c r="D93" s="110"/>
      <c r="E93" s="114"/>
      <c r="F93" s="106"/>
      <c r="G93" s="102"/>
      <c r="H93" s="105"/>
      <c r="I93" s="62"/>
      <c r="J93" s="60"/>
      <c r="K93" s="60"/>
      <c r="L93" s="60"/>
    </row>
    <row r="94" spans="2:12" x14ac:dyDescent="0.25">
      <c r="B94" s="114"/>
      <c r="C94" s="110"/>
      <c r="D94" s="110"/>
      <c r="E94" s="114"/>
      <c r="F94" s="106"/>
      <c r="G94" s="102"/>
      <c r="H94" s="105"/>
      <c r="I94" s="62"/>
      <c r="J94" s="60"/>
      <c r="K94" s="60"/>
      <c r="L94" s="60"/>
    </row>
    <row r="95" spans="2:12" x14ac:dyDescent="0.25">
      <c r="B95" s="114"/>
      <c r="C95" s="110"/>
      <c r="D95" s="110"/>
      <c r="E95" s="114"/>
      <c r="F95" s="106"/>
      <c r="G95" s="102"/>
      <c r="H95" s="105"/>
      <c r="I95" s="62"/>
      <c r="J95" s="60"/>
      <c r="K95" s="60"/>
      <c r="L95" s="60"/>
    </row>
    <row r="96" spans="2:12" x14ac:dyDescent="0.25">
      <c r="B96" s="114"/>
      <c r="C96" s="110"/>
      <c r="D96" s="110"/>
      <c r="E96" s="114"/>
      <c r="F96" s="106"/>
      <c r="G96" s="102"/>
      <c r="H96" s="105"/>
      <c r="I96" s="62"/>
      <c r="J96" s="60"/>
      <c r="K96" s="60"/>
      <c r="L96" s="60"/>
    </row>
    <row r="97" spans="2:12" x14ac:dyDescent="0.25">
      <c r="B97" s="114"/>
      <c r="C97" s="110"/>
      <c r="D97" s="110"/>
      <c r="E97" s="114"/>
      <c r="F97" s="106"/>
      <c r="G97" s="102"/>
      <c r="H97" s="105"/>
      <c r="I97" s="62"/>
      <c r="J97" s="60"/>
      <c r="K97" s="60"/>
      <c r="L97" s="60"/>
    </row>
    <row r="98" spans="2:12" x14ac:dyDescent="0.25">
      <c r="B98" s="114"/>
      <c r="C98" s="110"/>
      <c r="D98" s="110"/>
      <c r="E98" s="114"/>
      <c r="F98" s="106"/>
      <c r="G98" s="102"/>
      <c r="H98" s="105"/>
      <c r="I98" s="62"/>
      <c r="J98" s="60"/>
      <c r="K98" s="60"/>
      <c r="L98" s="60"/>
    </row>
    <row r="99" spans="2:12" x14ac:dyDescent="0.25">
      <c r="B99" s="114"/>
      <c r="C99" s="110"/>
      <c r="D99" s="110"/>
      <c r="E99" s="114"/>
      <c r="F99" s="106"/>
      <c r="G99" s="102"/>
      <c r="H99" s="105"/>
      <c r="I99" s="62"/>
      <c r="J99" s="60"/>
      <c r="K99" s="60"/>
      <c r="L99" s="60"/>
    </row>
    <row r="100" spans="2:12" x14ac:dyDescent="0.25">
      <c r="B100" s="114"/>
      <c r="C100" s="110"/>
      <c r="D100" s="110"/>
      <c r="E100" s="114"/>
      <c r="F100" s="106"/>
      <c r="G100" s="102"/>
      <c r="H100" s="105"/>
      <c r="I100" s="62"/>
      <c r="J100" s="60"/>
      <c r="K100" s="60"/>
      <c r="L100" s="60"/>
    </row>
  </sheetData>
  <mergeCells count="4">
    <mergeCell ref="G67:L67"/>
    <mergeCell ref="G1:L1"/>
    <mergeCell ref="F23:Q23"/>
    <mergeCell ref="F45:Q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B7E5-64AE-4CBC-9406-54D578E02155}">
  <dimension ref="A1:Y81"/>
  <sheetViews>
    <sheetView workbookViewId="0"/>
  </sheetViews>
  <sheetFormatPr defaultRowHeight="15" x14ac:dyDescent="0.25"/>
  <cols>
    <col min="1" max="1" width="34.77734375" style="23" customWidth="1"/>
    <col min="2" max="2" width="9.5546875" style="23" customWidth="1"/>
    <col min="3" max="6" width="8.88671875" style="23"/>
    <col min="7" max="7" width="8.6640625" style="23" customWidth="1"/>
    <col min="8" max="8" width="9" style="23" bestFit="1" customWidth="1"/>
    <col min="9" max="10" width="8.6640625" style="23" customWidth="1"/>
    <col min="11" max="16" width="8.5546875" style="23" customWidth="1"/>
    <col min="17" max="16384" width="8.88671875" style="23"/>
  </cols>
  <sheetData>
    <row r="1" spans="1:12" ht="18.600000000000001" thickBot="1" x14ac:dyDescent="0.3">
      <c r="A1" s="21" t="s">
        <v>10</v>
      </c>
      <c r="B1" s="22" t="s">
        <v>6</v>
      </c>
      <c r="C1" s="22">
        <v>4000</v>
      </c>
      <c r="D1" s="22" t="s">
        <v>3</v>
      </c>
      <c r="G1" s="143" t="s">
        <v>163</v>
      </c>
      <c r="H1" s="144"/>
      <c r="I1" s="144"/>
      <c r="J1" s="144"/>
      <c r="K1" s="144"/>
      <c r="L1" s="145"/>
    </row>
    <row r="2" spans="1:12" ht="18.600000000000001" thickBot="1" x14ac:dyDescent="0.35">
      <c r="A2" s="24" t="s">
        <v>17</v>
      </c>
      <c r="B2" s="25" t="s">
        <v>69</v>
      </c>
      <c r="C2" s="25">
        <f>Podsumowanie!B17</f>
        <v>6.2309999999999999</v>
      </c>
      <c r="D2" s="25" t="s">
        <v>26</v>
      </c>
      <c r="G2" s="98" t="s">
        <v>63</v>
      </c>
      <c r="H2" s="98" t="s">
        <v>53</v>
      </c>
      <c r="I2" s="98" t="s">
        <v>65</v>
      </c>
      <c r="J2" s="98" t="s">
        <v>66</v>
      </c>
      <c r="K2" s="98" t="s">
        <v>84</v>
      </c>
      <c r="L2" s="98" t="s">
        <v>64</v>
      </c>
    </row>
    <row r="3" spans="1:12" ht="18" x14ac:dyDescent="0.3">
      <c r="A3" s="24" t="s">
        <v>62</v>
      </c>
      <c r="B3" s="25" t="s">
        <v>70</v>
      </c>
      <c r="C3" s="25">
        <f>Podsumowanie!B10</f>
        <v>9800</v>
      </c>
      <c r="D3" s="25" t="s">
        <v>28</v>
      </c>
      <c r="G3" s="81">
        <f>SQRT(2*C$11/C$4/C$16/C$15)</f>
        <v>56.177984453296389</v>
      </c>
      <c r="H3" s="99">
        <f t="shared" ref="H3:H17" si="0">G3/C$19</f>
        <v>0.17307669177969354</v>
      </c>
      <c r="I3" s="100">
        <f t="shared" ref="I3:I17" si="1">C$17*(1-0.605*H3+0.725*H3^2)</f>
        <v>6381.4569326922283</v>
      </c>
      <c r="J3" s="67">
        <f t="shared" ref="J3:J17" ca="1" si="2">OFFSET(D24,A24-2,0,1,1)</f>
        <v>10.978223141351188</v>
      </c>
      <c r="K3" s="67">
        <f t="shared" ref="K3:K17" ca="1" si="3">OFFSET(D23,A24-2,0,1,1)</f>
        <v>6.0389377887026239</v>
      </c>
      <c r="L3" s="67">
        <f ca="1">G3*SIN(RADIANS(K3))</f>
        <v>5.9101660249976566</v>
      </c>
    </row>
    <row r="4" spans="1:12" ht="18" x14ac:dyDescent="0.3">
      <c r="A4" s="24" t="s">
        <v>16</v>
      </c>
      <c r="B4" s="25" t="s">
        <v>5</v>
      </c>
      <c r="C4" s="25">
        <f>Podsumowanie!B3</f>
        <v>17.5</v>
      </c>
      <c r="D4" s="25" t="s">
        <v>71</v>
      </c>
      <c r="G4" s="47">
        <v>63</v>
      </c>
      <c r="H4" s="19">
        <f t="shared" si="0"/>
        <v>0.19409438925644623</v>
      </c>
      <c r="I4" s="48">
        <f t="shared" si="1"/>
        <v>6331.9030980250654</v>
      </c>
      <c r="J4" s="67">
        <f t="shared" ca="1" si="2"/>
        <v>8.514117139559124</v>
      </c>
      <c r="K4" s="67">
        <f t="shared" ca="1" si="3"/>
        <v>6.7470711480427781</v>
      </c>
      <c r="L4" s="14">
        <f t="shared" ref="L4:L17" ca="1" si="4">G4*SIN(RADIANS(K4))</f>
        <v>7.4016579118681136</v>
      </c>
    </row>
    <row r="5" spans="1:12" ht="18" x14ac:dyDescent="0.3">
      <c r="A5" s="24" t="s">
        <v>30</v>
      </c>
      <c r="B5" s="25" t="s">
        <v>72</v>
      </c>
      <c r="C5" s="25">
        <f>Podsumowanie!B31</f>
        <v>-2.4783675378319478E-2</v>
      </c>
      <c r="D5" s="25" t="s">
        <v>29</v>
      </c>
      <c r="G5" s="47">
        <v>77</v>
      </c>
      <c r="H5" s="19">
        <f t="shared" si="0"/>
        <v>0.23722647575787872</v>
      </c>
      <c r="I5" s="48">
        <f t="shared" si="1"/>
        <v>6244.1696008868248</v>
      </c>
      <c r="J5" s="67">
        <f t="shared" ca="1" si="2"/>
        <v>5.2979582903105058</v>
      </c>
      <c r="K5" s="67">
        <f t="shared" ca="1" si="3"/>
        <v>7.4263027908475916</v>
      </c>
      <c r="L5" s="14">
        <f t="shared" ca="1" si="4"/>
        <v>9.9523138923493963</v>
      </c>
    </row>
    <row r="6" spans="1:12" ht="15.6" x14ac:dyDescent="0.3">
      <c r="A6" s="24" t="s">
        <v>12</v>
      </c>
      <c r="B6" s="25" t="s">
        <v>3</v>
      </c>
      <c r="C6" s="25">
        <f>Podsumowanie!B7</f>
        <v>3240</v>
      </c>
      <c r="D6" s="25" t="s">
        <v>0</v>
      </c>
      <c r="G6" s="47">
        <v>90</v>
      </c>
      <c r="H6" s="19">
        <f t="shared" si="0"/>
        <v>0.27727769893778031</v>
      </c>
      <c r="I6" s="48">
        <f t="shared" si="1"/>
        <v>6179.5116118241349</v>
      </c>
      <c r="J6" s="67">
        <f t="shared" ca="1" si="2"/>
        <v>3.5272076182201237</v>
      </c>
      <c r="K6" s="67">
        <f t="shared" ca="1" si="3"/>
        <v>7.5251818668755179</v>
      </c>
      <c r="L6" s="14">
        <f t="shared" ca="1" si="4"/>
        <v>11.78657334443278</v>
      </c>
    </row>
    <row r="7" spans="1:12" ht="18" x14ac:dyDescent="0.3">
      <c r="A7" s="24" t="s">
        <v>15</v>
      </c>
      <c r="B7" s="25" t="s">
        <v>73</v>
      </c>
      <c r="C7" s="25">
        <f>Podsumowanie!B14</f>
        <v>5.1340000000000003</v>
      </c>
      <c r="D7" s="25" t="s">
        <v>8</v>
      </c>
      <c r="G7" s="47">
        <v>104</v>
      </c>
      <c r="H7" s="19">
        <f t="shared" si="0"/>
        <v>0.32040978543921284</v>
      </c>
      <c r="I7" s="48">
        <f t="shared" si="1"/>
        <v>6127.9817479042767</v>
      </c>
      <c r="J7" s="67">
        <f t="shared" ca="1" si="2"/>
        <v>2.3026021488514128</v>
      </c>
      <c r="K7" s="67">
        <f t="shared" ca="1" si="3"/>
        <v>7.3024799340977644</v>
      </c>
      <c r="L7" s="14">
        <f t="shared" ca="1" si="4"/>
        <v>13.21918422911715</v>
      </c>
    </row>
    <row r="8" spans="1:12" ht="18" x14ac:dyDescent="0.3">
      <c r="A8" s="24" t="s">
        <v>18</v>
      </c>
      <c r="B8" s="25" t="s">
        <v>74</v>
      </c>
      <c r="C8" s="25">
        <f>Podsumowanie!B15</f>
        <v>1.533E-2</v>
      </c>
      <c r="D8" s="25" t="s">
        <v>8</v>
      </c>
      <c r="G8" s="47">
        <v>117</v>
      </c>
      <c r="H8" s="19">
        <f t="shared" si="0"/>
        <v>0.3604610086191144</v>
      </c>
      <c r="I8" s="48">
        <f t="shared" si="1"/>
        <v>6096.941418258657</v>
      </c>
      <c r="J8" s="67">
        <f t="shared" ca="1" si="2"/>
        <v>1.5317280027565114</v>
      </c>
      <c r="K8" s="67">
        <f t="shared" ca="1" si="3"/>
        <v>6.8881376795145348</v>
      </c>
      <c r="L8" s="14">
        <f t="shared" ca="1" si="4"/>
        <v>14.031962007204026</v>
      </c>
    </row>
    <row r="9" spans="1:12" ht="18" x14ac:dyDescent="0.3">
      <c r="A9" s="24" t="s">
        <v>14</v>
      </c>
      <c r="B9" s="25" t="s">
        <v>75</v>
      </c>
      <c r="C9" s="25">
        <f>Podsumowanie!B12</f>
        <v>243.33333333333334</v>
      </c>
      <c r="D9" s="25" t="s">
        <v>27</v>
      </c>
      <c r="G9" s="47">
        <v>130</v>
      </c>
      <c r="H9" s="19">
        <f t="shared" si="0"/>
        <v>0.40051223179901602</v>
      </c>
      <c r="I9" s="48">
        <f t="shared" si="1"/>
        <v>6082.0873690731069</v>
      </c>
      <c r="J9" s="67">
        <f t="shared" ca="1" si="2"/>
        <v>0.97813098136934462</v>
      </c>
      <c r="K9" s="67">
        <f t="shared" ca="1" si="3"/>
        <v>6.3180724095682432</v>
      </c>
      <c r="L9" s="14">
        <f t="shared" ca="1" si="4"/>
        <v>14.306217097107112</v>
      </c>
    </row>
    <row r="10" spans="1:12" ht="18" x14ac:dyDescent="0.3">
      <c r="A10" s="24" t="s">
        <v>25</v>
      </c>
      <c r="B10" s="25" t="s">
        <v>24</v>
      </c>
      <c r="C10" s="25">
        <f>Podsumowanie!B2</f>
        <v>1.2255</v>
      </c>
      <c r="D10" s="25" t="s">
        <v>76</v>
      </c>
      <c r="G10" s="47">
        <v>144</v>
      </c>
      <c r="H10" s="19">
        <f t="shared" si="0"/>
        <v>0.44364431830044848</v>
      </c>
      <c r="I10" s="48">
        <f t="shared" si="1"/>
        <v>6084.1925173286309</v>
      </c>
      <c r="J10" s="67">
        <f t="shared" ca="1" si="2"/>
        <v>0.54009659164938695</v>
      </c>
      <c r="K10" s="67">
        <f t="shared" ca="1" si="3"/>
        <v>5.5503883734912502</v>
      </c>
      <c r="L10" s="14">
        <f t="shared" ca="1" si="4"/>
        <v>13.92783978006697</v>
      </c>
    </row>
    <row r="11" spans="1:12" ht="15.6" x14ac:dyDescent="0.3">
      <c r="A11" s="24" t="s">
        <v>19</v>
      </c>
      <c r="B11" s="25" t="s">
        <v>13</v>
      </c>
      <c r="C11" s="25">
        <f>Podsumowanie!B8</f>
        <v>31784.400000000001</v>
      </c>
      <c r="D11" s="25" t="s">
        <v>28</v>
      </c>
      <c r="G11" s="47">
        <v>158</v>
      </c>
      <c r="H11" s="19">
        <f t="shared" si="0"/>
        <v>0.486776404801881</v>
      </c>
      <c r="I11" s="48">
        <f t="shared" si="1"/>
        <v>6105.0699198455386</v>
      </c>
      <c r="J11" s="67">
        <f t="shared" ca="1" si="2"/>
        <v>0.21226573481417471</v>
      </c>
      <c r="K11" s="67">
        <f t="shared" ca="1" si="3"/>
        <v>4.626769859315818</v>
      </c>
      <c r="L11" s="14">
        <f t="shared" ca="1" si="4"/>
        <v>12.745011976751448</v>
      </c>
    </row>
    <row r="12" spans="1:12" ht="18" x14ac:dyDescent="0.3">
      <c r="A12" s="24" t="s">
        <v>59</v>
      </c>
      <c r="B12" s="25" t="s">
        <v>77</v>
      </c>
      <c r="C12" s="25">
        <f>Podsumowanie!B13</f>
        <v>340.3</v>
      </c>
      <c r="D12" s="25" t="s">
        <v>55</v>
      </c>
      <c r="G12" s="47">
        <v>171</v>
      </c>
      <c r="H12" s="19">
        <f t="shared" si="0"/>
        <v>0.52682762798178262</v>
      </c>
      <c r="I12" s="48">
        <f t="shared" si="1"/>
        <v>6141.2649090340592</v>
      </c>
      <c r="J12" s="67">
        <f t="shared" ca="1" si="2"/>
        <v>-2.3590102607485394E-2</v>
      </c>
      <c r="K12" s="67">
        <f t="shared" ca="1" si="3"/>
        <v>3.6208589952558032</v>
      </c>
      <c r="L12" s="14">
        <f t="shared" ca="1" si="4"/>
        <v>10.799309225604452</v>
      </c>
    </row>
    <row r="13" spans="1:12" ht="18" x14ac:dyDescent="0.3">
      <c r="A13" s="24" t="s">
        <v>60</v>
      </c>
      <c r="B13" s="25" t="s">
        <v>78</v>
      </c>
      <c r="C13" s="25">
        <f>Podsumowanie!B18</f>
        <v>288.14999999999998</v>
      </c>
      <c r="D13" s="25" t="s">
        <v>56</v>
      </c>
      <c r="G13" s="47">
        <v>185</v>
      </c>
      <c r="H13" s="19">
        <f t="shared" si="0"/>
        <v>0.56995971448321514</v>
      </c>
      <c r="I13" s="48">
        <f t="shared" si="1"/>
        <v>6198.3459447693504</v>
      </c>
      <c r="J13" s="67">
        <f t="shared" ca="1" si="2"/>
        <v>-0.22471761714086427</v>
      </c>
      <c r="K13" s="67">
        <f t="shared" ca="1" si="3"/>
        <v>2.356747806294432</v>
      </c>
      <c r="L13" s="14">
        <f t="shared" ca="1" si="4"/>
        <v>7.6074610072200848</v>
      </c>
    </row>
    <row r="14" spans="1:12" ht="15.6" x14ac:dyDescent="0.3">
      <c r="A14" s="24" t="s">
        <v>11</v>
      </c>
      <c r="B14" s="25" t="s">
        <v>22</v>
      </c>
      <c r="C14" s="25">
        <f>Podsumowanie!B30</f>
        <v>1.7453292519943295E-2</v>
      </c>
      <c r="D14" s="25" t="s">
        <v>29</v>
      </c>
      <c r="G14" s="47">
        <v>200</v>
      </c>
      <c r="H14" s="19">
        <f t="shared" si="0"/>
        <v>0.61617266430617845</v>
      </c>
      <c r="I14" s="48">
        <f t="shared" si="1"/>
        <v>6280.3356529645644</v>
      </c>
      <c r="J14" s="67">
        <f t="shared" ca="1" si="2"/>
        <v>-0.39585470460339794</v>
      </c>
      <c r="K14" s="67">
        <f t="shared" ca="1" si="3"/>
        <v>0.75297086629585519</v>
      </c>
      <c r="L14" s="14">
        <f t="shared" ca="1" si="4"/>
        <v>2.6282885019978353</v>
      </c>
    </row>
    <row r="15" spans="1:12" ht="18" x14ac:dyDescent="0.25">
      <c r="A15" s="25" t="s">
        <v>94</v>
      </c>
      <c r="B15" s="25" t="s">
        <v>95</v>
      </c>
      <c r="C15" s="25">
        <f>Podsumowanie!B16</f>
        <v>1.405</v>
      </c>
      <c r="D15" s="25" t="s">
        <v>8</v>
      </c>
      <c r="G15" s="47">
        <v>213</v>
      </c>
      <c r="H15" s="19">
        <f t="shared" si="0"/>
        <v>0.65622388748608007</v>
      </c>
      <c r="I15" s="48">
        <f t="shared" si="1"/>
        <v>6368.8247790240812</v>
      </c>
      <c r="J15" s="67">
        <f t="shared" ca="1" si="2"/>
        <v>-0.51664548809712862</v>
      </c>
      <c r="K15" s="67">
        <f t="shared" ca="1" si="3"/>
        <v>-0.89843760289654606</v>
      </c>
      <c r="L15" s="14">
        <f t="shared" ca="1" si="4"/>
        <v>-3.3398510113355036</v>
      </c>
    </row>
    <row r="16" spans="1:12" ht="18.600000000000001" x14ac:dyDescent="0.25">
      <c r="A16" s="23" t="s">
        <v>21</v>
      </c>
      <c r="B16" s="20" t="s">
        <v>79</v>
      </c>
      <c r="C16" s="20">
        <f>C10*(1-C1/44300)^4.256</f>
        <v>0.81921393881961735</v>
      </c>
      <c r="D16" s="20" t="s">
        <v>80</v>
      </c>
      <c r="G16" s="47">
        <v>227</v>
      </c>
      <c r="H16" s="19">
        <f t="shared" si="0"/>
        <v>0.69935597398751259</v>
      </c>
      <c r="I16" s="48">
        <f t="shared" si="1"/>
        <v>6482.2225775435245</v>
      </c>
      <c r="J16" s="67">
        <f t="shared" ca="1" si="2"/>
        <v>-0.6252665835456358</v>
      </c>
      <c r="K16" s="67">
        <f t="shared" ca="1" si="3"/>
        <v>-3.0328060998187776</v>
      </c>
      <c r="L16" s="14">
        <f t="shared" ca="1" si="4"/>
        <v>-12.010056388877096</v>
      </c>
    </row>
    <row r="17" spans="1:25" ht="18.600000000000001" x14ac:dyDescent="0.25">
      <c r="A17" s="23" t="s">
        <v>20</v>
      </c>
      <c r="B17" s="20" t="s">
        <v>81</v>
      </c>
      <c r="C17" s="20">
        <f>C3*(C16/C10)^0.85</f>
        <v>6959.0104816317789</v>
      </c>
      <c r="D17" s="20" t="s">
        <v>28</v>
      </c>
      <c r="G17" s="47">
        <v>240</v>
      </c>
      <c r="H17" s="19">
        <f t="shared" si="0"/>
        <v>0.73940719716741421</v>
      </c>
      <c r="I17" s="48">
        <f t="shared" si="1"/>
        <v>6604.3293630201124</v>
      </c>
      <c r="J17" s="67">
        <f t="shared" ca="1" si="2"/>
        <v>-0.7109577647405847</v>
      </c>
      <c r="K17" s="67">
        <f t="shared" ca="1" si="3"/>
        <v>-5.4630550545160217</v>
      </c>
      <c r="L17" s="14">
        <f t="shared" ca="1" si="4"/>
        <v>-22.848933667264809</v>
      </c>
    </row>
    <row r="18" spans="1:25" ht="18.600000000000001" x14ac:dyDescent="0.25">
      <c r="A18" s="23" t="s">
        <v>61</v>
      </c>
      <c r="B18" s="20" t="s">
        <v>82</v>
      </c>
      <c r="C18" s="20">
        <f>C13-6.5*C1/1000</f>
        <v>262.14999999999998</v>
      </c>
      <c r="D18" s="20" t="s">
        <v>56</v>
      </c>
    </row>
    <row r="19" spans="1:25" ht="18.600000000000001" x14ac:dyDescent="0.3">
      <c r="A19" s="23" t="s">
        <v>54</v>
      </c>
      <c r="B19" s="20" t="s">
        <v>83</v>
      </c>
      <c r="C19" s="20">
        <f>C12*SQRT(C18/C13)</f>
        <v>324.58434394392293</v>
      </c>
      <c r="D19" s="20" t="s">
        <v>55</v>
      </c>
      <c r="Y19" s="41"/>
    </row>
    <row r="20" spans="1:25" ht="18.600000000000001" x14ac:dyDescent="0.3">
      <c r="A20" s="23" t="s">
        <v>155</v>
      </c>
      <c r="B20" s="20" t="s">
        <v>157</v>
      </c>
      <c r="C20" s="20">
        <f>Podsumowanie!B9</f>
        <v>37670.400000000001</v>
      </c>
      <c r="D20" s="20" t="s">
        <v>28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03"/>
    </row>
    <row r="21" spans="1:25" ht="15.6" x14ac:dyDescent="0.25">
      <c r="F21" s="104"/>
      <c r="G21" s="104"/>
      <c r="H21" s="104"/>
      <c r="I21" s="104"/>
      <c r="J21" s="104"/>
      <c r="K21" s="104"/>
      <c r="L21" s="104"/>
      <c r="M21" s="104"/>
      <c r="N21" s="104"/>
      <c r="O21" s="104"/>
    </row>
    <row r="22" spans="1:25" ht="15.6" thickBot="1" x14ac:dyDescent="0.3"/>
    <row r="23" spans="1:25" ht="18.600000000000001" thickBot="1" x14ac:dyDescent="0.3">
      <c r="A23" s="26">
        <v>1</v>
      </c>
      <c r="B23" s="27">
        <f>-I3*COS(C23+C24-C$14)+0.5*C$16*C$4*C$2*(C24-C$5)*G3^2*SIN(C23)+0.5*C$16*C$4*((C$8+1/PI()/C$7*C$2^2*(C24-C$5)^2)/SQRT(1-H3^2))*G3^2*COS(C23)</f>
        <v>1.038772335050453E-3</v>
      </c>
      <c r="C23" s="28">
        <v>0.1053993477359664</v>
      </c>
      <c r="D23" s="29">
        <f t="shared" ref="D23:D52" si="5">DEGREES(C23)</f>
        <v>6.0389377887026239</v>
      </c>
      <c r="F23" s="143" t="s">
        <v>172</v>
      </c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</row>
    <row r="24" spans="1:25" ht="18.600000000000001" thickBot="1" x14ac:dyDescent="0.3">
      <c r="A24" s="30">
        <v>2</v>
      </c>
      <c r="B24" s="31">
        <f>I3*SIN(C23+C24-C$14)+0.5*C$16*C$4*C$2*(C24-C$5)*G3^2*COS(C23)-0.5*C$16*C$4*(C$8+1/PI()/C$7*C$2^2*(C24-C$5)^2)/SQRT(1-H3^2)*G3^2*SIN(C23)-C$11</f>
        <v>-2.2835592972114682E-8</v>
      </c>
      <c r="C24" s="32">
        <v>0.19160613983521307</v>
      </c>
      <c r="D24" s="33">
        <f t="shared" si="5"/>
        <v>10.978223141351188</v>
      </c>
      <c r="F24" s="98" t="s">
        <v>1</v>
      </c>
      <c r="G24" s="98" t="s">
        <v>7</v>
      </c>
      <c r="H24" s="98" t="s">
        <v>109</v>
      </c>
      <c r="I24" s="98" t="s">
        <v>2</v>
      </c>
      <c r="J24" s="98" t="s">
        <v>63</v>
      </c>
      <c r="K24" s="98" t="s">
        <v>53</v>
      </c>
      <c r="L24" s="98" t="s">
        <v>67</v>
      </c>
      <c r="M24" s="98" t="s">
        <v>65</v>
      </c>
      <c r="N24" s="98" t="s">
        <v>68</v>
      </c>
      <c r="O24" s="98" t="s">
        <v>64</v>
      </c>
      <c r="P24" s="98" t="s">
        <v>84</v>
      </c>
      <c r="Q24" s="98" t="s">
        <v>66</v>
      </c>
    </row>
    <row r="25" spans="1:25" x14ac:dyDescent="0.25">
      <c r="A25" s="34">
        <v>3</v>
      </c>
      <c r="B25" s="27">
        <f>-I4*COS(C25+C26-C$14)+0.5*C$16*C$4*C$2*(C26-C$5)*G4^2*SIN(C25)+0.5*C$16*C$4*(C$8+1/PI()/C$7*C$2^2*(C26-C$5)^2)/SQRT(1-H4^2)*G4^2*COS(C25)</f>
        <v>6.9457553308893694E-5</v>
      </c>
      <c r="C25" s="35">
        <v>0.11775860639966024</v>
      </c>
      <c r="D25" s="36">
        <f t="shared" si="5"/>
        <v>6.7470711480427781</v>
      </c>
      <c r="F25" s="42">
        <v>1.405</v>
      </c>
      <c r="G25" s="101">
        <v>0.1406</v>
      </c>
      <c r="H25" s="101">
        <f>G25/SQRT(1-K25^2)</f>
        <v>0.14275439936869935</v>
      </c>
      <c r="I25" s="43">
        <f>F25^3/H25^2</f>
        <v>136.09744449493601</v>
      </c>
      <c r="J25" s="44">
        <f t="shared" ref="J25:J42" si="6">SQRT((2*C$11)/(C$4*C$16*F25))</f>
        <v>56.177984453296382</v>
      </c>
      <c r="K25" s="42">
        <f t="shared" ref="K25:K42" si="7">J25/C$19</f>
        <v>0.17307669177969354</v>
      </c>
      <c r="L25" s="46">
        <f t="shared" ref="L25:L42" si="8">C$11*SQRT((2*C$11)/(C$16*C$4*I25))/J25</f>
        <v>3229.4398087505256</v>
      </c>
      <c r="M25" s="46">
        <f t="shared" ref="M25:M42" si="9">C$17*(1-0.605*K25+0.725*K25^2)</f>
        <v>6381.4569326922283</v>
      </c>
      <c r="N25" s="46">
        <f>(M25-L25)</f>
        <v>3152.0171239417027</v>
      </c>
      <c r="O25" s="43">
        <f t="shared" ref="O25:O42" si="10">N25/C$11*J25</f>
        <v>5.5710967954506287</v>
      </c>
      <c r="P25" s="43">
        <f>DEGREES(ASIN(O25/J25))</f>
        <v>5.6913016351416461</v>
      </c>
      <c r="Q25" s="43">
        <v>12.989000000000001</v>
      </c>
    </row>
    <row r="26" spans="1:25" x14ac:dyDescent="0.25">
      <c r="A26" s="37">
        <v>4</v>
      </c>
      <c r="B26" s="31">
        <f>I4*SIN(C25+C26-C$14)+0.5*C$16*C$4*C$2*(C26-C$5)*G4^2*COS(C25)-0.5*C$16*C$4*(C$8+1/PI()/C$7*C$2^2*(C26-C$5)^2)/SQRT(1-H4^2)*G4^2*SIN(C25)-C$11</f>
        <v>1.2732925824820995E-10</v>
      </c>
      <c r="C26" s="38">
        <v>0.14859937698578826</v>
      </c>
      <c r="D26" s="39">
        <f t="shared" si="5"/>
        <v>8.514117139559124</v>
      </c>
      <c r="F26" s="13">
        <v>1.3560000000000001</v>
      </c>
      <c r="G26" s="18">
        <v>0.13239999999999999</v>
      </c>
      <c r="H26" s="18">
        <f t="shared" ref="H26:H42" si="11">G26/SQRT(1-K26^2)</f>
        <v>0.13450381838344264</v>
      </c>
      <c r="I26" s="14">
        <f t="shared" ref="I26:I42" si="12">F26^3/H26^2</f>
        <v>137.81923708241649</v>
      </c>
      <c r="J26" s="47">
        <f t="shared" si="6"/>
        <v>57.183992114408973</v>
      </c>
      <c r="K26" s="13">
        <f t="shared" si="7"/>
        <v>0.1761760638839944</v>
      </c>
      <c r="L26" s="48">
        <f t="shared" si="8"/>
        <v>3152.7456969223408</v>
      </c>
      <c r="M26" s="48">
        <f t="shared" si="9"/>
        <v>6373.8692901371987</v>
      </c>
      <c r="N26" s="48">
        <f t="shared" ref="N26:N42" si="13">(M26-L26)</f>
        <v>3221.1235932148579</v>
      </c>
      <c r="O26" s="14">
        <f t="shared" si="10"/>
        <v>5.7951921745867505</v>
      </c>
      <c r="P26" s="14">
        <f t="shared" ref="P26:P42" si="14">DEGREES(ASIN(O26/J26))</f>
        <v>5.816506454939856</v>
      </c>
      <c r="Q26" s="14">
        <v>11.238</v>
      </c>
    </row>
    <row r="27" spans="1:25" x14ac:dyDescent="0.25">
      <c r="A27" s="26">
        <v>5</v>
      </c>
      <c r="B27" s="27">
        <f>-I5*COS(C27+C28-C$14)+0.5*C$16*C$4*C$2*(C28-C$5)*G5^2*SIN(C27)+0.5*C$16*C$4*(C$8+1/PI()/C$7*C$2^2*(C28-C$5)^2)/SQRT(1-H5^2)*G5^2*COS(C27)</f>
        <v>-3.9759248465998098E-5</v>
      </c>
      <c r="C27" s="28">
        <v>0.12961343495033428</v>
      </c>
      <c r="D27" s="29">
        <f t="shared" si="5"/>
        <v>7.4263027908475916</v>
      </c>
      <c r="F27" s="13">
        <v>1.302</v>
      </c>
      <c r="G27" s="18">
        <v>0.1231</v>
      </c>
      <c r="H27" s="18">
        <f t="shared" si="11"/>
        <v>0.12513919554303532</v>
      </c>
      <c r="I27" s="14">
        <f t="shared" si="12"/>
        <v>140.94388397051441</v>
      </c>
      <c r="J27" s="47">
        <f t="shared" si="6"/>
        <v>58.357788214824851</v>
      </c>
      <c r="K27" s="13">
        <f t="shared" si="7"/>
        <v>0.17979236923672165</v>
      </c>
      <c r="L27" s="48">
        <f t="shared" si="8"/>
        <v>3054.8957348832964</v>
      </c>
      <c r="M27" s="48">
        <f t="shared" si="9"/>
        <v>6365.1386611027747</v>
      </c>
      <c r="N27" s="48">
        <f t="shared" si="13"/>
        <v>3310.2429262194782</v>
      </c>
      <c r="O27" s="14">
        <f t="shared" si="10"/>
        <v>6.0777757525055813</v>
      </c>
      <c r="P27" s="14">
        <f t="shared" si="14"/>
        <v>5.9780111646326359</v>
      </c>
      <c r="Q27" s="14">
        <v>10.574999999999999</v>
      </c>
    </row>
    <row r="28" spans="1:25" x14ac:dyDescent="0.25">
      <c r="A28" s="30">
        <v>6</v>
      </c>
      <c r="B28" s="31">
        <f>I5*SIN(C27+C28-C$14)+0.5*C$16*C$4*C$2*(C28-C$5)*G5^2*COS(C27)-0.5*C$16*C$4*(C$8+1/PI()/C$7*C$2^2*(C28-C$5)^2)/SQRT(1-H5^2)*G5^2*SIN(C27)-C$11</f>
        <v>0</v>
      </c>
      <c r="C28" s="32">
        <v>9.2466815799247926E-2</v>
      </c>
      <c r="D28" s="33">
        <f t="shared" si="5"/>
        <v>5.2979582903105058</v>
      </c>
      <c r="F28" s="13">
        <v>1.1930000000000001</v>
      </c>
      <c r="G28" s="18">
        <v>0.1061</v>
      </c>
      <c r="H28" s="18">
        <f t="shared" si="11"/>
        <v>0.10802255842022668</v>
      </c>
      <c r="I28" s="14">
        <f t="shared" si="12"/>
        <v>145.50985672956421</v>
      </c>
      <c r="J28" s="47">
        <f t="shared" si="6"/>
        <v>60.965493529976882</v>
      </c>
      <c r="K28" s="13">
        <f t="shared" si="7"/>
        <v>0.1878263528955347</v>
      </c>
      <c r="L28" s="48">
        <f t="shared" si="8"/>
        <v>2877.9817316444696</v>
      </c>
      <c r="M28" s="48">
        <f t="shared" si="9"/>
        <v>6346.214925923985</v>
      </c>
      <c r="N28" s="48">
        <f t="shared" si="13"/>
        <v>3468.2331942795154</v>
      </c>
      <c r="O28" s="14">
        <f t="shared" si="10"/>
        <v>6.6524001826776287</v>
      </c>
      <c r="P28" s="14">
        <f t="shared" si="14"/>
        <v>6.2644438773723081</v>
      </c>
      <c r="Q28" s="14">
        <v>9.5760000000000005</v>
      </c>
    </row>
    <row r="29" spans="1:25" x14ac:dyDescent="0.25">
      <c r="A29" s="34">
        <v>7</v>
      </c>
      <c r="B29" s="27">
        <f>-I6*COS(C29+C30-C$14)+0.5*C$16*C$4*C$2*(C30-C$5)*G6^2*SIN(C29)+0.5*C$16*C$4*(C$8+1/PI()/C$7*C$2^2*(C30-C$5)^2)/SQRT(1-H6^2)*G6^2*COS(C29)</f>
        <v>-1.3468608221955947E-4</v>
      </c>
      <c r="C29" s="35">
        <v>0.1313392003883514</v>
      </c>
      <c r="D29" s="36">
        <f t="shared" si="5"/>
        <v>7.5251818668755179</v>
      </c>
      <c r="F29" s="13">
        <v>1.095</v>
      </c>
      <c r="G29" s="18">
        <v>9.1899999999999996E-2</v>
      </c>
      <c r="H29" s="18">
        <f t="shared" si="11"/>
        <v>9.371873922084821E-2</v>
      </c>
      <c r="I29" s="14">
        <f t="shared" si="12"/>
        <v>149.48220055399091</v>
      </c>
      <c r="J29" s="47">
        <f t="shared" si="6"/>
        <v>63.635176953864821</v>
      </c>
      <c r="K29" s="13">
        <f t="shared" si="7"/>
        <v>0.19605128263629007</v>
      </c>
      <c r="L29" s="48">
        <f t="shared" si="8"/>
        <v>2720.3597213617604</v>
      </c>
      <c r="M29" s="48">
        <f t="shared" si="9"/>
        <v>6327.5161223684981</v>
      </c>
      <c r="N29" s="48">
        <f t="shared" si="13"/>
        <v>3607.1564010067377</v>
      </c>
      <c r="O29" s="14">
        <f t="shared" si="10"/>
        <v>7.2218458073246596</v>
      </c>
      <c r="P29" s="14">
        <f t="shared" si="14"/>
        <v>6.5164381501781783</v>
      </c>
      <c r="Q29" s="14">
        <v>8.6869999999999994</v>
      </c>
    </row>
    <row r="30" spans="1:25" x14ac:dyDescent="0.25">
      <c r="A30" s="37">
        <v>8</v>
      </c>
      <c r="B30" s="31">
        <f>I6*SIN(C29+C30-C$14)+0.5*C$16*C$4*C$2*(C30-C$5)*G6^2*COS(C29)-0.5*C$16*C$4*(C$8+1/PI()/C$7*C$2^2*(C30-C$5)^2)/SQRT(1-H6^2)*G6^2*SIN(C29)-C$11</f>
        <v>-5.8207660913467407E-11</v>
      </c>
      <c r="C30" s="38">
        <v>6.1561386339368293E-2</v>
      </c>
      <c r="D30" s="39">
        <f t="shared" si="5"/>
        <v>3.5272076182201237</v>
      </c>
      <c r="F30" s="13">
        <v>0.997</v>
      </c>
      <c r="G30" s="18">
        <v>7.9399999999999998E-2</v>
      </c>
      <c r="H30" s="18">
        <f t="shared" si="11"/>
        <v>8.1130901258683163E-2</v>
      </c>
      <c r="I30" s="14">
        <f t="shared" si="12"/>
        <v>150.56113292804679</v>
      </c>
      <c r="J30" s="47">
        <f t="shared" si="6"/>
        <v>66.689388702487321</v>
      </c>
      <c r="K30" s="13">
        <f t="shared" si="7"/>
        <v>0.20546089158880987</v>
      </c>
      <c r="L30" s="48">
        <f t="shared" si="8"/>
        <v>2586.4563871278729</v>
      </c>
      <c r="M30" s="48">
        <f t="shared" si="9"/>
        <v>6306.9612178252692</v>
      </c>
      <c r="N30" s="48">
        <f t="shared" si="13"/>
        <v>3720.5048306973963</v>
      </c>
      <c r="O30" s="14">
        <f t="shared" si="10"/>
        <v>7.8062883937988587</v>
      </c>
      <c r="P30" s="14">
        <f t="shared" si="14"/>
        <v>6.7221356659478859</v>
      </c>
      <c r="Q30" s="14">
        <v>8.0169999999999995</v>
      </c>
    </row>
    <row r="31" spans="1:25" x14ac:dyDescent="0.25">
      <c r="A31" s="26">
        <v>9</v>
      </c>
      <c r="B31" s="27">
        <f>-I7*COS(C31+C32-C$14)+0.5*C$16*C$4*C$2*(C32-C$5)*G7^2*SIN(C31)+0.5*C$16*C$4*(C$8+1/PI()/C$7*C$2^2*(C32-C$5)^2)/SQRT(1-H7^2)*G7^2*COS(C31)</f>
        <v>-7.8921598287706729E-6</v>
      </c>
      <c r="C31" s="28">
        <v>0.12745231841082452</v>
      </c>
      <c r="D31" s="29">
        <f t="shared" si="5"/>
        <v>7.3024799340977644</v>
      </c>
      <c r="F31" s="13">
        <v>0.80100000000000005</v>
      </c>
      <c r="G31" s="18">
        <v>5.7599999999999998E-2</v>
      </c>
      <c r="H31" s="18">
        <f t="shared" si="11"/>
        <v>5.9175631130952248E-2</v>
      </c>
      <c r="I31" s="14">
        <f t="shared" si="12"/>
        <v>146.76136796365327</v>
      </c>
      <c r="J31" s="47">
        <f t="shared" si="6"/>
        <v>74.402590649784401</v>
      </c>
      <c r="K31" s="13">
        <f t="shared" si="7"/>
        <v>0.22922421255979808</v>
      </c>
      <c r="L31" s="48">
        <f t="shared" si="8"/>
        <v>2348.1422348547303</v>
      </c>
      <c r="M31" s="48">
        <f t="shared" si="9"/>
        <v>6259.0284096533405</v>
      </c>
      <c r="N31" s="48">
        <f t="shared" si="13"/>
        <v>3910.8861747986102</v>
      </c>
      <c r="O31" s="14">
        <f t="shared" si="10"/>
        <v>9.1548074886246766</v>
      </c>
      <c r="P31" s="14">
        <f t="shared" si="14"/>
        <v>7.0678249776784643</v>
      </c>
      <c r="Q31" s="14">
        <v>6.1310000000000002</v>
      </c>
    </row>
    <row r="32" spans="1:25" x14ac:dyDescent="0.25">
      <c r="A32" s="30">
        <v>10</v>
      </c>
      <c r="B32" s="31">
        <f>I7*SIN(C31+C32-C$14)+0.5*C$16*C$4*C$2*(C32-C$5)*G7^2*COS(C31)-0.5*C$16*C$4*(C$8+1/PI()/C$7*C$2^2*(C32-C$5)^2)/SQRT(1-H7^2)*G7^2*SIN(C31)-C$11</f>
        <v>-5.0931703299283981E-11</v>
      </c>
      <c r="C32" s="32">
        <v>4.0187988860953719E-2</v>
      </c>
      <c r="D32" s="33">
        <f t="shared" si="5"/>
        <v>2.3026021488514128</v>
      </c>
      <c r="F32" s="13">
        <v>0.61099999999999999</v>
      </c>
      <c r="G32" s="18">
        <v>4.0599999999999997E-2</v>
      </c>
      <c r="H32" s="18">
        <f t="shared" si="11"/>
        <v>4.2074979610095022E-2</v>
      </c>
      <c r="I32" s="14">
        <f t="shared" si="12"/>
        <v>128.8474424170355</v>
      </c>
      <c r="J32" s="47">
        <f t="shared" si="6"/>
        <v>85.189037331866416</v>
      </c>
      <c r="K32" s="13">
        <f t="shared" si="7"/>
        <v>0.26245578051227314</v>
      </c>
      <c r="L32" s="48">
        <f t="shared" si="8"/>
        <v>2188.7528345648184</v>
      </c>
      <c r="M32" s="48">
        <f t="shared" si="9"/>
        <v>6201.5531890282055</v>
      </c>
      <c r="N32" s="48">
        <f t="shared" si="13"/>
        <v>4012.8003544633871</v>
      </c>
      <c r="O32" s="14">
        <f t="shared" si="10"/>
        <v>10.755169177386023</v>
      </c>
      <c r="P32" s="14">
        <f t="shared" si="14"/>
        <v>7.2529835066497865</v>
      </c>
      <c r="Q32" s="14">
        <v>4.5730000000000004</v>
      </c>
    </row>
    <row r="33" spans="1:17" x14ac:dyDescent="0.25">
      <c r="A33" s="34">
        <v>11</v>
      </c>
      <c r="B33" s="27">
        <f>-I8*COS(C33+C34-C$14)+0.5*C$16*C$4*C$2*(C34-C$5)*G8^2*SIN(C33)+0.5*C$16*C$4*(C$8+1/PI()/C$7*C$2^2*(C34-C$5)^2)/SQRT(1-H8^2)*G8^2*COS(C33)</f>
        <v>6.4411369748995639E-5</v>
      </c>
      <c r="C33" s="35">
        <v>0.12022068183821059</v>
      </c>
      <c r="D33" s="36">
        <f t="shared" si="5"/>
        <v>6.8881376795145348</v>
      </c>
      <c r="F33" s="13">
        <v>0.49099999999999999</v>
      </c>
      <c r="G33" s="18">
        <v>3.1699999999999999E-2</v>
      </c>
      <c r="H33" s="18">
        <f t="shared" si="11"/>
        <v>3.3152720798362428E-2</v>
      </c>
      <c r="I33" s="14">
        <f t="shared" si="12"/>
        <v>107.69762448520598</v>
      </c>
      <c r="J33" s="47">
        <f t="shared" si="6"/>
        <v>95.030621518011813</v>
      </c>
      <c r="K33" s="13">
        <f t="shared" si="7"/>
        <v>0.29277635625712695</v>
      </c>
      <c r="L33" s="48">
        <f t="shared" si="8"/>
        <v>2146.1086332860909</v>
      </c>
      <c r="M33" s="48">
        <f t="shared" si="9"/>
        <v>6158.8345813081005</v>
      </c>
      <c r="N33" s="48">
        <f t="shared" si="13"/>
        <v>4012.7259480220096</v>
      </c>
      <c r="O33" s="14">
        <f t="shared" si="10"/>
        <v>11.997452864360652</v>
      </c>
      <c r="P33" s="14">
        <f t="shared" si="14"/>
        <v>7.2528482968648023</v>
      </c>
      <c r="Q33" s="14">
        <v>3.3540000000000001</v>
      </c>
    </row>
    <row r="34" spans="1:17" x14ac:dyDescent="0.25">
      <c r="A34" s="37">
        <v>12</v>
      </c>
      <c r="B34" s="31">
        <f>I8*SIN(C33+C34-C$14)+0.5*C$16*C$4*C$2*(C34-C$5)*G8^2*COS(C33)-0.5*C$16*C$4*(C$8+1/PI()/C$7*C$2^2*(C34-C$5)^2)/SQRT(1-H8^2)*G8^2*SIN(C33)-C$11</f>
        <v>1.5643308870494366E-10</v>
      </c>
      <c r="C34" s="38">
        <v>2.6733696893097906E-2</v>
      </c>
      <c r="D34" s="39">
        <f t="shared" si="5"/>
        <v>1.5317280027565114</v>
      </c>
      <c r="F34" s="13">
        <v>0.38800000000000001</v>
      </c>
      <c r="G34" s="18">
        <v>2.52E-2</v>
      </c>
      <c r="H34" s="18">
        <f t="shared" si="11"/>
        <v>2.6689061214075799E-2</v>
      </c>
      <c r="I34" s="14">
        <f t="shared" si="12"/>
        <v>82.002781029444989</v>
      </c>
      <c r="J34" s="47">
        <f t="shared" si="6"/>
        <v>106.90264553898702</v>
      </c>
      <c r="K34" s="13">
        <f t="shared" si="7"/>
        <v>0.32935243961568317</v>
      </c>
      <c r="L34" s="48">
        <f t="shared" si="8"/>
        <v>2186.3293743625536</v>
      </c>
      <c r="M34" s="48">
        <f t="shared" si="9"/>
        <v>6119.6474866928347</v>
      </c>
      <c r="N34" s="48">
        <f t="shared" si="13"/>
        <v>3933.3181123302811</v>
      </c>
      <c r="O34" s="14">
        <f t="shared" si="10"/>
        <v>13.229197718205205</v>
      </c>
      <c r="P34" s="14">
        <f t="shared" si="14"/>
        <v>7.1085730726241518</v>
      </c>
      <c r="Q34" s="14">
        <v>2.5739999999999998</v>
      </c>
    </row>
    <row r="35" spans="1:17" x14ac:dyDescent="0.25">
      <c r="A35" s="26">
        <v>13</v>
      </c>
      <c r="B35" s="27">
        <f>-I9*COS(C35+C36-C$14)+0.5*C$16*C$4*C$2*(C36-C$5)*G9^2*SIN(C35)+0.5*C$16*C$4*(C$8+1/PI()/C$7*C$2^2*(C36-C$5)^2)/SQRT(1-H9^2)*G9^2*COS(C35)</f>
        <v>-1.0086470820169779E-4</v>
      </c>
      <c r="C35" s="28">
        <v>0.11027116592637753</v>
      </c>
      <c r="D35" s="29">
        <f t="shared" si="5"/>
        <v>6.3180724095682432</v>
      </c>
      <c r="F35" s="13">
        <v>0.246</v>
      </c>
      <c r="G35" s="18">
        <v>1.8800000000000001E-2</v>
      </c>
      <c r="H35" s="18">
        <f t="shared" si="11"/>
        <v>2.0649213563036083E-2</v>
      </c>
      <c r="I35" s="14">
        <f t="shared" si="12"/>
        <v>34.913894028408301</v>
      </c>
      <c r="J35" s="47">
        <f t="shared" si="6"/>
        <v>134.25694546559467</v>
      </c>
      <c r="K35" s="13">
        <f t="shared" si="7"/>
        <v>0.41362729894572386</v>
      </c>
      <c r="L35" s="48">
        <f t="shared" si="8"/>
        <v>2667.9791202153015</v>
      </c>
      <c r="M35" s="48">
        <f t="shared" si="9"/>
        <v>6080.7412735510043</v>
      </c>
      <c r="N35" s="48">
        <f t="shared" si="13"/>
        <v>3412.7621533357028</v>
      </c>
      <c r="O35" s="14">
        <f t="shared" si="10"/>
        <v>14.41546866725302</v>
      </c>
      <c r="P35" s="14">
        <f t="shared" si="14"/>
        <v>6.1638586239557167</v>
      </c>
      <c r="Q35" s="14">
        <v>1.242</v>
      </c>
    </row>
    <row r="36" spans="1:17" x14ac:dyDescent="0.25">
      <c r="A36" s="30">
        <v>14</v>
      </c>
      <c r="B36" s="31">
        <f>I9*SIN(C35+C36-C$14)+0.5*C$16*C$4*C$2*(C36-C$5)*G9^2*COS(C35)-0.5*C$16*C$4*(C$8+1/PI()/C$7*C$2^2*(C36-C$5)^2)/SQRT(1-H9^2)*G9^2*SIN(C35)-C$11</f>
        <v>-2.1827872842550278E-10</v>
      </c>
      <c r="C36" s="32">
        <v>1.7071606140658377E-2</v>
      </c>
      <c r="D36" s="33">
        <f t="shared" si="5"/>
        <v>0.97813098136934462</v>
      </c>
      <c r="F36" s="13">
        <v>0.2</v>
      </c>
      <c r="G36" s="18">
        <v>1.7500000000000002E-2</v>
      </c>
      <c r="H36" s="18">
        <f t="shared" si="11"/>
        <v>1.9694494611356431E-2</v>
      </c>
      <c r="I36" s="14">
        <f t="shared" si="12"/>
        <v>20.625301493740245</v>
      </c>
      <c r="J36" s="47">
        <f t="shared" si="6"/>
        <v>148.89815549251958</v>
      </c>
      <c r="K36" s="13">
        <f t="shared" si="7"/>
        <v>0.45873486590050716</v>
      </c>
      <c r="L36" s="48">
        <f t="shared" si="8"/>
        <v>3129.8884726259862</v>
      </c>
      <c r="M36" s="48">
        <f t="shared" si="9"/>
        <v>6089.3618848294846</v>
      </c>
      <c r="N36" s="48">
        <f t="shared" si="13"/>
        <v>2959.4734122034984</v>
      </c>
      <c r="O36" s="14">
        <f t="shared" si="10"/>
        <v>13.864038091209963</v>
      </c>
      <c r="P36" s="14">
        <f t="shared" si="14"/>
        <v>5.3425991540245938</v>
      </c>
      <c r="Q36" s="14">
        <v>0.68799999999999994</v>
      </c>
    </row>
    <row r="37" spans="1:17" x14ac:dyDescent="0.25">
      <c r="A37" s="34">
        <v>15</v>
      </c>
      <c r="B37" s="27">
        <f>-I10*COS(C37+C38-C$14)+0.5*C$16*C$4*C$2*(C38-C$5)*G10^2*SIN(C37)+0.5*C$16*C$4*(C$8+1/PI()/C$7*C$2^2*(C38-C$5)^2)/SQRT(1-H10^2)*G10^2*COS(C37)</f>
        <v>4.0434786114929011E-5</v>
      </c>
      <c r="C37" s="35">
        <v>9.6872551881835064E-2</v>
      </c>
      <c r="D37" s="36">
        <f t="shared" si="5"/>
        <v>5.5503883734912502</v>
      </c>
      <c r="F37" s="13">
        <v>0.151</v>
      </c>
      <c r="G37" s="18">
        <v>1.6299999999999999E-2</v>
      </c>
      <c r="H37" s="18">
        <f t="shared" si="11"/>
        <v>1.9192753484973846E-2</v>
      </c>
      <c r="I37" s="14">
        <f t="shared" si="12"/>
        <v>9.34665627033608</v>
      </c>
      <c r="J37" s="47">
        <f t="shared" si="6"/>
        <v>171.36252076213466</v>
      </c>
      <c r="K37" s="13">
        <f t="shared" si="7"/>
        <v>0.52794450490113676</v>
      </c>
      <c r="L37" s="48">
        <f t="shared" si="8"/>
        <v>4039.9347938265082</v>
      </c>
      <c r="M37" s="48">
        <f t="shared" si="9"/>
        <v>6142.5062307774233</v>
      </c>
      <c r="N37" s="48">
        <f t="shared" si="13"/>
        <v>2102.5714369509151</v>
      </c>
      <c r="O37" s="14">
        <f t="shared" si="10"/>
        <v>11.335810697020314</v>
      </c>
      <c r="P37" s="14">
        <f t="shared" si="14"/>
        <v>3.7929457162690192</v>
      </c>
      <c r="Q37" s="14">
        <v>0.23699999999999999</v>
      </c>
    </row>
    <row r="38" spans="1:17" x14ac:dyDescent="0.25">
      <c r="A38" s="37">
        <v>16</v>
      </c>
      <c r="B38" s="31">
        <f>I10*SIN(C37+C38-C$14)+0.5*C$16*C$4*C$2*(C38-C$5)*G10^2*COS(C37)-0.5*C$16*C$4*(C$8+1/PI()/C$7*C$2^2*(C38-C$5)^2)/SQRT(1-H10^2)*G10^2*SIN(C37)-C$11</f>
        <v>6.9121597334742546E-11</v>
      </c>
      <c r="C38" s="38">
        <v>9.4264638030811133E-3</v>
      </c>
      <c r="D38" s="39">
        <f t="shared" si="5"/>
        <v>0.54009659164938695</v>
      </c>
      <c r="F38" s="13">
        <v>0.12</v>
      </c>
      <c r="G38" s="18">
        <v>1.61E-2</v>
      </c>
      <c r="H38" s="18">
        <f t="shared" si="11"/>
        <v>1.9980807138750813E-2</v>
      </c>
      <c r="I38" s="14">
        <f t="shared" si="12"/>
        <v>4.3283032664050829</v>
      </c>
      <c r="J38" s="47">
        <f t="shared" si="6"/>
        <v>192.22669216784359</v>
      </c>
      <c r="K38" s="13">
        <f t="shared" si="7"/>
        <v>0.59222416531911903</v>
      </c>
      <c r="L38" s="48">
        <f t="shared" si="8"/>
        <v>5292.3163868409292</v>
      </c>
      <c r="M38" s="48">
        <f t="shared" si="9"/>
        <v>6235.1567579918119</v>
      </c>
      <c r="N38" s="48">
        <f t="shared" si="13"/>
        <v>942.84037115088267</v>
      </c>
      <c r="O38" s="14">
        <f t="shared" si="10"/>
        <v>5.7021395964257975</v>
      </c>
      <c r="P38" s="14">
        <f t="shared" si="14"/>
        <v>1.6998495985475501</v>
      </c>
      <c r="Q38" s="14">
        <v>-3.9E-2</v>
      </c>
    </row>
    <row r="39" spans="1:17" x14ac:dyDescent="0.25">
      <c r="A39" s="26">
        <v>17</v>
      </c>
      <c r="B39" s="27">
        <f>-I11*COS(C39+C40-C$14)+0.5*C$16*C$4*C$2*(C40-C$5)*G11^2*SIN(C39)+0.5*C$16*C$4*(C$8+1/PI()/C$7*C$2^2*(C40-C$5)^2)/SQRT(1-H11^2)*G11^2*COS(C39)</f>
        <v>6.2819822232995648E-6</v>
      </c>
      <c r="C39" s="28">
        <v>8.0752367777095865E-2</v>
      </c>
      <c r="D39" s="29">
        <f t="shared" si="5"/>
        <v>4.626769859315818</v>
      </c>
      <c r="F39" s="13">
        <v>9.4E-2</v>
      </c>
      <c r="G39" s="18">
        <v>1.5699999999999999E-2</v>
      </c>
      <c r="H39" s="18">
        <f t="shared" si="11"/>
        <v>2.112650979638148E-2</v>
      </c>
      <c r="I39" s="14">
        <f t="shared" si="12"/>
        <v>1.8609214851108007</v>
      </c>
      <c r="J39" s="47">
        <f t="shared" si="6"/>
        <v>217.1902818496855</v>
      </c>
      <c r="K39" s="13">
        <f t="shared" si="7"/>
        <v>0.66913357314365274</v>
      </c>
      <c r="L39" s="48">
        <f t="shared" si="8"/>
        <v>7143.5472124692296</v>
      </c>
      <c r="M39" s="48">
        <f t="shared" si="9"/>
        <v>6400.7969270813373</v>
      </c>
      <c r="N39" s="48">
        <f t="shared" si="13"/>
        <v>-742.75028538789229</v>
      </c>
      <c r="O39" s="14">
        <f t="shared" si="10"/>
        <v>-5.0753874173283329</v>
      </c>
      <c r="P39" s="14">
        <f t="shared" si="14"/>
        <v>-1.3390320645964935</v>
      </c>
      <c r="Q39" s="14">
        <v>-0.28000000000000003</v>
      </c>
    </row>
    <row r="40" spans="1:17" x14ac:dyDescent="0.25">
      <c r="A40" s="30">
        <v>18</v>
      </c>
      <c r="B40" s="31">
        <f>I11*SIN(C39+C40-C$14)+0.5*C$16*C$4*C$2*(C40-C$5)*G11^2*COS(C39)-0.5*C$16*C$4*(C$8+1/PI()/C$7*C$2^2*(C40-C$5)^2)/SQRT(1-H11^2)*G11^2*SIN(C39)-C$11</f>
        <v>0</v>
      </c>
      <c r="C40" s="32">
        <v>3.7047359616725027E-3</v>
      </c>
      <c r="D40" s="33">
        <f t="shared" si="5"/>
        <v>0.21226573481417471</v>
      </c>
      <c r="F40" s="13">
        <v>7.9000000000000001E-2</v>
      </c>
      <c r="G40" s="18">
        <v>1.5599999999999999E-2</v>
      </c>
      <c r="H40" s="18">
        <f t="shared" si="11"/>
        <v>2.2821890773628093E-2</v>
      </c>
      <c r="I40" s="14">
        <f t="shared" si="12"/>
        <v>0.9466251287311046</v>
      </c>
      <c r="J40" s="47">
        <f t="shared" si="6"/>
        <v>236.91402440480891</v>
      </c>
      <c r="K40" s="13">
        <f t="shared" si="7"/>
        <v>0.72989972814505044</v>
      </c>
      <c r="L40" s="48">
        <f t="shared" si="8"/>
        <v>9182.0266469025919</v>
      </c>
      <c r="M40" s="48">
        <f t="shared" si="9"/>
        <v>6573.8782011758249</v>
      </c>
      <c r="N40" s="48">
        <f t="shared" si="13"/>
        <v>-2608.148445726767</v>
      </c>
      <c r="O40" s="14">
        <f t="shared" si="10"/>
        <v>-19.440572876073663</v>
      </c>
      <c r="P40" s="14">
        <f t="shared" si="14"/>
        <v>-4.7068408168170057</v>
      </c>
      <c r="Q40" s="14">
        <v>-0.41699999999999998</v>
      </c>
    </row>
    <row r="41" spans="1:17" x14ac:dyDescent="0.25">
      <c r="A41" s="34">
        <v>19</v>
      </c>
      <c r="B41" s="27">
        <f>-I12*COS(C41+C42-C$14)+0.5*C$16*C$4*C$2*(C42-C$5)*G12^2*SIN(C41)+0.5*C$16*C$4*(C$8+1/PI()/C$7*C$2^2*(C42-C$5)^2)/SQRT(1-H12^2)*G12^2*COS(C41)</f>
        <v>-1.478950553064351E-4</v>
      </c>
      <c r="C41" s="35">
        <v>6.3195911217667503E-2</v>
      </c>
      <c r="D41" s="36">
        <f t="shared" si="5"/>
        <v>3.6208589952558032</v>
      </c>
      <c r="F41" s="13">
        <v>6.4000000000000001E-2</v>
      </c>
      <c r="G41" s="18">
        <v>1.54E-2</v>
      </c>
      <c r="H41" s="18">
        <f t="shared" si="11"/>
        <v>2.6318740043252627E-2</v>
      </c>
      <c r="I41" s="14">
        <f t="shared" si="12"/>
        <v>0.37845106613127866</v>
      </c>
      <c r="J41" s="47">
        <f t="shared" si="6"/>
        <v>263.21723863732393</v>
      </c>
      <c r="K41" s="13">
        <f t="shared" si="7"/>
        <v>0.81093633611237537</v>
      </c>
      <c r="L41" s="48">
        <f t="shared" si="8"/>
        <v>13070.708766105607</v>
      </c>
      <c r="M41" s="48">
        <f t="shared" si="9"/>
        <v>6862.6725782802841</v>
      </c>
      <c r="N41" s="48">
        <f t="shared" si="13"/>
        <v>-6208.0361878253225</v>
      </c>
      <c r="O41" s="14">
        <f t="shared" si="10"/>
        <v>-51.410822375755423</v>
      </c>
      <c r="P41" s="14">
        <f t="shared" si="14"/>
        <v>-11.263247096025809</v>
      </c>
      <c r="Q41" s="14">
        <v>-0.55500000000000005</v>
      </c>
    </row>
    <row r="42" spans="1:17" x14ac:dyDescent="0.25">
      <c r="A42" s="37">
        <v>20</v>
      </c>
      <c r="B42" s="31">
        <f>I12*SIN(C41+C42-C$14)+0.5*C$16*C$4*C$2*(C42-C$5)*G12^2*COS(C41)-0.5*C$16*C$4*(C$8+1/PI()/C$7*C$2^2*(C42-C$5)^2)/SQRT(1-H12^2)*G12^2*SIN(C41)-C$11</f>
        <v>-1.3460521586239338E-10</v>
      </c>
      <c r="C42" s="38">
        <v>-4.1172496138391966E-4</v>
      </c>
      <c r="D42" s="39">
        <f t="shared" si="5"/>
        <v>-2.3590102607485394E-2</v>
      </c>
      <c r="F42" s="13">
        <v>5.2999999999999999E-2</v>
      </c>
      <c r="G42" s="18">
        <v>1.5299999999999999E-2</v>
      </c>
      <c r="H42" s="18">
        <f t="shared" si="11"/>
        <v>3.3718476403643068E-2</v>
      </c>
      <c r="I42" s="14">
        <f t="shared" si="12"/>
        <v>0.13094584541462459</v>
      </c>
      <c r="J42" s="47">
        <f t="shared" si="6"/>
        <v>289.24534672191584</v>
      </c>
      <c r="K42" s="13">
        <f t="shared" si="7"/>
        <v>0.89112537963903626</v>
      </c>
      <c r="L42" s="48">
        <f t="shared" si="8"/>
        <v>20221.161158565144</v>
      </c>
      <c r="M42" s="48">
        <f t="shared" si="9"/>
        <v>7213.6745372826708</v>
      </c>
      <c r="N42" s="48">
        <f t="shared" si="13"/>
        <v>-13007.486621282475</v>
      </c>
      <c r="O42" s="14">
        <f t="shared" si="10"/>
        <v>-118.37111846545886</v>
      </c>
      <c r="P42" s="14">
        <f t="shared" si="14"/>
        <v>-24.157178314624641</v>
      </c>
      <c r="Q42" s="14">
        <v>-0.65800000000000003</v>
      </c>
    </row>
    <row r="43" spans="1:17" ht="15.6" thickBot="1" x14ac:dyDescent="0.3">
      <c r="A43" s="26">
        <v>21</v>
      </c>
      <c r="B43" s="27">
        <f>-I13*COS(C43+C44-C$14)+0.5*C$16*C$4*C$2*(C44-C$5)*G13^2*SIN(C43)+0.5*C$16*C$4*(C$8+1/PI()/C$7*C$2^2*(C44-C$5)^2)/SQRT(1-H13^2)*G13^2*COS(C43)</f>
        <v>1.8261904187966138E-5</v>
      </c>
      <c r="C43" s="28">
        <v>4.1133008858991377E-2</v>
      </c>
      <c r="D43" s="29">
        <f t="shared" si="5"/>
        <v>2.356747806294432</v>
      </c>
      <c r="F43" s="61"/>
      <c r="G43" s="59"/>
      <c r="H43" s="59"/>
      <c r="I43" s="60"/>
      <c r="J43" s="102"/>
      <c r="K43" s="105"/>
      <c r="L43" s="62"/>
      <c r="M43" s="62"/>
      <c r="N43" s="62"/>
      <c r="O43" s="60"/>
      <c r="P43" s="60"/>
      <c r="Q43" s="60"/>
    </row>
    <row r="44" spans="1:17" ht="18.600000000000001" thickBot="1" x14ac:dyDescent="0.3">
      <c r="A44" s="30">
        <v>22</v>
      </c>
      <c r="B44" s="31">
        <f>I13*SIN(C43+C44-C$14)+0.5*C$16*C$4*C$2*(C44-C$5)*G13^2*COS(C43)-0.5*C$16*C$4*(C$8+1/PI()/C$7*C$2^2*(C44-C$5)^2)/SQRT(1-H13^2)*G13^2*SIN(C43)-C$11</f>
        <v>2.1464074961841106E-10</v>
      </c>
      <c r="C44" s="32">
        <v>-3.9220623063441276E-3</v>
      </c>
      <c r="D44" s="33">
        <f t="shared" si="5"/>
        <v>-0.22471761714086427</v>
      </c>
      <c r="F44" s="143" t="s">
        <v>191</v>
      </c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5"/>
    </row>
    <row r="45" spans="1:17" ht="18.600000000000001" thickBot="1" x14ac:dyDescent="0.3">
      <c r="A45" s="34">
        <v>23</v>
      </c>
      <c r="B45" s="27">
        <f>-I14*COS(C45+C46-C$14)+0.5*C$16*C$4*C$2*(C46-C$5)*G14^2*SIN(C45)+0.5*C$16*C$4*(C$8+1/PI()/C$7*C$2^2*(C46-C$5)^2)/SQRT(1-H14^2)*G14^2*COS(C45)</f>
        <v>3.079292027905467E-4</v>
      </c>
      <c r="C45" s="35">
        <v>1.3141820788456672E-2</v>
      </c>
      <c r="D45" s="36">
        <f t="shared" si="5"/>
        <v>0.75297086629585519</v>
      </c>
      <c r="F45" s="98" t="s">
        <v>1</v>
      </c>
      <c r="G45" s="98" t="s">
        <v>7</v>
      </c>
      <c r="H45" s="98" t="s">
        <v>109</v>
      </c>
      <c r="I45" s="98" t="s">
        <v>2</v>
      </c>
      <c r="J45" s="98" t="s">
        <v>63</v>
      </c>
      <c r="K45" s="98" t="s">
        <v>53</v>
      </c>
      <c r="L45" s="98" t="s">
        <v>67</v>
      </c>
      <c r="M45" s="98" t="s">
        <v>65</v>
      </c>
      <c r="N45" s="98" t="s">
        <v>68</v>
      </c>
      <c r="O45" s="98" t="s">
        <v>64</v>
      </c>
      <c r="P45" s="98" t="s">
        <v>84</v>
      </c>
      <c r="Q45" s="98" t="s">
        <v>66</v>
      </c>
    </row>
    <row r="46" spans="1:17" x14ac:dyDescent="0.25">
      <c r="A46" s="37">
        <v>24</v>
      </c>
      <c r="B46" s="31">
        <f>I14*SIN(C45+C46-C$14)+0.5*C$16*C$4*C$2*(C46-C$5)*G14^2*COS(C45)-0.5*C$16*C$4*(C$8+1/PI()/C$7*C$2^2*(C46-C$5)^2)/SQRT(1-H14^2)*G14^2*SIN(C45)-C$11</f>
        <v>1.7826096154749393E-10</v>
      </c>
      <c r="C46" s="38">
        <v>-6.908967954838848E-3</v>
      </c>
      <c r="D46" s="39">
        <f t="shared" si="5"/>
        <v>-0.39585470460339794</v>
      </c>
      <c r="F46" s="107">
        <f t="shared" ref="F46:G63" si="15">F25</f>
        <v>1.405</v>
      </c>
      <c r="G46" s="109">
        <f t="shared" si="15"/>
        <v>0.1406</v>
      </c>
      <c r="H46" s="101">
        <f>G46/SQRT(1-K46^2)</f>
        <v>0.14316433800625664</v>
      </c>
      <c r="I46" s="43">
        <f>F46^3/H46^2</f>
        <v>135.31915397165008</v>
      </c>
      <c r="J46" s="44">
        <f t="shared" ref="J46:J63" si="16">SQRT((2*C$20)/(C$4*C$16*F46))</f>
        <v>61.158842972703262</v>
      </c>
      <c r="K46" s="42">
        <f t="shared" ref="K46:K63" si="17">J46/C$19</f>
        <v>0.18842203610186886</v>
      </c>
      <c r="L46" s="46">
        <f t="shared" ref="L46:L63" si="18">C$20*SQRT((2*C$20)/(C$16*C$4*I46))/J46</f>
        <v>3838.4753583138004</v>
      </c>
      <c r="M46" s="46">
        <f t="shared" ref="M46:M63" si="19">C$17*(1-0.605*K46+0.725*K46^2)</f>
        <v>6344.8377528789169</v>
      </c>
      <c r="N46" s="46">
        <f>(M46-L46)</f>
        <v>2506.3623945651166</v>
      </c>
      <c r="O46" s="43">
        <f t="shared" ref="O46:O63" si="20">N46/C$20*J46</f>
        <v>4.0691424599127295</v>
      </c>
      <c r="P46" s="43">
        <f>DEGREES(ASIN(O46/J46))</f>
        <v>3.8149355763209645</v>
      </c>
      <c r="Q46" s="107">
        <f t="shared" ref="Q46:Q63" si="21">Q25</f>
        <v>12.989000000000001</v>
      </c>
    </row>
    <row r="47" spans="1:17" x14ac:dyDescent="0.25">
      <c r="A47" s="26">
        <v>25</v>
      </c>
      <c r="B47" s="27">
        <f>-I15*COS(C47+C48-C$14)+0.5*C$16*C$4*C$2*(C48-C$5)*G15^2*SIN(C47)+0.5*C$16*C$4*(C$8+1/PI()/C$7*C$2^2*(C48-C$5)^2)/SQRT(1-H15^2)*G15^2*COS(C47)</f>
        <v>7.3628209429443814E-4</v>
      </c>
      <c r="C47" s="28">
        <v>-1.5680694294270072E-2</v>
      </c>
      <c r="D47" s="29">
        <f t="shared" si="5"/>
        <v>-0.89843760289654606</v>
      </c>
      <c r="F47" s="108">
        <f t="shared" si="15"/>
        <v>1.3560000000000001</v>
      </c>
      <c r="G47" s="12">
        <f t="shared" si="15"/>
        <v>0.13239999999999999</v>
      </c>
      <c r="H47" s="18">
        <f t="shared" ref="H47:H63" si="22">G47/SQRT(1-K47^2)</f>
        <v>0.13490453313898332</v>
      </c>
      <c r="I47" s="14">
        <f t="shared" ref="I47:I63" si="23">F47^3/H47^2</f>
        <v>137.00170812592214</v>
      </c>
      <c r="J47" s="47">
        <f t="shared" si="16"/>
        <v>62.254045393617297</v>
      </c>
      <c r="K47" s="13">
        <f t="shared" si="17"/>
        <v>0.19179620507011474</v>
      </c>
      <c r="L47" s="48">
        <f t="shared" si="18"/>
        <v>3747.7195613265167</v>
      </c>
      <c r="M47" s="48">
        <f t="shared" si="19"/>
        <v>6337.1045190942432</v>
      </c>
      <c r="N47" s="48">
        <f t="shared" ref="N47:N63" si="24">(M47-L47)</f>
        <v>2589.3849577677265</v>
      </c>
      <c r="O47" s="14">
        <f t="shared" si="20"/>
        <v>4.2792136187144774</v>
      </c>
      <c r="P47" s="14">
        <f t="shared" ref="P47:P63" si="25">DEGREES(ASIN(O47/J47))</f>
        <v>3.9415007657663321</v>
      </c>
      <c r="Q47" s="108">
        <f t="shared" si="21"/>
        <v>11.238</v>
      </c>
    </row>
    <row r="48" spans="1:17" x14ac:dyDescent="0.25">
      <c r="A48" s="30">
        <v>26</v>
      </c>
      <c r="B48" s="31">
        <f>I15*SIN(C47+C48-C$14)+0.5*C$16*C$4*C$2*(C48-C$5)*G15^2*COS(C47)-0.5*C$16*C$4*(C$8+1/PI()/C$7*C$2^2*(C48-C$5)^2)/SQRT(1-H15^2)*G15^2*SIN(C47)-C$11</f>
        <v>-9.8501553802634589E-3</v>
      </c>
      <c r="C48" s="32">
        <v>-9.0171648328680673E-3</v>
      </c>
      <c r="D48" s="33">
        <f t="shared" si="5"/>
        <v>-0.51664548809712862</v>
      </c>
      <c r="F48" s="108">
        <f t="shared" si="15"/>
        <v>1.302</v>
      </c>
      <c r="G48" s="12">
        <f t="shared" si="15"/>
        <v>0.1231</v>
      </c>
      <c r="H48" s="18">
        <f t="shared" si="22"/>
        <v>0.12552806462476473</v>
      </c>
      <c r="I48" s="14">
        <f t="shared" si="23"/>
        <v>140.0719861383516</v>
      </c>
      <c r="J48" s="47">
        <f t="shared" si="16"/>
        <v>63.531912730545109</v>
      </c>
      <c r="K48" s="13">
        <f t="shared" si="17"/>
        <v>0.19573313967823799</v>
      </c>
      <c r="L48" s="48">
        <f t="shared" si="18"/>
        <v>3631.8682070973414</v>
      </c>
      <c r="M48" s="48">
        <f t="shared" si="19"/>
        <v>6328.2267068224583</v>
      </c>
      <c r="N48" s="48">
        <f t="shared" si="24"/>
        <v>2696.3584997251169</v>
      </c>
      <c r="O48" s="14">
        <f t="shared" si="20"/>
        <v>4.5474646644261716</v>
      </c>
      <c r="P48" s="14">
        <f t="shared" si="25"/>
        <v>4.1046069350331882</v>
      </c>
      <c r="Q48" s="108">
        <f t="shared" si="21"/>
        <v>10.574999999999999</v>
      </c>
    </row>
    <row r="49" spans="1:17" x14ac:dyDescent="0.25">
      <c r="A49" s="34">
        <v>27</v>
      </c>
      <c r="B49" s="27">
        <f>-I16*COS(C49+C50-C$14)+0.5*C$16*C$4*C$2*(C50-C$5)*G16^2*SIN(C49)+0.5*C$16*C$4*(C$8+1/PI()/C$7*C$2^2*(C50-C$5)^2)/SQRT(1-H16^2)*G16^2*COS(C49)</f>
        <v>-2.5539372472849209E-5</v>
      </c>
      <c r="C49" s="35">
        <v>-5.2932452016405472E-2</v>
      </c>
      <c r="D49" s="36">
        <f t="shared" si="5"/>
        <v>-3.0328060998187776</v>
      </c>
      <c r="F49" s="108">
        <f t="shared" si="15"/>
        <v>1.1930000000000001</v>
      </c>
      <c r="G49" s="12">
        <f t="shared" si="15"/>
        <v>0.1061</v>
      </c>
      <c r="H49" s="18">
        <f t="shared" si="22"/>
        <v>0.10839019148538472</v>
      </c>
      <c r="I49" s="14">
        <f t="shared" si="23"/>
        <v>144.52446286288804</v>
      </c>
      <c r="J49" s="47">
        <f t="shared" si="16"/>
        <v>66.370822695730041</v>
      </c>
      <c r="K49" s="13">
        <f t="shared" si="17"/>
        <v>0.2044794332631048</v>
      </c>
      <c r="L49" s="48">
        <f t="shared" si="18"/>
        <v>3422.5497647368275</v>
      </c>
      <c r="M49" s="48">
        <f t="shared" si="19"/>
        <v>6309.0634392890379</v>
      </c>
      <c r="N49" s="48">
        <f t="shared" si="24"/>
        <v>2886.5136745522104</v>
      </c>
      <c r="O49" s="14">
        <f t="shared" si="20"/>
        <v>5.0856982485586819</v>
      </c>
      <c r="P49" s="14">
        <f t="shared" si="25"/>
        <v>4.3946260823716159</v>
      </c>
      <c r="Q49" s="108">
        <f t="shared" si="21"/>
        <v>9.5760000000000005</v>
      </c>
    </row>
    <row r="50" spans="1:17" x14ac:dyDescent="0.25">
      <c r="A50" s="37">
        <v>28</v>
      </c>
      <c r="B50" s="31">
        <f>I16*SIN(C49+C50-C$14)+0.5*C$16*C$4*C$2*(C50-C$5)*G16^2*COS(C49)-0.5*C$16*C$4*(C$8+1/PI()/C$7*C$2^2*(C50-C$5)^2)/SQRT(1-H16^2)*G16^2*SIN(C49)-C$11</f>
        <v>1.2522420729510486E-4</v>
      </c>
      <c r="C50" s="38">
        <v>-1.0912960585567545E-2</v>
      </c>
      <c r="D50" s="39">
        <f t="shared" si="5"/>
        <v>-0.6252665835456358</v>
      </c>
      <c r="F50" s="108">
        <f t="shared" si="15"/>
        <v>1.095</v>
      </c>
      <c r="G50" s="12">
        <f t="shared" si="15"/>
        <v>9.1899999999999996E-2</v>
      </c>
      <c r="H50" s="18">
        <f t="shared" si="22"/>
        <v>9.4067544634589856E-2</v>
      </c>
      <c r="I50" s="14">
        <f t="shared" si="23"/>
        <v>148.37568645794948</v>
      </c>
      <c r="J50" s="47">
        <f t="shared" si="16"/>
        <v>69.277205879415277</v>
      </c>
      <c r="K50" s="13">
        <f t="shared" si="17"/>
        <v>0.21343360261203481</v>
      </c>
      <c r="L50" s="48">
        <f t="shared" si="18"/>
        <v>3236.1297108701856</v>
      </c>
      <c r="M50" s="48">
        <f t="shared" si="19"/>
        <v>6290.2443543555137</v>
      </c>
      <c r="N50" s="48">
        <f t="shared" si="24"/>
        <v>3054.1146434853281</v>
      </c>
      <c r="O50" s="14">
        <f t="shared" si="20"/>
        <v>5.616625492059284</v>
      </c>
      <c r="P50" s="14">
        <f t="shared" si="25"/>
        <v>4.6503395400080461</v>
      </c>
      <c r="Q50" s="108">
        <f t="shared" si="21"/>
        <v>8.6869999999999994</v>
      </c>
    </row>
    <row r="51" spans="1:17" x14ac:dyDescent="0.25">
      <c r="A51" s="26">
        <v>29</v>
      </c>
      <c r="B51" s="27">
        <f>-I17*COS(C51+C52-C$14)+0.5*C$16*C$4*C$2*(C52-C$5)*G17^2*SIN(C51)+0.5*C$16*C$4*(C$8+1/PI()/C$7*C$2^2*(C52-C$5)^2)/SQRT(1-H17^2)*G17^2*COS(C51)</f>
        <v>-1.395265160681447E-3</v>
      </c>
      <c r="C51" s="28">
        <v>-9.5348297919022898E-2</v>
      </c>
      <c r="D51" s="29">
        <f t="shared" si="5"/>
        <v>-5.4630550545160217</v>
      </c>
      <c r="F51" s="108">
        <f t="shared" si="15"/>
        <v>0.997</v>
      </c>
      <c r="G51" s="12">
        <f t="shared" si="15"/>
        <v>7.9399999999999998E-2</v>
      </c>
      <c r="H51" s="18">
        <f t="shared" si="22"/>
        <v>8.146403682864671E-2</v>
      </c>
      <c r="I51" s="14">
        <f t="shared" si="23"/>
        <v>149.33225414228528</v>
      </c>
      <c r="J51" s="47">
        <f t="shared" si="16"/>
        <v>72.602210479654687</v>
      </c>
      <c r="K51" s="13">
        <f t="shared" si="17"/>
        <v>0.22367748732883391</v>
      </c>
      <c r="L51" s="48">
        <f t="shared" si="18"/>
        <v>3078.0169036608359</v>
      </c>
      <c r="M51" s="48">
        <f t="shared" si="19"/>
        <v>6269.706877850168</v>
      </c>
      <c r="N51" s="48">
        <f t="shared" si="24"/>
        <v>3191.6899741893321</v>
      </c>
      <c r="O51" s="14">
        <f t="shared" si="20"/>
        <v>6.151348201556063</v>
      </c>
      <c r="P51" s="14">
        <f t="shared" si="25"/>
        <v>4.8603112164724793</v>
      </c>
      <c r="Q51" s="108">
        <f t="shared" si="21"/>
        <v>8.0169999999999995</v>
      </c>
    </row>
    <row r="52" spans="1:17" x14ac:dyDescent="0.25">
      <c r="A52" s="30">
        <v>30</v>
      </c>
      <c r="B52" s="31">
        <f>I17*SIN(C51+C52-C$14)+0.5*C$16*C$4*C$2*(C52-C$5)*G17^2*COS(C51)-0.5*C$16*C$4*(C$8+1/PI()/C$7*C$2^2*(C52-C$5)^2)/SQRT(1-H17^2)*G17^2*SIN(C51)-C$11</f>
        <v>-2.660120117070619E-4</v>
      </c>
      <c r="C52" s="32">
        <v>-1.2408553837342452E-2</v>
      </c>
      <c r="D52" s="33">
        <f t="shared" si="5"/>
        <v>-0.7109577647405847</v>
      </c>
      <c r="F52" s="108">
        <f t="shared" si="15"/>
        <v>0.80100000000000005</v>
      </c>
      <c r="G52" s="12">
        <f t="shared" si="15"/>
        <v>5.7599999999999998E-2</v>
      </c>
      <c r="H52" s="18">
        <f t="shared" si="22"/>
        <v>5.9481857042806785E-2</v>
      </c>
      <c r="I52" s="14">
        <f t="shared" si="23"/>
        <v>145.25413702376264</v>
      </c>
      <c r="J52" s="47">
        <f t="shared" si="16"/>
        <v>80.999281170285556</v>
      </c>
      <c r="K52" s="13">
        <f t="shared" si="17"/>
        <v>0.24954771442790064</v>
      </c>
      <c r="L52" s="48">
        <f t="shared" si="18"/>
        <v>2797.3849532401355</v>
      </c>
      <c r="M52" s="48">
        <f t="shared" si="19"/>
        <v>6222.5545998671714</v>
      </c>
      <c r="N52" s="48">
        <f t="shared" si="24"/>
        <v>3425.1696466270359</v>
      </c>
      <c r="O52" s="14">
        <f t="shared" si="20"/>
        <v>7.364834970243769</v>
      </c>
      <c r="P52" s="14">
        <f t="shared" si="25"/>
        <v>5.2168063617101934</v>
      </c>
      <c r="Q52" s="108">
        <f t="shared" si="21"/>
        <v>6.1310000000000002</v>
      </c>
    </row>
    <row r="53" spans="1:17" x14ac:dyDescent="0.25">
      <c r="F53" s="108">
        <f t="shared" si="15"/>
        <v>0.61099999999999999</v>
      </c>
      <c r="G53" s="12">
        <f t="shared" si="15"/>
        <v>4.0599999999999997E-2</v>
      </c>
      <c r="H53" s="18">
        <f t="shared" si="22"/>
        <v>4.2366184579510094E-2</v>
      </c>
      <c r="I53" s="14">
        <f t="shared" si="23"/>
        <v>127.0822579848484</v>
      </c>
      <c r="J53" s="47">
        <f t="shared" si="16"/>
        <v>92.742076951991109</v>
      </c>
      <c r="K53" s="13">
        <f t="shared" si="17"/>
        <v>0.28572566324398496</v>
      </c>
      <c r="L53" s="48">
        <f t="shared" si="18"/>
        <v>2612.0312922814687</v>
      </c>
      <c r="M53" s="48">
        <f t="shared" si="19"/>
        <v>6167.9405172713086</v>
      </c>
      <c r="N53" s="48">
        <f t="shared" si="24"/>
        <v>3555.9092249898399</v>
      </c>
      <c r="O53" s="14">
        <f t="shared" si="20"/>
        <v>8.754417446544311</v>
      </c>
      <c r="P53" s="14">
        <f t="shared" si="25"/>
        <v>5.4165174395185165</v>
      </c>
      <c r="Q53" s="108">
        <f t="shared" si="21"/>
        <v>4.5730000000000004</v>
      </c>
    </row>
    <row r="54" spans="1:17" x14ac:dyDescent="0.25">
      <c r="F54" s="108">
        <f t="shared" si="15"/>
        <v>0.49099999999999999</v>
      </c>
      <c r="G54" s="12">
        <f t="shared" si="15"/>
        <v>3.1699999999999999E-2</v>
      </c>
      <c r="H54" s="18">
        <f t="shared" si="22"/>
        <v>3.3444321053664162E-2</v>
      </c>
      <c r="I54" s="14">
        <f t="shared" si="23"/>
        <v>105.82778556584366</v>
      </c>
      <c r="J54" s="47">
        <f t="shared" si="16"/>
        <v>103.45623673719125</v>
      </c>
      <c r="K54" s="13">
        <f t="shared" si="17"/>
        <v>0.31873452514722939</v>
      </c>
      <c r="L54" s="48">
        <f t="shared" si="18"/>
        <v>2565.9082521791247</v>
      </c>
      <c r="M54" s="48">
        <f t="shared" si="19"/>
        <v>6129.6327800338031</v>
      </c>
      <c r="N54" s="48">
        <f t="shared" si="24"/>
        <v>3563.7245278546784</v>
      </c>
      <c r="O54" s="14">
        <f t="shared" si="20"/>
        <v>9.787247505199538</v>
      </c>
      <c r="P54" s="14">
        <f t="shared" si="25"/>
        <v>5.4284577622263051</v>
      </c>
      <c r="Q54" s="108">
        <f t="shared" si="21"/>
        <v>3.3540000000000001</v>
      </c>
    </row>
    <row r="55" spans="1:17" x14ac:dyDescent="0.25">
      <c r="F55" s="108">
        <f t="shared" si="15"/>
        <v>0.38800000000000001</v>
      </c>
      <c r="G55" s="12">
        <f t="shared" si="15"/>
        <v>2.52E-2</v>
      </c>
      <c r="H55" s="18">
        <f t="shared" si="22"/>
        <v>2.69949142236942E-2</v>
      </c>
      <c r="I55" s="14">
        <f t="shared" si="23"/>
        <v>80.155120825170542</v>
      </c>
      <c r="J55" s="47">
        <f t="shared" si="16"/>
        <v>116.3808594329487</v>
      </c>
      <c r="K55" s="13">
        <f t="shared" si="17"/>
        <v>0.35855352115521422</v>
      </c>
      <c r="L55" s="48">
        <f t="shared" si="18"/>
        <v>2620.9000432274479</v>
      </c>
      <c r="M55" s="48">
        <f t="shared" si="19"/>
        <v>6098.0526629362839</v>
      </c>
      <c r="N55" s="48">
        <f t="shared" si="24"/>
        <v>3477.152619708836</v>
      </c>
      <c r="O55" s="14">
        <f t="shared" si="20"/>
        <v>10.742493051872115</v>
      </c>
      <c r="P55" s="14">
        <f t="shared" si="25"/>
        <v>5.2962051387423168</v>
      </c>
      <c r="Q55" s="108">
        <f t="shared" si="21"/>
        <v>2.5739999999999998</v>
      </c>
    </row>
    <row r="56" spans="1:17" x14ac:dyDescent="0.25">
      <c r="F56" s="108">
        <f t="shared" si="15"/>
        <v>0.246</v>
      </c>
      <c r="G56" s="12">
        <f t="shared" si="15"/>
        <v>1.8800000000000001E-2</v>
      </c>
      <c r="H56" s="18">
        <f t="shared" si="22"/>
        <v>2.1055528526491549E-2</v>
      </c>
      <c r="I56" s="14">
        <f t="shared" si="23"/>
        <v>33.579407324918705</v>
      </c>
      <c r="J56" s="47">
        <f t="shared" si="16"/>
        <v>146.16044925127761</v>
      </c>
      <c r="K56" s="13">
        <f t="shared" si="17"/>
        <v>0.4503003671567386</v>
      </c>
      <c r="L56" s="48">
        <f t="shared" si="18"/>
        <v>3224.269031724989</v>
      </c>
      <c r="M56" s="48">
        <f t="shared" si="19"/>
        <v>6086.1893467937762</v>
      </c>
      <c r="N56" s="48">
        <f t="shared" si="24"/>
        <v>2861.9203150687872</v>
      </c>
      <c r="O56" s="14">
        <f t="shared" si="20"/>
        <v>11.104197432780429</v>
      </c>
      <c r="P56" s="14">
        <f t="shared" si="25"/>
        <v>4.3571108108538636</v>
      </c>
      <c r="Q56" s="108">
        <f t="shared" si="21"/>
        <v>1.242</v>
      </c>
    </row>
    <row r="57" spans="1:17" x14ac:dyDescent="0.25">
      <c r="F57" s="108">
        <f t="shared" si="15"/>
        <v>0.2</v>
      </c>
      <c r="G57" s="12">
        <f t="shared" si="15"/>
        <v>1.7500000000000002E-2</v>
      </c>
      <c r="H57" s="18">
        <f t="shared" si="22"/>
        <v>2.0199283860176782E-2</v>
      </c>
      <c r="I57" s="14">
        <f t="shared" si="23"/>
        <v>19.607311218582542</v>
      </c>
      <c r="J57" s="47">
        <f t="shared" si="16"/>
        <v>162.09977982144954</v>
      </c>
      <c r="K57" s="13">
        <f t="shared" si="17"/>
        <v>0.49940726608013736</v>
      </c>
      <c r="L57" s="48">
        <f t="shared" si="18"/>
        <v>3804.5755136320172</v>
      </c>
      <c r="M57" s="48">
        <f t="shared" si="19"/>
        <v>6114.7372523233817</v>
      </c>
      <c r="N57" s="48">
        <f t="shared" si="24"/>
        <v>2310.1617386913645</v>
      </c>
      <c r="O57" s="14">
        <f t="shared" si="20"/>
        <v>9.940874245928029</v>
      </c>
      <c r="P57" s="14">
        <f t="shared" si="25"/>
        <v>3.5159070237539303</v>
      </c>
      <c r="Q57" s="108">
        <f t="shared" si="21"/>
        <v>0.68799999999999994</v>
      </c>
    </row>
    <row r="58" spans="1:17" x14ac:dyDescent="0.25">
      <c r="F58" s="108">
        <f t="shared" si="15"/>
        <v>0.151</v>
      </c>
      <c r="G58" s="12">
        <f t="shared" si="15"/>
        <v>1.6299999999999999E-2</v>
      </c>
      <c r="H58" s="18">
        <f t="shared" si="22"/>
        <v>1.9918692134874211E-2</v>
      </c>
      <c r="I58" s="14">
        <f t="shared" si="23"/>
        <v>8.6777913473233159</v>
      </c>
      <c r="J58" s="47">
        <f t="shared" si="16"/>
        <v>186.55588306858593</v>
      </c>
      <c r="K58" s="13">
        <f t="shared" si="17"/>
        <v>0.57475317756181243</v>
      </c>
      <c r="L58" s="48">
        <f t="shared" si="18"/>
        <v>4969.1728489904999</v>
      </c>
      <c r="M58" s="48">
        <f t="shared" si="19"/>
        <v>6205.8486669192671</v>
      </c>
      <c r="N58" s="48">
        <f t="shared" si="24"/>
        <v>1236.6758179287672</v>
      </c>
      <c r="O58" s="14">
        <f t="shared" si="20"/>
        <v>6.1244146407595066</v>
      </c>
      <c r="P58" s="14">
        <f t="shared" si="25"/>
        <v>1.8812924347877555</v>
      </c>
      <c r="Q58" s="108">
        <f t="shared" si="21"/>
        <v>0.23699999999999999</v>
      </c>
    </row>
    <row r="59" spans="1:17" x14ac:dyDescent="0.25">
      <c r="F59" s="108">
        <f t="shared" si="15"/>
        <v>0.12</v>
      </c>
      <c r="G59" s="12">
        <f t="shared" si="15"/>
        <v>1.61E-2</v>
      </c>
      <c r="H59" s="18">
        <f t="shared" si="22"/>
        <v>2.1062031759646462E-2</v>
      </c>
      <c r="I59" s="14">
        <f t="shared" si="23"/>
        <v>3.8953206351943419</v>
      </c>
      <c r="J59" s="47">
        <f t="shared" si="16"/>
        <v>209.2699158907877</v>
      </c>
      <c r="K59" s="13">
        <f t="shared" si="17"/>
        <v>0.64473200816778264</v>
      </c>
      <c r="L59" s="48">
        <f t="shared" si="18"/>
        <v>6611.7930099882178</v>
      </c>
      <c r="M59" s="48">
        <f t="shared" si="19"/>
        <v>6341.7787697430394</v>
      </c>
      <c r="N59" s="48">
        <f t="shared" si="24"/>
        <v>-270.01424024517837</v>
      </c>
      <c r="O59" s="14">
        <f t="shared" si="20"/>
        <v>-1.5000068315022781</v>
      </c>
      <c r="P59" s="14">
        <f t="shared" si="25"/>
        <v>-0.4106887331068188</v>
      </c>
      <c r="Q59" s="108">
        <f t="shared" si="21"/>
        <v>-3.9E-2</v>
      </c>
    </row>
    <row r="60" spans="1:17" x14ac:dyDescent="0.25">
      <c r="F60" s="108">
        <f t="shared" si="15"/>
        <v>9.4E-2</v>
      </c>
      <c r="G60" s="12">
        <f t="shared" si="15"/>
        <v>1.5699999999999999E-2</v>
      </c>
      <c r="H60" s="18">
        <f t="shared" si="22"/>
        <v>2.2916765757009919E-2</v>
      </c>
      <c r="I60" s="14">
        <f t="shared" si="23"/>
        <v>1.5815280883874421</v>
      </c>
      <c r="J60" s="47">
        <f t="shared" si="16"/>
        <v>236.44683005466317</v>
      </c>
      <c r="K60" s="13">
        <f t="shared" si="17"/>
        <v>0.72846036620765997</v>
      </c>
      <c r="L60" s="48">
        <f t="shared" si="18"/>
        <v>9183.8694975836879</v>
      </c>
      <c r="M60" s="48">
        <f t="shared" si="19"/>
        <v>6569.3476116145694</v>
      </c>
      <c r="N60" s="48">
        <f t="shared" si="24"/>
        <v>-2614.5218859691186</v>
      </c>
      <c r="O60" s="14">
        <f t="shared" si="20"/>
        <v>-16.410641035028501</v>
      </c>
      <c r="P60" s="14">
        <f t="shared" si="25"/>
        <v>-3.9798249638602829</v>
      </c>
      <c r="Q60" s="108">
        <f t="shared" si="21"/>
        <v>-0.28000000000000003</v>
      </c>
    </row>
    <row r="61" spans="1:17" x14ac:dyDescent="0.25">
      <c r="F61" s="108">
        <f t="shared" si="15"/>
        <v>7.9000000000000001E-2</v>
      </c>
      <c r="G61" s="12">
        <f t="shared" si="15"/>
        <v>1.5599999999999999E-2</v>
      </c>
      <c r="H61" s="18">
        <f t="shared" si="22"/>
        <v>2.5695307513575807E-2</v>
      </c>
      <c r="I61" s="14">
        <f t="shared" si="23"/>
        <v>0.74674725486644489</v>
      </c>
      <c r="J61" s="47">
        <f t="shared" si="16"/>
        <v>257.91932120047244</v>
      </c>
      <c r="K61" s="13">
        <f t="shared" si="17"/>
        <v>0.79461417660068068</v>
      </c>
      <c r="L61" s="48">
        <f t="shared" si="18"/>
        <v>12252.563445055772</v>
      </c>
      <c r="M61" s="48">
        <f t="shared" si="19"/>
        <v>6799.1752201582995</v>
      </c>
      <c r="N61" s="48">
        <f t="shared" si="24"/>
        <v>-5453.3882248974724</v>
      </c>
      <c r="O61" s="14">
        <f t="shared" si="20"/>
        <v>-37.337914893608918</v>
      </c>
      <c r="P61" s="14">
        <f t="shared" si="25"/>
        <v>-8.3237214712577821</v>
      </c>
      <c r="Q61" s="108">
        <f t="shared" si="21"/>
        <v>-0.41699999999999998</v>
      </c>
    </row>
    <row r="62" spans="1:17" x14ac:dyDescent="0.25">
      <c r="F62" s="108">
        <f t="shared" si="15"/>
        <v>6.4000000000000001E-2</v>
      </c>
      <c r="G62" s="12">
        <f t="shared" si="15"/>
        <v>1.54E-2</v>
      </c>
      <c r="H62" s="18">
        <f t="shared" si="22"/>
        <v>3.2788140689521107E-2</v>
      </c>
      <c r="I62" s="14">
        <f t="shared" si="23"/>
        <v>0.24384078181290464</v>
      </c>
      <c r="J62" s="47">
        <f t="shared" si="16"/>
        <v>286.55463385148312</v>
      </c>
      <c r="K62" s="13">
        <f t="shared" si="17"/>
        <v>0.88283566104774902</v>
      </c>
      <c r="L62" s="48">
        <f t="shared" si="18"/>
        <v>19299.099609852125</v>
      </c>
      <c r="M62" s="48">
        <f t="shared" si="19"/>
        <v>7174.3818230163315</v>
      </c>
      <c r="N62" s="48">
        <f t="shared" si="24"/>
        <v>-12124.717786835794</v>
      </c>
      <c r="O62" s="14">
        <f t="shared" si="20"/>
        <v>-92.231408903523601</v>
      </c>
      <c r="P62" s="14">
        <f t="shared" si="25"/>
        <v>-18.775644500141553</v>
      </c>
      <c r="Q62" s="108">
        <f t="shared" si="21"/>
        <v>-0.55500000000000005</v>
      </c>
    </row>
    <row r="63" spans="1:17" x14ac:dyDescent="0.25">
      <c r="F63" s="108">
        <f t="shared" si="15"/>
        <v>5.2999999999999999E-2</v>
      </c>
      <c r="G63" s="12">
        <f t="shared" si="15"/>
        <v>1.5299999999999999E-2</v>
      </c>
      <c r="H63" s="18">
        <f t="shared" si="22"/>
        <v>6.3075125975863164E-2</v>
      </c>
      <c r="I63" s="14">
        <f t="shared" si="23"/>
        <v>3.7420652471351339E-2</v>
      </c>
      <c r="J63" s="47">
        <f t="shared" si="16"/>
        <v>314.89044886359858</v>
      </c>
      <c r="K63" s="13">
        <f t="shared" si="17"/>
        <v>0.97013443420425993</v>
      </c>
      <c r="L63" s="48">
        <f t="shared" si="18"/>
        <v>44831.419350210483</v>
      </c>
      <c r="M63" s="48">
        <f t="shared" si="19"/>
        <v>7622.9714957614233</v>
      </c>
      <c r="N63" s="48">
        <f t="shared" si="24"/>
        <v>-37208.447854449056</v>
      </c>
      <c r="O63" s="14">
        <f t="shared" si="20"/>
        <v>-311.02894703547787</v>
      </c>
      <c r="P63" s="14">
        <f t="shared" si="25"/>
        <v>-81.017839261850241</v>
      </c>
      <c r="Q63" s="108">
        <f t="shared" si="21"/>
        <v>-0.65800000000000003</v>
      </c>
    </row>
    <row r="64" spans="1:17" ht="15.6" thickBot="1" x14ac:dyDescent="0.3">
      <c r="F64" s="61"/>
      <c r="G64" s="105"/>
      <c r="H64" s="59"/>
      <c r="I64" s="60"/>
      <c r="J64" s="102"/>
      <c r="K64" s="105"/>
      <c r="L64" s="62"/>
      <c r="M64" s="62"/>
      <c r="N64" s="62"/>
      <c r="O64" s="60"/>
      <c r="P64" s="60"/>
      <c r="Q64" s="61"/>
    </row>
    <row r="65" spans="2:12" ht="18.600000000000001" thickBot="1" x14ac:dyDescent="0.3">
      <c r="F65" s="97"/>
      <c r="G65" s="143" t="s">
        <v>192</v>
      </c>
      <c r="H65" s="144"/>
      <c r="I65" s="144"/>
      <c r="J65" s="144"/>
      <c r="K65" s="144"/>
      <c r="L65" s="145"/>
    </row>
    <row r="66" spans="2:12" ht="18.600000000000001" thickBot="1" x14ac:dyDescent="0.3">
      <c r="B66" s="59" t="s">
        <v>174</v>
      </c>
      <c r="C66" s="59" t="s">
        <v>175</v>
      </c>
      <c r="D66" s="20" t="s">
        <v>176</v>
      </c>
      <c r="E66" s="20" t="s">
        <v>177</v>
      </c>
      <c r="F66" s="97"/>
      <c r="G66" s="98" t="s">
        <v>63</v>
      </c>
      <c r="H66" s="98" t="s">
        <v>53</v>
      </c>
      <c r="I66" s="98" t="s">
        <v>65</v>
      </c>
      <c r="J66" s="98" t="s">
        <v>66</v>
      </c>
      <c r="K66" s="98" t="s">
        <v>84</v>
      </c>
      <c r="L66" s="98" t="s">
        <v>64</v>
      </c>
    </row>
    <row r="67" spans="2:12" x14ac:dyDescent="0.25">
      <c r="B67" s="27">
        <f>-I67*COS(C67+D67-C$14)+0.5*C$16*C$4*C$2*(D67-C$5)*G67^2*SIN(C67)+0.5*C$16*C$4*((C$8+1/PI()/C$7*C$2^2*(D67-C$5)^2)/SQRT(1-H67^2))*G67^2*COS(C67)</f>
        <v>-9.5615930604253663E-5</v>
      </c>
      <c r="C67" s="28">
        <v>7.1676405408802005E-2</v>
      </c>
      <c r="D67" s="32">
        <v>0.19347234480320416</v>
      </c>
      <c r="E67" s="31">
        <f>I67*SIN(C67+D67-C$14)+0.5*C$16*C$4*C$2*(D67-C$5)*G67^2*COS(C67)-0.5*C$16*C$4*(C$8+1/PI()/C$7*C$2^2*(D67-C$5)^2)/SQRT(1-H67^2)*G67^2*SIN(C67)-C$20</f>
        <v>4.4038487976649776E-4</v>
      </c>
      <c r="F67" s="97"/>
      <c r="G67" s="81">
        <f>SQRT(2*C$20/C$4/C$16/C$15)</f>
        <v>61.158842972703262</v>
      </c>
      <c r="H67" s="99">
        <f>G67/C$19</f>
        <v>0.18842203610186886</v>
      </c>
      <c r="I67" s="100">
        <f>C$17*(1-0.605*H67+0.725*H67^2)</f>
        <v>6344.8377528789169</v>
      </c>
      <c r="J67" s="67">
        <f>DEGREES(D67)</f>
        <v>11.085148809723425</v>
      </c>
      <c r="K67" s="67">
        <f>DEGREES(C67)</f>
        <v>4.1067555205930208</v>
      </c>
      <c r="L67" s="67">
        <f>G67*SIN(RADIANS(K67))</f>
        <v>4.3798934852198768</v>
      </c>
    </row>
    <row r="68" spans="2:12" x14ac:dyDescent="0.25">
      <c r="B68" s="27">
        <f t="shared" ref="B68:B81" si="26">-I68*COS(C68+D68-C$14)+0.5*C$16*C$4*C$2*(D68-C$5)*G68^2*SIN(C68)+0.5*C$16*C$4*((C$8+1/PI()/C$7*C$2^2*(D68-C$5)^2)/SQRT(1-H68^2))*G68^2*COS(C68)</f>
        <v>-1.8080285826727049E-4</v>
      </c>
      <c r="C68" s="35">
        <v>7.5407991539861108E-2</v>
      </c>
      <c r="D68" s="38">
        <v>0.18128535095265794</v>
      </c>
      <c r="E68" s="31">
        <f t="shared" ref="E68:E81" si="27">I68*SIN(C68+D68-C$14)+0.5*C$16*C$4*C$2*(D68-C$5)*G68^2*COS(C68)-0.5*C$16*C$4*(C$8+1/PI()/C$7*C$2^2*(D68-C$5)^2)/SQRT(1-H68^2)*G68^2*SIN(C68)-C$20</f>
        <v>-1.8189894035458565E-10</v>
      </c>
      <c r="F68" s="97"/>
      <c r="G68" s="11">
        <f t="shared" ref="G68:G81" si="28">G4</f>
        <v>63</v>
      </c>
      <c r="H68" s="99">
        <f t="shared" ref="H68:H81" si="29">G68/C$19</f>
        <v>0.19409438925644623</v>
      </c>
      <c r="I68" s="100">
        <f t="shared" ref="I68:I81" si="30">C$17*(1-0.605*H68+0.725*H68^2)</f>
        <v>6331.9030980250654</v>
      </c>
      <c r="J68" s="67">
        <f t="shared" ref="J68:J81" si="31">DEGREES(D68)</f>
        <v>10.386885497135237</v>
      </c>
      <c r="K68" s="67">
        <f t="shared" ref="K68:K81" si="32">DEGREES(C68)</f>
        <v>4.3205596567922591</v>
      </c>
      <c r="L68" s="67">
        <f t="shared" ref="L68:L81" si="33">G68*SIN(RADIANS(K68))</f>
        <v>4.7462023744757067</v>
      </c>
    </row>
    <row r="69" spans="2:12" x14ac:dyDescent="0.25">
      <c r="B69" s="27">
        <f t="shared" si="26"/>
        <v>5.8725581766339019E-5</v>
      </c>
      <c r="C69" s="28">
        <v>9.3021645209469261E-2</v>
      </c>
      <c r="D69" s="32">
        <v>0.11456616862416703</v>
      </c>
      <c r="E69" s="31">
        <f t="shared" si="27"/>
        <v>1.1641532182693481E-10</v>
      </c>
      <c r="G69" s="11">
        <f t="shared" si="28"/>
        <v>77</v>
      </c>
      <c r="H69" s="99">
        <f t="shared" si="29"/>
        <v>0.23722647575787872</v>
      </c>
      <c r="I69" s="100">
        <f t="shared" si="30"/>
        <v>6244.1696008868248</v>
      </c>
      <c r="J69" s="67">
        <f t="shared" si="31"/>
        <v>6.5641579371488845</v>
      </c>
      <c r="K69" s="67">
        <f t="shared" si="32"/>
        <v>5.3297476738659215</v>
      </c>
      <c r="L69" s="67">
        <f t="shared" si="33"/>
        <v>7.1523413586659279</v>
      </c>
    </row>
    <row r="70" spans="2:12" x14ac:dyDescent="0.25">
      <c r="B70" s="27">
        <f t="shared" si="26"/>
        <v>-3.1266242422134383E-4</v>
      </c>
      <c r="C70" s="35">
        <v>9.8669631117052625E-2</v>
      </c>
      <c r="D70" s="38">
        <v>7.7803962891395101E-2</v>
      </c>
      <c r="E70" s="31">
        <f t="shared" si="27"/>
        <v>-1.0913936421275139E-10</v>
      </c>
      <c r="G70" s="11">
        <f t="shared" si="28"/>
        <v>90</v>
      </c>
      <c r="H70" s="99">
        <f t="shared" si="29"/>
        <v>0.27727769893778031</v>
      </c>
      <c r="I70" s="100">
        <f t="shared" si="30"/>
        <v>6179.5116118241349</v>
      </c>
      <c r="J70" s="67">
        <f t="shared" si="31"/>
        <v>4.4578387030694131</v>
      </c>
      <c r="K70" s="67">
        <f t="shared" si="32"/>
        <v>5.6533534291198135</v>
      </c>
      <c r="L70" s="67">
        <f t="shared" si="33"/>
        <v>8.8658645499695137</v>
      </c>
    </row>
    <row r="71" spans="2:12" x14ac:dyDescent="0.25">
      <c r="B71" s="27">
        <f>-I71*COS(C71+D71-C$14)+0.5*C$16*C$4*C$2*(D71-C$5)*G71^2*SIN(C71)+0.5*C$16*C$4*((C$8+1/PI()/C$7*C$2^2*(D71-C$5)^2)/SQRT(1-H71^2))*G71^2*COS(C71)</f>
        <v>-6.5591395468800329E-5</v>
      </c>
      <c r="C71" s="28">
        <v>9.828904758899551E-2</v>
      </c>
      <c r="D71" s="32">
        <v>5.2374779581878111E-2</v>
      </c>
      <c r="E71" s="31">
        <f t="shared" si="27"/>
        <v>-1.2369127944111824E-10</v>
      </c>
      <c r="G71" s="11">
        <f t="shared" si="28"/>
        <v>104</v>
      </c>
      <c r="H71" s="99">
        <f t="shared" si="29"/>
        <v>0.32040978543921284</v>
      </c>
      <c r="I71" s="100">
        <f t="shared" si="30"/>
        <v>6127.9817479042767</v>
      </c>
      <c r="J71" s="67">
        <f t="shared" si="31"/>
        <v>3.000853822969574</v>
      </c>
      <c r="K71" s="67">
        <f t="shared" si="32"/>
        <v>5.6315475992099424</v>
      </c>
      <c r="L71" s="67">
        <f t="shared" si="33"/>
        <v>10.205610124094328</v>
      </c>
    </row>
    <row r="72" spans="2:12" x14ac:dyDescent="0.25">
      <c r="B72" s="27">
        <f>-I72*COS(C72+D72-C$14)+0.5*C$16*C$4*C$2*(D72-C$5)*G72^2*SIN(C72)+0.5*C$16*C$4*((C$8+1/PI()/C$7*C$2^2*(D72-C$5)^2)/SQRT(1-H72^2))*G72^2*COS(C72)</f>
        <v>-2.012991262745345E-5</v>
      </c>
      <c r="C72" s="35">
        <v>9.4011907145307688E-2</v>
      </c>
      <c r="D72" s="38">
        <v>3.6367662725928299E-2</v>
      </c>
      <c r="E72" s="31">
        <f t="shared" si="27"/>
        <v>-5.8207660913467407E-11</v>
      </c>
      <c r="G72" s="11">
        <f t="shared" si="28"/>
        <v>117</v>
      </c>
      <c r="H72" s="99">
        <f t="shared" si="29"/>
        <v>0.3604610086191144</v>
      </c>
      <c r="I72" s="100">
        <f t="shared" si="30"/>
        <v>6096.941418258657</v>
      </c>
      <c r="J72" s="67">
        <f t="shared" si="31"/>
        <v>2.0837135849509303</v>
      </c>
      <c r="K72" s="67">
        <f t="shared" si="32"/>
        <v>5.3864855034019179</v>
      </c>
      <c r="L72" s="67">
        <f t="shared" si="33"/>
        <v>10.983197750937327</v>
      </c>
    </row>
    <row r="73" spans="2:12" x14ac:dyDescent="0.25">
      <c r="B73" s="27">
        <f t="shared" si="26"/>
        <v>8.983386351246736E-5</v>
      </c>
      <c r="C73" s="28">
        <v>8.6925752756644173E-2</v>
      </c>
      <c r="D73" s="32">
        <v>2.487383388387129E-2</v>
      </c>
      <c r="E73" s="31">
        <f t="shared" si="27"/>
        <v>2.255546860396862E-10</v>
      </c>
      <c r="G73" s="11">
        <f t="shared" si="28"/>
        <v>130</v>
      </c>
      <c r="H73" s="99">
        <f t="shared" si="29"/>
        <v>0.40051223179901602</v>
      </c>
      <c r="I73" s="100">
        <f t="shared" si="30"/>
        <v>6082.0873690731069</v>
      </c>
      <c r="J73" s="67">
        <f t="shared" si="31"/>
        <v>1.4251657018553257</v>
      </c>
      <c r="K73" s="67">
        <f t="shared" si="32"/>
        <v>4.9804787639533927</v>
      </c>
      <c r="L73" s="67">
        <f t="shared" si="33"/>
        <v>11.286122166320297</v>
      </c>
    </row>
    <row r="74" spans="2:12" x14ac:dyDescent="0.25">
      <c r="B74" s="27">
        <f t="shared" si="26"/>
        <v>-3.6364871448313352E-5</v>
      </c>
      <c r="C74" s="35">
        <v>7.6652233827803215E-2</v>
      </c>
      <c r="D74" s="38">
        <v>1.5781428799272142E-2</v>
      </c>
      <c r="E74" s="31">
        <f t="shared" si="27"/>
        <v>0</v>
      </c>
      <c r="G74" s="11">
        <f t="shared" si="28"/>
        <v>144</v>
      </c>
      <c r="H74" s="99">
        <f t="shared" si="29"/>
        <v>0.44364431830044848</v>
      </c>
      <c r="I74" s="100">
        <f t="shared" si="30"/>
        <v>6084.1925173286309</v>
      </c>
      <c r="J74" s="67">
        <f t="shared" si="31"/>
        <v>0.90420926488450415</v>
      </c>
      <c r="K74" s="67">
        <f t="shared" si="32"/>
        <v>4.391849488583043</v>
      </c>
      <c r="L74" s="67">
        <f t="shared" si="33"/>
        <v>11.027115841926321</v>
      </c>
    </row>
    <row r="75" spans="2:12" x14ac:dyDescent="0.25">
      <c r="B75" s="27">
        <f t="shared" si="26"/>
        <v>-1.5408042145281797E-5</v>
      </c>
      <c r="C75" s="28">
        <v>6.3815741690670766E-2</v>
      </c>
      <c r="D75" s="32">
        <v>8.9788762591716184E-3</v>
      </c>
      <c r="E75" s="31">
        <f t="shared" si="27"/>
        <v>0</v>
      </c>
      <c r="G75" s="11">
        <f t="shared" si="28"/>
        <v>158</v>
      </c>
      <c r="H75" s="99">
        <f t="shared" si="29"/>
        <v>0.486776404801881</v>
      </c>
      <c r="I75" s="100">
        <f t="shared" si="30"/>
        <v>6105.0699198455386</v>
      </c>
      <c r="J75" s="67">
        <f t="shared" si="31"/>
        <v>0.51445171442074644</v>
      </c>
      <c r="K75" s="67">
        <f t="shared" si="32"/>
        <v>3.6563726653724875</v>
      </c>
      <c r="L75" s="67">
        <f t="shared" si="33"/>
        <v>10.076044906731735</v>
      </c>
    </row>
    <row r="76" spans="2:12" x14ac:dyDescent="0.25">
      <c r="B76" s="27">
        <f t="shared" si="26"/>
        <v>1.1712317245837767E-5</v>
      </c>
      <c r="C76" s="35">
        <v>4.9543286727949755E-2</v>
      </c>
      <c r="D76" s="38">
        <v>4.0870774491145638E-3</v>
      </c>
      <c r="E76" s="31">
        <f t="shared" si="27"/>
        <v>1.0186340659856796E-10</v>
      </c>
      <c r="G76" s="11">
        <f t="shared" si="28"/>
        <v>171</v>
      </c>
      <c r="H76" s="99">
        <f t="shared" si="29"/>
        <v>0.52682762798178262</v>
      </c>
      <c r="I76" s="100">
        <f t="shared" si="30"/>
        <v>6141.2649090340592</v>
      </c>
      <c r="J76" s="67">
        <f t="shared" si="31"/>
        <v>0.23417228837735898</v>
      </c>
      <c r="K76" s="67">
        <f t="shared" si="32"/>
        <v>2.8386212327180269</v>
      </c>
      <c r="L76" s="67">
        <f t="shared" si="33"/>
        <v>8.4684366892646636</v>
      </c>
    </row>
    <row r="77" spans="2:12" x14ac:dyDescent="0.25">
      <c r="B77" s="27">
        <f t="shared" si="26"/>
        <v>9.9482085715862922E-6</v>
      </c>
      <c r="C77" s="28">
        <v>3.1375146449231027E-2</v>
      </c>
      <c r="D77" s="32">
        <v>-8.1703015798318979E-5</v>
      </c>
      <c r="E77" s="31">
        <f t="shared" si="27"/>
        <v>0</v>
      </c>
      <c r="G77" s="11">
        <f t="shared" si="28"/>
        <v>185</v>
      </c>
      <c r="H77" s="99">
        <f t="shared" si="29"/>
        <v>0.56995971448321514</v>
      </c>
      <c r="I77" s="100">
        <f t="shared" si="30"/>
        <v>6198.3459447693504</v>
      </c>
      <c r="J77" s="67">
        <f t="shared" si="31"/>
        <v>-4.6812379787343657E-3</v>
      </c>
      <c r="K77" s="67">
        <f t="shared" si="32"/>
        <v>1.7976634731458088</v>
      </c>
      <c r="L77" s="67">
        <f t="shared" si="33"/>
        <v>5.8034498312551079</v>
      </c>
    </row>
    <row r="78" spans="2:12" x14ac:dyDescent="0.25">
      <c r="B78" s="27">
        <f t="shared" si="26"/>
        <v>2.4178816329367692E-4</v>
      </c>
      <c r="C78" s="35">
        <v>8.1187900986654186E-3</v>
      </c>
      <c r="D78" s="38">
        <v>-3.6251095097203055E-3</v>
      </c>
      <c r="E78" s="31">
        <f t="shared" si="27"/>
        <v>1.0913936421275139E-10</v>
      </c>
      <c r="G78" s="11">
        <f t="shared" si="28"/>
        <v>200</v>
      </c>
      <c r="H78" s="99">
        <f t="shared" si="29"/>
        <v>0.61617266430617845</v>
      </c>
      <c r="I78" s="100">
        <f t="shared" si="30"/>
        <v>6280.3356529645644</v>
      </c>
      <c r="J78" s="67">
        <f t="shared" si="31"/>
        <v>-0.20770347517971258</v>
      </c>
      <c r="K78" s="67">
        <f t="shared" si="32"/>
        <v>0.4651724074061297</v>
      </c>
      <c r="L78" s="67">
        <f t="shared" si="33"/>
        <v>1.6237401815238306</v>
      </c>
    </row>
    <row r="79" spans="2:12" x14ac:dyDescent="0.25">
      <c r="B79" s="27">
        <f t="shared" si="26"/>
        <v>-1.6766003682278097E-5</v>
      </c>
      <c r="C79" s="28">
        <v>-1.5963609014129115E-2</v>
      </c>
      <c r="D79" s="32">
        <v>-6.1220192607654616E-3</v>
      </c>
      <c r="E79" s="31">
        <f t="shared" si="27"/>
        <v>0</v>
      </c>
      <c r="G79" s="11">
        <f t="shared" si="28"/>
        <v>213</v>
      </c>
      <c r="H79" s="99">
        <f t="shared" si="29"/>
        <v>0.65622388748608007</v>
      </c>
      <c r="I79" s="100">
        <f t="shared" si="30"/>
        <v>6368.8247790240812</v>
      </c>
      <c r="J79" s="67">
        <f t="shared" si="31"/>
        <v>-0.35076586573966112</v>
      </c>
      <c r="K79" s="67">
        <f t="shared" si="32"/>
        <v>-0.91464742230659524</v>
      </c>
      <c r="L79" s="67">
        <f t="shared" si="33"/>
        <v>-3.4001043037585785</v>
      </c>
    </row>
    <row r="80" spans="2:12" x14ac:dyDescent="0.25">
      <c r="B80" s="27">
        <f t="shared" si="26"/>
        <v>-2.5374651158927009E-5</v>
      </c>
      <c r="C80" s="35">
        <v>-4.7198713130720556E-2</v>
      </c>
      <c r="D80" s="38">
        <v>-8.3615895776829319E-3</v>
      </c>
      <c r="E80" s="31">
        <f t="shared" si="27"/>
        <v>0</v>
      </c>
      <c r="G80" s="11">
        <f t="shared" si="28"/>
        <v>227</v>
      </c>
      <c r="H80" s="99">
        <f t="shared" si="29"/>
        <v>0.69935597398751259</v>
      </c>
      <c r="I80" s="100">
        <f t="shared" si="30"/>
        <v>6482.2225775435245</v>
      </c>
      <c r="J80" s="67">
        <f t="shared" si="31"/>
        <v>-0.47908379282180841</v>
      </c>
      <c r="K80" s="67">
        <f t="shared" si="32"/>
        <v>-2.7042870608389884</v>
      </c>
      <c r="L80" s="67">
        <f t="shared" si="33"/>
        <v>-10.710130320982941</v>
      </c>
    </row>
    <row r="81" spans="2:12" x14ac:dyDescent="0.25">
      <c r="B81" s="27">
        <f t="shared" si="26"/>
        <v>-4.9378468247596174E-7</v>
      </c>
      <c r="C81" s="28">
        <v>-8.2835663005208893E-2</v>
      </c>
      <c r="D81" s="32">
        <v>-1.0120628024155124E-2</v>
      </c>
      <c r="E81" s="31">
        <f t="shared" si="27"/>
        <v>0</v>
      </c>
      <c r="G81" s="11">
        <f t="shared" si="28"/>
        <v>240</v>
      </c>
      <c r="H81" s="99">
        <f t="shared" si="29"/>
        <v>0.73940719716741421</v>
      </c>
      <c r="I81" s="100">
        <f t="shared" si="30"/>
        <v>6604.3293630201124</v>
      </c>
      <c r="J81" s="67">
        <f t="shared" si="31"/>
        <v>-0.57986927180591397</v>
      </c>
      <c r="K81" s="67">
        <f t="shared" si="32"/>
        <v>-4.746133883366439</v>
      </c>
      <c r="L81" s="67">
        <f t="shared" si="33"/>
        <v>-19.85783102567197</v>
      </c>
    </row>
  </sheetData>
  <mergeCells count="4">
    <mergeCell ref="G65:L65"/>
    <mergeCell ref="G1:L1"/>
    <mergeCell ref="F23:Q23"/>
    <mergeCell ref="F44:Q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45E1-46DB-4B2D-A54F-169CA9AF9B26}">
  <dimension ref="A1:Y78"/>
  <sheetViews>
    <sheetView workbookViewId="0"/>
  </sheetViews>
  <sheetFormatPr defaultRowHeight="15" x14ac:dyDescent="0.25"/>
  <cols>
    <col min="1" max="1" width="34.77734375" style="23" customWidth="1"/>
    <col min="2" max="2" width="9.5546875" style="23" customWidth="1"/>
    <col min="3" max="6" width="8.88671875" style="23"/>
    <col min="7" max="7" width="9.77734375" style="23" customWidth="1"/>
    <col min="8" max="8" width="9" style="23" bestFit="1" customWidth="1"/>
    <col min="9" max="10" width="9.77734375" style="23" customWidth="1"/>
    <col min="11" max="16" width="8.109375" style="23" customWidth="1"/>
    <col min="17" max="16384" width="8.88671875" style="23"/>
  </cols>
  <sheetData>
    <row r="1" spans="1:12" ht="18.600000000000001" thickBot="1" x14ac:dyDescent="0.3">
      <c r="A1" s="21" t="s">
        <v>10</v>
      </c>
      <c r="B1" s="22" t="s">
        <v>6</v>
      </c>
      <c r="C1" s="22">
        <v>6000</v>
      </c>
      <c r="D1" s="22" t="s">
        <v>3</v>
      </c>
      <c r="G1" s="143" t="s">
        <v>162</v>
      </c>
      <c r="H1" s="144"/>
      <c r="I1" s="144"/>
      <c r="J1" s="144"/>
      <c r="K1" s="144"/>
      <c r="L1" s="145"/>
    </row>
    <row r="2" spans="1:12" ht="18.600000000000001" thickBot="1" x14ac:dyDescent="0.35">
      <c r="A2" s="24" t="s">
        <v>17</v>
      </c>
      <c r="B2" s="25" t="s">
        <v>69</v>
      </c>
      <c r="C2" s="25">
        <f>Podsumowanie!B17</f>
        <v>6.2309999999999999</v>
      </c>
      <c r="D2" s="25" t="s">
        <v>26</v>
      </c>
      <c r="G2" s="98" t="s">
        <v>63</v>
      </c>
      <c r="H2" s="98" t="s">
        <v>53</v>
      </c>
      <c r="I2" s="98" t="s">
        <v>65</v>
      </c>
      <c r="J2" s="98" t="s">
        <v>66</v>
      </c>
      <c r="K2" s="98" t="s">
        <v>84</v>
      </c>
      <c r="L2" s="98" t="s">
        <v>64</v>
      </c>
    </row>
    <row r="3" spans="1:12" ht="18" x14ac:dyDescent="0.3">
      <c r="A3" s="24" t="s">
        <v>62</v>
      </c>
      <c r="B3" s="25" t="s">
        <v>70</v>
      </c>
      <c r="C3" s="25">
        <f>Podsumowanie!B10</f>
        <v>9800</v>
      </c>
      <c r="D3" s="25" t="s">
        <v>28</v>
      </c>
      <c r="G3" s="81">
        <f>SQRT(2*C$11/C$4/C$16/C$15)</f>
        <v>62.604896336843368</v>
      </c>
      <c r="H3" s="99">
        <f t="shared" ref="H3:H17" si="0">G3/C$19</f>
        <v>0.19784506321190154</v>
      </c>
      <c r="I3" s="100">
        <f t="shared" ref="I3:I17" si="1">C$17*(1-0.605*H3+0.725*H3^2)</f>
        <v>5260.0254781951826</v>
      </c>
      <c r="J3" s="67">
        <f t="shared" ref="J3:J17" ca="1" si="2">OFFSET(D24,A24-2,0,1,1)</f>
        <v>11.094361871708635</v>
      </c>
      <c r="K3" s="67">
        <f t="shared" ref="K3:K17" ca="1" si="3">OFFSET(D23,A24-2,0,1,1)</f>
        <v>3.9229721302894571</v>
      </c>
      <c r="L3" s="67">
        <f ca="1">G3*SIN(RADIANS(K3))</f>
        <v>4.2831325160521168</v>
      </c>
    </row>
    <row r="4" spans="1:12" ht="18" x14ac:dyDescent="0.3">
      <c r="A4" s="24" t="s">
        <v>16</v>
      </c>
      <c r="B4" s="25" t="s">
        <v>5</v>
      </c>
      <c r="C4" s="25">
        <f>Podsumowanie!B3</f>
        <v>17.5</v>
      </c>
      <c r="D4" s="25" t="s">
        <v>71</v>
      </c>
      <c r="G4" s="47">
        <v>63</v>
      </c>
      <c r="H4" s="19">
        <f t="shared" si="0"/>
        <v>0.19909367655983987</v>
      </c>
      <c r="I4" s="48">
        <f t="shared" si="1"/>
        <v>5257.7326919281413</v>
      </c>
      <c r="J4" s="67">
        <f t="shared" ca="1" si="2"/>
        <v>10.942825675309326</v>
      </c>
      <c r="K4" s="67">
        <f t="shared" ca="1" si="3"/>
        <v>3.9698775424966462</v>
      </c>
      <c r="L4" s="14">
        <f t="shared" ref="L4:L17" ca="1" si="4">G4*SIN(RADIANS(K4))</f>
        <v>4.3616165501408695</v>
      </c>
    </row>
    <row r="5" spans="1:12" ht="18" x14ac:dyDescent="0.3">
      <c r="A5" s="24" t="s">
        <v>30</v>
      </c>
      <c r="B5" s="25" t="s">
        <v>72</v>
      </c>
      <c r="C5" s="25">
        <f>Podsumowanie!B31</f>
        <v>-2.4783675378319478E-2</v>
      </c>
      <c r="D5" s="25" t="s">
        <v>29</v>
      </c>
      <c r="G5" s="47">
        <v>77</v>
      </c>
      <c r="H5" s="19">
        <f t="shared" si="0"/>
        <v>0.24333671579535984</v>
      </c>
      <c r="I5" s="48">
        <f t="shared" si="1"/>
        <v>5184.9374691944022</v>
      </c>
      <c r="J5" s="67">
        <f t="shared" ca="1" si="2"/>
        <v>6.9427551260970199</v>
      </c>
      <c r="K5" s="67">
        <f t="shared" ca="1" si="3"/>
        <v>5.0663451241902635</v>
      </c>
      <c r="L5" s="14">
        <f t="shared" ca="1" si="4"/>
        <v>6.7998098325616132</v>
      </c>
    </row>
    <row r="6" spans="1:12" ht="15.6" x14ac:dyDescent="0.3">
      <c r="A6" s="24" t="s">
        <v>12</v>
      </c>
      <c r="B6" s="25" t="s">
        <v>3</v>
      </c>
      <c r="C6" s="25">
        <f>Podsumowanie!B7</f>
        <v>3240</v>
      </c>
      <c r="D6" s="25" t="s">
        <v>0</v>
      </c>
      <c r="G6" s="47">
        <v>90</v>
      </c>
      <c r="H6" s="19">
        <f t="shared" si="0"/>
        <v>0.28441953794262836</v>
      </c>
      <c r="I6" s="48">
        <f t="shared" si="1"/>
        <v>5132.0533321116882</v>
      </c>
      <c r="J6" s="67">
        <f t="shared" ca="1" si="2"/>
        <v>4.7373011594772709</v>
      </c>
      <c r="K6" s="67">
        <f t="shared" ca="1" si="3"/>
        <v>5.448262679376394</v>
      </c>
      <c r="L6" s="14">
        <f t="shared" ca="1" si="4"/>
        <v>8.5452195732202387</v>
      </c>
    </row>
    <row r="7" spans="1:12" ht="18" x14ac:dyDescent="0.3">
      <c r="A7" s="24" t="s">
        <v>15</v>
      </c>
      <c r="B7" s="25" t="s">
        <v>73</v>
      </c>
      <c r="C7" s="25">
        <f>Podsumowanie!B14</f>
        <v>5.1340000000000003</v>
      </c>
      <c r="D7" s="25" t="s">
        <v>8</v>
      </c>
      <c r="G7" s="47">
        <v>104</v>
      </c>
      <c r="H7" s="19">
        <f t="shared" si="0"/>
        <v>0.32866257717814834</v>
      </c>
      <c r="I7" s="48">
        <f t="shared" si="1"/>
        <v>5090.9442595903529</v>
      </c>
      <c r="J7" s="67">
        <f t="shared" ca="1" si="2"/>
        <v>3.2112529923983084</v>
      </c>
      <c r="K7" s="67">
        <f t="shared" ca="1" si="3"/>
        <v>5.4779211918835875</v>
      </c>
      <c r="L7" s="14">
        <f t="shared" ca="1" si="4"/>
        <v>9.9280658445522558</v>
      </c>
    </row>
    <row r="8" spans="1:12" ht="18" x14ac:dyDescent="0.3">
      <c r="A8" s="24" t="s">
        <v>18</v>
      </c>
      <c r="B8" s="25" t="s">
        <v>74</v>
      </c>
      <c r="C8" s="25">
        <f>Podsumowanie!B15</f>
        <v>1.533E-2</v>
      </c>
      <c r="D8" s="25" t="s">
        <v>8</v>
      </c>
      <c r="G8" s="47">
        <v>117</v>
      </c>
      <c r="H8" s="19">
        <f t="shared" si="0"/>
        <v>0.36974539932541689</v>
      </c>
      <c r="I8" s="48">
        <f t="shared" si="1"/>
        <v>5067.4829762763002</v>
      </c>
      <c r="J8" s="67">
        <f t="shared" ca="1" si="2"/>
        <v>2.250474657882731</v>
      </c>
      <c r="K8" s="67">
        <f t="shared" ca="1" si="3"/>
        <v>5.275756420008701</v>
      </c>
      <c r="L8" s="14">
        <f t="shared" ca="1" si="4"/>
        <v>10.758063175065899</v>
      </c>
    </row>
    <row r="9" spans="1:12" ht="18" x14ac:dyDescent="0.3">
      <c r="A9" s="24" t="s">
        <v>14</v>
      </c>
      <c r="B9" s="25" t="s">
        <v>75</v>
      </c>
      <c r="C9" s="25">
        <f>Podsumowanie!B12</f>
        <v>243.33333333333334</v>
      </c>
      <c r="D9" s="25" t="s">
        <v>27</v>
      </c>
      <c r="G9" s="47">
        <v>130</v>
      </c>
      <c r="H9" s="19">
        <f t="shared" si="0"/>
        <v>0.41082822147268544</v>
      </c>
      <c r="I9" s="48">
        <f t="shared" si="1"/>
        <v>5058.1882521841944</v>
      </c>
      <c r="J9" s="67">
        <f t="shared" ca="1" si="2"/>
        <v>1.5605394900355647</v>
      </c>
      <c r="K9" s="67">
        <f t="shared" ca="1" si="3"/>
        <v>4.9106480749629426</v>
      </c>
      <c r="L9" s="14">
        <f t="shared" ca="1" si="4"/>
        <v>11.128271235079136</v>
      </c>
    </row>
    <row r="10" spans="1:12" ht="18" x14ac:dyDescent="0.3">
      <c r="A10" s="24" t="s">
        <v>25</v>
      </c>
      <c r="B10" s="25" t="s">
        <v>24</v>
      </c>
      <c r="C10" s="25">
        <f>Podsumowanie!B2</f>
        <v>1.2255</v>
      </c>
      <c r="D10" s="25" t="s">
        <v>76</v>
      </c>
      <c r="G10" s="47">
        <v>144</v>
      </c>
      <c r="H10" s="19">
        <f t="shared" si="0"/>
        <v>0.45507126070820542</v>
      </c>
      <c r="I10" s="48">
        <f t="shared" si="1"/>
        <v>5064.0216244219746</v>
      </c>
      <c r="J10" s="67">
        <f t="shared" ca="1" si="2"/>
        <v>1.0147439238004048</v>
      </c>
      <c r="K10" s="67">
        <f t="shared" ca="1" si="3"/>
        <v>4.3652468430786131</v>
      </c>
      <c r="L10" s="14">
        <f t="shared" ca="1" si="4"/>
        <v>10.960451238393684</v>
      </c>
    </row>
    <row r="11" spans="1:12" ht="15.6" x14ac:dyDescent="0.3">
      <c r="A11" s="24" t="s">
        <v>19</v>
      </c>
      <c r="B11" s="25" t="s">
        <v>13</v>
      </c>
      <c r="C11" s="25">
        <f>Podsumowanie!B8</f>
        <v>31784.400000000001</v>
      </c>
      <c r="D11" s="25" t="s">
        <v>28</v>
      </c>
      <c r="G11" s="47">
        <v>158</v>
      </c>
      <c r="H11" s="19">
        <f t="shared" si="0"/>
        <v>0.49931429994372539</v>
      </c>
      <c r="I11" s="48">
        <f t="shared" si="1"/>
        <v>5086.2848523254452</v>
      </c>
      <c r="J11" s="67">
        <f t="shared" ca="1" si="2"/>
        <v>0.6064176414043928</v>
      </c>
      <c r="K11" s="67">
        <f t="shared" ca="1" si="3"/>
        <v>3.6725856233559653</v>
      </c>
      <c r="L11" s="14">
        <f t="shared" ca="1" si="4"/>
        <v>10.120662676429108</v>
      </c>
    </row>
    <row r="12" spans="1:12" ht="18" x14ac:dyDescent="0.3">
      <c r="A12" s="24" t="s">
        <v>59</v>
      </c>
      <c r="B12" s="25" t="s">
        <v>77</v>
      </c>
      <c r="C12" s="25">
        <f>Podsumowanie!B13</f>
        <v>340.3</v>
      </c>
      <c r="D12" s="25" t="s">
        <v>55</v>
      </c>
      <c r="G12" s="47">
        <v>171</v>
      </c>
      <c r="H12" s="19">
        <f t="shared" si="0"/>
        <v>0.540397122090994</v>
      </c>
      <c r="I12" s="48">
        <f t="shared" si="1"/>
        <v>5121.6692765487123</v>
      </c>
      <c r="J12" s="67">
        <f t="shared" ca="1" si="2"/>
        <v>0.31281022588380825</v>
      </c>
      <c r="K12" s="67">
        <f t="shared" ca="1" si="3"/>
        <v>2.8938131841183794</v>
      </c>
      <c r="L12" s="14">
        <f t="shared" ca="1" si="4"/>
        <v>8.6329517167596475</v>
      </c>
    </row>
    <row r="13" spans="1:12" ht="18" x14ac:dyDescent="0.3">
      <c r="A13" s="24" t="s">
        <v>60</v>
      </c>
      <c r="B13" s="25" t="s">
        <v>78</v>
      </c>
      <c r="C13" s="25">
        <f>Podsumowanie!B18</f>
        <v>288.14999999999998</v>
      </c>
      <c r="D13" s="25" t="s">
        <v>56</v>
      </c>
      <c r="G13" s="47">
        <v>185</v>
      </c>
      <c r="H13" s="19">
        <f t="shared" si="0"/>
        <v>0.58464016132651386</v>
      </c>
      <c r="I13" s="48">
        <f t="shared" si="1"/>
        <v>5175.6186546645868</v>
      </c>
      <c r="J13" s="67">
        <f t="shared" ca="1" si="2"/>
        <v>6.2632061284911777E-2</v>
      </c>
      <c r="K13" s="67">
        <f t="shared" ca="1" si="3"/>
        <v>1.8925620698361791</v>
      </c>
      <c r="L13" s="14">
        <f t="shared" ca="1" si="4"/>
        <v>6.1097051252759069</v>
      </c>
    </row>
    <row r="14" spans="1:12" ht="15.6" x14ac:dyDescent="0.3">
      <c r="A14" s="24" t="s">
        <v>11</v>
      </c>
      <c r="B14" s="25" t="s">
        <v>22</v>
      </c>
      <c r="C14" s="25">
        <f>Podsumowanie!B30</f>
        <v>1.7453292519943295E-2</v>
      </c>
      <c r="D14" s="25" t="s">
        <v>29</v>
      </c>
      <c r="G14" s="47">
        <v>200</v>
      </c>
      <c r="H14" s="19">
        <f t="shared" si="0"/>
        <v>0.63204341765028527</v>
      </c>
      <c r="I14" s="48">
        <f t="shared" si="1"/>
        <v>5251.6536700300012</v>
      </c>
      <c r="J14" s="67">
        <f t="shared" ca="1" si="2"/>
        <v>-0.14997548069331951</v>
      </c>
      <c r="K14" s="67">
        <f t="shared" ca="1" si="3"/>
        <v>0.59654819574171225</v>
      </c>
      <c r="L14" s="14">
        <f t="shared" ca="1" si="4"/>
        <v>2.0823084102255613</v>
      </c>
    </row>
    <row r="15" spans="1:12" ht="18" x14ac:dyDescent="0.25">
      <c r="A15" s="25" t="s">
        <v>94</v>
      </c>
      <c r="B15" s="25" t="s">
        <v>95</v>
      </c>
      <c r="C15" s="25">
        <f>Podsumowanie!B16</f>
        <v>1.405</v>
      </c>
      <c r="D15" s="25" t="s">
        <v>8</v>
      </c>
      <c r="G15" s="47">
        <v>213</v>
      </c>
      <c r="H15" s="19">
        <f t="shared" si="0"/>
        <v>0.67312623979755382</v>
      </c>
      <c r="I15" s="48">
        <f t="shared" si="1"/>
        <v>5332.8069778934068</v>
      </c>
      <c r="J15" s="67">
        <f t="shared" ca="1" si="2"/>
        <v>-0.29976270600060023</v>
      </c>
      <c r="K15" s="67">
        <f t="shared" ca="1" si="3"/>
        <v>-0.76211018857115975</v>
      </c>
      <c r="L15" s="14">
        <f t="shared" ca="1" si="4"/>
        <v>-2.8331001844373835</v>
      </c>
    </row>
    <row r="16" spans="1:12" ht="18.600000000000001" x14ac:dyDescent="0.25">
      <c r="A16" s="23" t="s">
        <v>21</v>
      </c>
      <c r="B16" s="20" t="s">
        <v>79</v>
      </c>
      <c r="C16" s="20">
        <f>C10*(1-C1/44300)^4.256</f>
        <v>0.65964919805020483</v>
      </c>
      <c r="D16" s="20" t="s">
        <v>80</v>
      </c>
      <c r="G16" s="47">
        <v>227</v>
      </c>
      <c r="H16" s="19">
        <f t="shared" si="0"/>
        <v>0.71736927903307379</v>
      </c>
      <c r="I16" s="48">
        <f t="shared" si="1"/>
        <v>5436.0459230063525</v>
      </c>
      <c r="J16" s="67">
        <f t="shared" ca="1" si="2"/>
        <v>-0.43410087691852545</v>
      </c>
      <c r="K16" s="67">
        <f t="shared" ca="1" si="3"/>
        <v>-2.5504638436246041</v>
      </c>
      <c r="L16" s="14">
        <f t="shared" ca="1" si="4"/>
        <v>-10.101339345026506</v>
      </c>
    </row>
    <row r="17" spans="1:25" ht="18.600000000000001" x14ac:dyDescent="0.25">
      <c r="A17" s="23" t="s">
        <v>20</v>
      </c>
      <c r="B17" s="20" t="s">
        <v>81</v>
      </c>
      <c r="C17" s="20">
        <f>C3*(C16/C10)^0.85</f>
        <v>5788.6306580928886</v>
      </c>
      <c r="D17" s="20" t="s">
        <v>28</v>
      </c>
      <c r="G17" s="47">
        <v>240</v>
      </c>
      <c r="H17" s="19">
        <f t="shared" si="0"/>
        <v>0.75845210118034234</v>
      </c>
      <c r="I17" s="48">
        <f t="shared" si="1"/>
        <v>5546.6220846384185</v>
      </c>
      <c r="J17" s="67">
        <f t="shared" ca="1" si="2"/>
        <v>-0.53965241414429188</v>
      </c>
      <c r="K17" s="67">
        <f t="shared" ca="1" si="3"/>
        <v>-4.6297028673702378</v>
      </c>
      <c r="L17" s="14">
        <f t="shared" ca="1" si="4"/>
        <v>-19.37175755785373</v>
      </c>
    </row>
    <row r="18" spans="1:25" ht="18.600000000000001" x14ac:dyDescent="0.25">
      <c r="A18" s="23" t="s">
        <v>61</v>
      </c>
      <c r="B18" s="20" t="s">
        <v>82</v>
      </c>
      <c r="C18" s="20">
        <f>C13-6.5*C1/1000</f>
        <v>249.14999999999998</v>
      </c>
      <c r="D18" s="20" t="s">
        <v>56</v>
      </c>
    </row>
    <row r="19" spans="1:25" ht="18.600000000000001" x14ac:dyDescent="0.3">
      <c r="A19" s="23" t="s">
        <v>54</v>
      </c>
      <c r="B19" s="20" t="s">
        <v>83</v>
      </c>
      <c r="C19" s="20">
        <f>C12*SQRT(C18/C13)</f>
        <v>316.43395756501906</v>
      </c>
      <c r="D19" s="20" t="s">
        <v>55</v>
      </c>
      <c r="Y19" s="41"/>
    </row>
    <row r="20" spans="1:25" ht="18.600000000000001" x14ac:dyDescent="0.3">
      <c r="A20" s="23" t="s">
        <v>155</v>
      </c>
      <c r="B20" s="20" t="s">
        <v>157</v>
      </c>
      <c r="C20" s="20">
        <f>Podsumowanie!B9</f>
        <v>37670.400000000001</v>
      </c>
      <c r="D20" s="20" t="s">
        <v>28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03"/>
    </row>
    <row r="21" spans="1:25" ht="15.6" x14ac:dyDescent="0.25">
      <c r="F21" s="104"/>
      <c r="G21" s="104"/>
      <c r="H21" s="104"/>
      <c r="I21" s="104"/>
      <c r="J21" s="104"/>
      <c r="K21" s="104"/>
      <c r="L21" s="104"/>
      <c r="M21" s="104"/>
      <c r="N21" s="104"/>
      <c r="O21" s="104"/>
    </row>
    <row r="22" spans="1:25" ht="15.6" thickBot="1" x14ac:dyDescent="0.3"/>
    <row r="23" spans="1:25" ht="18.600000000000001" thickBot="1" x14ac:dyDescent="0.3">
      <c r="A23" s="26">
        <v>1</v>
      </c>
      <c r="B23" s="27">
        <f>-I3*COS(C23+C24-C$14)+0.5*C$16*C$4*C$2*(C24-C$5)*G3^2*SIN(C23)+0.5*C$16*C$4*((C$8+1/PI()/C$7*C$2^2*(C24-C$5)^2)/SQRT(1-H3^2))*G3^2*COS(C23)</f>
        <v>7.5450911708685453E-4</v>
      </c>
      <c r="C23" s="28">
        <v>6.8468780137526997E-2</v>
      </c>
      <c r="D23" s="29">
        <f t="shared" ref="D23:D52" si="5">DEGREES(C23)</f>
        <v>3.9229721302894571</v>
      </c>
      <c r="F23" s="143" t="s">
        <v>171</v>
      </c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</row>
    <row r="24" spans="1:25" ht="18.600000000000001" thickBot="1" x14ac:dyDescent="0.3">
      <c r="A24" s="30">
        <v>2</v>
      </c>
      <c r="B24" s="31">
        <f>I3*SIN(C23+C24-C$14)+0.5*C$16*C$4*C$2*(C24-C$5)*G3^2*COS(C23)-0.5*C$16*C$4*(C$8+1/PI()/C$7*C$2^2*(C24-C$5)^2)/SQRT(1-H3^2)*G3^2*SIN(C23)-C$11</f>
        <v>4.5838532969355583E-10</v>
      </c>
      <c r="C24" s="32">
        <v>0.19363314306903642</v>
      </c>
      <c r="D24" s="33">
        <f t="shared" si="5"/>
        <v>11.094361871708635</v>
      </c>
      <c r="F24" s="98" t="s">
        <v>1</v>
      </c>
      <c r="G24" s="98" t="s">
        <v>7</v>
      </c>
      <c r="H24" s="98" t="s">
        <v>109</v>
      </c>
      <c r="I24" s="98" t="s">
        <v>2</v>
      </c>
      <c r="J24" s="98" t="s">
        <v>63</v>
      </c>
      <c r="K24" s="98" t="s">
        <v>53</v>
      </c>
      <c r="L24" s="98" t="s">
        <v>67</v>
      </c>
      <c r="M24" s="98" t="s">
        <v>65</v>
      </c>
      <c r="N24" s="98" t="s">
        <v>68</v>
      </c>
      <c r="O24" s="98" t="s">
        <v>64</v>
      </c>
      <c r="P24" s="98" t="s">
        <v>84</v>
      </c>
      <c r="Q24" s="98" t="s">
        <v>66</v>
      </c>
    </row>
    <row r="25" spans="1:25" x14ac:dyDescent="0.25">
      <c r="A25" s="34">
        <v>3</v>
      </c>
      <c r="B25" s="27">
        <f>-I4*COS(C25+C26-C$14)+0.5*C$16*C$4*C$2*(C26-C$5)*G4^2*SIN(C25)+0.5*C$16*C$4*(C$8+1/PI()/C$7*C$2^2*(C26-C$5)^2)/SQRT(1-H4^2)*G4^2*COS(C25)</f>
        <v>-1.3647521154780407E-4</v>
      </c>
      <c r="C25" s="35">
        <v>6.9287434017547583E-2</v>
      </c>
      <c r="D25" s="36">
        <f t="shared" si="5"/>
        <v>3.9698775424966462</v>
      </c>
      <c r="F25" s="42">
        <v>1.405</v>
      </c>
      <c r="G25" s="101">
        <v>0.1406</v>
      </c>
      <c r="H25" s="101">
        <f>G25/SQRT(1-K25^2)</f>
        <v>0.14343524074894759</v>
      </c>
      <c r="I25" s="43">
        <f>F25^3/H25^2</f>
        <v>134.80848850480314</v>
      </c>
      <c r="J25" s="44">
        <f t="shared" ref="J25:J41" si="6">SQRT((2*C$11)/(C$4*C$16*F25))</f>
        <v>62.604896336843368</v>
      </c>
      <c r="K25" s="42">
        <f t="shared" ref="K25:K41" si="7">J25/C$19</f>
        <v>0.19784506321190154</v>
      </c>
      <c r="L25" s="46">
        <f t="shared" ref="L25:L41" si="8">C$11*SQRT((2*C$11)/(C$16*C$4*I25))/J25</f>
        <v>3244.8420399009606</v>
      </c>
      <c r="M25" s="46">
        <f t="shared" ref="M25:M41" si="9">C$17*(1-0.605*K25+0.725*K25^2)</f>
        <v>5260.0254781951826</v>
      </c>
      <c r="N25" s="46">
        <f>(M25-L25)</f>
        <v>2015.183438294222</v>
      </c>
      <c r="O25" s="43">
        <f t="shared" ref="O25:O41" si="10">N25/C$11*J25</f>
        <v>3.9692537928711364</v>
      </c>
      <c r="P25" s="43">
        <f>DEGREES(ASIN(O25/J25))</f>
        <v>3.6350851673154096</v>
      </c>
      <c r="Q25" s="43">
        <v>12.989000000000001</v>
      </c>
    </row>
    <row r="26" spans="1:25" x14ac:dyDescent="0.25">
      <c r="A26" s="37">
        <v>4</v>
      </c>
      <c r="B26" s="31">
        <f>I4*SIN(C25+C26-C$14)+0.5*C$16*C$4*C$2*(C26-C$5)*G4^2*COS(C25)-0.5*C$16*C$4*(C$8+1/PI()/C$7*C$2^2*(C26-C$5)^2)/SQRT(1-H4^2)*G4^2*SIN(C25)-C$11</f>
        <v>-1.7462298274040222E-10</v>
      </c>
      <c r="C26" s="38">
        <v>0.1909883375059197</v>
      </c>
      <c r="D26" s="39">
        <f t="shared" si="5"/>
        <v>10.942825675309326</v>
      </c>
      <c r="F26" s="13">
        <v>1.3560000000000001</v>
      </c>
      <c r="G26" s="18">
        <v>0.13239999999999999</v>
      </c>
      <c r="H26" s="18">
        <f t="shared" ref="H26:H41" si="11">G26/SQRT(1-K26^2)</f>
        <v>0.13516941124783932</v>
      </c>
      <c r="I26" s="14">
        <f t="shared" ref="I26:I41" si="12">F26^3/H26^2</f>
        <v>136.46529685822938</v>
      </c>
      <c r="J26" s="47">
        <f t="shared" si="6"/>
        <v>63.725993968788195</v>
      </c>
      <c r="K26" s="13">
        <f t="shared" si="7"/>
        <v>0.20138797510597181</v>
      </c>
      <c r="L26" s="48">
        <f t="shared" si="8"/>
        <v>3168.3470758597518</v>
      </c>
      <c r="M26" s="48">
        <f t="shared" si="9"/>
        <v>5253.553862791684</v>
      </c>
      <c r="N26" s="48">
        <f t="shared" ref="N26:N41" si="13">(M26-L26)</f>
        <v>2085.2067869319321</v>
      </c>
      <c r="O26" s="14">
        <f t="shared" si="10"/>
        <v>4.1807262407879495</v>
      </c>
      <c r="P26" s="14">
        <f t="shared" ref="P26:P41" si="14">DEGREES(ASIN(O26/J26))</f>
        <v>3.7615753851866494</v>
      </c>
      <c r="Q26" s="14">
        <v>11.238</v>
      </c>
    </row>
    <row r="27" spans="1:25" x14ac:dyDescent="0.25">
      <c r="A27" s="26">
        <v>5</v>
      </c>
      <c r="B27" s="27">
        <f>-I5*COS(C27+C28-C$14)+0.5*C$16*C$4*C$2*(C28-C$5)*G5^2*SIN(C27)+0.5*C$16*C$4*(C$8+1/PI()/C$7*C$2^2*(C28-C$5)^2)/SQRT(1-H5^2)*G5^2*COS(C27)</f>
        <v>-2.0101858353882562E-5</v>
      </c>
      <c r="C27" s="28">
        <v>8.8424403459481118E-2</v>
      </c>
      <c r="D27" s="29">
        <f t="shared" si="5"/>
        <v>5.0663451241902635</v>
      </c>
      <c r="F27" s="13">
        <v>1.302</v>
      </c>
      <c r="G27" s="18">
        <v>0.1231</v>
      </c>
      <c r="H27" s="18">
        <f t="shared" si="11"/>
        <v>0.12578519460027801</v>
      </c>
      <c r="I27" s="14">
        <f t="shared" si="12"/>
        <v>139.49990142167746</v>
      </c>
      <c r="J27" s="47">
        <f t="shared" si="6"/>
        <v>65.034075486882159</v>
      </c>
      <c r="K27" s="13">
        <f t="shared" si="7"/>
        <v>0.20552179667227821</v>
      </c>
      <c r="L27" s="48">
        <f t="shared" si="8"/>
        <v>3070.6658519608882</v>
      </c>
      <c r="M27" s="48">
        <f t="shared" si="9"/>
        <v>5246.1360506030369</v>
      </c>
      <c r="N27" s="48">
        <f t="shared" si="13"/>
        <v>2175.4701986421487</v>
      </c>
      <c r="O27" s="14">
        <f t="shared" si="10"/>
        <v>4.4512305759415316</v>
      </c>
      <c r="P27" s="14">
        <f t="shared" si="14"/>
        <v>3.9246544443581488</v>
      </c>
      <c r="Q27" s="14">
        <v>10.574999999999999</v>
      </c>
    </row>
    <row r="28" spans="1:25" x14ac:dyDescent="0.25">
      <c r="A28" s="30">
        <v>6</v>
      </c>
      <c r="B28" s="31">
        <f>I5*SIN(C27+C28-C$14)+0.5*C$16*C$4*C$2*(C28-C$5)*G5^2*COS(C27)-0.5*C$16*C$4*(C$8+1/PI()/C$7*C$2^2*(C28-C$5)^2)/SQRT(1-H5^2)*G5^2*SIN(C27)-C$11</f>
        <v>-6.5483618527650833E-11</v>
      </c>
      <c r="C28" s="32">
        <v>0.12117393611010709</v>
      </c>
      <c r="D28" s="33">
        <f t="shared" si="5"/>
        <v>6.9427551260970199</v>
      </c>
      <c r="F28" s="13">
        <v>1.1930000000000001</v>
      </c>
      <c r="G28" s="18">
        <v>0.1061</v>
      </c>
      <c r="H28" s="18">
        <f t="shared" si="11"/>
        <v>0.10863345859111036</v>
      </c>
      <c r="I28" s="14">
        <f t="shared" si="12"/>
        <v>143.87790916102651</v>
      </c>
      <c r="J28" s="47">
        <f t="shared" si="6"/>
        <v>67.940109274332301</v>
      </c>
      <c r="K28" s="13">
        <f t="shared" si="7"/>
        <v>0.21470549430641417</v>
      </c>
      <c r="L28" s="48">
        <f t="shared" si="8"/>
        <v>2894.2575869600068</v>
      </c>
      <c r="M28" s="48">
        <f t="shared" si="9"/>
        <v>5230.1699201742586</v>
      </c>
      <c r="N28" s="48">
        <f t="shared" si="13"/>
        <v>2335.9123332142517</v>
      </c>
      <c r="O28" s="14">
        <f t="shared" si="10"/>
        <v>4.9930827441712538</v>
      </c>
      <c r="P28" s="14">
        <f t="shared" si="14"/>
        <v>4.2146050019616945</v>
      </c>
      <c r="Q28" s="14">
        <v>9.5760000000000005</v>
      </c>
    </row>
    <row r="29" spans="1:25" x14ac:dyDescent="0.25">
      <c r="A29" s="34">
        <v>7</v>
      </c>
      <c r="B29" s="27">
        <f>-I6*COS(C29+C30-C$14)+0.5*C$16*C$4*C$2*(C30-C$5)*G6^2*SIN(C29)+0.5*C$16*C$4*(C$8+1/PI()/C$7*C$2^2*(C30-C$5)^2)/SQRT(1-H6^2)*G6^2*COS(C29)</f>
        <v>-1.5430652911163634E-4</v>
      </c>
      <c r="C29" s="35">
        <v>9.5090122268646229E-2</v>
      </c>
      <c r="D29" s="36">
        <f t="shared" si="5"/>
        <v>5.448262679376394</v>
      </c>
      <c r="F29" s="13">
        <v>1.095</v>
      </c>
      <c r="G29" s="18">
        <v>9.1899999999999996E-2</v>
      </c>
      <c r="H29" s="18">
        <f t="shared" si="11"/>
        <v>9.4298536219183091E-2</v>
      </c>
      <c r="I29" s="14">
        <f t="shared" si="12"/>
        <v>147.6496612520379</v>
      </c>
      <c r="J29" s="47">
        <f t="shared" si="6"/>
        <v>70.915211632154367</v>
      </c>
      <c r="K29" s="13">
        <f t="shared" si="7"/>
        <v>0.22410746361690057</v>
      </c>
      <c r="L29" s="48">
        <f t="shared" si="8"/>
        <v>2737.1894014657564</v>
      </c>
      <c r="M29" s="48">
        <f t="shared" si="9"/>
        <v>5214.5576671760182</v>
      </c>
      <c r="N29" s="48">
        <f t="shared" si="13"/>
        <v>2477.3682657102618</v>
      </c>
      <c r="O29" s="14">
        <f t="shared" si="10"/>
        <v>5.5273371482119042</v>
      </c>
      <c r="P29" s="14">
        <f t="shared" si="14"/>
        <v>4.4703332307158083</v>
      </c>
      <c r="Q29" s="14">
        <v>8.6869999999999994</v>
      </c>
    </row>
    <row r="30" spans="1:25" x14ac:dyDescent="0.25">
      <c r="A30" s="37">
        <v>8</v>
      </c>
      <c r="B30" s="31">
        <f>I6*SIN(C29+C30-C$14)+0.5*C$16*C$4*C$2*(C30-C$5)*G6^2*COS(C29)-0.5*C$16*C$4*(C$8+1/PI()/C$7*C$2^2*(C30-C$5)^2)/SQRT(1-H6^2)*G6^2*SIN(C29)-C$11</f>
        <v>-2.1100277081131935E-10</v>
      </c>
      <c r="C30" s="38">
        <v>8.2681502891423356E-2</v>
      </c>
      <c r="D30" s="39">
        <f t="shared" si="5"/>
        <v>4.7373011594772709</v>
      </c>
      <c r="F30" s="13">
        <v>0.997</v>
      </c>
      <c r="G30" s="18">
        <v>7.9399999999999998E-2</v>
      </c>
      <c r="H30" s="18">
        <f t="shared" si="11"/>
        <v>8.1684862311677264E-2</v>
      </c>
      <c r="I30" s="14">
        <f t="shared" si="12"/>
        <v>148.52594089542768</v>
      </c>
      <c r="J30" s="47">
        <f t="shared" si="6"/>
        <v>74.318833384946899</v>
      </c>
      <c r="K30" s="13">
        <f t="shared" si="7"/>
        <v>0.2348636472420198</v>
      </c>
      <c r="L30" s="48">
        <f t="shared" si="8"/>
        <v>2604.1166877224427</v>
      </c>
      <c r="M30" s="48">
        <f t="shared" si="9"/>
        <v>5197.6066615758118</v>
      </c>
      <c r="N30" s="48">
        <f t="shared" si="13"/>
        <v>2593.4899738533691</v>
      </c>
      <c r="O30" s="14">
        <f t="shared" si="10"/>
        <v>6.0641430781244514</v>
      </c>
      <c r="P30" s="14">
        <f t="shared" si="14"/>
        <v>4.6803279831873565</v>
      </c>
      <c r="Q30" s="14">
        <v>8.0169999999999995</v>
      </c>
    </row>
    <row r="31" spans="1:25" x14ac:dyDescent="0.25">
      <c r="A31" s="26">
        <v>9</v>
      </c>
      <c r="B31" s="27">
        <f>-I7*COS(C31+C32-C$14)+0.5*C$16*C$4*C$2*(C32-C$5)*G7^2*SIN(C31)+0.5*C$16*C$4*(C$8+1/PI()/C$7*C$2^2*(C32-C$5)^2)/SQRT(1-H7^2)*G7^2*COS(C31)</f>
        <v>-5.1454908771120245E-5</v>
      </c>
      <c r="C31" s="28">
        <v>9.5607760963140678E-2</v>
      </c>
      <c r="D31" s="29">
        <f t="shared" si="5"/>
        <v>5.4779211918835875</v>
      </c>
      <c r="F31" s="13">
        <v>0.80100000000000005</v>
      </c>
      <c r="G31" s="18">
        <v>5.7599999999999998E-2</v>
      </c>
      <c r="H31" s="18">
        <f t="shared" si="11"/>
        <v>5.9685385506473156E-2</v>
      </c>
      <c r="I31" s="14">
        <f t="shared" si="12"/>
        <v>144.26518653736102</v>
      </c>
      <c r="J31" s="47">
        <f t="shared" si="6"/>
        <v>82.914446293365131</v>
      </c>
      <c r="K31" s="13">
        <f t="shared" si="7"/>
        <v>0.26202765003919765</v>
      </c>
      <c r="L31" s="48">
        <f t="shared" si="8"/>
        <v>2368.3697466815797</v>
      </c>
      <c r="M31" s="48">
        <f t="shared" si="9"/>
        <v>5159.120990210231</v>
      </c>
      <c r="N31" s="48">
        <f t="shared" si="13"/>
        <v>2790.7512435286512</v>
      </c>
      <c r="O31" s="14">
        <f t="shared" si="10"/>
        <v>7.280099485901836</v>
      </c>
      <c r="P31" s="14">
        <f t="shared" si="14"/>
        <v>5.037201716319454</v>
      </c>
      <c r="Q31" s="14">
        <v>6.1310000000000002</v>
      </c>
    </row>
    <row r="32" spans="1:25" x14ac:dyDescent="0.25">
      <c r="A32" s="30">
        <v>10</v>
      </c>
      <c r="B32" s="31">
        <f>I7*SIN(C31+C32-C$14)+0.5*C$16*C$4*C$2*(C32-C$5)*G7^2*COS(C31)-0.5*C$16*C$4*(C$8+1/PI()/C$7*C$2^2*(C32-C$5)^2)/SQRT(1-H7^2)*G7^2*SIN(C31)-C$11</f>
        <v>-6.5483618527650833E-11</v>
      </c>
      <c r="C32" s="32">
        <v>5.6046937831870917E-2</v>
      </c>
      <c r="D32" s="33">
        <f t="shared" si="5"/>
        <v>3.2112529923983084</v>
      </c>
      <c r="F32" s="13">
        <v>0.61099999999999999</v>
      </c>
      <c r="G32" s="18">
        <v>4.0599999999999997E-2</v>
      </c>
      <c r="H32" s="18">
        <f t="shared" si="11"/>
        <v>4.2560572960307498E-2</v>
      </c>
      <c r="I32" s="14">
        <f t="shared" si="12"/>
        <v>125.92405458243769</v>
      </c>
      <c r="J32" s="47">
        <f t="shared" si="6"/>
        <v>94.934891365331538</v>
      </c>
      <c r="K32" s="13">
        <f t="shared" si="7"/>
        <v>0.30001486596401356</v>
      </c>
      <c r="L32" s="48">
        <f t="shared" si="8"/>
        <v>2214.0135436981959</v>
      </c>
      <c r="M32" s="48">
        <f t="shared" si="9"/>
        <v>5115.6877159093019</v>
      </c>
      <c r="N32" s="48">
        <f t="shared" si="13"/>
        <v>2901.674172211106</v>
      </c>
      <c r="O32" s="14">
        <f t="shared" si="10"/>
        <v>8.6668341172540515</v>
      </c>
      <c r="P32" s="14">
        <f t="shared" si="14"/>
        <v>5.2379622947742837</v>
      </c>
      <c r="Q32" s="14">
        <v>4.5730000000000004</v>
      </c>
    </row>
    <row r="33" spans="1:17" x14ac:dyDescent="0.25">
      <c r="A33" s="34">
        <v>11</v>
      </c>
      <c r="B33" s="27">
        <f>-I8*COS(C33+C34-C$14)+0.5*C$16*C$4*C$2*(C34-C$5)*G8^2*SIN(C33)+0.5*C$16*C$4*(C$8+1/PI()/C$7*C$2^2*(C34-C$5)^2)/SQRT(1-H8^2)*G8^2*COS(C33)</f>
        <v>9.7018556061811978E-5</v>
      </c>
      <c r="C33" s="35">
        <v>9.2079320062380676E-2</v>
      </c>
      <c r="D33" s="36">
        <f t="shared" si="5"/>
        <v>5.275756420008701</v>
      </c>
      <c r="F33" s="13">
        <v>0.49099999999999999</v>
      </c>
      <c r="G33" s="18">
        <v>3.1699999999999999E-2</v>
      </c>
      <c r="H33" s="18">
        <f t="shared" si="11"/>
        <v>3.3639884619559753E-2</v>
      </c>
      <c r="I33" s="14">
        <f t="shared" si="12"/>
        <v>104.60091444751966</v>
      </c>
      <c r="J33" s="47">
        <f t="shared" si="6"/>
        <v>105.90237914119098</v>
      </c>
      <c r="K33" s="13">
        <f t="shared" si="7"/>
        <v>0.33467450824847317</v>
      </c>
      <c r="L33" s="48">
        <f t="shared" si="8"/>
        <v>2177.6447020406008</v>
      </c>
      <c r="M33" s="48">
        <f t="shared" si="9"/>
        <v>5086.6261489722701</v>
      </c>
      <c r="N33" s="48">
        <f t="shared" si="13"/>
        <v>2908.9814469316693</v>
      </c>
      <c r="O33" s="14">
        <f t="shared" si="10"/>
        <v>9.6924294971007132</v>
      </c>
      <c r="P33" s="14">
        <f t="shared" si="14"/>
        <v>5.2511900455656182</v>
      </c>
      <c r="Q33" s="14">
        <v>3.3540000000000001</v>
      </c>
    </row>
    <row r="34" spans="1:17" x14ac:dyDescent="0.25">
      <c r="A34" s="37">
        <v>12</v>
      </c>
      <c r="B34" s="31">
        <f>I8*SIN(C33+C34-C$14)+0.5*C$16*C$4*C$2*(C34-C$5)*G8^2*COS(C33)-0.5*C$16*C$4*(C$8+1/PI()/C$7*C$2^2*(C34-C$5)^2)/SQRT(1-H8^2)*G8^2*SIN(C33)-C$11</f>
        <v>1.4188117347657681E-10</v>
      </c>
      <c r="C34" s="38">
        <v>3.9278192512746612E-2</v>
      </c>
      <c r="D34" s="39">
        <f t="shared" si="5"/>
        <v>2.250474657882731</v>
      </c>
      <c r="F34" s="13">
        <v>0.38800000000000001</v>
      </c>
      <c r="G34" s="18">
        <v>2.52E-2</v>
      </c>
      <c r="H34" s="18">
        <f t="shared" si="11"/>
        <v>2.7201403943772507E-2</v>
      </c>
      <c r="I34" s="14">
        <f t="shared" si="12"/>
        <v>78.94280198977377</v>
      </c>
      <c r="J34" s="47">
        <f t="shared" si="6"/>
        <v>119.13259450713322</v>
      </c>
      <c r="K34" s="13">
        <f t="shared" si="7"/>
        <v>0.37648486092917044</v>
      </c>
      <c r="L34" s="48">
        <f t="shared" si="8"/>
        <v>2228.2997513155747</v>
      </c>
      <c r="M34" s="48">
        <f t="shared" si="9"/>
        <v>5064.9868528328207</v>
      </c>
      <c r="N34" s="48">
        <f t="shared" si="13"/>
        <v>2836.687101517246</v>
      </c>
      <c r="O34" s="14">
        <f t="shared" si="10"/>
        <v>10.632319446290291</v>
      </c>
      <c r="P34" s="14">
        <f t="shared" si="14"/>
        <v>5.1203338463154662</v>
      </c>
      <c r="Q34" s="14">
        <v>2.5739999999999998</v>
      </c>
    </row>
    <row r="35" spans="1:17" x14ac:dyDescent="0.25">
      <c r="A35" s="26">
        <v>13</v>
      </c>
      <c r="B35" s="27">
        <f>-I9*COS(C35+C36-C$14)+0.5*C$16*C$4*C$2*(C36-C$5)*G9^2*SIN(C35)+0.5*C$16*C$4*(C$8+1/PI()/C$7*C$2^2*(C36-C$5)^2)/SQRT(1-H9^2)*G9^2*COS(C35)</f>
        <v>1.3464946141539258E-4</v>
      </c>
      <c r="C35" s="28">
        <v>8.570697731482467E-2</v>
      </c>
      <c r="D35" s="29">
        <f t="shared" si="5"/>
        <v>4.9106480749629426</v>
      </c>
      <c r="F35" s="13">
        <v>0.246</v>
      </c>
      <c r="G35" s="18">
        <v>1.8800000000000001E-2</v>
      </c>
      <c r="H35" s="18">
        <f t="shared" si="11"/>
        <v>2.133553543583545E-2</v>
      </c>
      <c r="I35" s="14">
        <f t="shared" si="12"/>
        <v>32.703800780769406</v>
      </c>
      <c r="J35" s="47">
        <f t="shared" si="6"/>
        <v>149.61629960865557</v>
      </c>
      <c r="K35" s="13">
        <f t="shared" si="7"/>
        <v>0.47281998670421854</v>
      </c>
      <c r="L35" s="48">
        <f t="shared" si="8"/>
        <v>2756.6552540925541</v>
      </c>
      <c r="M35" s="48">
        <f t="shared" si="9"/>
        <v>5070.9793513159593</v>
      </c>
      <c r="N35" s="48">
        <f t="shared" si="13"/>
        <v>2314.3240972234053</v>
      </c>
      <c r="O35" s="14">
        <f t="shared" si="10"/>
        <v>10.894042597051016</v>
      </c>
      <c r="P35" s="14">
        <f t="shared" si="14"/>
        <v>4.1755846728613166</v>
      </c>
      <c r="Q35" s="14">
        <v>1.242</v>
      </c>
    </row>
    <row r="36" spans="1:17" x14ac:dyDescent="0.25">
      <c r="A36" s="30">
        <v>14</v>
      </c>
      <c r="B36" s="31">
        <f>I9*SIN(C35+C36-C$14)+0.5*C$16*C$4*C$2*(C36-C$5)*G9^2*COS(C35)-0.5*C$16*C$4*(C$8+1/PI()/C$7*C$2^2*(C36-C$5)^2)/SQRT(1-H9^2)*G9^2*SIN(C35)-C$11</f>
        <v>6.0754246078431606E-10</v>
      </c>
      <c r="C36" s="32">
        <v>2.7236552208513846E-2</v>
      </c>
      <c r="D36" s="33">
        <f t="shared" si="5"/>
        <v>1.5605394900355647</v>
      </c>
      <c r="F36" s="13">
        <v>0.2</v>
      </c>
      <c r="G36" s="18">
        <v>1.7500000000000002E-2</v>
      </c>
      <c r="H36" s="18">
        <f t="shared" si="11"/>
        <v>2.0552385225525389E-2</v>
      </c>
      <c r="I36" s="14">
        <f t="shared" si="12"/>
        <v>18.939369796253199</v>
      </c>
      <c r="J36" s="47">
        <f t="shared" si="6"/>
        <v>165.93250327636838</v>
      </c>
      <c r="K36" s="13">
        <f t="shared" si="7"/>
        <v>0.52438273235031518</v>
      </c>
      <c r="L36" s="48">
        <f t="shared" si="8"/>
        <v>3266.2261648109456</v>
      </c>
      <c r="M36" s="48">
        <f t="shared" si="9"/>
        <v>5106.19135282963</v>
      </c>
      <c r="N36" s="48">
        <f t="shared" si="13"/>
        <v>1839.9651880186843</v>
      </c>
      <c r="O36" s="14">
        <f t="shared" si="10"/>
        <v>9.6056565355744983</v>
      </c>
      <c r="P36" s="14">
        <f t="shared" si="14"/>
        <v>3.3186471755359008</v>
      </c>
      <c r="Q36" s="14">
        <v>0.68799999999999994</v>
      </c>
    </row>
    <row r="37" spans="1:17" x14ac:dyDescent="0.25">
      <c r="A37" s="34">
        <v>15</v>
      </c>
      <c r="B37" s="27">
        <f>-I10*COS(C37+C38-C$14)+0.5*C$16*C$4*C$2*(C38-C$5)*G10^2*SIN(C37)+0.5*C$16*C$4*(C$8+1/PI()/C$7*C$2^2*(C38-C$5)^2)/SQRT(1-H10^2)*G10^2*COS(C37)</f>
        <v>1.2684300145338057E-5</v>
      </c>
      <c r="C37" s="35">
        <v>7.6187930074010035E-2</v>
      </c>
      <c r="D37" s="36">
        <f t="shared" si="5"/>
        <v>4.3652468430786131</v>
      </c>
      <c r="F37" s="13">
        <v>0.151</v>
      </c>
      <c r="G37" s="18">
        <v>1.6299999999999999E-2</v>
      </c>
      <c r="H37" s="18">
        <f t="shared" si="11"/>
        <v>2.0442319413057308E-2</v>
      </c>
      <c r="I37" s="14">
        <f t="shared" si="12"/>
        <v>8.2389241018045549</v>
      </c>
      <c r="J37" s="47">
        <f t="shared" si="6"/>
        <v>190.96685209937448</v>
      </c>
      <c r="K37" s="13">
        <f t="shared" si="7"/>
        <v>0.60349670929402599</v>
      </c>
      <c r="L37" s="48">
        <f t="shared" si="8"/>
        <v>4302.9593188899253</v>
      </c>
      <c r="M37" s="48">
        <f t="shared" si="9"/>
        <v>5203.6055516516199</v>
      </c>
      <c r="N37" s="48">
        <f t="shared" si="13"/>
        <v>900.64623276169459</v>
      </c>
      <c r="O37" s="14">
        <f t="shared" si="10"/>
        <v>5.4112575957281344</v>
      </c>
      <c r="P37" s="14">
        <f t="shared" si="14"/>
        <v>1.6237568159762494</v>
      </c>
      <c r="Q37" s="14">
        <v>0.23699999999999999</v>
      </c>
    </row>
    <row r="38" spans="1:17" x14ac:dyDescent="0.25">
      <c r="A38" s="37">
        <v>16</v>
      </c>
      <c r="B38" s="31">
        <f>I10*SIN(C37+C38-C$14)+0.5*C$16*C$4*C$2*(C38-C$5)*G10^2*COS(C37)-0.5*C$16*C$4*(C$8+1/PI()/C$7*C$2^2*(C38-C$5)^2)/SQRT(1-H10^2)*G10^2*SIN(C37)-C$11</f>
        <v>0</v>
      </c>
      <c r="C38" s="38">
        <v>1.7710622534923514E-2</v>
      </c>
      <c r="D38" s="39">
        <f t="shared" si="5"/>
        <v>1.0147439238004048</v>
      </c>
      <c r="F38" s="13">
        <v>0.12</v>
      </c>
      <c r="G38" s="18">
        <v>1.61E-2</v>
      </c>
      <c r="H38" s="18">
        <f t="shared" si="11"/>
        <v>2.1874826693705825E-2</v>
      </c>
      <c r="I38" s="14">
        <f t="shared" si="12"/>
        <v>3.6112245670958489</v>
      </c>
      <c r="J38" s="47">
        <f t="shared" si="6"/>
        <v>214.21794059462744</v>
      </c>
      <c r="K38" s="13">
        <f t="shared" si="7"/>
        <v>0.67697519647717064</v>
      </c>
      <c r="L38" s="48">
        <f t="shared" si="8"/>
        <v>5793.9853463618638</v>
      </c>
      <c r="M38" s="48">
        <f t="shared" si="9"/>
        <v>5341.1358369106165</v>
      </c>
      <c r="N38" s="48">
        <f t="shared" si="13"/>
        <v>-452.84950945124729</v>
      </c>
      <c r="O38" s="14">
        <f t="shared" si="10"/>
        <v>-3.0520786711070045</v>
      </c>
      <c r="P38" s="14">
        <f t="shared" si="14"/>
        <v>-0.81635152922418741</v>
      </c>
      <c r="Q38" s="14">
        <v>-3.9E-2</v>
      </c>
    </row>
    <row r="39" spans="1:17" x14ac:dyDescent="0.25">
      <c r="A39" s="26">
        <v>17</v>
      </c>
      <c r="B39" s="27">
        <f>-I11*COS(C39+C40-C$14)+0.5*C$16*C$4*C$2*(C40-C$5)*G11^2*SIN(C39)+0.5*C$16*C$4*(C$8+1/PI()/C$7*C$2^2*(C40-C$5)^2)/SQRT(1-H11^2)*G11^2*COS(C39)</f>
        <v>3.6164227822155226E-5</v>
      </c>
      <c r="C39" s="28">
        <v>6.4098711188969953E-2</v>
      </c>
      <c r="D39" s="29">
        <f t="shared" si="5"/>
        <v>3.6725856233559653</v>
      </c>
      <c r="F39" s="13">
        <v>9.4E-2</v>
      </c>
      <c r="G39" s="18">
        <v>1.5699999999999999E-2</v>
      </c>
      <c r="H39" s="18">
        <f t="shared" si="11"/>
        <v>2.4372829102614135E-2</v>
      </c>
      <c r="I39" s="14">
        <f t="shared" si="12"/>
        <v>1.3982076507065258</v>
      </c>
      <c r="J39" s="47">
        <f t="shared" si="6"/>
        <v>242.03743179631834</v>
      </c>
      <c r="K39" s="13">
        <f t="shared" si="7"/>
        <v>0.76489082795921437</v>
      </c>
      <c r="L39" s="48">
        <f t="shared" si="8"/>
        <v>8241.2313758417949</v>
      </c>
      <c r="M39" s="48">
        <f t="shared" si="9"/>
        <v>5565.2363078931967</v>
      </c>
      <c r="N39" s="48">
        <f t="shared" si="13"/>
        <v>-2675.9950679485983</v>
      </c>
      <c r="O39" s="14">
        <f t="shared" si="10"/>
        <v>-20.377637260602469</v>
      </c>
      <c r="P39" s="14">
        <f t="shared" si="14"/>
        <v>-4.8295685089539635</v>
      </c>
      <c r="Q39" s="14">
        <v>-0.28000000000000003</v>
      </c>
    </row>
    <row r="40" spans="1:17" x14ac:dyDescent="0.25">
      <c r="A40" s="30">
        <v>18</v>
      </c>
      <c r="B40" s="31">
        <f>I11*SIN(C39+C40-C$14)+0.5*C$16*C$4*C$2*(C40-C$5)*G11^2*COS(C39)-0.5*C$16*C$4*(C$8+1/PI()/C$7*C$2^2*(C40-C$5)^2)/SQRT(1-H11^2)*G11^2*SIN(C39)-C$11</f>
        <v>4.0017766878008842E-11</v>
      </c>
      <c r="C40" s="32">
        <v>1.0583984484684944E-2</v>
      </c>
      <c r="D40" s="33">
        <f t="shared" si="5"/>
        <v>0.6064176414043928</v>
      </c>
      <c r="F40" s="13">
        <v>7.9000000000000001E-2</v>
      </c>
      <c r="G40" s="18">
        <v>1.5599999999999999E-2</v>
      </c>
      <c r="H40" s="18">
        <f t="shared" si="11"/>
        <v>2.8300320865240744E-2</v>
      </c>
      <c r="I40" s="14">
        <f t="shared" si="12"/>
        <v>0.61559992014299447</v>
      </c>
      <c r="J40" s="47">
        <f t="shared" si="6"/>
        <v>264.01762332605608</v>
      </c>
      <c r="K40" s="13">
        <f t="shared" si="7"/>
        <v>0.8343530048345309</v>
      </c>
      <c r="L40" s="48">
        <f t="shared" si="8"/>
        <v>11386.186310242507</v>
      </c>
      <c r="M40" s="48">
        <f t="shared" si="9"/>
        <v>5788.1763152192216</v>
      </c>
      <c r="N40" s="48">
        <f t="shared" si="13"/>
        <v>-5598.0099950232852</v>
      </c>
      <c r="O40" s="14">
        <f t="shared" si="10"/>
        <v>-46.499958918260361</v>
      </c>
      <c r="P40" s="14">
        <f t="shared" si="14"/>
        <v>-10.144100832969864</v>
      </c>
      <c r="Q40" s="14">
        <v>-0.41699999999999998</v>
      </c>
    </row>
    <row r="41" spans="1:17" x14ac:dyDescent="0.25">
      <c r="A41" s="34">
        <v>19</v>
      </c>
      <c r="B41" s="27">
        <f>-I12*COS(C41+C42-C$14)+0.5*C$16*C$4*C$2*(C42-C$5)*G12^2*SIN(C41)+0.5*C$16*C$4*(C$8+1/PI()/C$7*C$2^2*(C42-C$5)^2)/SQRT(1-H12^2)*G12^2*COS(C41)</f>
        <v>4.6473123802570626E-6</v>
      </c>
      <c r="C41" s="35">
        <v>5.0506568000486599E-2</v>
      </c>
      <c r="D41" s="36">
        <f t="shared" si="5"/>
        <v>2.8938131841183794</v>
      </c>
      <c r="F41" s="13">
        <v>6.4000000000000001E-2</v>
      </c>
      <c r="G41" s="18">
        <v>1.54E-2</v>
      </c>
      <c r="H41" s="18">
        <f t="shared" si="11"/>
        <v>4.1056289854455003E-2</v>
      </c>
      <c r="I41" s="14">
        <f t="shared" si="12"/>
        <v>0.15551794910819847</v>
      </c>
      <c r="J41" s="47">
        <f t="shared" si="6"/>
        <v>293.3299957149477</v>
      </c>
      <c r="K41" s="13">
        <f t="shared" si="7"/>
        <v>0.9269864649550954</v>
      </c>
      <c r="L41" s="48">
        <f t="shared" si="8"/>
        <v>20389.83655078031</v>
      </c>
      <c r="M41" s="48">
        <f t="shared" si="9"/>
        <v>6148.5012630105266</v>
      </c>
      <c r="N41" s="48">
        <f t="shared" si="13"/>
        <v>-14241.335287769783</v>
      </c>
      <c r="O41" s="47">
        <f t="shared" si="10"/>
        <v>-131.42959498800178</v>
      </c>
      <c r="P41" s="14">
        <f t="shared" si="14"/>
        <v>-26.619317856287108</v>
      </c>
      <c r="Q41" s="14">
        <v>-0.55500000000000005</v>
      </c>
    </row>
    <row r="42" spans="1:17" ht="15.6" thickBot="1" x14ac:dyDescent="0.3">
      <c r="A42" s="37">
        <v>20</v>
      </c>
      <c r="B42" s="31">
        <f>I12*SIN(C41+C42-C$14)+0.5*C$16*C$4*C$2*(C42-C$5)*G12^2*COS(C41)-0.5*C$16*C$4*(C$8+1/PI()/C$7*C$2^2*(C42-C$5)^2)/SQRT(1-H12^2)*G12^2*SIN(C41)-C$11</f>
        <v>8.3673512563109398E-11</v>
      </c>
      <c r="C42" s="38">
        <v>5.4595683755796426E-3</v>
      </c>
      <c r="D42" s="39">
        <f t="shared" si="5"/>
        <v>0.31281022588380825</v>
      </c>
      <c r="F42" s="59"/>
      <c r="G42" s="59"/>
      <c r="H42" s="59"/>
      <c r="I42" s="60"/>
      <c r="J42" s="102"/>
      <c r="K42" s="105"/>
      <c r="L42" s="62"/>
      <c r="M42" s="62"/>
      <c r="N42" s="62"/>
      <c r="O42" s="60"/>
      <c r="P42" s="60"/>
      <c r="Q42" s="59"/>
    </row>
    <row r="43" spans="1:17" ht="18.600000000000001" thickBot="1" x14ac:dyDescent="0.3">
      <c r="A43" s="26">
        <v>21</v>
      </c>
      <c r="B43" s="27">
        <f>-I13*COS(C43+C44-C$14)+0.5*C$16*C$4*C$2*(C44-C$5)*G13^2*SIN(C43)+0.5*C$16*C$4*(C$8+1/PI()/C$7*C$2^2*(C44-C$5)^2)/SQRT(1-H13^2)*G13^2*COS(C43)</f>
        <v>7.2011316660791636E-5</v>
      </c>
      <c r="C43" s="28">
        <v>3.3031439417000187E-2</v>
      </c>
      <c r="D43" s="29">
        <f t="shared" si="5"/>
        <v>1.8925620698361791</v>
      </c>
      <c r="F43" s="143" t="s">
        <v>193</v>
      </c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5"/>
    </row>
    <row r="44" spans="1:17" ht="18.600000000000001" thickBot="1" x14ac:dyDescent="0.3">
      <c r="A44" s="30">
        <v>22</v>
      </c>
      <c r="B44" s="31">
        <f>I13*SIN(C43+C44-C$14)+0.5*C$16*C$4*C$2*(C44-C$5)*G13^2*COS(C43)-0.5*C$16*C$4*(C$8+1/PI()/C$7*C$2^2*(C44-C$5)^2)/SQRT(1-H13^2)*G13^2*SIN(C43)-C$11</f>
        <v>3.383320290595293E-10</v>
      </c>
      <c r="C44" s="32">
        <v>1.0931356867325808E-3</v>
      </c>
      <c r="D44" s="33">
        <f t="shared" si="5"/>
        <v>6.2632061284911777E-2</v>
      </c>
      <c r="F44" s="98" t="s">
        <v>1</v>
      </c>
      <c r="G44" s="98" t="s">
        <v>7</v>
      </c>
      <c r="H44" s="98" t="s">
        <v>109</v>
      </c>
      <c r="I44" s="98" t="s">
        <v>2</v>
      </c>
      <c r="J44" s="98" t="s">
        <v>63</v>
      </c>
      <c r="K44" s="98" t="s">
        <v>53</v>
      </c>
      <c r="L44" s="98" t="s">
        <v>67</v>
      </c>
      <c r="M44" s="98" t="s">
        <v>65</v>
      </c>
      <c r="N44" s="98" t="s">
        <v>68</v>
      </c>
      <c r="O44" s="98" t="s">
        <v>64</v>
      </c>
      <c r="P44" s="98" t="s">
        <v>84</v>
      </c>
      <c r="Q44" s="98" t="s">
        <v>66</v>
      </c>
    </row>
    <row r="45" spans="1:17" x14ac:dyDescent="0.25">
      <c r="A45" s="34">
        <v>23</v>
      </c>
      <c r="B45" s="27">
        <f>-I14*COS(C45+C46-C$14)+0.5*C$16*C$4*C$2*(C46-C$5)*G14^2*SIN(C45)+0.5*C$16*C$4*(C$8+1/PI()/C$7*C$2^2*(C46-C$5)^2)/SQRT(1-H14^2)*G14^2*COS(C45)</f>
        <v>-5.053662325735786E-4</v>
      </c>
      <c r="C45" s="35">
        <v>1.0411730162524495E-2</v>
      </c>
      <c r="D45" s="36">
        <f t="shared" si="5"/>
        <v>0.59654819574171225</v>
      </c>
      <c r="F45" s="107">
        <f t="shared" ref="F45:G60" si="15">F25</f>
        <v>1.405</v>
      </c>
      <c r="G45" s="109">
        <f t="shared" si="15"/>
        <v>0.1406</v>
      </c>
      <c r="H45" s="101">
        <f>G45/SQRT(1-K45^2)</f>
        <v>0.14397935411221363</v>
      </c>
      <c r="I45" s="43">
        <f>F45^3/H45^2</f>
        <v>133.79150242778891</v>
      </c>
      <c r="J45" s="44">
        <f t="shared" ref="J45:J60" si="16">SQRT((2*C$20)/(C$4*C$16*F45))</f>
        <v>68.155578411156441</v>
      </c>
      <c r="K45" s="42">
        <f t="shared" ref="K45:K60" si="17">J45/C$19</f>
        <v>0.21538642355459658</v>
      </c>
      <c r="L45" s="46">
        <f t="shared" ref="L45:L60" si="18">C$20*SQRT((2*C$20)/(C$16*C$4*I45))/J45</f>
        <v>3860.3273033087057</v>
      </c>
      <c r="M45" s="46">
        <f t="shared" ref="M45:M60" si="19">C$17*(1-0.605*K45+0.725*K45^2)</f>
        <v>5229.0142945943144</v>
      </c>
      <c r="N45" s="46">
        <f>(M45-L45)</f>
        <v>1368.6869912856087</v>
      </c>
      <c r="O45" s="43">
        <f t="shared" ref="O45:O60" si="20">N45/C$20*J45</f>
        <v>2.4763117342766758</v>
      </c>
      <c r="P45" s="43">
        <f>DEGREES(ASIN(O45/J45))</f>
        <v>2.0821985451759581</v>
      </c>
      <c r="Q45" s="107">
        <f t="shared" ref="Q45:Q60" si="21">Q25</f>
        <v>12.989000000000001</v>
      </c>
    </row>
    <row r="46" spans="1:17" x14ac:dyDescent="0.25">
      <c r="A46" s="37">
        <v>24</v>
      </c>
      <c r="B46" s="31">
        <f>I14*SIN(C45+C46-C$14)+0.5*C$16*C$4*C$2*(C46-C$5)*G14^2*COS(C45)-0.5*C$16*C$4*(C$8+1/PI()/C$7*C$2^2*(C46-C$5)^2)/SQRT(1-H14^2)*G14^2*SIN(C45)-C$11</f>
        <v>1.6007106751203537E-10</v>
      </c>
      <c r="C46" s="38">
        <v>-2.6175659353596136E-3</v>
      </c>
      <c r="D46" s="39">
        <f t="shared" si="5"/>
        <v>-0.14997548069331951</v>
      </c>
      <c r="F46" s="108">
        <f t="shared" si="15"/>
        <v>1.3560000000000001</v>
      </c>
      <c r="G46" s="12">
        <f t="shared" si="15"/>
        <v>0.13239999999999999</v>
      </c>
      <c r="H46" s="18">
        <f t="shared" ref="H46:H60" si="22">G46/SQRT(1-K46^2)</f>
        <v>0.13570159494700665</v>
      </c>
      <c r="I46" s="14">
        <f t="shared" ref="I46:I60" si="23">F46^3/H46^2</f>
        <v>135.39703823058926</v>
      </c>
      <c r="J46" s="47">
        <f t="shared" si="16"/>
        <v>69.376074922315269</v>
      </c>
      <c r="K46" s="13">
        <f t="shared" si="17"/>
        <v>0.21924345748531196</v>
      </c>
      <c r="L46" s="48">
        <f t="shared" si="18"/>
        <v>3769.8623615720639</v>
      </c>
      <c r="M46" s="48">
        <f t="shared" si="19"/>
        <v>5222.5418620604805</v>
      </c>
      <c r="N46" s="48">
        <f t="shared" ref="N46:N60" si="24">(M46-L46)</f>
        <v>1452.6795004884166</v>
      </c>
      <c r="O46" s="14">
        <f t="shared" si="20"/>
        <v>2.675341962495644</v>
      </c>
      <c r="P46" s="14">
        <f t="shared" ref="P46:P60" si="25">DEGREES(ASIN(O46/J46))</f>
        <v>2.2100388443757115</v>
      </c>
      <c r="Q46" s="108">
        <f t="shared" si="21"/>
        <v>11.238</v>
      </c>
    </row>
    <row r="47" spans="1:17" x14ac:dyDescent="0.25">
      <c r="A47" s="26">
        <v>25</v>
      </c>
      <c r="B47" s="27">
        <f>-I15*COS(C47+C48-C$14)+0.5*C$16*C$4*C$2*(C48-C$5)*G15^2*SIN(C47)+0.5*C$16*C$4*(C$8+1/PI()/C$7*C$2^2*(C48-C$5)^2)/SQRT(1-H15^2)*G15^2*COS(C47)</f>
        <v>1.3972026317787822E-4</v>
      </c>
      <c r="C47" s="28">
        <v>-1.3301332053561597E-2</v>
      </c>
      <c r="D47" s="29">
        <f t="shared" si="5"/>
        <v>-0.76211018857115975</v>
      </c>
      <c r="F47" s="108">
        <f t="shared" si="15"/>
        <v>1.302</v>
      </c>
      <c r="G47" s="12">
        <f t="shared" si="15"/>
        <v>0.1231</v>
      </c>
      <c r="H47" s="18">
        <f t="shared" si="22"/>
        <v>0.12630200908739714</v>
      </c>
      <c r="I47" s="14">
        <f t="shared" si="23"/>
        <v>138.36059941380421</v>
      </c>
      <c r="J47" s="47">
        <f t="shared" si="16"/>
        <v>70.800133705113225</v>
      </c>
      <c r="K47" s="13">
        <f t="shared" si="17"/>
        <v>0.22374379238538461</v>
      </c>
      <c r="L47" s="48">
        <f t="shared" si="18"/>
        <v>3654.2605246742592</v>
      </c>
      <c r="M47" s="48">
        <f t="shared" si="19"/>
        <v>5215.1477595899869</v>
      </c>
      <c r="N47" s="48">
        <f t="shared" si="24"/>
        <v>1560.8872349157277</v>
      </c>
      <c r="O47" s="14">
        <f t="shared" si="20"/>
        <v>2.9336302489657129</v>
      </c>
      <c r="P47" s="14">
        <f t="shared" si="25"/>
        <v>2.3747521009886627</v>
      </c>
      <c r="Q47" s="108">
        <f t="shared" si="21"/>
        <v>10.574999999999999</v>
      </c>
    </row>
    <row r="48" spans="1:17" x14ac:dyDescent="0.25">
      <c r="A48" s="30">
        <v>26</v>
      </c>
      <c r="B48" s="31">
        <f>I15*SIN(C47+C48-C$14)+0.5*C$16*C$4*C$2*(C48-C$5)*G15^2*COS(C47)-0.5*C$16*C$4*(C$8+1/PI()/C$7*C$2^2*(C48-C$5)^2)/SQRT(1-H15^2)*G15^2*SIN(C47)-C$11</f>
        <v>4.0804698073770851E-6</v>
      </c>
      <c r="C48" s="32">
        <v>-5.2318461943982372E-3</v>
      </c>
      <c r="D48" s="33">
        <f t="shared" si="5"/>
        <v>-0.29976270600060023</v>
      </c>
      <c r="F48" s="108">
        <f t="shared" si="15"/>
        <v>1.1930000000000001</v>
      </c>
      <c r="G48" s="12">
        <f t="shared" si="15"/>
        <v>0.1061</v>
      </c>
      <c r="H48" s="18">
        <f t="shared" si="22"/>
        <v>0.10912284241589937</v>
      </c>
      <c r="I48" s="14">
        <f t="shared" si="23"/>
        <v>142.59030278165815</v>
      </c>
      <c r="J48" s="47">
        <f t="shared" si="16"/>
        <v>73.963822573797884</v>
      </c>
      <c r="K48" s="13">
        <f t="shared" si="17"/>
        <v>0.23374173601011269</v>
      </c>
      <c r="L48" s="48">
        <f t="shared" si="18"/>
        <v>3445.6840929957211</v>
      </c>
      <c r="M48" s="48">
        <f t="shared" si="19"/>
        <v>5199.3293546112109</v>
      </c>
      <c r="N48" s="48">
        <f t="shared" si="24"/>
        <v>1753.6452616154897</v>
      </c>
      <c r="O48" s="14">
        <f t="shared" si="20"/>
        <v>3.4431890021743716</v>
      </c>
      <c r="P48" s="14">
        <f t="shared" si="25"/>
        <v>2.6682169145569743</v>
      </c>
      <c r="Q48" s="108">
        <f t="shared" si="21"/>
        <v>9.5760000000000005</v>
      </c>
    </row>
    <row r="49" spans="1:17" x14ac:dyDescent="0.25">
      <c r="A49" s="34">
        <v>27</v>
      </c>
      <c r="B49" s="27">
        <f>-I16*COS(C49+C50-C$14)+0.5*C$16*C$4*C$2*(C50-C$5)*G16^2*SIN(C49)+0.5*C$16*C$4*(C$8+1/PI()/C$7*C$2^2*(C50-C$5)^2)/SQRT(1-H16^2)*G16^2*COS(C49)</f>
        <v>-1.1704798444043263E-3</v>
      </c>
      <c r="C49" s="35">
        <v>-4.4513991524319126E-2</v>
      </c>
      <c r="D49" s="36">
        <f t="shared" si="5"/>
        <v>-2.5504638436246041</v>
      </c>
      <c r="F49" s="108">
        <f t="shared" si="15"/>
        <v>1.095</v>
      </c>
      <c r="G49" s="12">
        <f t="shared" si="15"/>
        <v>9.1899999999999996E-2</v>
      </c>
      <c r="H49" s="18">
        <f t="shared" si="22"/>
        <v>9.4763668814241794E-2</v>
      </c>
      <c r="I49" s="14">
        <f t="shared" si="23"/>
        <v>146.20378802600521</v>
      </c>
      <c r="J49" s="47">
        <f t="shared" si="16"/>
        <v>77.202703777893532</v>
      </c>
      <c r="K49" s="13">
        <f t="shared" si="17"/>
        <v>0.24397730373811211</v>
      </c>
      <c r="L49" s="48">
        <f t="shared" si="18"/>
        <v>3260.0779084018391</v>
      </c>
      <c r="M49" s="48">
        <f t="shared" si="19"/>
        <v>5184.0041435063895</v>
      </c>
      <c r="N49" s="48">
        <f t="shared" si="24"/>
        <v>1923.9262351045504</v>
      </c>
      <c r="O49" s="14">
        <f t="shared" si="20"/>
        <v>3.9429447847459693</v>
      </c>
      <c r="P49" s="14">
        <f t="shared" si="25"/>
        <v>2.9275195336387969</v>
      </c>
      <c r="Q49" s="108">
        <f t="shared" si="21"/>
        <v>8.6869999999999994</v>
      </c>
    </row>
    <row r="50" spans="1:17" x14ac:dyDescent="0.25">
      <c r="A50" s="37">
        <v>28</v>
      </c>
      <c r="B50" s="31">
        <f>I16*SIN(C49+C50-C$14)+0.5*C$16*C$4*C$2*(C50-C$5)*G16^2*COS(C49)-0.5*C$16*C$4*(C$8+1/PI()/C$7*C$2^2*(C50-C$5)^2)/SQRT(1-H16^2)*G16^2*SIN(C49)-C$11</f>
        <v>-1.2490660810726695E-4</v>
      </c>
      <c r="C50" s="38">
        <v>-7.5764895880229251E-3</v>
      </c>
      <c r="D50" s="39">
        <f t="shared" si="5"/>
        <v>-0.43410087691852545</v>
      </c>
      <c r="F50" s="108">
        <f t="shared" si="15"/>
        <v>0.997</v>
      </c>
      <c r="G50" s="12">
        <f t="shared" si="15"/>
        <v>7.9399999999999998E-2</v>
      </c>
      <c r="H50" s="18">
        <f t="shared" si="22"/>
        <v>8.2130037179917084E-2</v>
      </c>
      <c r="I50" s="14">
        <f t="shared" si="23"/>
        <v>146.92017469621811</v>
      </c>
      <c r="J50" s="47">
        <f t="shared" si="16"/>
        <v>80.908097809795308</v>
      </c>
      <c r="K50" s="13">
        <f t="shared" si="17"/>
        <v>0.25568715327643293</v>
      </c>
      <c r="L50" s="48">
        <f t="shared" si="18"/>
        <v>3103.1808952681536</v>
      </c>
      <c r="M50" s="48">
        <f t="shared" si="19"/>
        <v>5167.5500352301879</v>
      </c>
      <c r="N50" s="48">
        <f t="shared" si="24"/>
        <v>2064.3691399620343</v>
      </c>
      <c r="O50" s="14">
        <f t="shared" si="20"/>
        <v>4.4338308138902507</v>
      </c>
      <c r="P50" s="14">
        <f t="shared" si="25"/>
        <v>3.1414298962629505</v>
      </c>
      <c r="Q50" s="108">
        <f t="shared" si="21"/>
        <v>8.0169999999999995</v>
      </c>
    </row>
    <row r="51" spans="1:17" x14ac:dyDescent="0.25">
      <c r="A51" s="26">
        <v>29</v>
      </c>
      <c r="B51" s="27">
        <f>-I17*COS(C51+C52-C$14)+0.5*C$16*C$4*C$2*(C52-C$5)*G17^2*SIN(C51)+0.5*C$16*C$4*(C$8+1/PI()/C$7*C$2^2*(C52-C$5)^2)/SQRT(1-H17^2)*G17^2*COS(C51)</f>
        <v>-3.0976859306974802E-5</v>
      </c>
      <c r="C51" s="28">
        <v>-8.0803558424632993E-2</v>
      </c>
      <c r="D51" s="29">
        <f t="shared" si="5"/>
        <v>-4.6297028673702378</v>
      </c>
      <c r="F51" s="108">
        <f t="shared" si="15"/>
        <v>0.80100000000000005</v>
      </c>
      <c r="G51" s="12">
        <f t="shared" si="15"/>
        <v>5.7599999999999998E-2</v>
      </c>
      <c r="H51" s="18">
        <f t="shared" si="22"/>
        <v>6.0097012921308389E-2</v>
      </c>
      <c r="I51" s="14">
        <f t="shared" si="23"/>
        <v>142.29569977778664</v>
      </c>
      <c r="J51" s="47">
        <f t="shared" si="16"/>
        <v>90.265815877397586</v>
      </c>
      <c r="K51" s="13">
        <f t="shared" si="17"/>
        <v>0.28525957382070877</v>
      </c>
      <c r="L51" s="48">
        <f t="shared" si="18"/>
        <v>2826.3152503756005</v>
      </c>
      <c r="M51" s="48">
        <f t="shared" si="19"/>
        <v>5131.1197862800609</v>
      </c>
      <c r="N51" s="48">
        <f t="shared" si="24"/>
        <v>2304.8045359044604</v>
      </c>
      <c r="O51" s="14">
        <f t="shared" si="20"/>
        <v>5.5227728367987279</v>
      </c>
      <c r="P51" s="14">
        <f t="shared" si="25"/>
        <v>3.5077435165224475</v>
      </c>
      <c r="Q51" s="108">
        <f t="shared" si="21"/>
        <v>6.1310000000000002</v>
      </c>
    </row>
    <row r="52" spans="1:17" x14ac:dyDescent="0.25">
      <c r="A52" s="30">
        <v>30</v>
      </c>
      <c r="B52" s="31">
        <f>I17*SIN(C51+C52-C$14)+0.5*C$16*C$4*C$2*(C52-C$5)*G17^2*COS(C51)-0.5*C$16*C$4*(C$8+1/PI()/C$7*C$2^2*(C52-C$5)^2)/SQRT(1-H17^2)*G17^2*SIN(C51)-C$11</f>
        <v>1.4984807057771832E-4</v>
      </c>
      <c r="C52" s="32">
        <v>-9.4187114431539109E-3</v>
      </c>
      <c r="D52" s="33">
        <f t="shared" si="5"/>
        <v>-0.53965241414429188</v>
      </c>
      <c r="F52" s="108">
        <f t="shared" si="15"/>
        <v>0.61099999999999999</v>
      </c>
      <c r="G52" s="12">
        <f t="shared" si="15"/>
        <v>4.0599999999999997E-2</v>
      </c>
      <c r="H52" s="18">
        <f t="shared" si="22"/>
        <v>4.2955802173796749E-2</v>
      </c>
      <c r="I52" s="14">
        <f t="shared" si="23"/>
        <v>123.61750203273255</v>
      </c>
      <c r="J52" s="47">
        <f t="shared" si="16"/>
        <v>103.35201894738439</v>
      </c>
      <c r="K52" s="13">
        <f t="shared" si="17"/>
        <v>0.32661481638280937</v>
      </c>
      <c r="L52" s="48">
        <f t="shared" si="18"/>
        <v>2648.3833882287936</v>
      </c>
      <c r="M52" s="48">
        <f t="shared" si="19"/>
        <v>5092.4843424186056</v>
      </c>
      <c r="N52" s="48">
        <f t="shared" si="24"/>
        <v>2444.100954189812</v>
      </c>
      <c r="O52" s="14">
        <f t="shared" si="20"/>
        <v>6.7056035541631012</v>
      </c>
      <c r="P52" s="14">
        <f t="shared" si="25"/>
        <v>3.7200323066942542</v>
      </c>
      <c r="Q52" s="108">
        <f t="shared" si="21"/>
        <v>4.5730000000000004</v>
      </c>
    </row>
    <row r="53" spans="1:17" x14ac:dyDescent="0.25">
      <c r="F53" s="108">
        <f t="shared" si="15"/>
        <v>0.49099999999999999</v>
      </c>
      <c r="G53" s="12">
        <f t="shared" si="15"/>
        <v>3.1699999999999999E-2</v>
      </c>
      <c r="H53" s="18">
        <f t="shared" si="22"/>
        <v>3.4039790200229972E-2</v>
      </c>
      <c r="I53" s="14">
        <f t="shared" si="23"/>
        <v>102.15761070636358</v>
      </c>
      <c r="J53" s="47">
        <f t="shared" si="16"/>
        <v>115.29190730785888</v>
      </c>
      <c r="K53" s="13">
        <f t="shared" si="17"/>
        <v>0.36434745561139514</v>
      </c>
      <c r="L53" s="48">
        <f t="shared" si="18"/>
        <v>2611.5937123395993</v>
      </c>
      <c r="M53" s="48">
        <f t="shared" si="19"/>
        <v>5069.7571950288311</v>
      </c>
      <c r="N53" s="48">
        <f t="shared" si="24"/>
        <v>2458.1634826892318</v>
      </c>
      <c r="O53" s="14">
        <f t="shared" si="20"/>
        <v>7.5233168852406793</v>
      </c>
      <c r="P53" s="14">
        <f t="shared" si="25"/>
        <v>3.7414664995607216</v>
      </c>
      <c r="Q53" s="108">
        <f t="shared" si="21"/>
        <v>3.3540000000000001</v>
      </c>
    </row>
    <row r="54" spans="1:17" x14ac:dyDescent="0.25">
      <c r="F54" s="108">
        <f t="shared" si="15"/>
        <v>0.38800000000000001</v>
      </c>
      <c r="G54" s="12">
        <f t="shared" si="15"/>
        <v>2.52E-2</v>
      </c>
      <c r="H54" s="18">
        <f t="shared" si="22"/>
        <v>2.7627147570052916E-2</v>
      </c>
      <c r="I54" s="14">
        <f t="shared" si="23"/>
        <v>76.528479000375015</v>
      </c>
      <c r="J54" s="47">
        <f t="shared" si="16"/>
        <v>129.69514145616463</v>
      </c>
      <c r="K54" s="13">
        <f t="shared" si="17"/>
        <v>0.40986480229295746</v>
      </c>
      <c r="L54" s="48">
        <f t="shared" si="18"/>
        <v>2682.2827315023742</v>
      </c>
      <c r="M54" s="48">
        <f t="shared" si="19"/>
        <v>5058.2440073421785</v>
      </c>
      <c r="N54" s="48">
        <f t="shared" si="24"/>
        <v>2375.9612758398043</v>
      </c>
      <c r="O54" s="14">
        <f t="shared" si="20"/>
        <v>8.1801794980784077</v>
      </c>
      <c r="P54" s="14">
        <f t="shared" si="25"/>
        <v>3.6161807157869146</v>
      </c>
      <c r="Q54" s="108">
        <f t="shared" si="21"/>
        <v>2.5739999999999998</v>
      </c>
    </row>
    <row r="55" spans="1:17" x14ac:dyDescent="0.25">
      <c r="F55" s="108">
        <f t="shared" si="15"/>
        <v>0.246</v>
      </c>
      <c r="G55" s="12">
        <f t="shared" si="15"/>
        <v>1.8800000000000001E-2</v>
      </c>
      <c r="H55" s="18">
        <f t="shared" si="22"/>
        <v>2.1928146361554234E-2</v>
      </c>
      <c r="I55" s="14">
        <f t="shared" si="23"/>
        <v>30.960037549939258</v>
      </c>
      <c r="J55" s="47">
        <f t="shared" si="16"/>
        <v>162.88159610870073</v>
      </c>
      <c r="K55" s="13">
        <f t="shared" si="17"/>
        <v>0.51474120338438312</v>
      </c>
      <c r="L55" s="48">
        <f t="shared" si="18"/>
        <v>3357.8944906434663</v>
      </c>
      <c r="M55" s="48">
        <f t="shared" si="19"/>
        <v>5097.9109248806853</v>
      </c>
      <c r="N55" s="48">
        <f t="shared" si="24"/>
        <v>1740.0164342372191</v>
      </c>
      <c r="O55" s="14">
        <f t="shared" si="20"/>
        <v>7.5235902476195724</v>
      </c>
      <c r="P55" s="14">
        <f t="shared" si="25"/>
        <v>2.6474654701755651</v>
      </c>
      <c r="Q55" s="108">
        <f t="shared" si="21"/>
        <v>1.242</v>
      </c>
    </row>
    <row r="56" spans="1:17" x14ac:dyDescent="0.25">
      <c r="F56" s="108">
        <f t="shared" si="15"/>
        <v>0.2</v>
      </c>
      <c r="G56" s="12">
        <f t="shared" si="15"/>
        <v>1.7500000000000002E-2</v>
      </c>
      <c r="H56" s="18">
        <f t="shared" si="22"/>
        <v>2.1314519715833518E-2</v>
      </c>
      <c r="I56" s="14">
        <f t="shared" si="23"/>
        <v>17.609169947486787</v>
      </c>
      <c r="J56" s="47">
        <f t="shared" si="16"/>
        <v>180.64442878657795</v>
      </c>
      <c r="K56" s="13">
        <f t="shared" si="17"/>
        <v>0.57087561074876159</v>
      </c>
      <c r="L56" s="48">
        <f t="shared" si="18"/>
        <v>4014.6324175166746</v>
      </c>
      <c r="M56" s="48">
        <f t="shared" si="19"/>
        <v>5157.0737084396378</v>
      </c>
      <c r="N56" s="48">
        <f t="shared" si="24"/>
        <v>1142.4412909229632</v>
      </c>
      <c r="O56" s="14">
        <f t="shared" si="20"/>
        <v>5.4784566774172667</v>
      </c>
      <c r="P56" s="14">
        <f t="shared" si="25"/>
        <v>1.7378924150471555</v>
      </c>
      <c r="Q56" s="108">
        <f t="shared" si="21"/>
        <v>0.68799999999999994</v>
      </c>
    </row>
    <row r="57" spans="1:17" x14ac:dyDescent="0.25">
      <c r="F57" s="108">
        <f t="shared" si="15"/>
        <v>0.151</v>
      </c>
      <c r="G57" s="12">
        <f t="shared" si="15"/>
        <v>1.6299999999999999E-2</v>
      </c>
      <c r="H57" s="18">
        <f t="shared" si="22"/>
        <v>2.1621274878722962E-2</v>
      </c>
      <c r="I57" s="14">
        <f t="shared" si="23"/>
        <v>7.3649235920266918</v>
      </c>
      <c r="J57" s="47">
        <f t="shared" si="16"/>
        <v>207.89837574622669</v>
      </c>
      <c r="K57" s="13">
        <f t="shared" si="17"/>
        <v>0.65700399965294154</v>
      </c>
      <c r="L57" s="48">
        <f t="shared" si="18"/>
        <v>5393.9210145128845</v>
      </c>
      <c r="M57" s="48">
        <f t="shared" si="19"/>
        <v>5299.2709103273146</v>
      </c>
      <c r="N57" s="48">
        <f t="shared" si="24"/>
        <v>-94.650104185569944</v>
      </c>
      <c r="O57" s="14">
        <f t="shared" si="20"/>
        <v>-0.52236246295210886</v>
      </c>
      <c r="P57" s="14">
        <f t="shared" si="25"/>
        <v>-0.14396070140893003</v>
      </c>
      <c r="Q57" s="108">
        <f t="shared" si="21"/>
        <v>0.23699999999999999</v>
      </c>
    </row>
    <row r="58" spans="1:17" x14ac:dyDescent="0.25">
      <c r="F58" s="108">
        <f t="shared" si="15"/>
        <v>0.12</v>
      </c>
      <c r="G58" s="12">
        <f t="shared" si="15"/>
        <v>1.61E-2</v>
      </c>
      <c r="H58" s="18">
        <f t="shared" si="22"/>
        <v>2.382024159033206E-2</v>
      </c>
      <c r="I58" s="14">
        <f t="shared" si="23"/>
        <v>3.0454495841611733</v>
      </c>
      <c r="J58" s="47">
        <f t="shared" si="16"/>
        <v>233.21095475852272</v>
      </c>
      <c r="K58" s="13">
        <f t="shared" si="17"/>
        <v>0.73699724439531389</v>
      </c>
      <c r="L58" s="48">
        <f t="shared" si="18"/>
        <v>7477.6502400370409</v>
      </c>
      <c r="M58" s="48">
        <f t="shared" si="19"/>
        <v>5487.1081076735372</v>
      </c>
      <c r="N58" s="48">
        <f t="shared" si="24"/>
        <v>-1990.5421323635037</v>
      </c>
      <c r="O58" s="14">
        <f t="shared" si="20"/>
        <v>-12.323103316544511</v>
      </c>
      <c r="P58" s="14">
        <f t="shared" si="25"/>
        <v>-3.0289777735026036</v>
      </c>
      <c r="Q58" s="108">
        <f t="shared" si="21"/>
        <v>-3.9E-2</v>
      </c>
    </row>
    <row r="59" spans="1:17" x14ac:dyDescent="0.25">
      <c r="F59" s="108">
        <f t="shared" si="15"/>
        <v>9.4E-2</v>
      </c>
      <c r="G59" s="12">
        <f t="shared" si="15"/>
        <v>1.5699999999999999E-2</v>
      </c>
      <c r="H59" s="18">
        <f t="shared" si="22"/>
        <v>2.8354045257107753E-2</v>
      </c>
      <c r="I59" s="14">
        <f t="shared" si="23"/>
        <v>1.0331265068712652</v>
      </c>
      <c r="J59" s="47">
        <f t="shared" si="16"/>
        <v>263.49698069096212</v>
      </c>
      <c r="K59" s="13">
        <f t="shared" si="17"/>
        <v>0.83270766108223471</v>
      </c>
      <c r="L59" s="48">
        <f t="shared" si="18"/>
        <v>11362.853472908</v>
      </c>
      <c r="M59" s="48">
        <f t="shared" si="19"/>
        <v>5782.427274614859</v>
      </c>
      <c r="N59" s="48">
        <f t="shared" si="24"/>
        <v>-5580.4261982931412</v>
      </c>
      <c r="O59" s="14">
        <f t="shared" si="20"/>
        <v>-39.033975063152688</v>
      </c>
      <c r="P59" s="14">
        <f t="shared" si="25"/>
        <v>-8.5190493673208874</v>
      </c>
      <c r="Q59" s="108">
        <f t="shared" si="21"/>
        <v>-0.28000000000000003</v>
      </c>
    </row>
    <row r="60" spans="1:17" x14ac:dyDescent="0.25">
      <c r="F60" s="108">
        <f t="shared" si="15"/>
        <v>7.9000000000000001E-2</v>
      </c>
      <c r="G60" s="12">
        <f t="shared" si="15"/>
        <v>1.5599999999999999E-2</v>
      </c>
      <c r="H60" s="18">
        <f t="shared" si="22"/>
        <v>3.7297597984570698E-2</v>
      </c>
      <c r="I60" s="14">
        <f t="shared" si="23"/>
        <v>0.35442108172498166</v>
      </c>
      <c r="J60" s="47">
        <f t="shared" si="16"/>
        <v>287.42598233385206</v>
      </c>
      <c r="K60" s="13">
        <f t="shared" si="17"/>
        <v>0.90832850097889195</v>
      </c>
      <c r="L60" s="48">
        <f t="shared" si="18"/>
        <v>17785.005507822432</v>
      </c>
      <c r="M60" s="48">
        <f t="shared" si="19"/>
        <v>6070.1331535664849</v>
      </c>
      <c r="N60" s="48">
        <f t="shared" si="24"/>
        <v>-11714.872354255947</v>
      </c>
      <c r="O60" s="14">
        <f t="shared" si="20"/>
        <v>-89.384734283089699</v>
      </c>
      <c r="P60" s="14">
        <f t="shared" si="25"/>
        <v>-18.118509981917054</v>
      </c>
      <c r="Q60" s="108">
        <f t="shared" si="21"/>
        <v>-0.41699999999999998</v>
      </c>
    </row>
    <row r="61" spans="1:17" ht="15.6" thickBot="1" x14ac:dyDescent="0.3">
      <c r="F61" s="61"/>
      <c r="G61" s="105"/>
      <c r="H61" s="59"/>
      <c r="I61" s="60"/>
      <c r="J61" s="102"/>
      <c r="K61" s="105"/>
      <c r="L61" s="62"/>
      <c r="M61" s="62"/>
      <c r="N61" s="62"/>
      <c r="O61" s="60"/>
      <c r="P61" s="60"/>
      <c r="Q61" s="61"/>
    </row>
    <row r="62" spans="1:17" ht="18.600000000000001" thickBot="1" x14ac:dyDescent="0.3">
      <c r="F62" s="97"/>
      <c r="G62" s="143" t="s">
        <v>194</v>
      </c>
      <c r="H62" s="144"/>
      <c r="I62" s="144"/>
      <c r="J62" s="144"/>
      <c r="K62" s="144"/>
      <c r="L62" s="145"/>
      <c r="M62" s="62"/>
      <c r="N62" s="62"/>
      <c r="O62" s="60"/>
      <c r="P62" s="60"/>
      <c r="Q62" s="61"/>
    </row>
    <row r="63" spans="1:17" ht="18.600000000000001" thickBot="1" x14ac:dyDescent="0.3">
      <c r="B63" s="59" t="s">
        <v>174</v>
      </c>
      <c r="C63" s="59" t="s">
        <v>175</v>
      </c>
      <c r="D63" s="20" t="s">
        <v>176</v>
      </c>
      <c r="E63" s="20" t="s">
        <v>177</v>
      </c>
      <c r="F63" s="97"/>
      <c r="G63" s="98" t="s">
        <v>63</v>
      </c>
      <c r="H63" s="98" t="s">
        <v>53</v>
      </c>
      <c r="I63" s="98" t="s">
        <v>65</v>
      </c>
      <c r="J63" s="98" t="s">
        <v>66</v>
      </c>
      <c r="K63" s="98" t="s">
        <v>84</v>
      </c>
      <c r="L63" s="98" t="s">
        <v>64</v>
      </c>
      <c r="M63" s="62"/>
      <c r="N63" s="62"/>
      <c r="O63" s="60"/>
      <c r="P63" s="60"/>
      <c r="Q63" s="61"/>
    </row>
    <row r="64" spans="1:17" x14ac:dyDescent="0.25">
      <c r="B64" s="27">
        <f t="shared" ref="B64:B78" si="26">-I64*COS(C64+D64-C$14)+0.5*C$16*C$4*C$2*(D64-C$5)*G64^2*SIN(C64)+0.5*C$16*C$4*((C$8+1/PI()/C$7*C$2^2*(D64-C$5)^2)/SQRT(1-H64^2))*G64^2*COS(C64)</f>
        <v>1.3195554674894083E-4</v>
      </c>
      <c r="C64" s="28">
        <v>4.07257628387084E-2</v>
      </c>
      <c r="D64" s="32">
        <v>0.19498724306325568</v>
      </c>
      <c r="E64" s="31">
        <f t="shared" ref="E64:E78" si="27">I64*SIN(C64+D64-C$14)+0.5*C$16*C$4*C$2*(D64-C$5)*G64^2*COS(C64)-0.5*C$16*C$4*(C$8+1/PI()/C$7*C$2^2*(D64-C$5)^2)/SQRT(1-H64^2)*G64^2*SIN(C64)-C$20</f>
        <v>5.8345161960460246E-5</v>
      </c>
      <c r="F64" s="97"/>
      <c r="G64" s="81">
        <f>SQRT(2*C$20/C$4/C$16/C$15)</f>
        <v>68.155578411156441</v>
      </c>
      <c r="H64" s="99">
        <f t="shared" ref="H64:H78" si="28">G64/C$19</f>
        <v>0.21538642355459658</v>
      </c>
      <c r="I64" s="100">
        <f t="shared" ref="I64:I78" si="29">C$17*(1-0.605*H64+0.725*H64^2)</f>
        <v>5229.0142945943144</v>
      </c>
      <c r="J64" s="67">
        <f>DEGREES(D64)</f>
        <v>11.171946086416089</v>
      </c>
      <c r="K64" s="67">
        <f>DEGREES(C64)</f>
        <v>2.3334143281087183</v>
      </c>
      <c r="L64" s="67">
        <f>G64*SIN(RADIANS(K64))</f>
        <v>2.7749206991341295</v>
      </c>
    </row>
    <row r="65" spans="2:12" x14ac:dyDescent="0.25">
      <c r="B65" s="27">
        <f t="shared" si="26"/>
        <v>-4.6823310049148859E-4</v>
      </c>
      <c r="C65" s="35">
        <v>4.9086730274408734E-2</v>
      </c>
      <c r="D65" s="38">
        <v>0.1674725526132331</v>
      </c>
      <c r="E65" s="31">
        <f t="shared" si="27"/>
        <v>-2.9831426218152046E-10</v>
      </c>
      <c r="F65" s="97"/>
      <c r="G65" s="11">
        <v>73</v>
      </c>
      <c r="H65" s="99">
        <f t="shared" si="28"/>
        <v>0.23069584744235413</v>
      </c>
      <c r="I65" s="100">
        <f t="shared" si="29"/>
        <v>5204.0595883769311</v>
      </c>
      <c r="J65" s="67">
        <f t="shared" ref="J65:J78" si="30">DEGREES(D65)</f>
        <v>9.5954704490208833</v>
      </c>
      <c r="K65" s="67">
        <f t="shared" ref="K65:K78" si="31">DEGREES(C65)</f>
        <v>2.8124624748206659</v>
      </c>
      <c r="L65" s="67">
        <f t="shared" ref="L65:L78" si="32">G65*SIN(RADIANS(K65))</f>
        <v>3.5818924730215307</v>
      </c>
    </row>
    <row r="66" spans="2:12" x14ac:dyDescent="0.25">
      <c r="B66" s="27">
        <f t="shared" si="26"/>
        <v>-1.6861440508364467E-4</v>
      </c>
      <c r="C66" s="28">
        <v>5.4477979556300835E-2</v>
      </c>
      <c r="D66" s="32">
        <v>0.14843905007677666</v>
      </c>
      <c r="E66" s="31">
        <f t="shared" si="27"/>
        <v>-1.5279510989785194E-10</v>
      </c>
      <c r="G66" s="11">
        <f t="shared" ref="G66:G78" si="33">G5</f>
        <v>77</v>
      </c>
      <c r="H66" s="99">
        <f t="shared" si="28"/>
        <v>0.24333671579535984</v>
      </c>
      <c r="I66" s="100">
        <f t="shared" si="29"/>
        <v>5184.9374691944022</v>
      </c>
      <c r="J66" s="67">
        <f t="shared" si="30"/>
        <v>8.5049310843303818</v>
      </c>
      <c r="K66" s="67">
        <f t="shared" si="31"/>
        <v>3.121358304976019</v>
      </c>
      <c r="L66" s="67">
        <f t="shared" si="32"/>
        <v>4.192729808484887</v>
      </c>
    </row>
    <row r="67" spans="2:12" x14ac:dyDescent="0.25">
      <c r="B67" s="27">
        <f t="shared" si="26"/>
        <v>-7.394015165118617E-5</v>
      </c>
      <c r="C67" s="35">
        <v>6.5254452782629549E-2</v>
      </c>
      <c r="D67" s="38">
        <v>0.10275151599352249</v>
      </c>
      <c r="E67" s="31">
        <f t="shared" si="27"/>
        <v>-1.3824319466948509E-10</v>
      </c>
      <c r="G67" s="11">
        <f t="shared" si="33"/>
        <v>90</v>
      </c>
      <c r="H67" s="99">
        <f t="shared" si="28"/>
        <v>0.28441953794262836</v>
      </c>
      <c r="I67" s="100">
        <f t="shared" si="29"/>
        <v>5132.0533321116882</v>
      </c>
      <c r="J67" s="67">
        <f t="shared" si="30"/>
        <v>5.8872282049998166</v>
      </c>
      <c r="K67" s="67">
        <f t="shared" si="31"/>
        <v>3.738804738880384</v>
      </c>
      <c r="L67" s="67">
        <f t="shared" si="32"/>
        <v>5.8687336952664664</v>
      </c>
    </row>
    <row r="68" spans="2:12" x14ac:dyDescent="0.25">
      <c r="B68" s="27">
        <f t="shared" si="26"/>
        <v>1.0874126792259631E-4</v>
      </c>
      <c r="C68" s="28">
        <v>6.9253566608189362E-2</v>
      </c>
      <c r="D68" s="32">
        <v>7.1122129162701164E-2</v>
      </c>
      <c r="E68" s="31">
        <f t="shared" si="27"/>
        <v>-1.3678800314664841E-9</v>
      </c>
      <c r="G68" s="11">
        <f t="shared" si="33"/>
        <v>104</v>
      </c>
      <c r="H68" s="99">
        <f t="shared" si="28"/>
        <v>0.32866257717814834</v>
      </c>
      <c r="I68" s="100">
        <f t="shared" si="29"/>
        <v>5090.9442595903529</v>
      </c>
      <c r="J68" s="67">
        <f t="shared" si="30"/>
        <v>4.0749978310070878</v>
      </c>
      <c r="K68" s="67">
        <f t="shared" si="31"/>
        <v>3.9679370828773783</v>
      </c>
      <c r="L68" s="67">
        <f t="shared" si="32"/>
        <v>7.196615144708943</v>
      </c>
    </row>
    <row r="69" spans="2:12" x14ac:dyDescent="0.25">
      <c r="B69" s="27">
        <f t="shared" si="26"/>
        <v>9.6318822670582449E-5</v>
      </c>
      <c r="C69" s="35">
        <v>6.8514379722719496E-2</v>
      </c>
      <c r="D69" s="38">
        <v>5.1205007321302086E-2</v>
      </c>
      <c r="E69" s="31">
        <f t="shared" si="27"/>
        <v>0</v>
      </c>
      <c r="G69" s="11">
        <f t="shared" si="33"/>
        <v>117</v>
      </c>
      <c r="H69" s="99">
        <f t="shared" si="28"/>
        <v>0.36974539932541689</v>
      </c>
      <c r="I69" s="100">
        <f t="shared" si="29"/>
        <v>5067.4829762763002</v>
      </c>
      <c r="J69" s="67">
        <f t="shared" si="30"/>
        <v>2.9338308094470906</v>
      </c>
      <c r="K69" s="67">
        <f t="shared" si="31"/>
        <v>3.9255847940685347</v>
      </c>
      <c r="L69" s="67">
        <f t="shared" si="32"/>
        <v>8.0099122784606482</v>
      </c>
    </row>
    <row r="70" spans="2:12" x14ac:dyDescent="0.25">
      <c r="B70" s="27">
        <f t="shared" si="26"/>
        <v>2.6010053443314973E-4</v>
      </c>
      <c r="C70" s="28">
        <v>6.4738926231912408E-2</v>
      </c>
      <c r="D70" s="32">
        <v>3.6902237332805114E-2</v>
      </c>
      <c r="E70" s="31">
        <f t="shared" si="27"/>
        <v>1.4988472685217857E-9</v>
      </c>
      <c r="G70" s="11">
        <f t="shared" si="33"/>
        <v>130</v>
      </c>
      <c r="H70" s="99">
        <f t="shared" si="28"/>
        <v>0.41082822147268544</v>
      </c>
      <c r="I70" s="100">
        <f t="shared" si="29"/>
        <v>5058.1882521841944</v>
      </c>
      <c r="J70" s="67">
        <f t="shared" si="30"/>
        <v>2.114342453759837</v>
      </c>
      <c r="K70" s="67">
        <f t="shared" si="31"/>
        <v>3.7092672432973548</v>
      </c>
      <c r="L70" s="67">
        <f t="shared" si="32"/>
        <v>8.4101828434275507</v>
      </c>
    </row>
    <row r="71" spans="2:12" x14ac:dyDescent="0.25">
      <c r="B71" s="27">
        <f t="shared" si="26"/>
        <v>8.3072081451973645E-5</v>
      </c>
      <c r="C71" s="35">
        <v>5.7965794146124863E-2</v>
      </c>
      <c r="D71" s="38">
        <v>2.5588461050034043E-2</v>
      </c>
      <c r="E71" s="31">
        <f t="shared" si="27"/>
        <v>8.7311491370201111E-10</v>
      </c>
      <c r="G71" s="11">
        <f t="shared" si="33"/>
        <v>144</v>
      </c>
      <c r="H71" s="99">
        <f t="shared" si="28"/>
        <v>0.45507126070820542</v>
      </c>
      <c r="I71" s="100">
        <f t="shared" si="29"/>
        <v>5064.0216244219746</v>
      </c>
      <c r="J71" s="67">
        <f t="shared" si="30"/>
        <v>1.4661108224018455</v>
      </c>
      <c r="K71" s="67">
        <f t="shared" si="31"/>
        <v>3.3211953606970881</v>
      </c>
      <c r="L71" s="67">
        <f t="shared" si="32"/>
        <v>8.3424007343338022</v>
      </c>
    </row>
    <row r="72" spans="2:12" x14ac:dyDescent="0.25">
      <c r="B72" s="27">
        <f t="shared" si="26"/>
        <v>1.708264067019627E-4</v>
      </c>
      <c r="C72" s="28">
        <v>4.8696403547413981E-2</v>
      </c>
      <c r="D72" s="32">
        <v>1.7125712016123281E-2</v>
      </c>
      <c r="E72" s="31">
        <f t="shared" si="27"/>
        <v>1.4551915228366852E-10</v>
      </c>
      <c r="G72" s="11">
        <f t="shared" si="33"/>
        <v>158</v>
      </c>
      <c r="H72" s="99">
        <f t="shared" si="28"/>
        <v>0.49931429994372539</v>
      </c>
      <c r="I72" s="100">
        <f t="shared" si="29"/>
        <v>5086.2848523254452</v>
      </c>
      <c r="J72" s="67">
        <f t="shared" si="30"/>
        <v>0.9812310196803441</v>
      </c>
      <c r="K72" s="67">
        <f t="shared" si="31"/>
        <v>2.7900984007327114</v>
      </c>
      <c r="L72" s="67">
        <f t="shared" si="32"/>
        <v>7.6909912604986044</v>
      </c>
    </row>
    <row r="73" spans="2:12" x14ac:dyDescent="0.25">
      <c r="B73" s="27">
        <f t="shared" si="26"/>
        <v>4.7606353746232344E-5</v>
      </c>
      <c r="C73" s="35">
        <v>3.7885174452682281E-2</v>
      </c>
      <c r="D73" s="38">
        <v>1.104214023118508E-2</v>
      </c>
      <c r="E73" s="31">
        <f t="shared" si="27"/>
        <v>0</v>
      </c>
      <c r="G73" s="11">
        <f t="shared" si="33"/>
        <v>171</v>
      </c>
      <c r="H73" s="99">
        <f t="shared" si="28"/>
        <v>0.540397122090994</v>
      </c>
      <c r="I73" s="100">
        <f t="shared" si="29"/>
        <v>5121.6692765487123</v>
      </c>
      <c r="J73" s="67">
        <f t="shared" si="30"/>
        <v>0.63266803203851618</v>
      </c>
      <c r="K73" s="67">
        <f t="shared" si="31"/>
        <v>2.1706606022555435</v>
      </c>
      <c r="L73" s="67">
        <f t="shared" si="32"/>
        <v>6.4768152244164572</v>
      </c>
    </row>
    <row r="74" spans="2:12" x14ac:dyDescent="0.25">
      <c r="B74" s="27">
        <f t="shared" si="26"/>
        <v>1.9205972421332262E-5</v>
      </c>
      <c r="C74" s="28">
        <v>2.3683996479799831E-2</v>
      </c>
      <c r="D74" s="32">
        <v>5.8604670474083813E-3</v>
      </c>
      <c r="E74" s="31">
        <f t="shared" si="27"/>
        <v>9.4587448984384537E-11</v>
      </c>
      <c r="G74" s="11">
        <f t="shared" si="33"/>
        <v>185</v>
      </c>
      <c r="H74" s="99">
        <f t="shared" si="28"/>
        <v>0.58464016132651386</v>
      </c>
      <c r="I74" s="100">
        <f t="shared" si="29"/>
        <v>5175.6186546645868</v>
      </c>
      <c r="J74" s="67">
        <f t="shared" si="30"/>
        <v>0.33578002779199517</v>
      </c>
      <c r="K74" s="67">
        <f t="shared" si="31"/>
        <v>1.356993040295229</v>
      </c>
      <c r="L74" s="67">
        <f t="shared" si="32"/>
        <v>4.3811297362066313</v>
      </c>
    </row>
    <row r="75" spans="2:12" x14ac:dyDescent="0.25">
      <c r="B75" s="27">
        <f t="shared" si="26"/>
        <v>-2.9256244124553632E-4</v>
      </c>
      <c r="C75" s="35">
        <v>5.0370757034914242E-3</v>
      </c>
      <c r="D75" s="38">
        <v>1.4599061930674502E-3</v>
      </c>
      <c r="E75" s="31">
        <f t="shared" si="27"/>
        <v>0</v>
      </c>
      <c r="G75" s="11">
        <f t="shared" si="33"/>
        <v>200</v>
      </c>
      <c r="H75" s="99">
        <f t="shared" si="28"/>
        <v>0.63204341765028527</v>
      </c>
      <c r="I75" s="100">
        <f t="shared" si="29"/>
        <v>5251.6536700300012</v>
      </c>
      <c r="J75" s="67">
        <f t="shared" si="30"/>
        <v>8.3646463347776021E-2</v>
      </c>
      <c r="K75" s="67">
        <f t="shared" si="31"/>
        <v>0.28860317889794868</v>
      </c>
      <c r="L75" s="67">
        <f t="shared" si="32"/>
        <v>1.0074108806587612</v>
      </c>
    </row>
    <row r="76" spans="2:12" x14ac:dyDescent="0.25">
      <c r="B76" s="27">
        <f t="shared" si="26"/>
        <v>4.2574562030495144E-5</v>
      </c>
      <c r="C76" s="28">
        <v>-1.4685696659478562E-2</v>
      </c>
      <c r="D76" s="32">
        <v>-1.6370591378525527E-3</v>
      </c>
      <c r="E76" s="31">
        <f t="shared" si="27"/>
        <v>0</v>
      </c>
      <c r="G76" s="11">
        <f t="shared" si="33"/>
        <v>213</v>
      </c>
      <c r="H76" s="99">
        <f t="shared" si="28"/>
        <v>0.67312623979755382</v>
      </c>
      <c r="I76" s="100">
        <f t="shared" si="29"/>
        <v>5332.8069778934068</v>
      </c>
      <c r="J76" s="67">
        <f t="shared" si="30"/>
        <v>-9.3796579412276496E-2</v>
      </c>
      <c r="K76" s="67">
        <f t="shared" si="31"/>
        <v>-0.84142843779749332</v>
      </c>
      <c r="L76" s="67">
        <f t="shared" si="32"/>
        <v>-3.1279409519658556</v>
      </c>
    </row>
    <row r="77" spans="2:12" x14ac:dyDescent="0.25">
      <c r="B77" s="27">
        <f t="shared" si="26"/>
        <v>-1.0601204485283233E-4</v>
      </c>
      <c r="C77" s="35">
        <v>-4.0793536913205732E-2</v>
      </c>
      <c r="D77" s="38">
        <v>-4.4096303739604523E-3</v>
      </c>
      <c r="E77" s="31">
        <f t="shared" si="27"/>
        <v>0</v>
      </c>
      <c r="G77" s="11">
        <f t="shared" si="33"/>
        <v>227</v>
      </c>
      <c r="H77" s="99">
        <f t="shared" si="28"/>
        <v>0.71736927903307379</v>
      </c>
      <c r="I77" s="100">
        <f t="shared" si="29"/>
        <v>5436.0459230063525</v>
      </c>
      <c r="J77" s="67">
        <f t="shared" si="30"/>
        <v>-0.25265320964062882</v>
      </c>
      <c r="K77" s="67">
        <f t="shared" si="31"/>
        <v>-2.3372974965378206</v>
      </c>
      <c r="L77" s="67">
        <f t="shared" si="32"/>
        <v>-9.2575647756041839</v>
      </c>
    </row>
    <row r="78" spans="2:12" x14ac:dyDescent="0.25">
      <c r="B78" s="27">
        <f t="shared" si="26"/>
        <v>-3.3324431569781154E-6</v>
      </c>
      <c r="C78" s="28">
        <v>-7.1258492461663409E-2</v>
      </c>
      <c r="D78" s="32">
        <v>-6.5810814127540123E-3</v>
      </c>
      <c r="E78" s="31">
        <f t="shared" si="27"/>
        <v>0</v>
      </c>
      <c r="G78" s="11">
        <f t="shared" si="33"/>
        <v>240</v>
      </c>
      <c r="H78" s="99">
        <f t="shared" si="28"/>
        <v>0.75845210118034234</v>
      </c>
      <c r="I78" s="100">
        <f t="shared" si="29"/>
        <v>5546.6220846384185</v>
      </c>
      <c r="J78" s="67">
        <f t="shared" si="30"/>
        <v>-0.3770681895827982</v>
      </c>
      <c r="K78" s="67">
        <f t="shared" si="31"/>
        <v>-4.0828108725181051</v>
      </c>
      <c r="L78" s="67">
        <f t="shared" si="32"/>
        <v>-17.087568487737862</v>
      </c>
    </row>
  </sheetData>
  <mergeCells count="4">
    <mergeCell ref="G62:L62"/>
    <mergeCell ref="G1:L1"/>
    <mergeCell ref="F23:Q23"/>
    <mergeCell ref="F43:Q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3840D-40F7-48AA-9DB9-D1F99425C8F1}">
  <dimension ref="A1:Y76"/>
  <sheetViews>
    <sheetView workbookViewId="0"/>
  </sheetViews>
  <sheetFormatPr defaultRowHeight="15" x14ac:dyDescent="0.25"/>
  <cols>
    <col min="1" max="1" width="34.77734375" style="23" customWidth="1"/>
    <col min="2" max="2" width="9.5546875" style="23" customWidth="1"/>
    <col min="3" max="6" width="8.88671875" style="23"/>
    <col min="7" max="7" width="9.109375" style="23" customWidth="1"/>
    <col min="8" max="8" width="9" style="23" bestFit="1" customWidth="1"/>
    <col min="9" max="10" width="9.109375" style="23" customWidth="1"/>
    <col min="11" max="16" width="8.44140625" style="23" customWidth="1"/>
    <col min="17" max="16384" width="8.88671875" style="23"/>
  </cols>
  <sheetData>
    <row r="1" spans="1:12" ht="18.600000000000001" thickBot="1" x14ac:dyDescent="0.3">
      <c r="A1" s="21" t="s">
        <v>10</v>
      </c>
      <c r="B1" s="22" t="s">
        <v>6</v>
      </c>
      <c r="C1" s="22">
        <v>8000</v>
      </c>
      <c r="D1" s="22" t="s">
        <v>3</v>
      </c>
      <c r="G1" s="143" t="s">
        <v>161</v>
      </c>
      <c r="H1" s="144"/>
      <c r="I1" s="144"/>
      <c r="J1" s="144"/>
      <c r="K1" s="144"/>
      <c r="L1" s="145"/>
    </row>
    <row r="2" spans="1:12" ht="18.600000000000001" thickBot="1" x14ac:dyDescent="0.35">
      <c r="A2" s="24" t="s">
        <v>17</v>
      </c>
      <c r="B2" s="25" t="s">
        <v>69</v>
      </c>
      <c r="C2" s="25">
        <f>Podsumowanie!B17</f>
        <v>6.2309999999999999</v>
      </c>
      <c r="D2" s="25" t="s">
        <v>26</v>
      </c>
      <c r="G2" s="98" t="s">
        <v>63</v>
      </c>
      <c r="H2" s="98" t="s">
        <v>53</v>
      </c>
      <c r="I2" s="98" t="s">
        <v>65</v>
      </c>
      <c r="J2" s="98" t="s">
        <v>66</v>
      </c>
      <c r="K2" s="98" t="s">
        <v>84</v>
      </c>
      <c r="L2" s="98" t="s">
        <v>64</v>
      </c>
    </row>
    <row r="3" spans="1:12" ht="18" x14ac:dyDescent="0.3">
      <c r="A3" s="24" t="s">
        <v>62</v>
      </c>
      <c r="B3" s="25" t="s">
        <v>70</v>
      </c>
      <c r="C3" s="25">
        <f>Podsumowanie!B10</f>
        <v>9800</v>
      </c>
      <c r="D3" s="25" t="s">
        <v>28</v>
      </c>
      <c r="G3" s="81">
        <f>SQRT(2*C$11/C$4/C$16/C$15)</f>
        <v>70.173638246544257</v>
      </c>
      <c r="H3" s="99">
        <f t="shared" ref="H3:H17" si="0">G3/C$19</f>
        <v>0.22778618530204589</v>
      </c>
      <c r="I3" s="100">
        <f t="shared" ref="I3:I17" si="1">C$17*(1-0.605*H3+0.725*H3^2)</f>
        <v>4290.0621120381729</v>
      </c>
      <c r="J3" s="67">
        <f t="shared" ref="J3:J17" ca="1" si="2">OFFSET(D24,A24-2,0,1,1)</f>
        <v>11.182478995258018</v>
      </c>
      <c r="K3" s="67">
        <f t="shared" ref="K3:K17" ca="1" si="3">OFFSET(D23,A24-2,0,1,1)</f>
        <v>2.0926149391012951</v>
      </c>
      <c r="L3" s="67">
        <f ca="1">G3*SIN(RADIANS(K3))</f>
        <v>2.562383477251339</v>
      </c>
    </row>
    <row r="4" spans="1:12" ht="18" x14ac:dyDescent="0.3">
      <c r="A4" s="24" t="s">
        <v>16</v>
      </c>
      <c r="B4" s="25" t="s">
        <v>5</v>
      </c>
      <c r="C4" s="25">
        <f>Podsumowanie!B3</f>
        <v>17.5</v>
      </c>
      <c r="D4" s="25" t="s">
        <v>71</v>
      </c>
      <c r="G4" s="47">
        <v>75</v>
      </c>
      <c r="H4" s="19">
        <f t="shared" si="0"/>
        <v>0.2434527313181564</v>
      </c>
      <c r="I4" s="48">
        <f t="shared" si="1"/>
        <v>4270.3912366054174</v>
      </c>
      <c r="J4" s="67">
        <f t="shared" ca="1" si="2"/>
        <v>9.6502784498100702</v>
      </c>
      <c r="K4" s="67">
        <f t="shared" ca="1" si="3"/>
        <v>2.5591155570401405</v>
      </c>
      <c r="L4" s="14">
        <f t="shared" ref="L4:L17" ca="1" si="4">G4*SIN(RADIANS(K4))</f>
        <v>3.3487607300178657</v>
      </c>
    </row>
    <row r="5" spans="1:12" ht="18" x14ac:dyDescent="0.3">
      <c r="A5" s="24" t="s">
        <v>30</v>
      </c>
      <c r="B5" s="25" t="s">
        <v>72</v>
      </c>
      <c r="C5" s="25">
        <f>Podsumowanie!B31</f>
        <v>-2.4783675378319478E-2</v>
      </c>
      <c r="D5" s="25" t="s">
        <v>29</v>
      </c>
      <c r="G5" s="47">
        <v>77</v>
      </c>
      <c r="H5" s="19">
        <f t="shared" si="0"/>
        <v>0.24994480415330725</v>
      </c>
      <c r="I5" s="48">
        <f t="shared" si="1"/>
        <v>4262.7370603715144</v>
      </c>
      <c r="J5" s="67">
        <f t="shared" ca="1" si="2"/>
        <v>9.0954581986961891</v>
      </c>
      <c r="K5" s="67">
        <f t="shared" ca="1" si="3"/>
        <v>2.7196675400873969</v>
      </c>
      <c r="L5" s="14">
        <f t="shared" ca="1" si="4"/>
        <v>3.6535984248390334</v>
      </c>
    </row>
    <row r="6" spans="1:12" ht="15.6" x14ac:dyDescent="0.3">
      <c r="A6" s="24" t="s">
        <v>12</v>
      </c>
      <c r="B6" s="25" t="s">
        <v>3</v>
      </c>
      <c r="C6" s="25">
        <f>Podsumowanie!B7</f>
        <v>3240</v>
      </c>
      <c r="D6" s="25" t="s">
        <v>0</v>
      </c>
      <c r="G6" s="47">
        <v>90</v>
      </c>
      <c r="H6" s="19">
        <f t="shared" si="0"/>
        <v>0.29214327758178765</v>
      </c>
      <c r="I6" s="48">
        <f t="shared" si="1"/>
        <v>4220.0871256147966</v>
      </c>
      <c r="J6" s="67">
        <f t="shared" ca="1" si="2"/>
        <v>6.3235207561933819</v>
      </c>
      <c r="K6" s="67">
        <f t="shared" ca="1" si="3"/>
        <v>3.4174089545356527</v>
      </c>
      <c r="L6" s="14">
        <f t="shared" ca="1" si="4"/>
        <v>5.3648711633415962</v>
      </c>
    </row>
    <row r="7" spans="1:12" ht="18" x14ac:dyDescent="0.3">
      <c r="A7" s="24" t="s">
        <v>15</v>
      </c>
      <c r="B7" s="25" t="s">
        <v>73</v>
      </c>
      <c r="C7" s="25">
        <f>Podsumowanie!B14</f>
        <v>5.1340000000000003</v>
      </c>
      <c r="D7" s="25" t="s">
        <v>8</v>
      </c>
      <c r="G7" s="47">
        <v>104</v>
      </c>
      <c r="H7" s="19">
        <f t="shared" si="0"/>
        <v>0.33758778742784357</v>
      </c>
      <c r="I7" s="48">
        <f t="shared" si="1"/>
        <v>4187.9237890494196</v>
      </c>
      <c r="J7" s="67">
        <f t="shared" ca="1" si="2"/>
        <v>4.403604875118809</v>
      </c>
      <c r="K7" s="67">
        <f t="shared" ca="1" si="3"/>
        <v>3.7134423266052194</v>
      </c>
      <c r="L7" s="14">
        <f t="shared" ca="1" si="4"/>
        <v>6.7357087522828873</v>
      </c>
    </row>
    <row r="8" spans="1:12" ht="18" x14ac:dyDescent="0.3">
      <c r="A8" s="24" t="s">
        <v>18</v>
      </c>
      <c r="B8" s="25" t="s">
        <v>74</v>
      </c>
      <c r="C8" s="25">
        <f>Podsumowanie!B15</f>
        <v>1.533E-2</v>
      </c>
      <c r="D8" s="25" t="s">
        <v>8</v>
      </c>
      <c r="G8" s="47">
        <v>117</v>
      </c>
      <c r="H8" s="19">
        <f t="shared" si="0"/>
        <v>0.379786260856324</v>
      </c>
      <c r="I8" s="48">
        <f t="shared" si="1"/>
        <v>4170.841813041865</v>
      </c>
      <c r="J8" s="67">
        <f t="shared" ca="1" si="2"/>
        <v>3.194316845626429</v>
      </c>
      <c r="K8" s="67">
        <f t="shared" ca="1" si="3"/>
        <v>3.7237677495238017</v>
      </c>
      <c r="L8" s="14">
        <f t="shared" ca="1" si="4"/>
        <v>7.598712831727501</v>
      </c>
    </row>
    <row r="9" spans="1:12" ht="18" x14ac:dyDescent="0.3">
      <c r="A9" s="24" t="s">
        <v>14</v>
      </c>
      <c r="B9" s="25" t="s">
        <v>75</v>
      </c>
      <c r="C9" s="25">
        <f>Podsumowanie!B12</f>
        <v>243.33333333333334</v>
      </c>
      <c r="D9" s="25" t="s">
        <v>27</v>
      </c>
      <c r="G9" s="47">
        <v>130</v>
      </c>
      <c r="H9" s="19">
        <f t="shared" si="0"/>
        <v>0.42198473428480443</v>
      </c>
      <c r="I9" s="48">
        <f t="shared" si="1"/>
        <v>4166.0703356913173</v>
      </c>
      <c r="J9" s="67">
        <f t="shared" ca="1" si="2"/>
        <v>2.325796349678066</v>
      </c>
      <c r="K9" s="67">
        <f t="shared" ca="1" si="3"/>
        <v>3.5554132543168082</v>
      </c>
      <c r="L9" s="14">
        <f t="shared" ca="1" si="4"/>
        <v>8.0618005847628122</v>
      </c>
    </row>
    <row r="10" spans="1:12" ht="18" x14ac:dyDescent="0.3">
      <c r="A10" s="24" t="s">
        <v>25</v>
      </c>
      <c r="B10" s="25" t="s">
        <v>24</v>
      </c>
      <c r="C10" s="25">
        <f>Podsumowanie!B2</f>
        <v>1.2255</v>
      </c>
      <c r="D10" s="25" t="s">
        <v>76</v>
      </c>
      <c r="G10" s="47">
        <v>144</v>
      </c>
      <c r="H10" s="19">
        <f t="shared" si="0"/>
        <v>0.46742924413086029</v>
      </c>
      <c r="I10" s="48">
        <f t="shared" si="1"/>
        <v>4174.6991840248929</v>
      </c>
      <c r="J10" s="67">
        <f t="shared" ca="1" si="2"/>
        <v>1.6387377101102316</v>
      </c>
      <c r="K10" s="67">
        <f t="shared" ca="1" si="3"/>
        <v>3.216259692177827</v>
      </c>
      <c r="L10" s="14">
        <f t="shared" ca="1" si="4"/>
        <v>8.0790977401152979</v>
      </c>
    </row>
    <row r="11" spans="1:12" ht="15.6" x14ac:dyDescent="0.3">
      <c r="A11" s="24" t="s">
        <v>19</v>
      </c>
      <c r="B11" s="25" t="s">
        <v>13</v>
      </c>
      <c r="C11" s="25">
        <f>Podsumowanie!B8</f>
        <v>31784.400000000001</v>
      </c>
      <c r="D11" s="25" t="s">
        <v>28</v>
      </c>
      <c r="G11" s="47">
        <v>158</v>
      </c>
      <c r="H11" s="19">
        <f t="shared" si="0"/>
        <v>0.51287375397691615</v>
      </c>
      <c r="I11" s="48">
        <f t="shared" si="1"/>
        <v>4197.6052970731007</v>
      </c>
      <c r="J11" s="67">
        <f t="shared" ca="1" si="2"/>
        <v>1.1248129048688149</v>
      </c>
      <c r="K11" s="67">
        <f t="shared" ca="1" si="3"/>
        <v>2.7324496331513797</v>
      </c>
      <c r="L11" s="14">
        <f t="shared" ca="1" si="4"/>
        <v>7.5322024399643963</v>
      </c>
    </row>
    <row r="12" spans="1:12" ht="18" x14ac:dyDescent="0.3">
      <c r="A12" s="24" t="s">
        <v>59</v>
      </c>
      <c r="B12" s="25" t="s">
        <v>77</v>
      </c>
      <c r="C12" s="25">
        <f>Podsumowanie!B13</f>
        <v>340.3</v>
      </c>
      <c r="D12" s="25" t="s">
        <v>55</v>
      </c>
      <c r="G12" s="47">
        <v>171</v>
      </c>
      <c r="H12" s="19">
        <f t="shared" si="0"/>
        <v>0.55507222740539663</v>
      </c>
      <c r="I12" s="48">
        <f t="shared" si="1"/>
        <v>4231.6592385638769</v>
      </c>
      <c r="J12" s="67">
        <f t="shared" ca="1" si="2"/>
        <v>0.75538693533716617</v>
      </c>
      <c r="K12" s="67">
        <f t="shared" ca="1" si="3"/>
        <v>2.1555351022022537</v>
      </c>
      <c r="L12" s="14">
        <f t="shared" ca="1" si="4"/>
        <v>6.4317051395534559</v>
      </c>
    </row>
    <row r="13" spans="1:12" ht="18" x14ac:dyDescent="0.3">
      <c r="A13" s="24" t="s">
        <v>60</v>
      </c>
      <c r="B13" s="25" t="s">
        <v>78</v>
      </c>
      <c r="C13" s="25">
        <f>Podsumowanie!B18</f>
        <v>288.14999999999998</v>
      </c>
      <c r="D13" s="25" t="s">
        <v>56</v>
      </c>
      <c r="G13" s="47">
        <v>185</v>
      </c>
      <c r="H13" s="19">
        <f t="shared" si="0"/>
        <v>0.60051673725145249</v>
      </c>
      <c r="I13" s="48">
        <f t="shared" si="1"/>
        <v>4282.1000764188775</v>
      </c>
      <c r="J13" s="67">
        <f t="shared" ca="1" si="2"/>
        <v>0.44075713113236903</v>
      </c>
      <c r="K13" s="67">
        <f t="shared" ca="1" si="3"/>
        <v>1.3851092600821724</v>
      </c>
      <c r="L13" s="14">
        <f t="shared" ca="1" si="4"/>
        <v>4.4718870572049783</v>
      </c>
    </row>
    <row r="14" spans="1:12" ht="15.6" x14ac:dyDescent="0.3">
      <c r="A14" s="24" t="s">
        <v>11</v>
      </c>
      <c r="B14" s="25" t="s">
        <v>22</v>
      </c>
      <c r="C14" s="25">
        <f>Podsumowanie!B30</f>
        <v>1.7453292519943295E-2</v>
      </c>
      <c r="D14" s="25" t="s">
        <v>29</v>
      </c>
      <c r="G14" s="47">
        <v>200</v>
      </c>
      <c r="H14" s="19">
        <f t="shared" si="0"/>
        <v>0.64920728351508372</v>
      </c>
      <c r="I14" s="48">
        <f t="shared" si="1"/>
        <v>4351.9872245055258</v>
      </c>
      <c r="J14" s="67">
        <f t="shared" ca="1" si="2"/>
        <v>0.17359369430084798</v>
      </c>
      <c r="K14" s="67">
        <f t="shared" ca="1" si="3"/>
        <v>0.35693009288684702</v>
      </c>
      <c r="L14" s="14">
        <f t="shared" ca="1" si="4"/>
        <v>1.2459130054667742</v>
      </c>
    </row>
    <row r="15" spans="1:12" ht="18" x14ac:dyDescent="0.25">
      <c r="A15" s="25" t="s">
        <v>94</v>
      </c>
      <c r="B15" s="25" t="s">
        <v>95</v>
      </c>
      <c r="C15" s="25">
        <f>Podsumowanie!B16</f>
        <v>1.405</v>
      </c>
      <c r="D15" s="25" t="s">
        <v>8</v>
      </c>
      <c r="G15" s="47">
        <v>213</v>
      </c>
      <c r="H15" s="19">
        <f t="shared" si="0"/>
        <v>0.69140575694356421</v>
      </c>
      <c r="I15" s="48">
        <f t="shared" si="1"/>
        <v>4425.8135462727796</v>
      </c>
      <c r="J15" s="67">
        <f t="shared" ca="1" si="2"/>
        <v>-1.4397613105870989E-2</v>
      </c>
      <c r="K15" s="67">
        <f t="shared" ca="1" si="3"/>
        <v>-0.74880417415754663</v>
      </c>
      <c r="L15" s="14">
        <f t="shared" ca="1" si="4"/>
        <v>-2.7836386930267172</v>
      </c>
    </row>
    <row r="16" spans="1:12" ht="18.600000000000001" x14ac:dyDescent="0.25">
      <c r="A16" s="23" t="s">
        <v>21</v>
      </c>
      <c r="B16" s="20" t="s">
        <v>79</v>
      </c>
      <c r="C16" s="20">
        <f>C10*(1-C1/44300)^4.256</f>
        <v>0.52502701808540919</v>
      </c>
      <c r="D16" s="20" t="s">
        <v>80</v>
      </c>
      <c r="G16" s="47">
        <v>227</v>
      </c>
      <c r="H16" s="19">
        <f t="shared" si="0"/>
        <v>0.73685026678962007</v>
      </c>
      <c r="I16" s="48">
        <f t="shared" si="1"/>
        <v>4519.0861782716802</v>
      </c>
      <c r="J16" s="67">
        <f t="shared" ca="1" si="2"/>
        <v>-0.18268956167854652</v>
      </c>
      <c r="K16" s="67">
        <f t="shared" ca="1" si="3"/>
        <v>-2.2409133309261127</v>
      </c>
      <c r="L16" s="14">
        <f t="shared" ca="1" si="4"/>
        <v>-8.8760053698303025</v>
      </c>
    </row>
    <row r="17" spans="1:25" ht="18.600000000000001" x14ac:dyDescent="0.25">
      <c r="A17" s="23" t="s">
        <v>20</v>
      </c>
      <c r="B17" s="20" t="s">
        <v>81</v>
      </c>
      <c r="C17" s="20">
        <f>C3*(C16/C10)^0.85</f>
        <v>4767.7575487620325</v>
      </c>
      <c r="D17" s="20" t="s">
        <v>28</v>
      </c>
      <c r="G17" s="47">
        <v>240</v>
      </c>
      <c r="H17" s="19">
        <f t="shared" si="0"/>
        <v>0.77904874021810044</v>
      </c>
      <c r="I17" s="48">
        <f t="shared" si="1"/>
        <v>4618.4804587880999</v>
      </c>
      <c r="J17" s="67">
        <f t="shared" ca="1" si="2"/>
        <v>-0.31454000509915847</v>
      </c>
      <c r="K17" s="67">
        <f t="shared" ca="1" si="3"/>
        <v>-4.0250917146720946</v>
      </c>
      <c r="L17" s="14">
        <f t="shared" ca="1" si="4"/>
        <v>-16.846399990598503</v>
      </c>
    </row>
    <row r="18" spans="1:25" ht="18.600000000000001" x14ac:dyDescent="0.25">
      <c r="A18" s="23" t="s">
        <v>61</v>
      </c>
      <c r="B18" s="20" t="s">
        <v>82</v>
      </c>
      <c r="C18" s="20">
        <f>C13-6.5*C1/1000</f>
        <v>236.14999999999998</v>
      </c>
      <c r="D18" s="20" t="s">
        <v>56</v>
      </c>
    </row>
    <row r="19" spans="1:25" ht="18.600000000000001" x14ac:dyDescent="0.3">
      <c r="A19" s="23" t="s">
        <v>54</v>
      </c>
      <c r="B19" s="20" t="s">
        <v>83</v>
      </c>
      <c r="C19" s="20">
        <f>C12*SQRT(C18/C13)</f>
        <v>308.06801629999455</v>
      </c>
      <c r="D19" s="20" t="s">
        <v>55</v>
      </c>
      <c r="Y19" s="41"/>
    </row>
    <row r="20" spans="1:25" ht="18.600000000000001" x14ac:dyDescent="0.3">
      <c r="A20" s="23" t="s">
        <v>155</v>
      </c>
      <c r="B20" s="20" t="s">
        <v>157</v>
      </c>
      <c r="C20" s="20">
        <f>Podsumowanie!B9</f>
        <v>37670.400000000001</v>
      </c>
      <c r="D20" s="20" t="s">
        <v>28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03"/>
    </row>
    <row r="21" spans="1:25" ht="15.6" x14ac:dyDescent="0.25">
      <c r="F21" s="104"/>
      <c r="G21" s="104"/>
      <c r="H21" s="104"/>
      <c r="I21" s="104"/>
      <c r="J21" s="104"/>
      <c r="K21" s="104"/>
      <c r="L21" s="104"/>
      <c r="M21" s="104"/>
      <c r="N21" s="104"/>
      <c r="O21" s="104"/>
    </row>
    <row r="22" spans="1:25" ht="15.6" thickBot="1" x14ac:dyDescent="0.3"/>
    <row r="23" spans="1:25" ht="18.600000000000001" thickBot="1" x14ac:dyDescent="0.3">
      <c r="A23" s="26">
        <v>1</v>
      </c>
      <c r="B23" s="27">
        <f>-I3*COS(C23+C24-C$14)+0.5*C$16*C$4*C$2*(C24-C$5)*G3^2*SIN(C23)+0.5*C$16*C$4*((C$8+1/PI()/C$7*C$2^2*(C24-C$5)^2)/SQRT(1-H3^2))*G3^2*COS(C23)</f>
        <v>2.7333409993843816E-3</v>
      </c>
      <c r="C23" s="28">
        <v>3.6523020663738227E-2</v>
      </c>
      <c r="D23" s="29">
        <f t="shared" ref="D23:D52" si="5">DEGREES(C23)</f>
        <v>2.0926149391012951</v>
      </c>
      <c r="F23" s="143" t="s">
        <v>170</v>
      </c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</row>
    <row r="24" spans="1:25" ht="18.600000000000001" thickBot="1" x14ac:dyDescent="0.3">
      <c r="A24" s="30">
        <v>2</v>
      </c>
      <c r="B24" s="31">
        <f>I3*SIN(C23+C24-C$14)+0.5*C$16*C$4*C$2*(C24-C$5)*G3^2*COS(C23)-0.5*C$16*C$4*(C$8+1/PI()/C$7*C$2^2*(C24-C$5)^2)/SQRT(1-H3^2)*G3^2*SIN(C23)-C$11</f>
        <v>1.6443664208054543E-9</v>
      </c>
      <c r="C24" s="32">
        <v>0.19517107700235978</v>
      </c>
      <c r="D24" s="33">
        <f t="shared" si="5"/>
        <v>11.182478995258018</v>
      </c>
      <c r="F24" s="98" t="s">
        <v>1</v>
      </c>
      <c r="G24" s="98" t="s">
        <v>7</v>
      </c>
      <c r="H24" s="98" t="s">
        <v>109</v>
      </c>
      <c r="I24" s="98" t="s">
        <v>2</v>
      </c>
      <c r="J24" s="98" t="s">
        <v>63</v>
      </c>
      <c r="K24" s="98" t="s">
        <v>53</v>
      </c>
      <c r="L24" s="98" t="s">
        <v>67</v>
      </c>
      <c r="M24" s="98" t="s">
        <v>65</v>
      </c>
      <c r="N24" s="98" t="s">
        <v>68</v>
      </c>
      <c r="O24" s="98" t="s">
        <v>64</v>
      </c>
      <c r="P24" s="98" t="s">
        <v>84</v>
      </c>
      <c r="Q24" s="98" t="s">
        <v>66</v>
      </c>
    </row>
    <row r="25" spans="1:25" x14ac:dyDescent="0.25">
      <c r="A25" s="34">
        <v>3</v>
      </c>
      <c r="B25" s="27">
        <f>-I4*COS(C25+C26-C$14)+0.5*C$16*C$4*C$2*(C26-C$5)*G4^2*SIN(C25)+0.5*C$16*C$4*(C$8+1/PI()/C$7*C$2^2*(C26-C$5)^2)/SQRT(1-H4^2)*G4^2*COS(C25)</f>
        <v>1.2324726526458107E-3</v>
      </c>
      <c r="C25" s="35">
        <v>4.46649924093592E-2</v>
      </c>
      <c r="D25" s="36">
        <f t="shared" si="5"/>
        <v>2.5591155570401405</v>
      </c>
      <c r="F25" s="42">
        <v>1.405</v>
      </c>
      <c r="G25" s="101">
        <v>0.1406</v>
      </c>
      <c r="H25" s="101">
        <f>G25/SQRT(1-K25^2)</f>
        <v>0.14439600109480641</v>
      </c>
      <c r="I25" s="43">
        <f>F25^3/H25^2</f>
        <v>133.02051981831838</v>
      </c>
      <c r="J25" s="44">
        <f t="shared" ref="J25:J40" si="6">SQRT((2*C$11)/(C$4*C$16*F25))</f>
        <v>70.173638246544257</v>
      </c>
      <c r="K25" s="42">
        <f t="shared" ref="K25:K40" si="7">J25/C$19</f>
        <v>0.22778618530204589</v>
      </c>
      <c r="L25" s="46">
        <f t="shared" ref="L25:L40" si="8">C$11*SQRT((2*C$11)/(C$16*C$4*I25))/J25</f>
        <v>3266.5766955144227</v>
      </c>
      <c r="M25" s="46">
        <f t="shared" ref="M25:M40" si="9">C$17*(1-0.605*K25+0.725*K25^2)</f>
        <v>4290.0621120381729</v>
      </c>
      <c r="N25" s="46">
        <f>(M25-L25)</f>
        <v>1023.4854165237502</v>
      </c>
      <c r="O25" s="43">
        <f t="shared" ref="O25:O40" si="10">N25/C$11*J25</f>
        <v>2.2596523882707027</v>
      </c>
      <c r="P25" s="43">
        <f>DEGREES(ASIN(O25/J25))</f>
        <v>1.8452930892130239</v>
      </c>
      <c r="Q25" s="43">
        <v>12.989000000000001</v>
      </c>
    </row>
    <row r="26" spans="1:25" x14ac:dyDescent="0.25">
      <c r="A26" s="37">
        <v>4</v>
      </c>
      <c r="B26" s="31">
        <f>I4*SIN(C25+C26-C$14)+0.5*C$16*C$4*C$2*(C26-C$5)*G4^2*COS(C25)-0.5*C$16*C$4*(C$8+1/PI()/C$7*C$2^2*(C26-C$5)^2)/SQRT(1-H4^2)*G4^2*SIN(C25)-C$11</f>
        <v>2.2373569663614035E-9</v>
      </c>
      <c r="C26" s="38">
        <v>0.16842913268344009</v>
      </c>
      <c r="D26" s="39">
        <f t="shared" si="5"/>
        <v>9.6502784498100702</v>
      </c>
      <c r="F26" s="13">
        <v>1.3560000000000001</v>
      </c>
      <c r="G26" s="18">
        <v>0.13239999999999999</v>
      </c>
      <c r="H26" s="18">
        <f t="shared" ref="H26:H40" si="11">G26/SQRT(1-K26^2)</f>
        <v>0.13610926177762703</v>
      </c>
      <c r="I26" s="14">
        <f t="shared" ref="I26:I40" si="12">F26^3/H26^2</f>
        <v>134.58718562499072</v>
      </c>
      <c r="J26" s="47">
        <f t="shared" si="6"/>
        <v>71.430273178736542</v>
      </c>
      <c r="K26" s="13">
        <f t="shared" si="7"/>
        <v>0.23186526805553948</v>
      </c>
      <c r="L26" s="48">
        <f t="shared" si="8"/>
        <v>3190.3770059327489</v>
      </c>
      <c r="M26" s="48">
        <f t="shared" si="9"/>
        <v>4284.7770445149336</v>
      </c>
      <c r="N26" s="48">
        <f t="shared" ref="N26:N40" si="13">(M26-L26)</f>
        <v>1094.4000385821846</v>
      </c>
      <c r="O26" s="14">
        <f t="shared" si="10"/>
        <v>2.4594862172243381</v>
      </c>
      <c r="P26" s="14">
        <f t="shared" ref="P26:P40" si="14">DEGREES(ASIN(O26/J26))</f>
        <v>1.9731975413779475</v>
      </c>
      <c r="Q26" s="14">
        <v>11.238</v>
      </c>
    </row>
    <row r="27" spans="1:25" x14ac:dyDescent="0.25">
      <c r="A27" s="26">
        <v>5</v>
      </c>
      <c r="B27" s="27">
        <f>-I5*COS(C27+C28-C$14)+0.5*C$16*C$4*C$2*(C28-C$5)*G5^2*SIN(C27)+0.5*C$16*C$4*(C$8+1/PI()/C$7*C$2^2*(C28-C$5)^2)/SQRT(1-H5^2)*G5^2*COS(C27)</f>
        <v>-5.8167252973362338E-5</v>
      </c>
      <c r="C27" s="28">
        <v>4.7467153134139947E-2</v>
      </c>
      <c r="D27" s="29">
        <f t="shared" si="5"/>
        <v>2.7196675400873969</v>
      </c>
      <c r="F27" s="13">
        <v>1.302</v>
      </c>
      <c r="G27" s="18">
        <v>0.1231</v>
      </c>
      <c r="H27" s="18">
        <f t="shared" si="11"/>
        <v>0.12669808224191498</v>
      </c>
      <c r="I27" s="14">
        <f t="shared" si="12"/>
        <v>137.49688843991945</v>
      </c>
      <c r="J27" s="47">
        <f t="shared" si="6"/>
        <v>72.896497781263278</v>
      </c>
      <c r="K27" s="13">
        <f t="shared" si="7"/>
        <v>0.23662468651168631</v>
      </c>
      <c r="L27" s="48">
        <f t="shared" si="8"/>
        <v>3092.9512482411083</v>
      </c>
      <c r="M27" s="48">
        <f t="shared" si="9"/>
        <v>4278.7559061684715</v>
      </c>
      <c r="N27" s="48">
        <f t="shared" si="13"/>
        <v>1185.8046579273632</v>
      </c>
      <c r="O27" s="14">
        <f t="shared" si="10"/>
        <v>2.7196047940377568</v>
      </c>
      <c r="P27" s="14">
        <f t="shared" si="14"/>
        <v>2.1380731764968637</v>
      </c>
      <c r="Q27" s="14">
        <v>10.574999999999999</v>
      </c>
    </row>
    <row r="28" spans="1:25" x14ac:dyDescent="0.25">
      <c r="A28" s="30">
        <v>6</v>
      </c>
      <c r="B28" s="31">
        <f>I5*SIN(C27+C28-C$14)+0.5*C$16*C$4*C$2*(C28-C$5)*G5^2*COS(C27)-0.5*C$16*C$4*(C$8+1/PI()/C$7*C$2^2*(C28-C$5)^2)/SQRT(1-H5^2)*G5^2*SIN(C27)-C$11</f>
        <v>-1.8553691916167736E-10</v>
      </c>
      <c r="C28" s="32">
        <v>0.15874569254476112</v>
      </c>
      <c r="D28" s="33">
        <f t="shared" si="5"/>
        <v>9.0954581986961891</v>
      </c>
      <c r="F28" s="13">
        <v>1.1930000000000001</v>
      </c>
      <c r="G28" s="18">
        <v>0.1061</v>
      </c>
      <c r="H28" s="18">
        <f t="shared" si="11"/>
        <v>0.10949828645778018</v>
      </c>
      <c r="I28" s="14">
        <f t="shared" si="12"/>
        <v>141.61416146687151</v>
      </c>
      <c r="J28" s="47">
        <f t="shared" si="6"/>
        <v>76.153862231410116</v>
      </c>
      <c r="K28" s="13">
        <f t="shared" si="7"/>
        <v>0.24719821014217846</v>
      </c>
      <c r="L28" s="48">
        <f t="shared" si="8"/>
        <v>2917.2986890936027</v>
      </c>
      <c r="M28" s="48">
        <f t="shared" si="9"/>
        <v>4265.9397448070677</v>
      </c>
      <c r="N28" s="48">
        <f t="shared" si="13"/>
        <v>1348.641055713465</v>
      </c>
      <c r="O28" s="14">
        <f t="shared" si="10"/>
        <v>3.2312777701144806</v>
      </c>
      <c r="P28" s="14">
        <f t="shared" si="14"/>
        <v>2.4318422160018272</v>
      </c>
      <c r="Q28" s="14">
        <v>9.5760000000000005</v>
      </c>
    </row>
    <row r="29" spans="1:25" x14ac:dyDescent="0.25">
      <c r="A29" s="34">
        <v>7</v>
      </c>
      <c r="B29" s="27">
        <f>-I6*COS(C29+C30-C$14)+0.5*C$16*C$4*C$2*(C30-C$5)*G6^2*SIN(C29)+0.5*C$16*C$4*(C$8+1/PI()/C$7*C$2^2*(C30-C$5)^2)/SQRT(1-H6^2)*G6^2*COS(C29)</f>
        <v>-7.0010212766646873E-5</v>
      </c>
      <c r="C29" s="35">
        <v>5.9645038143784343E-2</v>
      </c>
      <c r="D29" s="36">
        <f t="shared" si="5"/>
        <v>3.4174089545356527</v>
      </c>
      <c r="F29" s="13">
        <v>1.095</v>
      </c>
      <c r="G29" s="18">
        <v>9.1899999999999996E-2</v>
      </c>
      <c r="H29" s="18">
        <f t="shared" si="11"/>
        <v>9.5120911605319436E-2</v>
      </c>
      <c r="I29" s="14">
        <f t="shared" si="12"/>
        <v>145.10766376436032</v>
      </c>
      <c r="J29" s="47">
        <f t="shared" si="6"/>
        <v>79.488645432406841</v>
      </c>
      <c r="K29" s="13">
        <f t="shared" si="7"/>
        <v>0.25802303785733255</v>
      </c>
      <c r="L29" s="48">
        <f t="shared" si="8"/>
        <v>2761.0603678795574</v>
      </c>
      <c r="M29" s="48">
        <f t="shared" si="9"/>
        <v>4253.6196477740841</v>
      </c>
      <c r="N29" s="48">
        <f t="shared" si="13"/>
        <v>1492.5592798945268</v>
      </c>
      <c r="O29" s="14">
        <f t="shared" si="10"/>
        <v>3.732696397804725</v>
      </c>
      <c r="P29" s="14">
        <f t="shared" si="14"/>
        <v>2.6915344693107142</v>
      </c>
      <c r="Q29" s="14">
        <v>8.6869999999999994</v>
      </c>
    </row>
    <row r="30" spans="1:25" x14ac:dyDescent="0.25">
      <c r="A30" s="37">
        <v>8</v>
      </c>
      <c r="B30" s="31">
        <f>I6*SIN(C29+C30-C$14)+0.5*C$16*C$4*C$2*(C30-C$5)*G6^2*COS(C29)-0.5*C$16*C$4*(C$8+1/PI()/C$7*C$2^2*(C30-C$5)^2)/SQRT(1-H6^2)*G6^2*SIN(C29)-C$11</f>
        <v>-1.4551915228366852E-10</v>
      </c>
      <c r="C30" s="38">
        <v>0.11036625751377613</v>
      </c>
      <c r="D30" s="39">
        <f t="shared" si="5"/>
        <v>6.3235207561933819</v>
      </c>
      <c r="F30" s="13">
        <v>0.997</v>
      </c>
      <c r="G30" s="18">
        <v>7.9399999999999998E-2</v>
      </c>
      <c r="H30" s="18">
        <f t="shared" si="11"/>
        <v>8.2472419721149035E-2</v>
      </c>
      <c r="I30" s="14">
        <f t="shared" si="12"/>
        <v>145.70283471246844</v>
      </c>
      <c r="J30" s="47">
        <f t="shared" si="6"/>
        <v>83.303754722316654</v>
      </c>
      <c r="K30" s="13">
        <f t="shared" si="7"/>
        <v>0.2704070215494101</v>
      </c>
      <c r="L30" s="48">
        <f t="shared" si="8"/>
        <v>2629.2240495334895</v>
      </c>
      <c r="M30" s="48">
        <f t="shared" si="9"/>
        <v>4240.5185178208649</v>
      </c>
      <c r="N30" s="48">
        <f t="shared" si="13"/>
        <v>1611.2944682873754</v>
      </c>
      <c r="O30" s="14">
        <f t="shared" si="10"/>
        <v>4.2230427244697761</v>
      </c>
      <c r="P30" s="14">
        <f t="shared" si="14"/>
        <v>2.9058267970291429</v>
      </c>
      <c r="Q30" s="14">
        <v>8.0169999999999995</v>
      </c>
    </row>
    <row r="31" spans="1:25" x14ac:dyDescent="0.25">
      <c r="A31" s="26">
        <v>9</v>
      </c>
      <c r="B31" s="27">
        <f>-I7*COS(C31+C32-C$14)+0.5*C$16*C$4*C$2*(C32-C$5)*G7^2*SIN(C31)+0.5*C$16*C$4*(C$8+1/PI()/C$7*C$2^2*(C32-C$5)^2)/SQRT(1-H7^2)*G7^2*COS(C31)</f>
        <v>-2.4608591456853901E-4</v>
      </c>
      <c r="C31" s="28">
        <v>6.4811795182179707E-2</v>
      </c>
      <c r="D31" s="29">
        <f t="shared" si="5"/>
        <v>3.7134423266052194</v>
      </c>
      <c r="F31" s="13">
        <v>0.80100000000000005</v>
      </c>
      <c r="G31" s="18">
        <v>5.7599999999999998E-2</v>
      </c>
      <c r="H31" s="18">
        <f t="shared" si="11"/>
        <v>6.0414808625153832E-2</v>
      </c>
      <c r="I31" s="14">
        <f t="shared" si="12"/>
        <v>140.80262128287518</v>
      </c>
      <c r="J31" s="47">
        <f t="shared" si="6"/>
        <v>92.93855113659788</v>
      </c>
      <c r="K31" s="13">
        <f t="shared" si="7"/>
        <v>0.30168192158609203</v>
      </c>
      <c r="L31" s="48">
        <f t="shared" si="8"/>
        <v>2397.3139116920597</v>
      </c>
      <c r="M31" s="48">
        <f t="shared" si="9"/>
        <v>4212.152282987664</v>
      </c>
      <c r="N31" s="48">
        <f t="shared" si="13"/>
        <v>1814.8383712956042</v>
      </c>
      <c r="O31" s="14">
        <f t="shared" si="10"/>
        <v>5.3066425282628122</v>
      </c>
      <c r="P31" s="14">
        <f t="shared" si="14"/>
        <v>3.2732775628046724</v>
      </c>
      <c r="Q31" s="14">
        <v>6.1310000000000002</v>
      </c>
    </row>
    <row r="32" spans="1:25" x14ac:dyDescent="0.25">
      <c r="A32" s="30">
        <v>10</v>
      </c>
      <c r="B32" s="31">
        <f>I7*SIN(C31+C32-C$14)+0.5*C$16*C$4*C$2*(C32-C$5)*G7^2*COS(C31)-0.5*C$16*C$4*(C$8+1/PI()/C$7*C$2^2*(C32-C$5)^2)/SQRT(1-H7^2)*G7^2*SIN(C31)-C$11</f>
        <v>-2.255546860396862E-10</v>
      </c>
      <c r="C32" s="32">
        <v>7.6857404027696946E-2</v>
      </c>
      <c r="D32" s="33">
        <f t="shared" si="5"/>
        <v>4.403604875118809</v>
      </c>
      <c r="F32" s="13">
        <v>0.61099999999999999</v>
      </c>
      <c r="G32" s="18">
        <v>4.0599999999999997E-2</v>
      </c>
      <c r="H32" s="18">
        <f t="shared" si="11"/>
        <v>4.3262875698157427E-2</v>
      </c>
      <c r="I32" s="14">
        <f t="shared" si="12"/>
        <v>121.86889215119552</v>
      </c>
      <c r="J32" s="47">
        <f t="shared" si="6"/>
        <v>106.41223152581387</v>
      </c>
      <c r="K32" s="13">
        <f t="shared" si="7"/>
        <v>0.34541797880825886</v>
      </c>
      <c r="L32" s="48">
        <f t="shared" si="8"/>
        <v>2250.5475390188462</v>
      </c>
      <c r="M32" s="48">
        <f t="shared" si="9"/>
        <v>4183.8239083511498</v>
      </c>
      <c r="N32" s="48">
        <f t="shared" si="13"/>
        <v>1933.2763693323036</v>
      </c>
      <c r="O32" s="14">
        <f t="shared" si="10"/>
        <v>6.4724913044378347</v>
      </c>
      <c r="P32" s="14">
        <f t="shared" si="14"/>
        <v>3.4871506543767694</v>
      </c>
      <c r="Q32" s="14">
        <v>4.5730000000000004</v>
      </c>
    </row>
    <row r="33" spans="1:17" x14ac:dyDescent="0.25">
      <c r="A33" s="34">
        <v>11</v>
      </c>
      <c r="B33" s="27">
        <f>-I8*COS(C33+C34-C$14)+0.5*C$16*C$4*C$2*(C34-C$5)*G8^2*SIN(C33)+0.5*C$16*C$4*(C$8+1/PI()/C$7*C$2^2*(C34-C$5)^2)/SQRT(1-H8^2)*G8^2*COS(C33)</f>
        <v>3.2786249857963412E-4</v>
      </c>
      <c r="C33" s="35">
        <v>6.4992007808769847E-2</v>
      </c>
      <c r="D33" s="36">
        <f t="shared" si="5"/>
        <v>3.7237677495238017</v>
      </c>
      <c r="F33" s="13">
        <v>0.49099999999999999</v>
      </c>
      <c r="G33" s="18">
        <v>3.1699999999999999E-2</v>
      </c>
      <c r="H33" s="18">
        <f t="shared" si="11"/>
        <v>3.4352649221943005E-2</v>
      </c>
      <c r="I33" s="14">
        <f t="shared" si="12"/>
        <v>100.30532901179384</v>
      </c>
      <c r="J33" s="47">
        <f t="shared" si="6"/>
        <v>118.7056552784162</v>
      </c>
      <c r="K33" s="13">
        <f t="shared" si="7"/>
        <v>0.38532288000589271</v>
      </c>
      <c r="L33" s="48">
        <f t="shared" si="8"/>
        <v>2223.7848145212329</v>
      </c>
      <c r="M33" s="48">
        <f t="shared" si="9"/>
        <v>4169.5141399220784</v>
      </c>
      <c r="N33" s="48">
        <f t="shared" si="13"/>
        <v>1945.7293254008455</v>
      </c>
      <c r="O33" s="14">
        <f t="shared" si="10"/>
        <v>7.2667432629257771</v>
      </c>
      <c r="P33" s="14">
        <f t="shared" si="14"/>
        <v>3.5096407412582957</v>
      </c>
      <c r="Q33" s="14">
        <v>3.3540000000000001</v>
      </c>
    </row>
    <row r="34" spans="1:17" x14ac:dyDescent="0.25">
      <c r="A34" s="37">
        <v>12</v>
      </c>
      <c r="B34" s="31">
        <f>I8*SIN(C33+C34-C$14)+0.5*C$16*C$4*C$2*(C34-C$5)*G8^2*COS(C33)-0.5*C$16*C$4*(C$8+1/PI()/C$7*C$2^2*(C34-C$5)^2)/SQRT(1-H8^2)*G8^2*SIN(C33)-C$11</f>
        <v>5.4205884225666523E-10</v>
      </c>
      <c r="C34" s="38">
        <v>5.5751346308100615E-2</v>
      </c>
      <c r="D34" s="39">
        <f t="shared" si="5"/>
        <v>3.194316845626429</v>
      </c>
      <c r="F34" s="13">
        <v>0.38800000000000001</v>
      </c>
      <c r="G34" s="18">
        <v>2.52E-2</v>
      </c>
      <c r="H34" s="18">
        <f t="shared" si="11"/>
        <v>2.7963569897448609E-2</v>
      </c>
      <c r="I34" s="14">
        <f t="shared" si="12"/>
        <v>74.698167769432388</v>
      </c>
      <c r="J34" s="47">
        <f t="shared" si="6"/>
        <v>133.53536351750049</v>
      </c>
      <c r="K34" s="13">
        <f t="shared" si="7"/>
        <v>0.43346065301197856</v>
      </c>
      <c r="L34" s="48">
        <f t="shared" si="8"/>
        <v>2290.7352862073853</v>
      </c>
      <c r="M34" s="48">
        <f t="shared" si="9"/>
        <v>4166.9018799596215</v>
      </c>
      <c r="N34" s="48">
        <f t="shared" si="13"/>
        <v>1876.1665937522362</v>
      </c>
      <c r="O34" s="14">
        <f t="shared" si="10"/>
        <v>7.8823129622108805</v>
      </c>
      <c r="P34" s="14">
        <f t="shared" si="14"/>
        <v>3.384017015328733</v>
      </c>
      <c r="Q34" s="14">
        <v>2.5739999999999998</v>
      </c>
    </row>
    <row r="35" spans="1:17" x14ac:dyDescent="0.25">
      <c r="A35" s="26">
        <v>13</v>
      </c>
      <c r="B35" s="27">
        <f>-I9*COS(C35+C36-C$14)+0.5*C$16*C$4*C$2*(C36-C$5)*G9^2*SIN(C35)+0.5*C$16*C$4*(C$8+1/PI()/C$7*C$2^2*(C36-C$5)^2)/SQRT(1-H9^2)*G9^2*COS(C35)</f>
        <v>1.2664317227972788E-4</v>
      </c>
      <c r="C35" s="28">
        <v>6.2053667556874796E-2</v>
      </c>
      <c r="D35" s="29">
        <f t="shared" si="5"/>
        <v>3.5554132543168082</v>
      </c>
      <c r="F35" s="13">
        <v>0.246</v>
      </c>
      <c r="G35" s="18">
        <v>1.8800000000000001E-2</v>
      </c>
      <c r="H35" s="18">
        <f t="shared" si="11"/>
        <v>2.2411845418100616E-2</v>
      </c>
      <c r="I35" s="14">
        <f t="shared" si="12"/>
        <v>29.638081275030085</v>
      </c>
      <c r="J35" s="47">
        <f t="shared" si="6"/>
        <v>167.70445602264468</v>
      </c>
      <c r="K35" s="13">
        <f t="shared" si="7"/>
        <v>0.54437477163917991</v>
      </c>
      <c r="L35" s="48">
        <f t="shared" si="8"/>
        <v>2895.7197540938105</v>
      </c>
      <c r="M35" s="48">
        <f t="shared" si="9"/>
        <v>4221.8616333967875</v>
      </c>
      <c r="N35" s="48">
        <f t="shared" si="13"/>
        <v>1326.141879302977</v>
      </c>
      <c r="O35" s="14">
        <f t="shared" si="10"/>
        <v>6.9971401844097567</v>
      </c>
      <c r="P35" s="14">
        <f t="shared" si="14"/>
        <v>2.3912483850601447</v>
      </c>
      <c r="Q35" s="14">
        <v>1.242</v>
      </c>
    </row>
    <row r="36" spans="1:17" x14ac:dyDescent="0.25">
      <c r="A36" s="30">
        <v>14</v>
      </c>
      <c r="B36" s="31">
        <f>I9*SIN(C35+C36-C$14)+0.5*C$16*C$4*C$2*(C36-C$5)*G9^2*COS(C35)-0.5*C$16*C$4*(C$8+1/PI()/C$7*C$2^2*(C36-C$5)^2)/SQRT(1-H9^2)*G9^2*SIN(C35)-C$11</f>
        <v>1.7462298274040222E-10</v>
      </c>
      <c r="C36" s="32">
        <v>4.0592804032747613E-2</v>
      </c>
      <c r="D36" s="33">
        <f t="shared" si="5"/>
        <v>2.325796349678066</v>
      </c>
      <c r="F36" s="13">
        <v>0.2</v>
      </c>
      <c r="G36" s="18">
        <v>1.7500000000000002E-2</v>
      </c>
      <c r="H36" s="18">
        <f t="shared" si="11"/>
        <v>2.1952363831270923E-2</v>
      </c>
      <c r="I36" s="14">
        <f t="shared" si="12"/>
        <v>16.600738294685591</v>
      </c>
      <c r="J36" s="47">
        <f t="shared" si="6"/>
        <v>185.99323918066736</v>
      </c>
      <c r="K36" s="13">
        <f t="shared" si="7"/>
        <v>0.60374082780326144</v>
      </c>
      <c r="L36" s="48">
        <f t="shared" si="8"/>
        <v>3488.7135647932369</v>
      </c>
      <c r="M36" s="48">
        <f t="shared" si="9"/>
        <v>4286.2210204703306</v>
      </c>
      <c r="N36" s="48">
        <f t="shared" si="13"/>
        <v>797.50745567709373</v>
      </c>
      <c r="O36" s="14">
        <f t="shared" si="10"/>
        <v>4.6667860633554561</v>
      </c>
      <c r="P36" s="14">
        <f t="shared" si="14"/>
        <v>1.43776844132926</v>
      </c>
      <c r="Q36" s="14">
        <v>0.68799999999999994</v>
      </c>
    </row>
    <row r="37" spans="1:17" x14ac:dyDescent="0.25">
      <c r="A37" s="34">
        <v>15</v>
      </c>
      <c r="B37" s="27">
        <f>-I10*COS(C37+C38-C$14)+0.5*C$16*C$4*C$2*(C38-C$5)*G10^2*SIN(C37)+0.5*C$16*C$4*(C$8+1/PI()/C$7*C$2^2*(C38-C$5)^2)/SQRT(1-H10^2)*G10^2*COS(C37)</f>
        <v>-9.9313956525293179E-6</v>
      </c>
      <c r="C37" s="35">
        <v>5.6134321227682395E-2</v>
      </c>
      <c r="D37" s="36">
        <f t="shared" si="5"/>
        <v>3.216259692177827</v>
      </c>
      <c r="F37" s="13">
        <v>0.151</v>
      </c>
      <c r="G37" s="18">
        <v>1.6299999999999999E-2</v>
      </c>
      <c r="H37" s="18">
        <f t="shared" si="11"/>
        <v>2.2664817280119133E-2</v>
      </c>
      <c r="I37" s="14">
        <f t="shared" si="12"/>
        <v>6.7023391093704001</v>
      </c>
      <c r="J37" s="47">
        <f t="shared" si="6"/>
        <v>214.05416477650726</v>
      </c>
      <c r="K37" s="13">
        <f t="shared" si="7"/>
        <v>0.69482761419823202</v>
      </c>
      <c r="L37" s="48">
        <f t="shared" si="8"/>
        <v>4770.7789295246266</v>
      </c>
      <c r="M37" s="48">
        <f t="shared" si="9"/>
        <v>4432.3396937188991</v>
      </c>
      <c r="N37" s="48">
        <f t="shared" si="13"/>
        <v>-338.43923580572755</v>
      </c>
      <c r="O37" s="14">
        <f t="shared" si="10"/>
        <v>-2.2792416389170285</v>
      </c>
      <c r="P37" s="14">
        <f t="shared" si="14"/>
        <v>-0.61009508681326929</v>
      </c>
      <c r="Q37" s="14">
        <v>0.23699999999999999</v>
      </c>
    </row>
    <row r="38" spans="1:17" x14ac:dyDescent="0.25">
      <c r="A38" s="37">
        <v>16</v>
      </c>
      <c r="B38" s="31">
        <f>I10*SIN(C37+C38-C$14)+0.5*C$16*C$4*C$2*(C38-C$5)*G10^2*COS(C37)-0.5*C$16*C$4*(C$8+1/PI()/C$7*C$2^2*(C38-C$5)^2)/SQRT(1-H10^2)*G10^2*SIN(C37)-C$11</f>
        <v>-4.0017766878008842E-11</v>
      </c>
      <c r="C38" s="38">
        <v>2.8601368618015908E-2</v>
      </c>
      <c r="D38" s="39">
        <f t="shared" si="5"/>
        <v>1.6387377101102316</v>
      </c>
      <c r="F38" s="13">
        <v>0.12</v>
      </c>
      <c r="G38" s="18">
        <v>1.61E-2</v>
      </c>
      <c r="H38" s="18">
        <f t="shared" si="11"/>
        <v>2.5698560664714536E-2</v>
      </c>
      <c r="I38" s="14">
        <f t="shared" si="12"/>
        <v>2.6165325295670909</v>
      </c>
      <c r="J38" s="47">
        <f t="shared" si="6"/>
        <v>240.11623928463251</v>
      </c>
      <c r="K38" s="13">
        <f t="shared" si="7"/>
        <v>0.77942605716917057</v>
      </c>
      <c r="L38" s="48">
        <f t="shared" si="8"/>
        <v>6806.7777632629404</v>
      </c>
      <c r="M38" s="48">
        <f t="shared" si="9"/>
        <v>4619.424720273556</v>
      </c>
      <c r="N38" s="48">
        <f t="shared" si="13"/>
        <v>-2187.3530429893844</v>
      </c>
      <c r="O38" s="14">
        <f t="shared" si="10"/>
        <v>-16.524426658058925</v>
      </c>
      <c r="P38" s="14">
        <f t="shared" si="14"/>
        <v>-3.9461255430266902</v>
      </c>
      <c r="Q38" s="14">
        <v>-3.9E-2</v>
      </c>
    </row>
    <row r="39" spans="1:17" x14ac:dyDescent="0.25">
      <c r="A39" s="26">
        <v>17</v>
      </c>
      <c r="B39" s="27">
        <f>-I11*COS(C39+C40-C$14)+0.5*C$16*C$4*C$2*(C40-C$5)*G11^2*SIN(C39)+0.5*C$16*C$4*(C$8+1/PI()/C$7*C$2^2*(C40-C$5)^2)/SQRT(1-H11^2)*G11^2*COS(C39)</f>
        <v>-9.7411888418719172E-5</v>
      </c>
      <c r="C39" s="28">
        <v>4.7690242743402778E-2</v>
      </c>
      <c r="D39" s="29">
        <f t="shared" si="5"/>
        <v>2.7324496331513797</v>
      </c>
      <c r="F39" s="13">
        <v>9.4E-2</v>
      </c>
      <c r="G39" s="18">
        <v>1.5699999999999999E-2</v>
      </c>
      <c r="H39" s="18">
        <f t="shared" si="11"/>
        <v>3.3138168356104933E-2</v>
      </c>
      <c r="I39" s="14">
        <f t="shared" si="12"/>
        <v>0.75635653006983705</v>
      </c>
      <c r="J39" s="47">
        <f t="shared" si="6"/>
        <v>271.29902251753913</v>
      </c>
      <c r="K39" s="13">
        <f t="shared" si="7"/>
        <v>0.88064650714454551</v>
      </c>
      <c r="L39" s="48">
        <f t="shared" si="8"/>
        <v>11205.072322316826</v>
      </c>
      <c r="M39" s="48">
        <f t="shared" si="9"/>
        <v>4908.2829559813235</v>
      </c>
      <c r="N39" s="48">
        <f t="shared" si="13"/>
        <v>-6296.7893663355026</v>
      </c>
      <c r="O39" s="14">
        <f t="shared" si="10"/>
        <v>-53.746894705756795</v>
      </c>
      <c r="P39" s="14">
        <f t="shared" si="14"/>
        <v>-11.42642537321491</v>
      </c>
      <c r="Q39" s="14">
        <v>-0.28000000000000003</v>
      </c>
    </row>
    <row r="40" spans="1:17" x14ac:dyDescent="0.25">
      <c r="A40" s="30">
        <v>18</v>
      </c>
      <c r="B40" s="31">
        <f>I11*SIN(C39+C40-C$14)+0.5*C$16*C$4*C$2*(C40-C$5)*G11^2*COS(C39)-0.5*C$16*C$4*(C$8+1/PI()/C$7*C$2^2*(C40-C$5)^2)/SQRT(1-H11^2)*G11^2*SIN(C39)-C$11</f>
        <v>-1.0186340659856796E-10</v>
      </c>
      <c r="C40" s="32">
        <v>1.9631688658882578E-2</v>
      </c>
      <c r="D40" s="33">
        <f t="shared" si="5"/>
        <v>1.1248129048688149</v>
      </c>
      <c r="F40" s="13">
        <v>7.9000000000000001E-2</v>
      </c>
      <c r="G40" s="18">
        <v>1.5599999999999999E-2</v>
      </c>
      <c r="H40" s="18">
        <f t="shared" si="11"/>
        <v>5.6142855136502932E-2</v>
      </c>
      <c r="I40" s="14">
        <f t="shared" si="12"/>
        <v>0.15642000094992028</v>
      </c>
      <c r="J40" s="47">
        <f t="shared" si="6"/>
        <v>295.93655247523742</v>
      </c>
      <c r="K40" s="13">
        <f t="shared" si="7"/>
        <v>0.96062082662633952</v>
      </c>
      <c r="L40" s="48">
        <f t="shared" si="8"/>
        <v>22588.189427856505</v>
      </c>
      <c r="M40" s="48">
        <f t="shared" si="9"/>
        <v>5186.5996618002118</v>
      </c>
      <c r="N40" s="48">
        <f t="shared" si="13"/>
        <v>-17401.589766056291</v>
      </c>
      <c r="O40" s="14">
        <f t="shared" si="10"/>
        <v>-162.02182463582989</v>
      </c>
      <c r="P40" s="14">
        <f t="shared" si="14"/>
        <v>-33.194875607111129</v>
      </c>
      <c r="Q40" s="14">
        <v>-0.41699999999999998</v>
      </c>
    </row>
    <row r="41" spans="1:17" ht="15.6" thickBot="1" x14ac:dyDescent="0.3">
      <c r="A41" s="34">
        <v>19</v>
      </c>
      <c r="B41" s="27">
        <f>-I12*COS(C41+C42-C$14)+0.5*C$16*C$4*C$2*(C42-C$5)*G12^2*SIN(C41)+0.5*C$16*C$4*(C$8+1/PI()/C$7*C$2^2*(C42-C$5)^2)/SQRT(1-H12^2)*G12^2*COS(C41)</f>
        <v>6.7778700213239063E-5</v>
      </c>
      <c r="C41" s="35">
        <v>3.7621184675741798E-2</v>
      </c>
      <c r="D41" s="36">
        <f t="shared" si="5"/>
        <v>2.1555351022022537</v>
      </c>
      <c r="F41" s="59"/>
      <c r="G41" s="59"/>
      <c r="H41" s="59"/>
      <c r="I41" s="60"/>
      <c r="J41" s="102"/>
      <c r="K41" s="105"/>
      <c r="L41" s="62"/>
      <c r="M41" s="62"/>
      <c r="N41" s="62"/>
      <c r="O41" s="60"/>
      <c r="P41" s="60"/>
      <c r="Q41" s="59"/>
    </row>
    <row r="42" spans="1:17" ht="18.600000000000001" thickBot="1" x14ac:dyDescent="0.3">
      <c r="A42" s="37">
        <v>20</v>
      </c>
      <c r="B42" s="31">
        <f>I12*SIN(C41+C42-C$14)+0.5*C$16*C$4*C$2*(C42-C$5)*G12^2*COS(C41)-0.5*C$16*C$4*(C$8+1/PI()/C$7*C$2^2*(C42-C$5)^2)/SQRT(1-H12^2)*G12^2*SIN(C41)-C$11</f>
        <v>4.4747139327228069E-10</v>
      </c>
      <c r="C42" s="38">
        <v>1.3183989148183053E-2</v>
      </c>
      <c r="D42" s="39">
        <f t="shared" si="5"/>
        <v>0.75538693533716617</v>
      </c>
      <c r="F42" s="143" t="s">
        <v>195</v>
      </c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5"/>
    </row>
    <row r="43" spans="1:17" ht="18.600000000000001" thickBot="1" x14ac:dyDescent="0.3">
      <c r="A43" s="26">
        <v>21</v>
      </c>
      <c r="B43" s="27">
        <f>-I13*COS(C43+C44-C$14)+0.5*C$16*C$4*C$2*(C44-C$5)*G13^2*SIN(C43)+0.5*C$16*C$4*(C$8+1/PI()/C$7*C$2^2*(C44-C$5)^2)/SQRT(1-H13^2)*G13^2*COS(C43)</f>
        <v>-2.8099710107198916E-5</v>
      </c>
      <c r="C43" s="28">
        <v>2.4174717088296372E-2</v>
      </c>
      <c r="D43" s="29">
        <f t="shared" si="5"/>
        <v>1.3851092600821724</v>
      </c>
      <c r="F43" s="98" t="s">
        <v>1</v>
      </c>
      <c r="G43" s="98" t="s">
        <v>7</v>
      </c>
      <c r="H43" s="98" t="s">
        <v>109</v>
      </c>
      <c r="I43" s="98" t="s">
        <v>2</v>
      </c>
      <c r="J43" s="98" t="s">
        <v>63</v>
      </c>
      <c r="K43" s="98" t="s">
        <v>53</v>
      </c>
      <c r="L43" s="98" t="s">
        <v>67</v>
      </c>
      <c r="M43" s="98" t="s">
        <v>65</v>
      </c>
      <c r="N43" s="98" t="s">
        <v>68</v>
      </c>
      <c r="O43" s="98" t="s">
        <v>64</v>
      </c>
      <c r="P43" s="98" t="s">
        <v>84</v>
      </c>
      <c r="Q43" s="98" t="s">
        <v>66</v>
      </c>
    </row>
    <row r="44" spans="1:17" x14ac:dyDescent="0.25">
      <c r="A44" s="30">
        <v>22</v>
      </c>
      <c r="B44" s="31">
        <f>I13*SIN(C43+C44-C$14)+0.5*C$16*C$4*C$2*(C44-C$5)*G13^2*COS(C43)-0.5*C$16*C$4*(C$8+1/PI()/C$7*C$2^2*(C44-C$5)^2)/SQRT(1-H13^2)*G13^2*SIN(C43)-C$11</f>
        <v>-3.2741809263825417E-11</v>
      </c>
      <c r="C44" s="32">
        <v>7.6926631399042425E-3</v>
      </c>
      <c r="D44" s="33">
        <f t="shared" si="5"/>
        <v>0.44075713113236903</v>
      </c>
      <c r="F44" s="107">
        <f t="shared" ref="F44:G58" si="15">F25</f>
        <v>1.405</v>
      </c>
      <c r="G44" s="109">
        <f t="shared" si="15"/>
        <v>0.1406</v>
      </c>
      <c r="H44" s="101">
        <f>G44/SQRT(1-K44^2)</f>
        <v>0.14513329781637888</v>
      </c>
      <c r="I44" s="43">
        <f>F44^3/H44^2</f>
        <v>131.67242842899208</v>
      </c>
      <c r="J44" s="44">
        <f t="shared" ref="J44:J58" si="16">SQRT((2*C$20)/(C$4*C$16*F44))</f>
        <v>76.395380932749987</v>
      </c>
      <c r="K44" s="42">
        <f t="shared" ref="K44:K58" si="17">J44/C$19</f>
        <v>0.24798218864225322</v>
      </c>
      <c r="L44" s="46">
        <f t="shared" ref="L44:L58" si="18">C$20*SQRT((2*C$20)/(C$16*C$4*I44))/J44</f>
        <v>3891.2664641011529</v>
      </c>
      <c r="M44" s="46">
        <f t="shared" ref="M44:M58" si="19">C$17*(1-0.605*K44+0.725*K44^2)</f>
        <v>4265.0202628704455</v>
      </c>
      <c r="N44" s="46">
        <f>(M44-L44)</f>
        <v>373.75379876929264</v>
      </c>
      <c r="O44" s="43">
        <f t="shared" ref="O44:O58" si="20">N44/C$20*J44</f>
        <v>0.75797081613262651</v>
      </c>
      <c r="P44" s="43">
        <f>DEGREES(ASIN(O44/J44))</f>
        <v>0.56847993655928053</v>
      </c>
      <c r="Q44" s="107">
        <f t="shared" ref="Q44:Q58" si="21">Q25</f>
        <v>12.989000000000001</v>
      </c>
    </row>
    <row r="45" spans="1:17" x14ac:dyDescent="0.25">
      <c r="A45" s="34">
        <v>23</v>
      </c>
      <c r="B45" s="27">
        <f>-I14*COS(C45+C46-C$14)+0.5*C$16*C$4*C$2*(C46-C$5)*G14^2*SIN(C45)+0.5*C$16*C$4*(C$8+1/PI()/C$7*C$2^2*(C46-C$5)^2)/SQRT(1-H14^2)*G14^2*COS(C45)</f>
        <v>1.4444975658989279E-4</v>
      </c>
      <c r="C45" s="35">
        <v>6.2296053203246722E-3</v>
      </c>
      <c r="D45" s="36">
        <f t="shared" si="5"/>
        <v>0.35693009288684702</v>
      </c>
      <c r="F45" s="108">
        <f t="shared" si="15"/>
        <v>1.3560000000000001</v>
      </c>
      <c r="G45" s="12">
        <f t="shared" si="15"/>
        <v>0.13239999999999999</v>
      </c>
      <c r="H45" s="18">
        <f t="shared" ref="H45:H58" si="22">G45/SQRT(1-K45^2)</f>
        <v>0.13683099785140995</v>
      </c>
      <c r="I45" s="14">
        <f t="shared" ref="I45:I58" si="23">F45^3/H45^2</f>
        <v>133.17112862082496</v>
      </c>
      <c r="J45" s="47">
        <f t="shared" si="16"/>
        <v>77.763431766895778</v>
      </c>
      <c r="K45" s="13">
        <f t="shared" si="17"/>
        <v>0.25242293147098488</v>
      </c>
      <c r="L45" s="48">
        <f t="shared" si="18"/>
        <v>3801.237773939346</v>
      </c>
      <c r="M45" s="48">
        <f t="shared" si="19"/>
        <v>4259.8921780583987</v>
      </c>
      <c r="N45" s="48">
        <f t="shared" ref="N45:N58" si="24">(M45-L45)</f>
        <v>458.65440411905274</v>
      </c>
      <c r="O45" s="14">
        <f t="shared" si="20"/>
        <v>0.94680546156393874</v>
      </c>
      <c r="P45" s="14">
        <f t="shared" ref="P45:P58" si="25">DEGREES(ASIN(O45/J45))</f>
        <v>0.69761964109336561</v>
      </c>
      <c r="Q45" s="108">
        <f t="shared" si="21"/>
        <v>11.238</v>
      </c>
    </row>
    <row r="46" spans="1:17" x14ac:dyDescent="0.25">
      <c r="A46" s="37">
        <v>24</v>
      </c>
      <c r="B46" s="31">
        <f>I14*SIN(C45+C46-C$14)+0.5*C$16*C$4*C$2*(C46-C$5)*G14^2*COS(C45)-0.5*C$16*C$4*(C$8+1/PI()/C$7*C$2^2*(C46-C$5)^2)/SQRT(1-H14^2)*G14^2*SIN(C45)-C$11</f>
        <v>0</v>
      </c>
      <c r="C46" s="38">
        <v>3.0297815262503129E-3</v>
      </c>
      <c r="D46" s="39">
        <f t="shared" si="5"/>
        <v>0.17359369430084798</v>
      </c>
      <c r="F46" s="108">
        <f t="shared" si="15"/>
        <v>1.302</v>
      </c>
      <c r="G46" s="12">
        <f t="shared" si="15"/>
        <v>0.1231</v>
      </c>
      <c r="H46" s="18">
        <f t="shared" si="22"/>
        <v>0.12739967667921659</v>
      </c>
      <c r="I46" s="14">
        <f t="shared" si="23"/>
        <v>135.98665810209096</v>
      </c>
      <c r="J46" s="47">
        <f t="shared" si="16"/>
        <v>79.359654933342711</v>
      </c>
      <c r="K46" s="13">
        <f t="shared" si="17"/>
        <v>0.25760432999984917</v>
      </c>
      <c r="L46" s="48">
        <f t="shared" si="18"/>
        <v>3686.0190325474355</v>
      </c>
      <c r="M46" s="48">
        <f t="shared" si="19"/>
        <v>4254.081132194332</v>
      </c>
      <c r="N46" s="48">
        <f t="shared" si="24"/>
        <v>568.06209964689651</v>
      </c>
      <c r="O46" s="14">
        <f t="shared" si="20"/>
        <v>1.1967277281018478</v>
      </c>
      <c r="P46" s="14">
        <f t="shared" si="25"/>
        <v>0.86404164786975501</v>
      </c>
      <c r="Q46" s="108">
        <f t="shared" si="21"/>
        <v>10.574999999999999</v>
      </c>
    </row>
    <row r="47" spans="1:17" x14ac:dyDescent="0.25">
      <c r="A47" s="26">
        <v>25</v>
      </c>
      <c r="B47" s="27">
        <f>-I15*COS(C47+C48-C$14)+0.5*C$16*C$4*C$2*(C48-C$5)*G15^2*SIN(C47)+0.5*C$16*C$4*(C$8+1/PI()/C$7*C$2^2*(C48-C$5)^2)/SQRT(1-H15^2)*G15^2*COS(C47)</f>
        <v>-2.3996507115953136E-4</v>
      </c>
      <c r="C47" s="28">
        <v>-1.3069098291726224E-2</v>
      </c>
      <c r="D47" s="29">
        <f t="shared" si="5"/>
        <v>-0.74880417415754663</v>
      </c>
      <c r="F47" s="108">
        <f t="shared" si="15"/>
        <v>1.1930000000000001</v>
      </c>
      <c r="G47" s="12">
        <f t="shared" si="15"/>
        <v>0.1061</v>
      </c>
      <c r="H47" s="18">
        <f t="shared" si="22"/>
        <v>0.11016418141647699</v>
      </c>
      <c r="I47" s="14">
        <f t="shared" si="23"/>
        <v>139.90734255154854</v>
      </c>
      <c r="J47" s="47">
        <f t="shared" si="16"/>
        <v>82.905824181849937</v>
      </c>
      <c r="K47" s="13">
        <f t="shared" si="17"/>
        <v>0.26911532452338971</v>
      </c>
      <c r="L47" s="48">
        <f t="shared" si="18"/>
        <v>3478.5656157847902</v>
      </c>
      <c r="M47" s="48">
        <f t="shared" si="19"/>
        <v>4241.8354898788803</v>
      </c>
      <c r="N47" s="48">
        <f t="shared" si="24"/>
        <v>763.26987409409003</v>
      </c>
      <c r="O47" s="14">
        <f t="shared" si="20"/>
        <v>1.6798207076364298</v>
      </c>
      <c r="P47" s="14">
        <f t="shared" si="25"/>
        <v>1.1609947138614969</v>
      </c>
      <c r="Q47" s="108">
        <f t="shared" si="21"/>
        <v>9.5760000000000005</v>
      </c>
    </row>
    <row r="48" spans="1:17" x14ac:dyDescent="0.25">
      <c r="A48" s="30">
        <v>26</v>
      </c>
      <c r="B48" s="31">
        <f>I15*SIN(C47+C48-C$14)+0.5*C$16*C$4*C$2*(C48-C$5)*G15^2*COS(C47)-0.5*C$16*C$4*(C$8+1/PI()/C$7*C$2^2*(C48-C$5)^2)/SQRT(1-H15^2)*G15^2*SIN(C47)-C$11</f>
        <v>1.6040621656429721E-2</v>
      </c>
      <c r="C48" s="32">
        <v>-2.5128575312573568E-4</v>
      </c>
      <c r="D48" s="33">
        <f t="shared" si="5"/>
        <v>-1.4397613105870989E-2</v>
      </c>
      <c r="F48" s="108">
        <f t="shared" si="15"/>
        <v>1.095</v>
      </c>
      <c r="G48" s="12">
        <f t="shared" si="15"/>
        <v>9.1899999999999996E-2</v>
      </c>
      <c r="H48" s="18">
        <f t="shared" si="22"/>
        <v>9.57553926596829E-2</v>
      </c>
      <c r="I48" s="14">
        <f t="shared" si="23"/>
        <v>143.19105026283177</v>
      </c>
      <c r="J48" s="47">
        <f t="shared" si="16"/>
        <v>86.536276290848647</v>
      </c>
      <c r="K48" s="13">
        <f t="shared" si="17"/>
        <v>0.280899904281463</v>
      </c>
      <c r="L48" s="48">
        <f t="shared" si="18"/>
        <v>3294.1953823263193</v>
      </c>
      <c r="M48" s="48">
        <f t="shared" si="19"/>
        <v>4230.2477437826856</v>
      </c>
      <c r="N48" s="48">
        <f t="shared" si="24"/>
        <v>936.05236145636627</v>
      </c>
      <c r="O48" s="14">
        <f t="shared" si="20"/>
        <v>2.150295345249571</v>
      </c>
      <c r="P48" s="14">
        <f t="shared" si="25"/>
        <v>1.423859857818732</v>
      </c>
      <c r="Q48" s="108">
        <f t="shared" si="21"/>
        <v>8.6869999999999994</v>
      </c>
    </row>
    <row r="49" spans="1:17" x14ac:dyDescent="0.25">
      <c r="A49" s="34">
        <v>27</v>
      </c>
      <c r="B49" s="27">
        <f>-I16*COS(C49+C50-C$14)+0.5*C$16*C$4*C$2*(C50-C$5)*G16^2*SIN(C49)+0.5*C$16*C$4*(C$8+1/PI()/C$7*C$2^2*(C50-C$5)^2)/SQRT(1-H16^2)*G16^2*COS(C49)</f>
        <v>6.3724564824951813E-4</v>
      </c>
      <c r="C49" s="35">
        <v>-3.9111315876493934E-2</v>
      </c>
      <c r="D49" s="36">
        <f t="shared" si="5"/>
        <v>-2.2409133309261127</v>
      </c>
      <c r="F49" s="108">
        <f t="shared" si="15"/>
        <v>0.997</v>
      </c>
      <c r="G49" s="12">
        <f t="shared" si="15"/>
        <v>7.9399999999999998E-2</v>
      </c>
      <c r="H49" s="18">
        <f t="shared" si="22"/>
        <v>8.3081518846488234E-2</v>
      </c>
      <c r="I49" s="14">
        <f t="shared" si="23"/>
        <v>143.5742710719702</v>
      </c>
      <c r="J49" s="47">
        <f t="shared" si="16"/>
        <v>90.689641212284613</v>
      </c>
      <c r="K49" s="13">
        <f t="shared" si="17"/>
        <v>0.2943818780719244</v>
      </c>
      <c r="L49" s="48">
        <f t="shared" si="18"/>
        <v>3139.1314418803913</v>
      </c>
      <c r="M49" s="48">
        <f t="shared" si="19"/>
        <v>4218.1684295145515</v>
      </c>
      <c r="N49" s="48">
        <f t="shared" si="24"/>
        <v>1079.0369876341601</v>
      </c>
      <c r="O49" s="14">
        <f t="shared" si="20"/>
        <v>2.5977286480453188</v>
      </c>
      <c r="P49" s="14">
        <f t="shared" si="25"/>
        <v>1.6414140226003822</v>
      </c>
      <c r="Q49" s="108">
        <f t="shared" si="21"/>
        <v>8.0169999999999995</v>
      </c>
    </row>
    <row r="50" spans="1:17" x14ac:dyDescent="0.25">
      <c r="A50" s="37">
        <v>28</v>
      </c>
      <c r="B50" s="31">
        <f>I16*SIN(C49+C50-C$14)+0.5*C$16*C$4*C$2*(C50-C$5)*G16^2*COS(C49)-0.5*C$16*C$4*(C$8+1/PI()/C$7*C$2^2*(C50-C$5)^2)/SQRT(1-H16^2)*G16^2*SIN(C49)-C$11</f>
        <v>-1.0924449190497398E-2</v>
      </c>
      <c r="C50" s="38">
        <v>-3.1885343603158954E-3</v>
      </c>
      <c r="D50" s="39">
        <f t="shared" si="5"/>
        <v>-0.18268956167854652</v>
      </c>
      <c r="F50" s="108">
        <f t="shared" si="15"/>
        <v>0.80100000000000005</v>
      </c>
      <c r="G50" s="12">
        <f t="shared" si="15"/>
        <v>5.7599999999999998E-2</v>
      </c>
      <c r="H50" s="18">
        <f t="shared" si="22"/>
        <v>6.0982812603339688E-2</v>
      </c>
      <c r="I50" s="14">
        <f t="shared" si="23"/>
        <v>138.19191873543306</v>
      </c>
      <c r="J50" s="47">
        <f t="shared" si="16"/>
        <v>101.17867898587841</v>
      </c>
      <c r="K50" s="13">
        <f t="shared" si="17"/>
        <v>0.32842967667033401</v>
      </c>
      <c r="L50" s="48">
        <f t="shared" si="18"/>
        <v>2867.9737127251528</v>
      </c>
      <c r="M50" s="48">
        <f t="shared" si="19"/>
        <v>4193.2567512580808</v>
      </c>
      <c r="N50" s="48">
        <f t="shared" si="24"/>
        <v>1325.283038532928</v>
      </c>
      <c r="O50" s="14">
        <f t="shared" si="20"/>
        <v>3.5595689751410293</v>
      </c>
      <c r="P50" s="14">
        <f t="shared" si="25"/>
        <v>2.0161399212203568</v>
      </c>
      <c r="Q50" s="108">
        <f t="shared" si="21"/>
        <v>6.1310000000000002</v>
      </c>
    </row>
    <row r="51" spans="1:17" x14ac:dyDescent="0.25">
      <c r="A51" s="26">
        <v>29</v>
      </c>
      <c r="B51" s="27">
        <f>-I17*COS(C51+C52-C$14)+0.5*C$16*C$4*C$2*(C52-C$5)*G17^2*SIN(C51)+0.5*C$16*C$4*(C$8+1/PI()/C$7*C$2^2*(C52-C$5)^2)/SQRT(1-H17^2)*G17^2*COS(C51)</f>
        <v>-1.0780938773677917E-3</v>
      </c>
      <c r="C51" s="28">
        <v>-7.0251103115772207E-2</v>
      </c>
      <c r="D51" s="29">
        <f t="shared" si="5"/>
        <v>-4.0250917146720946</v>
      </c>
      <c r="F51" s="108">
        <f t="shared" si="15"/>
        <v>0.61099999999999999</v>
      </c>
      <c r="G51" s="12">
        <f t="shared" si="15"/>
        <v>4.0599999999999997E-2</v>
      </c>
      <c r="H51" s="18">
        <f t="shared" si="22"/>
        <v>4.381600612808835E-2</v>
      </c>
      <c r="I51" s="14">
        <f t="shared" si="23"/>
        <v>118.81138359570473</v>
      </c>
      <c r="J51" s="47">
        <f t="shared" si="16"/>
        <v>115.84696427962214</v>
      </c>
      <c r="K51" s="13">
        <f t="shared" si="17"/>
        <v>0.37604346491721213</v>
      </c>
      <c r="L51" s="48">
        <f t="shared" si="18"/>
        <v>2701.4181297013738</v>
      </c>
      <c r="M51" s="48">
        <f t="shared" si="19"/>
        <v>4171.8593818646959</v>
      </c>
      <c r="N51" s="48">
        <f t="shared" si="24"/>
        <v>1470.4412521633221</v>
      </c>
      <c r="O51" s="14">
        <f t="shared" si="20"/>
        <v>4.5220160979083639</v>
      </c>
      <c r="P51" s="14">
        <f t="shared" si="25"/>
        <v>2.2370744015402009</v>
      </c>
      <c r="Q51" s="108">
        <f t="shared" si="21"/>
        <v>4.5730000000000004</v>
      </c>
    </row>
    <row r="52" spans="1:17" x14ac:dyDescent="0.25">
      <c r="A52" s="30">
        <v>30</v>
      </c>
      <c r="B52" s="31">
        <f>I17*SIN(C51+C52-C$14)+0.5*C$16*C$4*C$2*(C52-C$5)*G17^2*COS(C51)-0.5*C$16*C$4*(C$8+1/PI()/C$7*C$2^2*(C52-C$5)^2)/SQRT(1-H17^2)*G17^2*SIN(C51)-C$11</f>
        <v>-1.0658659084583633E-4</v>
      </c>
      <c r="C52" s="32">
        <v>-5.4897587182200685E-3</v>
      </c>
      <c r="D52" s="33">
        <f t="shared" si="5"/>
        <v>-0.31454000509915847</v>
      </c>
      <c r="F52" s="108">
        <f t="shared" si="15"/>
        <v>0.49099999999999999</v>
      </c>
      <c r="G52" s="12">
        <f t="shared" si="15"/>
        <v>3.1699999999999999E-2</v>
      </c>
      <c r="H52" s="18">
        <f t="shared" si="22"/>
        <v>3.4921062508277423E-2</v>
      </c>
      <c r="I52" s="14">
        <f t="shared" si="23"/>
        <v>97.066546486244079</v>
      </c>
      <c r="J52" s="47">
        <f t="shared" si="16"/>
        <v>129.23034889548282</v>
      </c>
      <c r="K52" s="13">
        <f t="shared" si="17"/>
        <v>0.41948641877071452</v>
      </c>
      <c r="L52" s="48">
        <f t="shared" si="18"/>
        <v>2679.2065032827163</v>
      </c>
      <c r="M52" s="48">
        <f t="shared" si="19"/>
        <v>4166.0099857484802</v>
      </c>
      <c r="N52" s="48">
        <f t="shared" si="24"/>
        <v>1486.8034824657639</v>
      </c>
      <c r="O52" s="14">
        <f t="shared" si="20"/>
        <v>5.1005599297610198</v>
      </c>
      <c r="P52" s="14">
        <f t="shared" si="25"/>
        <v>2.2619801569607585</v>
      </c>
      <c r="Q52" s="108">
        <f t="shared" si="21"/>
        <v>3.3540000000000001</v>
      </c>
    </row>
    <row r="53" spans="1:17" x14ac:dyDescent="0.25">
      <c r="F53" s="108">
        <f t="shared" si="15"/>
        <v>0.38800000000000001</v>
      </c>
      <c r="G53" s="12">
        <f t="shared" si="15"/>
        <v>2.52E-2</v>
      </c>
      <c r="H53" s="18">
        <f t="shared" si="22"/>
        <v>2.8582567960125205E-2</v>
      </c>
      <c r="I53" s="14">
        <f t="shared" si="23"/>
        <v>71.49780140589634</v>
      </c>
      <c r="J53" s="47">
        <f t="shared" si="16"/>
        <v>145.37489032664018</v>
      </c>
      <c r="K53" s="13">
        <f t="shared" si="17"/>
        <v>0.47189218820130646</v>
      </c>
      <c r="L53" s="48">
        <f t="shared" si="18"/>
        <v>2775.0432167141767</v>
      </c>
      <c r="M53" s="48">
        <f t="shared" si="19"/>
        <v>4176.3165009501272</v>
      </c>
      <c r="N53" s="48">
        <f t="shared" si="24"/>
        <v>1401.2732842359505</v>
      </c>
      <c r="O53" s="14">
        <f t="shared" si="20"/>
        <v>5.4076927777101442</v>
      </c>
      <c r="P53" s="14">
        <f t="shared" si="25"/>
        <v>2.1317950523584006</v>
      </c>
      <c r="Q53" s="108">
        <f t="shared" si="21"/>
        <v>2.5739999999999998</v>
      </c>
    </row>
    <row r="54" spans="1:17" x14ac:dyDescent="0.25">
      <c r="F54" s="108">
        <f t="shared" si="15"/>
        <v>0.246</v>
      </c>
      <c r="G54" s="12">
        <f t="shared" si="15"/>
        <v>1.8800000000000001E-2</v>
      </c>
      <c r="H54" s="18">
        <f t="shared" si="22"/>
        <v>2.3340487500551149E-2</v>
      </c>
      <c r="I54" s="14">
        <f t="shared" si="23"/>
        <v>27.326592209803771</v>
      </c>
      <c r="J54" s="47">
        <f t="shared" si="16"/>
        <v>182.57348659844479</v>
      </c>
      <c r="K54" s="13">
        <f t="shared" si="17"/>
        <v>0.59264018638226945</v>
      </c>
      <c r="L54" s="48">
        <f t="shared" si="18"/>
        <v>3574.1687005722033</v>
      </c>
      <c r="M54" s="48">
        <f t="shared" si="19"/>
        <v>4272.3347144191612</v>
      </c>
      <c r="N54" s="48">
        <f t="shared" si="24"/>
        <v>698.16601384695787</v>
      </c>
      <c r="O54" s="14">
        <f t="shared" si="20"/>
        <v>3.3837337371670375</v>
      </c>
      <c r="P54" s="14">
        <f t="shared" si="25"/>
        <v>1.0619546489510387</v>
      </c>
      <c r="Q54" s="108">
        <f t="shared" si="21"/>
        <v>1.242</v>
      </c>
    </row>
    <row r="55" spans="1:17" x14ac:dyDescent="0.25">
      <c r="F55" s="108">
        <f t="shared" si="15"/>
        <v>0.2</v>
      </c>
      <c r="G55" s="12">
        <f t="shared" si="15"/>
        <v>1.7500000000000002E-2</v>
      </c>
      <c r="H55" s="18">
        <f t="shared" si="22"/>
        <v>2.3220161409534999E-2</v>
      </c>
      <c r="I55" s="14">
        <f t="shared" si="23"/>
        <v>14.837458538221469</v>
      </c>
      <c r="J55" s="47">
        <f t="shared" si="16"/>
        <v>202.48379182225023</v>
      </c>
      <c r="K55" s="13">
        <f t="shared" si="17"/>
        <v>0.65726976222378397</v>
      </c>
      <c r="L55" s="48">
        <f t="shared" si="18"/>
        <v>4373.5638418087356</v>
      </c>
      <c r="M55" s="48">
        <f t="shared" si="19"/>
        <v>4365.1412140361981</v>
      </c>
      <c r="N55" s="48">
        <f t="shared" si="24"/>
        <v>-8.422627772537453</v>
      </c>
      <c r="O55" s="14">
        <f t="shared" si="20"/>
        <v>-4.527282982104721E-2</v>
      </c>
      <c r="P55" s="14">
        <f t="shared" si="25"/>
        <v>-1.2810615968953913E-2</v>
      </c>
      <c r="Q55" s="108">
        <f t="shared" si="21"/>
        <v>0.68799999999999994</v>
      </c>
    </row>
    <row r="56" spans="1:17" x14ac:dyDescent="0.25">
      <c r="F56" s="108">
        <f t="shared" si="15"/>
        <v>0.151</v>
      </c>
      <c r="G56" s="12">
        <f t="shared" si="15"/>
        <v>1.6299999999999999E-2</v>
      </c>
      <c r="H56" s="18">
        <f t="shared" si="22"/>
        <v>2.4920812587897294E-2</v>
      </c>
      <c r="I56" s="14">
        <f t="shared" si="23"/>
        <v>5.5437858232158455</v>
      </c>
      <c r="J56" s="47">
        <f t="shared" si="16"/>
        <v>233.03265823114435</v>
      </c>
      <c r="K56" s="13">
        <f t="shared" si="17"/>
        <v>0.75643249510270072</v>
      </c>
      <c r="L56" s="48">
        <f t="shared" si="18"/>
        <v>6217.0660828551408</v>
      </c>
      <c r="M56" s="48">
        <f t="shared" si="19"/>
        <v>4563.679299525581</v>
      </c>
      <c r="N56" s="48">
        <f t="shared" si="24"/>
        <v>-1653.3867833295599</v>
      </c>
      <c r="O56" s="14">
        <f t="shared" si="20"/>
        <v>-10.228007061340692</v>
      </c>
      <c r="P56" s="14">
        <f t="shared" si="25"/>
        <v>-2.5155699551491857</v>
      </c>
      <c r="Q56" s="108">
        <f t="shared" si="21"/>
        <v>0.23699999999999999</v>
      </c>
    </row>
    <row r="57" spans="1:17" x14ac:dyDescent="0.25">
      <c r="F57" s="108">
        <f t="shared" si="15"/>
        <v>0.12</v>
      </c>
      <c r="G57" s="12">
        <f t="shared" si="15"/>
        <v>1.61E-2</v>
      </c>
      <c r="H57" s="18">
        <f t="shared" si="22"/>
        <v>3.0426460673647248E-2</v>
      </c>
      <c r="I57" s="14">
        <f t="shared" si="23"/>
        <v>1.8665553174604239</v>
      </c>
      <c r="J57" s="47">
        <f t="shared" si="16"/>
        <v>261.40545120150153</v>
      </c>
      <c r="K57" s="13">
        <f t="shared" si="17"/>
        <v>0.84853161435280799</v>
      </c>
      <c r="L57" s="48">
        <f t="shared" si="18"/>
        <v>9551.474534671348</v>
      </c>
      <c r="M57" s="48">
        <f t="shared" si="19"/>
        <v>4808.9636143564721</v>
      </c>
      <c r="N57" s="48">
        <f t="shared" si="24"/>
        <v>-4742.5109203148759</v>
      </c>
      <c r="O57" s="14">
        <f t="shared" si="20"/>
        <v>-32.909610913421631</v>
      </c>
      <c r="P57" s="14">
        <f t="shared" si="25"/>
        <v>-7.2324375609687976</v>
      </c>
      <c r="Q57" s="108">
        <f t="shared" si="21"/>
        <v>-3.9E-2</v>
      </c>
    </row>
    <row r="58" spans="1:17" x14ac:dyDescent="0.25">
      <c r="F58" s="108">
        <f t="shared" si="15"/>
        <v>9.4E-2</v>
      </c>
      <c r="G58" s="12">
        <f t="shared" si="15"/>
        <v>1.5699999999999999E-2</v>
      </c>
      <c r="H58" s="18">
        <f t="shared" si="22"/>
        <v>5.5217534970692816E-2</v>
      </c>
      <c r="I58" s="14">
        <f t="shared" si="23"/>
        <v>0.27241406759815207</v>
      </c>
      <c r="J58" s="47">
        <f t="shared" si="16"/>
        <v>295.35296572613981</v>
      </c>
      <c r="K58" s="13">
        <f t="shared" si="17"/>
        <v>0.95872648278595429</v>
      </c>
      <c r="L58" s="48">
        <f t="shared" si="18"/>
        <v>22128.368397446666</v>
      </c>
      <c r="M58" s="48">
        <f t="shared" si="19"/>
        <v>5179.495930962823</v>
      </c>
      <c r="N58" s="48">
        <f t="shared" si="24"/>
        <v>-16948.872466483845</v>
      </c>
      <c r="O58" s="14">
        <f t="shared" si="20"/>
        <v>-132.88682224478947</v>
      </c>
      <c r="P58" s="14">
        <f t="shared" si="25"/>
        <v>-26.73890235447216</v>
      </c>
      <c r="Q58" s="108">
        <f t="shared" si="21"/>
        <v>-0.28000000000000003</v>
      </c>
    </row>
    <row r="59" spans="1:17" ht="15.6" thickBot="1" x14ac:dyDescent="0.3">
      <c r="F59" s="61"/>
      <c r="G59" s="105"/>
      <c r="H59" s="59"/>
      <c r="I59" s="60"/>
      <c r="J59" s="102"/>
      <c r="K59" s="105"/>
      <c r="L59" s="62"/>
      <c r="M59" s="62"/>
      <c r="N59" s="62"/>
      <c r="O59" s="60"/>
      <c r="P59" s="60"/>
      <c r="Q59" s="61"/>
    </row>
    <row r="60" spans="1:17" ht="18.600000000000001" thickBot="1" x14ac:dyDescent="0.3">
      <c r="F60" s="97"/>
      <c r="G60" s="143" t="s">
        <v>196</v>
      </c>
      <c r="H60" s="144"/>
      <c r="I60" s="144"/>
      <c r="J60" s="144"/>
      <c r="K60" s="144"/>
      <c r="L60" s="145"/>
      <c r="M60" s="62"/>
      <c r="N60" s="62"/>
      <c r="O60" s="60"/>
      <c r="P60" s="60"/>
      <c r="Q60" s="61"/>
    </row>
    <row r="61" spans="1:17" ht="18.600000000000001" thickBot="1" x14ac:dyDescent="0.3">
      <c r="B61" s="59" t="s">
        <v>174</v>
      </c>
      <c r="C61" s="59" t="s">
        <v>175</v>
      </c>
      <c r="D61" s="20" t="s">
        <v>176</v>
      </c>
      <c r="E61" s="20" t="s">
        <v>177</v>
      </c>
      <c r="F61" s="97"/>
      <c r="G61" s="98" t="s">
        <v>63</v>
      </c>
      <c r="H61" s="98" t="s">
        <v>53</v>
      </c>
      <c r="I61" s="98" t="s">
        <v>65</v>
      </c>
      <c r="J61" s="98" t="s">
        <v>66</v>
      </c>
      <c r="K61" s="98" t="s">
        <v>84</v>
      </c>
      <c r="L61" s="98" t="s">
        <v>64</v>
      </c>
      <c r="M61" s="62"/>
      <c r="N61" s="62"/>
      <c r="O61" s="60"/>
      <c r="P61" s="60"/>
      <c r="Q61" s="61"/>
    </row>
    <row r="62" spans="1:17" x14ac:dyDescent="0.25">
      <c r="B62" s="27">
        <f t="shared" ref="B62:B76" si="26">-I62*COS(C62+D62-C$14)+0.5*C$16*C$4*C$2*(D62-C$5)*G62^2*SIN(C62)+0.5*C$16*C$4*((C$8+1/PI()/C$7*C$2^2*(D62-C$5)^2)/SQRT(1-H62^2))*G62^2*COS(C62)</f>
        <v>1.1204361640011484E-3</v>
      </c>
      <c r="C62" s="28">
        <v>1.3834572849716436E-2</v>
      </c>
      <c r="D62" s="32">
        <v>0.19614264356196293</v>
      </c>
      <c r="E62" s="31">
        <f t="shared" ref="E62:E76" si="27">I62*SIN(C62+D62-C$14)+0.5*C$16*C$4*C$2*(D62-C$5)*G62^2*COS(C62)-0.5*C$16*C$4*(C$8+1/PI()/C$7*C$2^2*(D62-C$5)^2)/SQRT(1-H62^2)*G62^2*SIN(C62)-C$20</f>
        <v>5.148467535036616E-4</v>
      </c>
      <c r="F62" s="97"/>
      <c r="G62" s="81">
        <f>SQRT(2*C$20/C$4/C$16/C$15)</f>
        <v>76.395380932749987</v>
      </c>
      <c r="H62" s="99">
        <f t="shared" ref="H62:H76" si="28">G62/C$19</f>
        <v>0.24798218864225322</v>
      </c>
      <c r="I62" s="100">
        <f t="shared" ref="I62:I76" si="29">C$17*(1-0.605*H62+0.725*H62^2)</f>
        <v>4265.0202628704455</v>
      </c>
      <c r="J62" s="67">
        <f>DEGREES(D62)</f>
        <v>11.238145658639324</v>
      </c>
      <c r="K62" s="67">
        <f>DEGREES(C62)</f>
        <v>0.79266263565502793</v>
      </c>
      <c r="L62" s="67">
        <f>G62*SIN(RADIANS(K62))</f>
        <v>1.05686374899878</v>
      </c>
      <c r="M62" s="62"/>
      <c r="N62" s="62"/>
      <c r="O62" s="60"/>
      <c r="P62" s="60"/>
      <c r="Q62" s="61"/>
    </row>
    <row r="63" spans="1:17" x14ac:dyDescent="0.25">
      <c r="B63" s="27">
        <f t="shared" si="26"/>
        <v>3.9713484875392169E-4</v>
      </c>
      <c r="C63" s="35">
        <v>1.974203686301083E-2</v>
      </c>
      <c r="D63" s="38">
        <v>0.17711011937777829</v>
      </c>
      <c r="E63" s="31">
        <f t="shared" si="27"/>
        <v>-5.0240487325936556E-8</v>
      </c>
      <c r="F63" s="97"/>
      <c r="G63" s="11">
        <v>80</v>
      </c>
      <c r="H63" s="99">
        <f t="shared" si="28"/>
        <v>0.2596829134060335</v>
      </c>
      <c r="I63" s="100">
        <f t="shared" si="29"/>
        <v>4251.8021199255554</v>
      </c>
      <c r="J63" s="67">
        <f t="shared" ref="J63:J76" si="30">DEGREES(D63)</f>
        <v>10.147662349404873</v>
      </c>
      <c r="K63" s="67">
        <f t="shared" ref="K63:K76" si="31">DEGREES(C63)</f>
        <v>1.131135391242212</v>
      </c>
      <c r="L63" s="67">
        <f t="shared" ref="L63:L76" si="32">G63*SIN(RADIANS(K63))</f>
        <v>1.5792603587765275</v>
      </c>
    </row>
    <row r="64" spans="1:17" x14ac:dyDescent="0.25">
      <c r="B64" s="27">
        <f t="shared" si="26"/>
        <v>2.8636696424655383E-4</v>
      </c>
      <c r="C64" s="28">
        <v>2.6392868678214051E-2</v>
      </c>
      <c r="D64" s="32">
        <v>0.15449936136860723</v>
      </c>
      <c r="E64" s="31">
        <f t="shared" si="27"/>
        <v>1.8189894035458565E-10</v>
      </c>
      <c r="G64" s="11">
        <v>85</v>
      </c>
      <c r="H64" s="99">
        <f t="shared" si="28"/>
        <v>0.27591309549391058</v>
      </c>
      <c r="I64" s="100">
        <f t="shared" si="29"/>
        <v>4235.0340829286806</v>
      </c>
      <c r="J64" s="67">
        <f t="shared" si="30"/>
        <v>8.8521613438877491</v>
      </c>
      <c r="K64" s="67">
        <f t="shared" si="31"/>
        <v>1.5121999845046887</v>
      </c>
      <c r="L64" s="67">
        <f t="shared" si="32"/>
        <v>2.243133394857769</v>
      </c>
    </row>
    <row r="65" spans="2:12" x14ac:dyDescent="0.25">
      <c r="B65" s="27">
        <f t="shared" si="26"/>
        <v>-3.1433956792170648E-5</v>
      </c>
      <c r="C65" s="35">
        <v>3.1574727316294328E-2</v>
      </c>
      <c r="D65" s="38">
        <v>0.13546047853154111</v>
      </c>
      <c r="E65" s="31">
        <f t="shared" si="27"/>
        <v>-7.2759576141834259E-11</v>
      </c>
      <c r="G65" s="11">
        <f t="shared" ref="G65:G76" si="33">G6</f>
        <v>90</v>
      </c>
      <c r="H65" s="99">
        <f t="shared" si="28"/>
        <v>0.29214327758178765</v>
      </c>
      <c r="I65" s="100">
        <f t="shared" si="29"/>
        <v>4220.0871256147966</v>
      </c>
      <c r="J65" s="67">
        <f t="shared" si="30"/>
        <v>7.7613137106798007</v>
      </c>
      <c r="K65" s="67">
        <f t="shared" si="31"/>
        <v>1.8090986145000973</v>
      </c>
      <c r="L65" s="67">
        <f t="shared" si="32"/>
        <v>2.8412532992884705</v>
      </c>
    </row>
    <row r="66" spans="2:12" x14ac:dyDescent="0.25">
      <c r="B66" s="27">
        <f t="shared" si="26"/>
        <v>8.5409705661732005E-5</v>
      </c>
      <c r="C66" s="28">
        <v>4.037062373658664E-2</v>
      </c>
      <c r="D66" s="32">
        <v>9.5730184922068251E-2</v>
      </c>
      <c r="E66" s="31">
        <f t="shared" si="27"/>
        <v>-9.2404661700129509E-10</v>
      </c>
      <c r="G66" s="11">
        <f t="shared" si="33"/>
        <v>104</v>
      </c>
      <c r="H66" s="99">
        <f t="shared" si="28"/>
        <v>0.33758778742784357</v>
      </c>
      <c r="I66" s="100">
        <f t="shared" si="29"/>
        <v>4187.9237890494196</v>
      </c>
      <c r="J66" s="67">
        <f t="shared" si="30"/>
        <v>5.4849355680414202</v>
      </c>
      <c r="K66" s="67">
        <f t="shared" si="31"/>
        <v>2.3130663564170759</v>
      </c>
      <c r="L66" s="67">
        <f t="shared" si="32"/>
        <v>4.1974045057129086</v>
      </c>
    </row>
    <row r="67" spans="2:12" x14ac:dyDescent="0.25">
      <c r="B67" s="27">
        <f t="shared" si="26"/>
        <v>3.7497409402931225E-4</v>
      </c>
      <c r="C67" s="35">
        <v>4.3310463892113044E-2</v>
      </c>
      <c r="D67" s="38">
        <v>7.0694635126083566E-2</v>
      </c>
      <c r="E67" s="31">
        <f t="shared" si="27"/>
        <v>5.0204107537865639E-10</v>
      </c>
      <c r="G67" s="11">
        <f t="shared" si="33"/>
        <v>117</v>
      </c>
      <c r="H67" s="99">
        <f t="shared" si="28"/>
        <v>0.379786260856324</v>
      </c>
      <c r="I67" s="100">
        <f t="shared" si="29"/>
        <v>4170.841813041865</v>
      </c>
      <c r="J67" s="67">
        <f t="shared" si="30"/>
        <v>4.0505042269418885</v>
      </c>
      <c r="K67" s="67">
        <f t="shared" si="31"/>
        <v>2.4815067897718222</v>
      </c>
      <c r="L67" s="67">
        <f t="shared" si="32"/>
        <v>5.0657402126137727</v>
      </c>
    </row>
    <row r="68" spans="2:12" x14ac:dyDescent="0.25">
      <c r="B68" s="27">
        <f t="shared" si="26"/>
        <v>5.449256741485442E-5</v>
      </c>
      <c r="C68" s="28">
        <v>4.2824068341707336E-2</v>
      </c>
      <c r="D68" s="32">
        <v>5.2710632084732915E-2</v>
      </c>
      <c r="E68" s="31">
        <f t="shared" si="27"/>
        <v>4.1472958400845528E-10</v>
      </c>
      <c r="G68" s="11">
        <f t="shared" si="33"/>
        <v>130</v>
      </c>
      <c r="H68" s="99">
        <f t="shared" si="28"/>
        <v>0.42198473428480443</v>
      </c>
      <c r="I68" s="100">
        <f t="shared" si="29"/>
        <v>4166.0703356913173</v>
      </c>
      <c r="J68" s="67">
        <f t="shared" si="30"/>
        <v>3.02009675392206</v>
      </c>
      <c r="K68" s="67">
        <f t="shared" si="31"/>
        <v>2.4536383775596327</v>
      </c>
      <c r="L68" s="67">
        <f t="shared" si="32"/>
        <v>5.5654274467298217</v>
      </c>
    </row>
    <row r="69" spans="2:12" x14ac:dyDescent="0.25">
      <c r="B69" s="27">
        <f t="shared" si="26"/>
        <v>-4.1355934627063107E-5</v>
      </c>
      <c r="C69" s="35">
        <v>3.9393448195808735E-2</v>
      </c>
      <c r="D69" s="38">
        <v>3.8483241987292617E-2</v>
      </c>
      <c r="E69" s="31">
        <f t="shared" si="27"/>
        <v>-5.8207660913467407E-11</v>
      </c>
      <c r="G69" s="11">
        <f t="shared" si="33"/>
        <v>144</v>
      </c>
      <c r="H69" s="99">
        <f t="shared" si="28"/>
        <v>0.46742924413086029</v>
      </c>
      <c r="I69" s="100">
        <f t="shared" si="29"/>
        <v>4174.6991840248929</v>
      </c>
      <c r="J69" s="67">
        <f t="shared" si="30"/>
        <v>2.20492734785251</v>
      </c>
      <c r="K69" s="67">
        <f t="shared" si="31"/>
        <v>2.257078322087088</v>
      </c>
      <c r="L69" s="67">
        <f t="shared" si="32"/>
        <v>5.6711894745907792</v>
      </c>
    </row>
    <row r="70" spans="2:12" x14ac:dyDescent="0.25">
      <c r="B70" s="27">
        <f t="shared" si="26"/>
        <v>-8.781447240835405E-5</v>
      </c>
      <c r="C70" s="28">
        <v>3.3422881817429625E-2</v>
      </c>
      <c r="D70" s="32">
        <v>2.7841396749809698E-2</v>
      </c>
      <c r="E70" s="31">
        <f t="shared" si="27"/>
        <v>-6.5483618527650833E-11</v>
      </c>
      <c r="G70" s="11">
        <f t="shared" si="33"/>
        <v>158</v>
      </c>
      <c r="H70" s="99">
        <f t="shared" si="28"/>
        <v>0.51287375397691615</v>
      </c>
      <c r="I70" s="100">
        <f t="shared" si="29"/>
        <v>4197.6052970731007</v>
      </c>
      <c r="J70" s="67">
        <f t="shared" si="30"/>
        <v>1.5951945295133432</v>
      </c>
      <c r="K70" s="67">
        <f t="shared" si="31"/>
        <v>1.914990067303256</v>
      </c>
      <c r="L70" s="67">
        <f t="shared" si="32"/>
        <v>5.2798321919236253</v>
      </c>
    </row>
    <row r="71" spans="2:12" x14ac:dyDescent="0.25">
      <c r="B71" s="27">
        <f t="shared" si="26"/>
        <v>3.5116667413603864E-4</v>
      </c>
      <c r="C71" s="35">
        <v>2.5739762454122204E-2</v>
      </c>
      <c r="D71" s="38">
        <v>2.0192546261950769E-2</v>
      </c>
      <c r="E71" s="31">
        <f t="shared" si="27"/>
        <v>2.7648638933897018E-10</v>
      </c>
      <c r="G71" s="11">
        <f t="shared" si="33"/>
        <v>171</v>
      </c>
      <c r="H71" s="99">
        <f t="shared" si="28"/>
        <v>0.55507222740539663</v>
      </c>
      <c r="I71" s="100">
        <f t="shared" si="29"/>
        <v>4231.6592385638769</v>
      </c>
      <c r="J71" s="67">
        <f t="shared" si="30"/>
        <v>1.1569476784324459</v>
      </c>
      <c r="K71" s="67">
        <f t="shared" si="31"/>
        <v>1.4747797542905006</v>
      </c>
      <c r="L71" s="67">
        <f t="shared" si="32"/>
        <v>4.4010133709175232</v>
      </c>
    </row>
    <row r="72" spans="2:12" x14ac:dyDescent="0.25">
      <c r="B72" s="27">
        <f t="shared" si="26"/>
        <v>5.2585714001907036E-5</v>
      </c>
      <c r="C72" s="28">
        <v>1.5064100120145399E-2</v>
      </c>
      <c r="D72" s="32">
        <v>1.3679604711169127E-2</v>
      </c>
      <c r="E72" s="31">
        <f t="shared" si="27"/>
        <v>0</v>
      </c>
      <c r="G72" s="11">
        <f t="shared" si="33"/>
        <v>185</v>
      </c>
      <c r="H72" s="99">
        <f t="shared" si="28"/>
        <v>0.60051673725145249</v>
      </c>
      <c r="I72" s="100">
        <f t="shared" si="29"/>
        <v>4282.1000764188775</v>
      </c>
      <c r="J72" s="67">
        <f t="shared" si="30"/>
        <v>0.78378361535726848</v>
      </c>
      <c r="K72" s="67">
        <f t="shared" si="31"/>
        <v>0.86310935904684771</v>
      </c>
      <c r="L72" s="67">
        <f t="shared" si="32"/>
        <v>2.7867531211299577</v>
      </c>
    </row>
    <row r="73" spans="2:12" x14ac:dyDescent="0.25">
      <c r="B73" s="27">
        <f t="shared" si="26"/>
        <v>-2.7385583052819129E-5</v>
      </c>
      <c r="C73" s="35">
        <v>4.5987375549543213E-4</v>
      </c>
      <c r="D73" s="38">
        <v>8.1514395777789635E-3</v>
      </c>
      <c r="E73" s="31">
        <f t="shared" si="27"/>
        <v>0</v>
      </c>
      <c r="G73" s="11">
        <f t="shared" si="33"/>
        <v>200</v>
      </c>
      <c r="H73" s="99">
        <f t="shared" si="28"/>
        <v>0.64920728351508372</v>
      </c>
      <c r="I73" s="100">
        <f t="shared" si="29"/>
        <v>4351.9872245055258</v>
      </c>
      <c r="J73" s="67">
        <f t="shared" si="30"/>
        <v>0.46704308476263634</v>
      </c>
      <c r="K73" s="67">
        <f t="shared" si="31"/>
        <v>2.634882529871941E-2</v>
      </c>
      <c r="L73" s="67">
        <f t="shared" si="32"/>
        <v>9.1974747857223718E-2</v>
      </c>
    </row>
    <row r="74" spans="2:12" x14ac:dyDescent="0.25">
      <c r="B74" s="27">
        <f t="shared" si="26"/>
        <v>-1.7835639391705627E-4</v>
      </c>
      <c r="C74" s="28">
        <v>-1.5479296866537864E-2</v>
      </c>
      <c r="D74" s="32">
        <v>4.2641778133382787E-3</v>
      </c>
      <c r="E74" s="31">
        <f t="shared" si="27"/>
        <v>-8.7311491370201111E-10</v>
      </c>
      <c r="G74" s="11">
        <f t="shared" si="33"/>
        <v>213</v>
      </c>
      <c r="H74" s="99">
        <f t="shared" si="28"/>
        <v>0.69140575694356421</v>
      </c>
      <c r="I74" s="100">
        <f t="shared" si="29"/>
        <v>4425.8135462727796</v>
      </c>
      <c r="J74" s="67">
        <f t="shared" si="30"/>
        <v>0.24431939179760753</v>
      </c>
      <c r="K74" s="67">
        <f t="shared" si="31"/>
        <v>-0.88689838028269952</v>
      </c>
      <c r="L74" s="67">
        <f t="shared" si="32"/>
        <v>-3.2969585656035849</v>
      </c>
    </row>
    <row r="75" spans="2:12" x14ac:dyDescent="0.25">
      <c r="B75" s="27">
        <f t="shared" si="26"/>
        <v>-1.0486173778190278E-5</v>
      </c>
      <c r="C75" s="35">
        <v>-3.718878864179704E-2</v>
      </c>
      <c r="D75" s="38">
        <v>7.8855418592354643E-4</v>
      </c>
      <c r="E75" s="31">
        <f t="shared" si="27"/>
        <v>0</v>
      </c>
      <c r="G75" s="11">
        <f t="shared" si="33"/>
        <v>227</v>
      </c>
      <c r="H75" s="99">
        <f t="shared" si="28"/>
        <v>0.73685026678962007</v>
      </c>
      <c r="I75" s="100">
        <f t="shared" si="29"/>
        <v>4519.0861782716802</v>
      </c>
      <c r="J75" s="67">
        <f t="shared" si="30"/>
        <v>4.5180826770793638E-2</v>
      </c>
      <c r="K75" s="67">
        <f t="shared" si="31"/>
        <v>-2.1307606343790235</v>
      </c>
      <c r="L75" s="67">
        <f t="shared" si="32"/>
        <v>-8.4399093002147652</v>
      </c>
    </row>
    <row r="76" spans="2:12" x14ac:dyDescent="0.25">
      <c r="B76" s="27">
        <f t="shared" si="26"/>
        <v>-3.5988990020996425E-5</v>
      </c>
      <c r="C76" s="28">
        <v>-6.330741709259477E-2</v>
      </c>
      <c r="D76" s="32">
        <v>-1.9280993891391258E-3</v>
      </c>
      <c r="E76" s="31">
        <f t="shared" si="27"/>
        <v>0</v>
      </c>
      <c r="G76" s="11">
        <f t="shared" si="33"/>
        <v>240</v>
      </c>
      <c r="H76" s="99">
        <f t="shared" si="28"/>
        <v>0.77904874021810044</v>
      </c>
      <c r="I76" s="100">
        <f t="shared" si="29"/>
        <v>4618.4804587880999</v>
      </c>
      <c r="J76" s="67">
        <f t="shared" si="30"/>
        <v>-0.11047195747942407</v>
      </c>
      <c r="K76" s="67">
        <f t="shared" si="31"/>
        <v>-3.627247811280049</v>
      </c>
      <c r="L76" s="67">
        <f t="shared" si="32"/>
        <v>-15.183633123569198</v>
      </c>
    </row>
  </sheetData>
  <mergeCells count="4">
    <mergeCell ref="G60:L60"/>
    <mergeCell ref="G1:L1"/>
    <mergeCell ref="F23:Q23"/>
    <mergeCell ref="F42:Q4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EAB3-C800-4D73-A46B-D252F3B167FF}">
  <dimension ref="A1:Y73"/>
  <sheetViews>
    <sheetView workbookViewId="0"/>
  </sheetViews>
  <sheetFormatPr defaultRowHeight="15" x14ac:dyDescent="0.25"/>
  <cols>
    <col min="1" max="1" width="34.77734375" style="23" customWidth="1"/>
    <col min="2" max="2" width="9.5546875" style="23" customWidth="1"/>
    <col min="3" max="6" width="8.88671875" style="23"/>
    <col min="7" max="7" width="9.109375" style="23" customWidth="1"/>
    <col min="8" max="8" width="9" style="23" bestFit="1" customWidth="1"/>
    <col min="9" max="10" width="9.109375" style="23" customWidth="1"/>
    <col min="11" max="16" width="8.44140625" style="23" customWidth="1"/>
    <col min="17" max="16384" width="8.88671875" style="23"/>
  </cols>
  <sheetData>
    <row r="1" spans="1:12" ht="18.600000000000001" thickBot="1" x14ac:dyDescent="0.3">
      <c r="A1" s="21" t="s">
        <v>10</v>
      </c>
      <c r="B1" s="22" t="s">
        <v>6</v>
      </c>
      <c r="C1" s="22">
        <v>10000</v>
      </c>
      <c r="D1" s="22" t="s">
        <v>3</v>
      </c>
      <c r="G1" s="143" t="s">
        <v>160</v>
      </c>
      <c r="H1" s="144"/>
      <c r="I1" s="144"/>
      <c r="J1" s="144"/>
      <c r="K1" s="144"/>
      <c r="L1" s="145"/>
    </row>
    <row r="2" spans="1:12" ht="18.600000000000001" thickBot="1" x14ac:dyDescent="0.35">
      <c r="A2" s="24" t="s">
        <v>17</v>
      </c>
      <c r="B2" s="25" t="s">
        <v>69</v>
      </c>
      <c r="C2" s="25">
        <f>Podsumowanie!B17</f>
        <v>6.2309999999999999</v>
      </c>
      <c r="D2" s="25" t="s">
        <v>26</v>
      </c>
      <c r="G2" s="98" t="s">
        <v>63</v>
      </c>
      <c r="H2" s="98" t="s">
        <v>53</v>
      </c>
      <c r="I2" s="98" t="s">
        <v>65</v>
      </c>
      <c r="J2" s="98" t="s">
        <v>66</v>
      </c>
      <c r="K2" s="98" t="s">
        <v>84</v>
      </c>
      <c r="L2" s="98" t="s">
        <v>64</v>
      </c>
    </row>
    <row r="3" spans="1:12" ht="18" x14ac:dyDescent="0.3">
      <c r="A3" s="24" t="s">
        <v>62</v>
      </c>
      <c r="B3" s="25" t="s">
        <v>70</v>
      </c>
      <c r="C3" s="25">
        <f>Podsumowanie!B10</f>
        <v>9800</v>
      </c>
      <c r="D3" s="25" t="s">
        <v>28</v>
      </c>
      <c r="G3" s="81">
        <f>SQRT(2*C$11/C$4/C$16/C$15)</f>
        <v>79.167950910162872</v>
      </c>
      <c r="H3" s="99">
        <f t="shared" ref="H3:H17" si="0">G3/C$19</f>
        <v>0.26436156950332873</v>
      </c>
      <c r="I3" s="100">
        <f t="shared" ref="I3:I17" si="1">C$17*(1-0.605*H3+0.725*H3^2)</f>
        <v>3459.5668669990941</v>
      </c>
      <c r="J3" s="67">
        <f t="shared" ref="J3:J17" ca="1" si="2">OFFSET(D24,A24-2,0,1,1)</f>
        <v>11.248656725808608</v>
      </c>
      <c r="K3" s="67">
        <f t="shared" ref="K3:K17" ca="1" si="3">OFFSET(D23,A24-2,0,1,1)</f>
        <v>0.51237311468088198</v>
      </c>
      <c r="L3" s="67">
        <f ca="1">G3*SIN(RADIANS(K3))</f>
        <v>0.70795771159757304</v>
      </c>
    </row>
    <row r="4" spans="1:12" ht="18" x14ac:dyDescent="0.3">
      <c r="A4" s="24" t="s">
        <v>16</v>
      </c>
      <c r="B4" s="25" t="s">
        <v>5</v>
      </c>
      <c r="C4" s="25">
        <f>Podsumowanie!B3</f>
        <v>17.5</v>
      </c>
      <c r="D4" s="25" t="s">
        <v>71</v>
      </c>
      <c r="G4" s="47">
        <v>80</v>
      </c>
      <c r="H4" s="19">
        <f t="shared" si="0"/>
        <v>0.26713998931544136</v>
      </c>
      <c r="I4" s="48">
        <f t="shared" si="1"/>
        <v>3457.1964349018745</v>
      </c>
      <c r="J4" s="67">
        <f t="shared" ca="1" si="2"/>
        <v>10.992554731967131</v>
      </c>
      <c r="K4" s="67">
        <f t="shared" ca="1" si="3"/>
        <v>0.59317945623632018</v>
      </c>
      <c r="L4" s="14">
        <f t="shared" ref="L4:L17" ca="1" si="4">G4*SIN(RADIANS(K4))</f>
        <v>0.82821996991747349</v>
      </c>
    </row>
    <row r="5" spans="1:12" ht="18" x14ac:dyDescent="0.3">
      <c r="A5" s="24" t="s">
        <v>30</v>
      </c>
      <c r="B5" s="25" t="s">
        <v>72</v>
      </c>
      <c r="C5" s="25">
        <f>Podsumowanie!B31</f>
        <v>-2.4783675378319478E-2</v>
      </c>
      <c r="D5" s="25" t="s">
        <v>29</v>
      </c>
      <c r="G5" s="47">
        <v>85</v>
      </c>
      <c r="H5" s="19">
        <f t="shared" si="0"/>
        <v>0.28383623864765645</v>
      </c>
      <c r="I5" s="48">
        <f t="shared" si="1"/>
        <v>3443.8674842518453</v>
      </c>
      <c r="J5" s="67">
        <f t="shared" ca="1" si="2"/>
        <v>9.6038954844269426</v>
      </c>
      <c r="K5" s="67">
        <f t="shared" ca="1" si="3"/>
        <v>1.017904724115779</v>
      </c>
      <c r="L5" s="14">
        <f t="shared" ca="1" si="4"/>
        <v>1.5100126216895111</v>
      </c>
    </row>
    <row r="6" spans="1:12" ht="15.6" x14ac:dyDescent="0.3">
      <c r="A6" s="24" t="s">
        <v>12</v>
      </c>
      <c r="B6" s="25" t="s">
        <v>3</v>
      </c>
      <c r="C6" s="25">
        <f>Podsumowanie!B7</f>
        <v>3240</v>
      </c>
      <c r="D6" s="25" t="s">
        <v>0</v>
      </c>
      <c r="G6" s="47">
        <v>90</v>
      </c>
      <c r="H6" s="19">
        <f t="shared" si="0"/>
        <v>0.30053248797987153</v>
      </c>
      <c r="I6" s="48">
        <f t="shared" si="1"/>
        <v>3432.1084691011738</v>
      </c>
      <c r="J6" s="67">
        <f t="shared" ca="1" si="2"/>
        <v>8.4342059803261797</v>
      </c>
      <c r="K6" s="67">
        <f t="shared" ca="1" si="3"/>
        <v>1.3533210507636402</v>
      </c>
      <c r="L6" s="14">
        <f t="shared" ca="1" si="4"/>
        <v>2.1255940778039464</v>
      </c>
    </row>
    <row r="7" spans="1:12" ht="18" x14ac:dyDescent="0.3">
      <c r="A7" s="24" t="s">
        <v>15</v>
      </c>
      <c r="B7" s="25" t="s">
        <v>73</v>
      </c>
      <c r="C7" s="25">
        <f>Podsumowanie!B14</f>
        <v>5.1340000000000003</v>
      </c>
      <c r="D7" s="25" t="s">
        <v>8</v>
      </c>
      <c r="G7" s="47">
        <v>104</v>
      </c>
      <c r="H7" s="19">
        <f t="shared" si="0"/>
        <v>0.34728198611007377</v>
      </c>
      <c r="I7" s="48">
        <f t="shared" si="1"/>
        <v>3407.5352835358831</v>
      </c>
      <c r="J7" s="67">
        <f t="shared" ca="1" si="2"/>
        <v>5.9922453001563456</v>
      </c>
      <c r="K7" s="67">
        <f t="shared" ca="1" si="3"/>
        <v>1.9458510370959026</v>
      </c>
      <c r="L7" s="14">
        <f t="shared" ca="1" si="4"/>
        <v>3.5313178455417291</v>
      </c>
    </row>
    <row r="8" spans="1:12" ht="18" x14ac:dyDescent="0.3">
      <c r="A8" s="24" t="s">
        <v>18</v>
      </c>
      <c r="B8" s="25" t="s">
        <v>74</v>
      </c>
      <c r="C8" s="25">
        <f>Podsumowanie!B15</f>
        <v>1.533E-2</v>
      </c>
      <c r="D8" s="25" t="s">
        <v>8</v>
      </c>
      <c r="G8" s="47">
        <v>117</v>
      </c>
      <c r="H8" s="19">
        <f t="shared" si="0"/>
        <v>0.39069223437383299</v>
      </c>
      <c r="I8" s="48">
        <f t="shared" si="1"/>
        <v>3395.7382727164686</v>
      </c>
      <c r="J8" s="67">
        <f t="shared" ca="1" si="2"/>
        <v>4.4528410845388429</v>
      </c>
      <c r="K8" s="67">
        <f t="shared" ca="1" si="3"/>
        <v>2.18033731517209</v>
      </c>
      <c r="L8" s="14">
        <f t="shared" ca="1" si="4"/>
        <v>4.4512510998188954</v>
      </c>
    </row>
    <row r="9" spans="1:12" ht="18" x14ac:dyDescent="0.3">
      <c r="A9" s="24" t="s">
        <v>14</v>
      </c>
      <c r="B9" s="25" t="s">
        <v>75</v>
      </c>
      <c r="C9" s="25">
        <f>Podsumowanie!B12</f>
        <v>243.33333333333334</v>
      </c>
      <c r="D9" s="25" t="s">
        <v>27</v>
      </c>
      <c r="G9" s="47">
        <v>130</v>
      </c>
      <c r="H9" s="19">
        <f t="shared" si="0"/>
        <v>0.43410248263759227</v>
      </c>
      <c r="I9" s="48">
        <f t="shared" si="1"/>
        <v>3394.5540258727178</v>
      </c>
      <c r="J9" s="67">
        <f t="shared" ca="1" si="2"/>
        <v>3.3467834851834182</v>
      </c>
      <c r="K9" s="67">
        <f t="shared" ca="1" si="3"/>
        <v>2.2096644600033546</v>
      </c>
      <c r="L9" s="14">
        <f t="shared" ca="1" si="4"/>
        <v>5.0123269117111304</v>
      </c>
    </row>
    <row r="10" spans="1:12" ht="18" x14ac:dyDescent="0.3">
      <c r="A10" s="24" t="s">
        <v>25</v>
      </c>
      <c r="B10" s="25" t="s">
        <v>24</v>
      </c>
      <c r="C10" s="25">
        <f>Podsumowanie!B2</f>
        <v>1.2255</v>
      </c>
      <c r="D10" s="25" t="s">
        <v>76</v>
      </c>
      <c r="G10" s="47">
        <v>144</v>
      </c>
      <c r="H10" s="19">
        <f t="shared" si="0"/>
        <v>0.48085198076779451</v>
      </c>
      <c r="I10" s="48">
        <f t="shared" si="1"/>
        <v>3405.147395493062</v>
      </c>
      <c r="J10" s="67">
        <f t="shared" ca="1" si="2"/>
        <v>2.4716563078316751</v>
      </c>
      <c r="K10" s="67">
        <f t="shared" ca="1" si="3"/>
        <v>2.0689021778925527</v>
      </c>
      <c r="L10" s="14">
        <f t="shared" ca="1" si="4"/>
        <v>5.1985884197374412</v>
      </c>
    </row>
    <row r="11" spans="1:12" ht="15.6" x14ac:dyDescent="0.3">
      <c r="A11" s="24" t="s">
        <v>19</v>
      </c>
      <c r="B11" s="25" t="s">
        <v>13</v>
      </c>
      <c r="C11" s="25">
        <f>Podsumowanie!B8</f>
        <v>31784.400000000001</v>
      </c>
      <c r="D11" s="25" t="s">
        <v>28</v>
      </c>
      <c r="G11" s="47">
        <v>158</v>
      </c>
      <c r="H11" s="19">
        <f t="shared" si="0"/>
        <v>0.52760147889799669</v>
      </c>
      <c r="I11" s="48">
        <f t="shared" si="1"/>
        <v>3428.0490594283774</v>
      </c>
      <c r="J11" s="67">
        <f t="shared" ca="1" si="2"/>
        <v>1.8170375886216759</v>
      </c>
      <c r="K11" s="67">
        <f t="shared" ca="1" si="3"/>
        <v>1.7788592789560089</v>
      </c>
      <c r="L11" s="14">
        <f t="shared" ca="1" si="4"/>
        <v>4.9046302846411214</v>
      </c>
    </row>
    <row r="12" spans="1:12" ht="18" x14ac:dyDescent="0.3">
      <c r="A12" s="24" t="s">
        <v>59</v>
      </c>
      <c r="B12" s="25" t="s">
        <v>77</v>
      </c>
      <c r="C12" s="25">
        <f>Podsumowanie!B13</f>
        <v>340.3</v>
      </c>
      <c r="D12" s="25" t="s">
        <v>55</v>
      </c>
      <c r="G12" s="47">
        <v>171</v>
      </c>
      <c r="H12" s="19">
        <f t="shared" si="0"/>
        <v>0.57101172716175597</v>
      </c>
      <c r="I12" s="48">
        <f t="shared" si="1"/>
        <v>3460.3358374309541</v>
      </c>
      <c r="J12" s="67">
        <f t="shared" ca="1" si="2"/>
        <v>1.3465268407374003</v>
      </c>
      <c r="K12" s="67">
        <f t="shared" ca="1" si="3"/>
        <v>1.3843122958556413</v>
      </c>
      <c r="L12" s="14">
        <f t="shared" ca="1" si="4"/>
        <v>4.1310961270932562</v>
      </c>
    </row>
    <row r="13" spans="1:12" ht="18" x14ac:dyDescent="0.3">
      <c r="A13" s="24" t="s">
        <v>60</v>
      </c>
      <c r="B13" s="25" t="s">
        <v>78</v>
      </c>
      <c r="C13" s="25">
        <f>Podsumowanie!B18</f>
        <v>288.14999999999998</v>
      </c>
      <c r="D13" s="25" t="s">
        <v>56</v>
      </c>
      <c r="G13" s="47">
        <v>185</v>
      </c>
      <c r="H13" s="19">
        <f t="shared" si="0"/>
        <v>0.6177612252919582</v>
      </c>
      <c r="I13" s="48">
        <f t="shared" si="1"/>
        <v>3506.9749261165739</v>
      </c>
      <c r="J13" s="67">
        <f t="shared" ca="1" si="2"/>
        <v>0.94590609462512709</v>
      </c>
      <c r="K13" s="67">
        <f t="shared" ca="1" si="3"/>
        <v>0.8183247092202407</v>
      </c>
      <c r="L13" s="14">
        <f t="shared" ca="1" si="4"/>
        <v>2.6421653665940545</v>
      </c>
    </row>
    <row r="14" spans="1:12" ht="15.6" x14ac:dyDescent="0.3">
      <c r="A14" s="24" t="s">
        <v>11</v>
      </c>
      <c r="B14" s="25" t="s">
        <v>22</v>
      </c>
      <c r="C14" s="25">
        <f>Podsumowanie!B30</f>
        <v>1.7453292519943295E-2</v>
      </c>
      <c r="D14" s="25" t="s">
        <v>29</v>
      </c>
      <c r="G14" s="47">
        <v>200</v>
      </c>
      <c r="H14" s="19">
        <f t="shared" si="0"/>
        <v>0.6678499732886034</v>
      </c>
      <c r="I14" s="48">
        <f t="shared" si="1"/>
        <v>3570.6038171241566</v>
      </c>
      <c r="J14" s="67">
        <f t="shared" ca="1" si="2"/>
        <v>0.60588805520124867</v>
      </c>
      <c r="K14" s="67">
        <f t="shared" ca="1" si="3"/>
        <v>2.3528250024683207E-2</v>
      </c>
      <c r="L14" s="14">
        <f t="shared" ca="1" si="4"/>
        <v>8.2129083724398394E-2</v>
      </c>
    </row>
    <row r="15" spans="1:12" ht="18" x14ac:dyDescent="0.25">
      <c r="A15" s="25" t="s">
        <v>94</v>
      </c>
      <c r="B15" s="25" t="s">
        <v>95</v>
      </c>
      <c r="C15" s="25">
        <f>Podsumowanie!B16</f>
        <v>1.405</v>
      </c>
      <c r="D15" s="25" t="s">
        <v>8</v>
      </c>
      <c r="G15" s="47">
        <v>213</v>
      </c>
      <c r="H15" s="19">
        <f t="shared" si="0"/>
        <v>0.71126022155236268</v>
      </c>
      <c r="I15" s="48">
        <f t="shared" si="1"/>
        <v>3637.1779864327273</v>
      </c>
      <c r="J15" s="67">
        <f t="shared" ca="1" si="2"/>
        <v>0.36681769709859074</v>
      </c>
      <c r="K15" s="67">
        <f t="shared" ca="1" si="3"/>
        <v>-0.86486808512013946</v>
      </c>
      <c r="L15" s="14">
        <f t="shared" ca="1" si="4"/>
        <v>-3.2150693829667345</v>
      </c>
    </row>
    <row r="16" spans="1:12" ht="18.600000000000001" x14ac:dyDescent="0.25">
      <c r="A16" s="23" t="s">
        <v>21</v>
      </c>
      <c r="B16" s="20" t="s">
        <v>79</v>
      </c>
      <c r="C16" s="20">
        <f>C10*(1-C1/44300)^4.256</f>
        <v>0.41250653364731776</v>
      </c>
      <c r="D16" s="20" t="s">
        <v>80</v>
      </c>
      <c r="G16" s="47">
        <v>227</v>
      </c>
      <c r="H16" s="19">
        <f t="shared" si="0"/>
        <v>0.75800971968256492</v>
      </c>
      <c r="I16" s="48">
        <f t="shared" si="1"/>
        <v>3720.7419580632622</v>
      </c>
      <c r="J16" s="67">
        <f t="shared" ca="1" si="2"/>
        <v>0.15306238295315322</v>
      </c>
      <c r="K16" s="67">
        <f t="shared" ca="1" si="3"/>
        <v>-2.1068646537390743</v>
      </c>
      <c r="L16" s="14">
        <f t="shared" ca="1" si="4"/>
        <v>-8.3453006047255798</v>
      </c>
    </row>
    <row r="17" spans="1:25" ht="18.600000000000001" x14ac:dyDescent="0.25">
      <c r="A17" s="23" t="s">
        <v>20</v>
      </c>
      <c r="B17" s="20" t="s">
        <v>81</v>
      </c>
      <c r="C17" s="20">
        <f>C3*(C16/C10)^0.85</f>
        <v>3883.9708732151303</v>
      </c>
      <c r="D17" s="20" t="s">
        <v>28</v>
      </c>
      <c r="G17" s="47">
        <v>240</v>
      </c>
      <c r="H17" s="19">
        <f t="shared" si="0"/>
        <v>0.8014199679463242</v>
      </c>
      <c r="I17" s="48">
        <f t="shared" si="1"/>
        <v>3809.3580217828285</v>
      </c>
      <c r="J17" s="67">
        <f t="shared" ca="1" si="2"/>
        <v>-1.4090423490393186E-2</v>
      </c>
      <c r="K17" s="67">
        <f t="shared" ca="1" si="3"/>
        <v>-3.6507081837729705</v>
      </c>
      <c r="L17" s="14">
        <f t="shared" ca="1" si="4"/>
        <v>-15.281705566419749</v>
      </c>
    </row>
    <row r="18" spans="1:25" ht="18.600000000000001" x14ac:dyDescent="0.25">
      <c r="A18" s="23" t="s">
        <v>61</v>
      </c>
      <c r="B18" s="20" t="s">
        <v>82</v>
      </c>
      <c r="C18" s="20">
        <f>C13-6.5*C1/1000</f>
        <v>223.14999999999998</v>
      </c>
      <c r="D18" s="20" t="s">
        <v>56</v>
      </c>
    </row>
    <row r="19" spans="1:25" ht="18.600000000000001" x14ac:dyDescent="0.3">
      <c r="A19" s="23" t="s">
        <v>54</v>
      </c>
      <c r="B19" s="20" t="s">
        <v>83</v>
      </c>
      <c r="C19" s="20">
        <f>C12*SQRT(C18/C13)</f>
        <v>299.46845549033566</v>
      </c>
      <c r="D19" s="20" t="s">
        <v>55</v>
      </c>
      <c r="Y19" s="41"/>
    </row>
    <row r="20" spans="1:25" ht="18.600000000000001" x14ac:dyDescent="0.3">
      <c r="A20" s="21" t="s">
        <v>155</v>
      </c>
      <c r="B20" s="22" t="s">
        <v>157</v>
      </c>
      <c r="C20" s="22">
        <f>Podsumowanie!B9</f>
        <v>37670.400000000001</v>
      </c>
      <c r="D20" s="22" t="s">
        <v>28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03"/>
    </row>
    <row r="21" spans="1:25" ht="15.6" x14ac:dyDescent="0.25">
      <c r="F21" s="104"/>
      <c r="G21" s="104"/>
      <c r="H21" s="104"/>
      <c r="I21" s="104"/>
      <c r="J21" s="104"/>
      <c r="K21" s="104"/>
      <c r="L21" s="104"/>
      <c r="M21" s="104"/>
      <c r="N21" s="104"/>
      <c r="O21" s="104"/>
    </row>
    <row r="22" spans="1:25" ht="15.6" thickBot="1" x14ac:dyDescent="0.3"/>
    <row r="23" spans="1:25" ht="18.600000000000001" thickBot="1" x14ac:dyDescent="0.3">
      <c r="A23" s="26">
        <v>1</v>
      </c>
      <c r="B23" s="27">
        <f>-I3*COS(C23+C24-C$14)+0.5*C$16*C$4*C$2*(C24-C$5)*G3^2*SIN(C23)+0.5*C$16*C$4*((C$8+1/PI()/C$7*C$2^2*(C24-C$5)^2)/SQRT(1-H3^2))*G3^2*COS(C23)</f>
        <v>5.0766979529726086E-3</v>
      </c>
      <c r="C23" s="28">
        <v>8.9425978498798853E-3</v>
      </c>
      <c r="D23" s="29">
        <f t="shared" ref="D23:D52" si="5">DEGREES(C23)</f>
        <v>0.51237311468088198</v>
      </c>
      <c r="F23" s="143" t="s">
        <v>169</v>
      </c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</row>
    <row r="24" spans="1:25" ht="18.600000000000001" thickBot="1" x14ac:dyDescent="0.3">
      <c r="A24" s="30">
        <v>2</v>
      </c>
      <c r="B24" s="31">
        <f>I3*SIN(C23+C24-C$14)+0.5*C$16*C$4*C$2*(C24-C$5)*G3^2*COS(C23)-0.5*C$16*C$4*(C$8+1/PI()/C$7*C$2^2*(C24-C$5)^2)/SQRT(1-H3^2)*G3^2*SIN(C23)-C$11</f>
        <v>2.1005689632147551E-8</v>
      </c>
      <c r="C24" s="32">
        <v>0.19632609629196524</v>
      </c>
      <c r="D24" s="33">
        <f t="shared" si="5"/>
        <v>11.248656725808608</v>
      </c>
      <c r="F24" s="98" t="s">
        <v>1</v>
      </c>
      <c r="G24" s="98" t="s">
        <v>7</v>
      </c>
      <c r="H24" s="98" t="s">
        <v>109</v>
      </c>
      <c r="I24" s="98" t="s">
        <v>2</v>
      </c>
      <c r="J24" s="98" t="s">
        <v>63</v>
      </c>
      <c r="K24" s="98" t="s">
        <v>53</v>
      </c>
      <c r="L24" s="98" t="s">
        <v>67</v>
      </c>
      <c r="M24" s="98" t="s">
        <v>65</v>
      </c>
      <c r="N24" s="98" t="s">
        <v>68</v>
      </c>
      <c r="O24" s="98" t="s">
        <v>64</v>
      </c>
      <c r="P24" s="98" t="s">
        <v>84</v>
      </c>
      <c r="Q24" s="98" t="s">
        <v>66</v>
      </c>
    </row>
    <row r="25" spans="1:25" x14ac:dyDescent="0.25">
      <c r="A25" s="34">
        <v>3</v>
      </c>
      <c r="B25" s="27">
        <f>-I4*COS(C25+C26-C$14)+0.5*C$16*C$4*C$2*(C26-C$5)*G4^2*SIN(C25)+0.5*C$16*C$4*(C$8+1/PI()/C$7*C$2^2*(C26-C$5)^2)/SQRT(1-H4^2)*G4^2*COS(C25)</f>
        <v>1.4227518522602622E-3</v>
      </c>
      <c r="C25" s="35">
        <v>1.0352934566513398E-2</v>
      </c>
      <c r="D25" s="36">
        <f t="shared" si="5"/>
        <v>0.59317945623632018</v>
      </c>
      <c r="F25" s="42">
        <v>1.405</v>
      </c>
      <c r="G25" s="101">
        <v>0.1406</v>
      </c>
      <c r="H25" s="101">
        <f>G25/SQRT(1-K25^2)</f>
        <v>0.1457865547133754</v>
      </c>
      <c r="I25" s="43">
        <f>F25^3/H25^2</f>
        <v>130.49504678026341</v>
      </c>
      <c r="J25" s="44">
        <f t="shared" ref="J25:J38" si="6">SQRT((2*C$11)/(C$4*C$16*F25))</f>
        <v>79.167950910162872</v>
      </c>
      <c r="K25" s="42">
        <f t="shared" ref="K25:K38" si="7">J25/C$19</f>
        <v>0.26436156950332873</v>
      </c>
      <c r="L25" s="46">
        <f t="shared" ref="L25:L38" si="8">C$11*SQRT((2*C$11)/(C$16*C$4*I25))/J25</f>
        <v>3298.0342844354518</v>
      </c>
      <c r="M25" s="46">
        <f t="shared" ref="M25:M38" si="9">C$17*(1-0.605*K25+0.725*K25^2)</f>
        <v>3459.5668669990941</v>
      </c>
      <c r="N25" s="46">
        <f>(M25-L25)</f>
        <v>161.53258256364234</v>
      </c>
      <c r="O25" s="43">
        <f t="shared" ref="O25:O38" si="10">N25/C$11*J25</f>
        <v>0.4023421416415055</v>
      </c>
      <c r="P25" s="43">
        <f>DEGREES(ASIN(O25/J25))</f>
        <v>0.29118608737664925</v>
      </c>
      <c r="Q25" s="43">
        <v>12.989000000000001</v>
      </c>
    </row>
    <row r="26" spans="1:25" x14ac:dyDescent="0.25">
      <c r="A26" s="37">
        <v>4</v>
      </c>
      <c r="B26" s="31">
        <f>I4*SIN(C25+C26-C$14)+0.5*C$16*C$4*C$2*(C26-C$5)*G4^2*COS(C25)-0.5*C$16*C$4*(C$8+1/PI()/C$7*C$2^2*(C26-C$5)^2)/SQRT(1-H4^2)*G4^2*SIN(C25)-C$11</f>
        <v>7.5306161306798458E-10</v>
      </c>
      <c r="C26" s="38">
        <v>0.19185627327850921</v>
      </c>
      <c r="D26" s="39">
        <f t="shared" si="5"/>
        <v>10.992554731967131</v>
      </c>
      <c r="F26" s="13">
        <v>1.3560000000000001</v>
      </c>
      <c r="G26" s="18">
        <v>0.13239999999999999</v>
      </c>
      <c r="H26" s="18">
        <f t="shared" ref="H26:H38" si="11">G26/SQRT(1-K26^2)</f>
        <v>0.13747082248425999</v>
      </c>
      <c r="I26" s="14">
        <f t="shared" ref="I26:I38" si="12">F26^3/H26^2</f>
        <v>131.93438788984844</v>
      </c>
      <c r="J26" s="47">
        <f t="shared" si="6"/>
        <v>80.585651561143351</v>
      </c>
      <c r="K26" s="13">
        <f t="shared" si="7"/>
        <v>0.26909562621277144</v>
      </c>
      <c r="L26" s="48">
        <f t="shared" si="8"/>
        <v>3222.2917479120301</v>
      </c>
      <c r="M26" s="48">
        <f t="shared" si="9"/>
        <v>3455.5540366058722</v>
      </c>
      <c r="N26" s="48">
        <f t="shared" ref="N26:N38" si="13">(M26-L26)</f>
        <v>233.26228869384204</v>
      </c>
      <c r="O26" s="14">
        <f t="shared" si="10"/>
        <v>0.59140941842654826</v>
      </c>
      <c r="P26" s="14">
        <f t="shared" ref="P26:P38" si="14">DEGREES(ASIN(O26/J26))</f>
        <v>0.42049133020635715</v>
      </c>
      <c r="Q26" s="14">
        <v>11.238</v>
      </c>
    </row>
    <row r="27" spans="1:25" x14ac:dyDescent="0.25">
      <c r="A27" s="26">
        <v>5</v>
      </c>
      <c r="B27" s="27">
        <f>-I5*COS(C27+C28-C$14)+0.5*C$16*C$4*C$2*(C28-C$5)*G5^2*SIN(C27)+0.5*C$16*C$4*(C$8+1/PI()/C$7*C$2^2*(C28-C$5)^2)/SQRT(1-H5^2)*G5^2*COS(C27)</f>
        <v>5.7748784365685424E-4</v>
      </c>
      <c r="C27" s="28">
        <v>1.7765788907424869E-2</v>
      </c>
      <c r="D27" s="29">
        <f t="shared" si="5"/>
        <v>1.017904724115779</v>
      </c>
      <c r="F27" s="13">
        <v>1.302</v>
      </c>
      <c r="G27" s="18">
        <v>0.1231</v>
      </c>
      <c r="H27" s="18">
        <f t="shared" si="11"/>
        <v>0.12802205803692707</v>
      </c>
      <c r="I27" s="14">
        <f t="shared" si="12"/>
        <v>134.66766927151832</v>
      </c>
      <c r="J27" s="47">
        <f t="shared" si="6"/>
        <v>82.239805460764302</v>
      </c>
      <c r="K27" s="13">
        <f t="shared" si="7"/>
        <v>0.27461925940115689</v>
      </c>
      <c r="L27" s="48">
        <f t="shared" si="8"/>
        <v>3125.2721209438587</v>
      </c>
      <c r="M27" s="48">
        <f t="shared" si="9"/>
        <v>3451.0314674043057</v>
      </c>
      <c r="N27" s="48">
        <f t="shared" si="13"/>
        <v>325.75934646044698</v>
      </c>
      <c r="O27" s="14">
        <f t="shared" si="10"/>
        <v>0.8428784334432261</v>
      </c>
      <c r="P27" s="14">
        <f t="shared" si="14"/>
        <v>0.58723658362022224</v>
      </c>
      <c r="Q27" s="14">
        <v>10.574999999999999</v>
      </c>
    </row>
    <row r="28" spans="1:25" x14ac:dyDescent="0.25">
      <c r="A28" s="30">
        <v>6</v>
      </c>
      <c r="B28" s="31">
        <f>I5*SIN(C27+C28-C$14)+0.5*C$16*C$4*C$2*(C28-C$5)*G5^2*COS(C27)-0.5*C$16*C$4*(C$8+1/PI()/C$7*C$2^2*(C28-C$5)^2)/SQRT(1-H5^2)*G5^2*SIN(C27)-C$11</f>
        <v>-4.5838532969355583E-10</v>
      </c>
      <c r="C28" s="32">
        <v>0.16761959722066594</v>
      </c>
      <c r="D28" s="33">
        <f t="shared" si="5"/>
        <v>9.6038954844269426</v>
      </c>
      <c r="F28" s="13">
        <v>1.1930000000000001</v>
      </c>
      <c r="G28" s="18">
        <v>0.1061</v>
      </c>
      <c r="H28" s="18">
        <f t="shared" si="11"/>
        <v>0.11075580139898732</v>
      </c>
      <c r="I28" s="14">
        <f t="shared" si="12"/>
        <v>138.41665929037248</v>
      </c>
      <c r="J28" s="47">
        <f t="shared" si="6"/>
        <v>85.914673621079956</v>
      </c>
      <c r="K28" s="13">
        <f t="shared" si="7"/>
        <v>0.28689056241468663</v>
      </c>
      <c r="L28" s="48">
        <f t="shared" si="8"/>
        <v>2950.8019228717285</v>
      </c>
      <c r="M28" s="48">
        <f t="shared" si="9"/>
        <v>3441.5990232340987</v>
      </c>
      <c r="N28" s="48">
        <f t="shared" si="13"/>
        <v>490.7971003623702</v>
      </c>
      <c r="O28" s="14">
        <f t="shared" si="10"/>
        <v>1.3266468044639967</v>
      </c>
      <c r="P28" s="14">
        <f t="shared" si="14"/>
        <v>0.88476485548018124</v>
      </c>
      <c r="Q28" s="14">
        <v>9.5760000000000005</v>
      </c>
    </row>
    <row r="29" spans="1:25" x14ac:dyDescent="0.25">
      <c r="A29" s="34">
        <v>7</v>
      </c>
      <c r="B29" s="27">
        <f>-I6*COS(C29+C30-C$14)+0.5*C$16*C$4*C$2*(C30-C$5)*G6^2*SIN(C29)+0.5*C$16*C$4*(C$8+1/PI()/C$7*C$2^2*(C30-C$5)^2)/SQRT(1-H6^2)*G6^2*COS(C29)</f>
        <v>-3.2948164061963325E-5</v>
      </c>
      <c r="C29" s="35">
        <v>2.3619908172374842E-2</v>
      </c>
      <c r="D29" s="36">
        <f t="shared" si="5"/>
        <v>1.3533210507636402</v>
      </c>
      <c r="F29" s="13">
        <v>1.095</v>
      </c>
      <c r="G29" s="18">
        <v>9.1899999999999996E-2</v>
      </c>
      <c r="H29" s="18">
        <f t="shared" si="11"/>
        <v>9.632004104664052E-2</v>
      </c>
      <c r="I29" s="14">
        <f t="shared" si="12"/>
        <v>141.51713884831477</v>
      </c>
      <c r="J29" s="47">
        <f t="shared" si="6"/>
        <v>89.676883467247436</v>
      </c>
      <c r="K29" s="13">
        <f t="shared" si="7"/>
        <v>0.29945352114103202</v>
      </c>
      <c r="L29" s="48">
        <f t="shared" si="8"/>
        <v>2795.8673174820465</v>
      </c>
      <c r="M29" s="48">
        <f t="shared" si="9"/>
        <v>3432.8209264906091</v>
      </c>
      <c r="N29" s="48">
        <f t="shared" si="13"/>
        <v>636.95360900856258</v>
      </c>
      <c r="O29" s="14">
        <f t="shared" si="10"/>
        <v>1.797108473625538</v>
      </c>
      <c r="P29" s="14">
        <f t="shared" si="14"/>
        <v>1.1482738911025714</v>
      </c>
      <c r="Q29" s="14">
        <v>8.6869999999999994</v>
      </c>
    </row>
    <row r="30" spans="1:25" x14ac:dyDescent="0.25">
      <c r="A30" s="37">
        <v>8</v>
      </c>
      <c r="B30" s="31">
        <f>I6*SIN(C29+C30-C$14)+0.5*C$16*C$4*C$2*(C30-C$5)*G6^2*COS(C29)-0.5*C$16*C$4*(C$8+1/PI()/C$7*C$2^2*(C30-C$5)^2)/SQRT(1-H6^2)*G6^2*SIN(C29)-C$11</f>
        <v>-7.2759576141834259E-11</v>
      </c>
      <c r="C30" s="38">
        <v>0.14720466414808792</v>
      </c>
      <c r="D30" s="39">
        <f t="shared" si="5"/>
        <v>8.4342059803261797</v>
      </c>
      <c r="F30" s="13">
        <v>0.997</v>
      </c>
      <c r="G30" s="18">
        <v>7.9399999999999998E-2</v>
      </c>
      <c r="H30" s="18">
        <f t="shared" si="11"/>
        <v>8.3624675496024981E-2</v>
      </c>
      <c r="I30" s="14">
        <f t="shared" si="12"/>
        <v>141.71524891047835</v>
      </c>
      <c r="J30" s="47">
        <f t="shared" si="6"/>
        <v>93.980983874858282</v>
      </c>
      <c r="K30" s="13">
        <f t="shared" si="7"/>
        <v>0.31382598785230387</v>
      </c>
      <c r="L30" s="48">
        <f t="shared" si="8"/>
        <v>2665.9580098654528</v>
      </c>
      <c r="M30" s="48">
        <f t="shared" si="9"/>
        <v>3423.8685820117084</v>
      </c>
      <c r="N30" s="48">
        <f t="shared" si="13"/>
        <v>757.91057214625562</v>
      </c>
      <c r="O30" s="14">
        <f t="shared" si="10"/>
        <v>2.2410107241118871</v>
      </c>
      <c r="P30" s="14">
        <f t="shared" si="14"/>
        <v>1.3663681977733868</v>
      </c>
      <c r="Q30" s="14">
        <v>8.0169999999999995</v>
      </c>
    </row>
    <row r="31" spans="1:25" x14ac:dyDescent="0.25">
      <c r="A31" s="26">
        <v>9</v>
      </c>
      <c r="B31" s="27">
        <f>-I7*COS(C31+C32-C$14)+0.5*C$16*C$4*C$2*(C32-C$5)*G7^2*SIN(C31)+0.5*C$16*C$4*(C$8+1/PI()/C$7*C$2^2*(C32-C$5)^2)/SQRT(1-H7^2)*G7^2*COS(C31)</f>
        <v>1.411903785992763E-4</v>
      </c>
      <c r="C31" s="28">
        <v>3.3961507350669821E-2</v>
      </c>
      <c r="D31" s="29">
        <f t="shared" si="5"/>
        <v>1.9458510370959026</v>
      </c>
      <c r="F31" s="13">
        <v>0.80100000000000005</v>
      </c>
      <c r="G31" s="18">
        <v>5.7599999999999998E-2</v>
      </c>
      <c r="H31" s="18">
        <f t="shared" si="11"/>
        <v>6.1492220246895088E-2</v>
      </c>
      <c r="I31" s="14">
        <f t="shared" si="12"/>
        <v>135.91181124866711</v>
      </c>
      <c r="J31" s="47">
        <f t="shared" si="6"/>
        <v>104.8506937632834</v>
      </c>
      <c r="K31" s="13">
        <f t="shared" si="7"/>
        <v>0.35012266514550178</v>
      </c>
      <c r="L31" s="48">
        <f t="shared" si="8"/>
        <v>2440.0665733026372</v>
      </c>
      <c r="M31" s="48">
        <f t="shared" si="9"/>
        <v>3406.438794643439</v>
      </c>
      <c r="N31" s="48">
        <f t="shared" si="13"/>
        <v>966.37222134080184</v>
      </c>
      <c r="O31" s="14">
        <f t="shared" si="10"/>
        <v>3.1878782623283226</v>
      </c>
      <c r="P31" s="14">
        <f t="shared" si="14"/>
        <v>1.7422881606911615</v>
      </c>
      <c r="Q31" s="14">
        <v>6.1310000000000002</v>
      </c>
    </row>
    <row r="32" spans="1:25" x14ac:dyDescent="0.25">
      <c r="A32" s="30">
        <v>10</v>
      </c>
      <c r="B32" s="31">
        <f>I7*SIN(C31+C32-C$14)+0.5*C$16*C$4*C$2*(C32-C$5)*G7^2*COS(C31)-0.5*C$16*C$4*(C$8+1/PI()/C$7*C$2^2*(C32-C$5)^2)/SQRT(1-H7^2)*G7^2*SIN(C31)-C$11</f>
        <v>-1.6261765267699957E-9</v>
      </c>
      <c r="C32" s="32">
        <v>0.10458441007488412</v>
      </c>
      <c r="D32" s="33">
        <f t="shared" si="5"/>
        <v>5.9922453001563456</v>
      </c>
      <c r="F32" s="13">
        <v>0.61099999999999999</v>
      </c>
      <c r="G32" s="18">
        <v>4.0599999999999997E-2</v>
      </c>
      <c r="H32" s="18">
        <f t="shared" si="11"/>
        <v>4.4316855998564532E-2</v>
      </c>
      <c r="I32" s="14">
        <f t="shared" si="12"/>
        <v>116.141049453251</v>
      </c>
      <c r="J32" s="47">
        <f t="shared" si="6"/>
        <v>120.05132599906754</v>
      </c>
      <c r="K32" s="13">
        <f t="shared" si="7"/>
        <v>0.40088137430869342</v>
      </c>
      <c r="L32" s="48">
        <f t="shared" si="8"/>
        <v>2305.3759047475855</v>
      </c>
      <c r="M32" s="48">
        <f t="shared" si="9"/>
        <v>3394.5071498193661</v>
      </c>
      <c r="N32" s="48">
        <f t="shared" si="13"/>
        <v>1089.1312450717805</v>
      </c>
      <c r="O32" s="14">
        <f t="shared" si="10"/>
        <v>4.1137051559218563</v>
      </c>
      <c r="P32" s="14">
        <f t="shared" si="14"/>
        <v>1.9636942039749685</v>
      </c>
      <c r="Q32" s="14">
        <v>4.5730000000000004</v>
      </c>
    </row>
    <row r="33" spans="1:17" x14ac:dyDescent="0.25">
      <c r="A33" s="34">
        <v>11</v>
      </c>
      <c r="B33" s="27">
        <f>-I8*COS(C33+C34-C$14)+0.5*C$16*C$4*C$2*(C34-C$5)*G8^2*SIN(C33)+0.5*C$16*C$4*(C$8+1/PI()/C$7*C$2^2*(C34-C$5)^2)/SQRT(1-H8^2)*G8^2*COS(C33)</f>
        <v>-2.4186657719837967E-4</v>
      </c>
      <c r="C33" s="35">
        <v>3.8054064953846285E-2</v>
      </c>
      <c r="D33" s="36">
        <f t="shared" si="5"/>
        <v>2.18033731517209</v>
      </c>
      <c r="F33" s="13">
        <v>0.49099999999999999</v>
      </c>
      <c r="G33" s="18">
        <v>3.1699999999999999E-2</v>
      </c>
      <c r="H33" s="18">
        <f t="shared" si="11"/>
        <v>3.5441284523670007E-2</v>
      </c>
      <c r="I33" s="14">
        <f t="shared" si="12"/>
        <v>94.237893221340983</v>
      </c>
      <c r="J33" s="47">
        <f t="shared" si="6"/>
        <v>133.92042545696518</v>
      </c>
      <c r="K33" s="13">
        <f t="shared" si="7"/>
        <v>0.44719376282116302</v>
      </c>
      <c r="L33" s="48">
        <f t="shared" si="8"/>
        <v>2294.2565454463074</v>
      </c>
      <c r="M33" s="48">
        <f t="shared" si="9"/>
        <v>3396.2797329451482</v>
      </c>
      <c r="N33" s="48">
        <f t="shared" si="13"/>
        <v>1102.0231874988408</v>
      </c>
      <c r="O33" s="14">
        <f t="shared" si="10"/>
        <v>4.6432656942803909</v>
      </c>
      <c r="P33" s="14">
        <f t="shared" si="14"/>
        <v>1.9869475323257559</v>
      </c>
      <c r="Q33" s="14">
        <v>3.3540000000000001</v>
      </c>
    </row>
    <row r="34" spans="1:17" x14ac:dyDescent="0.25">
      <c r="A34" s="37">
        <v>12</v>
      </c>
      <c r="B34" s="31">
        <f>I8*SIN(C33+C34-C$14)+0.5*C$16*C$4*C$2*(C34-C$5)*G8^2*COS(C33)-0.5*C$16*C$4*(C$8+1/PI()/C$7*C$2^2*(C34-C$5)^2)/SQRT(1-H8^2)*G8^2*SIN(C33)-C$11</f>
        <v>-1.9281287677586079E-10</v>
      </c>
      <c r="C34" s="38">
        <v>7.7716737993277982E-2</v>
      </c>
      <c r="D34" s="39">
        <f t="shared" si="5"/>
        <v>4.4528410845388429</v>
      </c>
      <c r="F34" s="13">
        <v>0.38800000000000001</v>
      </c>
      <c r="G34" s="18">
        <v>2.52E-2</v>
      </c>
      <c r="H34" s="18">
        <f t="shared" si="11"/>
        <v>2.915819842124286E-2</v>
      </c>
      <c r="I34" s="14">
        <f t="shared" si="12"/>
        <v>68.702699637967186</v>
      </c>
      <c r="J34" s="47">
        <f t="shared" si="6"/>
        <v>150.65089067467358</v>
      </c>
      <c r="K34" s="13">
        <f t="shared" si="7"/>
        <v>0.50306096656492538</v>
      </c>
      <c r="L34" s="48">
        <f t="shared" si="8"/>
        <v>2388.5975306704936</v>
      </c>
      <c r="M34" s="48">
        <f t="shared" si="9"/>
        <v>3414.4924328587686</v>
      </c>
      <c r="N34" s="48">
        <f t="shared" si="13"/>
        <v>1025.894902188275</v>
      </c>
      <c r="O34" s="14">
        <f t="shared" si="10"/>
        <v>4.8625105634610293</v>
      </c>
      <c r="P34" s="14">
        <f t="shared" si="14"/>
        <v>1.8496387794723506</v>
      </c>
      <c r="Q34" s="14">
        <v>2.5739999999999998</v>
      </c>
    </row>
    <row r="35" spans="1:17" x14ac:dyDescent="0.25">
      <c r="A35" s="26">
        <v>13</v>
      </c>
      <c r="B35" s="27">
        <f>-I9*COS(C35+C36-C$14)+0.5*C$16*C$4*C$2*(C36-C$5)*G9^2*SIN(C35)+0.5*C$16*C$4*(C$8+1/PI()/C$7*C$2^2*(C36-C$5)^2)/SQRT(1-H9^2)*G9^2*COS(C35)</f>
        <v>3.0011220269443584E-4</v>
      </c>
      <c r="C35" s="28">
        <v>3.856592019136109E-2</v>
      </c>
      <c r="D35" s="29">
        <f t="shared" si="5"/>
        <v>2.2096644600033546</v>
      </c>
      <c r="F35" s="13">
        <v>0.246</v>
      </c>
      <c r="G35" s="18">
        <v>1.8800000000000001E-2</v>
      </c>
      <c r="H35" s="18">
        <f t="shared" si="11"/>
        <v>2.4253554167947184E-2</v>
      </c>
      <c r="I35" s="14">
        <f t="shared" si="12"/>
        <v>25.307808596035112</v>
      </c>
      <c r="J35" s="47">
        <f t="shared" si="6"/>
        <v>189.1995124318658</v>
      </c>
      <c r="K35" s="13">
        <f t="shared" si="7"/>
        <v>0.63178444661919186</v>
      </c>
      <c r="L35" s="48">
        <f t="shared" si="8"/>
        <v>3133.6775085191075</v>
      </c>
      <c r="M35" s="48">
        <f t="shared" si="9"/>
        <v>3523.3648029326337</v>
      </c>
      <c r="N35" s="48">
        <f t="shared" si="13"/>
        <v>389.68729441352616</v>
      </c>
      <c r="O35" s="14">
        <f t="shared" si="10"/>
        <v>2.319648824704323</v>
      </c>
      <c r="P35" s="14">
        <f t="shared" si="14"/>
        <v>0.70248287519916719</v>
      </c>
      <c r="Q35" s="14">
        <v>1.242</v>
      </c>
    </row>
    <row r="36" spans="1:17" x14ac:dyDescent="0.25">
      <c r="A36" s="30">
        <v>14</v>
      </c>
      <c r="B36" s="31">
        <f>I9*SIN(C35+C36-C$14)+0.5*C$16*C$4*C$2*(C36-C$5)*G9^2*COS(C35)-0.5*C$16*C$4*(C$8+1/PI()/C$7*C$2^2*(C36-C$5)^2)/SQRT(1-H9^2)*G9^2*SIN(C35)-C$11</f>
        <v>3.7834979593753815E-10</v>
      </c>
      <c r="C36" s="32">
        <v>5.8412391167821501E-2</v>
      </c>
      <c r="D36" s="33">
        <f t="shared" si="5"/>
        <v>3.3467834851834182</v>
      </c>
      <c r="F36" s="13">
        <v>0.2</v>
      </c>
      <c r="G36" s="18">
        <v>1.7500000000000002E-2</v>
      </c>
      <c r="H36" s="18">
        <f t="shared" si="11"/>
        <v>2.4527912039002862E-2</v>
      </c>
      <c r="I36" s="14">
        <f t="shared" si="12"/>
        <v>13.297464111083109</v>
      </c>
      <c r="J36" s="47">
        <f t="shared" si="6"/>
        <v>209.832409962047</v>
      </c>
      <c r="K36" s="13">
        <f t="shared" si="7"/>
        <v>0.70068284694118188</v>
      </c>
      <c r="L36" s="48">
        <f t="shared" si="8"/>
        <v>3898.0248370624126</v>
      </c>
      <c r="M36" s="48">
        <f t="shared" si="9"/>
        <v>3619.9785587345186</v>
      </c>
      <c r="N36" s="48">
        <f t="shared" si="13"/>
        <v>-278.04627832789402</v>
      </c>
      <c r="O36" s="14">
        <f t="shared" si="10"/>
        <v>-1.8355898070286076</v>
      </c>
      <c r="P36" s="14">
        <f t="shared" si="14"/>
        <v>-0.50122328723812903</v>
      </c>
      <c r="Q36" s="14">
        <v>0.68799999999999994</v>
      </c>
    </row>
    <row r="37" spans="1:17" x14ac:dyDescent="0.25">
      <c r="A37" s="34">
        <v>15</v>
      </c>
      <c r="B37" s="27">
        <f>-I10*COS(C37+C38-C$14)+0.5*C$16*C$4*C$2*(C38-C$5)*G10^2*SIN(C37)+0.5*C$16*C$4*(C$8+1/PI()/C$7*C$2^2*(C38-C$5)^2)/SQRT(1-H10^2)*G10^2*COS(C37)</f>
        <v>8.1926270013354952E-5</v>
      </c>
      <c r="C37" s="35">
        <v>3.6109154905906479E-2</v>
      </c>
      <c r="D37" s="36">
        <f t="shared" si="5"/>
        <v>2.0689021778925527</v>
      </c>
      <c r="F37" s="13">
        <v>0.151</v>
      </c>
      <c r="G37" s="18">
        <v>1.6299999999999999E-2</v>
      </c>
      <c r="H37" s="18">
        <f t="shared" si="11"/>
        <v>2.7562797874549301E-2</v>
      </c>
      <c r="I37" s="14">
        <f t="shared" si="12"/>
        <v>4.5319409371844852</v>
      </c>
      <c r="J37" s="47">
        <f t="shared" si="6"/>
        <v>241.48996735219114</v>
      </c>
      <c r="K37" s="13">
        <f t="shared" si="7"/>
        <v>0.80639534122813283</v>
      </c>
      <c r="L37" s="48">
        <f t="shared" si="8"/>
        <v>5801.7681639988405</v>
      </c>
      <c r="M37" s="48">
        <f t="shared" si="9"/>
        <v>3820.1924483688763</v>
      </c>
      <c r="N37" s="48">
        <f t="shared" si="13"/>
        <v>-1981.5757156299642</v>
      </c>
      <c r="O37" s="14">
        <f t="shared" si="10"/>
        <v>-15.055519527610237</v>
      </c>
      <c r="P37" s="14">
        <f t="shared" si="14"/>
        <v>-3.5743824955671282</v>
      </c>
      <c r="Q37" s="14">
        <v>0.23699999999999999</v>
      </c>
    </row>
    <row r="38" spans="1:17" x14ac:dyDescent="0.25">
      <c r="A38" s="37">
        <v>16</v>
      </c>
      <c r="B38" s="31">
        <f>I10*SIN(C37+C38-C$14)+0.5*C$16*C$4*C$2*(C38-C$5)*G10^2*COS(C37)-0.5*C$16*C$4*(C$8+1/PI()/C$7*C$2^2*(C38-C$5)^2)/SQRT(1-H10^2)*G10^2*SIN(C37)-C$11</f>
        <v>1.2005330063402653E-10</v>
      </c>
      <c r="C38" s="38">
        <v>4.3138540549349236E-2</v>
      </c>
      <c r="D38" s="39">
        <f t="shared" si="5"/>
        <v>2.4716563078316751</v>
      </c>
      <c r="F38" s="13">
        <v>0.12</v>
      </c>
      <c r="G38" s="18">
        <v>1.61E-2</v>
      </c>
      <c r="H38" s="18">
        <f t="shared" si="11"/>
        <v>3.7766045694608653E-2</v>
      </c>
      <c r="I38" s="14">
        <f t="shared" si="12"/>
        <v>1.2115482359743563</v>
      </c>
      <c r="J38" s="47">
        <f t="shared" si="6"/>
        <v>270.89247642585843</v>
      </c>
      <c r="K38" s="13">
        <f t="shared" si="7"/>
        <v>0.90457766572546594</v>
      </c>
      <c r="L38" s="48">
        <f t="shared" si="8"/>
        <v>10003.092523130994</v>
      </c>
      <c r="M38" s="48">
        <f t="shared" si="9"/>
        <v>4062.5152990947458</v>
      </c>
      <c r="N38" s="48">
        <f t="shared" si="13"/>
        <v>-5940.5772240362476</v>
      </c>
      <c r="O38" s="14">
        <f t="shared" si="10"/>
        <v>-50.630424850499949</v>
      </c>
      <c r="P38" s="14">
        <f t="shared" si="14"/>
        <v>-10.772060442133816</v>
      </c>
      <c r="Q38" s="14">
        <v>-3.9E-2</v>
      </c>
    </row>
    <row r="39" spans="1:17" ht="15.6" thickBot="1" x14ac:dyDescent="0.3">
      <c r="A39" s="26">
        <v>17</v>
      </c>
      <c r="B39" s="27">
        <f>-I11*COS(C39+C40-C$14)+0.5*C$16*C$4*C$2*(C40-C$5)*G11^2*SIN(C39)+0.5*C$16*C$4*(C$8+1/PI()/C$7*C$2^2*(C40-C$5)^2)/SQRT(1-H11^2)*G11^2*COS(C39)</f>
        <v>-2.37513663705613E-5</v>
      </c>
      <c r="C39" s="28">
        <v>3.1046951347434633E-2</v>
      </c>
      <c r="D39" s="29">
        <f t="shared" si="5"/>
        <v>1.7788592789560089</v>
      </c>
      <c r="F39" s="59"/>
      <c r="G39" s="59"/>
      <c r="H39" s="59"/>
      <c r="I39" s="60"/>
      <c r="J39" s="102"/>
      <c r="K39" s="105"/>
      <c r="L39" s="62"/>
      <c r="M39" s="62"/>
      <c r="N39" s="62"/>
      <c r="O39" s="60"/>
      <c r="P39" s="60"/>
      <c r="Q39" s="59"/>
    </row>
    <row r="40" spans="1:17" ht="18.600000000000001" thickBot="1" x14ac:dyDescent="0.3">
      <c r="A40" s="30">
        <v>18</v>
      </c>
      <c r="B40" s="31">
        <f>I11*SIN(C39+C40-C$14)+0.5*C$16*C$4*C$2*(C40-C$5)*G11^2*COS(C39)-0.5*C$16*C$4*(C$8+1/PI()/C$7*C$2^2*(C40-C$5)^2)/SQRT(1-H11^2)*G11^2*SIN(C39)-C$11</f>
        <v>-4.0017766878008842E-11</v>
      </c>
      <c r="C40" s="32">
        <v>3.1713288553946499E-2</v>
      </c>
      <c r="D40" s="33">
        <f t="shared" si="5"/>
        <v>1.8170375886216759</v>
      </c>
      <c r="F40" s="143" t="s">
        <v>198</v>
      </c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5"/>
    </row>
    <row r="41" spans="1:17" ht="18.600000000000001" thickBot="1" x14ac:dyDescent="0.3">
      <c r="A41" s="34">
        <v>19</v>
      </c>
      <c r="B41" s="27">
        <f>-I12*COS(C41+C42-C$14)+0.5*C$16*C$4*C$2*(C42-C$5)*G12^2*SIN(C41)+0.5*C$16*C$4*(C$8+1/PI()/C$7*C$2^2*(C42-C$5)^2)/SQRT(1-H12^2)*G12^2*COS(C41)</f>
        <v>9.3599151568923844E-5</v>
      </c>
      <c r="C41" s="35">
        <v>2.4160807438522794E-2</v>
      </c>
      <c r="D41" s="36">
        <f t="shared" si="5"/>
        <v>1.3843122958556413</v>
      </c>
      <c r="F41" s="98" t="s">
        <v>1</v>
      </c>
      <c r="G41" s="98" t="s">
        <v>7</v>
      </c>
      <c r="H41" s="98" t="s">
        <v>109</v>
      </c>
      <c r="I41" s="98" t="s">
        <v>2</v>
      </c>
      <c r="J41" s="98" t="s">
        <v>63</v>
      </c>
      <c r="K41" s="98" t="s">
        <v>53</v>
      </c>
      <c r="L41" s="98" t="s">
        <v>67</v>
      </c>
      <c r="M41" s="98" t="s">
        <v>65</v>
      </c>
      <c r="N41" s="98" t="s">
        <v>68</v>
      </c>
      <c r="O41" s="98" t="s">
        <v>64</v>
      </c>
      <c r="P41" s="98" t="s">
        <v>84</v>
      </c>
      <c r="Q41" s="98" t="s">
        <v>66</v>
      </c>
    </row>
    <row r="42" spans="1:17" x14ac:dyDescent="0.25">
      <c r="A42" s="37">
        <v>20</v>
      </c>
      <c r="B42" s="31">
        <f>I12*SIN(C41+C42-C$14)+0.5*C$16*C$4*C$2*(C42-C$5)*G12^2*COS(C41)-0.5*C$16*C$4*(C$8+1/PI()/C$7*C$2^2*(C42-C$5)^2)/SQRT(1-H12^2)*G12^2*SIN(C41)-C$11</f>
        <v>7.312337402254343E-10</v>
      </c>
      <c r="C42" s="38">
        <v>2.3501326837344946E-2</v>
      </c>
      <c r="D42" s="39">
        <f t="shared" si="5"/>
        <v>1.3465268407374003</v>
      </c>
      <c r="F42" s="107">
        <f t="shared" ref="F42:G55" si="15">F25</f>
        <v>1.405</v>
      </c>
      <c r="G42" s="109">
        <f t="shared" si="15"/>
        <v>0.1406</v>
      </c>
      <c r="H42" s="101">
        <f>G42/SQRT(1-K42^2)</f>
        <v>0.1468115363050051</v>
      </c>
      <c r="I42" s="43">
        <f>F42^3/H42^2</f>
        <v>128.67927519870474</v>
      </c>
      <c r="J42" s="44">
        <f t="shared" ref="J42:J55" si="16">SQRT((2*C$20)/(C$4*C$16*F42))</f>
        <v>86.187148316269386</v>
      </c>
      <c r="K42" s="42">
        <f t="shared" ref="K42:K55" si="17">J42/C$19</f>
        <v>0.28780042350420709</v>
      </c>
      <c r="L42" s="46">
        <f t="shared" ref="L42:L55" si="18">C$20*SQRT((2*C$20)/(C$16*C$4*I42))/J42</f>
        <v>3936.262844999334</v>
      </c>
      <c r="M42" s="46">
        <f t="shared" ref="M42:M55" si="19">C$17*(1-0.605*K42+0.725*K42^2)</f>
        <v>3440.9334214812297</v>
      </c>
      <c r="N42" s="46">
        <f>(M42-L42)</f>
        <v>-495.32942351810425</v>
      </c>
      <c r="O42" s="43">
        <f t="shared" ref="O42:O55" si="20">N42/C$20*J42</f>
        <v>-1.133277865118689</v>
      </c>
      <c r="P42" s="43">
        <f>DEGREES(ASIN(O42/J42))</f>
        <v>-0.75340594502663594</v>
      </c>
      <c r="Q42" s="107">
        <f t="shared" ref="Q42:Q55" si="21">Q25</f>
        <v>12.989000000000001</v>
      </c>
    </row>
    <row r="43" spans="1:17" x14ac:dyDescent="0.25">
      <c r="A43" s="26">
        <v>21</v>
      </c>
      <c r="B43" s="27">
        <f>-I13*COS(C43+C44-C$14)+0.5*C$16*C$4*C$2*(C44-C$5)*G13^2*SIN(C43)+0.5*C$16*C$4*(C$8+1/PI()/C$7*C$2^2*(C44-C$5)^2)/SQRT(1-H13^2)*G13^2*COS(C43)</f>
        <v>-5.2252055866119917E-5</v>
      </c>
      <c r="C43" s="28">
        <v>1.4282460526318399E-2</v>
      </c>
      <c r="D43" s="29">
        <f t="shared" si="5"/>
        <v>0.8183247092202407</v>
      </c>
      <c r="F43" s="108">
        <f t="shared" si="15"/>
        <v>1.3560000000000001</v>
      </c>
      <c r="G43" s="12">
        <f t="shared" si="15"/>
        <v>0.13239999999999999</v>
      </c>
      <c r="H43" s="18">
        <f t="shared" ref="H43:H55" si="22">G43/SQRT(1-K43^2)</f>
        <v>0.13847540458291471</v>
      </c>
      <c r="I43" s="14">
        <f t="shared" ref="I43:I55" si="23">F43^3/H43^2</f>
        <v>130.02707204584146</v>
      </c>
      <c r="J43" s="47">
        <f t="shared" si="16"/>
        <v>87.730545295342154</v>
      </c>
      <c r="K43" s="13">
        <f t="shared" si="17"/>
        <v>0.29295421166044439</v>
      </c>
      <c r="L43" s="48">
        <f t="shared" si="18"/>
        <v>3846.9202660768656</v>
      </c>
      <c r="M43" s="48">
        <f t="shared" si="19"/>
        <v>3437.2512064919379</v>
      </c>
      <c r="N43" s="48">
        <f t="shared" ref="N43:N55" si="24">(M43-L43)</f>
        <v>-409.66905958492771</v>
      </c>
      <c r="O43" s="14">
        <f t="shared" si="20"/>
        <v>-0.9540777371096596</v>
      </c>
      <c r="P43" s="14">
        <f t="shared" ref="P43:P55" si="25">DEGREES(ASIN(O43/J43))</f>
        <v>-0.62310914683537821</v>
      </c>
      <c r="Q43" s="108">
        <f t="shared" si="21"/>
        <v>11.238</v>
      </c>
    </row>
    <row r="44" spans="1:17" x14ac:dyDescent="0.25">
      <c r="A44" s="30">
        <v>22</v>
      </c>
      <c r="B44" s="31">
        <f>I13*SIN(C43+C44-C$14)+0.5*C$16*C$4*C$2*(C44-C$5)*G13^2*COS(C43)-0.5*C$16*C$4*(C$8+1/PI()/C$7*C$2^2*(C44-C$5)^2)/SQRT(1-H13^2)*G13^2*SIN(C43)-C$11</f>
        <v>-3.2741809263825417E-11</v>
      </c>
      <c r="C44" s="32">
        <v>1.6509175765889506E-2</v>
      </c>
      <c r="D44" s="33">
        <f t="shared" si="5"/>
        <v>0.94590609462512709</v>
      </c>
      <c r="F44" s="108">
        <f t="shared" si="15"/>
        <v>1.302</v>
      </c>
      <c r="G44" s="12">
        <f t="shared" si="15"/>
        <v>0.1231</v>
      </c>
      <c r="H44" s="18">
        <f t="shared" si="22"/>
        <v>0.12900004024344031</v>
      </c>
      <c r="I44" s="14">
        <f t="shared" si="23"/>
        <v>132.63350945805993</v>
      </c>
      <c r="J44" s="47">
        <f t="shared" si="16"/>
        <v>89.531359966500503</v>
      </c>
      <c r="K44" s="13">
        <f t="shared" si="17"/>
        <v>0.29896758181059852</v>
      </c>
      <c r="L44" s="48">
        <f t="shared" si="18"/>
        <v>3732.321901679335</v>
      </c>
      <c r="M44" s="48">
        <f t="shared" si="19"/>
        <v>3433.1439405834858</v>
      </c>
      <c r="N44" s="48">
        <f t="shared" si="24"/>
        <v>-299.17796109584924</v>
      </c>
      <c r="O44" s="14">
        <f t="shared" si="20"/>
        <v>-0.71105721545075606</v>
      </c>
      <c r="P44" s="14">
        <f t="shared" si="25"/>
        <v>-0.45504732366208922</v>
      </c>
      <c r="Q44" s="108">
        <f t="shared" si="21"/>
        <v>10.574999999999999</v>
      </c>
    </row>
    <row r="45" spans="1:17" x14ac:dyDescent="0.25">
      <c r="A45" s="34">
        <v>23</v>
      </c>
      <c r="B45" s="27">
        <f>-I14*COS(C45+C46-C$14)+0.5*C$16*C$4*C$2*(C46-C$5)*G14^2*SIN(C45)+0.5*C$16*C$4*(C$8+1/PI()/C$7*C$2^2*(C46-C$5)^2)/SQRT(1-H14^2)*G14^2*COS(C45)</f>
        <v>-5.8868164614978014E-5</v>
      </c>
      <c r="C45" s="35">
        <v>4.1064543016315906E-4</v>
      </c>
      <c r="D45" s="36">
        <f t="shared" si="5"/>
        <v>2.3528250024683207E-2</v>
      </c>
      <c r="F45" s="108">
        <f t="shared" si="15"/>
        <v>1.1930000000000001</v>
      </c>
      <c r="G45" s="12">
        <f t="shared" si="15"/>
        <v>0.1061</v>
      </c>
      <c r="H45" s="18">
        <f t="shared" si="22"/>
        <v>0.11168718575967763</v>
      </c>
      <c r="I45" s="14">
        <f t="shared" si="23"/>
        <v>136.11771034236449</v>
      </c>
      <c r="J45" s="47">
        <f t="shared" si="16"/>
        <v>93.532049684177707</v>
      </c>
      <c r="K45" s="13">
        <f t="shared" si="17"/>
        <v>0.31232688441603207</v>
      </c>
      <c r="L45" s="48">
        <f t="shared" si="18"/>
        <v>3526.656297100888</v>
      </c>
      <c r="M45" s="48">
        <f t="shared" si="19"/>
        <v>3424.7480036505208</v>
      </c>
      <c r="N45" s="48">
        <f t="shared" si="24"/>
        <v>-101.90829345036718</v>
      </c>
      <c r="O45" s="14">
        <f t="shared" si="20"/>
        <v>-0.25302867944671426</v>
      </c>
      <c r="P45" s="14">
        <f t="shared" si="25"/>
        <v>-0.1550002716740406</v>
      </c>
      <c r="Q45" s="108">
        <f t="shared" si="21"/>
        <v>9.5760000000000005</v>
      </c>
    </row>
    <row r="46" spans="1:17" x14ac:dyDescent="0.25">
      <c r="A46" s="37">
        <v>24</v>
      </c>
      <c r="B46" s="31">
        <f>I14*SIN(C45+C46-C$14)+0.5*C$16*C$4*C$2*(C46-C$5)*G14^2*COS(C45)-0.5*C$16*C$4*(C$8+1/PI()/C$7*C$2^2*(C46-C$5)^2)/SQRT(1-H14^2)*G14^2*SIN(C45)-C$11</f>
        <v>0</v>
      </c>
      <c r="C46" s="38">
        <v>1.0574741461766944E-2</v>
      </c>
      <c r="D46" s="39">
        <f t="shared" si="5"/>
        <v>0.60588805520124867</v>
      </c>
      <c r="F46" s="108">
        <f t="shared" si="15"/>
        <v>1.095</v>
      </c>
      <c r="G46" s="12">
        <f t="shared" si="15"/>
        <v>9.1899999999999996E-2</v>
      </c>
      <c r="H46" s="18">
        <f t="shared" si="22"/>
        <v>9.721077096470912E-2</v>
      </c>
      <c r="I46" s="14">
        <f t="shared" si="23"/>
        <v>138.93561332529629</v>
      </c>
      <c r="J46" s="47">
        <f t="shared" si="16"/>
        <v>97.62782498568221</v>
      </c>
      <c r="K46" s="13">
        <f t="shared" si="17"/>
        <v>0.3260037015445616</v>
      </c>
      <c r="L46" s="48">
        <f t="shared" si="18"/>
        <v>3344.2635858894782</v>
      </c>
      <c r="M46" s="48">
        <f t="shared" si="19"/>
        <v>3417.1937400715506</v>
      </c>
      <c r="N46" s="48">
        <f t="shared" si="24"/>
        <v>72.930154182072329</v>
      </c>
      <c r="O46" s="14">
        <f t="shared" si="20"/>
        <v>0.18900814243188754</v>
      </c>
      <c r="P46" s="14">
        <f t="shared" si="25"/>
        <v>0.11092509355321097</v>
      </c>
      <c r="Q46" s="108">
        <f t="shared" si="21"/>
        <v>8.6869999999999994</v>
      </c>
    </row>
    <row r="47" spans="1:17" x14ac:dyDescent="0.25">
      <c r="A47" s="26">
        <v>25</v>
      </c>
      <c r="B47" s="27">
        <f>-I15*COS(C47+C48-C$14)+0.5*C$16*C$4*C$2*(C48-C$5)*G15^2*SIN(C47)+0.5*C$16*C$4*(C$8+1/PI()/C$7*C$2^2*(C48-C$5)^2)/SQRT(1-H15^2)*G15^2*COS(C47)</f>
        <v>2.3117087039281614E-4</v>
      </c>
      <c r="C47" s="28">
        <v>-1.5094795680765011E-2</v>
      </c>
      <c r="D47" s="29">
        <f t="shared" si="5"/>
        <v>-0.86486808512013946</v>
      </c>
      <c r="F47" s="108">
        <f t="shared" si="15"/>
        <v>0.997</v>
      </c>
      <c r="G47" s="12">
        <f t="shared" si="15"/>
        <v>7.9399999999999998E-2</v>
      </c>
      <c r="H47" s="18">
        <f t="shared" si="22"/>
        <v>8.448362545176466E-2</v>
      </c>
      <c r="I47" s="14">
        <f t="shared" si="23"/>
        <v>138.8482434547968</v>
      </c>
      <c r="J47" s="47">
        <f t="shared" si="16"/>
        <v>102.31353600806071</v>
      </c>
      <c r="K47" s="13">
        <f t="shared" si="17"/>
        <v>0.34165046145022954</v>
      </c>
      <c r="L47" s="48">
        <f t="shared" si="18"/>
        <v>3192.1082890854118</v>
      </c>
      <c r="M47" s="48">
        <f t="shared" si="19"/>
        <v>3409.8433754473708</v>
      </c>
      <c r="N47" s="48">
        <f t="shared" si="24"/>
        <v>217.73508636195902</v>
      </c>
      <c r="O47" s="14">
        <f t="shared" si="20"/>
        <v>0.59137271169704864</v>
      </c>
      <c r="P47" s="14">
        <f t="shared" si="25"/>
        <v>0.33117171479258928</v>
      </c>
      <c r="Q47" s="108">
        <f t="shared" si="21"/>
        <v>8.0169999999999995</v>
      </c>
    </row>
    <row r="48" spans="1:17" x14ac:dyDescent="0.25">
      <c r="A48" s="30">
        <v>26</v>
      </c>
      <c r="B48" s="31">
        <f>I15*SIN(C47+C48-C$14)+0.5*C$16*C$4*C$2*(C48-C$5)*G15^2*COS(C47)-0.5*C$16*C$4*(C$8+1/PI()/C$7*C$2^2*(C48-C$5)^2)/SQRT(1-H15^2)*G15^2*SIN(C47)-C$11</f>
        <v>3.637978807091713E-11</v>
      </c>
      <c r="C48" s="32">
        <v>6.4021765689536592E-3</v>
      </c>
      <c r="D48" s="33">
        <f t="shared" si="5"/>
        <v>0.36681769709859074</v>
      </c>
      <c r="F48" s="108">
        <f t="shared" si="15"/>
        <v>0.80100000000000005</v>
      </c>
      <c r="G48" s="12">
        <f t="shared" si="15"/>
        <v>5.7599999999999998E-2</v>
      </c>
      <c r="H48" s="18">
        <f t="shared" si="22"/>
        <v>6.2303482269450414E-2</v>
      </c>
      <c r="I48" s="14">
        <f t="shared" si="23"/>
        <v>132.3954031393346</v>
      </c>
      <c r="J48" s="47">
        <f t="shared" si="16"/>
        <v>114.14697728749459</v>
      </c>
      <c r="K48" s="13">
        <f t="shared" si="17"/>
        <v>0.38116527866214045</v>
      </c>
      <c r="L48" s="48">
        <f t="shared" si="18"/>
        <v>2930.0837683933892</v>
      </c>
      <c r="M48" s="48">
        <f t="shared" si="19"/>
        <v>3397.4183047369229</v>
      </c>
      <c r="N48" s="48">
        <f t="shared" si="24"/>
        <v>467.33453634353373</v>
      </c>
      <c r="O48" s="14">
        <f t="shared" si="20"/>
        <v>1.4160939280089184</v>
      </c>
      <c r="P48" s="14">
        <f t="shared" si="25"/>
        <v>0.71082291239623818</v>
      </c>
      <c r="Q48" s="108">
        <f t="shared" si="21"/>
        <v>6.1310000000000002</v>
      </c>
    </row>
    <row r="49" spans="1:17" x14ac:dyDescent="0.25">
      <c r="A49" s="34">
        <v>27</v>
      </c>
      <c r="B49" s="27">
        <f>-I16*COS(C49+C50-C$14)+0.5*C$16*C$4*C$2*(C50-C$5)*G16^2*SIN(C49)+0.5*C$16*C$4*(C$8+1/PI()/C$7*C$2^2*(C50-C$5)^2)/SQRT(1-H16^2)*G16^2*COS(C49)</f>
        <v>1.5151408661040477E-5</v>
      </c>
      <c r="C49" s="35">
        <v>-3.6771725101637107E-2</v>
      </c>
      <c r="D49" s="36">
        <f t="shared" si="5"/>
        <v>-2.1068646537390743</v>
      </c>
      <c r="F49" s="108">
        <f t="shared" si="15"/>
        <v>0.61099999999999999</v>
      </c>
      <c r="G49" s="12">
        <f t="shared" si="15"/>
        <v>4.0599999999999997E-2</v>
      </c>
      <c r="H49" s="18">
        <f t="shared" si="22"/>
        <v>4.5124099354209399E-2</v>
      </c>
      <c r="I49" s="14">
        <f t="shared" si="23"/>
        <v>112.02282928702979</v>
      </c>
      <c r="J49" s="47">
        <f t="shared" si="16"/>
        <v>130.6953296187713</v>
      </c>
      <c r="K49" s="13">
        <f t="shared" si="17"/>
        <v>0.43642436197420814</v>
      </c>
      <c r="L49" s="48">
        <f t="shared" si="18"/>
        <v>2782.0668941289846</v>
      </c>
      <c r="M49" s="48">
        <f t="shared" si="19"/>
        <v>3394.7896868284529</v>
      </c>
      <c r="N49" s="48">
        <f t="shared" si="24"/>
        <v>612.7227926994683</v>
      </c>
      <c r="O49" s="14">
        <f t="shared" si="20"/>
        <v>2.1258071949538917</v>
      </c>
      <c r="P49" s="14">
        <f t="shared" si="25"/>
        <v>0.93197784438719189</v>
      </c>
      <c r="Q49" s="108">
        <f t="shared" si="21"/>
        <v>4.5730000000000004</v>
      </c>
    </row>
    <row r="50" spans="1:17" x14ac:dyDescent="0.25">
      <c r="A50" s="37">
        <v>28</v>
      </c>
      <c r="B50" s="31">
        <f>I16*SIN(C49+C50-C$14)+0.5*C$16*C$4*C$2*(C50-C$5)*G16^2*COS(C49)-0.5*C$16*C$4*(C$8+1/PI()/C$7*C$2^2*(C50-C$5)^2)/SQRT(1-H16^2)*G16^2*SIN(C49)-C$11</f>
        <v>6.0820457292720675E-7</v>
      </c>
      <c r="C50" s="38">
        <v>2.6714425434809651E-3</v>
      </c>
      <c r="D50" s="39">
        <f t="shared" si="5"/>
        <v>0.15306238295315322</v>
      </c>
      <c r="F50" s="108">
        <f t="shared" si="15"/>
        <v>0.49099999999999999</v>
      </c>
      <c r="G50" s="12">
        <f t="shared" si="15"/>
        <v>3.1699999999999999E-2</v>
      </c>
      <c r="H50" s="18">
        <f t="shared" si="22"/>
        <v>3.6291218547262014E-2</v>
      </c>
      <c r="I50" s="14">
        <f t="shared" si="23"/>
        <v>89.875511475336964</v>
      </c>
      <c r="J50" s="47">
        <f t="shared" si="16"/>
        <v>145.79409266933129</v>
      </c>
      <c r="K50" s="13">
        <f t="shared" si="17"/>
        <v>0.48684290447424539</v>
      </c>
      <c r="L50" s="48">
        <f t="shared" si="18"/>
        <v>2784.3273302704256</v>
      </c>
      <c r="M50" s="48">
        <f t="shared" si="19"/>
        <v>3407.3946461776595</v>
      </c>
      <c r="N50" s="48">
        <f t="shared" si="24"/>
        <v>623.06731590723393</v>
      </c>
      <c r="O50" s="14">
        <f t="shared" si="20"/>
        <v>2.4114300351100804</v>
      </c>
      <c r="P50" s="14">
        <f t="shared" si="25"/>
        <v>0.94771373438922635</v>
      </c>
      <c r="Q50" s="108">
        <f t="shared" si="21"/>
        <v>3.3540000000000001</v>
      </c>
    </row>
    <row r="51" spans="1:17" x14ac:dyDescent="0.25">
      <c r="A51" s="26">
        <v>29</v>
      </c>
      <c r="B51" s="27">
        <f>-I17*COS(C51+C52-C$14)+0.5*C$16*C$4*C$2*(C52-C$5)*G17^2*SIN(C51)+0.5*C$16*C$4*(C$8+1/PI()/C$7*C$2^2*(C52-C$5)^2)/SQRT(1-H17^2)*G17^2*COS(C51)</f>
        <v>1.8206961703981506E-4</v>
      </c>
      <c r="C51" s="28">
        <v>-6.3716877836340557E-2</v>
      </c>
      <c r="D51" s="29">
        <f t="shared" si="5"/>
        <v>-3.6507081837729705</v>
      </c>
      <c r="F51" s="108">
        <f t="shared" si="15"/>
        <v>0.38800000000000001</v>
      </c>
      <c r="G51" s="12">
        <f t="shared" si="15"/>
        <v>2.52E-2</v>
      </c>
      <c r="H51" s="18">
        <f t="shared" si="22"/>
        <v>3.01183672198732E-2</v>
      </c>
      <c r="I51" s="14">
        <f t="shared" si="23"/>
        <v>64.392061398233864</v>
      </c>
      <c r="J51" s="47">
        <f t="shared" si="16"/>
        <v>164.00791619945016</v>
      </c>
      <c r="K51" s="13">
        <f t="shared" si="17"/>
        <v>0.54766341226461157</v>
      </c>
      <c r="L51" s="48">
        <f t="shared" si="18"/>
        <v>2924.1519085554419</v>
      </c>
      <c r="M51" s="48">
        <f t="shared" si="19"/>
        <v>3441.6513175250066</v>
      </c>
      <c r="N51" s="48">
        <f t="shared" si="24"/>
        <v>517.49940896956468</v>
      </c>
      <c r="O51" s="14">
        <f t="shared" si="20"/>
        <v>2.2530687144162354</v>
      </c>
      <c r="P51" s="14">
        <f t="shared" si="25"/>
        <v>0.78712901175972216</v>
      </c>
      <c r="Q51" s="108">
        <f t="shared" si="21"/>
        <v>2.5739999999999998</v>
      </c>
    </row>
    <row r="52" spans="1:17" x14ac:dyDescent="0.25">
      <c r="A52" s="30">
        <v>30</v>
      </c>
      <c r="B52" s="31">
        <f>I17*SIN(C51+C52-C$14)+0.5*C$16*C$4*C$2*(C52-C$5)*G17^2*COS(C51)-0.5*C$16*C$4*(C$8+1/PI()/C$7*C$2^2*(C52-C$5)^2)/SQRT(1-H17^2)*G17^2*SIN(C51)-C$11</f>
        <v>-3.9226714434335008E-3</v>
      </c>
      <c r="C52" s="32">
        <v>-2.4592428290771268E-4</v>
      </c>
      <c r="D52" s="33">
        <f t="shared" si="5"/>
        <v>-1.4090423490393186E-2</v>
      </c>
      <c r="F52" s="108">
        <f t="shared" si="15"/>
        <v>0.246</v>
      </c>
      <c r="G52" s="12">
        <f t="shared" si="15"/>
        <v>1.8800000000000001E-2</v>
      </c>
      <c r="H52" s="18">
        <f t="shared" si="22"/>
        <v>2.5898868355326888E-2</v>
      </c>
      <c r="I52" s="14">
        <f t="shared" si="23"/>
        <v>22.194417182846774</v>
      </c>
      <c r="J52" s="47">
        <f t="shared" si="16"/>
        <v>205.97434001841498</v>
      </c>
      <c r="K52" s="13">
        <f t="shared" si="17"/>
        <v>0.68779978739718084</v>
      </c>
      <c r="L52" s="48">
        <f t="shared" si="18"/>
        <v>3965.9379288313248</v>
      </c>
      <c r="M52" s="48">
        <f t="shared" si="19"/>
        <v>3599.8810302761626</v>
      </c>
      <c r="N52" s="48">
        <f t="shared" si="24"/>
        <v>-366.05689855516221</v>
      </c>
      <c r="O52" s="14">
        <f t="shared" si="20"/>
        <v>-2.0015271430377011</v>
      </c>
      <c r="P52" s="14">
        <f t="shared" si="25"/>
        <v>-0.55677257053235918</v>
      </c>
      <c r="Q52" s="108">
        <f t="shared" si="21"/>
        <v>1.242</v>
      </c>
    </row>
    <row r="53" spans="1:17" x14ac:dyDescent="0.25">
      <c r="F53" s="108">
        <f t="shared" si="15"/>
        <v>0.2</v>
      </c>
      <c r="G53" s="12">
        <f t="shared" si="15"/>
        <v>1.7500000000000002E-2</v>
      </c>
      <c r="H53" s="18">
        <f t="shared" si="22"/>
        <v>2.7063541338079599E-2</v>
      </c>
      <c r="I53" s="14">
        <f t="shared" si="23"/>
        <v>10.922466913211126</v>
      </c>
      <c r="J53" s="47">
        <f t="shared" si="16"/>
        <v>228.43659373578171</v>
      </c>
      <c r="K53" s="13">
        <f t="shared" si="17"/>
        <v>0.76280686512290685</v>
      </c>
      <c r="L53" s="48">
        <f t="shared" si="18"/>
        <v>5097.4721381099689</v>
      </c>
      <c r="M53" s="48">
        <f t="shared" si="19"/>
        <v>3730.0130793011822</v>
      </c>
      <c r="N53" s="48">
        <f t="shared" si="24"/>
        <v>-1367.4590588087867</v>
      </c>
      <c r="O53" s="14">
        <f t="shared" si="20"/>
        <v>-8.2923910939999903</v>
      </c>
      <c r="P53" s="14">
        <f t="shared" si="25"/>
        <v>-2.0803296563163403</v>
      </c>
      <c r="Q53" s="108">
        <f t="shared" si="21"/>
        <v>0.68799999999999994</v>
      </c>
    </row>
    <row r="54" spans="1:17" x14ac:dyDescent="0.25">
      <c r="F54" s="108">
        <f t="shared" si="15"/>
        <v>0.151</v>
      </c>
      <c r="G54" s="12">
        <f t="shared" si="15"/>
        <v>1.6299999999999999E-2</v>
      </c>
      <c r="H54" s="18">
        <f t="shared" si="22"/>
        <v>3.4039276914069584E-2</v>
      </c>
      <c r="I54" s="14">
        <f t="shared" si="23"/>
        <v>2.9714620635880942</v>
      </c>
      <c r="J54" s="47">
        <f t="shared" si="16"/>
        <v>262.90097689521633</v>
      </c>
      <c r="K54" s="13">
        <f t="shared" si="17"/>
        <v>0.87789205198508991</v>
      </c>
      <c r="L54" s="48">
        <f t="shared" si="18"/>
        <v>8491.8753447931595</v>
      </c>
      <c r="M54" s="48">
        <f t="shared" si="19"/>
        <v>3991.2802825433319</v>
      </c>
      <c r="N54" s="48">
        <f t="shared" si="24"/>
        <v>-4500.5950622498276</v>
      </c>
      <c r="O54" s="14">
        <f t="shared" si="20"/>
        <v>-31.409563967339519</v>
      </c>
      <c r="P54" s="14">
        <f t="shared" si="25"/>
        <v>-6.8616879224450704</v>
      </c>
      <c r="Q54" s="108">
        <f t="shared" si="21"/>
        <v>0.23699999999999999</v>
      </c>
    </row>
    <row r="55" spans="1:17" x14ac:dyDescent="0.25">
      <c r="F55" s="108">
        <f t="shared" si="15"/>
        <v>0.12</v>
      </c>
      <c r="G55" s="12">
        <f t="shared" si="15"/>
        <v>1.61E-2</v>
      </c>
      <c r="H55" s="18">
        <f t="shared" si="22"/>
        <v>9.2630555577924212E-2</v>
      </c>
      <c r="I55" s="14">
        <f t="shared" si="23"/>
        <v>0.2013887472764414</v>
      </c>
      <c r="J55" s="47">
        <f t="shared" si="16"/>
        <v>294.9103744010107</v>
      </c>
      <c r="K55" s="13">
        <f t="shared" si="17"/>
        <v>0.98477942833123522</v>
      </c>
      <c r="L55" s="48">
        <f t="shared" si="18"/>
        <v>29078.584007021971</v>
      </c>
      <c r="M55" s="48">
        <f t="shared" si="19"/>
        <v>4300.7464836458003</v>
      </c>
      <c r="N55" s="48">
        <f t="shared" si="24"/>
        <v>-24777.837523376169</v>
      </c>
      <c r="O55" s="14">
        <f t="shared" si="20"/>
        <v>-193.97833155119875</v>
      </c>
      <c r="P55" s="14">
        <f t="shared" si="25"/>
        <v>-41.128766305393739</v>
      </c>
      <c r="Q55" s="108">
        <f t="shared" si="21"/>
        <v>-3.9E-2</v>
      </c>
    </row>
    <row r="56" spans="1:17" ht="15.6" thickBot="1" x14ac:dyDescent="0.3">
      <c r="F56" s="61"/>
      <c r="G56" s="105"/>
      <c r="H56" s="59"/>
      <c r="I56" s="60"/>
      <c r="J56" s="102"/>
      <c r="K56" s="105"/>
      <c r="L56" s="62"/>
      <c r="M56" s="62"/>
      <c r="N56" s="62"/>
      <c r="O56" s="60"/>
      <c r="P56" s="60"/>
      <c r="Q56" s="61"/>
    </row>
    <row r="57" spans="1:17" ht="18.600000000000001" thickBot="1" x14ac:dyDescent="0.3">
      <c r="F57" s="97"/>
      <c r="G57" s="143" t="s">
        <v>197</v>
      </c>
      <c r="H57" s="144"/>
      <c r="I57" s="144"/>
      <c r="J57" s="144"/>
      <c r="K57" s="144"/>
      <c r="L57" s="145"/>
      <c r="M57" s="62"/>
      <c r="N57" s="62"/>
      <c r="O57" s="60"/>
      <c r="P57" s="60"/>
      <c r="Q57" s="61"/>
    </row>
    <row r="58" spans="1:17" ht="18.600000000000001" thickBot="1" x14ac:dyDescent="0.3">
      <c r="B58" s="59" t="s">
        <v>174</v>
      </c>
      <c r="C58" s="59" t="s">
        <v>175</v>
      </c>
      <c r="D58" s="20" t="s">
        <v>176</v>
      </c>
      <c r="E58" s="20" t="s">
        <v>177</v>
      </c>
      <c r="F58" s="97"/>
      <c r="G58" s="98" t="s">
        <v>63</v>
      </c>
      <c r="H58" s="98" t="s">
        <v>53</v>
      </c>
      <c r="I58" s="98" t="s">
        <v>65</v>
      </c>
      <c r="J58" s="98" t="s">
        <v>66</v>
      </c>
      <c r="K58" s="98" t="s">
        <v>84</v>
      </c>
      <c r="L58" s="98" t="s">
        <v>64</v>
      </c>
      <c r="M58" s="62"/>
      <c r="N58" s="62"/>
      <c r="O58" s="60"/>
      <c r="P58" s="60"/>
      <c r="Q58" s="61"/>
    </row>
    <row r="59" spans="1:17" x14ac:dyDescent="0.25">
      <c r="B59" s="27">
        <f t="shared" ref="B59:B73" si="26">-I59*COS(C59+D59-C$14)+0.5*C$16*C$4*C$2*(D59-C$5)*G59^2*SIN(C59)+0.5*C$16*C$4*((C$8+1/PI()/C$7*C$2^2*(D59-C$5)^2)/SQRT(1-H59^2))*G59^2*COS(C59)</f>
        <v>5.4869010773472837E-4</v>
      </c>
      <c r="C59" s="28">
        <v>-9.5259222526864439E-3</v>
      </c>
      <c r="D59" s="32">
        <v>0.19701309353929036</v>
      </c>
      <c r="E59" s="31">
        <f t="shared" ref="E59:E73" si="27">I59*SIN(C59+D59-C$14)+0.5*C$16*C$4*C$2*(D59-C$5)*G59^2*COS(C59)-0.5*C$16*C$4*(C$8+1/PI()/C$7*C$2^2*(D59-C$5)^2)/SQRT(1-H59^2)*G59^2*SIN(C59)-C$20</f>
        <v>-6.89918793796096E-4</v>
      </c>
      <c r="F59" s="97"/>
      <c r="G59" s="81">
        <f>SQRT(2*C$20/C$4/C$16/C$15)</f>
        <v>86.187148316269386</v>
      </c>
      <c r="H59" s="99">
        <f t="shared" ref="H59:H73" si="28">G59/C$19</f>
        <v>0.28780042350420709</v>
      </c>
      <c r="I59" s="100">
        <f t="shared" ref="I59:I73" si="29">C$17*(1-0.605*H59+0.725*H59^2)</f>
        <v>3440.9334214812297</v>
      </c>
      <c r="J59" s="67">
        <f>DEGREES(D59)</f>
        <v>11.288018768617444</v>
      </c>
      <c r="K59" s="67">
        <f>DEGREES(C59)</f>
        <v>-0.54579514104868698</v>
      </c>
      <c r="L59" s="67">
        <f>G59*SIN(RADIANS(K59))</f>
        <v>-0.82099965722145163</v>
      </c>
      <c r="M59" s="62"/>
      <c r="N59" s="62"/>
      <c r="O59" s="60"/>
      <c r="P59" s="60"/>
      <c r="Q59" s="61"/>
    </row>
    <row r="60" spans="1:17" x14ac:dyDescent="0.25">
      <c r="B60" s="27">
        <f t="shared" si="26"/>
        <v>-7.7137805737947929E-4</v>
      </c>
      <c r="C60" s="35">
        <v>-3.8717466433086747E-3</v>
      </c>
      <c r="D60" s="38">
        <v>0.17896981092424019</v>
      </c>
      <c r="E60" s="31">
        <f t="shared" si="27"/>
        <v>-9.4587448984384537E-11</v>
      </c>
      <c r="F60" s="97"/>
      <c r="G60" s="11">
        <v>90</v>
      </c>
      <c r="H60" s="99">
        <f t="shared" si="28"/>
        <v>0.30053248797987153</v>
      </c>
      <c r="I60" s="100">
        <f t="shared" si="29"/>
        <v>3432.1084691011738</v>
      </c>
      <c r="J60" s="67">
        <f t="shared" ref="J60:J73" si="30">DEGREES(D60)</f>
        <v>10.254214826213298</v>
      </c>
      <c r="K60" s="67">
        <f t="shared" ref="K60:K73" si="31">DEGREES(C60)</f>
        <v>-0.22183474200553041</v>
      </c>
      <c r="L60" s="67">
        <f t="shared" ref="L60:L73" si="32">G60*SIN(RADIANS(K60))</f>
        <v>-0.3484563273116883</v>
      </c>
      <c r="M60" s="62"/>
      <c r="N60" s="62"/>
      <c r="O60" s="60"/>
      <c r="P60" s="60"/>
      <c r="Q60" s="61"/>
    </row>
    <row r="61" spans="1:17" x14ac:dyDescent="0.25">
      <c r="B61" s="27">
        <f t="shared" si="26"/>
        <v>-3.7720723548773094E-4</v>
      </c>
      <c r="C61" s="28">
        <v>2.2735735369072518E-3</v>
      </c>
      <c r="D61" s="32">
        <v>0.15843766263346853</v>
      </c>
      <c r="E61" s="31">
        <f t="shared" si="27"/>
        <v>1.8917489796876907E-10</v>
      </c>
      <c r="G61" s="11">
        <v>95</v>
      </c>
      <c r="H61" s="99">
        <f t="shared" si="28"/>
        <v>0.31722873731208662</v>
      </c>
      <c r="I61" s="100">
        <f t="shared" si="29"/>
        <v>3421.9193894498617</v>
      </c>
      <c r="J61" s="67">
        <f t="shared" si="30"/>
        <v>9.0778093848153354</v>
      </c>
      <c r="K61" s="67">
        <f t="shared" si="31"/>
        <v>0.13026616807741664</v>
      </c>
      <c r="L61" s="67">
        <f t="shared" si="32"/>
        <v>0.21598929992637647</v>
      </c>
    </row>
    <row r="62" spans="1:17" x14ac:dyDescent="0.25">
      <c r="B62" s="27">
        <f t="shared" si="26"/>
        <v>2.3511542622145498E-5</v>
      </c>
      <c r="C62" s="35">
        <v>7.215734803700578E-3</v>
      </c>
      <c r="D62" s="38">
        <v>0.14083978446558507</v>
      </c>
      <c r="E62" s="31">
        <f t="shared" si="27"/>
        <v>0</v>
      </c>
      <c r="G62" s="11">
        <v>100</v>
      </c>
      <c r="H62" s="99">
        <f t="shared" si="28"/>
        <v>0.3339249866443017</v>
      </c>
      <c r="I62" s="100">
        <f t="shared" si="29"/>
        <v>3413.3002452979081</v>
      </c>
      <c r="J62" s="67">
        <f t="shared" si="30"/>
        <v>8.0695252374101987</v>
      </c>
      <c r="K62" s="67">
        <f t="shared" si="31"/>
        <v>0.41343115033770267</v>
      </c>
      <c r="L62" s="67">
        <f t="shared" si="32"/>
        <v>0.72156721871255269</v>
      </c>
    </row>
    <row r="63" spans="1:17" x14ac:dyDescent="0.25">
      <c r="B63" s="27">
        <f t="shared" si="26"/>
        <v>1.9021912066818913E-5</v>
      </c>
      <c r="C63" s="28">
        <v>1.0440986189380946E-2</v>
      </c>
      <c r="D63" s="32">
        <v>0.12851449783518226</v>
      </c>
      <c r="E63" s="31">
        <f t="shared" si="27"/>
        <v>-3.7107383832335472E-10</v>
      </c>
      <c r="G63" s="11">
        <f t="shared" ref="G63:G73" si="33">G7</f>
        <v>104</v>
      </c>
      <c r="H63" s="99">
        <f t="shared" si="28"/>
        <v>0.34728198611007377</v>
      </c>
      <c r="I63" s="100">
        <f t="shared" si="29"/>
        <v>3407.5352835358831</v>
      </c>
      <c r="J63" s="67">
        <f t="shared" si="30"/>
        <v>7.3633383321990982</v>
      </c>
      <c r="K63" s="67">
        <f t="shared" si="31"/>
        <v>0.59822444260590824</v>
      </c>
      <c r="L63" s="67">
        <f t="shared" si="32"/>
        <v>1.0858428347313782</v>
      </c>
    </row>
    <row r="64" spans="1:17" x14ac:dyDescent="0.25">
      <c r="B64" s="27">
        <f t="shared" si="26"/>
        <v>-1.036250869219657E-4</v>
      </c>
      <c r="C64" s="35">
        <v>1.7412630097310765E-2</v>
      </c>
      <c r="D64" s="38">
        <v>9.6682668937047161E-2</v>
      </c>
      <c r="E64" s="31">
        <f t="shared" si="27"/>
        <v>-1.1641532182693481E-10</v>
      </c>
      <c r="G64" s="11">
        <f t="shared" si="33"/>
        <v>117</v>
      </c>
      <c r="H64" s="99">
        <f t="shared" si="28"/>
        <v>0.39069223437383299</v>
      </c>
      <c r="I64" s="100">
        <f t="shared" si="29"/>
        <v>3395.7382727164686</v>
      </c>
      <c r="J64" s="67">
        <f t="shared" si="30"/>
        <v>5.5395088821533873</v>
      </c>
      <c r="K64" s="67">
        <f t="shared" si="31"/>
        <v>0.99767021479837881</v>
      </c>
      <c r="L64" s="67">
        <f t="shared" si="32"/>
        <v>2.0371747726181964</v>
      </c>
    </row>
    <row r="65" spans="2:12" x14ac:dyDescent="0.25">
      <c r="B65" s="27">
        <f t="shared" si="26"/>
        <v>4.4117461402493063E-4</v>
      </c>
      <c r="C65" s="28">
        <v>2.0360630088584779E-2</v>
      </c>
      <c r="D65" s="32">
        <v>7.3802659507499993E-2</v>
      </c>
      <c r="E65" s="31">
        <f t="shared" si="27"/>
        <v>4.5110937207937241E-10</v>
      </c>
      <c r="G65" s="11">
        <f t="shared" si="33"/>
        <v>130</v>
      </c>
      <c r="H65" s="99">
        <f t="shared" si="28"/>
        <v>0.43410248263759227</v>
      </c>
      <c r="I65" s="100">
        <f t="shared" si="29"/>
        <v>3394.5540258727178</v>
      </c>
      <c r="J65" s="67">
        <f t="shared" si="30"/>
        <v>4.2285809066208087</v>
      </c>
      <c r="K65" s="67">
        <f t="shared" si="31"/>
        <v>1.1665781723029833</v>
      </c>
      <c r="L65" s="67">
        <f t="shared" si="32"/>
        <v>2.6466990355045605</v>
      </c>
    </row>
    <row r="66" spans="2:12" x14ac:dyDescent="0.25">
      <c r="B66" s="27">
        <f t="shared" si="26"/>
        <v>6.8540096890501445E-5</v>
      </c>
      <c r="C66" s="35">
        <v>2.0260548834429713E-2</v>
      </c>
      <c r="D66" s="38">
        <v>5.5695890717412141E-2</v>
      </c>
      <c r="E66" s="31">
        <f t="shared" si="27"/>
        <v>5.4569682106375694E-10</v>
      </c>
      <c r="G66" s="11">
        <f t="shared" si="33"/>
        <v>144</v>
      </c>
      <c r="H66" s="99">
        <f t="shared" si="28"/>
        <v>0.48085198076779451</v>
      </c>
      <c r="I66" s="100">
        <f t="shared" si="29"/>
        <v>3405.147395493062</v>
      </c>
      <c r="J66" s="67">
        <f t="shared" si="30"/>
        <v>3.1911394743295745</v>
      </c>
      <c r="K66" s="67">
        <f t="shared" si="31"/>
        <v>1.1608439388315219</v>
      </c>
      <c r="L66" s="67">
        <f t="shared" si="32"/>
        <v>2.9173194342682343</v>
      </c>
    </row>
    <row r="67" spans="2:12" x14ac:dyDescent="0.25">
      <c r="B67" s="27">
        <f t="shared" si="26"/>
        <v>-3.0337835642058053E-4</v>
      </c>
      <c r="C67" s="28">
        <v>1.7442306343249416E-2</v>
      </c>
      <c r="D67" s="32">
        <v>4.2150227977567054E-2</v>
      </c>
      <c r="E67" s="31">
        <f t="shared" si="27"/>
        <v>-8.7311491370201111E-11</v>
      </c>
      <c r="G67" s="11">
        <f t="shared" si="33"/>
        <v>158</v>
      </c>
      <c r="H67" s="99">
        <f t="shared" si="28"/>
        <v>0.52760147889799669</v>
      </c>
      <c r="I67" s="100">
        <f t="shared" si="29"/>
        <v>3428.0490594283774</v>
      </c>
      <c r="J67" s="67">
        <f t="shared" si="30"/>
        <v>2.4150301686288356</v>
      </c>
      <c r="K67" s="67">
        <f t="shared" si="31"/>
        <v>0.99937053844245571</v>
      </c>
      <c r="L67" s="67">
        <f t="shared" si="32"/>
        <v>2.7557446653799604</v>
      </c>
    </row>
    <row r="68" spans="2:12" x14ac:dyDescent="0.25">
      <c r="B68" s="27">
        <f t="shared" si="26"/>
        <v>-1.6853133774930029E-4</v>
      </c>
      <c r="C68" s="35">
        <v>1.2651752913061488E-2</v>
      </c>
      <c r="D68" s="38">
        <v>3.2414126572882791E-2</v>
      </c>
      <c r="E68" s="31">
        <f t="shared" si="27"/>
        <v>-5.8207660913467407E-11</v>
      </c>
      <c r="G68" s="11">
        <f t="shared" si="33"/>
        <v>171</v>
      </c>
      <c r="H68" s="99">
        <f t="shared" si="28"/>
        <v>0.57101172716175597</v>
      </c>
      <c r="I68" s="100">
        <f t="shared" si="29"/>
        <v>3460.3358374309541</v>
      </c>
      <c r="J68" s="67">
        <f t="shared" si="30"/>
        <v>1.8571926492290352</v>
      </c>
      <c r="K68" s="67">
        <f t="shared" si="31"/>
        <v>0.72489204536076801</v>
      </c>
      <c r="L68" s="67">
        <f t="shared" si="32"/>
        <v>2.1633920324970757</v>
      </c>
    </row>
    <row r="69" spans="2:12" x14ac:dyDescent="0.25">
      <c r="B69" s="27">
        <f t="shared" si="26"/>
        <v>1.2262360451131826E-4</v>
      </c>
      <c r="C69" s="28">
        <v>5.1525495286724836E-3</v>
      </c>
      <c r="D69" s="32">
        <v>2.4124847832806183E-2</v>
      </c>
      <c r="E69" s="31">
        <f t="shared" si="27"/>
        <v>4.1472958400845528E-10</v>
      </c>
      <c r="G69" s="11">
        <f t="shared" si="33"/>
        <v>185</v>
      </c>
      <c r="H69" s="99">
        <f t="shared" si="28"/>
        <v>0.6177612252919582</v>
      </c>
      <c r="I69" s="100">
        <f t="shared" si="29"/>
        <v>3506.9749261165739</v>
      </c>
      <c r="J69" s="67">
        <f t="shared" si="30"/>
        <v>1.382251962215125</v>
      </c>
      <c r="K69" s="67">
        <f t="shared" si="31"/>
        <v>0.29521934172505487</v>
      </c>
      <c r="L69" s="67">
        <f t="shared" si="32"/>
        <v>0.95321744500009375</v>
      </c>
    </row>
    <row r="70" spans="2:12" x14ac:dyDescent="0.25">
      <c r="B70" s="27">
        <f t="shared" si="26"/>
        <v>-1.3272492424221127E-4</v>
      </c>
      <c r="C70" s="35">
        <v>-5.889546032431899E-3</v>
      </c>
      <c r="D70" s="38">
        <v>1.7090955118307449E-2</v>
      </c>
      <c r="E70" s="31">
        <f t="shared" si="27"/>
        <v>0</v>
      </c>
      <c r="G70" s="11">
        <f t="shared" si="33"/>
        <v>200</v>
      </c>
      <c r="H70" s="99">
        <f t="shared" si="28"/>
        <v>0.6678499732886034</v>
      </c>
      <c r="I70" s="100">
        <f t="shared" si="29"/>
        <v>3570.6038171241566</v>
      </c>
      <c r="J70" s="67">
        <f t="shared" si="30"/>
        <v>0.97923959612652933</v>
      </c>
      <c r="K70" s="67">
        <f t="shared" si="31"/>
        <v>-0.33744613090636688</v>
      </c>
      <c r="L70" s="67">
        <f t="shared" si="32"/>
        <v>-1.1779023968573441</v>
      </c>
    </row>
    <row r="71" spans="2:12" x14ac:dyDescent="0.25">
      <c r="B71" s="27">
        <f t="shared" si="26"/>
        <v>5.2811515161010902E-5</v>
      </c>
      <c r="C71" s="28">
        <v>-1.8558130052672636E-2</v>
      </c>
      <c r="D71" s="32">
        <v>1.2147409564105564E-2</v>
      </c>
      <c r="E71" s="31">
        <f t="shared" si="27"/>
        <v>1.3096723705530167E-10</v>
      </c>
      <c r="G71" s="11">
        <f t="shared" si="33"/>
        <v>213</v>
      </c>
      <c r="H71" s="99">
        <f t="shared" si="28"/>
        <v>0.71126022155236268</v>
      </c>
      <c r="I71" s="100">
        <f t="shared" si="29"/>
        <v>3637.1779864327273</v>
      </c>
      <c r="J71" s="67">
        <f t="shared" si="30"/>
        <v>0.6959953000400998</v>
      </c>
      <c r="K71" s="67">
        <f t="shared" si="31"/>
        <v>-1.0633025276730381</v>
      </c>
      <c r="L71" s="67">
        <f t="shared" si="32"/>
        <v>-3.9526548069557013</v>
      </c>
    </row>
    <row r="72" spans="2:12" x14ac:dyDescent="0.25">
      <c r="B72" s="27">
        <f t="shared" si="26"/>
        <v>-1.1760766938095912E-6</v>
      </c>
      <c r="C72" s="35">
        <v>-3.6549975955442342E-2</v>
      </c>
      <c r="D72" s="38">
        <v>7.7309569684775011E-3</v>
      </c>
      <c r="E72" s="31">
        <f t="shared" si="27"/>
        <v>0</v>
      </c>
      <c r="G72" s="11">
        <f t="shared" si="33"/>
        <v>227</v>
      </c>
      <c r="H72" s="99">
        <f t="shared" si="28"/>
        <v>0.75800971968256492</v>
      </c>
      <c r="I72" s="100">
        <f t="shared" si="29"/>
        <v>3720.7419580632622</v>
      </c>
      <c r="J72" s="67">
        <f t="shared" si="30"/>
        <v>0.44295120589101422</v>
      </c>
      <c r="K72" s="67">
        <f t="shared" si="31"/>
        <v>-2.0941593635514848</v>
      </c>
      <c r="L72" s="67">
        <f t="shared" si="32"/>
        <v>-8.2949973718077548</v>
      </c>
    </row>
    <row r="73" spans="2:12" x14ac:dyDescent="0.25">
      <c r="B73" s="27">
        <f t="shared" si="26"/>
        <v>1.864054320321884E-5</v>
      </c>
      <c r="C73" s="28">
        <v>-5.9145072555831228E-2</v>
      </c>
      <c r="D73" s="32">
        <v>4.2833144158059442E-3</v>
      </c>
      <c r="E73" s="31">
        <f t="shared" si="27"/>
        <v>0</v>
      </c>
      <c r="G73" s="11">
        <f t="shared" si="33"/>
        <v>240</v>
      </c>
      <c r="H73" s="99">
        <f t="shared" si="28"/>
        <v>0.8014199679463242</v>
      </c>
      <c r="I73" s="100">
        <f t="shared" si="29"/>
        <v>3809.3580217828285</v>
      </c>
      <c r="J73" s="67">
        <f t="shared" si="30"/>
        <v>0.24541583835322439</v>
      </c>
      <c r="K73" s="67">
        <f t="shared" si="31"/>
        <v>-3.3887630364441623</v>
      </c>
      <c r="L73" s="67">
        <f t="shared" si="32"/>
        <v>-14.186542951957005</v>
      </c>
    </row>
  </sheetData>
  <mergeCells count="4">
    <mergeCell ref="G57:L57"/>
    <mergeCell ref="G1:L1"/>
    <mergeCell ref="F23:Q23"/>
    <mergeCell ref="F40:Q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C19C-407D-4252-A303-0D6C8A489110}">
  <dimension ref="A1:Y70"/>
  <sheetViews>
    <sheetView workbookViewId="0"/>
  </sheetViews>
  <sheetFormatPr defaultRowHeight="15" x14ac:dyDescent="0.25"/>
  <cols>
    <col min="1" max="1" width="34.77734375" style="23" customWidth="1"/>
    <col min="2" max="2" width="9.5546875" style="23" customWidth="1"/>
    <col min="3" max="6" width="8.88671875" style="23"/>
    <col min="7" max="7" width="9.6640625" style="23" customWidth="1"/>
    <col min="8" max="8" width="9" style="23" bestFit="1" customWidth="1"/>
    <col min="9" max="10" width="9.6640625" style="23" customWidth="1"/>
    <col min="11" max="16" width="8.109375" style="23" customWidth="1"/>
    <col min="17" max="16384" width="8.88671875" style="23"/>
  </cols>
  <sheetData>
    <row r="1" spans="1:12" ht="18.600000000000001" thickBot="1" x14ac:dyDescent="0.3">
      <c r="A1" s="21" t="s">
        <v>10</v>
      </c>
      <c r="B1" s="22" t="s">
        <v>6</v>
      </c>
      <c r="C1" s="22">
        <v>12000</v>
      </c>
      <c r="D1" s="22" t="s">
        <v>3</v>
      </c>
      <c r="G1" s="143" t="s">
        <v>159</v>
      </c>
      <c r="H1" s="144"/>
      <c r="I1" s="144"/>
      <c r="J1" s="144"/>
      <c r="K1" s="144"/>
      <c r="L1" s="145"/>
    </row>
    <row r="2" spans="1:12" ht="18.600000000000001" thickBot="1" x14ac:dyDescent="0.35">
      <c r="A2" s="24" t="s">
        <v>17</v>
      </c>
      <c r="B2" s="25" t="s">
        <v>69</v>
      </c>
      <c r="C2" s="25">
        <f>Podsumowanie!B17</f>
        <v>6.2309999999999999</v>
      </c>
      <c r="D2" s="25" t="s">
        <v>26</v>
      </c>
      <c r="G2" s="98" t="s">
        <v>63</v>
      </c>
      <c r="H2" s="98" t="s">
        <v>53</v>
      </c>
      <c r="I2" s="98" t="s">
        <v>65</v>
      </c>
      <c r="J2" s="98" t="s">
        <v>66</v>
      </c>
      <c r="K2" s="98" t="s">
        <v>84</v>
      </c>
      <c r="L2" s="98" t="s">
        <v>64</v>
      </c>
    </row>
    <row r="3" spans="1:12" ht="18" x14ac:dyDescent="0.3">
      <c r="A3" s="24" t="s">
        <v>62</v>
      </c>
      <c r="B3" s="25" t="s">
        <v>70</v>
      </c>
      <c r="C3" s="25">
        <f>Podsumowanie!B10</f>
        <v>9800</v>
      </c>
      <c r="D3" s="25" t="s">
        <v>28</v>
      </c>
      <c r="G3" s="81">
        <f>SQRT(2*C$11/C$4/C$16/C$15)</f>
        <v>89.964738979971202</v>
      </c>
      <c r="H3" s="99">
        <f t="shared" ref="H3:H17" si="0">G3/C$19</f>
        <v>0.30956723627810012</v>
      </c>
      <c r="I3" s="100">
        <f t="shared" ref="I3:I17" si="1">C$17*(1-0.605*H3+0.725*H3^2)</f>
        <v>2757.0782795102987</v>
      </c>
      <c r="J3" s="67">
        <f t="shared" ref="J3:J17" ca="1" si="2">OFFSET(D24,A24-2,0,1,1)</f>
        <v>11.297600418643501</v>
      </c>
      <c r="K3" s="67">
        <f t="shared" ref="K3:K17" ca="1" si="3">OFFSET(D23,A24-2,0,1,1)</f>
        <v>-0.85375164991066255</v>
      </c>
      <c r="L3" s="67">
        <f ca="1">G3*SIN(RADIANS(K3))</f>
        <v>-1.3404949320616575</v>
      </c>
    </row>
    <row r="4" spans="1:12" ht="18" x14ac:dyDescent="0.3">
      <c r="A4" s="24" t="s">
        <v>16</v>
      </c>
      <c r="B4" s="25" t="s">
        <v>5</v>
      </c>
      <c r="C4" s="25">
        <f>Podsumowanie!B3</f>
        <v>17.5</v>
      </c>
      <c r="D4" s="25" t="s">
        <v>71</v>
      </c>
      <c r="G4" s="47">
        <v>93</v>
      </c>
      <c r="H4" s="19">
        <f t="shared" si="0"/>
        <v>0.32001152118356901</v>
      </c>
      <c r="I4" s="48">
        <f t="shared" si="1"/>
        <v>2752.2292574906678</v>
      </c>
      <c r="J4" s="67">
        <f t="shared" ca="1" si="2"/>
        <v>10.496439270098842</v>
      </c>
      <c r="K4" s="67">
        <f t="shared" ca="1" si="3"/>
        <v>-0.60130222287390744</v>
      </c>
      <c r="L4" s="14">
        <f t="shared" ref="L4:L17" ca="1" si="4">G4*SIN(RADIANS(K4))</f>
        <v>-0.97598951780025411</v>
      </c>
    </row>
    <row r="5" spans="1:12" ht="18" x14ac:dyDescent="0.3">
      <c r="A5" s="24" t="s">
        <v>30</v>
      </c>
      <c r="B5" s="25" t="s">
        <v>72</v>
      </c>
      <c r="C5" s="25">
        <f>Podsumowanie!B31</f>
        <v>-2.4783675378319478E-2</v>
      </c>
      <c r="D5" s="25" t="s">
        <v>29</v>
      </c>
      <c r="G5" s="47">
        <v>96</v>
      </c>
      <c r="H5" s="19">
        <f t="shared" si="0"/>
        <v>0.33033447347981315</v>
      </c>
      <c r="I5" s="48">
        <f t="shared" si="1"/>
        <v>2747.9223114177721</v>
      </c>
      <c r="J5" s="67">
        <f t="shared" ca="1" si="2"/>
        <v>9.7761028250067987</v>
      </c>
      <c r="K5" s="67">
        <f t="shared" ca="1" si="3"/>
        <v>-0.38069537518197821</v>
      </c>
      <c r="L5" s="14">
        <f t="shared" ca="1" si="4"/>
        <v>-0.63785653006723264</v>
      </c>
    </row>
    <row r="6" spans="1:12" ht="15.6" x14ac:dyDescent="0.3">
      <c r="A6" s="24" t="s">
        <v>12</v>
      </c>
      <c r="B6" s="25" t="s">
        <v>3</v>
      </c>
      <c r="C6" s="25">
        <f>Podsumowanie!B7</f>
        <v>3240</v>
      </c>
      <c r="D6" s="25" t="s">
        <v>0</v>
      </c>
      <c r="G6" s="47">
        <v>99</v>
      </c>
      <c r="H6" s="19">
        <f t="shared" si="0"/>
        <v>0.34065742577605729</v>
      </c>
      <c r="I6" s="48">
        <f t="shared" si="1"/>
        <v>2744.0982716140811</v>
      </c>
      <c r="J6" s="67">
        <f t="shared" ca="1" si="2"/>
        <v>9.1186618575688705</v>
      </c>
      <c r="K6" s="67">
        <f t="shared" ca="1" si="3"/>
        <v>-0.18568184327673609</v>
      </c>
      <c r="L6" s="14">
        <f t="shared" ca="1" si="4"/>
        <v>-0.32083463151259578</v>
      </c>
    </row>
    <row r="7" spans="1:12" ht="18" x14ac:dyDescent="0.3">
      <c r="A7" s="24" t="s">
        <v>15</v>
      </c>
      <c r="B7" s="25" t="s">
        <v>73</v>
      </c>
      <c r="C7" s="25">
        <f>Podsumowanie!B14</f>
        <v>5.1340000000000003</v>
      </c>
      <c r="D7" s="25" t="s">
        <v>8</v>
      </c>
      <c r="G7" s="47">
        <v>104</v>
      </c>
      <c r="H7" s="19">
        <f t="shared" si="0"/>
        <v>0.35786234626979757</v>
      </c>
      <c r="I7" s="48">
        <f t="shared" si="1"/>
        <v>2738.7979969839389</v>
      </c>
      <c r="J7" s="67">
        <f t="shared" ca="1" si="2"/>
        <v>8.1439997593264017</v>
      </c>
      <c r="K7" s="67">
        <f t="shared" ca="1" si="3"/>
        <v>8.9609623407613498E-2</v>
      </c>
      <c r="L7" s="14">
        <f t="shared" ca="1" si="4"/>
        <v>0.16265416256338622</v>
      </c>
    </row>
    <row r="8" spans="1:12" ht="18" x14ac:dyDescent="0.3">
      <c r="A8" s="24" t="s">
        <v>18</v>
      </c>
      <c r="B8" s="25" t="s">
        <v>74</v>
      </c>
      <c r="C8" s="25">
        <f>Podsumowanie!B15</f>
        <v>1.533E-2</v>
      </c>
      <c r="D8" s="25" t="s">
        <v>8</v>
      </c>
      <c r="G8" s="47">
        <v>117</v>
      </c>
      <c r="H8" s="19">
        <f t="shared" si="0"/>
        <v>0.40259513955352227</v>
      </c>
      <c r="I8" s="48">
        <f t="shared" si="1"/>
        <v>2731.2950644452267</v>
      </c>
      <c r="J8" s="67">
        <f t="shared" ca="1" si="2"/>
        <v>6.1591964384773208</v>
      </c>
      <c r="K8" s="67">
        <f t="shared" ca="1" si="3"/>
        <v>0.57468229532239989</v>
      </c>
      <c r="L8" s="14">
        <f t="shared" ca="1" si="4"/>
        <v>1.1735018136304163</v>
      </c>
    </row>
    <row r="9" spans="1:12" ht="18" x14ac:dyDescent="0.3">
      <c r="A9" s="24" t="s">
        <v>14</v>
      </c>
      <c r="B9" s="25" t="s">
        <v>75</v>
      </c>
      <c r="C9" s="25">
        <f>Podsumowanie!B12</f>
        <v>243.33333333333334</v>
      </c>
      <c r="D9" s="25" t="s">
        <v>27</v>
      </c>
      <c r="G9" s="47">
        <v>130</v>
      </c>
      <c r="H9" s="19">
        <f t="shared" si="0"/>
        <v>0.44732793283724698</v>
      </c>
      <c r="I9" s="48">
        <f t="shared" si="1"/>
        <v>2732.8600385171299</v>
      </c>
      <c r="J9" s="67">
        <f t="shared" ca="1" si="2"/>
        <v>4.7320193415196519</v>
      </c>
      <c r="K9" s="67">
        <f t="shared" ca="1" si="3"/>
        <v>0.81417620023315518</v>
      </c>
      <c r="L9" s="14">
        <f t="shared" ca="1" si="4"/>
        <v>1.8472450309436257</v>
      </c>
    </row>
    <row r="10" spans="1:12" ht="18" x14ac:dyDescent="0.3">
      <c r="A10" s="24" t="s">
        <v>25</v>
      </c>
      <c r="B10" s="25" t="s">
        <v>24</v>
      </c>
      <c r="C10" s="25">
        <f>Podsumowanie!B2</f>
        <v>1.2255</v>
      </c>
      <c r="D10" s="25" t="s">
        <v>76</v>
      </c>
      <c r="G10" s="47">
        <v>144</v>
      </c>
      <c r="H10" s="19">
        <f t="shared" si="0"/>
        <v>0.49550171021971973</v>
      </c>
      <c r="I10" s="48">
        <f t="shared" si="1"/>
        <v>2744.6864268632412</v>
      </c>
      <c r="J10" s="67">
        <f t="shared" ca="1" si="2"/>
        <v>3.6023161635123353</v>
      </c>
      <c r="K10" s="67">
        <f t="shared" ca="1" si="3"/>
        <v>0.87395152160123302</v>
      </c>
      <c r="L10" s="14">
        <f t="shared" ca="1" si="4"/>
        <v>2.1963945712032751</v>
      </c>
    </row>
    <row r="11" spans="1:12" ht="15.6" x14ac:dyDescent="0.3">
      <c r="A11" s="24" t="s">
        <v>19</v>
      </c>
      <c r="B11" s="25" t="s">
        <v>13</v>
      </c>
      <c r="C11" s="25">
        <f>Podsumowanie!B8</f>
        <v>31784.400000000001</v>
      </c>
      <c r="D11" s="25" t="s">
        <v>28</v>
      </c>
      <c r="G11" s="47">
        <v>158</v>
      </c>
      <c r="H11" s="19">
        <f t="shared" si="0"/>
        <v>0.54367548760219253</v>
      </c>
      <c r="I11" s="48">
        <f t="shared" si="1"/>
        <v>2767.0294406275812</v>
      </c>
      <c r="J11" s="67">
        <f t="shared" ca="1" si="2"/>
        <v>2.7570671751419145</v>
      </c>
      <c r="K11" s="67">
        <f t="shared" ca="1" si="3"/>
        <v>0.77081672647254074</v>
      </c>
      <c r="L11" s="14">
        <f t="shared" ca="1" si="4"/>
        <v>2.1255556703123699</v>
      </c>
    </row>
    <row r="12" spans="1:12" ht="18" x14ac:dyDescent="0.3">
      <c r="A12" s="24" t="s">
        <v>59</v>
      </c>
      <c r="B12" s="25" t="s">
        <v>77</v>
      </c>
      <c r="C12" s="25">
        <f>Podsumowanie!B13</f>
        <v>340.3</v>
      </c>
      <c r="D12" s="25" t="s">
        <v>55</v>
      </c>
      <c r="G12" s="47">
        <v>171</v>
      </c>
      <c r="H12" s="19">
        <f t="shared" si="0"/>
        <v>0.58840828088591712</v>
      </c>
      <c r="I12" s="48">
        <f t="shared" si="1"/>
        <v>2797.1931970868113</v>
      </c>
      <c r="J12" s="67">
        <f t="shared" ca="1" si="2"/>
        <v>2.1494926374061092</v>
      </c>
      <c r="K12" s="67">
        <f t="shared" ca="1" si="3"/>
        <v>0.54561341156002563</v>
      </c>
      <c r="L12" s="14">
        <f t="shared" ca="1" si="4"/>
        <v>1.6283657201363408</v>
      </c>
    </row>
    <row r="13" spans="1:12" ht="18" x14ac:dyDescent="0.3">
      <c r="A13" s="24" t="s">
        <v>60</v>
      </c>
      <c r="B13" s="25" t="s">
        <v>78</v>
      </c>
      <c r="C13" s="25">
        <f>Podsumowanie!B18</f>
        <v>288.14999999999998</v>
      </c>
      <c r="D13" s="25" t="s">
        <v>56</v>
      </c>
      <c r="G13" s="47">
        <v>185</v>
      </c>
      <c r="H13" s="19">
        <f t="shared" si="0"/>
        <v>0.63658205826838987</v>
      </c>
      <c r="I13" s="48">
        <f t="shared" si="1"/>
        <v>2839.8182741577357</v>
      </c>
      <c r="J13" s="67">
        <f t="shared" ca="1" si="2"/>
        <v>1.6321950136229166</v>
      </c>
      <c r="K13" s="67">
        <f t="shared" ca="1" si="3"/>
        <v>0.16362349119673655</v>
      </c>
      <c r="L13" s="14">
        <f t="shared" ca="1" si="4"/>
        <v>0.52831648306599266</v>
      </c>
    </row>
    <row r="14" spans="1:12" ht="15.6" x14ac:dyDescent="0.3">
      <c r="A14" s="24" t="s">
        <v>11</v>
      </c>
      <c r="B14" s="25" t="s">
        <v>22</v>
      </c>
      <c r="C14" s="25">
        <f>Podsumowanie!B30</f>
        <v>1.7453292519943295E-2</v>
      </c>
      <c r="D14" s="25" t="s">
        <v>29</v>
      </c>
      <c r="G14" s="47">
        <v>200</v>
      </c>
      <c r="H14" s="19">
        <f t="shared" si="0"/>
        <v>0.68819681974961078</v>
      </c>
      <c r="I14" s="48">
        <f t="shared" si="1"/>
        <v>2897.1582344299759</v>
      </c>
      <c r="J14" s="67">
        <f t="shared" ca="1" si="2"/>
        <v>1.1932458170543385</v>
      </c>
      <c r="K14" s="67">
        <f t="shared" ca="1" si="3"/>
        <v>-0.42698422277695375</v>
      </c>
      <c r="L14" s="14">
        <f t="shared" ca="1" si="4"/>
        <v>-1.4904423125613862</v>
      </c>
    </row>
    <row r="15" spans="1:12" ht="18" x14ac:dyDescent="0.25">
      <c r="A15" s="25" t="s">
        <v>94</v>
      </c>
      <c r="B15" s="25" t="s">
        <v>95</v>
      </c>
      <c r="C15" s="25">
        <f>Podsumowanie!B16</f>
        <v>1.405</v>
      </c>
      <c r="D15" s="25" t="s">
        <v>8</v>
      </c>
      <c r="G15" s="47">
        <v>213</v>
      </c>
      <c r="H15" s="19">
        <f t="shared" si="0"/>
        <v>0.73292961303333548</v>
      </c>
      <c r="I15" s="48">
        <f t="shared" si="1"/>
        <v>2956.6183045542725</v>
      </c>
      <c r="J15" s="67">
        <f t="shared" ca="1" si="2"/>
        <v>0.88474781401340918</v>
      </c>
      <c r="K15" s="67">
        <f t="shared" ca="1" si="3"/>
        <v>-1.1302535782077927</v>
      </c>
      <c r="L15" s="14">
        <f t="shared" ca="1" si="4"/>
        <v>-4.2015031583585767</v>
      </c>
    </row>
    <row r="16" spans="1:12" ht="18.600000000000001" x14ac:dyDescent="0.25">
      <c r="A16" s="23" t="s">
        <v>21</v>
      </c>
      <c r="B16" s="20" t="s">
        <v>79</v>
      </c>
      <c r="C16" s="20">
        <f>C10*(1-C1/44300)^4.256</f>
        <v>0.31943683325898986</v>
      </c>
      <c r="D16" s="20" t="s">
        <v>80</v>
      </c>
      <c r="G16" s="47">
        <v>227</v>
      </c>
      <c r="H16" s="19">
        <f t="shared" si="0"/>
        <v>0.78110339041580823</v>
      </c>
      <c r="I16" s="48">
        <f t="shared" si="1"/>
        <v>3030.7932578798841</v>
      </c>
      <c r="J16" s="67">
        <f t="shared" ca="1" si="2"/>
        <v>0.60911247286070835</v>
      </c>
      <c r="K16" s="67">
        <f t="shared" ca="1" si="3"/>
        <v>-2.1668570218858165</v>
      </c>
      <c r="L16" s="14">
        <f t="shared" ca="1" si="4"/>
        <v>-8.5828189191682238</v>
      </c>
    </row>
    <row r="17" spans="1:25" ht="18.600000000000001" x14ac:dyDescent="0.25">
      <c r="A17" s="23" t="s">
        <v>20</v>
      </c>
      <c r="B17" s="20" t="s">
        <v>81</v>
      </c>
      <c r="C17" s="20">
        <f>C3*(C16/C10)^0.85</f>
        <v>3125.2660952758069</v>
      </c>
      <c r="D17" s="20" t="s">
        <v>28</v>
      </c>
      <c r="G17" s="47">
        <v>240</v>
      </c>
      <c r="H17" s="19">
        <f t="shared" si="0"/>
        <v>0.82583618369953282</v>
      </c>
      <c r="I17" s="48">
        <f t="shared" si="1"/>
        <v>3109.0866725031515</v>
      </c>
      <c r="J17" s="67">
        <f t="shared" ca="1" si="2"/>
        <v>0.39379849314388277</v>
      </c>
      <c r="K17" s="67">
        <f t="shared" ca="1" si="3"/>
        <v>-3.5291408746934261</v>
      </c>
      <c r="L17" s="14">
        <f t="shared" ca="1" si="4"/>
        <v>-14.773484922705999</v>
      </c>
    </row>
    <row r="18" spans="1:25" ht="18.600000000000001" x14ac:dyDescent="0.25">
      <c r="A18" s="23" t="s">
        <v>61</v>
      </c>
      <c r="B18" s="20" t="s">
        <v>82</v>
      </c>
      <c r="C18" s="20">
        <f>C13-6.5*C1/1000</f>
        <v>210.14999999999998</v>
      </c>
      <c r="D18" s="20" t="s">
        <v>56</v>
      </c>
    </row>
    <row r="19" spans="1:25" ht="18.600000000000001" x14ac:dyDescent="0.3">
      <c r="A19" s="23" t="s">
        <v>54</v>
      </c>
      <c r="B19" s="20" t="s">
        <v>83</v>
      </c>
      <c r="C19" s="20">
        <f>C12*SQRT(C18/C13)</f>
        <v>290.61453680179278</v>
      </c>
      <c r="D19" s="20" t="s">
        <v>55</v>
      </c>
      <c r="Y19" s="41"/>
    </row>
    <row r="20" spans="1:25" ht="18.600000000000001" x14ac:dyDescent="0.3">
      <c r="A20" s="21" t="s">
        <v>155</v>
      </c>
      <c r="B20" s="22" t="s">
        <v>157</v>
      </c>
      <c r="C20" s="22">
        <f>Podsumowanie!B9</f>
        <v>37670.400000000001</v>
      </c>
      <c r="D20" s="22" t="s">
        <v>28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03"/>
    </row>
    <row r="21" spans="1:25" ht="15.6" x14ac:dyDescent="0.25">
      <c r="F21" s="104"/>
      <c r="G21" s="104"/>
      <c r="H21" s="104"/>
      <c r="I21" s="104"/>
      <c r="J21" s="104"/>
      <c r="K21" s="104"/>
      <c r="L21" s="104"/>
      <c r="M21" s="104"/>
      <c r="N21" s="104"/>
      <c r="O21" s="104"/>
    </row>
    <row r="22" spans="1:25" ht="15.6" thickBot="1" x14ac:dyDescent="0.3"/>
    <row r="23" spans="1:25" ht="18.600000000000001" thickBot="1" x14ac:dyDescent="0.3">
      <c r="A23" s="26">
        <v>1</v>
      </c>
      <c r="B23" s="27">
        <f>-I3*COS(C23+C24-C$14)+0.5*C$16*C$4*C$2*(C24-C$5)*G3^2*SIN(C23)+0.5*C$16*C$4*((C$8+1/PI()/C$7*C$2^2*(C24-C$5)^2)/SQRT(1-H3^2))*G3^2*COS(C23)</f>
        <v>4.200278055122908E-3</v>
      </c>
      <c r="C23" s="28">
        <v>-1.4900777285275014E-2</v>
      </c>
      <c r="D23" s="29">
        <f t="shared" ref="D23:D52" si="5">DEGREES(C23)</f>
        <v>-0.85375164991066255</v>
      </c>
      <c r="F23" s="143" t="s">
        <v>168</v>
      </c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</row>
    <row r="24" spans="1:25" ht="18.600000000000001" thickBot="1" x14ac:dyDescent="0.3">
      <c r="A24" s="30">
        <v>2</v>
      </c>
      <c r="B24" s="31">
        <f>I3*SIN(C23+C24-C$14)+0.5*C$16*C$4*C$2*(C24-C$5)*G3^2*COS(C23)-0.5*C$16*C$4*(C$8+1/PI()/C$7*C$2^2*(C24-C$5)^2)/SQRT(1-H3^2)*G3^2*SIN(C23)-C$11</f>
        <v>1.3678800314664841E-9</v>
      </c>
      <c r="C24" s="32">
        <v>0.19718032488001885</v>
      </c>
      <c r="D24" s="33">
        <f t="shared" si="5"/>
        <v>11.297600418643501</v>
      </c>
      <c r="F24" s="98" t="s">
        <v>1</v>
      </c>
      <c r="G24" s="98" t="s">
        <v>7</v>
      </c>
      <c r="H24" s="98" t="s">
        <v>109</v>
      </c>
      <c r="I24" s="98" t="s">
        <v>2</v>
      </c>
      <c r="J24" s="98" t="s">
        <v>63</v>
      </c>
      <c r="K24" s="98" t="s">
        <v>53</v>
      </c>
      <c r="L24" s="98" t="s">
        <v>67</v>
      </c>
      <c r="M24" s="98" t="s">
        <v>65</v>
      </c>
      <c r="N24" s="98" t="s">
        <v>68</v>
      </c>
      <c r="O24" s="98" t="s">
        <v>64</v>
      </c>
      <c r="P24" s="98" t="s">
        <v>84</v>
      </c>
      <c r="Q24" s="98" t="s">
        <v>66</v>
      </c>
    </row>
    <row r="25" spans="1:25" x14ac:dyDescent="0.25">
      <c r="A25" s="34">
        <v>3</v>
      </c>
      <c r="B25" s="27">
        <f>-I4*COS(C25+C26-C$14)+0.5*C$16*C$4*C$2*(C26-C$5)*G4^2*SIN(C25)+0.5*C$16*C$4*(C$8+1/PI()/C$7*C$2^2*(C26-C$5)^2)/SQRT(1-H4^2)*G4^2*COS(C25)</f>
        <v>2.0883206047983549E-3</v>
      </c>
      <c r="C25" s="35">
        <v>-1.0494703588710444E-2</v>
      </c>
      <c r="D25" s="36">
        <f t="shared" si="5"/>
        <v>-0.60130222287390744</v>
      </c>
      <c r="F25" s="42">
        <v>1.405</v>
      </c>
      <c r="G25" s="101">
        <v>0.1406</v>
      </c>
      <c r="H25" s="101">
        <f>G25/SQRT(1-K25^2)</f>
        <v>0.14786341220770036</v>
      </c>
      <c r="I25" s="43">
        <f>F25^3/H25^2</f>
        <v>126.85498098686605</v>
      </c>
      <c r="J25" s="44">
        <f t="shared" ref="J25:J37" si="6">SQRT((2*C$11)/(C$4*C$16*F25))</f>
        <v>89.964738979971202</v>
      </c>
      <c r="K25" s="42">
        <f t="shared" ref="K25:K37" si="7">J25/C$19</f>
        <v>0.30956723627810012</v>
      </c>
      <c r="L25" s="46">
        <f t="shared" ref="L25:L37" si="8">C$11*SQRT((2*C$11)/(C$16*C$4*I25))/J25</f>
        <v>3345.0176789853604</v>
      </c>
      <c r="M25" s="46">
        <f t="shared" ref="M25:M37" si="9">C$17*(1-0.605*K25+0.725*K25^2)</f>
        <v>2757.0782795102987</v>
      </c>
      <c r="N25" s="46">
        <f>(M25-L25)</f>
        <v>-587.93939947506169</v>
      </c>
      <c r="O25" s="43">
        <f t="shared" ref="O25:O37" si="10">N25/C$11*J25</f>
        <v>-1.664143875920733</v>
      </c>
      <c r="P25" s="43">
        <f>DEGREES(ASIN(O25/J25))</f>
        <v>-1.059902579747394</v>
      </c>
      <c r="Q25" s="43">
        <v>12.989000000000001</v>
      </c>
    </row>
    <row r="26" spans="1:25" x14ac:dyDescent="0.25">
      <c r="A26" s="37">
        <v>4</v>
      </c>
      <c r="B26" s="31">
        <f>I4*SIN(C25+C26-C$14)+0.5*C$16*C$4*C$2*(C26-C$5)*G4^2*COS(C25)-0.5*C$16*C$4*(C$8+1/PI()/C$7*C$2^2*(C26-C$5)^2)/SQRT(1-H4^2)*G4^2*SIN(C25)-C$11</f>
        <v>6.1481841839849949E-10</v>
      </c>
      <c r="C26" s="38">
        <v>0.18319742499885516</v>
      </c>
      <c r="D26" s="39">
        <f t="shared" si="5"/>
        <v>10.496439270098842</v>
      </c>
      <c r="F26" s="13">
        <v>1.3560000000000001</v>
      </c>
      <c r="G26" s="18">
        <v>0.13239999999999999</v>
      </c>
      <c r="H26" s="18">
        <f t="shared" ref="H26:H37" si="11">G26/SQRT(1-K26^2)</f>
        <v>0.13950721088033372</v>
      </c>
      <c r="I26" s="14">
        <f t="shared" ref="I26:I37" si="12">F26^3/H26^2</f>
        <v>128.11080389311309</v>
      </c>
      <c r="J26" s="47">
        <f t="shared" si="6"/>
        <v>91.575783191055109</v>
      </c>
      <c r="K26" s="13">
        <f t="shared" si="7"/>
        <v>0.3151108137908199</v>
      </c>
      <c r="L26" s="48">
        <f t="shared" si="8"/>
        <v>3270.0243314932736</v>
      </c>
      <c r="M26" s="48">
        <f t="shared" si="9"/>
        <v>2754.4429776894085</v>
      </c>
      <c r="N26" s="48">
        <f t="shared" ref="N26:N37" si="13">(M26-L26)</f>
        <v>-515.58135380386511</v>
      </c>
      <c r="O26" s="14">
        <f t="shared" si="10"/>
        <v>-1.4854697988099015</v>
      </c>
      <c r="P26" s="14">
        <f t="shared" ref="P26:P37" si="14">DEGREES(ASIN(O26/J26))</f>
        <v>-0.92944750301015733</v>
      </c>
      <c r="Q26" s="14">
        <v>11.238</v>
      </c>
    </row>
    <row r="27" spans="1:25" x14ac:dyDescent="0.25">
      <c r="A27" s="26">
        <v>5</v>
      </c>
      <c r="B27" s="27">
        <f>-I5*COS(C27+C28-C$14)+0.5*C$16*C$4*C$2*(C28-C$5)*G5^2*SIN(C27)+0.5*C$16*C$4*(C$8+1/PI()/C$7*C$2^2*(C28-C$5)^2)/SQRT(1-H5^2)*G5^2*COS(C27)</f>
        <v>5.2280956697359215E-4</v>
      </c>
      <c r="C27" s="28">
        <v>-6.6443877440406267E-3</v>
      </c>
      <c r="D27" s="29">
        <f t="shared" si="5"/>
        <v>-0.38069537518197821</v>
      </c>
      <c r="F27" s="13">
        <v>1.302</v>
      </c>
      <c r="G27" s="18">
        <v>0.1231</v>
      </c>
      <c r="H27" s="18">
        <f t="shared" si="11"/>
        <v>0.13000553555612754</v>
      </c>
      <c r="I27" s="14">
        <f t="shared" si="12"/>
        <v>130.58980197230812</v>
      </c>
      <c r="J27" s="47">
        <f t="shared" si="6"/>
        <v>93.455527735422194</v>
      </c>
      <c r="K27" s="13">
        <f t="shared" si="7"/>
        <v>0.32157898487769548</v>
      </c>
      <c r="L27" s="48">
        <f t="shared" si="8"/>
        <v>3173.6927375807832</v>
      </c>
      <c r="M27" s="48">
        <f t="shared" si="9"/>
        <v>2751.5441838112611</v>
      </c>
      <c r="N27" s="48">
        <f t="shared" si="13"/>
        <v>-422.1485537695221</v>
      </c>
      <c r="O27" s="14">
        <f t="shared" si="10"/>
        <v>-1.2412414856116818</v>
      </c>
      <c r="P27" s="14">
        <f t="shared" si="14"/>
        <v>-0.76100356240978595</v>
      </c>
      <c r="Q27" s="14">
        <v>10.574999999999999</v>
      </c>
    </row>
    <row r="28" spans="1:25" x14ac:dyDescent="0.25">
      <c r="A28" s="30">
        <v>6</v>
      </c>
      <c r="B28" s="31">
        <f>I5*SIN(C27+C28-C$14)+0.5*C$16*C$4*C$2*(C28-C$5)*G5^2*COS(C27)-0.5*C$16*C$4*(C$8+1/PI()/C$7*C$2^2*(C28-C$5)^2)/SQRT(1-H5^2)*G5^2*SIN(C27)-C$11</f>
        <v>0</v>
      </c>
      <c r="C28" s="32">
        <v>0.17062518230988769</v>
      </c>
      <c r="D28" s="33">
        <f t="shared" si="5"/>
        <v>9.7761028250067987</v>
      </c>
      <c r="F28" s="13">
        <v>1.1930000000000001</v>
      </c>
      <c r="G28" s="18">
        <v>0.1061</v>
      </c>
      <c r="H28" s="18">
        <f t="shared" si="11"/>
        <v>0.11264701112365126</v>
      </c>
      <c r="I28" s="14">
        <f t="shared" si="12"/>
        <v>133.807970889584</v>
      </c>
      <c r="J28" s="47">
        <f t="shared" si="6"/>
        <v>97.631568052592556</v>
      </c>
      <c r="K28" s="13">
        <f t="shared" si="7"/>
        <v>0.33594867320480948</v>
      </c>
      <c r="L28" s="48">
        <f t="shared" si="8"/>
        <v>3001.1883154724069</v>
      </c>
      <c r="M28" s="48">
        <f t="shared" si="9"/>
        <v>2745.7826854745595</v>
      </c>
      <c r="N28" s="48">
        <f t="shared" si="13"/>
        <v>-255.40562999784743</v>
      </c>
      <c r="O28" s="14">
        <f t="shared" si="10"/>
        <v>-0.78452486585086134</v>
      </c>
      <c r="P28" s="14">
        <f t="shared" si="14"/>
        <v>-0.46040894749372019</v>
      </c>
      <c r="Q28" s="14">
        <v>9.5760000000000005</v>
      </c>
    </row>
    <row r="29" spans="1:25" x14ac:dyDescent="0.25">
      <c r="A29" s="34">
        <v>7</v>
      </c>
      <c r="B29" s="27">
        <f>-I6*COS(C29+C30-C$14)+0.5*C$16*C$4*C$2*(C30-C$5)*G6^2*SIN(C29)+0.5*C$16*C$4*(C$8+1/PI()/C$7*C$2^2*(C30-C$5)^2)/SQRT(1-H6^2)*G6^2*COS(C29)</f>
        <v>6.7029015553998761E-5</v>
      </c>
      <c r="C29" s="35">
        <v>-3.2407595263511412E-3</v>
      </c>
      <c r="D29" s="36">
        <f t="shared" si="5"/>
        <v>-0.18568184327673609</v>
      </c>
      <c r="F29" s="13">
        <v>1.095</v>
      </c>
      <c r="G29" s="18">
        <v>9.1899999999999996E-2</v>
      </c>
      <c r="H29" s="18">
        <f t="shared" si="11"/>
        <v>9.8131038474463361E-2</v>
      </c>
      <c r="I29" s="14">
        <f t="shared" si="12"/>
        <v>136.34197097667337</v>
      </c>
      <c r="J29" s="47">
        <f t="shared" si="6"/>
        <v>101.90686156350351</v>
      </c>
      <c r="K29" s="13">
        <f t="shared" si="7"/>
        <v>0.35065989019333482</v>
      </c>
      <c r="L29" s="48">
        <f t="shared" si="8"/>
        <v>2848.4348669294372</v>
      </c>
      <c r="M29" s="48">
        <f t="shared" si="9"/>
        <v>2740.8536039360679</v>
      </c>
      <c r="N29" s="48">
        <f t="shared" si="13"/>
        <v>-107.58126299336936</v>
      </c>
      <c r="O29" s="14">
        <f t="shared" si="10"/>
        <v>-0.34492609187815892</v>
      </c>
      <c r="P29" s="14">
        <f t="shared" si="14"/>
        <v>-0.19393048456598028</v>
      </c>
      <c r="Q29" s="14">
        <v>8.6869999999999994</v>
      </c>
    </row>
    <row r="30" spans="1:25" x14ac:dyDescent="0.25">
      <c r="A30" s="37">
        <v>8</v>
      </c>
      <c r="B30" s="31">
        <f>I6*SIN(C29+C30-C$14)+0.5*C$16*C$4*C$2*(C30-C$5)*G6^2*COS(C29)-0.5*C$16*C$4*(C$8+1/PI()/C$7*C$2^2*(C30-C$5)^2)/SQRT(1-H6^2)*G6^2*SIN(C29)-C$11</f>
        <v>-1.6007106751203537E-10</v>
      </c>
      <c r="C30" s="38">
        <v>0.159150672790599</v>
      </c>
      <c r="D30" s="39">
        <f t="shared" si="5"/>
        <v>9.1186618575688705</v>
      </c>
      <c r="F30" s="13">
        <v>0.997</v>
      </c>
      <c r="G30" s="18">
        <v>7.9399999999999998E-2</v>
      </c>
      <c r="H30" s="18">
        <f t="shared" si="11"/>
        <v>8.5373823549425076E-2</v>
      </c>
      <c r="I30" s="14">
        <f t="shared" si="12"/>
        <v>135.96778122527985</v>
      </c>
      <c r="J30" s="47">
        <f t="shared" si="6"/>
        <v>106.79794773237124</v>
      </c>
      <c r="K30" s="13">
        <f t="shared" si="7"/>
        <v>0.3674900399260152</v>
      </c>
      <c r="L30" s="48">
        <f t="shared" si="8"/>
        <v>2721.7209199842996</v>
      </c>
      <c r="M30" s="48">
        <f t="shared" si="9"/>
        <v>2736.4173614737215</v>
      </c>
      <c r="N30" s="48">
        <f t="shared" si="13"/>
        <v>14.696441489421886</v>
      </c>
      <c r="O30" s="14">
        <f t="shared" si="10"/>
        <v>4.9381136344846234E-2</v>
      </c>
      <c r="P30" s="14">
        <f t="shared" si="14"/>
        <v>2.6492370509082659E-2</v>
      </c>
      <c r="Q30" s="14">
        <v>8.0169999999999995</v>
      </c>
    </row>
    <row r="31" spans="1:25" x14ac:dyDescent="0.25">
      <c r="A31" s="26">
        <v>9</v>
      </c>
      <c r="B31" s="27">
        <f>-I7*COS(C31+C32-C$14)+0.5*C$16*C$4*C$2*(C32-C$5)*G7^2*SIN(C31)+0.5*C$16*C$4*(C$8+1/PI()/C$7*C$2^2*(C32-C$5)^2)/SQRT(1-H7^2)*G7^2*COS(C31)</f>
        <v>-9.6162980298686307E-6</v>
      </c>
      <c r="C31" s="28">
        <v>1.5639829699350362E-3</v>
      </c>
      <c r="D31" s="29">
        <f t="shared" si="5"/>
        <v>8.9609623407613498E-2</v>
      </c>
      <c r="F31" s="13">
        <v>0.80100000000000005</v>
      </c>
      <c r="G31" s="18">
        <v>5.7599999999999998E-2</v>
      </c>
      <c r="H31" s="18">
        <f t="shared" si="11"/>
        <v>6.3151768112648471E-2</v>
      </c>
      <c r="I31" s="14">
        <f t="shared" si="12"/>
        <v>128.86249017524281</v>
      </c>
      <c r="J31" s="47">
        <f t="shared" si="6"/>
        <v>119.15004983502457</v>
      </c>
      <c r="K31" s="13">
        <f t="shared" si="7"/>
        <v>0.40999342684735773</v>
      </c>
      <c r="L31" s="48">
        <f t="shared" si="8"/>
        <v>2505.9189243441501</v>
      </c>
      <c r="M31" s="48">
        <f t="shared" si="9"/>
        <v>2730.928048336978</v>
      </c>
      <c r="N31" s="48">
        <f t="shared" si="13"/>
        <v>225.00912399282788</v>
      </c>
      <c r="O31" s="14">
        <f t="shared" si="10"/>
        <v>0.8434907796617418</v>
      </c>
      <c r="P31" s="14">
        <f t="shared" si="14"/>
        <v>0.40561347205884568</v>
      </c>
      <c r="Q31" s="14">
        <v>6.1310000000000002</v>
      </c>
    </row>
    <row r="32" spans="1:25" x14ac:dyDescent="0.25">
      <c r="A32" s="30">
        <v>10</v>
      </c>
      <c r="B32" s="31">
        <f>I7*SIN(C31+C32-C$14)+0.5*C$16*C$4*C$2*(C32-C$5)*G7^2*COS(C31)-0.5*C$16*C$4*(C$8+1/PI()/C$7*C$2^2*(C32-C$5)^2)/SQRT(1-H7^2)*G7^2*SIN(C31)-C$11</f>
        <v>-4.3655745685100555E-11</v>
      </c>
      <c r="C32" s="32">
        <v>0.14213961008187148</v>
      </c>
      <c r="D32" s="33">
        <f t="shared" si="5"/>
        <v>8.1439997593264017</v>
      </c>
      <c r="F32" s="13">
        <v>0.61099999999999999</v>
      </c>
      <c r="G32" s="18">
        <v>4.0599999999999997E-2</v>
      </c>
      <c r="H32" s="18">
        <f t="shared" si="11"/>
        <v>4.5981244318408762E-2</v>
      </c>
      <c r="I32" s="14">
        <f t="shared" si="12"/>
        <v>107.88527955962084</v>
      </c>
      <c r="J32" s="47">
        <f t="shared" si="6"/>
        <v>136.42371797599583</v>
      </c>
      <c r="K32" s="13">
        <f t="shared" si="7"/>
        <v>0.46943184424749063</v>
      </c>
      <c r="L32" s="48">
        <f t="shared" si="8"/>
        <v>2391.9578754730464</v>
      </c>
      <c r="M32" s="48">
        <f t="shared" si="9"/>
        <v>2736.980754515861</v>
      </c>
      <c r="N32" s="48">
        <f t="shared" si="13"/>
        <v>345.02287904281457</v>
      </c>
      <c r="O32" s="14">
        <f t="shared" si="10"/>
        <v>1.480893266690674</v>
      </c>
      <c r="P32" s="14">
        <f t="shared" si="14"/>
        <v>0.62196370085171193</v>
      </c>
      <c r="Q32" s="14">
        <v>4.5730000000000004</v>
      </c>
    </row>
    <row r="33" spans="1:17" x14ac:dyDescent="0.25">
      <c r="A33" s="34">
        <v>11</v>
      </c>
      <c r="B33" s="27">
        <f>-I8*COS(C33+C34-C$14)+0.5*C$16*C$4*C$2*(C34-C$5)*G8^2*SIN(C33)+0.5*C$16*C$4*(C$8+1/PI()/C$7*C$2^2*(C34-C$5)^2)/SQRT(1-H8^2)*G8^2*COS(C33)</f>
        <v>-1.5358149539679289E-5</v>
      </c>
      <c r="C33" s="35">
        <v>1.0030098206294287E-2</v>
      </c>
      <c r="D33" s="36">
        <f t="shared" si="5"/>
        <v>0.57468229532239989</v>
      </c>
      <c r="F33" s="13">
        <v>0.49099999999999999</v>
      </c>
      <c r="G33" s="18">
        <v>3.1699999999999999E-2</v>
      </c>
      <c r="H33" s="18">
        <f t="shared" si="11"/>
        <v>3.7209843043963547E-2</v>
      </c>
      <c r="I33" s="14">
        <f t="shared" si="12"/>
        <v>85.492654154574936</v>
      </c>
      <c r="J33" s="47">
        <f t="shared" si="6"/>
        <v>152.18426120431434</v>
      </c>
      <c r="K33" s="13">
        <f t="shared" si="7"/>
        <v>0.523663622883766</v>
      </c>
      <c r="L33" s="48">
        <f t="shared" si="8"/>
        <v>2408.7424343107027</v>
      </c>
      <c r="M33" s="48">
        <f t="shared" si="9"/>
        <v>2756.4709787898346</v>
      </c>
      <c r="N33" s="48">
        <f t="shared" si="13"/>
        <v>347.72854447913187</v>
      </c>
      <c r="O33" s="14">
        <f t="shared" si="10"/>
        <v>1.6649303318989264</v>
      </c>
      <c r="P33" s="14">
        <f t="shared" si="14"/>
        <v>0.62684132686790817</v>
      </c>
      <c r="Q33" s="14">
        <v>3.3540000000000001</v>
      </c>
    </row>
    <row r="34" spans="1:17" x14ac:dyDescent="0.25">
      <c r="A34" s="37">
        <v>12</v>
      </c>
      <c r="B34" s="31">
        <f>I8*SIN(C33+C34-C$14)+0.5*C$16*C$4*C$2*(C34-C$5)*G8^2*COS(C33)-0.5*C$16*C$4*(C$8+1/PI()/C$7*C$2^2*(C34-C$5)^2)/SQRT(1-H8^2)*G8^2*SIN(C33)-C$11</f>
        <v>-2.9103830456733704E-11</v>
      </c>
      <c r="C34" s="38">
        <v>0.10749825712853761</v>
      </c>
      <c r="D34" s="39">
        <f t="shared" si="5"/>
        <v>6.1591964384773208</v>
      </c>
      <c r="F34" s="13">
        <v>0.38800000000000001</v>
      </c>
      <c r="G34" s="18">
        <v>2.52E-2</v>
      </c>
      <c r="H34" s="18">
        <f t="shared" si="11"/>
        <v>3.1185349843870152E-2</v>
      </c>
      <c r="I34" s="14">
        <f t="shared" si="12"/>
        <v>60.061190450619492</v>
      </c>
      <c r="J34" s="47">
        <f t="shared" si="6"/>
        <v>171.19639830045594</v>
      </c>
      <c r="K34" s="13">
        <f t="shared" si="7"/>
        <v>0.58908408431480719</v>
      </c>
      <c r="L34" s="48">
        <f t="shared" si="8"/>
        <v>2554.6588494265634</v>
      </c>
      <c r="M34" s="48">
        <f t="shared" si="9"/>
        <v>2797.718429695864</v>
      </c>
      <c r="N34" s="48">
        <f t="shared" si="13"/>
        <v>243.05958026930057</v>
      </c>
      <c r="O34" s="14">
        <f t="shared" si="10"/>
        <v>1.3091618754648451</v>
      </c>
      <c r="P34" s="14">
        <f t="shared" si="14"/>
        <v>0.43815279995892636</v>
      </c>
      <c r="Q34" s="14">
        <v>2.5739999999999998</v>
      </c>
    </row>
    <row r="35" spans="1:17" x14ac:dyDescent="0.25">
      <c r="A35" s="26">
        <v>13</v>
      </c>
      <c r="B35" s="27">
        <f>-I9*COS(C35+C36-C$14)+0.5*C$16*C$4*C$2*(C36-C$5)*G9^2*SIN(C35)+0.5*C$16*C$4*(C$8+1/PI()/C$7*C$2^2*(C36-C$5)^2)/SQRT(1-H9^2)*G9^2*COS(C35)</f>
        <v>3.0705472090630792E-4</v>
      </c>
      <c r="C35" s="28">
        <v>1.4210055385445182E-2</v>
      </c>
      <c r="D35" s="29">
        <f t="shared" si="5"/>
        <v>0.81417620023315518</v>
      </c>
      <c r="F35" s="13">
        <v>0.246</v>
      </c>
      <c r="G35" s="18">
        <v>1.8800000000000001E-2</v>
      </c>
      <c r="H35" s="18">
        <f t="shared" si="11"/>
        <v>2.7942687115624726E-2</v>
      </c>
      <c r="I35" s="14">
        <f t="shared" si="12"/>
        <v>19.066412541760592</v>
      </c>
      <c r="J35" s="47">
        <f t="shared" si="6"/>
        <v>215.00221434789697</v>
      </c>
      <c r="K35" s="13">
        <f t="shared" si="7"/>
        <v>0.73981920076673413</v>
      </c>
      <c r="L35" s="48">
        <f t="shared" si="8"/>
        <v>3610.3314811295218</v>
      </c>
      <c r="M35" s="48">
        <f t="shared" si="9"/>
        <v>2966.5819895781065</v>
      </c>
      <c r="N35" s="48">
        <f t="shared" si="13"/>
        <v>-643.7494915514153</v>
      </c>
      <c r="O35" s="14">
        <f t="shared" si="10"/>
        <v>-4.354575394498152</v>
      </c>
      <c r="P35" s="14">
        <f t="shared" si="14"/>
        <v>-1.1605268968055562</v>
      </c>
      <c r="Q35" s="14">
        <v>1.242</v>
      </c>
    </row>
    <row r="36" spans="1:17" x14ac:dyDescent="0.25">
      <c r="A36" s="30">
        <v>14</v>
      </c>
      <c r="B36" s="31">
        <f>I9*SIN(C35+C36-C$14)+0.5*C$16*C$4*C$2*(C36-C$5)*G9^2*COS(C35)-0.5*C$16*C$4*(C$8+1/PI()/C$7*C$2^2*(C36-C$5)^2)/SQRT(1-H9^2)*G9^2*SIN(C35)-C$11</f>
        <v>3.7471181713044643E-10</v>
      </c>
      <c r="C36" s="32">
        <v>8.2589317777571933E-2</v>
      </c>
      <c r="D36" s="33">
        <f t="shared" si="5"/>
        <v>4.7320193415196519</v>
      </c>
      <c r="F36" s="13">
        <v>0.2</v>
      </c>
      <c r="G36" s="18">
        <v>1.7500000000000002E-2</v>
      </c>
      <c r="H36" s="18">
        <f t="shared" si="11"/>
        <v>3.0613260870205085E-2</v>
      </c>
      <c r="I36" s="14">
        <f t="shared" si="12"/>
        <v>8.536322265274805</v>
      </c>
      <c r="J36" s="47">
        <f t="shared" si="6"/>
        <v>238.44899071842138</v>
      </c>
      <c r="K36" s="13">
        <f t="shared" si="7"/>
        <v>0.8204991854246102</v>
      </c>
      <c r="L36" s="48">
        <f t="shared" si="8"/>
        <v>4865.1206440147316</v>
      </c>
      <c r="M36" s="48">
        <f t="shared" si="9"/>
        <v>3099.2692097789354</v>
      </c>
      <c r="N36" s="48">
        <f t="shared" si="13"/>
        <v>-1765.8514342357962</v>
      </c>
      <c r="O36" s="14">
        <f t="shared" si="10"/>
        <v>-13.247552014579556</v>
      </c>
      <c r="P36" s="14">
        <f t="shared" si="14"/>
        <v>-3.1848313974667519</v>
      </c>
      <c r="Q36" s="14">
        <v>0.68799999999999994</v>
      </c>
    </row>
    <row r="37" spans="1:17" x14ac:dyDescent="0.25">
      <c r="A37" s="34">
        <v>15</v>
      </c>
      <c r="B37" s="27">
        <f>-I10*COS(C37+C38-C$14)+0.5*C$16*C$4*C$2*(C38-C$5)*G10^2*SIN(C37)+0.5*C$16*C$4*(C$8+1/PI()/C$7*C$2^2*(C38-C$5)^2)/SQRT(1-H10^2)*G10^2*COS(C37)</f>
        <v>1.9600555242504925E-4</v>
      </c>
      <c r="C37" s="35">
        <v>1.5253331554755861E-2</v>
      </c>
      <c r="D37" s="36">
        <f t="shared" si="5"/>
        <v>0.87395152160123302</v>
      </c>
      <c r="F37" s="13">
        <v>0.151</v>
      </c>
      <c r="G37" s="18">
        <v>1.6299999999999999E-2</v>
      </c>
      <c r="H37" s="18">
        <f t="shared" si="11"/>
        <v>4.9526158317924458E-2</v>
      </c>
      <c r="I37" s="14">
        <f t="shared" si="12"/>
        <v>1.4036588191101569</v>
      </c>
      <c r="J37" s="47">
        <f t="shared" si="6"/>
        <v>274.42395097196714</v>
      </c>
      <c r="K37" s="13">
        <f t="shared" si="7"/>
        <v>0.9442884516101544</v>
      </c>
      <c r="L37" s="48">
        <f t="shared" si="8"/>
        <v>10424.895539339326</v>
      </c>
      <c r="M37" s="48">
        <f t="shared" si="9"/>
        <v>3360.2047851634597</v>
      </c>
      <c r="N37" s="48">
        <f t="shared" si="13"/>
        <v>-7064.6907541758665</v>
      </c>
      <c r="O37" s="14">
        <f t="shared" si="10"/>
        <v>-60.995971267542174</v>
      </c>
      <c r="P37" s="14">
        <f t="shared" si="14"/>
        <v>-12.842344628792057</v>
      </c>
      <c r="Q37" s="14">
        <v>0.23699999999999999</v>
      </c>
    </row>
    <row r="38" spans="1:17" ht="15.6" thickBot="1" x14ac:dyDescent="0.3">
      <c r="A38" s="37">
        <v>16</v>
      </c>
      <c r="B38" s="31">
        <f>I10*SIN(C37+C38-C$14)+0.5*C$16*C$4*C$2*(C38-C$5)*G10^2*COS(C37)-0.5*C$16*C$4*(C$8+1/PI()/C$7*C$2^2*(C38-C$5)^2)/SQRT(1-H10^2)*G10^2*SIN(C37)-C$11</f>
        <v>2.0736479200422764E-10</v>
      </c>
      <c r="C38" s="38">
        <v>6.2872277751100672E-2</v>
      </c>
      <c r="D38" s="39">
        <f t="shared" si="5"/>
        <v>3.6023161635123353</v>
      </c>
      <c r="F38" s="59"/>
      <c r="G38" s="59"/>
      <c r="H38" s="59"/>
      <c r="I38" s="60"/>
      <c r="J38" s="102"/>
      <c r="K38" s="105"/>
      <c r="L38" s="62"/>
      <c r="M38" s="62"/>
      <c r="N38" s="62"/>
      <c r="O38" s="60"/>
      <c r="P38" s="60"/>
      <c r="Q38" s="59"/>
    </row>
    <row r="39" spans="1:17" ht="18.600000000000001" thickBot="1" x14ac:dyDescent="0.3">
      <c r="A39" s="26">
        <v>17</v>
      </c>
      <c r="B39" s="27">
        <f>-I11*COS(C39+C40-C$14)+0.5*C$16*C$4*C$2*(C40-C$5)*G11^2*SIN(C39)+0.5*C$16*C$4*(C$8+1/PI()/C$7*C$2^2*(C40-C$5)^2)/SQRT(1-H11^2)*G11^2*COS(C39)</f>
        <v>8.7001014435372781E-5</v>
      </c>
      <c r="C39" s="28">
        <v>1.3453289806390373E-2</v>
      </c>
      <c r="D39" s="29">
        <f t="shared" si="5"/>
        <v>0.77081672647254074</v>
      </c>
      <c r="F39" s="143" t="s">
        <v>200</v>
      </c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5"/>
    </row>
    <row r="40" spans="1:17" ht="18.600000000000001" thickBot="1" x14ac:dyDescent="0.3">
      <c r="A40" s="30">
        <v>18</v>
      </c>
      <c r="B40" s="31">
        <f>I11*SIN(C39+C40-C$14)+0.5*C$16*C$4*C$2*(C40-C$5)*G11^2*COS(C39)-0.5*C$16*C$4*(C$8+1/PI()/C$7*C$2^2*(C40-C$5)^2)/SQRT(1-H11^2)*G11^2*SIN(C39)-C$11</f>
        <v>8.3673512563109398E-11</v>
      </c>
      <c r="C40" s="32">
        <v>4.811989990488557E-2</v>
      </c>
      <c r="D40" s="33">
        <f t="shared" si="5"/>
        <v>2.7570671751419145</v>
      </c>
      <c r="F40" s="98" t="s">
        <v>1</v>
      </c>
      <c r="G40" s="98" t="s">
        <v>7</v>
      </c>
      <c r="H40" s="98" t="s">
        <v>109</v>
      </c>
      <c r="I40" s="98" t="s">
        <v>2</v>
      </c>
      <c r="J40" s="98" t="s">
        <v>63</v>
      </c>
      <c r="K40" s="98" t="s">
        <v>53</v>
      </c>
      <c r="L40" s="98" t="s">
        <v>67</v>
      </c>
      <c r="M40" s="98" t="s">
        <v>65</v>
      </c>
      <c r="N40" s="98" t="s">
        <v>68</v>
      </c>
      <c r="O40" s="98" t="s">
        <v>64</v>
      </c>
      <c r="P40" s="98" t="s">
        <v>84</v>
      </c>
      <c r="Q40" s="98" t="s">
        <v>66</v>
      </c>
    </row>
    <row r="41" spans="1:17" x14ac:dyDescent="0.25">
      <c r="A41" s="34">
        <v>19</v>
      </c>
      <c r="B41" s="27">
        <f>-I12*COS(C41+C42-C$14)+0.5*C$16*C$4*C$2*(C42-C$5)*G12^2*SIN(C41)+0.5*C$16*C$4*(C$8+1/PI()/C$7*C$2^2*(C42-C$5)^2)/SQRT(1-H12^2)*G12^2*COS(C41)</f>
        <v>4.1756654354685452E-5</v>
      </c>
      <c r="C41" s="35">
        <v>9.5227504747613378E-3</v>
      </c>
      <c r="D41" s="36">
        <f t="shared" si="5"/>
        <v>0.54561341156002563</v>
      </c>
      <c r="F41" s="107">
        <f t="shared" ref="F41:G52" si="15">F25</f>
        <v>1.405</v>
      </c>
      <c r="G41" s="109">
        <f t="shared" si="15"/>
        <v>0.1406</v>
      </c>
      <c r="H41" s="101">
        <f>G41/SQRT(1-K41^2)</f>
        <v>0.14933623030739501</v>
      </c>
      <c r="I41" s="43">
        <f>F41^3/H41^2</f>
        <v>124.36512314727084</v>
      </c>
      <c r="J41" s="44">
        <f t="shared" ref="J41:J52" si="16">SQRT((2*C$20)/(C$4*C$16*F41))</f>
        <v>97.941202374935742</v>
      </c>
      <c r="K41" s="42">
        <f t="shared" ref="K41:K52" si="17">J41/C$19</f>
        <v>0.33701411998441899</v>
      </c>
      <c r="L41" s="46">
        <f t="shared" ref="L41:L52" si="18">C$20*SQRT((2*C$20)/(C$16*C$4*I41))/J41</f>
        <v>4003.9541140012047</v>
      </c>
      <c r="M41" s="46">
        <f t="shared" ref="M41:M52" si="19">C$17*(1-0.605*K41+0.725*K41^2)</f>
        <v>2745.3927587684261</v>
      </c>
      <c r="N41" s="46">
        <f>(M41-L41)</f>
        <v>-1258.5613552327786</v>
      </c>
      <c r="O41" s="43">
        <f t="shared" ref="O41:O52" si="20">N41/C$20*J41</f>
        <v>-3.2721981288790922</v>
      </c>
      <c r="P41" s="43">
        <f>DEGREES(ASIN(O41/J41))</f>
        <v>-1.9145980866026215</v>
      </c>
      <c r="Q41" s="107">
        <f t="shared" ref="Q41:Q52" si="21">Q25</f>
        <v>12.989000000000001</v>
      </c>
    </row>
    <row r="42" spans="1:17" x14ac:dyDescent="0.25">
      <c r="A42" s="37">
        <v>20</v>
      </c>
      <c r="B42" s="31">
        <f>I12*SIN(C41+C42-C$14)+0.5*C$16*C$4*C$2*(C42-C$5)*G12^2*COS(C41)-0.5*C$16*C$4*(C$8+1/PI()/C$7*C$2^2*(C42-C$5)^2)/SQRT(1-H12^2)*G12^2*SIN(C41)-C$11</f>
        <v>2.9103830456733704E-11</v>
      </c>
      <c r="C42" s="38">
        <v>3.7515723770113231E-2</v>
      </c>
      <c r="D42" s="39">
        <f t="shared" si="5"/>
        <v>2.1494926374061092</v>
      </c>
      <c r="F42" s="108">
        <f t="shared" si="15"/>
        <v>1.3560000000000001</v>
      </c>
      <c r="G42" s="12">
        <f t="shared" si="15"/>
        <v>0.13239999999999999</v>
      </c>
      <c r="H42" s="18">
        <f t="shared" ref="H42:H52" si="22">G42/SQRT(1-K42^2)</f>
        <v>0.14095341468980027</v>
      </c>
      <c r="I42" s="14">
        <f t="shared" ref="I42:I52" si="23">F42^3/H42^2</f>
        <v>125.49541693859955</v>
      </c>
      <c r="J42" s="47">
        <f t="shared" si="16"/>
        <v>99.695085161700305</v>
      </c>
      <c r="K42" s="13">
        <f t="shared" si="17"/>
        <v>0.34304920276474377</v>
      </c>
      <c r="L42" s="48">
        <f t="shared" si="18"/>
        <v>3915.7607026037253</v>
      </c>
      <c r="M42" s="48">
        <f t="shared" si="19"/>
        <v>2743.2811658342462</v>
      </c>
      <c r="N42" s="48">
        <f t="shared" ref="N42:N52" si="24">(M42-L42)</f>
        <v>-1172.4795367694792</v>
      </c>
      <c r="O42" s="14">
        <f t="shared" si="20"/>
        <v>-3.1029786588033086</v>
      </c>
      <c r="P42" s="14">
        <f t="shared" ref="P42:P52" si="25">DEGREES(ASIN(O42/J42))</f>
        <v>-1.7836014531653774</v>
      </c>
      <c r="Q42" s="108">
        <f t="shared" si="21"/>
        <v>11.238</v>
      </c>
    </row>
    <row r="43" spans="1:17" x14ac:dyDescent="0.25">
      <c r="A43" s="26">
        <v>21</v>
      </c>
      <c r="B43" s="27">
        <f>-I13*COS(C43+C44-C$14)+0.5*C$16*C$4*C$2*(C44-C$5)*G13^2*SIN(C43)+0.5*C$16*C$4*(C$8+1/PI()/C$7*C$2^2*(C44-C$5)^2)/SQRT(1-H13^2)*G13^2*COS(C43)</f>
        <v>7.7552558650495484E-6</v>
      </c>
      <c r="C43" s="28">
        <v>2.8557686549910096E-3</v>
      </c>
      <c r="D43" s="29">
        <f t="shared" si="5"/>
        <v>0.16362349119673655</v>
      </c>
      <c r="F43" s="108">
        <f t="shared" si="15"/>
        <v>1.302</v>
      </c>
      <c r="G43" s="12">
        <f t="shared" si="15"/>
        <v>0.1231</v>
      </c>
      <c r="H43" s="18">
        <f t="shared" si="22"/>
        <v>0.13141660129061525</v>
      </c>
      <c r="I43" s="14">
        <f t="shared" si="23"/>
        <v>127.80048154788496</v>
      </c>
      <c r="J43" s="47">
        <f t="shared" si="16"/>
        <v>101.74149181969132</v>
      </c>
      <c r="K43" s="13">
        <f t="shared" si="17"/>
        <v>0.35009085553446301</v>
      </c>
      <c r="L43" s="48">
        <f t="shared" si="18"/>
        <v>3802.2395831474601</v>
      </c>
      <c r="M43" s="48">
        <f t="shared" si="19"/>
        <v>2741.0260284887095</v>
      </c>
      <c r="N43" s="48">
        <f t="shared" si="24"/>
        <v>-1061.2135546587506</v>
      </c>
      <c r="O43" s="14">
        <f t="shared" si="20"/>
        <v>-2.8661615005484098</v>
      </c>
      <c r="P43" s="14">
        <f t="shared" si="25"/>
        <v>-1.6142940610987373</v>
      </c>
      <c r="Q43" s="108">
        <f t="shared" si="21"/>
        <v>10.574999999999999</v>
      </c>
    </row>
    <row r="44" spans="1:17" x14ac:dyDescent="0.25">
      <c r="A44" s="30">
        <v>22</v>
      </c>
      <c r="B44" s="31">
        <f>I13*SIN(C43+C44-C$14)+0.5*C$16*C$4*C$2*(C44-C$5)*G13^2*COS(C43)-0.5*C$16*C$4*(C$8+1/PI()/C$7*C$2^2*(C44-C$5)^2)/SQRT(1-H13^2)*G13^2*SIN(C43)-C$11</f>
        <v>6.184563972055912E-11</v>
      </c>
      <c r="C44" s="32">
        <v>2.8487177022353597E-2</v>
      </c>
      <c r="D44" s="33">
        <f t="shared" si="5"/>
        <v>1.6321950136229166</v>
      </c>
      <c r="F44" s="108">
        <f t="shared" si="15"/>
        <v>1.1930000000000001</v>
      </c>
      <c r="G44" s="12">
        <f t="shared" si="15"/>
        <v>0.1061</v>
      </c>
      <c r="H44" s="18">
        <f t="shared" si="22"/>
        <v>0.11399786448024271</v>
      </c>
      <c r="I44" s="14">
        <f t="shared" si="23"/>
        <v>130.65556112661523</v>
      </c>
      <c r="J44" s="47">
        <f t="shared" si="16"/>
        <v>106.28778867407257</v>
      </c>
      <c r="K44" s="13">
        <f t="shared" si="17"/>
        <v>0.36573459071857717</v>
      </c>
      <c r="L44" s="48">
        <f t="shared" si="18"/>
        <v>3599.6187377338933</v>
      </c>
      <c r="M44" s="48">
        <f t="shared" si="19"/>
        <v>2736.8201185403377</v>
      </c>
      <c r="N44" s="48">
        <f t="shared" si="24"/>
        <v>-862.79861919355562</v>
      </c>
      <c r="O44" s="14">
        <f t="shared" si="20"/>
        <v>-2.4344035981865404</v>
      </c>
      <c r="P44" s="14">
        <f t="shared" si="25"/>
        <v>-1.3124108746983216</v>
      </c>
      <c r="Q44" s="108">
        <f t="shared" si="21"/>
        <v>9.5760000000000005</v>
      </c>
    </row>
    <row r="45" spans="1:17" x14ac:dyDescent="0.25">
      <c r="A45" s="34">
        <v>23</v>
      </c>
      <c r="B45" s="27">
        <f>-I14*COS(C45+C46-C$14)+0.5*C$16*C$4*C$2*(C46-C$5)*G14^2*SIN(C45)+0.5*C$16*C$4*(C$8+1/PI()/C$7*C$2^2*(C46-C$5)^2)/SQRT(1-H14^2)*G14^2*COS(C45)</f>
        <v>-3.3831919608928729E-5</v>
      </c>
      <c r="C45" s="35">
        <v>-7.4522805415268081E-3</v>
      </c>
      <c r="D45" s="36">
        <f t="shared" si="5"/>
        <v>-0.42698422277695375</v>
      </c>
      <c r="F45" s="108">
        <f t="shared" si="15"/>
        <v>1.095</v>
      </c>
      <c r="G45" s="12">
        <f t="shared" si="15"/>
        <v>9.1899999999999996E-2</v>
      </c>
      <c r="H45" s="18">
        <f t="shared" si="22"/>
        <v>9.943029741730415E-2</v>
      </c>
      <c r="I45" s="14">
        <f t="shared" si="23"/>
        <v>132.80208103298057</v>
      </c>
      <c r="J45" s="47">
        <f t="shared" si="16"/>
        <v>110.94213871956762</v>
      </c>
      <c r="K45" s="13">
        <f t="shared" si="17"/>
        <v>0.38175013521513296</v>
      </c>
      <c r="L45" s="48">
        <f t="shared" si="18"/>
        <v>3420.6201605742599</v>
      </c>
      <c r="M45" s="48">
        <f t="shared" si="19"/>
        <v>2733.6631071605466</v>
      </c>
      <c r="N45" s="48">
        <f t="shared" si="24"/>
        <v>-686.95705341371331</v>
      </c>
      <c r="O45" s="14">
        <f t="shared" si="20"/>
        <v>-2.0231397785584861</v>
      </c>
      <c r="P45" s="14">
        <f t="shared" si="25"/>
        <v>-1.0449032056014611</v>
      </c>
      <c r="Q45" s="108">
        <f t="shared" si="21"/>
        <v>8.6869999999999994</v>
      </c>
    </row>
    <row r="46" spans="1:17" x14ac:dyDescent="0.25">
      <c r="A46" s="37">
        <v>24</v>
      </c>
      <c r="B46" s="31">
        <f>I14*SIN(C45+C46-C$14)+0.5*C$16*C$4*C$2*(C46-C$5)*G14^2*COS(C45)-0.5*C$16*C$4*(C$8+1/PI()/C$7*C$2^2*(C46-C$5)^2)/SQRT(1-H14^2)*G14^2*SIN(C45)-C$11</f>
        <v>0</v>
      </c>
      <c r="C46" s="38">
        <v>2.0826068293248113E-2</v>
      </c>
      <c r="D46" s="39">
        <f t="shared" si="5"/>
        <v>1.1932458170543385</v>
      </c>
      <c r="F46" s="108">
        <f t="shared" si="15"/>
        <v>0.997</v>
      </c>
      <c r="G46" s="12">
        <f t="shared" si="15"/>
        <v>7.9399999999999998E-2</v>
      </c>
      <c r="H46" s="18">
        <f t="shared" si="22"/>
        <v>8.6635492970240827E-2</v>
      </c>
      <c r="I46" s="14">
        <f t="shared" si="23"/>
        <v>132.03642990196892</v>
      </c>
      <c r="J46" s="47">
        <f t="shared" si="16"/>
        <v>116.26687889810547</v>
      </c>
      <c r="K46" s="13">
        <f t="shared" si="17"/>
        <v>0.40007248149944658</v>
      </c>
      <c r="L46" s="48">
        <f t="shared" si="18"/>
        <v>3273.4139161345647</v>
      </c>
      <c r="M46" s="48">
        <f t="shared" si="19"/>
        <v>2731.476916075364</v>
      </c>
      <c r="N46" s="48">
        <f t="shared" si="24"/>
        <v>-541.93700005920073</v>
      </c>
      <c r="O46" s="14">
        <f t="shared" si="20"/>
        <v>-1.6726481151324559</v>
      </c>
      <c r="P46" s="14">
        <f t="shared" si="25"/>
        <v>-0.82430168073174093</v>
      </c>
      <c r="Q46" s="108">
        <f t="shared" si="21"/>
        <v>8.0169999999999995</v>
      </c>
    </row>
    <row r="47" spans="1:17" x14ac:dyDescent="0.25">
      <c r="A47" s="26">
        <v>25</v>
      </c>
      <c r="B47" s="27">
        <f>-I15*COS(C47+C48-C$14)+0.5*C$16*C$4*C$2*(C48-C$5)*G15^2*SIN(C47)+0.5*C$16*C$4*(C$8+1/PI()/C$7*C$2^2*(C48-C$5)^2)/SQRT(1-H15^2)*G15^2*COS(C47)</f>
        <v>5.2658142067230074E-5</v>
      </c>
      <c r="C47" s="28">
        <v>-1.9726646322173212E-2</v>
      </c>
      <c r="D47" s="29">
        <f t="shared" si="5"/>
        <v>-1.1302535782077927</v>
      </c>
      <c r="F47" s="108">
        <f t="shared" si="15"/>
        <v>0.80100000000000005</v>
      </c>
      <c r="G47" s="12">
        <f t="shared" si="15"/>
        <v>5.7599999999999998E-2</v>
      </c>
      <c r="H47" s="18">
        <f t="shared" si="22"/>
        <v>6.4367516575801156E-2</v>
      </c>
      <c r="I47" s="14">
        <f t="shared" si="23"/>
        <v>124.04065223749843</v>
      </c>
      <c r="J47" s="47">
        <f t="shared" si="16"/>
        <v>129.71414441022097</v>
      </c>
      <c r="K47" s="13">
        <f t="shared" si="17"/>
        <v>0.44634430829827909</v>
      </c>
      <c r="L47" s="48">
        <f t="shared" si="18"/>
        <v>3027.1536784232962</v>
      </c>
      <c r="M47" s="48">
        <f t="shared" si="19"/>
        <v>2732.7281220825203</v>
      </c>
      <c r="N47" s="48">
        <f t="shared" si="24"/>
        <v>-294.42555634077598</v>
      </c>
      <c r="O47" s="14">
        <f t="shared" si="20"/>
        <v>-1.0138240935388811</v>
      </c>
      <c r="P47" s="14">
        <f t="shared" si="25"/>
        <v>-0.44781880505942068</v>
      </c>
      <c r="Q47" s="108">
        <f t="shared" si="21"/>
        <v>6.1310000000000002</v>
      </c>
    </row>
    <row r="48" spans="1:17" x14ac:dyDescent="0.25">
      <c r="A48" s="30">
        <v>26</v>
      </c>
      <c r="B48" s="31">
        <f>I15*SIN(C47+C48-C$14)+0.5*C$16*C$4*C$2*(C48-C$5)*G15^2*COS(C47)-0.5*C$16*C$4*(C$8+1/PI()/C$7*C$2^2*(C48-C$5)^2)/SQRT(1-H15^2)*G15^2*SIN(C47)-C$11</f>
        <v>3.637978807091713E-11</v>
      </c>
      <c r="C48" s="32">
        <v>1.5441762404356416E-2</v>
      </c>
      <c r="D48" s="33">
        <f t="shared" si="5"/>
        <v>0.88474781401340918</v>
      </c>
      <c r="F48" s="108">
        <f t="shared" si="15"/>
        <v>0.61099999999999999</v>
      </c>
      <c r="G48" s="12">
        <f t="shared" si="15"/>
        <v>4.0599999999999997E-2</v>
      </c>
      <c r="H48" s="18">
        <f t="shared" si="22"/>
        <v>4.7234050561327331E-2</v>
      </c>
      <c r="I48" s="14">
        <f t="shared" si="23"/>
        <v>102.23821311680145</v>
      </c>
      <c r="J48" s="47">
        <f t="shared" si="16"/>
        <v>148.51933237979858</v>
      </c>
      <c r="K48" s="13">
        <f t="shared" si="17"/>
        <v>0.5110526610755638</v>
      </c>
      <c r="L48" s="48">
        <f t="shared" si="18"/>
        <v>2912.1531559172263</v>
      </c>
      <c r="M48" s="48">
        <f t="shared" si="19"/>
        <v>2750.7494773549988</v>
      </c>
      <c r="N48" s="48">
        <f t="shared" si="24"/>
        <v>-161.40367856222747</v>
      </c>
      <c r="O48" s="14">
        <f t="shared" si="20"/>
        <v>-0.63635020025552247</v>
      </c>
      <c r="P48" s="14">
        <f t="shared" si="25"/>
        <v>-0.24549189482547726</v>
      </c>
      <c r="Q48" s="108">
        <f t="shared" si="21"/>
        <v>4.5730000000000004</v>
      </c>
    </row>
    <row r="49" spans="1:17" x14ac:dyDescent="0.25">
      <c r="A49" s="34">
        <v>27</v>
      </c>
      <c r="B49" s="27">
        <f>-I16*COS(C49+C50-C$14)+0.5*C$16*C$4*C$2*(C50-C$5)*G16^2*SIN(C49)+0.5*C$16*C$4*(C$8+1/PI()/C$7*C$2^2*(C50-C$5)^2)/SQRT(1-H16^2)*G16^2*COS(C49)</f>
        <v>2.0907259749947116E-4</v>
      </c>
      <c r="C49" s="35">
        <v>-3.7818789451866328E-2</v>
      </c>
      <c r="D49" s="36">
        <f t="shared" si="5"/>
        <v>-2.1668570218858165</v>
      </c>
      <c r="F49" s="108">
        <f t="shared" si="15"/>
        <v>0.49099999999999999</v>
      </c>
      <c r="G49" s="12">
        <f t="shared" si="15"/>
        <v>3.1699999999999999E-2</v>
      </c>
      <c r="H49" s="18">
        <f t="shared" si="22"/>
        <v>3.8584175219519956E-2</v>
      </c>
      <c r="I49" s="14">
        <f t="shared" si="23"/>
        <v>79.510783692503111</v>
      </c>
      <c r="J49" s="47">
        <f t="shared" si="16"/>
        <v>165.67723859244617</v>
      </c>
      <c r="K49" s="13">
        <f t="shared" si="17"/>
        <v>0.57009274352109462</v>
      </c>
      <c r="L49" s="48">
        <f t="shared" si="18"/>
        <v>2960.2470757421684</v>
      </c>
      <c r="M49" s="48">
        <f t="shared" si="19"/>
        <v>2783.7465450888371</v>
      </c>
      <c r="N49" s="48">
        <f t="shared" si="24"/>
        <v>-176.50053065333123</v>
      </c>
      <c r="O49" s="14">
        <f t="shared" si="20"/>
        <v>-0.77626254376766157</v>
      </c>
      <c r="P49" s="14">
        <f t="shared" si="25"/>
        <v>-0.26845407771719199</v>
      </c>
      <c r="Q49" s="108">
        <f t="shared" si="21"/>
        <v>3.3540000000000001</v>
      </c>
    </row>
    <row r="50" spans="1:17" x14ac:dyDescent="0.25">
      <c r="A50" s="37">
        <v>28</v>
      </c>
      <c r="B50" s="31">
        <f>I16*SIN(C49+C50-C$14)+0.5*C$16*C$4*C$2*(C50-C$5)*G16^2*COS(C49)-0.5*C$16*C$4*(C$8+1/PI()/C$7*C$2^2*(C50-C$5)^2)/SQRT(1-H16^2)*G16^2*SIN(C49)-C$11</f>
        <v>3.7041791074443609E-6</v>
      </c>
      <c r="C50" s="38">
        <v>1.0631018166383965E-2</v>
      </c>
      <c r="D50" s="39">
        <f t="shared" si="5"/>
        <v>0.60911247286070835</v>
      </c>
      <c r="F50" s="108">
        <f t="shared" si="15"/>
        <v>0.38800000000000001</v>
      </c>
      <c r="G50" s="12">
        <f t="shared" si="15"/>
        <v>2.52E-2</v>
      </c>
      <c r="H50" s="18">
        <f t="shared" si="22"/>
        <v>3.2843336067925999E-2</v>
      </c>
      <c r="I50" s="14">
        <f t="shared" si="23"/>
        <v>54.150272731747727</v>
      </c>
      <c r="J50" s="47">
        <f t="shared" si="16"/>
        <v>186.37503183928459</v>
      </c>
      <c r="K50" s="13">
        <f t="shared" si="17"/>
        <v>0.64131352096264049</v>
      </c>
      <c r="L50" s="48">
        <f t="shared" si="18"/>
        <v>3188.7154819927819</v>
      </c>
      <c r="M50" s="48">
        <f t="shared" si="19"/>
        <v>2844.5719402555146</v>
      </c>
      <c r="N50" s="48">
        <f t="shared" si="24"/>
        <v>-344.14354173726724</v>
      </c>
      <c r="O50" s="14">
        <f t="shared" si="20"/>
        <v>-1.7026568220291622</v>
      </c>
      <c r="P50" s="14">
        <f t="shared" si="25"/>
        <v>-0.52344139631603837</v>
      </c>
      <c r="Q50" s="108">
        <f t="shared" si="21"/>
        <v>2.5739999999999998</v>
      </c>
    </row>
    <row r="51" spans="1:17" x14ac:dyDescent="0.25">
      <c r="A51" s="26">
        <v>29</v>
      </c>
      <c r="B51" s="27">
        <f>-I17*COS(C51+C52-C$14)+0.5*C$16*C$4*C$2*(C52-C$5)*G17^2*SIN(C51)+0.5*C$16*C$4*(C$8+1/PI()/C$7*C$2^2*(C52-C$5)^2)/SQRT(1-H17^2)*G17^2*COS(C51)</f>
        <v>2.5386329798493534E-4</v>
      </c>
      <c r="C51" s="28">
        <v>-6.1595128030112911E-2</v>
      </c>
      <c r="D51" s="29">
        <f t="shared" si="5"/>
        <v>-3.5291408746934261</v>
      </c>
      <c r="F51" s="108">
        <f t="shared" si="15"/>
        <v>0.246</v>
      </c>
      <c r="G51" s="12">
        <f t="shared" si="15"/>
        <v>1.8800000000000001E-2</v>
      </c>
      <c r="H51" s="18">
        <f t="shared" si="22"/>
        <v>3.1718510551526753E-2</v>
      </c>
      <c r="I51" s="14">
        <f t="shared" si="23"/>
        <v>14.797207044447349</v>
      </c>
      <c r="J51" s="47">
        <f t="shared" si="16"/>
        <v>234.06476387593059</v>
      </c>
      <c r="K51" s="13">
        <f t="shared" si="17"/>
        <v>0.80541313057429498</v>
      </c>
      <c r="L51" s="48">
        <f t="shared" si="18"/>
        <v>4857.1096743098924</v>
      </c>
      <c r="M51" s="48">
        <f t="shared" si="19"/>
        <v>3072.2163640940585</v>
      </c>
      <c r="N51" s="48">
        <f t="shared" si="24"/>
        <v>-1784.8933102158339</v>
      </c>
      <c r="O51" s="14">
        <f t="shared" si="20"/>
        <v>-11.090421954622125</v>
      </c>
      <c r="P51" s="14">
        <f t="shared" si="25"/>
        <v>-2.7157969597913514</v>
      </c>
      <c r="Q51" s="108">
        <f t="shared" si="21"/>
        <v>1.242</v>
      </c>
    </row>
    <row r="52" spans="1:17" x14ac:dyDescent="0.25">
      <c r="A52" s="30">
        <v>30</v>
      </c>
      <c r="B52" s="31">
        <f>I17*SIN(C51+C52-C$14)+0.5*C$16*C$4*C$2*(C52-C$5)*G17^2*COS(C51)-0.5*C$16*C$4*(C$8+1/PI()/C$7*C$2^2*(C52-C$5)^2)/SQRT(1-H17^2)*G17^2*SIN(C51)-C$11</f>
        <v>-3.1564537966914941E-3</v>
      </c>
      <c r="C52" s="32">
        <v>6.8730802947530702E-3</v>
      </c>
      <c r="D52" s="33">
        <f t="shared" si="5"/>
        <v>0.39379849314388277</v>
      </c>
      <c r="F52" s="108">
        <f t="shared" si="15"/>
        <v>0.2</v>
      </c>
      <c r="G52" s="12">
        <f t="shared" si="15"/>
        <v>1.7500000000000002E-2</v>
      </c>
      <c r="H52" s="18">
        <f t="shared" si="22"/>
        <v>3.8926303264143348E-2</v>
      </c>
      <c r="I52" s="14">
        <f t="shared" si="23"/>
        <v>5.2796321329938802</v>
      </c>
      <c r="J52" s="47">
        <f t="shared" si="16"/>
        <v>259.59038086301081</v>
      </c>
      <c r="K52" s="13">
        <f t="shared" si="17"/>
        <v>0.89324637273757124</v>
      </c>
      <c r="L52" s="48">
        <f t="shared" si="18"/>
        <v>7331.847072407928</v>
      </c>
      <c r="M52" s="48">
        <f t="shared" si="19"/>
        <v>3244.1997505478871</v>
      </c>
      <c r="N52" s="48">
        <f t="shared" si="24"/>
        <v>-4087.6473218600408</v>
      </c>
      <c r="O52" s="14">
        <f t="shared" si="20"/>
        <v>-28.168374243844347</v>
      </c>
      <c r="P52" s="14">
        <f t="shared" si="25"/>
        <v>-6.2294800155151497</v>
      </c>
      <c r="Q52" s="108">
        <f t="shared" si="21"/>
        <v>0.68799999999999994</v>
      </c>
    </row>
    <row r="53" spans="1:17" ht="15.6" thickBot="1" x14ac:dyDescent="0.3">
      <c r="F53" s="61"/>
      <c r="G53" s="105"/>
      <c r="H53" s="59"/>
      <c r="I53" s="60"/>
      <c r="J53" s="102"/>
      <c r="K53" s="105"/>
      <c r="L53" s="62"/>
      <c r="M53" s="62"/>
      <c r="N53" s="62"/>
      <c r="O53" s="60"/>
      <c r="P53" s="60"/>
      <c r="Q53" s="61"/>
    </row>
    <row r="54" spans="1:17" ht="18.600000000000001" thickBot="1" x14ac:dyDescent="0.3">
      <c r="F54" s="97"/>
      <c r="G54" s="143" t="s">
        <v>199</v>
      </c>
      <c r="H54" s="144"/>
      <c r="I54" s="144"/>
      <c r="J54" s="144"/>
      <c r="K54" s="144"/>
      <c r="L54" s="145"/>
      <c r="M54" s="62"/>
      <c r="N54" s="62"/>
      <c r="O54" s="60"/>
      <c r="P54" s="60"/>
      <c r="Q54" s="61"/>
    </row>
    <row r="55" spans="1:17" ht="18.600000000000001" thickBot="1" x14ac:dyDescent="0.3">
      <c r="B55" s="59" t="s">
        <v>174</v>
      </c>
      <c r="C55" s="59" t="s">
        <v>175</v>
      </c>
      <c r="D55" s="20" t="s">
        <v>176</v>
      </c>
      <c r="E55" s="20" t="s">
        <v>177</v>
      </c>
      <c r="F55" s="97"/>
      <c r="G55" s="98" t="s">
        <v>63</v>
      </c>
      <c r="H55" s="98" t="s">
        <v>53</v>
      </c>
      <c r="I55" s="98" t="s">
        <v>65</v>
      </c>
      <c r="J55" s="98" t="s">
        <v>66</v>
      </c>
      <c r="K55" s="98" t="s">
        <v>84</v>
      </c>
      <c r="L55" s="98" t="s">
        <v>64</v>
      </c>
      <c r="M55" s="62"/>
      <c r="N55" s="62"/>
      <c r="O55" s="60"/>
      <c r="P55" s="60"/>
      <c r="Q55" s="61"/>
    </row>
    <row r="56" spans="1:17" x14ac:dyDescent="0.25">
      <c r="B56" s="27">
        <f t="shared" ref="B56:B70" si="26">-I56*COS(C56+D56-C$14)+0.5*C$16*C$4*C$2*(D56-C$5)*G56^2*SIN(C56)+0.5*C$16*C$4*((C$8+1/PI()/C$7*C$2^2*(D56-C$5)^2)/SQRT(1-H56^2))*G56^2*COS(C56)</f>
        <v>1.4797756011830643E-3</v>
      </c>
      <c r="C56" s="28">
        <v>-2.9934269630918303E-2</v>
      </c>
      <c r="D56" s="32">
        <v>0.1976554724208168</v>
      </c>
      <c r="E56" s="31">
        <f t="shared" ref="E56:E70" si="27">I56*SIN(C56+D56-C$14)+0.5*C$16*C$4*C$2*(D56-C$5)*G56^2*COS(C56)-0.5*C$16*C$4*(C$8+1/PI()/C$7*C$2^2*(D56-C$5)^2)/SQRT(1-H56^2)*G56^2*SIN(C56)-C$20</f>
        <v>-1.4811108194408007E-3</v>
      </c>
      <c r="F56" s="97"/>
      <c r="G56" s="81">
        <f>SQRT(2*C$20/C$4/C$16/C$15)</f>
        <v>97.941202374935742</v>
      </c>
      <c r="H56" s="99">
        <f t="shared" ref="H56:H70" si="28">G56/C$19</f>
        <v>0.33701411998441899</v>
      </c>
      <c r="I56" s="100">
        <f t="shared" ref="I56:I70" si="29">C$17*(1-0.605*H56+0.725*H56^2)</f>
        <v>2745.3927587684261</v>
      </c>
      <c r="J56" s="67">
        <f>DEGREES(D56)</f>
        <v>11.324824367377243</v>
      </c>
      <c r="K56" s="67">
        <f>DEGREES(C56)</f>
        <v>-1.7151073126582512</v>
      </c>
      <c r="L56" s="67">
        <f>G56*SIN(RADIANS(K56))</f>
        <v>-2.9313605347007874</v>
      </c>
      <c r="M56" s="62"/>
      <c r="N56" s="62"/>
      <c r="O56" s="60"/>
      <c r="P56" s="60"/>
      <c r="Q56" s="61"/>
    </row>
    <row r="57" spans="1:17" x14ac:dyDescent="0.25">
      <c r="B57" s="27">
        <f t="shared" si="26"/>
        <v>8.8899426782518276E-4</v>
      </c>
      <c r="C57" s="35">
        <v>-2.7104510410479832E-2</v>
      </c>
      <c r="D57" s="38">
        <v>0.18874872295641243</v>
      </c>
      <c r="E57" s="31">
        <f t="shared" si="27"/>
        <v>8.8766682893037796E-10</v>
      </c>
      <c r="F57" s="97"/>
      <c r="G57" s="11">
        <v>100</v>
      </c>
      <c r="H57" s="99">
        <f t="shared" si="28"/>
        <v>0.34409840987480539</v>
      </c>
      <c r="I57" s="100">
        <f t="shared" si="29"/>
        <v>2742.9309041837851</v>
      </c>
      <c r="J57" s="67">
        <f t="shared" ref="J57:J70" si="30">DEGREES(D57)</f>
        <v>10.814505213886466</v>
      </c>
      <c r="K57" s="67">
        <f t="shared" ref="K57:K70" si="31">DEGREES(C57)</f>
        <v>-1.5529740522888968</v>
      </c>
      <c r="L57" s="67">
        <f t="shared" ref="L57:L70" si="32">G57*SIN(RADIANS(K57))</f>
        <v>-2.7101191790696499</v>
      </c>
      <c r="M57" s="62"/>
      <c r="N57" s="62"/>
      <c r="O57" s="60"/>
      <c r="P57" s="60"/>
      <c r="Q57" s="61"/>
    </row>
    <row r="58" spans="1:17" x14ac:dyDescent="0.25">
      <c r="B58" s="27">
        <f t="shared" si="26"/>
        <v>4.1535154878147296E-4</v>
      </c>
      <c r="C58" s="28">
        <v>-2.2192779859798003E-2</v>
      </c>
      <c r="D58" s="32">
        <v>0.17289441692253621</v>
      </c>
      <c r="E58" s="31">
        <f t="shared" si="27"/>
        <v>-1.9063008949160576E-8</v>
      </c>
      <c r="G58" s="11">
        <v>104</v>
      </c>
      <c r="H58" s="99">
        <f t="shared" si="28"/>
        <v>0.35786234626979757</v>
      </c>
      <c r="I58" s="100">
        <f t="shared" si="29"/>
        <v>2738.7979969839389</v>
      </c>
      <c r="J58" s="67">
        <f t="shared" si="30"/>
        <v>9.9061203910365645</v>
      </c>
      <c r="K58" s="67">
        <f t="shared" si="31"/>
        <v>-1.2715526216293604</v>
      </c>
      <c r="L58" s="67">
        <f t="shared" si="32"/>
        <v>-2.307859650227841</v>
      </c>
      <c r="M58" s="62"/>
      <c r="N58" s="62"/>
      <c r="O58" s="60"/>
      <c r="P58" s="60"/>
      <c r="Q58" s="61"/>
    </row>
    <row r="59" spans="1:17" x14ac:dyDescent="0.25">
      <c r="B59" s="27">
        <f t="shared" si="26"/>
        <v>5.2188601011948776E-4</v>
      </c>
      <c r="C59" s="35">
        <v>-1.7969421830668745E-2</v>
      </c>
      <c r="D59" s="38">
        <v>0.15872962777878513</v>
      </c>
      <c r="E59" s="31">
        <f t="shared" si="27"/>
        <v>-2.7263013180345297E-8</v>
      </c>
      <c r="G59" s="11">
        <v>108</v>
      </c>
      <c r="H59" s="99">
        <f t="shared" si="28"/>
        <v>0.37162628266478981</v>
      </c>
      <c r="I59" s="100">
        <f t="shared" si="29"/>
        <v>2735.5235898182341</v>
      </c>
      <c r="J59" s="67">
        <f t="shared" si="30"/>
        <v>9.0945377554069005</v>
      </c>
      <c r="K59" s="67">
        <f t="shared" si="31"/>
        <v>-1.0295720311875645</v>
      </c>
      <c r="L59" s="67">
        <f t="shared" si="32"/>
        <v>-1.9405931174857485</v>
      </c>
      <c r="M59" s="62"/>
      <c r="N59" s="62"/>
      <c r="O59" s="60"/>
      <c r="P59" s="60"/>
      <c r="Q59" s="61"/>
    </row>
    <row r="60" spans="1:17" x14ac:dyDescent="0.25">
      <c r="B60" s="27">
        <f t="shared" si="26"/>
        <v>1.8712729797698557E-5</v>
      </c>
      <c r="C60" s="28">
        <v>-1.4347683993484482E-2</v>
      </c>
      <c r="D60" s="32">
        <v>0.14602475245609162</v>
      </c>
      <c r="E60" s="31">
        <f t="shared" si="27"/>
        <v>0</v>
      </c>
      <c r="G60" s="11">
        <v>112</v>
      </c>
      <c r="H60" s="99">
        <f t="shared" si="28"/>
        <v>0.38539021905978199</v>
      </c>
      <c r="I60" s="100">
        <f t="shared" si="29"/>
        <v>2733.1076826866702</v>
      </c>
      <c r="J60" s="67">
        <f t="shared" si="30"/>
        <v>8.3666020201766518</v>
      </c>
      <c r="K60" s="67">
        <f t="shared" si="31"/>
        <v>-0.82206173861406739</v>
      </c>
      <c r="L60" s="67">
        <f t="shared" si="32"/>
        <v>-1.6068854747671559</v>
      </c>
    </row>
    <row r="61" spans="1:17" x14ac:dyDescent="0.25">
      <c r="B61" s="27">
        <f t="shared" si="26"/>
        <v>-2.1865559938305523E-4</v>
      </c>
      <c r="C61" s="35">
        <v>-1.0557583704454438E-2</v>
      </c>
      <c r="D61" s="38">
        <v>0.13190666602522305</v>
      </c>
      <c r="E61" s="31">
        <f t="shared" si="27"/>
        <v>0</v>
      </c>
      <c r="G61" s="11">
        <f t="shared" ref="G61:G70" si="33">G8</f>
        <v>117</v>
      </c>
      <c r="H61" s="99">
        <f t="shared" si="28"/>
        <v>0.40259513955352227</v>
      </c>
      <c r="I61" s="100">
        <f t="shared" si="29"/>
        <v>2731.2950644452267</v>
      </c>
      <c r="J61" s="67">
        <f t="shared" si="30"/>
        <v>7.5576952528869672</v>
      </c>
      <c r="K61" s="67">
        <f t="shared" si="31"/>
        <v>-0.60490498812133242</v>
      </c>
      <c r="L61" s="67">
        <f t="shared" si="32"/>
        <v>-1.2352143464277521</v>
      </c>
    </row>
    <row r="62" spans="1:17" x14ac:dyDescent="0.25">
      <c r="B62" s="27">
        <f t="shared" si="26"/>
        <v>4.8522485030844109E-5</v>
      </c>
      <c r="C62" s="28">
        <v>-3.8128077958013858E-3</v>
      </c>
      <c r="D62" s="32">
        <v>0.1024135685843805</v>
      </c>
      <c r="E62" s="31">
        <f t="shared" si="27"/>
        <v>1.8982973415404558E-8</v>
      </c>
      <c r="G62" s="11">
        <f t="shared" si="33"/>
        <v>130</v>
      </c>
      <c r="H62" s="99">
        <f t="shared" si="28"/>
        <v>0.44732793283724698</v>
      </c>
      <c r="I62" s="100">
        <f t="shared" si="29"/>
        <v>2732.8600385171299</v>
      </c>
      <c r="J62" s="67">
        <f t="shared" si="30"/>
        <v>5.8678652447585993</v>
      </c>
      <c r="K62" s="67">
        <f t="shared" si="31"/>
        <v>-0.2184577947939976</v>
      </c>
      <c r="L62" s="67">
        <f t="shared" si="32"/>
        <v>-0.49566381249975933</v>
      </c>
    </row>
    <row r="63" spans="1:17" x14ac:dyDescent="0.25">
      <c r="B63" s="27">
        <f t="shared" si="26"/>
        <v>2.1161275844860938E-4</v>
      </c>
      <c r="C63" s="35">
        <v>-4.0961456743227943E-4</v>
      </c>
      <c r="D63" s="38">
        <v>7.9058053336083539E-2</v>
      </c>
      <c r="E63" s="31">
        <f t="shared" si="27"/>
        <v>1.0913936421275139E-10</v>
      </c>
      <c r="G63" s="11">
        <f t="shared" si="33"/>
        <v>144</v>
      </c>
      <c r="H63" s="99">
        <f t="shared" si="28"/>
        <v>0.49550171021971973</v>
      </c>
      <c r="I63" s="100">
        <f t="shared" si="29"/>
        <v>2744.6864268632412</v>
      </c>
      <c r="J63" s="67">
        <f t="shared" si="30"/>
        <v>4.5296927926777446</v>
      </c>
      <c r="K63" s="67">
        <f t="shared" si="31"/>
        <v>-2.3469185940946474E-2</v>
      </c>
      <c r="L63" s="67">
        <f t="shared" si="32"/>
        <v>-5.8984496060804838E-2</v>
      </c>
    </row>
    <row r="64" spans="1:17" x14ac:dyDescent="0.25">
      <c r="B64" s="27">
        <f t="shared" si="26"/>
        <v>2.8977424335607793E-6</v>
      </c>
      <c r="C64" s="28">
        <v>-7.3887744307425378E-5</v>
      </c>
      <c r="D64" s="32">
        <v>6.1578943028455027E-2</v>
      </c>
      <c r="E64" s="31">
        <f t="shared" si="27"/>
        <v>0</v>
      </c>
      <c r="G64" s="11">
        <f t="shared" si="33"/>
        <v>158</v>
      </c>
      <c r="H64" s="99">
        <f t="shared" si="28"/>
        <v>0.54367548760219253</v>
      </c>
      <c r="I64" s="100">
        <f t="shared" si="29"/>
        <v>2767.0294406275812</v>
      </c>
      <c r="J64" s="67">
        <f t="shared" si="30"/>
        <v>3.5282135424070171</v>
      </c>
      <c r="K64" s="67">
        <f t="shared" si="31"/>
        <v>-4.2334559065572482E-3</v>
      </c>
      <c r="L64" s="67">
        <f t="shared" si="32"/>
        <v>-1.1674263589950801E-2</v>
      </c>
    </row>
    <row r="65" spans="2:12" x14ac:dyDescent="0.25">
      <c r="B65" s="27">
        <f t="shared" si="26"/>
        <v>1.1468907405287609E-4</v>
      </c>
      <c r="C65" s="35">
        <v>-2.0944150639101273E-3</v>
      </c>
      <c r="D65" s="38">
        <v>4.9013116940042852E-2</v>
      </c>
      <c r="E65" s="31">
        <f t="shared" si="27"/>
        <v>7.2759576141834259E-11</v>
      </c>
      <c r="G65" s="11">
        <f t="shared" si="33"/>
        <v>171</v>
      </c>
      <c r="H65" s="99">
        <f t="shared" si="28"/>
        <v>0.58840828088591712</v>
      </c>
      <c r="I65" s="100">
        <f t="shared" si="29"/>
        <v>2797.1931970868113</v>
      </c>
      <c r="J65" s="67">
        <f t="shared" si="30"/>
        <v>2.8082447414456153</v>
      </c>
      <c r="K65" s="67">
        <f t="shared" si="31"/>
        <v>-0.12000114371067287</v>
      </c>
      <c r="L65" s="67">
        <f t="shared" si="32"/>
        <v>-0.35814471409042181</v>
      </c>
    </row>
    <row r="66" spans="2:12" x14ac:dyDescent="0.25">
      <c r="B66" s="27">
        <f t="shared" si="26"/>
        <v>-2.2151871598907746E-4</v>
      </c>
      <c r="C66" s="28">
        <v>-6.6663008754353171E-3</v>
      </c>
      <c r="D66" s="32">
        <v>3.8313926697569806E-2</v>
      </c>
      <c r="E66" s="31">
        <f t="shared" si="27"/>
        <v>0</v>
      </c>
      <c r="G66" s="11">
        <f t="shared" si="33"/>
        <v>185</v>
      </c>
      <c r="H66" s="99">
        <f t="shared" si="28"/>
        <v>0.63658205826838987</v>
      </c>
      <c r="I66" s="100">
        <f t="shared" si="29"/>
        <v>2839.8182741577357</v>
      </c>
      <c r="J66" s="67">
        <f t="shared" si="30"/>
        <v>2.1952262963443578</v>
      </c>
      <c r="K66" s="67">
        <f t="shared" si="31"/>
        <v>-0.38195090512680957</v>
      </c>
      <c r="L66" s="67">
        <f t="shared" si="32"/>
        <v>-1.2332565276770866</v>
      </c>
    </row>
    <row r="67" spans="2:12" x14ac:dyDescent="0.25">
      <c r="B67" s="27">
        <f t="shared" si="26"/>
        <v>1.2172769402241101E-5</v>
      </c>
      <c r="C67" s="35">
        <v>-1.4543623939055374E-2</v>
      </c>
      <c r="D67" s="38">
        <v>2.923572501159798E-2</v>
      </c>
      <c r="E67" s="31">
        <f t="shared" si="27"/>
        <v>1.4551915228366852E-10</v>
      </c>
      <c r="G67" s="11">
        <f t="shared" si="33"/>
        <v>200</v>
      </c>
      <c r="H67" s="99">
        <f t="shared" si="28"/>
        <v>0.68819681974961078</v>
      </c>
      <c r="I67" s="100">
        <f t="shared" si="29"/>
        <v>2897.1582344299759</v>
      </c>
      <c r="J67" s="67">
        <f t="shared" si="30"/>
        <v>1.6750836541696239</v>
      </c>
      <c r="K67" s="67">
        <f t="shared" si="31"/>
        <v>-0.83328827053330257</v>
      </c>
      <c r="L67" s="67">
        <f t="shared" si="32"/>
        <v>-2.9086222481066866</v>
      </c>
    </row>
    <row r="68" spans="2:12" x14ac:dyDescent="0.25">
      <c r="B68" s="27">
        <f t="shared" si="26"/>
        <v>-2.3659224871153128E-4</v>
      </c>
      <c r="C68" s="28">
        <v>-2.4407302795280882E-2</v>
      </c>
      <c r="D68" s="32">
        <v>2.2856853874969489E-2</v>
      </c>
      <c r="E68" s="31">
        <f t="shared" si="27"/>
        <v>0</v>
      </c>
      <c r="G68" s="11">
        <f t="shared" si="33"/>
        <v>213</v>
      </c>
      <c r="H68" s="99">
        <f t="shared" si="28"/>
        <v>0.73292961303333548</v>
      </c>
      <c r="I68" s="100">
        <f t="shared" si="29"/>
        <v>2956.6183045542725</v>
      </c>
      <c r="J68" s="67">
        <f t="shared" si="30"/>
        <v>1.3096012599829931</v>
      </c>
      <c r="K68" s="67">
        <f t="shared" si="31"/>
        <v>-1.3984354394674512</v>
      </c>
      <c r="L68" s="67">
        <f t="shared" si="32"/>
        <v>-5.1982393467585108</v>
      </c>
    </row>
    <row r="69" spans="2:12" x14ac:dyDescent="0.25">
      <c r="B69" s="27">
        <f t="shared" si="26"/>
        <v>-9.122891424340196E-5</v>
      </c>
      <c r="C69" s="35">
        <v>-3.9355527039434859E-2</v>
      </c>
      <c r="D69" s="38">
        <v>1.7160488651967037E-2</v>
      </c>
      <c r="E69" s="31">
        <f t="shared" si="27"/>
        <v>0</v>
      </c>
      <c r="G69" s="11">
        <f t="shared" si="33"/>
        <v>227</v>
      </c>
      <c r="H69" s="99">
        <f t="shared" si="28"/>
        <v>0.78110339041580823</v>
      </c>
      <c r="I69" s="100">
        <f t="shared" si="29"/>
        <v>3030.7932578798841</v>
      </c>
      <c r="J69" s="67">
        <f t="shared" si="30"/>
        <v>0.98322357413985462</v>
      </c>
      <c r="K69" s="67">
        <f t="shared" si="31"/>
        <v>-2.2549055998726093</v>
      </c>
      <c r="L69" s="67">
        <f t="shared" si="32"/>
        <v>-8.9313986439571504</v>
      </c>
    </row>
    <row r="70" spans="2:12" x14ac:dyDescent="0.25">
      <c r="B70" s="27">
        <f t="shared" si="26"/>
        <v>-8.5545179899781942E-6</v>
      </c>
      <c r="C70" s="28">
        <v>-5.9341551054762923E-2</v>
      </c>
      <c r="D70" s="32">
        <v>1.2716378528041925E-2</v>
      </c>
      <c r="E70" s="31">
        <f t="shared" si="27"/>
        <v>-7.2759576141834259E-11</v>
      </c>
      <c r="G70" s="11">
        <f t="shared" si="33"/>
        <v>240</v>
      </c>
      <c r="H70" s="99">
        <f t="shared" si="28"/>
        <v>0.82583618369953282</v>
      </c>
      <c r="I70" s="100">
        <f t="shared" si="29"/>
        <v>3109.0866725031515</v>
      </c>
      <c r="J70" s="67">
        <f t="shared" si="30"/>
        <v>0.72859482034758449</v>
      </c>
      <c r="K70" s="67">
        <f t="shared" si="31"/>
        <v>-3.4000204251980142</v>
      </c>
      <c r="L70" s="67">
        <f t="shared" si="32"/>
        <v>-14.233615064504445</v>
      </c>
    </row>
  </sheetData>
  <mergeCells count="4">
    <mergeCell ref="G54:L54"/>
    <mergeCell ref="G1:L1"/>
    <mergeCell ref="F23:Q23"/>
    <mergeCell ref="F39:Q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BA80-3CB1-47DA-9C90-DBFADCCC173A}">
  <dimension ref="A1:Y68"/>
  <sheetViews>
    <sheetView workbookViewId="0"/>
  </sheetViews>
  <sheetFormatPr defaultRowHeight="15" x14ac:dyDescent="0.25"/>
  <cols>
    <col min="1" max="1" width="34.77734375" style="23" customWidth="1"/>
    <col min="2" max="2" width="9.5546875" style="23" customWidth="1"/>
    <col min="3" max="6" width="8.88671875" style="23"/>
    <col min="7" max="7" width="9.44140625" style="23" customWidth="1"/>
    <col min="8" max="8" width="9" style="23" bestFit="1" customWidth="1"/>
    <col min="9" max="10" width="9.44140625" style="23" customWidth="1"/>
    <col min="11" max="16" width="8.21875" style="23" customWidth="1"/>
    <col min="17" max="16384" width="8.88671875" style="23"/>
  </cols>
  <sheetData>
    <row r="1" spans="1:12" ht="18.600000000000001" thickBot="1" x14ac:dyDescent="0.3">
      <c r="A1" s="21" t="s">
        <v>10</v>
      </c>
      <c r="B1" s="22" t="s">
        <v>6</v>
      </c>
      <c r="C1" s="22">
        <v>14000</v>
      </c>
      <c r="D1" s="22" t="s">
        <v>3</v>
      </c>
      <c r="G1" s="143" t="s">
        <v>158</v>
      </c>
      <c r="H1" s="144"/>
      <c r="I1" s="144"/>
      <c r="J1" s="144"/>
      <c r="K1" s="144"/>
      <c r="L1" s="145"/>
    </row>
    <row r="2" spans="1:12" ht="18.600000000000001" thickBot="1" x14ac:dyDescent="0.35">
      <c r="A2" s="24" t="s">
        <v>17</v>
      </c>
      <c r="B2" s="25" t="s">
        <v>69</v>
      </c>
      <c r="C2" s="25">
        <f>Podsumowanie!B17</f>
        <v>6.2309999999999999</v>
      </c>
      <c r="D2" s="25" t="s">
        <v>26</v>
      </c>
      <c r="G2" s="98" t="s">
        <v>63</v>
      </c>
      <c r="H2" s="98" t="s">
        <v>53</v>
      </c>
      <c r="I2" s="98" t="s">
        <v>65</v>
      </c>
      <c r="J2" s="98" t="s">
        <v>66</v>
      </c>
      <c r="K2" s="98" t="s">
        <v>84</v>
      </c>
      <c r="L2" s="98" t="s">
        <v>64</v>
      </c>
    </row>
    <row r="3" spans="1:12" ht="18" x14ac:dyDescent="0.3">
      <c r="A3" s="24" t="s">
        <v>62</v>
      </c>
      <c r="B3" s="25" t="s">
        <v>70</v>
      </c>
      <c r="C3" s="25">
        <f>Podsumowanie!B10</f>
        <v>9800</v>
      </c>
      <c r="D3" s="25" t="s">
        <v>28</v>
      </c>
      <c r="G3" s="44">
        <f>SQRT(2*C$11/C$4/C$16/C$15)</f>
        <v>103.07310957548691</v>
      </c>
      <c r="H3" s="45">
        <f t="shared" ref="H3:H17" si="0">G3/C$19</f>
        <v>0.36617977246081385</v>
      </c>
      <c r="I3" s="46">
        <f t="shared" ref="I3:I17" si="1">C$17*(1-0.605*H3+0.725*H3^2)</f>
        <v>2171.7290651367971</v>
      </c>
      <c r="J3" s="43">
        <f t="shared" ref="J3:J17" ca="1" si="2">OFFSET(D22,A22-2,0,1,1)</f>
        <v>11.332788285441099</v>
      </c>
      <c r="K3" s="43">
        <f t="shared" ref="K3:K17" ca="1" si="3">OFFSET(D21,A22-2,0,1,1)</f>
        <v>-2.0470694086162244</v>
      </c>
      <c r="L3" s="43">
        <f ca="1">G3*SIN(RADIANS(K3))</f>
        <v>-3.6818230668058329</v>
      </c>
    </row>
    <row r="4" spans="1:12" ht="18" x14ac:dyDescent="0.3">
      <c r="A4" s="24" t="s">
        <v>16</v>
      </c>
      <c r="B4" s="25" t="s">
        <v>5</v>
      </c>
      <c r="C4" s="25">
        <f>Podsumowanie!B3</f>
        <v>17.5</v>
      </c>
      <c r="D4" s="25" t="s">
        <v>71</v>
      </c>
      <c r="G4" s="47">
        <v>106</v>
      </c>
      <c r="H4" s="19">
        <f t="shared" si="0"/>
        <v>0.37657790708661565</v>
      </c>
      <c r="I4" s="48">
        <f t="shared" si="1"/>
        <v>2170.0141432386731</v>
      </c>
      <c r="J4" s="14">
        <f t="shared" ca="1" si="2"/>
        <v>10.649717430704591</v>
      </c>
      <c r="K4" s="14">
        <f t="shared" ca="1" si="3"/>
        <v>-1.8307876275507244</v>
      </c>
      <c r="L4" s="14">
        <f t="shared" ref="L4:L17" ca="1" si="4">G4*SIN(RADIANS(K4))</f>
        <v>-3.3864704929970104</v>
      </c>
    </row>
    <row r="5" spans="1:12" ht="18" x14ac:dyDescent="0.3">
      <c r="A5" s="24" t="s">
        <v>30</v>
      </c>
      <c r="B5" s="25" t="s">
        <v>72</v>
      </c>
      <c r="C5" s="25">
        <f>Podsumowanie!B31</f>
        <v>-2.4783675378319478E-2</v>
      </c>
      <c r="D5" s="25" t="s">
        <v>29</v>
      </c>
      <c r="G5" s="47">
        <v>109</v>
      </c>
      <c r="H5" s="19">
        <f t="shared" si="0"/>
        <v>0.3872357723815199</v>
      </c>
      <c r="I5" s="48">
        <f t="shared" si="1"/>
        <v>2168.6598881556188</v>
      </c>
      <c r="J5" s="14">
        <f t="shared" ca="1" si="2"/>
        <v>10.004528192609753</v>
      </c>
      <c r="K5" s="14">
        <f t="shared" ca="1" si="3"/>
        <v>-1.6313583469106128</v>
      </c>
      <c r="L5" s="14">
        <f t="shared" ca="1" si="4"/>
        <v>-3.1030913007057501</v>
      </c>
    </row>
    <row r="6" spans="1:12" ht="15.6" x14ac:dyDescent="0.3">
      <c r="A6" s="24" t="s">
        <v>12</v>
      </c>
      <c r="B6" s="25" t="s">
        <v>3</v>
      </c>
      <c r="C6" s="25">
        <f>Podsumowanie!B7</f>
        <v>3240</v>
      </c>
      <c r="D6" s="25" t="s">
        <v>0</v>
      </c>
      <c r="G6" s="47">
        <v>112</v>
      </c>
      <c r="H6" s="19">
        <f t="shared" si="0"/>
        <v>0.39789363767642411</v>
      </c>
      <c r="I6" s="48">
        <f t="shared" si="1"/>
        <v>2167.7141135119091</v>
      </c>
      <c r="J6" s="14">
        <f t="shared" ca="1" si="2"/>
        <v>9.4093303762404776</v>
      </c>
      <c r="K6" s="14">
        <f t="shared" ca="1" si="3"/>
        <v>-1.4523364922136446</v>
      </c>
      <c r="L6" s="14">
        <f t="shared" ca="1" si="4"/>
        <v>-2.8386779980691976</v>
      </c>
    </row>
    <row r="7" spans="1:12" ht="18" x14ac:dyDescent="0.3">
      <c r="A7" s="24" t="s">
        <v>15</v>
      </c>
      <c r="B7" s="25" t="s">
        <v>73</v>
      </c>
      <c r="C7" s="25">
        <f>Podsumowanie!B14</f>
        <v>5.1340000000000003</v>
      </c>
      <c r="D7" s="25" t="s">
        <v>8</v>
      </c>
      <c r="G7" s="47">
        <v>115</v>
      </c>
      <c r="H7" s="19">
        <f t="shared" si="0"/>
        <v>0.40855150297132831</v>
      </c>
      <c r="I7" s="48">
        <f t="shared" si="1"/>
        <v>2167.1768193075422</v>
      </c>
      <c r="J7" s="14">
        <f t="shared" ca="1" si="2"/>
        <v>8.8591401412861703</v>
      </c>
      <c r="K7" s="14">
        <f t="shared" ca="1" si="3"/>
        <v>-1.2918528836638885</v>
      </c>
      <c r="L7" s="14">
        <f t="shared" ca="1" si="4"/>
        <v>-2.5926952329509914</v>
      </c>
    </row>
    <row r="8" spans="1:12" ht="18" x14ac:dyDescent="0.3">
      <c r="A8" s="24" t="s">
        <v>18</v>
      </c>
      <c r="B8" s="25" t="s">
        <v>74</v>
      </c>
      <c r="C8" s="25">
        <f>Podsumowanie!B15</f>
        <v>1.533E-2</v>
      </c>
      <c r="D8" s="25" t="s">
        <v>8</v>
      </c>
      <c r="G8" s="47">
        <v>117</v>
      </c>
      <c r="H8" s="19">
        <f t="shared" si="0"/>
        <v>0.4156567465012645</v>
      </c>
      <c r="I8" s="48">
        <f t="shared" si="1"/>
        <v>2167.0455567487115</v>
      </c>
      <c r="J8" s="14">
        <f t="shared" ca="1" si="2"/>
        <v>8.5151632477530725</v>
      </c>
      <c r="K8" s="14">
        <f t="shared" ca="1" si="3"/>
        <v>-1.1943487036140106</v>
      </c>
      <c r="L8" s="14">
        <f t="shared" ca="1" si="4"/>
        <v>-2.4387254991112606</v>
      </c>
    </row>
    <row r="9" spans="1:12" ht="18" x14ac:dyDescent="0.3">
      <c r="A9" s="24" t="s">
        <v>14</v>
      </c>
      <c r="B9" s="25" t="s">
        <v>75</v>
      </c>
      <c r="C9" s="25">
        <f>Podsumowanie!B12</f>
        <v>243.33333333333334</v>
      </c>
      <c r="D9" s="25" t="s">
        <v>27</v>
      </c>
      <c r="G9" s="47">
        <v>130</v>
      </c>
      <c r="H9" s="19">
        <f t="shared" si="0"/>
        <v>0.46184082944584942</v>
      </c>
      <c r="I9" s="48">
        <f t="shared" si="1"/>
        <v>2170.6175548758679</v>
      </c>
      <c r="J9" s="14">
        <f t="shared" ca="1" si="2"/>
        <v>6.6464613489210054</v>
      </c>
      <c r="K9" s="14">
        <f t="shared" ca="1" si="3"/>
        <v>-0.71688902406063193</v>
      </c>
      <c r="L9" s="14">
        <f t="shared" ca="1" si="4"/>
        <v>-1.6265271592451331</v>
      </c>
    </row>
    <row r="10" spans="1:12" ht="18" x14ac:dyDescent="0.3">
      <c r="A10" s="24" t="s">
        <v>25</v>
      </c>
      <c r="B10" s="25" t="s">
        <v>24</v>
      </c>
      <c r="C10" s="25">
        <f>Podsumowanie!B2</f>
        <v>1.2255</v>
      </c>
      <c r="D10" s="25" t="s">
        <v>76</v>
      </c>
      <c r="G10" s="47">
        <v>144</v>
      </c>
      <c r="H10" s="19">
        <f t="shared" si="0"/>
        <v>0.51157753415540241</v>
      </c>
      <c r="I10" s="48">
        <f t="shared" si="1"/>
        <v>2183.0424113159474</v>
      </c>
      <c r="J10" s="14">
        <f t="shared" ca="1" si="2"/>
        <v>5.1659989510598852</v>
      </c>
      <c r="K10" s="14">
        <f t="shared" ca="1" si="3"/>
        <v>-0.44152428829305562</v>
      </c>
      <c r="L10" s="14">
        <f t="shared" ca="1" si="4"/>
        <v>-1.1096605857689898</v>
      </c>
    </row>
    <row r="11" spans="1:12" ht="15.6" x14ac:dyDescent="0.3">
      <c r="A11" s="24" t="s">
        <v>19</v>
      </c>
      <c r="B11" s="25" t="s">
        <v>13</v>
      </c>
      <c r="C11" s="25">
        <f>Podsumowanie!B8</f>
        <v>31784.400000000001</v>
      </c>
      <c r="D11" s="25" t="s">
        <v>28</v>
      </c>
      <c r="G11" s="47">
        <v>158</v>
      </c>
      <c r="H11" s="19">
        <f t="shared" si="0"/>
        <v>0.56131423886495546</v>
      </c>
      <c r="I11" s="48">
        <f t="shared" si="1"/>
        <v>2204.3630639906251</v>
      </c>
      <c r="J11" s="14">
        <f t="shared" ca="1" si="2"/>
        <v>4.0577198131084016</v>
      </c>
      <c r="K11" s="14">
        <f t="shared" ca="1" si="3"/>
        <v>-0.35444203794199602</v>
      </c>
      <c r="L11" s="14">
        <f t="shared" ca="1" si="4"/>
        <v>-0.97741029590559114</v>
      </c>
    </row>
    <row r="12" spans="1:12" ht="18" x14ac:dyDescent="0.3">
      <c r="A12" s="24" t="s">
        <v>59</v>
      </c>
      <c r="B12" s="25" t="s">
        <v>77</v>
      </c>
      <c r="C12" s="25">
        <f>Podsumowanie!B13</f>
        <v>340.3</v>
      </c>
      <c r="D12" s="25" t="s">
        <v>55</v>
      </c>
      <c r="G12" s="47">
        <v>171</v>
      </c>
      <c r="H12" s="19">
        <f t="shared" si="0"/>
        <v>0.60749832180954033</v>
      </c>
      <c r="I12" s="48">
        <f t="shared" si="1"/>
        <v>2232.1261814700292</v>
      </c>
      <c r="J12" s="14">
        <f t="shared" ca="1" si="2"/>
        <v>3.2608362204903463</v>
      </c>
      <c r="K12" s="14">
        <f t="shared" ca="1" si="3"/>
        <v>-0.41579089808722636</v>
      </c>
      <c r="L12" s="14">
        <f t="shared" ca="1" si="4"/>
        <v>-1.2409224574898396</v>
      </c>
    </row>
    <row r="13" spans="1:12" ht="18" x14ac:dyDescent="0.3">
      <c r="A13" s="24" t="s">
        <v>60</v>
      </c>
      <c r="B13" s="25" t="s">
        <v>78</v>
      </c>
      <c r="C13" s="25">
        <f>Podsumowanie!B18</f>
        <v>288.14999999999998</v>
      </c>
      <c r="D13" s="25" t="s">
        <v>56</v>
      </c>
      <c r="G13" s="47">
        <v>185</v>
      </c>
      <c r="H13" s="19">
        <f t="shared" si="0"/>
        <v>0.65723502651909338</v>
      </c>
      <c r="I13" s="48">
        <f t="shared" si="1"/>
        <v>2270.6030125971465</v>
      </c>
      <c r="J13" s="14">
        <f t="shared" ca="1" si="2"/>
        <v>2.5822560055951449</v>
      </c>
      <c r="K13" s="14">
        <f t="shared" ca="1" si="3"/>
        <v>-0.62789275220655161</v>
      </c>
      <c r="L13" s="14">
        <f t="shared" ca="1" si="4"/>
        <v>-2.0273366574802796</v>
      </c>
    </row>
    <row r="14" spans="1:12" ht="15.6" x14ac:dyDescent="0.3">
      <c r="A14" s="24" t="s">
        <v>11</v>
      </c>
      <c r="B14" s="25" t="s">
        <v>22</v>
      </c>
      <c r="C14" s="25">
        <f>Podsumowanie!B30</f>
        <v>1.7453292519943295E-2</v>
      </c>
      <c r="D14" s="25" t="s">
        <v>29</v>
      </c>
      <c r="G14" s="47">
        <v>200</v>
      </c>
      <c r="H14" s="19">
        <f t="shared" si="0"/>
        <v>0.71052435299361449</v>
      </c>
      <c r="I14" s="48">
        <f t="shared" si="1"/>
        <v>2321.6997994222461</v>
      </c>
      <c r="J14" s="14">
        <f t="shared" ca="1" si="2"/>
        <v>2.006438313364213</v>
      </c>
      <c r="K14" s="14">
        <f t="shared" ca="1" si="3"/>
        <v>-1.0388784755006617</v>
      </c>
      <c r="L14" s="14">
        <f t="shared" ca="1" si="4"/>
        <v>-3.6261712850775387</v>
      </c>
    </row>
    <row r="15" spans="1:12" ht="18" x14ac:dyDescent="0.25">
      <c r="A15" s="25" t="s">
        <v>94</v>
      </c>
      <c r="B15" s="25" t="s">
        <v>95</v>
      </c>
      <c r="C15" s="25">
        <f>Podsumowanie!B16</f>
        <v>1.405</v>
      </c>
      <c r="D15" s="25" t="s">
        <v>8</v>
      </c>
      <c r="G15" s="47">
        <v>213</v>
      </c>
      <c r="H15" s="19">
        <f t="shared" si="0"/>
        <v>0.75670843593819948</v>
      </c>
      <c r="I15" s="48">
        <f t="shared" si="1"/>
        <v>2374.2440635551739</v>
      </c>
      <c r="J15" s="14">
        <f t="shared" ca="1" si="2"/>
        <v>1.6017949245643264</v>
      </c>
      <c r="K15" s="14">
        <f t="shared" ca="1" si="3"/>
        <v>-1.5877327844160469</v>
      </c>
      <c r="L15" s="14">
        <f t="shared" ca="1" si="4"/>
        <v>-5.9017226891461751</v>
      </c>
    </row>
    <row r="16" spans="1:12" ht="18.600000000000001" x14ac:dyDescent="0.25">
      <c r="A16" s="23" t="s">
        <v>21</v>
      </c>
      <c r="B16" s="20" t="s">
        <v>79</v>
      </c>
      <c r="C16" s="20">
        <f>C10*(1-C1/44300)^4.256</f>
        <v>0.24335422109432633</v>
      </c>
      <c r="D16" s="20" t="s">
        <v>80</v>
      </c>
      <c r="G16" s="47">
        <v>227</v>
      </c>
      <c r="H16" s="19">
        <f t="shared" si="0"/>
        <v>0.80644514064775241</v>
      </c>
      <c r="I16" s="48">
        <f t="shared" si="1"/>
        <v>2439.4082833860843</v>
      </c>
      <c r="J16" s="14">
        <f t="shared" ca="1" si="2"/>
        <v>1.240342242600309</v>
      </c>
      <c r="K16" s="14">
        <f t="shared" ca="1" si="3"/>
        <v>-2.4672071489654099</v>
      </c>
      <c r="L16" s="14">
        <f t="shared" ca="1" si="4"/>
        <v>-9.7718010628028367</v>
      </c>
    </row>
    <row r="17" spans="1:25" ht="18.600000000000001" x14ac:dyDescent="0.25">
      <c r="A17" s="23" t="s">
        <v>20</v>
      </c>
      <c r="B17" s="20" t="s">
        <v>81</v>
      </c>
      <c r="C17" s="20">
        <f>C3*(C16/C10)^0.85</f>
        <v>2480.0635448498047</v>
      </c>
      <c r="D17" s="20" t="s">
        <v>28</v>
      </c>
      <c r="G17" s="47">
        <v>240</v>
      </c>
      <c r="H17" s="19">
        <f t="shared" si="0"/>
        <v>0.85262922359233739</v>
      </c>
      <c r="I17" s="48">
        <f t="shared" si="1"/>
        <v>2507.8832846534187</v>
      </c>
      <c r="J17" s="14">
        <f t="shared" ca="1" si="2"/>
        <v>0.95802882868075767</v>
      </c>
      <c r="K17" s="14">
        <f t="shared" ca="1" si="3"/>
        <v>-3.7230555079759431</v>
      </c>
      <c r="L17" s="14">
        <f t="shared" ca="1" si="4"/>
        <v>-15.584126111675252</v>
      </c>
    </row>
    <row r="18" spans="1:25" ht="18.600000000000001" x14ac:dyDescent="0.25">
      <c r="A18" s="23" t="s">
        <v>61</v>
      </c>
      <c r="B18" s="20" t="s">
        <v>82</v>
      </c>
      <c r="C18" s="20">
        <f>C13-6.5*C1/1000</f>
        <v>197.14999999999998</v>
      </c>
      <c r="D18" s="20" t="s">
        <v>56</v>
      </c>
    </row>
    <row r="19" spans="1:25" ht="18.600000000000001" x14ac:dyDescent="0.3">
      <c r="A19" s="23" t="s">
        <v>54</v>
      </c>
      <c r="B19" s="20" t="s">
        <v>83</v>
      </c>
      <c r="C19" s="20">
        <f>C12*SQRT(C18/C13)</f>
        <v>281.48225906311393</v>
      </c>
      <c r="D19" s="20" t="s">
        <v>55</v>
      </c>
      <c r="Y19" s="41"/>
    </row>
    <row r="20" spans="1:25" ht="19.2" thickBot="1" x14ac:dyDescent="0.3">
      <c r="A20" s="23" t="s">
        <v>155</v>
      </c>
      <c r="B20" s="20" t="s">
        <v>157</v>
      </c>
      <c r="C20" s="20">
        <f>Podsumowanie!B9</f>
        <v>37670.400000000001</v>
      </c>
      <c r="D20" s="20" t="s">
        <v>28</v>
      </c>
    </row>
    <row r="21" spans="1:25" ht="18.600000000000001" thickBot="1" x14ac:dyDescent="0.3">
      <c r="A21" s="26">
        <v>1</v>
      </c>
      <c r="B21" s="27">
        <f>-I3*COS(C21+C22-C$14)+0.5*C$16*C$4*C$2*(C22-C$5)*G3^2*SIN(C21)+0.5*C$16*C$4*((C$8+1/PI()/C$7*C$2^2*(C22-C$5)^2)/SQRT(1-H3^2))*G3^2*COS(C21)</f>
        <v>4.2567117070575478E-3</v>
      </c>
      <c r="C21" s="28">
        <v>-3.5728101197206291E-2</v>
      </c>
      <c r="D21" s="29">
        <f t="shared" ref="D21:D50" si="5">DEGREES(C21)</f>
        <v>-2.0470694086162244</v>
      </c>
      <c r="F21" s="143" t="s">
        <v>167</v>
      </c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5"/>
    </row>
    <row r="22" spans="1:25" ht="18.600000000000001" thickBot="1" x14ac:dyDescent="0.3">
      <c r="A22" s="30">
        <v>2</v>
      </c>
      <c r="B22" s="31">
        <f>I3*SIN(C21+C22-C$14)+0.5*C$16*C$4*C$2*(C22-C$5)*G3^2*COS(C21)-0.5*C$16*C$4*(C$8+1/PI()/C$7*C$2^2*(C22-C$5)^2)/SQRT(1-H3^2)*G3^2*SIN(C21)-C$11</f>
        <v>5.4678821470588446E-9</v>
      </c>
      <c r="C22" s="32">
        <v>0.19779446901239015</v>
      </c>
      <c r="D22" s="33">
        <f t="shared" si="5"/>
        <v>11.332788285441099</v>
      </c>
      <c r="F22" s="98" t="s">
        <v>1</v>
      </c>
      <c r="G22" s="98" t="s">
        <v>7</v>
      </c>
      <c r="H22" s="98" t="s">
        <v>109</v>
      </c>
      <c r="I22" s="98" t="s">
        <v>2</v>
      </c>
      <c r="J22" s="98" t="s">
        <v>63</v>
      </c>
      <c r="K22" s="98" t="s">
        <v>53</v>
      </c>
      <c r="L22" s="98" t="s">
        <v>67</v>
      </c>
      <c r="M22" s="98" t="s">
        <v>65</v>
      </c>
      <c r="N22" s="98" t="s">
        <v>68</v>
      </c>
      <c r="O22" s="98" t="s">
        <v>64</v>
      </c>
      <c r="P22" s="98" t="s">
        <v>84</v>
      </c>
      <c r="Q22" s="98" t="s">
        <v>66</v>
      </c>
    </row>
    <row r="23" spans="1:25" x14ac:dyDescent="0.25">
      <c r="A23" s="34">
        <v>3</v>
      </c>
      <c r="B23" s="27">
        <f>-I4*COS(C23+C24-C$14)+0.5*C$16*C$4*C$2*(C24-C$5)*G4^2*SIN(C23)+0.5*C$16*C$4*(C$8+1/PI()/C$7*C$2^2*(C24-C$5)^2)/SQRT(1-H4^2)*G4^2*COS(C23)</f>
        <v>4.4278815958023188E-3</v>
      </c>
      <c r="C23" s="35">
        <v>-3.1953272005535792E-2</v>
      </c>
      <c r="D23" s="36">
        <f t="shared" si="5"/>
        <v>-1.8307876275507244</v>
      </c>
      <c r="F23" s="42">
        <v>1.405</v>
      </c>
      <c r="G23" s="101">
        <v>0.1406</v>
      </c>
      <c r="H23" s="101">
        <f>G23/SQRT(1-K23^2)</f>
        <v>0.15109439279926076</v>
      </c>
      <c r="I23" s="43">
        <f>F23^3/H23^2</f>
        <v>121.48769082296526</v>
      </c>
      <c r="J23" s="44">
        <f t="shared" ref="J23:J34" si="6">SQRT((2*C$11)/(C$4*C$16*F23))</f>
        <v>103.07310957548691</v>
      </c>
      <c r="K23" s="42">
        <f t="shared" ref="K23:K34" si="7">J23/C$19</f>
        <v>0.36617977246081385</v>
      </c>
      <c r="L23" s="46">
        <f t="shared" ref="L23:L34" si="8">C$11*SQRT((2*C$11)/(C$16*C$4*I23))/J23</f>
        <v>3418.1100487464942</v>
      </c>
      <c r="M23" s="46">
        <f t="shared" ref="M23:M34" si="9">C$17*(1-0.605*K23+0.725*K23^2)</f>
        <v>2171.7290651367971</v>
      </c>
      <c r="N23" s="46">
        <f>(M23-L23)</f>
        <v>-1246.3809836096971</v>
      </c>
      <c r="O23" s="43">
        <f t="shared" ref="O23:O34" si="10">N23/C$11*J23</f>
        <v>-4.0418684542229979</v>
      </c>
      <c r="P23" s="43">
        <f>DEGREES(ASIN(O23/J23))</f>
        <v>-2.2473504167374627</v>
      </c>
      <c r="Q23" s="43">
        <v>12.989000000000001</v>
      </c>
    </row>
    <row r="24" spans="1:25" x14ac:dyDescent="0.25">
      <c r="A24" s="37">
        <v>4</v>
      </c>
      <c r="B24" s="31">
        <f>I4*SIN(C23+C24-C$14)+0.5*C$16*C$4*C$2*(C24-C$5)*G4^2*COS(C23)-0.5*C$16*C$4*(C$8+1/PI()/C$7*C$2^2*(C24-C$5)^2)/SQRT(1-H4^2)*G4^2*SIN(C23)-C$11</f>
        <v>-8.1397229223512113E-7</v>
      </c>
      <c r="C24" s="38">
        <v>0.18587263357282616</v>
      </c>
      <c r="D24" s="39">
        <f t="shared" si="5"/>
        <v>10.649717430704591</v>
      </c>
      <c r="F24" s="13">
        <v>1.3560000000000001</v>
      </c>
      <c r="G24" s="18">
        <v>0.13239999999999999</v>
      </c>
      <c r="H24" s="18">
        <f t="shared" ref="H24:H34" si="11">G24/SQRT(1-K24^2)</f>
        <v>0.14268210441418294</v>
      </c>
      <c r="I24" s="14">
        <f t="shared" ref="I24:I34" si="12">F24^3/H24^2</f>
        <v>122.47291547534027</v>
      </c>
      <c r="J24" s="47">
        <f t="shared" si="6"/>
        <v>104.91889202739816</v>
      </c>
      <c r="K24" s="13">
        <f t="shared" si="7"/>
        <v>0.37273713937286984</v>
      </c>
      <c r="L24" s="48">
        <f t="shared" si="8"/>
        <v>3344.4432739986405</v>
      </c>
      <c r="M24" s="48">
        <f t="shared" si="9"/>
        <v>2170.6023010082299</v>
      </c>
      <c r="N24" s="48">
        <f t="shared" ref="N24:N34" si="13">(M24-L24)</f>
        <v>-1173.8409729904106</v>
      </c>
      <c r="O24" s="14">
        <f t="shared" si="10"/>
        <v>-3.8747968910068105</v>
      </c>
      <c r="P24" s="14">
        <f t="shared" ref="P24:P34" si="14">DEGREES(ASIN(O24/J24))</f>
        <v>-2.1164921056769583</v>
      </c>
      <c r="Q24" s="14">
        <v>11.238</v>
      </c>
    </row>
    <row r="25" spans="1:25" x14ac:dyDescent="0.25">
      <c r="A25" s="26">
        <v>5</v>
      </c>
      <c r="B25" s="27">
        <f>-I5*COS(C25+C26-C$14)+0.5*C$16*C$4*C$2*(C26-C$5)*G5^2*SIN(C25)+0.5*C$16*C$4*(C$8+1/PI()/C$7*C$2^2*(C26-C$5)^2)/SQRT(1-H5^2)*G5^2*COS(C25)</f>
        <v>2.3287944418370898E-3</v>
      </c>
      <c r="C25" s="28">
        <v>-2.8472574433482056E-2</v>
      </c>
      <c r="D25" s="29">
        <f t="shared" si="5"/>
        <v>-1.6313583469106128</v>
      </c>
      <c r="F25" s="13">
        <v>1.302</v>
      </c>
      <c r="G25" s="18">
        <v>0.1231</v>
      </c>
      <c r="H25" s="18">
        <f t="shared" si="11"/>
        <v>0.1331059873326812</v>
      </c>
      <c r="I25" s="14">
        <f t="shared" si="12"/>
        <v>124.57697190631215</v>
      </c>
      <c r="J25" s="47">
        <f t="shared" si="6"/>
        <v>107.0725259687872</v>
      </c>
      <c r="K25" s="13">
        <f t="shared" si="7"/>
        <v>0.38038818618682257</v>
      </c>
      <c r="L25" s="48">
        <f t="shared" si="8"/>
        <v>3249.3809091988264</v>
      </c>
      <c r="M25" s="48">
        <f t="shared" si="9"/>
        <v>2169.4830721178841</v>
      </c>
      <c r="N25" s="48">
        <f t="shared" si="13"/>
        <v>-1079.8978370809423</v>
      </c>
      <c r="O25" s="14">
        <f t="shared" si="10"/>
        <v>-3.6378660350513559</v>
      </c>
      <c r="P25" s="14">
        <f t="shared" si="14"/>
        <v>-1.9470400106720969</v>
      </c>
      <c r="Q25" s="14">
        <v>10.574999999999999</v>
      </c>
    </row>
    <row r="26" spans="1:25" x14ac:dyDescent="0.25">
      <c r="A26" s="30">
        <v>6</v>
      </c>
      <c r="B26" s="31">
        <f>I5*SIN(C25+C26-C$14)+0.5*C$16*C$4*C$2*(C26-C$5)*G5^2*COS(C25)-0.5*C$16*C$4*(C$8+1/PI()/C$7*C$2^2*(C26-C$5)^2)/SQRT(1-H5^2)*G5^2*SIN(C25)-C$11</f>
        <v>2.1063897293061018E-9</v>
      </c>
      <c r="C26" s="32">
        <v>0.17461195706963761</v>
      </c>
      <c r="D26" s="33">
        <f t="shared" si="5"/>
        <v>10.004528192609753</v>
      </c>
      <c r="F26" s="13">
        <v>1.1930000000000001</v>
      </c>
      <c r="G26" s="18">
        <v>0.1061</v>
      </c>
      <c r="H26" s="18">
        <f t="shared" si="11"/>
        <v>0.11562121543032791</v>
      </c>
      <c r="I26" s="14">
        <f t="shared" si="12"/>
        <v>127.01244319145729</v>
      </c>
      <c r="J26" s="47">
        <f t="shared" si="6"/>
        <v>111.85703894669048</v>
      </c>
      <c r="K26" s="13">
        <f t="shared" si="7"/>
        <v>0.39738575112689395</v>
      </c>
      <c r="L26" s="48">
        <f t="shared" si="8"/>
        <v>3080.4282981757869</v>
      </c>
      <c r="M26" s="48">
        <f t="shared" si="9"/>
        <v>2167.7499141630819</v>
      </c>
      <c r="N26" s="48">
        <f t="shared" si="13"/>
        <v>-912.67838401270501</v>
      </c>
      <c r="O26" s="14">
        <f t="shared" si="10"/>
        <v>-3.2119373512261258</v>
      </c>
      <c r="P26" s="14">
        <f t="shared" si="14"/>
        <v>-1.6454552636013311</v>
      </c>
      <c r="Q26" s="14">
        <v>9.5760000000000005</v>
      </c>
    </row>
    <row r="27" spans="1:25" x14ac:dyDescent="0.25">
      <c r="A27" s="34">
        <v>7</v>
      </c>
      <c r="B27" s="27">
        <f>-I6*COS(C27+C28-C$14)+0.5*C$16*C$4*C$2*(C28-C$5)*G6^2*SIN(C27)+0.5*C$16*C$4*(C$8+1/PI()/C$7*C$2^2*(C28-C$5)^2)/SQRT(1-H6^2)*G6^2*COS(C27)</f>
        <v>4.584647231240524E-4</v>
      </c>
      <c r="C27" s="35">
        <v>-2.5348053635993087E-2</v>
      </c>
      <c r="D27" s="36">
        <f t="shared" si="5"/>
        <v>-1.4523364922136446</v>
      </c>
      <c r="F27" s="13">
        <v>1.095</v>
      </c>
      <c r="G27" s="18">
        <v>9.1899999999999996E-2</v>
      </c>
      <c r="H27" s="18">
        <f t="shared" si="11"/>
        <v>0.10099806756598617</v>
      </c>
      <c r="I27" s="14">
        <f t="shared" si="12"/>
        <v>128.71116725208708</v>
      </c>
      <c r="J27" s="47">
        <f t="shared" si="6"/>
        <v>116.75526686925021</v>
      </c>
      <c r="K27" s="13">
        <f t="shared" si="7"/>
        <v>0.41478730225435395</v>
      </c>
      <c r="L27" s="48">
        <f t="shared" si="8"/>
        <v>2931.6556883509866</v>
      </c>
      <c r="M27" s="48">
        <f t="shared" si="9"/>
        <v>2167.0518704671199</v>
      </c>
      <c r="N27" s="48">
        <f t="shared" si="13"/>
        <v>-764.60381788386667</v>
      </c>
      <c r="O27" s="14">
        <f t="shared" si="10"/>
        <v>-2.8086584238267336</v>
      </c>
      <c r="P27" s="14">
        <f t="shared" si="14"/>
        <v>-1.3784371615684325</v>
      </c>
      <c r="Q27" s="14">
        <v>8.6869999999999994</v>
      </c>
    </row>
    <row r="28" spans="1:25" x14ac:dyDescent="0.25">
      <c r="A28" s="37">
        <v>8</v>
      </c>
      <c r="B28" s="31">
        <f>I6*SIN(C27+C28-C$14)+0.5*C$16*C$4*C$2*(C28-C$5)*G6^2*COS(C27)-0.5*C$16*C$4*(C$8+1/PI()/C$7*C$2^2*(C28-C$5)^2)/SQRT(1-H6^2)*G6^2*SIN(C27)-C$11</f>
        <v>0</v>
      </c>
      <c r="C28" s="38">
        <v>0.16422379547331314</v>
      </c>
      <c r="D28" s="39">
        <f t="shared" si="5"/>
        <v>9.4093303762404776</v>
      </c>
      <c r="F28" s="13">
        <v>0.997</v>
      </c>
      <c r="G28" s="18">
        <v>7.9399999999999998E-2</v>
      </c>
      <c r="H28" s="18">
        <f t="shared" si="11"/>
        <v>8.8165639897800838E-2</v>
      </c>
      <c r="I28" s="14">
        <f t="shared" si="12"/>
        <v>127.49311935788764</v>
      </c>
      <c r="J28" s="47">
        <f t="shared" si="6"/>
        <v>122.35901191806414</v>
      </c>
      <c r="K28" s="13">
        <f t="shared" si="7"/>
        <v>0.43469528888010245</v>
      </c>
      <c r="L28" s="48">
        <f t="shared" si="8"/>
        <v>2810.7241371791988</v>
      </c>
      <c r="M28" s="48">
        <f t="shared" si="9"/>
        <v>2167.5887966285859</v>
      </c>
      <c r="N28" s="48">
        <f t="shared" si="13"/>
        <v>-643.13534055061291</v>
      </c>
      <c r="O28" s="14">
        <f t="shared" si="10"/>
        <v>-2.4758499389436541</v>
      </c>
      <c r="P28" s="14">
        <f t="shared" si="14"/>
        <v>-1.159419577713688</v>
      </c>
      <c r="Q28" s="14">
        <v>8.0169999999999995</v>
      </c>
    </row>
    <row r="29" spans="1:25" x14ac:dyDescent="0.25">
      <c r="A29" s="26">
        <v>9</v>
      </c>
      <c r="B29" s="27">
        <f>-I7*COS(C29+C30-C$14)+0.5*C$16*C$4*C$2*(C30-C$5)*G7^2*SIN(C29)+0.5*C$16*C$4*(C$8+1/PI()/C$7*C$2^2*(C30-C$5)^2)/SQRT(1-H7^2)*G7^2*COS(C29)</f>
        <v>6.0842416132800281E-5</v>
      </c>
      <c r="C29" s="28">
        <v>-2.2547086271318122E-2</v>
      </c>
      <c r="D29" s="29">
        <f t="shared" si="5"/>
        <v>-1.2918528836638885</v>
      </c>
      <c r="F29" s="13">
        <v>0.80100000000000005</v>
      </c>
      <c r="G29" s="18">
        <v>5.7599999999999998E-2</v>
      </c>
      <c r="H29" s="18">
        <f t="shared" si="11"/>
        <v>6.5863954812173789E-2</v>
      </c>
      <c r="I29" s="14">
        <f t="shared" si="12"/>
        <v>118.46824078332315</v>
      </c>
      <c r="J29" s="47">
        <f t="shared" si="6"/>
        <v>136.51088506247279</v>
      </c>
      <c r="K29" s="13">
        <f t="shared" si="7"/>
        <v>0.48497154142799576</v>
      </c>
      <c r="L29" s="48">
        <f t="shared" si="8"/>
        <v>2613.540930501943</v>
      </c>
      <c r="M29" s="48">
        <f t="shared" si="9"/>
        <v>2175.2893530846809</v>
      </c>
      <c r="N29" s="48">
        <f t="shared" si="13"/>
        <v>-438.25157741726207</v>
      </c>
      <c r="O29" s="14">
        <f t="shared" si="10"/>
        <v>-1.8822476030145374</v>
      </c>
      <c r="P29" s="14">
        <f t="shared" si="14"/>
        <v>-0.79003415052384085</v>
      </c>
      <c r="Q29" s="14">
        <v>6.1310000000000002</v>
      </c>
    </row>
    <row r="30" spans="1:25" x14ac:dyDescent="0.25">
      <c r="A30" s="30">
        <v>10</v>
      </c>
      <c r="B30" s="31">
        <f>I7*SIN(C29+C30-C$14)+0.5*C$16*C$4*C$2*(C30-C$5)*G7^2*COS(C29)-0.5*C$16*C$4*(C$8+1/PI()/C$7*C$2^2*(C30-C$5)^2)/SQRT(1-H7^2)*G7^2*SIN(C29)-C$11</f>
        <v>0</v>
      </c>
      <c r="C30" s="32">
        <v>0.15462116436103931</v>
      </c>
      <c r="D30" s="33">
        <f t="shared" si="5"/>
        <v>8.8591401412861703</v>
      </c>
      <c r="F30" s="13">
        <v>0.61099999999999999</v>
      </c>
      <c r="G30" s="18">
        <v>4.0599999999999997E-2</v>
      </c>
      <c r="H30" s="18">
        <f t="shared" si="11"/>
        <v>4.8817816903709288E-2</v>
      </c>
      <c r="I30" s="14">
        <f t="shared" si="12"/>
        <v>95.712117023415061</v>
      </c>
      <c r="J30" s="47">
        <f t="shared" si="6"/>
        <v>156.30142421427655</v>
      </c>
      <c r="K30" s="13">
        <f t="shared" si="7"/>
        <v>0.55527984155914656</v>
      </c>
      <c r="L30" s="48">
        <f t="shared" si="8"/>
        <v>2539.5172170118785</v>
      </c>
      <c r="M30" s="48">
        <f t="shared" si="9"/>
        <v>2201.3021210655174</v>
      </c>
      <c r="N30" s="48">
        <f t="shared" si="13"/>
        <v>-338.21509594636109</v>
      </c>
      <c r="O30" s="14">
        <f t="shared" si="10"/>
        <v>-1.6631901557740409</v>
      </c>
      <c r="P30" s="14">
        <f t="shared" si="14"/>
        <v>-0.60969102080714188</v>
      </c>
      <c r="Q30" s="14">
        <v>4.5730000000000004</v>
      </c>
    </row>
    <row r="31" spans="1:25" x14ac:dyDescent="0.25">
      <c r="A31" s="34">
        <v>11</v>
      </c>
      <c r="B31" s="27">
        <f>-I8*COS(C31+C32-C$14)+0.5*C$16*C$4*C$2*(C32-C$5)*G8^2*SIN(C31)+0.5*C$16*C$4*(C$8+1/PI()/C$7*C$2^2*(C32-C$5)^2)/SQRT(1-H8^2)*G8^2*COS(C31)</f>
        <v>-1.7916956858243793E-4</v>
      </c>
      <c r="C31" s="35">
        <v>-2.0845317294990381E-2</v>
      </c>
      <c r="D31" s="36">
        <f t="shared" si="5"/>
        <v>-1.1943487036140106</v>
      </c>
      <c r="F31" s="13">
        <v>0.49099999999999999</v>
      </c>
      <c r="G31" s="18">
        <v>3.1699999999999999E-2</v>
      </c>
      <c r="H31" s="18">
        <f t="shared" si="11"/>
        <v>4.0379469152204223E-2</v>
      </c>
      <c r="I31" s="14">
        <f t="shared" si="12"/>
        <v>72.597767554131039</v>
      </c>
      <c r="J31" s="47">
        <f t="shared" si="6"/>
        <v>174.35836760743564</v>
      </c>
      <c r="K31" s="13">
        <f t="shared" si="7"/>
        <v>0.61942933166647995</v>
      </c>
      <c r="L31" s="48">
        <f t="shared" si="8"/>
        <v>2613.9250495342567</v>
      </c>
      <c r="M31" s="48">
        <f t="shared" si="9"/>
        <v>2240.5451076900699</v>
      </c>
      <c r="N31" s="48">
        <f t="shared" si="13"/>
        <v>-373.37994184418676</v>
      </c>
      <c r="O31" s="14">
        <f t="shared" si="10"/>
        <v>-2.0482348937627153</v>
      </c>
      <c r="P31" s="14">
        <f t="shared" si="14"/>
        <v>-0.67308449706179962</v>
      </c>
      <c r="Q31" s="14">
        <v>3.3540000000000001</v>
      </c>
    </row>
    <row r="32" spans="1:25" x14ac:dyDescent="0.25">
      <c r="A32" s="37">
        <v>12</v>
      </c>
      <c r="B32" s="31">
        <f>I8*SIN(C31+C32-C$14)+0.5*C$16*C$4*C$2*(C32-C$5)*G8^2*COS(C31)-0.5*C$16*C$4*(C$8+1/PI()/C$7*C$2^2*(C32-C$5)^2)/SQRT(1-H8^2)*G8^2*SIN(C31)-C$11</f>
        <v>-5.4569682106375694E-11</v>
      </c>
      <c r="C32" s="38">
        <v>0.14861763501810477</v>
      </c>
      <c r="D32" s="39">
        <f t="shared" si="5"/>
        <v>8.5151632477530725</v>
      </c>
      <c r="F32" s="13">
        <v>0.38800000000000001</v>
      </c>
      <c r="G32" s="18">
        <v>2.52E-2</v>
      </c>
      <c r="H32" s="18">
        <f t="shared" si="11"/>
        <v>3.5134084710941427E-2</v>
      </c>
      <c r="I32" s="14">
        <f t="shared" si="12"/>
        <v>47.319253932153451</v>
      </c>
      <c r="J32" s="47">
        <f t="shared" si="6"/>
        <v>196.14068046015294</v>
      </c>
      <c r="K32" s="13">
        <f t="shared" si="7"/>
        <v>0.69681365039838727</v>
      </c>
      <c r="L32" s="48">
        <f t="shared" si="8"/>
        <v>2878.1335105320791</v>
      </c>
      <c r="M32" s="48">
        <f t="shared" si="9"/>
        <v>2307.5774998685856</v>
      </c>
      <c r="N32" s="48">
        <f t="shared" si="13"/>
        <v>-570.55601066349345</v>
      </c>
      <c r="O32" s="14">
        <f t="shared" si="10"/>
        <v>-3.5208858487864449</v>
      </c>
      <c r="P32" s="14">
        <f t="shared" si="14"/>
        <v>-1.0285614103937586</v>
      </c>
      <c r="Q32" s="14">
        <v>2.5739999999999998</v>
      </c>
    </row>
    <row r="33" spans="1:17" x14ac:dyDescent="0.25">
      <c r="A33" s="26">
        <v>13</v>
      </c>
      <c r="B33" s="27">
        <f>-I9*COS(C33+C34-C$14)+0.5*C$16*C$4*C$2*(C34-C$5)*G9^2*SIN(C33)+0.5*C$16*C$4*(C$8+1/PI()/C$7*C$2^2*(C34-C$5)^2)/SQRT(1-H9^2)*G9^2*COS(C33)</f>
        <v>3.7264528145897202E-5</v>
      </c>
      <c r="C33" s="28">
        <v>-1.2512073841266876E-2</v>
      </c>
      <c r="D33" s="29">
        <f t="shared" si="5"/>
        <v>-0.71688902406063193</v>
      </c>
      <c r="F33" s="13">
        <v>0.246</v>
      </c>
      <c r="G33" s="18">
        <v>1.8800000000000001E-2</v>
      </c>
      <c r="H33" s="18">
        <f t="shared" si="11"/>
        <v>3.8849747789391716E-2</v>
      </c>
      <c r="I33" s="14">
        <f t="shared" si="12"/>
        <v>9.8634515096055644</v>
      </c>
      <c r="J33" s="47">
        <f t="shared" si="6"/>
        <v>246.32925132353006</v>
      </c>
      <c r="K33" s="13">
        <f t="shared" si="7"/>
        <v>0.87511465960026324</v>
      </c>
      <c r="L33" s="48">
        <f t="shared" si="8"/>
        <v>5019.5769253542367</v>
      </c>
      <c r="M33" s="48">
        <f t="shared" si="9"/>
        <v>2543.9976977937113</v>
      </c>
      <c r="N33" s="48">
        <f t="shared" si="13"/>
        <v>-2475.5792275605254</v>
      </c>
      <c r="O33" s="14">
        <f t="shared" si="10"/>
        <v>-19.18575079967113</v>
      </c>
      <c r="P33" s="14">
        <f t="shared" si="14"/>
        <v>-4.4670984080920304</v>
      </c>
      <c r="Q33" s="14">
        <v>1.242</v>
      </c>
    </row>
    <row r="34" spans="1:17" x14ac:dyDescent="0.25">
      <c r="A34" s="30">
        <v>14</v>
      </c>
      <c r="B34" s="31">
        <f>I9*SIN(C33+C34-C$14)+0.5*C$16*C$4*C$2*(C34-C$5)*G9^2*COS(C33)-0.5*C$16*C$4*(C$8+1/PI()/C$7*C$2^2*(C34-C$5)^2)/SQRT(1-H9^2)*G9^2*SIN(C33)-C$11</f>
        <v>4.0017766878008842E-11</v>
      </c>
      <c r="C34" s="32">
        <v>0.11600263414521521</v>
      </c>
      <c r="D34" s="33">
        <f t="shared" si="5"/>
        <v>6.6464613489210054</v>
      </c>
      <c r="F34" s="13">
        <v>0.2</v>
      </c>
      <c r="G34" s="18">
        <v>1.7500000000000002E-2</v>
      </c>
      <c r="H34" s="18">
        <f t="shared" si="11"/>
        <v>7.2643237407639172E-2</v>
      </c>
      <c r="I34" s="14">
        <f t="shared" si="12"/>
        <v>1.5160014116529612</v>
      </c>
      <c r="J34" s="47">
        <f t="shared" si="6"/>
        <v>273.19235544001106</v>
      </c>
      <c r="K34" s="13">
        <f t="shared" si="7"/>
        <v>0.97054910795907701</v>
      </c>
      <c r="L34" s="48">
        <f t="shared" si="8"/>
        <v>11544.60857529683</v>
      </c>
      <c r="M34" s="48">
        <f t="shared" si="9"/>
        <v>2717.5118438180389</v>
      </c>
      <c r="N34" s="48">
        <f t="shared" si="13"/>
        <v>-8827.0967314787922</v>
      </c>
      <c r="O34" s="14">
        <f t="shared" si="10"/>
        <v>-75.87040648146619</v>
      </c>
      <c r="P34" s="14">
        <f t="shared" si="14"/>
        <v>-16.124048786988602</v>
      </c>
      <c r="Q34" s="14">
        <v>0.68799999999999994</v>
      </c>
    </row>
    <row r="35" spans="1:17" ht="15.6" thickBot="1" x14ac:dyDescent="0.3">
      <c r="A35" s="34">
        <v>15</v>
      </c>
      <c r="B35" s="27">
        <f>-I10*COS(C35+C36-C$14)+0.5*C$16*C$4*C$2*(C36-C$5)*G10^2*SIN(C35)+0.5*C$16*C$4*(C$8+1/PI()/C$7*C$2^2*(C36-C$5)^2)/SQRT(1-H10^2)*G10^2*COS(C35)</f>
        <v>2.1882897044633864E-4</v>
      </c>
      <c r="C35" s="35">
        <v>-7.7060525582384742E-3</v>
      </c>
      <c r="D35" s="36">
        <f t="shared" si="5"/>
        <v>-0.44152428829305562</v>
      </c>
      <c r="F35" s="59"/>
      <c r="G35" s="59"/>
      <c r="H35" s="59"/>
      <c r="I35" s="60"/>
      <c r="J35" s="102"/>
      <c r="K35" s="105"/>
      <c r="L35" s="62"/>
      <c r="M35" s="62"/>
      <c r="N35" s="62"/>
      <c r="O35" s="60"/>
      <c r="P35" s="60"/>
      <c r="Q35" s="60"/>
    </row>
    <row r="36" spans="1:17" ht="18.600000000000001" thickBot="1" x14ac:dyDescent="0.3">
      <c r="A36" s="37">
        <v>16</v>
      </c>
      <c r="B36" s="31">
        <f>I10*SIN(C35+C36-C$14)+0.5*C$16*C$4*C$2*(C36-C$5)*G10^2*COS(C35)-0.5*C$16*C$4*(C$8+1/PI()/C$7*C$2^2*(C36-C$5)^2)/SQRT(1-H10^2)*G10^2*SIN(C35)-C$11</f>
        <v>2.0372681319713593E-10</v>
      </c>
      <c r="C36" s="38">
        <v>9.0163690850568398E-2</v>
      </c>
      <c r="D36" s="39">
        <f t="shared" si="5"/>
        <v>5.1659989510598852</v>
      </c>
      <c r="F36" s="143" t="s">
        <v>201</v>
      </c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5"/>
    </row>
    <row r="37" spans="1:17" ht="18.600000000000001" thickBot="1" x14ac:dyDescent="0.3">
      <c r="A37" s="26">
        <v>17</v>
      </c>
      <c r="B37" s="27">
        <f>-I11*COS(C37+C38-C$14)+0.5*C$16*C$4*C$2*(C38-C$5)*G11^2*SIN(C37)+0.5*C$16*C$4*(C$8+1/PI()/C$7*C$2^2*(C38-C$5)^2)/SQRT(1-H11^2)*G11^2*COS(C37)</f>
        <v>2.124898019246757E-4</v>
      </c>
      <c r="C37" s="28">
        <v>-6.1861805695664967E-3</v>
      </c>
      <c r="D37" s="29">
        <f t="shared" si="5"/>
        <v>-0.35444203794199602</v>
      </c>
      <c r="F37" s="98" t="s">
        <v>1</v>
      </c>
      <c r="G37" s="98" t="s">
        <v>7</v>
      </c>
      <c r="H37" s="98" t="s">
        <v>109</v>
      </c>
      <c r="I37" s="98" t="s">
        <v>2</v>
      </c>
      <c r="J37" s="98" t="s">
        <v>63</v>
      </c>
      <c r="K37" s="98" t="s">
        <v>53</v>
      </c>
      <c r="L37" s="98" t="s">
        <v>67</v>
      </c>
      <c r="M37" s="98" t="s">
        <v>65</v>
      </c>
      <c r="N37" s="98" t="s">
        <v>68</v>
      </c>
      <c r="O37" s="98" t="s">
        <v>64</v>
      </c>
      <c r="P37" s="98" t="s">
        <v>84</v>
      </c>
      <c r="Q37" s="98" t="s">
        <v>66</v>
      </c>
    </row>
    <row r="38" spans="1:17" x14ac:dyDescent="0.25">
      <c r="A38" s="30">
        <v>18</v>
      </c>
      <c r="B38" s="31">
        <f>I11*SIN(C37+C38-C$14)+0.5*C$16*C$4*C$2*(C38-C$5)*G11^2*COS(C37)-0.5*C$16*C$4*(C$8+1/PI()/C$7*C$2^2*(C38-C$5)^2)/SQRT(1-H11^2)*G11^2*SIN(C37)-C$11</f>
        <v>1.4551915228366852E-10</v>
      </c>
      <c r="C38" s="32">
        <v>7.0820570862150573E-2</v>
      </c>
      <c r="D38" s="33">
        <f t="shared" si="5"/>
        <v>4.0577198131084016</v>
      </c>
      <c r="F38" s="107">
        <f t="shared" ref="F38:G48" si="15">F23</f>
        <v>1.405</v>
      </c>
      <c r="G38" s="109">
        <f t="shared" si="15"/>
        <v>0.1406</v>
      </c>
      <c r="H38" s="101">
        <f>G38/SQRT(1-K38^2)</f>
        <v>0.15330853149640844</v>
      </c>
      <c r="I38" s="43">
        <f>F38^3/H38^2</f>
        <v>118.00389036042549</v>
      </c>
      <c r="J38" s="44">
        <f t="shared" ref="J38:J48" si="16">SQRT((2*C$20)/(C$4*C$16*F38))</f>
        <v>112.2117887386319</v>
      </c>
      <c r="K38" s="42">
        <f t="shared" ref="K38:K48" si="17">J38/C$19</f>
        <v>0.39864604295886291</v>
      </c>
      <c r="L38" s="46">
        <f t="shared" ref="L38:L48" si="18">C$20*SQRT((2*C$20)/(C$16*C$4*I38))/J38</f>
        <v>4110.4581529411425</v>
      </c>
      <c r="M38" s="46">
        <f t="shared" ref="M38:M48" si="19">C$17*(1-0.605*K38+0.725*K38^2)</f>
        <v>2167.6627818636657</v>
      </c>
      <c r="N38" s="46">
        <f>(M38-L38)</f>
        <v>-1942.7953710774768</v>
      </c>
      <c r="O38" s="43">
        <f t="shared" ref="O38:O48" si="20">N38/C$20*J38</f>
        <v>-5.7871576553935657</v>
      </c>
      <c r="P38" s="43">
        <f>DEGREES(ASIN(O38/J38))</f>
        <v>-2.9562569124230516</v>
      </c>
      <c r="Q38" s="107">
        <f t="shared" ref="Q38:Q48" si="21">Q23</f>
        <v>12.989000000000001</v>
      </c>
    </row>
    <row r="39" spans="1:17" x14ac:dyDescent="0.25">
      <c r="A39" s="34">
        <v>19</v>
      </c>
      <c r="B39" s="27">
        <f>-I12*COS(C39+C40-C$14)+0.5*C$16*C$4*C$2*(C40-C$5)*G12^2*SIN(C39)+0.5*C$16*C$4*(C$8+1/PI()/C$7*C$2^2*(C40-C$5)^2)/SQRT(1-H12^2)*G12^2*COS(C39)</f>
        <v>1.1615410403464921E-4</v>
      </c>
      <c r="C39" s="35">
        <v>-7.256920171446293E-3</v>
      </c>
      <c r="D39" s="36">
        <f t="shared" si="5"/>
        <v>-0.41579089808722636</v>
      </c>
      <c r="F39" s="108">
        <f t="shared" si="15"/>
        <v>1.3560000000000001</v>
      </c>
      <c r="G39" s="12">
        <f t="shared" si="15"/>
        <v>0.13239999999999999</v>
      </c>
      <c r="H39" s="18">
        <f t="shared" ref="H39:H48" si="22">G39/SQRT(1-K39^2)</f>
        <v>0.14486273654969906</v>
      </c>
      <c r="I39" s="14">
        <f t="shared" ref="I39:I48" si="23">F39^3/H39^2</f>
        <v>118.81347511012811</v>
      </c>
      <c r="J39" s="47">
        <f t="shared" si="16"/>
        <v>114.22122215346113</v>
      </c>
      <c r="K39" s="13">
        <f t="shared" si="17"/>
        <v>0.40578479984363935</v>
      </c>
      <c r="L39" s="48">
        <f t="shared" si="18"/>
        <v>4024.3637396178347</v>
      </c>
      <c r="M39" s="48">
        <f t="shared" si="19"/>
        <v>2167.2770410690478</v>
      </c>
      <c r="N39" s="48">
        <f t="shared" ref="N39:N48" si="24">(M39-L39)</f>
        <v>-1857.0866985487869</v>
      </c>
      <c r="O39" s="14">
        <f t="shared" si="20"/>
        <v>-5.6309121313598656</v>
      </c>
      <c r="P39" s="14">
        <f t="shared" ref="P39:P48" si="25">DEGREES(ASIN(O39/J39))</f>
        <v>-2.8257299164905838</v>
      </c>
      <c r="Q39" s="108">
        <f t="shared" si="21"/>
        <v>11.238</v>
      </c>
    </row>
    <row r="40" spans="1:17" x14ac:dyDescent="0.25">
      <c r="A40" s="37">
        <v>20</v>
      </c>
      <c r="B40" s="31">
        <f>I12*SIN(C39+C40-C$14)+0.5*C$16*C$4*C$2*(C40-C$5)*G12^2*COS(C39)-0.5*C$16*C$4*(C$8+1/PI()/C$7*C$2^2*(C40-C$5)^2)/SQRT(1-H12^2)*G12^2*SIN(C39)-C$11</f>
        <v>6.5483618527650833E-11</v>
      </c>
      <c r="C40" s="38">
        <v>5.6912328415844322E-2</v>
      </c>
      <c r="D40" s="39">
        <f t="shared" si="5"/>
        <v>3.2608362204903463</v>
      </c>
      <c r="F40" s="108">
        <f t="shared" si="15"/>
        <v>1.302</v>
      </c>
      <c r="G40" s="12">
        <f t="shared" si="15"/>
        <v>0.1231</v>
      </c>
      <c r="H40" s="18">
        <f t="shared" si="22"/>
        <v>0.1352412967032087</v>
      </c>
      <c r="I40" s="14">
        <f t="shared" si="23"/>
        <v>120.67416443263049</v>
      </c>
      <c r="J40" s="47">
        <f t="shared" si="16"/>
        <v>116.56580181974654</v>
      </c>
      <c r="K40" s="13">
        <f t="shared" si="17"/>
        <v>0.41411420459578652</v>
      </c>
      <c r="L40" s="48">
        <f t="shared" si="18"/>
        <v>3912.8984203752325</v>
      </c>
      <c r="M40" s="48">
        <f t="shared" si="19"/>
        <v>2167.0586252362355</v>
      </c>
      <c r="N40" s="48">
        <f t="shared" si="24"/>
        <v>-1745.839795138997</v>
      </c>
      <c r="O40" s="14">
        <f t="shared" si="20"/>
        <v>-5.4022578886658819</v>
      </c>
      <c r="P40" s="14">
        <f t="shared" si="25"/>
        <v>-2.6563321587628925</v>
      </c>
      <c r="Q40" s="108">
        <f t="shared" si="21"/>
        <v>10.574999999999999</v>
      </c>
    </row>
    <row r="41" spans="1:17" x14ac:dyDescent="0.25">
      <c r="A41" s="26">
        <v>21</v>
      </c>
      <c r="B41" s="27">
        <f>-I13*COS(C41+C42-C$14)+0.5*C$16*C$4*C$2*(C42-C$5)*G13^2*SIN(C41)+0.5*C$16*C$4*(C$8+1/PI()/C$7*C$2^2*(C42-C$5)^2)/SQRT(1-H13^2)*G13^2*COS(C41)</f>
        <v>7.1534708695253357E-5</v>
      </c>
      <c r="C41" s="28">
        <v>-1.0958795875413216E-2</v>
      </c>
      <c r="D41" s="29">
        <f t="shared" si="5"/>
        <v>-0.62789275220655161</v>
      </c>
      <c r="F41" s="108">
        <f t="shared" si="15"/>
        <v>1.1930000000000001</v>
      </c>
      <c r="G41" s="12">
        <f t="shared" si="15"/>
        <v>0.1061</v>
      </c>
      <c r="H41" s="18">
        <f t="shared" si="22"/>
        <v>0.1176826914535576</v>
      </c>
      <c r="I41" s="14">
        <f t="shared" si="23"/>
        <v>122.60160237327985</v>
      </c>
      <c r="J41" s="47">
        <f t="shared" si="16"/>
        <v>121.77451980356302</v>
      </c>
      <c r="K41" s="13">
        <f t="shared" si="17"/>
        <v>0.43261880947267356</v>
      </c>
      <c r="L41" s="48">
        <f t="shared" si="18"/>
        <v>3715.9715508232152</v>
      </c>
      <c r="M41" s="48">
        <f t="shared" si="19"/>
        <v>2167.4662173534593</v>
      </c>
      <c r="N41" s="48">
        <f t="shared" si="24"/>
        <v>-1548.5053334697559</v>
      </c>
      <c r="O41" s="14">
        <f t="shared" si="20"/>
        <v>-5.0057470426790198</v>
      </c>
      <c r="P41" s="14">
        <f t="shared" si="25"/>
        <v>-2.3559034649954262</v>
      </c>
      <c r="Q41" s="108">
        <f t="shared" si="21"/>
        <v>9.5760000000000005</v>
      </c>
    </row>
    <row r="42" spans="1:17" x14ac:dyDescent="0.25">
      <c r="A42" s="30">
        <v>22</v>
      </c>
      <c r="B42" s="31">
        <f>I13*SIN(C41+C42-C$14)+0.5*C$16*C$4*C$2*(C42-C$5)*G13^2*COS(C41)-0.5*C$16*C$4*(C$8+1/PI()/C$7*C$2^2*(C42-C$5)^2)/SQRT(1-H13^2)*G13^2*SIN(C41)-C$11</f>
        <v>4.4747139327228069E-10</v>
      </c>
      <c r="C42" s="32">
        <v>4.5068869427032393E-2</v>
      </c>
      <c r="D42" s="33">
        <f t="shared" si="5"/>
        <v>2.5822560055951449</v>
      </c>
      <c r="F42" s="108">
        <f t="shared" si="15"/>
        <v>1.095</v>
      </c>
      <c r="G42" s="12">
        <f t="shared" si="15"/>
        <v>9.1899999999999996E-2</v>
      </c>
      <c r="H42" s="18">
        <f t="shared" si="22"/>
        <v>0.10299929384158352</v>
      </c>
      <c r="I42" s="14">
        <f t="shared" si="23"/>
        <v>123.75816550754493</v>
      </c>
      <c r="J42" s="47">
        <f t="shared" si="16"/>
        <v>127.10703493872933</v>
      </c>
      <c r="K42" s="13">
        <f t="shared" si="17"/>
        <v>0.451563218803887</v>
      </c>
      <c r="L42" s="48">
        <f t="shared" si="18"/>
        <v>3543.4014600273867</v>
      </c>
      <c r="M42" s="48">
        <f t="shared" si="19"/>
        <v>2169.1591196369191</v>
      </c>
      <c r="N42" s="48">
        <f t="shared" si="24"/>
        <v>-1374.2423403904677</v>
      </c>
      <c r="O42" s="14">
        <f t="shared" si="20"/>
        <v>-4.6369528641663571</v>
      </c>
      <c r="P42" s="14">
        <f t="shared" si="25"/>
        <v>-2.090653703984291</v>
      </c>
      <c r="Q42" s="108">
        <f t="shared" si="21"/>
        <v>8.6869999999999994</v>
      </c>
    </row>
    <row r="43" spans="1:17" x14ac:dyDescent="0.25">
      <c r="A43" s="34">
        <v>23</v>
      </c>
      <c r="B43" s="27">
        <f>-I14*COS(C43+C44-C$14)+0.5*C$16*C$4*C$2*(C44-C$5)*G14^2*SIN(C43)+0.5*C$16*C$4*(C$8+1/PI()/C$7*C$2^2*(C44-C$5)^2)/SQRT(1-H14^2)*G14^2*COS(C43)</f>
        <v>-7.2837488005461637E-6</v>
      </c>
      <c r="C43" s="35">
        <v>-1.8131849925585794E-2</v>
      </c>
      <c r="D43" s="36">
        <f t="shared" si="5"/>
        <v>-1.0388784755006617</v>
      </c>
      <c r="F43" s="108">
        <f t="shared" si="15"/>
        <v>0.997</v>
      </c>
      <c r="G43" s="12">
        <f t="shared" si="15"/>
        <v>7.9399999999999998E-2</v>
      </c>
      <c r="H43" s="18">
        <f t="shared" si="22"/>
        <v>9.0131453408350604E-2</v>
      </c>
      <c r="I43" s="14">
        <f t="shared" si="23"/>
        <v>121.99238620728178</v>
      </c>
      <c r="J43" s="47">
        <f t="shared" si="16"/>
        <v>133.20761983572567</v>
      </c>
      <c r="K43" s="13">
        <f t="shared" si="17"/>
        <v>0.47323628948799173</v>
      </c>
      <c r="L43" s="48">
        <f t="shared" si="18"/>
        <v>3405.5044157210937</v>
      </c>
      <c r="M43" s="48">
        <f t="shared" si="19"/>
        <v>2172.6786892729201</v>
      </c>
      <c r="N43" s="48">
        <f t="shared" si="24"/>
        <v>-1232.8257264481736</v>
      </c>
      <c r="O43" s="14">
        <f t="shared" si="20"/>
        <v>-4.3594381979594221</v>
      </c>
      <c r="P43" s="14">
        <f t="shared" si="25"/>
        <v>-1.8754333892454613</v>
      </c>
      <c r="Q43" s="108">
        <f t="shared" si="21"/>
        <v>8.0169999999999995</v>
      </c>
    </row>
    <row r="44" spans="1:17" x14ac:dyDescent="0.25">
      <c r="A44" s="37">
        <v>24</v>
      </c>
      <c r="B44" s="31">
        <f>I14*SIN(C43+C44-C$14)+0.5*C$16*C$4*C$2*(C44-C$5)*G14^2*COS(C43)-0.5*C$16*C$4*(C$8+1/PI()/C$7*C$2^2*(C44-C$5)^2)/SQRT(1-H14^2)*G14^2*SIN(C43)-C$11</f>
        <v>0</v>
      </c>
      <c r="C44" s="38">
        <v>3.5018954806367263E-2</v>
      </c>
      <c r="D44" s="39">
        <f t="shared" si="5"/>
        <v>2.006438313364213</v>
      </c>
      <c r="F44" s="108">
        <f t="shared" si="15"/>
        <v>0.80100000000000005</v>
      </c>
      <c r="G44" s="12">
        <f t="shared" si="15"/>
        <v>5.7599999999999998E-2</v>
      </c>
      <c r="H44" s="18">
        <f t="shared" si="22"/>
        <v>6.7823518146999204E-2</v>
      </c>
      <c r="I44" s="14">
        <f t="shared" si="23"/>
        <v>111.72154184707506</v>
      </c>
      <c r="J44" s="47">
        <f t="shared" si="16"/>
        <v>148.61422788390243</v>
      </c>
      <c r="K44" s="13">
        <f t="shared" si="17"/>
        <v>0.52797014056427682</v>
      </c>
      <c r="L44" s="48">
        <f t="shared" si="18"/>
        <v>3189.686714113257</v>
      </c>
      <c r="M44" s="48">
        <f t="shared" si="19"/>
        <v>2189.0866303098064</v>
      </c>
      <c r="N44" s="48">
        <f t="shared" si="24"/>
        <v>-1000.6000838034506</v>
      </c>
      <c r="O44" s="14">
        <f t="shared" si="20"/>
        <v>-3.9474868563916994</v>
      </c>
      <c r="P44" s="14">
        <f t="shared" si="25"/>
        <v>-1.5220678665821141</v>
      </c>
      <c r="Q44" s="108">
        <f t="shared" si="21"/>
        <v>6.1310000000000002</v>
      </c>
    </row>
    <row r="45" spans="1:17" x14ac:dyDescent="0.25">
      <c r="A45" s="26">
        <v>25</v>
      </c>
      <c r="B45" s="27">
        <f>-I15*COS(C45+C46-C$14)+0.5*C$16*C$4*C$2*(C46-C$5)*G15^2*SIN(C45)+0.5*C$16*C$4*(C$8+1/PI()/C$7*C$2^2*(C46-C$5)^2)/SQRT(1-H15^2)*G15^2*COS(C45)</f>
        <v>-1.5265548563547782E-4</v>
      </c>
      <c r="C45" s="28">
        <v>-2.7711164729917331E-2</v>
      </c>
      <c r="D45" s="29">
        <f t="shared" si="5"/>
        <v>-1.5877327844160469</v>
      </c>
      <c r="F45" s="108">
        <f t="shared" si="15"/>
        <v>0.61099999999999999</v>
      </c>
      <c r="G45" s="12">
        <f t="shared" si="15"/>
        <v>4.0599999999999997E-2</v>
      </c>
      <c r="H45" s="18">
        <f t="shared" si="22"/>
        <v>5.0966867773807989E-2</v>
      </c>
      <c r="I45" s="14">
        <f t="shared" si="23"/>
        <v>87.810761222038991</v>
      </c>
      <c r="J45" s="47">
        <f t="shared" si="16"/>
        <v>170.15943795345453</v>
      </c>
      <c r="K45" s="13">
        <f t="shared" si="17"/>
        <v>0.60451212278817679</v>
      </c>
      <c r="L45" s="48">
        <f t="shared" si="18"/>
        <v>3142.2950831202243</v>
      </c>
      <c r="M45" s="48">
        <f t="shared" si="19"/>
        <v>2230.0991132260351</v>
      </c>
      <c r="N45" s="48">
        <f t="shared" si="24"/>
        <v>-912.19596989418915</v>
      </c>
      <c r="O45" s="14">
        <f t="shared" si="20"/>
        <v>-4.1204434659733247</v>
      </c>
      <c r="P45" s="14">
        <f t="shared" si="25"/>
        <v>-1.3875639316141752</v>
      </c>
      <c r="Q45" s="108">
        <f t="shared" si="21"/>
        <v>4.5730000000000004</v>
      </c>
    </row>
    <row r="46" spans="1:17" x14ac:dyDescent="0.25">
      <c r="A46" s="30">
        <v>26</v>
      </c>
      <c r="B46" s="31">
        <f>I15*SIN(C45+C46-C$14)+0.5*C$16*C$4*C$2*(C46-C$5)*G15^2*COS(C45)-0.5*C$16*C$4*(C$8+1/PI()/C$7*C$2^2*(C46-C$5)^2)/SQRT(1-H15^2)*G15^2*SIN(C45)-C$11</f>
        <v>0</v>
      </c>
      <c r="C46" s="32">
        <v>2.7956595375381692E-2</v>
      </c>
      <c r="D46" s="33">
        <f t="shared" si="5"/>
        <v>1.6017949245643264</v>
      </c>
      <c r="F46" s="108">
        <f t="shared" si="15"/>
        <v>0.49099999999999999</v>
      </c>
      <c r="G46" s="12">
        <f t="shared" si="15"/>
        <v>3.1699999999999999E-2</v>
      </c>
      <c r="H46" s="18">
        <f t="shared" si="22"/>
        <v>4.2929931008574951E-2</v>
      </c>
      <c r="I46" s="14">
        <f t="shared" si="23"/>
        <v>64.227955129014049</v>
      </c>
      <c r="J46" s="47">
        <f t="shared" si="16"/>
        <v>189.81734801014773</v>
      </c>
      <c r="K46" s="13">
        <f t="shared" si="17"/>
        <v>0.67434924190936985</v>
      </c>
      <c r="L46" s="48">
        <f t="shared" si="18"/>
        <v>3293.6612486057466</v>
      </c>
      <c r="M46" s="48">
        <f t="shared" si="19"/>
        <v>2285.8998936907228</v>
      </c>
      <c r="N46" s="48">
        <f t="shared" si="24"/>
        <v>-1007.7613549150237</v>
      </c>
      <c r="O46" s="14">
        <f t="shared" si="20"/>
        <v>-5.0780078740093826</v>
      </c>
      <c r="P46" s="14">
        <f t="shared" si="25"/>
        <v>-1.5329638610956169</v>
      </c>
      <c r="Q46" s="108">
        <f t="shared" si="21"/>
        <v>3.3540000000000001</v>
      </c>
    </row>
    <row r="47" spans="1:17" x14ac:dyDescent="0.25">
      <c r="A47" s="34">
        <v>27</v>
      </c>
      <c r="B47" s="27">
        <f>-I16*COS(C47+C48-C$14)+0.5*C$16*C$4*C$2*(C48-C$5)*G16^2*SIN(C47)+0.5*C$16*C$4*(C$8+1/PI()/C$7*C$2^2*(C48-C$5)^2)/SQRT(1-H16^2)*G16^2*COS(C47)</f>
        <v>-1.4016515933690243E-4</v>
      </c>
      <c r="C47" s="35">
        <v>-4.3060888078188614E-2</v>
      </c>
      <c r="D47" s="36">
        <f t="shared" si="5"/>
        <v>-2.4672071489654099</v>
      </c>
      <c r="F47" s="108">
        <f t="shared" si="15"/>
        <v>0.38800000000000001</v>
      </c>
      <c r="G47" s="12">
        <f t="shared" si="15"/>
        <v>2.52E-2</v>
      </c>
      <c r="H47" s="18">
        <f t="shared" si="22"/>
        <v>3.8676235535811829E-2</v>
      </c>
      <c r="I47" s="14">
        <f t="shared" si="23"/>
        <v>39.048718339491685</v>
      </c>
      <c r="J47" s="47">
        <f t="shared" si="16"/>
        <v>213.53092663540335</v>
      </c>
      <c r="K47" s="13">
        <f t="shared" si="17"/>
        <v>0.75859461745873458</v>
      </c>
      <c r="L47" s="48">
        <f t="shared" si="18"/>
        <v>3755.0238740418713</v>
      </c>
      <c r="M47" s="48">
        <f t="shared" si="19"/>
        <v>2376.5530256005591</v>
      </c>
      <c r="N47" s="48">
        <f t="shared" si="24"/>
        <v>-1378.4708484413122</v>
      </c>
      <c r="O47" s="14">
        <f t="shared" si="20"/>
        <v>-7.8137253017638253</v>
      </c>
      <c r="P47" s="14">
        <f t="shared" si="25"/>
        <v>-2.0970894609393866</v>
      </c>
      <c r="Q47" s="108">
        <f t="shared" si="21"/>
        <v>2.5739999999999998</v>
      </c>
    </row>
    <row r="48" spans="1:17" x14ac:dyDescent="0.25">
      <c r="A48" s="37">
        <v>28</v>
      </c>
      <c r="B48" s="31">
        <f>I16*SIN(C47+C48-C$14)+0.5*C$16*C$4*C$2*(C48-C$5)*G16^2*COS(C47)-0.5*C$16*C$4*(C$8+1/PI()/C$7*C$2^2*(C48-C$5)^2)/SQRT(1-H16^2)*G16^2*SIN(C47)-C$11</f>
        <v>0</v>
      </c>
      <c r="C48" s="38">
        <v>2.1648055984945666E-2</v>
      </c>
      <c r="D48" s="39">
        <f t="shared" si="5"/>
        <v>1.240342242600309</v>
      </c>
      <c r="F48" s="108">
        <f t="shared" si="15"/>
        <v>0.246</v>
      </c>
      <c r="G48" s="12">
        <f t="shared" si="15"/>
        <v>1.8800000000000001E-2</v>
      </c>
      <c r="H48" s="18">
        <f t="shared" si="22"/>
        <v>6.1862603958104237E-2</v>
      </c>
      <c r="I48" s="14">
        <f t="shared" si="23"/>
        <v>3.8899939693006353</v>
      </c>
      <c r="J48" s="47">
        <f t="shared" si="16"/>
        <v>268.16932198419846</v>
      </c>
      <c r="K48" s="13">
        <f t="shared" si="17"/>
        <v>0.95270416997779439</v>
      </c>
      <c r="L48" s="48">
        <f t="shared" si="18"/>
        <v>9473.1261631844318</v>
      </c>
      <c r="M48" s="48">
        <f t="shared" si="19"/>
        <v>2682.5775304990457</v>
      </c>
      <c r="N48" s="48">
        <f t="shared" si="24"/>
        <v>-6790.5486326853861</v>
      </c>
      <c r="O48" s="14">
        <f t="shared" si="20"/>
        <v>-48.340788065111227</v>
      </c>
      <c r="P48" s="14">
        <f t="shared" si="25"/>
        <v>-10.385031737066274</v>
      </c>
      <c r="Q48" s="108">
        <f t="shared" si="21"/>
        <v>1.242</v>
      </c>
    </row>
    <row r="49" spans="1:17" x14ac:dyDescent="0.25">
      <c r="A49" s="26">
        <v>29</v>
      </c>
      <c r="B49" s="27">
        <f>-I17*COS(C49+C50-C$14)+0.5*C$16*C$4*C$2*(C50-C$5)*G17^2*SIN(C49)+0.5*C$16*C$4*(C$8+1/PI()/C$7*C$2^2*(C50-C$5)^2)/SQRT(1-H17^2)*G17^2*COS(C49)</f>
        <v>1.6397016224800609E-6</v>
      </c>
      <c r="C49" s="28">
        <v>-6.4979576848690213E-2</v>
      </c>
      <c r="D49" s="29">
        <f t="shared" si="5"/>
        <v>-3.7230555079759431</v>
      </c>
      <c r="F49" s="61"/>
      <c r="G49" s="105"/>
      <c r="H49" s="59"/>
      <c r="I49" s="60"/>
      <c r="J49" s="102"/>
      <c r="K49" s="105"/>
      <c r="L49" s="62"/>
      <c r="M49" s="62"/>
      <c r="N49" s="62"/>
      <c r="O49" s="60"/>
      <c r="P49" s="60"/>
      <c r="Q49" s="61"/>
    </row>
    <row r="50" spans="1:17" x14ac:dyDescent="0.25">
      <c r="A50" s="30">
        <v>30</v>
      </c>
      <c r="B50" s="31">
        <f>I17*SIN(C49+C50-C$14)+0.5*C$16*C$4*C$2*(C50-C$5)*G17^2*COS(C49)-0.5*C$16*C$4*(C$8+1/PI()/C$7*C$2^2*(C50-C$5)^2)/SQRT(1-H17^2)*G17^2*SIN(C49)-C$11</f>
        <v>-7.2333583375439048E-5</v>
      </c>
      <c r="C50" s="32">
        <v>1.6720757389503904E-2</v>
      </c>
      <c r="D50" s="33">
        <f t="shared" si="5"/>
        <v>0.95802882868075767</v>
      </c>
      <c r="F50" s="61"/>
      <c r="G50" s="105"/>
      <c r="H50" s="59"/>
      <c r="I50" s="60"/>
      <c r="J50" s="102"/>
      <c r="K50" s="105"/>
      <c r="L50" s="62"/>
      <c r="M50" s="62"/>
      <c r="N50" s="62"/>
      <c r="O50" s="60"/>
      <c r="P50" s="60"/>
      <c r="Q50" s="61"/>
    </row>
    <row r="51" spans="1:17" ht="15.6" thickBot="1" x14ac:dyDescent="0.3">
      <c r="F51" s="61"/>
      <c r="G51" s="105"/>
      <c r="H51" s="59"/>
      <c r="I51" s="60"/>
      <c r="J51" s="102"/>
      <c r="K51" s="105"/>
      <c r="L51" s="62"/>
      <c r="M51" s="62"/>
      <c r="N51" s="62"/>
      <c r="O51" s="60"/>
      <c r="P51" s="60"/>
      <c r="Q51" s="61"/>
    </row>
    <row r="52" spans="1:17" ht="18.600000000000001" thickBot="1" x14ac:dyDescent="0.3">
      <c r="F52" s="97"/>
      <c r="G52" s="143" t="s">
        <v>202</v>
      </c>
      <c r="H52" s="144"/>
      <c r="I52" s="144"/>
      <c r="J52" s="144"/>
      <c r="K52" s="144"/>
      <c r="L52" s="145"/>
      <c r="M52" s="62"/>
      <c r="N52" s="62"/>
      <c r="O52" s="60"/>
      <c r="P52" s="60"/>
      <c r="Q52" s="61"/>
    </row>
    <row r="53" spans="1:17" ht="18.600000000000001" thickBot="1" x14ac:dyDescent="0.3">
      <c r="B53" s="59" t="s">
        <v>174</v>
      </c>
      <c r="C53" s="59" t="s">
        <v>175</v>
      </c>
      <c r="D53" s="20" t="s">
        <v>176</v>
      </c>
      <c r="E53" s="20" t="s">
        <v>177</v>
      </c>
      <c r="F53" s="97"/>
      <c r="G53" s="98" t="s">
        <v>63</v>
      </c>
      <c r="H53" s="98" t="s">
        <v>53</v>
      </c>
      <c r="I53" s="98" t="s">
        <v>65</v>
      </c>
      <c r="J53" s="98" t="s">
        <v>66</v>
      </c>
      <c r="K53" s="98" t="s">
        <v>84</v>
      </c>
      <c r="L53" s="98" t="s">
        <v>64</v>
      </c>
      <c r="M53" s="62"/>
      <c r="N53" s="62"/>
      <c r="O53" s="60"/>
      <c r="P53" s="60"/>
      <c r="Q53" s="61"/>
    </row>
    <row r="54" spans="1:17" x14ac:dyDescent="0.25">
      <c r="B54" s="27">
        <f t="shared" ref="B54:B68" si="26">-I54*COS(C54+D54-C$14)+0.5*C$16*C$4*C$2*(D54-C$5)*G54^2*SIN(C54)+0.5*C$16*C$4*((C$8+1/PI()/C$7*C$2^2*(D54-C$5)^2)/SQRT(1-H54^2))*G54^2*COS(C54)</f>
        <v>2.654114747656422E-3</v>
      </c>
      <c r="C54" s="28">
        <v>-4.8122132920520581E-2</v>
      </c>
      <c r="D54" s="32">
        <v>0.198109455433266</v>
      </c>
      <c r="E54" s="31">
        <f t="shared" ref="E54:E68" si="27">I54*SIN(C54+D54-C$14)+0.5*C$16*C$4*C$2*(D54-C$5)*G54^2*COS(C54)-0.5*C$16*C$4*(C$8+1/PI()/C$7*C$2^2*(D54-C$5)^2)/SQRT(1-H54^2)*G54^2*SIN(C54)-C$20</f>
        <v>-2.169351362681482E-3</v>
      </c>
      <c r="F54" s="97"/>
      <c r="G54" s="81">
        <f>SQRT(2*C$20/C$4/C$16/C$15)</f>
        <v>112.21178873863191</v>
      </c>
      <c r="H54" s="99">
        <f t="shared" ref="H54:H68" si="28">G54/C$19</f>
        <v>0.39864604295886297</v>
      </c>
      <c r="I54" s="100">
        <f t="shared" ref="I54:I68" si="29">C$17*(1-0.605*H54+0.725*H54^2)</f>
        <v>2167.6627818636657</v>
      </c>
      <c r="J54" s="67">
        <f>DEGREES(D54)</f>
        <v>11.350835677961218</v>
      </c>
      <c r="K54" s="67">
        <f>DEGREES(C54)</f>
        <v>-2.7571951175133877</v>
      </c>
      <c r="L54" s="67">
        <f>G54*SIN(RADIANS(K54))</f>
        <v>-5.3977867384586515</v>
      </c>
      <c r="M54" s="62"/>
      <c r="N54" s="62"/>
      <c r="O54" s="60"/>
      <c r="P54" s="60"/>
      <c r="Q54" s="61"/>
    </row>
    <row r="55" spans="1:17" x14ac:dyDescent="0.25">
      <c r="B55" s="27">
        <f t="shared" si="26"/>
        <v>6.6879532369057415E-4</v>
      </c>
      <c r="C55" s="35">
        <v>-4.3676380918235502E-2</v>
      </c>
      <c r="D55" s="38">
        <v>0.18400142968493766</v>
      </c>
      <c r="E55" s="31">
        <f t="shared" si="27"/>
        <v>6.6938810050487518E-10</v>
      </c>
      <c r="F55" s="97"/>
      <c r="G55" s="11">
        <v>116</v>
      </c>
      <c r="H55" s="99">
        <f t="shared" si="28"/>
        <v>0.41210412473629637</v>
      </c>
      <c r="I55" s="100">
        <f t="shared" si="29"/>
        <v>2167.0884946703859</v>
      </c>
      <c r="J55" s="67">
        <f t="shared" ref="J55:J68" si="30">DEGREES(D55)</f>
        <v>10.542505345320109</v>
      </c>
      <c r="K55" s="67">
        <f t="shared" ref="K55:K68" si="31">DEGREES(C55)</f>
        <v>-2.5024722910206174</v>
      </c>
      <c r="L55" s="67">
        <f t="shared" ref="L55:L68" si="32">G55*SIN(RADIANS(K55))</f>
        <v>-5.0648495214091867</v>
      </c>
      <c r="M55" s="62"/>
      <c r="N55" s="62"/>
      <c r="O55" s="60"/>
      <c r="P55" s="60"/>
      <c r="Q55" s="61"/>
    </row>
    <row r="56" spans="1:17" x14ac:dyDescent="0.25">
      <c r="B56" s="27">
        <f t="shared" si="26"/>
        <v>-3.809287513831805E-4</v>
      </c>
      <c r="C56" s="28">
        <v>-3.9551456610596079E-2</v>
      </c>
      <c r="D56" s="32">
        <v>0.17049935598976956</v>
      </c>
      <c r="E56" s="31">
        <f t="shared" si="27"/>
        <v>5.3842086344957352E-10</v>
      </c>
      <c r="G56" s="11">
        <v>120</v>
      </c>
      <c r="H56" s="99">
        <f t="shared" si="28"/>
        <v>0.4263146117961687</v>
      </c>
      <c r="I56" s="100">
        <f t="shared" si="29"/>
        <v>2167.1890632765849</v>
      </c>
      <c r="J56" s="67">
        <f t="shared" si="30"/>
        <v>9.7688935079123684</v>
      </c>
      <c r="K56" s="67">
        <f t="shared" si="31"/>
        <v>-2.2661315373819551</v>
      </c>
      <c r="L56" s="67">
        <f t="shared" si="32"/>
        <v>-4.7449374691653254</v>
      </c>
      <c r="M56" s="62"/>
      <c r="N56" s="62"/>
      <c r="O56" s="60"/>
      <c r="P56" s="60"/>
      <c r="Q56" s="61"/>
    </row>
    <row r="57" spans="1:17" x14ac:dyDescent="0.25">
      <c r="B57" s="27">
        <f t="shared" si="26"/>
        <v>2.7762986246671062E-4</v>
      </c>
      <c r="C57" s="35">
        <v>-3.5947379715405708E-2</v>
      </c>
      <c r="D57" s="38">
        <v>0.15825685672849946</v>
      </c>
      <c r="E57" s="31">
        <f t="shared" si="27"/>
        <v>-7.1013346314430237E-9</v>
      </c>
      <c r="G57" s="11">
        <v>124</v>
      </c>
      <c r="H57" s="99">
        <f t="shared" si="28"/>
        <v>0.44052509885604096</v>
      </c>
      <c r="I57" s="100">
        <f t="shared" si="29"/>
        <v>2168.0158193305065</v>
      </c>
      <c r="J57" s="67">
        <f t="shared" si="30"/>
        <v>9.0674499695495641</v>
      </c>
      <c r="K57" s="67">
        <f t="shared" si="31"/>
        <v>-2.0596331422469336</v>
      </c>
      <c r="L57" s="67">
        <f t="shared" si="32"/>
        <v>-4.4565151447027551</v>
      </c>
    </row>
    <row r="58" spans="1:17" x14ac:dyDescent="0.25">
      <c r="B58" s="27">
        <f t="shared" si="26"/>
        <v>4.0513499880034942E-4</v>
      </c>
      <c r="C58" s="28">
        <v>-3.280897697083987E-2</v>
      </c>
      <c r="D58" s="32">
        <v>0.14712336629832173</v>
      </c>
      <c r="E58" s="31">
        <f t="shared" si="27"/>
        <v>3.0559021979570389E-10</v>
      </c>
      <c r="G58" s="11">
        <v>128</v>
      </c>
      <c r="H58" s="99">
        <f t="shared" si="28"/>
        <v>0.45473558591591329</v>
      </c>
      <c r="I58" s="100">
        <f t="shared" si="29"/>
        <v>2169.5687628321498</v>
      </c>
      <c r="J58" s="67">
        <f t="shared" si="30"/>
        <v>8.4295479566510885</v>
      </c>
      <c r="K58" s="67">
        <f t="shared" si="31"/>
        <v>-1.8798159105710368</v>
      </c>
      <c r="L58" s="67">
        <f t="shared" si="32"/>
        <v>-4.1987956734398759</v>
      </c>
    </row>
    <row r="59" spans="1:17" x14ac:dyDescent="0.25">
      <c r="B59" s="27">
        <f t="shared" si="26"/>
        <v>3.5433709854260087E-5</v>
      </c>
      <c r="C59" s="35">
        <v>-3.0089475546099146E-2</v>
      </c>
      <c r="D59" s="38">
        <v>0.13696992207121625</v>
      </c>
      <c r="E59" s="31">
        <f t="shared" si="27"/>
        <v>-1.1059455573558807E-9</v>
      </c>
      <c r="G59" s="11">
        <v>132</v>
      </c>
      <c r="H59" s="99">
        <f t="shared" si="28"/>
        <v>0.46894607297578556</v>
      </c>
      <c r="I59" s="100">
        <f t="shared" si="29"/>
        <v>2171.8478937815157</v>
      </c>
      <c r="J59" s="67">
        <f t="shared" si="30"/>
        <v>7.8477984549164743</v>
      </c>
      <c r="K59" s="67">
        <f t="shared" si="31"/>
        <v>-1.7239999565535791</v>
      </c>
      <c r="L59" s="67">
        <f t="shared" si="32"/>
        <v>-3.9712114685006745</v>
      </c>
    </row>
    <row r="60" spans="1:17" x14ac:dyDescent="0.25">
      <c r="B60" s="27">
        <f t="shared" si="26"/>
        <v>-1.1947919892918435E-4</v>
      </c>
      <c r="C60" s="28">
        <v>-2.7749234681790556E-2</v>
      </c>
      <c r="D60" s="32">
        <v>0.12768559515894504</v>
      </c>
      <c r="E60" s="31">
        <f t="shared" si="27"/>
        <v>-8.0035533756017685E-11</v>
      </c>
      <c r="G60" s="11">
        <v>136</v>
      </c>
      <c r="H60" s="99">
        <f t="shared" si="28"/>
        <v>0.48315656003565782</v>
      </c>
      <c r="I60" s="100">
        <f t="shared" si="29"/>
        <v>2174.8532121786038</v>
      </c>
      <c r="J60" s="67">
        <f t="shared" si="30"/>
        <v>7.3158457072236063</v>
      </c>
      <c r="K60" s="67">
        <f t="shared" si="31"/>
        <v>-1.5899140319846488</v>
      </c>
      <c r="L60" s="67">
        <f t="shared" si="32"/>
        <v>-3.7734116061320431</v>
      </c>
    </row>
    <row r="61" spans="1:17" x14ac:dyDescent="0.25">
      <c r="B61" s="27">
        <f t="shared" si="26"/>
        <v>4.2169845528405858E-4</v>
      </c>
      <c r="C61" s="35">
        <v>-2.4077603365292709E-2</v>
      </c>
      <c r="D61" s="38">
        <v>0.11135381312398879</v>
      </c>
      <c r="E61" s="31">
        <f t="shared" si="27"/>
        <v>3.2741809263825417E-10</v>
      </c>
      <c r="G61" s="11">
        <f t="shared" ref="G61:G68" si="33">G10</f>
        <v>144</v>
      </c>
      <c r="H61" s="99">
        <f t="shared" si="28"/>
        <v>0.51157753415540241</v>
      </c>
      <c r="I61" s="100">
        <f t="shared" si="29"/>
        <v>2183.0424113159474</v>
      </c>
      <c r="J61" s="67">
        <f t="shared" si="30"/>
        <v>6.380103524693034</v>
      </c>
      <c r="K61" s="67">
        <f t="shared" si="31"/>
        <v>-1.3795450536212599</v>
      </c>
      <c r="L61" s="67">
        <f t="shared" si="32"/>
        <v>-3.4668398895281629</v>
      </c>
    </row>
    <row r="62" spans="1:17" x14ac:dyDescent="0.25">
      <c r="B62" s="27">
        <f t="shared" si="26"/>
        <v>9.059495096153114E-5</v>
      </c>
      <c r="C62" s="28">
        <v>-2.0398246603175987E-2</v>
      </c>
      <c r="D62" s="32">
        <v>8.845220357654425E-2</v>
      </c>
      <c r="E62" s="31">
        <f t="shared" si="27"/>
        <v>0</v>
      </c>
      <c r="G62" s="11">
        <f t="shared" si="33"/>
        <v>158</v>
      </c>
      <c r="H62" s="99">
        <f t="shared" si="28"/>
        <v>0.56131423886495546</v>
      </c>
      <c r="I62" s="100">
        <f t="shared" si="29"/>
        <v>2204.3630639906251</v>
      </c>
      <c r="J62" s="67">
        <f t="shared" si="30"/>
        <v>5.0679379535679514</v>
      </c>
      <c r="K62" s="67">
        <f t="shared" si="31"/>
        <v>-1.1687334398290519</v>
      </c>
      <c r="L62" s="67">
        <f t="shared" si="32"/>
        <v>-3.2226994644404638</v>
      </c>
    </row>
    <row r="63" spans="1:17" x14ac:dyDescent="0.25">
      <c r="B63" s="27">
        <f t="shared" si="26"/>
        <v>1.9492418186928262E-4</v>
      </c>
      <c r="C63" s="35">
        <v>-1.963576100655617E-2</v>
      </c>
      <c r="D63" s="38">
        <v>7.1980491018385273E-2</v>
      </c>
      <c r="E63" s="31">
        <f t="shared" si="27"/>
        <v>8.0035533756017685E-11</v>
      </c>
      <c r="G63" s="11">
        <f t="shared" si="33"/>
        <v>171</v>
      </c>
      <c r="H63" s="99">
        <f t="shared" si="28"/>
        <v>0.60749832180954033</v>
      </c>
      <c r="I63" s="100">
        <f t="shared" si="29"/>
        <v>2232.1261814700292</v>
      </c>
      <c r="J63" s="67">
        <f t="shared" si="30"/>
        <v>4.1241783426328054</v>
      </c>
      <c r="K63" s="67">
        <f t="shared" si="31"/>
        <v>-1.1250462332032218</v>
      </c>
      <c r="L63" s="67">
        <f t="shared" si="32"/>
        <v>-3.3574993677657088</v>
      </c>
    </row>
    <row r="64" spans="1:17" x14ac:dyDescent="0.25">
      <c r="B64" s="27">
        <f t="shared" si="26"/>
        <v>-2.8495506740000565E-5</v>
      </c>
      <c r="C64" s="28">
        <v>-2.1420562797435014E-2</v>
      </c>
      <c r="D64" s="32">
        <v>5.7951664428050886E-2</v>
      </c>
      <c r="E64" s="31">
        <f t="shared" si="27"/>
        <v>0</v>
      </c>
      <c r="G64" s="11">
        <f t="shared" si="33"/>
        <v>185</v>
      </c>
      <c r="H64" s="99">
        <f t="shared" si="28"/>
        <v>0.65723502651909338</v>
      </c>
      <c r="I64" s="100">
        <f t="shared" si="29"/>
        <v>2270.6030125971465</v>
      </c>
      <c r="J64" s="67">
        <f t="shared" si="30"/>
        <v>3.3203857874857396</v>
      </c>
      <c r="K64" s="67">
        <f t="shared" si="31"/>
        <v>-1.2273078430879705</v>
      </c>
      <c r="L64" s="67">
        <f t="shared" si="32"/>
        <v>-3.9625010753005423</v>
      </c>
    </row>
    <row r="65" spans="2:12" x14ac:dyDescent="0.25">
      <c r="B65" s="27">
        <f t="shared" si="26"/>
        <v>1.9640784557850566E-5</v>
      </c>
      <c r="C65" s="35">
        <v>-2.6458859731734528E-2</v>
      </c>
      <c r="D65" s="38">
        <v>4.6046341253933712E-2</v>
      </c>
      <c r="E65" s="31">
        <f t="shared" si="27"/>
        <v>1.5279510989785194E-10</v>
      </c>
      <c r="G65" s="11">
        <f t="shared" si="33"/>
        <v>200</v>
      </c>
      <c r="H65" s="99">
        <f t="shared" si="28"/>
        <v>0.71052435299361449</v>
      </c>
      <c r="I65" s="100">
        <f t="shared" si="29"/>
        <v>2321.6997994222461</v>
      </c>
      <c r="J65" s="67">
        <f t="shared" si="30"/>
        <v>2.6382610158695328</v>
      </c>
      <c r="K65" s="67">
        <f t="shared" si="31"/>
        <v>-1.5159809933570341</v>
      </c>
      <c r="L65" s="67">
        <f t="shared" si="32"/>
        <v>-5.2911545317181581</v>
      </c>
    </row>
    <row r="66" spans="2:12" x14ac:dyDescent="0.25">
      <c r="B66" s="27">
        <f t="shared" si="26"/>
        <v>3.9002539779176004E-5</v>
      </c>
      <c r="C66" s="28">
        <v>-3.3972521395054356E-2</v>
      </c>
      <c r="D66" s="32">
        <v>3.7680551968606792E-2</v>
      </c>
      <c r="E66" s="31">
        <f t="shared" si="27"/>
        <v>0</v>
      </c>
      <c r="G66" s="11">
        <f t="shared" si="33"/>
        <v>213</v>
      </c>
      <c r="H66" s="99">
        <f t="shared" si="28"/>
        <v>0.75670843593819948</v>
      </c>
      <c r="I66" s="100">
        <f t="shared" si="29"/>
        <v>2374.2440635551739</v>
      </c>
      <c r="J66" s="67">
        <f t="shared" si="30"/>
        <v>2.1589365975245349</v>
      </c>
      <c r="K66" s="67">
        <f t="shared" si="31"/>
        <v>-1.9464820953545063</v>
      </c>
      <c r="L66" s="67">
        <f t="shared" si="32"/>
        <v>-7.2347552257344621</v>
      </c>
    </row>
    <row r="67" spans="2:12" x14ac:dyDescent="0.25">
      <c r="B67" s="27">
        <f t="shared" si="26"/>
        <v>3.5470293369144201E-11</v>
      </c>
      <c r="C67" s="35">
        <v>-4.6639930540520728E-2</v>
      </c>
      <c r="D67" s="38">
        <v>3.0209907078866741E-2</v>
      </c>
      <c r="E67" s="31">
        <f t="shared" si="27"/>
        <v>0</v>
      </c>
      <c r="G67" s="11">
        <f t="shared" si="33"/>
        <v>227</v>
      </c>
      <c r="H67" s="99">
        <f t="shared" si="28"/>
        <v>0.80644514064775241</v>
      </c>
      <c r="I67" s="100">
        <f t="shared" si="29"/>
        <v>2439.4082833860843</v>
      </c>
      <c r="J67" s="67">
        <f t="shared" si="30"/>
        <v>1.7309001751014537</v>
      </c>
      <c r="K67" s="67">
        <f t="shared" si="31"/>
        <v>-2.6722711767551499</v>
      </c>
      <c r="L67" s="67">
        <f t="shared" si="32"/>
        <v>-10.583426267291541</v>
      </c>
    </row>
    <row r="68" spans="2:12" x14ac:dyDescent="0.25">
      <c r="B68" s="27">
        <f t="shared" si="26"/>
        <v>4.6153739276633132E-5</v>
      </c>
      <c r="C68" s="28">
        <v>-6.5252713350597819E-2</v>
      </c>
      <c r="D68" s="32">
        <v>2.4380307262454846E-2</v>
      </c>
      <c r="E68" s="31">
        <f t="shared" si="27"/>
        <v>-3.3754113246686757E-6</v>
      </c>
      <c r="G68" s="11">
        <f t="shared" si="33"/>
        <v>240</v>
      </c>
      <c r="H68" s="99">
        <f t="shared" si="28"/>
        <v>0.85262922359233739</v>
      </c>
      <c r="I68" s="100">
        <f t="shared" si="29"/>
        <v>2507.8832846534187</v>
      </c>
      <c r="J68" s="67">
        <f t="shared" si="30"/>
        <v>1.3968887093708127</v>
      </c>
      <c r="K68" s="67">
        <f t="shared" si="31"/>
        <v>-3.738705076766216</v>
      </c>
      <c r="L68" s="67">
        <f t="shared" si="32"/>
        <v>-15.649539945494107</v>
      </c>
    </row>
  </sheetData>
  <mergeCells count="4">
    <mergeCell ref="G52:L52"/>
    <mergeCell ref="G1:L1"/>
    <mergeCell ref="F21:Q21"/>
    <mergeCell ref="F36:Q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10</vt:i4>
      </vt:variant>
      <vt:variant>
        <vt:lpstr>Nazwane zakresy</vt:lpstr>
      </vt:variant>
      <vt:variant>
        <vt:i4>2</vt:i4>
      </vt:variant>
    </vt:vector>
  </HeadingPairs>
  <TitlesOfParts>
    <vt:vector size="12" baseType="lpstr">
      <vt:lpstr>Podsumowanie</vt:lpstr>
      <vt:lpstr>Metoda CIągu, zmienna masa</vt:lpstr>
      <vt:lpstr>h=0km</vt:lpstr>
      <vt:lpstr>h=2km</vt:lpstr>
      <vt:lpstr>h=4km</vt:lpstr>
      <vt:lpstr>h=6km</vt:lpstr>
      <vt:lpstr>h=8km</vt:lpstr>
      <vt:lpstr>h=10km</vt:lpstr>
      <vt:lpstr>h=12km</vt:lpstr>
      <vt:lpstr>h=14km</vt:lpstr>
      <vt:lpstr>Podsumowanie!V_Iksra</vt:lpstr>
      <vt:lpstr>Podsumowanie!V2_Iksra</vt:lpstr>
    </vt:vector>
  </TitlesOfParts>
  <Company>Polska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Czajkowski</dc:creator>
  <cp:lastModifiedBy>Czajkowski Sebastian (STUD)</cp:lastModifiedBy>
  <dcterms:created xsi:type="dcterms:W3CDTF">2022-04-13T21:31:56Z</dcterms:created>
  <dcterms:modified xsi:type="dcterms:W3CDTF">2024-01-03T20:32:07Z</dcterms:modified>
</cp:coreProperties>
</file>