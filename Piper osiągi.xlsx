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.xml" ContentType="application/vnd.openxmlformats-officedocument.drawing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3.xml" ContentType="application/vnd.openxmlformats-officedocument.drawing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4.xml" ContentType="application/vnd.openxmlformats-officedocument.drawing+xml"/>
  <Override PartName="/xl/charts/chart24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5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6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7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5.xml" ContentType="application/vnd.openxmlformats-officedocument.drawing+xml"/>
  <Override PartName="/xl/charts/chart28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9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0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1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6.xml" ContentType="application/vnd.openxmlformats-officedocument.drawing+xml"/>
  <Override PartName="/xl/charts/chart32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3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4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5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7.xml" ContentType="application/vnd.openxmlformats-officedocument.drawing+xml"/>
  <Override PartName="/xl/charts/chart36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7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8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9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8.xml" ContentType="application/vnd.openxmlformats-officedocument.drawing+xml"/>
  <Override PartName="/xl/charts/chart40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1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2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3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9.xml" ContentType="application/vnd.openxmlformats-officedocument.drawing+xml"/>
  <Override PartName="/xl/charts/chart44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5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6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7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10.xml" ContentType="application/vnd.openxmlformats-officedocument.drawing+xml"/>
  <Override PartName="/xl/charts/chart48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9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50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1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11.xml" ContentType="application/vnd.openxmlformats-officedocument.drawing+xml"/>
  <Override PartName="/xl/charts/chart52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3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4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5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Sebastian\Desktop\Studia\Inżynier\OBRONA\praca\Praca\Piper\"/>
    </mc:Choice>
  </mc:AlternateContent>
  <xr:revisionPtr revIDLastSave="0" documentId="13_ncr:1_{25BD6E2F-44B7-4979-A3E2-1D257F0A0B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odsumowanie" sheetId="1" r:id="rId1"/>
    <sheet name="Meotda CIągu, zmienna masa" sheetId="21" r:id="rId2"/>
    <sheet name="h=0m" sheetId="11" r:id="rId3"/>
    <sheet name="h=1km" sheetId="12" r:id="rId4"/>
    <sheet name="h=2km" sheetId="13" r:id="rId5"/>
    <sheet name="h=3km" sheetId="14" r:id="rId6"/>
    <sheet name="h=4km" sheetId="15" r:id="rId7"/>
    <sheet name="h=5km" sheetId="17" r:id="rId8"/>
    <sheet name="h=6km" sheetId="18" r:id="rId9"/>
    <sheet name="h=7m" sheetId="19" r:id="rId10"/>
    <sheet name="h=8km" sheetId="20" r:id="rId11"/>
  </sheets>
  <externalReferences>
    <externalReference r:id="rId12"/>
  </externalReferences>
  <definedNames>
    <definedName name="g_v__dane" localSheetId="0">Podsumowanie!#REF!</definedName>
    <definedName name="g_v__dane_1" localSheetId="0">Podsumowanie!#REF!</definedName>
    <definedName name="Piper_V" localSheetId="0">Podsumowanie!#REF!</definedName>
    <definedName name="Piper_Vmin" localSheetId="0">Podsumowanie!#REF!</definedName>
    <definedName name="solver_adj" localSheetId="2" hidden="1">'h=0m'!$C$74:$D$74</definedName>
    <definedName name="solver_adj" localSheetId="3" hidden="1">'h=1km'!$C$74:$D$74</definedName>
    <definedName name="solver_adj" localSheetId="4" hidden="1">'h=2km'!$C$74:$D$74</definedName>
    <definedName name="solver_adj" localSheetId="5" hidden="1">'h=3km'!$C$74:$D$74</definedName>
    <definedName name="solver_adj" localSheetId="6" hidden="1">'h=4km'!$C$74:$D$74</definedName>
    <definedName name="solver_adj" localSheetId="7" hidden="1">'h=5km'!$C$72:$D$72</definedName>
    <definedName name="solver_adj" localSheetId="8" hidden="1">'h=6km'!$C$72:$D$72</definedName>
    <definedName name="solver_adj" localSheetId="9" hidden="1">'h=7m'!$C$72:$D$72</definedName>
    <definedName name="solver_adj" localSheetId="10" hidden="1">'h=8km'!$C$72:$D$72</definedName>
    <definedName name="solver_adj" localSheetId="1" hidden="1">'Meotda CIągu, zmienna masa'!$W$149:$X$149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cvg" localSheetId="8" hidden="1">0.0001</definedName>
    <definedName name="solver_cvg" localSheetId="9" hidden="1">0.0001</definedName>
    <definedName name="solver_cvg" localSheetId="10" hidden="1">0.0001</definedName>
    <definedName name="solver_cvg" localSheetId="1" hidden="1">0.0001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8" hidden="1">1</definedName>
    <definedName name="solver_drv" localSheetId="9" hidden="1">1</definedName>
    <definedName name="solver_drv" localSheetId="10" hidden="1">1</definedName>
    <definedName name="solver_drv" localSheetId="1" hidden="1">1</definedName>
    <definedName name="solver_eng" localSheetId="2" hidden="1">1</definedName>
    <definedName name="solver_eng" localSheetId="3" hidden="1">1</definedName>
    <definedName name="solver_eng" localSheetId="4" hidden="1">1</definedName>
    <definedName name="solver_eng" localSheetId="5" hidden="1">1</definedName>
    <definedName name="solver_eng" localSheetId="6" hidden="1">1</definedName>
    <definedName name="solver_eng" localSheetId="7" hidden="1">1</definedName>
    <definedName name="solver_eng" localSheetId="8" hidden="1">1</definedName>
    <definedName name="solver_eng" localSheetId="9" hidden="1">1</definedName>
    <definedName name="solver_eng" localSheetId="10" hidden="1">1</definedName>
    <definedName name="solver_eng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est" localSheetId="9" hidden="1">1</definedName>
    <definedName name="solver_est" localSheetId="10" hidden="1">1</definedName>
    <definedName name="solver_est" localSheetId="1" hidden="1">1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itr" localSheetId="8" hidden="1">2147483647</definedName>
    <definedName name="solver_itr" localSheetId="9" hidden="1">2147483647</definedName>
    <definedName name="solver_itr" localSheetId="10" hidden="1">2147483647</definedName>
    <definedName name="solver_itr" localSheetId="1" hidden="1">2147483647</definedName>
    <definedName name="solver_lhs1" localSheetId="2" hidden="1">'h=0m'!$E$74</definedName>
    <definedName name="solver_lhs1" localSheetId="3" hidden="1">'h=1km'!$E$74</definedName>
    <definedName name="solver_lhs1" localSheetId="4" hidden="1">'h=2km'!$E$74</definedName>
    <definedName name="solver_lhs1" localSheetId="5" hidden="1">'h=3km'!$E$74</definedName>
    <definedName name="solver_lhs1" localSheetId="6" hidden="1">'h=4km'!$E$74</definedName>
    <definedName name="solver_lhs1" localSheetId="7" hidden="1">'h=5km'!$E$72</definedName>
    <definedName name="solver_lhs1" localSheetId="8" hidden="1">'h=6km'!$E$72</definedName>
    <definedName name="solver_lhs1" localSheetId="9" hidden="1">'h=7m'!$E$72</definedName>
    <definedName name="solver_lhs1" localSheetId="10" hidden="1">'h=8km'!$E$72</definedName>
    <definedName name="solver_lhs1" localSheetId="1" hidden="1">'Meotda CIągu, zmienna masa'!$Z$149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8" hidden="1">2147483647</definedName>
    <definedName name="solver_mip" localSheetId="9" hidden="1">2147483647</definedName>
    <definedName name="solver_mip" localSheetId="10" hidden="1">2147483647</definedName>
    <definedName name="solver_mip" localSheetId="1" hidden="1">2147483647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8" hidden="1">30</definedName>
    <definedName name="solver_mni" localSheetId="9" hidden="1">30</definedName>
    <definedName name="solver_mni" localSheetId="10" hidden="1">30</definedName>
    <definedName name="solver_mni" localSheetId="1" hidden="1">30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rt" localSheetId="7" hidden="1">0.075</definedName>
    <definedName name="solver_mrt" localSheetId="8" hidden="1">0.075</definedName>
    <definedName name="solver_mrt" localSheetId="9" hidden="1">0.075</definedName>
    <definedName name="solver_mrt" localSheetId="10" hidden="1">0.075</definedName>
    <definedName name="solver_mrt" localSheetId="1" hidden="1">0.075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msl" localSheetId="8" hidden="1">2</definedName>
    <definedName name="solver_msl" localSheetId="9" hidden="1">2</definedName>
    <definedName name="solver_msl" localSheetId="10" hidden="1">2</definedName>
    <definedName name="solver_msl" localSheetId="1" hidden="1">2</definedName>
    <definedName name="solver_neg" localSheetId="2" hidden="1">2</definedName>
    <definedName name="solver_neg" localSheetId="3" hidden="1">2</definedName>
    <definedName name="solver_neg" localSheetId="4" hidden="1">2</definedName>
    <definedName name="solver_neg" localSheetId="5" hidden="1">2</definedName>
    <definedName name="solver_neg" localSheetId="6" hidden="1">2</definedName>
    <definedName name="solver_neg" localSheetId="7" hidden="1">2</definedName>
    <definedName name="solver_neg" localSheetId="8" hidden="1">2</definedName>
    <definedName name="solver_neg" localSheetId="9" hidden="1">2</definedName>
    <definedName name="solver_neg" localSheetId="10" hidden="1">2</definedName>
    <definedName name="solver_neg" localSheetId="1" hidden="1">2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8" hidden="1">2147483647</definedName>
    <definedName name="solver_nod" localSheetId="9" hidden="1">2147483647</definedName>
    <definedName name="solver_nod" localSheetId="10" hidden="1">2147483647</definedName>
    <definedName name="solver_nod" localSheetId="1" hidden="1">2147483647</definedName>
    <definedName name="solver_num" localSheetId="2" hidden="1">1</definedName>
    <definedName name="solver_num" localSheetId="3" hidden="1">1</definedName>
    <definedName name="solver_num" localSheetId="4" hidden="1">1</definedName>
    <definedName name="solver_num" localSheetId="5" hidden="1">1</definedName>
    <definedName name="solver_num" localSheetId="6" hidden="1">1</definedName>
    <definedName name="solver_num" localSheetId="7" hidden="1">1</definedName>
    <definedName name="solver_num" localSheetId="8" hidden="1">1</definedName>
    <definedName name="solver_num" localSheetId="9" hidden="1">1</definedName>
    <definedName name="solver_num" localSheetId="10" hidden="1">1</definedName>
    <definedName name="solver_num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nwt" localSheetId="9" hidden="1">1</definedName>
    <definedName name="solver_nwt" localSheetId="10" hidden="1">1</definedName>
    <definedName name="solver_nwt" localSheetId="1" hidden="1">1</definedName>
    <definedName name="solver_opt" localSheetId="2" hidden="1">'h=0m'!$B$74</definedName>
    <definedName name="solver_opt" localSheetId="3" hidden="1">'h=1km'!$B$74</definedName>
    <definedName name="solver_opt" localSheetId="4" hidden="1">'h=2km'!$B$74</definedName>
    <definedName name="solver_opt" localSheetId="5" hidden="1">'h=3km'!$B$74</definedName>
    <definedName name="solver_opt" localSheetId="6" hidden="1">'h=4km'!$B$74</definedName>
    <definedName name="solver_opt" localSheetId="7" hidden="1">'h=5km'!$B$72</definedName>
    <definedName name="solver_opt" localSheetId="8" hidden="1">'h=6km'!$B$72</definedName>
    <definedName name="solver_opt" localSheetId="9" hidden="1">'h=7m'!$B$72</definedName>
    <definedName name="solver_opt" localSheetId="10" hidden="1">'h=8km'!$B$72</definedName>
    <definedName name="solver_opt" localSheetId="1" hidden="1">'Meotda CIągu, zmienna masa'!$U$149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pre" localSheetId="7" hidden="1">0.000001</definedName>
    <definedName name="solver_pre" localSheetId="8" hidden="1">0.000001</definedName>
    <definedName name="solver_pre" localSheetId="9" hidden="1">0.000001</definedName>
    <definedName name="solver_pre" localSheetId="10" hidden="1">0.000001</definedName>
    <definedName name="solver_pre" localSheetId="1" hidden="1">0.000001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bv" localSheetId="6" hidden="1">1</definedName>
    <definedName name="solver_rbv" localSheetId="7" hidden="1">1</definedName>
    <definedName name="solver_rbv" localSheetId="8" hidden="1">1</definedName>
    <definedName name="solver_rbv" localSheetId="9" hidden="1">1</definedName>
    <definedName name="solver_rbv" localSheetId="10" hidden="1">1</definedName>
    <definedName name="solver_rbv" localSheetId="1" hidden="1">1</definedName>
    <definedName name="solver_rel1" localSheetId="2" hidden="1">2</definedName>
    <definedName name="solver_rel1" localSheetId="3" hidden="1">2</definedName>
    <definedName name="solver_rel1" localSheetId="4" hidden="1">2</definedName>
    <definedName name="solver_rel1" localSheetId="5" hidden="1">2</definedName>
    <definedName name="solver_rel1" localSheetId="6" hidden="1">2</definedName>
    <definedName name="solver_rel1" localSheetId="7" hidden="1">2</definedName>
    <definedName name="solver_rel1" localSheetId="8" hidden="1">2</definedName>
    <definedName name="solver_rel1" localSheetId="9" hidden="1">2</definedName>
    <definedName name="solver_rel1" localSheetId="10" hidden="1">2</definedName>
    <definedName name="solver_rel1" localSheetId="1" hidden="1">2</definedName>
    <definedName name="solver_rhs1" localSheetId="2" hidden="1">0</definedName>
    <definedName name="solver_rhs1" localSheetId="3" hidden="1">0</definedName>
    <definedName name="solver_rhs1" localSheetId="4" hidden="1">0</definedName>
    <definedName name="solver_rhs1" localSheetId="5" hidden="1">0</definedName>
    <definedName name="solver_rhs1" localSheetId="6" hidden="1">0</definedName>
    <definedName name="solver_rhs1" localSheetId="7" hidden="1">0</definedName>
    <definedName name="solver_rhs1" localSheetId="8" hidden="1">0</definedName>
    <definedName name="solver_rhs1" localSheetId="9" hidden="1">0</definedName>
    <definedName name="solver_rhs1" localSheetId="10" hidden="1">0</definedName>
    <definedName name="solver_rhs1" localSheetId="1" hidden="1">0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8" hidden="1">2</definedName>
    <definedName name="solver_rlx" localSheetId="9" hidden="1">2</definedName>
    <definedName name="solver_rlx" localSheetId="10" hidden="1">2</definedName>
    <definedName name="solver_rlx" localSheetId="1" hidden="1">2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8" hidden="1">0</definedName>
    <definedName name="solver_rsd" localSheetId="9" hidden="1">0</definedName>
    <definedName name="solver_rsd" localSheetId="10" hidden="1">0</definedName>
    <definedName name="solver_rsd" localSheetId="1" hidden="1">0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cl" localSheetId="6" hidden="1">1</definedName>
    <definedName name="solver_scl" localSheetId="7" hidden="1">1</definedName>
    <definedName name="solver_scl" localSheetId="8" hidden="1">1</definedName>
    <definedName name="solver_scl" localSheetId="9" hidden="1">1</definedName>
    <definedName name="solver_scl" localSheetId="10" hidden="1">1</definedName>
    <definedName name="solver_scl" localSheetId="1" hidden="1">1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ho" localSheetId="9" hidden="1">2</definedName>
    <definedName name="solver_sho" localSheetId="10" hidden="1">2</definedName>
    <definedName name="solver_sho" localSheetId="1" hidden="1">2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ssz" localSheetId="8" hidden="1">100</definedName>
    <definedName name="solver_ssz" localSheetId="9" hidden="1">100</definedName>
    <definedName name="solver_ssz" localSheetId="10" hidden="1">100</definedName>
    <definedName name="solver_ssz" localSheetId="1" hidden="1">100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im" localSheetId="8" hidden="1">2147483647</definedName>
    <definedName name="solver_tim" localSheetId="9" hidden="1">2147483647</definedName>
    <definedName name="solver_tim" localSheetId="10" hidden="1">2147483647</definedName>
    <definedName name="solver_tim" localSheetId="1" hidden="1">2147483647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ol" localSheetId="6" hidden="1">0.01</definedName>
    <definedName name="solver_tol" localSheetId="7" hidden="1">0.01</definedName>
    <definedName name="solver_tol" localSheetId="8" hidden="1">0.01</definedName>
    <definedName name="solver_tol" localSheetId="9" hidden="1">0.01</definedName>
    <definedName name="solver_tol" localSheetId="10" hidden="1">0.01</definedName>
    <definedName name="solver_tol" localSheetId="1" hidden="1">0.01</definedName>
    <definedName name="solver_typ" localSheetId="2" hidden="1">3</definedName>
    <definedName name="solver_typ" localSheetId="3" hidden="1">3</definedName>
    <definedName name="solver_typ" localSheetId="4" hidden="1">3</definedName>
    <definedName name="solver_typ" localSheetId="5" hidden="1">3</definedName>
    <definedName name="solver_typ" localSheetId="6" hidden="1">3</definedName>
    <definedName name="solver_typ" localSheetId="7" hidden="1">3</definedName>
    <definedName name="solver_typ" localSheetId="8" hidden="1">3</definedName>
    <definedName name="solver_typ" localSheetId="9" hidden="1">3</definedName>
    <definedName name="solver_typ" localSheetId="10" hidden="1">3</definedName>
    <definedName name="solver_typ" localSheetId="1" hidden="1">3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al" localSheetId="9" hidden="1">0</definedName>
    <definedName name="solver_val" localSheetId="10" hidden="1">0</definedName>
    <definedName name="solver_val" localSheetId="1" hidden="1">0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8" hidden="1">3</definedName>
    <definedName name="solver_ver" localSheetId="9" hidden="1">3</definedName>
    <definedName name="solver_ver" localSheetId="10" hidden="1">3</definedName>
    <definedName name="solver_ver" localSheetId="1" hidden="1">3</definedName>
    <definedName name="V_minmax" localSheetId="0">Podsumowanie!#REF!</definedName>
    <definedName name="V_Piper" localSheetId="0">Podsumowanie!$AC$3:$AD$92</definedName>
    <definedName name="V_Piper_1" localSheetId="0">Podsumowanie!#REF!</definedName>
    <definedName name="V_Piper_ciągu_zmienna" localSheetId="0">Podsumowanie!#REF!</definedName>
    <definedName name="V2_Piper" localSheetId="0">Podsumowanie!$AI$46:$AJ$133</definedName>
    <definedName name="w_V__dane" localSheetId="0">Podsumowanie!#REF!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1" l="1"/>
  <c r="AL41" i="1" l="1"/>
  <c r="AJ41" i="1"/>
  <c r="AF41" i="1"/>
  <c r="AD41" i="1"/>
  <c r="N21" i="1"/>
  <c r="O21" i="1"/>
  <c r="P21" i="1"/>
  <c r="Q21" i="1" s="1"/>
  <c r="R21" i="1"/>
  <c r="S21" i="1"/>
  <c r="T21" i="1"/>
  <c r="U21" i="1"/>
  <c r="V21" i="1"/>
  <c r="W21" i="1"/>
  <c r="X21" i="1"/>
  <c r="Y21" i="1" s="1"/>
  <c r="Z21" i="1"/>
  <c r="N32" i="1"/>
  <c r="O32" i="1"/>
  <c r="P32" i="1"/>
  <c r="Q32" i="1" s="1"/>
  <c r="R32" i="1"/>
  <c r="S32" i="1"/>
  <c r="T32" i="1"/>
  <c r="U32" i="1"/>
  <c r="V32" i="1"/>
  <c r="W32" i="1"/>
  <c r="X32" i="1"/>
  <c r="Y32" i="1"/>
  <c r="Z32" i="1"/>
  <c r="N10" i="1"/>
  <c r="O10" i="1"/>
  <c r="P10" i="1"/>
  <c r="Q10" i="1" s="1"/>
  <c r="R10" i="1"/>
  <c r="S10" i="1"/>
  <c r="T10" i="1"/>
  <c r="U10" i="1"/>
  <c r="V10" i="1"/>
  <c r="W10" i="1"/>
  <c r="X10" i="1"/>
  <c r="Y10" i="1"/>
  <c r="Z10" i="1"/>
  <c r="AA39" i="1"/>
  <c r="N48" i="1"/>
  <c r="O48" i="1" s="1"/>
  <c r="P48" i="1"/>
  <c r="Q48" i="1"/>
  <c r="R48" i="1"/>
  <c r="S48" i="1"/>
  <c r="T48" i="1"/>
  <c r="U48" i="1"/>
  <c r="V48" i="1"/>
  <c r="W48" i="1" s="1"/>
  <c r="X48" i="1"/>
  <c r="Y48" i="1"/>
  <c r="Z48" i="1"/>
  <c r="N49" i="1"/>
  <c r="O49" i="1"/>
  <c r="P49" i="1"/>
  <c r="Q49" i="1" s="1"/>
  <c r="R49" i="1"/>
  <c r="S49" i="1" s="1"/>
  <c r="T49" i="1"/>
  <c r="U49" i="1" s="1"/>
  <c r="V49" i="1"/>
  <c r="W49" i="1"/>
  <c r="X49" i="1"/>
  <c r="Y49" i="1" s="1"/>
  <c r="Z49" i="1"/>
  <c r="N50" i="1"/>
  <c r="O50" i="1"/>
  <c r="P50" i="1"/>
  <c r="Q50" i="1"/>
  <c r="R50" i="1"/>
  <c r="Z50" i="1" s="1"/>
  <c r="S50" i="1"/>
  <c r="T50" i="1"/>
  <c r="U50" i="1" s="1"/>
  <c r="V50" i="1"/>
  <c r="W50" i="1"/>
  <c r="X50" i="1"/>
  <c r="Y50" i="1"/>
  <c r="N51" i="1"/>
  <c r="O51" i="1" s="1"/>
  <c r="P51" i="1"/>
  <c r="Q51" i="1" s="1"/>
  <c r="R51" i="1"/>
  <c r="S51" i="1" s="1"/>
  <c r="T51" i="1"/>
  <c r="U51" i="1"/>
  <c r="V51" i="1"/>
  <c r="W51" i="1" s="1"/>
  <c r="X51" i="1"/>
  <c r="Y51" i="1" s="1"/>
  <c r="Z51" i="1"/>
  <c r="N52" i="1"/>
  <c r="O52" i="1"/>
  <c r="P52" i="1"/>
  <c r="Q52" i="1"/>
  <c r="R52" i="1"/>
  <c r="S52" i="1" s="1"/>
  <c r="T52" i="1"/>
  <c r="U52" i="1"/>
  <c r="V52" i="1"/>
  <c r="W52" i="1"/>
  <c r="X52" i="1"/>
  <c r="Y52" i="1"/>
  <c r="Z52" i="1"/>
  <c r="N53" i="1"/>
  <c r="O53" i="1" s="1"/>
  <c r="P53" i="1"/>
  <c r="Q53" i="1" s="1"/>
  <c r="R53" i="1"/>
  <c r="S53" i="1"/>
  <c r="T53" i="1"/>
  <c r="U53" i="1" s="1"/>
  <c r="V53" i="1"/>
  <c r="W53" i="1" s="1"/>
  <c r="X53" i="1"/>
  <c r="Y53" i="1" s="1"/>
  <c r="Z53" i="1"/>
  <c r="N37" i="1"/>
  <c r="O37" i="1"/>
  <c r="P37" i="1"/>
  <c r="Q37" i="1" s="1"/>
  <c r="R37" i="1"/>
  <c r="S37" i="1"/>
  <c r="T37" i="1"/>
  <c r="U37" i="1"/>
  <c r="V37" i="1"/>
  <c r="W37" i="1"/>
  <c r="X37" i="1"/>
  <c r="Y37" i="1"/>
  <c r="Z37" i="1"/>
  <c r="N38" i="1"/>
  <c r="O38" i="1" s="1"/>
  <c r="P38" i="1"/>
  <c r="Q38" i="1" s="1"/>
  <c r="R38" i="1"/>
  <c r="S38" i="1" s="1"/>
  <c r="T38" i="1"/>
  <c r="U38" i="1"/>
  <c r="V38" i="1"/>
  <c r="W38" i="1" s="1"/>
  <c r="X38" i="1"/>
  <c r="Y38" i="1" s="1"/>
  <c r="Z38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N40" i="1"/>
  <c r="O40" i="1" s="1"/>
  <c r="P40" i="1"/>
  <c r="Q40" i="1" s="1"/>
  <c r="R40" i="1"/>
  <c r="S40" i="1" s="1"/>
  <c r="T40" i="1"/>
  <c r="U40" i="1" s="1"/>
  <c r="V40" i="1"/>
  <c r="W40" i="1" s="1"/>
  <c r="X40" i="1"/>
  <c r="Y40" i="1" s="1"/>
  <c r="Z40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N42" i="1"/>
  <c r="O42" i="1" s="1"/>
  <c r="P42" i="1"/>
  <c r="Q42" i="1" s="1"/>
  <c r="R42" i="1"/>
  <c r="S42" i="1" s="1"/>
  <c r="T42" i="1"/>
  <c r="U42" i="1" s="1"/>
  <c r="V42" i="1"/>
  <c r="W42" i="1" s="1"/>
  <c r="X42" i="1"/>
  <c r="Y42" i="1" s="1"/>
  <c r="Z42" i="1"/>
  <c r="N26" i="1"/>
  <c r="O26" i="1" s="1"/>
  <c r="P26" i="1"/>
  <c r="Q26" i="1" s="1"/>
  <c r="R26" i="1"/>
  <c r="S26" i="1" s="1"/>
  <c r="T26" i="1"/>
  <c r="U26" i="1" s="1"/>
  <c r="V26" i="1"/>
  <c r="W26" i="1"/>
  <c r="X26" i="1"/>
  <c r="Y26" i="1"/>
  <c r="Z26" i="1"/>
  <c r="N27" i="1"/>
  <c r="O27" i="1"/>
  <c r="P27" i="1"/>
  <c r="Q27" i="1" s="1"/>
  <c r="R27" i="1"/>
  <c r="S27" i="1" s="1"/>
  <c r="T27" i="1"/>
  <c r="U27" i="1" s="1"/>
  <c r="V27" i="1"/>
  <c r="W27" i="1"/>
  <c r="X27" i="1"/>
  <c r="Y27" i="1" s="1"/>
  <c r="Z27" i="1"/>
  <c r="N28" i="1"/>
  <c r="O28" i="1"/>
  <c r="P28" i="1"/>
  <c r="Q28" i="1" s="1"/>
  <c r="R28" i="1"/>
  <c r="S28" i="1" s="1"/>
  <c r="T28" i="1"/>
  <c r="U28" i="1"/>
  <c r="V28" i="1"/>
  <c r="W28" i="1"/>
  <c r="X28" i="1"/>
  <c r="Y28" i="1" s="1"/>
  <c r="Z28" i="1"/>
  <c r="N29" i="1"/>
  <c r="O29" i="1" s="1"/>
  <c r="P29" i="1"/>
  <c r="Q29" i="1" s="1"/>
  <c r="R29" i="1"/>
  <c r="S29" i="1" s="1"/>
  <c r="T29" i="1"/>
  <c r="U29" i="1"/>
  <c r="V29" i="1"/>
  <c r="W29" i="1" s="1"/>
  <c r="X29" i="1"/>
  <c r="Y29" i="1" s="1"/>
  <c r="Z29" i="1"/>
  <c r="N30" i="1"/>
  <c r="O30" i="1" s="1"/>
  <c r="P30" i="1"/>
  <c r="Q30" i="1" s="1"/>
  <c r="R30" i="1"/>
  <c r="S30" i="1"/>
  <c r="T30" i="1"/>
  <c r="U30" i="1"/>
  <c r="V30" i="1"/>
  <c r="W30" i="1" s="1"/>
  <c r="X30" i="1"/>
  <c r="Y30" i="1" s="1"/>
  <c r="Z30" i="1"/>
  <c r="N31" i="1"/>
  <c r="O31" i="1" s="1"/>
  <c r="P31" i="1"/>
  <c r="Q31" i="1" s="1"/>
  <c r="R31" i="1"/>
  <c r="S31" i="1"/>
  <c r="T31" i="1"/>
  <c r="U31" i="1"/>
  <c r="V31" i="1"/>
  <c r="W31" i="1" s="1"/>
  <c r="X31" i="1"/>
  <c r="Y31" i="1" s="1"/>
  <c r="Z31" i="1"/>
  <c r="N15" i="1"/>
  <c r="O15" i="1" s="1"/>
  <c r="P15" i="1"/>
  <c r="Q15" i="1" s="1"/>
  <c r="R15" i="1"/>
  <c r="S15" i="1" s="1"/>
  <c r="T15" i="1"/>
  <c r="U15" i="1"/>
  <c r="V15" i="1"/>
  <c r="W15" i="1" s="1"/>
  <c r="X15" i="1"/>
  <c r="Y15" i="1" s="1"/>
  <c r="N16" i="1"/>
  <c r="O16" i="1"/>
  <c r="P16" i="1"/>
  <c r="Q16" i="1" s="1"/>
  <c r="R16" i="1"/>
  <c r="Z16" i="1" s="1"/>
  <c r="T16" i="1"/>
  <c r="U16" i="1"/>
  <c r="V16" i="1"/>
  <c r="W16" i="1"/>
  <c r="X16" i="1"/>
  <c r="Y16" i="1" s="1"/>
  <c r="N17" i="1"/>
  <c r="O17" i="1" s="1"/>
  <c r="P17" i="1"/>
  <c r="Q17" i="1" s="1"/>
  <c r="R17" i="1"/>
  <c r="Z17" i="1" s="1"/>
  <c r="T17" i="1"/>
  <c r="U17" i="1" s="1"/>
  <c r="V17" i="1"/>
  <c r="W17" i="1" s="1"/>
  <c r="X17" i="1"/>
  <c r="Y17" i="1" s="1"/>
  <c r="N18" i="1"/>
  <c r="O18" i="1" s="1"/>
  <c r="P18" i="1"/>
  <c r="Q18" i="1"/>
  <c r="R18" i="1"/>
  <c r="S18" i="1" s="1"/>
  <c r="T18" i="1"/>
  <c r="U18" i="1"/>
  <c r="V18" i="1"/>
  <c r="W18" i="1" s="1"/>
  <c r="X18" i="1"/>
  <c r="Y18" i="1"/>
  <c r="N19" i="1"/>
  <c r="O19" i="1" s="1"/>
  <c r="P19" i="1"/>
  <c r="Q19" i="1"/>
  <c r="R19" i="1"/>
  <c r="S19" i="1" s="1"/>
  <c r="T19" i="1"/>
  <c r="U19" i="1" s="1"/>
  <c r="V19" i="1"/>
  <c r="W19" i="1" s="1"/>
  <c r="X19" i="1"/>
  <c r="Y19" i="1"/>
  <c r="N20" i="1"/>
  <c r="O20" i="1"/>
  <c r="P20" i="1"/>
  <c r="Q20" i="1"/>
  <c r="R20" i="1"/>
  <c r="Z20" i="1" s="1"/>
  <c r="T20" i="1"/>
  <c r="U20" i="1" s="1"/>
  <c r="V20" i="1"/>
  <c r="W20" i="1"/>
  <c r="X20" i="1"/>
  <c r="Y20" i="1"/>
  <c r="N4" i="1"/>
  <c r="O4" i="1"/>
  <c r="P4" i="1"/>
  <c r="Q4" i="1" s="1"/>
  <c r="R4" i="1"/>
  <c r="S4" i="1" s="1"/>
  <c r="T4" i="1"/>
  <c r="U4" i="1"/>
  <c r="V4" i="1"/>
  <c r="W4" i="1"/>
  <c r="X4" i="1"/>
  <c r="Y4" i="1"/>
  <c r="Z4" i="1"/>
  <c r="N5" i="1"/>
  <c r="O5" i="1" s="1"/>
  <c r="P5" i="1"/>
  <c r="Q5" i="1" s="1"/>
  <c r="R5" i="1"/>
  <c r="S5" i="1" s="1"/>
  <c r="T5" i="1"/>
  <c r="U5" i="1" s="1"/>
  <c r="V5" i="1"/>
  <c r="W5" i="1" s="1"/>
  <c r="X5" i="1"/>
  <c r="Y5" i="1" s="1"/>
  <c r="N6" i="1"/>
  <c r="O6" i="1"/>
  <c r="P6" i="1"/>
  <c r="Q6" i="1"/>
  <c r="R6" i="1"/>
  <c r="S6" i="1"/>
  <c r="T6" i="1"/>
  <c r="U6" i="1"/>
  <c r="V6" i="1"/>
  <c r="W6" i="1"/>
  <c r="X6" i="1"/>
  <c r="Y6" i="1"/>
  <c r="Z6" i="1"/>
  <c r="N7" i="1"/>
  <c r="O7" i="1" s="1"/>
  <c r="P7" i="1"/>
  <c r="Q7" i="1" s="1"/>
  <c r="R7" i="1"/>
  <c r="S7" i="1" s="1"/>
  <c r="T7" i="1"/>
  <c r="U7" i="1" s="1"/>
  <c r="V7" i="1"/>
  <c r="W7" i="1" s="1"/>
  <c r="X7" i="1"/>
  <c r="Y7" i="1" s="1"/>
  <c r="N8" i="1"/>
  <c r="O8" i="1"/>
  <c r="P8" i="1"/>
  <c r="Q8" i="1"/>
  <c r="R8" i="1"/>
  <c r="S8" i="1" s="1"/>
  <c r="T8" i="1"/>
  <c r="U8" i="1"/>
  <c r="V8" i="1"/>
  <c r="W8" i="1"/>
  <c r="X8" i="1"/>
  <c r="Y8" i="1"/>
  <c r="Z8" i="1"/>
  <c r="N9" i="1"/>
  <c r="O9" i="1" s="1"/>
  <c r="P9" i="1"/>
  <c r="Q9" i="1" s="1"/>
  <c r="R9" i="1"/>
  <c r="S9" i="1" s="1"/>
  <c r="T9" i="1"/>
  <c r="U9" i="1" s="1"/>
  <c r="V9" i="1"/>
  <c r="W9" i="1" s="1"/>
  <c r="X9" i="1"/>
  <c r="Y9" i="1" s="1"/>
  <c r="Z9" i="1"/>
  <c r="X47" i="1"/>
  <c r="V47" i="1"/>
  <c r="T47" i="1"/>
  <c r="R47" i="1"/>
  <c r="P47" i="1"/>
  <c r="N47" i="1"/>
  <c r="X36" i="1"/>
  <c r="V36" i="1"/>
  <c r="T36" i="1"/>
  <c r="R36" i="1"/>
  <c r="P36" i="1"/>
  <c r="N36" i="1"/>
  <c r="X3" i="1"/>
  <c r="V3" i="1"/>
  <c r="T3" i="1"/>
  <c r="R3" i="1"/>
  <c r="P3" i="1"/>
  <c r="N3" i="1"/>
  <c r="Z5" i="1" l="1"/>
  <c r="S17" i="1"/>
  <c r="Z7" i="1"/>
  <c r="Z19" i="1"/>
  <c r="Z18" i="1"/>
  <c r="S20" i="1"/>
  <c r="S16" i="1"/>
  <c r="Z15" i="1"/>
  <c r="A88" i="1" l="1"/>
  <c r="B88" i="1"/>
  <c r="C88" i="1"/>
  <c r="D88" i="1"/>
  <c r="E88" i="1"/>
  <c r="F88" i="1"/>
  <c r="G88" i="1"/>
  <c r="H88" i="1"/>
  <c r="A89" i="1"/>
  <c r="B89" i="1"/>
  <c r="C89" i="1"/>
  <c r="D89" i="1"/>
  <c r="E89" i="1"/>
  <c r="F89" i="1"/>
  <c r="G89" i="1"/>
  <c r="A90" i="1"/>
  <c r="B90" i="1"/>
  <c r="C90" i="1"/>
  <c r="D90" i="1"/>
  <c r="E90" i="1"/>
  <c r="F90" i="1"/>
  <c r="G90" i="1"/>
  <c r="A91" i="1"/>
  <c r="B91" i="1"/>
  <c r="C91" i="1"/>
  <c r="D91" i="1"/>
  <c r="E91" i="1"/>
  <c r="F91" i="1"/>
  <c r="G91" i="1"/>
  <c r="A92" i="1"/>
  <c r="B92" i="1"/>
  <c r="C92" i="1"/>
  <c r="D92" i="1"/>
  <c r="E92" i="1"/>
  <c r="F92" i="1"/>
  <c r="G92" i="1"/>
  <c r="A93" i="1"/>
  <c r="B93" i="1"/>
  <c r="C93" i="1"/>
  <c r="D93" i="1"/>
  <c r="E93" i="1"/>
  <c r="F93" i="1"/>
  <c r="G93" i="1"/>
  <c r="A94" i="1"/>
  <c r="B94" i="1"/>
  <c r="C94" i="1"/>
  <c r="D94" i="1"/>
  <c r="E94" i="1"/>
  <c r="F94" i="1"/>
  <c r="G94" i="1"/>
  <c r="A78" i="1"/>
  <c r="B78" i="1"/>
  <c r="C78" i="1"/>
  <c r="D78" i="1"/>
  <c r="E78" i="1"/>
  <c r="F78" i="1"/>
  <c r="G78" i="1"/>
  <c r="H78" i="1"/>
  <c r="A79" i="1"/>
  <c r="B79" i="1"/>
  <c r="C79" i="1"/>
  <c r="D79" i="1"/>
  <c r="E79" i="1"/>
  <c r="F79" i="1"/>
  <c r="G79" i="1"/>
  <c r="A80" i="1"/>
  <c r="B80" i="1"/>
  <c r="C80" i="1"/>
  <c r="D80" i="1"/>
  <c r="E80" i="1"/>
  <c r="F80" i="1"/>
  <c r="G80" i="1"/>
  <c r="A81" i="1"/>
  <c r="B81" i="1"/>
  <c r="C81" i="1"/>
  <c r="D81" i="1"/>
  <c r="E81" i="1"/>
  <c r="F81" i="1"/>
  <c r="G81" i="1"/>
  <c r="A82" i="1"/>
  <c r="B82" i="1"/>
  <c r="C82" i="1"/>
  <c r="D82" i="1"/>
  <c r="E82" i="1"/>
  <c r="F82" i="1"/>
  <c r="G82" i="1"/>
  <c r="A83" i="1"/>
  <c r="B83" i="1"/>
  <c r="C83" i="1"/>
  <c r="D83" i="1"/>
  <c r="E83" i="1"/>
  <c r="F83" i="1"/>
  <c r="G83" i="1"/>
  <c r="A84" i="1"/>
  <c r="B84" i="1"/>
  <c r="C84" i="1"/>
  <c r="D84" i="1"/>
  <c r="E84" i="1"/>
  <c r="F84" i="1"/>
  <c r="G84" i="1"/>
  <c r="H87" i="1"/>
  <c r="G87" i="1"/>
  <c r="F87" i="1"/>
  <c r="E87" i="1"/>
  <c r="D87" i="1"/>
  <c r="C87" i="1"/>
  <c r="B87" i="1"/>
  <c r="A87" i="1"/>
  <c r="H77" i="1"/>
  <c r="G77" i="1"/>
  <c r="F77" i="1"/>
  <c r="E77" i="1"/>
  <c r="D77" i="1"/>
  <c r="C77" i="1"/>
  <c r="B77" i="1"/>
  <c r="A77" i="1"/>
  <c r="M54" i="1"/>
  <c r="M43" i="1"/>
  <c r="AJ42" i="1"/>
  <c r="AK42" i="1"/>
  <c r="AL42" i="1"/>
  <c r="AI42" i="1"/>
  <c r="Y54" i="1"/>
  <c r="U54" i="1"/>
  <c r="Q54" i="1"/>
  <c r="Y47" i="1"/>
  <c r="S47" i="1"/>
  <c r="Q47" i="1"/>
  <c r="O47" i="1"/>
  <c r="Y43" i="1"/>
  <c r="U43" i="1"/>
  <c r="Q43" i="1"/>
  <c r="Y36" i="1"/>
  <c r="W36" i="1"/>
  <c r="U36" i="1"/>
  <c r="S36" i="1"/>
  <c r="Q36" i="1"/>
  <c r="O36" i="1"/>
  <c r="U47" i="1" l="1"/>
  <c r="W47" i="1"/>
  <c r="Z47" i="1"/>
  <c r="AA48" i="1" s="1"/>
  <c r="H89" i="1" s="1"/>
  <c r="Z36" i="1"/>
  <c r="AA37" i="1" s="1"/>
  <c r="H79" i="1" s="1"/>
  <c r="M58" i="17"/>
  <c r="L58" i="17"/>
  <c r="M61" i="11"/>
  <c r="N61" i="11" s="1"/>
  <c r="M62" i="11"/>
  <c r="M63" i="11"/>
  <c r="M64" i="11"/>
  <c r="N64" i="11" s="1"/>
  <c r="M65" i="11"/>
  <c r="N65" i="11" s="1"/>
  <c r="M66" i="11"/>
  <c r="N66" i="11" s="1"/>
  <c r="M67" i="11"/>
  <c r="N67" i="11" s="1"/>
  <c r="M68" i="11"/>
  <c r="N68" i="11" s="1"/>
  <c r="M69" i="11"/>
  <c r="N69" i="11" s="1"/>
  <c r="M70" i="11"/>
  <c r="N70" i="11" s="1"/>
  <c r="M71" i="11"/>
  <c r="M72" i="11"/>
  <c r="N72" i="11" s="1"/>
  <c r="M73" i="11"/>
  <c r="N73" i="11" s="1"/>
  <c r="M74" i="11"/>
  <c r="N74" i="11" s="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61" i="11"/>
  <c r="M72" i="20"/>
  <c r="G72" i="20"/>
  <c r="M71" i="20"/>
  <c r="N71" i="20" s="1"/>
  <c r="G71" i="20"/>
  <c r="M70" i="20"/>
  <c r="G70" i="20"/>
  <c r="L70" i="20"/>
  <c r="M69" i="20"/>
  <c r="N69" i="20" s="1"/>
  <c r="G69" i="20"/>
  <c r="M68" i="20"/>
  <c r="G68" i="20"/>
  <c r="L68" i="20"/>
  <c r="M67" i="20"/>
  <c r="N67" i="20" s="1"/>
  <c r="G67" i="20"/>
  <c r="M66" i="20"/>
  <c r="G66" i="20"/>
  <c r="L66" i="20"/>
  <c r="M65" i="20"/>
  <c r="N65" i="20" s="1"/>
  <c r="G65" i="20"/>
  <c r="M64" i="20"/>
  <c r="G64" i="20"/>
  <c r="L64" i="20"/>
  <c r="M63" i="20"/>
  <c r="N63" i="20" s="1"/>
  <c r="G63" i="20"/>
  <c r="M62" i="20"/>
  <c r="G62" i="20"/>
  <c r="L62" i="20"/>
  <c r="M61" i="20"/>
  <c r="N61" i="20" s="1"/>
  <c r="G61" i="20"/>
  <c r="M60" i="20"/>
  <c r="G60" i="20"/>
  <c r="L60" i="20"/>
  <c r="M59" i="20"/>
  <c r="N59" i="20" s="1"/>
  <c r="G59" i="20"/>
  <c r="M58" i="20"/>
  <c r="L58" i="20"/>
  <c r="G72" i="19"/>
  <c r="L72" i="19"/>
  <c r="L71" i="19"/>
  <c r="G71" i="19"/>
  <c r="L70" i="19"/>
  <c r="G70" i="19"/>
  <c r="L69" i="19"/>
  <c r="G69" i="19"/>
  <c r="L68" i="19"/>
  <c r="G68" i="19"/>
  <c r="L67" i="19"/>
  <c r="G67" i="19"/>
  <c r="L66" i="19"/>
  <c r="G66" i="19"/>
  <c r="L65" i="19"/>
  <c r="G65" i="19"/>
  <c r="L64" i="19"/>
  <c r="G64" i="19"/>
  <c r="L63" i="19"/>
  <c r="G63" i="19"/>
  <c r="L62" i="19"/>
  <c r="G62" i="19"/>
  <c r="L61" i="19"/>
  <c r="G61" i="19"/>
  <c r="L60" i="19"/>
  <c r="G60" i="19"/>
  <c r="L59" i="19"/>
  <c r="G59" i="19"/>
  <c r="L58" i="19"/>
  <c r="M72" i="18"/>
  <c r="G72" i="18"/>
  <c r="M71" i="18"/>
  <c r="N71" i="18" s="1"/>
  <c r="G71" i="18"/>
  <c r="M70" i="18"/>
  <c r="G70" i="18"/>
  <c r="M69" i="18"/>
  <c r="N69" i="18" s="1"/>
  <c r="G69" i="18"/>
  <c r="M68" i="18"/>
  <c r="G68" i="18"/>
  <c r="M67" i="18"/>
  <c r="N67" i="18" s="1"/>
  <c r="G67" i="18"/>
  <c r="M66" i="18"/>
  <c r="G66" i="18"/>
  <c r="M65" i="18"/>
  <c r="N65" i="18" s="1"/>
  <c r="G65" i="18"/>
  <c r="M64" i="18"/>
  <c r="G64" i="18"/>
  <c r="M63" i="18"/>
  <c r="N63" i="18" s="1"/>
  <c r="G63" i="18"/>
  <c r="M62" i="18"/>
  <c r="G62" i="18"/>
  <c r="M61" i="18"/>
  <c r="N61" i="18" s="1"/>
  <c r="G61" i="18"/>
  <c r="M60" i="18"/>
  <c r="G60" i="18"/>
  <c r="M59" i="18"/>
  <c r="N59" i="18" s="1"/>
  <c r="G59" i="18"/>
  <c r="M58" i="18"/>
  <c r="M72" i="17"/>
  <c r="N72" i="17" s="1"/>
  <c r="G60" i="17"/>
  <c r="L60" i="17"/>
  <c r="M60" i="17"/>
  <c r="N60" i="17" s="1"/>
  <c r="G61" i="17"/>
  <c r="L61" i="17"/>
  <c r="M61" i="17"/>
  <c r="N61" i="17" s="1"/>
  <c r="G62" i="17"/>
  <c r="L62" i="17"/>
  <c r="M62" i="17"/>
  <c r="N62" i="17" s="1"/>
  <c r="G63" i="17"/>
  <c r="L63" i="17"/>
  <c r="M63" i="17"/>
  <c r="N63" i="17" s="1"/>
  <c r="G64" i="17"/>
  <c r="L64" i="17"/>
  <c r="M64" i="17"/>
  <c r="N64" i="17" s="1"/>
  <c r="G65" i="17"/>
  <c r="L65" i="17"/>
  <c r="M65" i="17"/>
  <c r="N65" i="17" s="1"/>
  <c r="G66" i="17"/>
  <c r="L66" i="17"/>
  <c r="M66" i="17"/>
  <c r="N66" i="17" s="1"/>
  <c r="G67" i="17"/>
  <c r="L67" i="17"/>
  <c r="M67" i="17"/>
  <c r="N67" i="17" s="1"/>
  <c r="G68" i="17"/>
  <c r="L68" i="17"/>
  <c r="M68" i="17"/>
  <c r="N68" i="17" s="1"/>
  <c r="G69" i="17"/>
  <c r="L69" i="17"/>
  <c r="M69" i="17"/>
  <c r="N69" i="17" s="1"/>
  <c r="G70" i="17"/>
  <c r="L70" i="17"/>
  <c r="M70" i="17"/>
  <c r="N70" i="17" s="1"/>
  <c r="G71" i="17"/>
  <c r="L71" i="17"/>
  <c r="M71" i="17"/>
  <c r="N71" i="17" s="1"/>
  <c r="G72" i="17"/>
  <c r="L72" i="17"/>
  <c r="G59" i="17"/>
  <c r="L59" i="17"/>
  <c r="M59" i="17"/>
  <c r="N59" i="17" s="1"/>
  <c r="G74" i="15"/>
  <c r="L74" i="15"/>
  <c r="M74" i="15"/>
  <c r="L73" i="15"/>
  <c r="G73" i="15"/>
  <c r="L72" i="15"/>
  <c r="G72" i="15"/>
  <c r="L71" i="15"/>
  <c r="G71" i="15"/>
  <c r="L70" i="15"/>
  <c r="G70" i="15"/>
  <c r="L69" i="15"/>
  <c r="G69" i="15"/>
  <c r="L68" i="15"/>
  <c r="G68" i="15"/>
  <c r="L67" i="15"/>
  <c r="G67" i="15"/>
  <c r="L66" i="15"/>
  <c r="G66" i="15"/>
  <c r="L65" i="15"/>
  <c r="G65" i="15"/>
  <c r="L64" i="15"/>
  <c r="G64" i="15"/>
  <c r="L63" i="15"/>
  <c r="G63" i="15"/>
  <c r="L62" i="15"/>
  <c r="G62" i="15"/>
  <c r="L61" i="15"/>
  <c r="G61" i="15"/>
  <c r="L60" i="15"/>
  <c r="M74" i="14"/>
  <c r="G74" i="14"/>
  <c r="L74" i="14"/>
  <c r="M73" i="14"/>
  <c r="G73" i="14"/>
  <c r="L73" i="14"/>
  <c r="M72" i="14"/>
  <c r="G72" i="14"/>
  <c r="L72" i="14"/>
  <c r="M71" i="14"/>
  <c r="G71" i="14"/>
  <c r="L71" i="14"/>
  <c r="M70" i="14"/>
  <c r="G70" i="14"/>
  <c r="L70" i="14"/>
  <c r="M69" i="14"/>
  <c r="G69" i="14"/>
  <c r="L69" i="14"/>
  <c r="M68" i="14"/>
  <c r="G68" i="14"/>
  <c r="L68" i="14"/>
  <c r="M67" i="14"/>
  <c r="G67" i="14"/>
  <c r="L67" i="14"/>
  <c r="M66" i="14"/>
  <c r="G66" i="14"/>
  <c r="L66" i="14"/>
  <c r="M65" i="14"/>
  <c r="G65" i="14"/>
  <c r="L65" i="14"/>
  <c r="M64" i="14"/>
  <c r="G64" i="14"/>
  <c r="L64" i="14"/>
  <c r="M63" i="14"/>
  <c r="G63" i="14"/>
  <c r="L63" i="14"/>
  <c r="M62" i="14"/>
  <c r="G62" i="14"/>
  <c r="L62" i="14"/>
  <c r="M61" i="14"/>
  <c r="G61" i="14"/>
  <c r="L61" i="14"/>
  <c r="M60" i="14"/>
  <c r="L60" i="14"/>
  <c r="G74" i="13"/>
  <c r="L74" i="13"/>
  <c r="G73" i="13"/>
  <c r="L73" i="13"/>
  <c r="M72" i="13"/>
  <c r="G72" i="13"/>
  <c r="L72" i="13"/>
  <c r="M71" i="13"/>
  <c r="G71" i="13"/>
  <c r="L71" i="13"/>
  <c r="M70" i="13"/>
  <c r="G70" i="13"/>
  <c r="L70" i="13"/>
  <c r="M69" i="13"/>
  <c r="G69" i="13"/>
  <c r="L69" i="13"/>
  <c r="M68" i="13"/>
  <c r="G68" i="13"/>
  <c r="L68" i="13"/>
  <c r="M67" i="13"/>
  <c r="G67" i="13"/>
  <c r="L67" i="13"/>
  <c r="M66" i="13"/>
  <c r="G66" i="13"/>
  <c r="L66" i="13"/>
  <c r="M65" i="13"/>
  <c r="G65" i="13"/>
  <c r="L65" i="13"/>
  <c r="M64" i="13"/>
  <c r="G64" i="13"/>
  <c r="L64" i="13"/>
  <c r="M63" i="13"/>
  <c r="G63" i="13"/>
  <c r="L63" i="13"/>
  <c r="M62" i="13"/>
  <c r="G62" i="13"/>
  <c r="L62" i="13"/>
  <c r="M61" i="13"/>
  <c r="G61" i="13"/>
  <c r="L61" i="13"/>
  <c r="M60" i="13"/>
  <c r="L60" i="13"/>
  <c r="M60" i="12"/>
  <c r="G74" i="12"/>
  <c r="L74" i="12"/>
  <c r="L73" i="12"/>
  <c r="G73" i="12"/>
  <c r="M73" i="12"/>
  <c r="L72" i="12"/>
  <c r="G72" i="12"/>
  <c r="L71" i="12"/>
  <c r="G71" i="12"/>
  <c r="L70" i="12"/>
  <c r="G70" i="12"/>
  <c r="L69" i="12"/>
  <c r="G69" i="12"/>
  <c r="L68" i="12"/>
  <c r="G68" i="12"/>
  <c r="L67" i="12"/>
  <c r="G67" i="12"/>
  <c r="L66" i="12"/>
  <c r="G66" i="12"/>
  <c r="G65" i="12"/>
  <c r="L65" i="12"/>
  <c r="L64" i="12"/>
  <c r="G64" i="12"/>
  <c r="L63" i="12"/>
  <c r="G63" i="12"/>
  <c r="M63" i="12"/>
  <c r="L62" i="12"/>
  <c r="G62" i="12"/>
  <c r="L61" i="12"/>
  <c r="G61" i="12"/>
  <c r="M61" i="12"/>
  <c r="L60" i="12"/>
  <c r="N62" i="11"/>
  <c r="N63" i="11"/>
  <c r="N71" i="11"/>
  <c r="M60" i="11"/>
  <c r="L60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P54" i="20"/>
  <c r="G54" i="20"/>
  <c r="F54" i="20"/>
  <c r="P53" i="20"/>
  <c r="G53" i="20"/>
  <c r="F53" i="20"/>
  <c r="P52" i="20"/>
  <c r="G52" i="20"/>
  <c r="F52" i="20"/>
  <c r="P51" i="20"/>
  <c r="G51" i="20"/>
  <c r="F51" i="20"/>
  <c r="P50" i="20"/>
  <c r="G50" i="20"/>
  <c r="F50" i="20"/>
  <c r="P49" i="20"/>
  <c r="G49" i="20"/>
  <c r="F49" i="20"/>
  <c r="P48" i="20"/>
  <c r="G48" i="20"/>
  <c r="F48" i="20"/>
  <c r="P47" i="20"/>
  <c r="G47" i="20"/>
  <c r="F47" i="20"/>
  <c r="P46" i="20"/>
  <c r="G46" i="20"/>
  <c r="F46" i="20"/>
  <c r="P45" i="20"/>
  <c r="G45" i="20"/>
  <c r="F45" i="20"/>
  <c r="P44" i="20"/>
  <c r="G44" i="20"/>
  <c r="F44" i="20"/>
  <c r="P43" i="20"/>
  <c r="G43" i="20"/>
  <c r="F43" i="20"/>
  <c r="P42" i="20"/>
  <c r="G42" i="20"/>
  <c r="F42" i="20"/>
  <c r="P41" i="20"/>
  <c r="G41" i="20"/>
  <c r="F41" i="20"/>
  <c r="P40" i="20"/>
  <c r="G40" i="20"/>
  <c r="F40" i="20"/>
  <c r="P54" i="19"/>
  <c r="G54" i="19"/>
  <c r="F54" i="19"/>
  <c r="P53" i="19"/>
  <c r="G53" i="19"/>
  <c r="F53" i="19"/>
  <c r="P52" i="19"/>
  <c r="G52" i="19"/>
  <c r="F52" i="19"/>
  <c r="P51" i="19"/>
  <c r="G51" i="19"/>
  <c r="F51" i="19"/>
  <c r="P50" i="19"/>
  <c r="G50" i="19"/>
  <c r="F50" i="19"/>
  <c r="P49" i="19"/>
  <c r="G49" i="19"/>
  <c r="F49" i="19"/>
  <c r="P48" i="19"/>
  <c r="G48" i="19"/>
  <c r="F48" i="19"/>
  <c r="P47" i="19"/>
  <c r="G47" i="19"/>
  <c r="F47" i="19"/>
  <c r="P46" i="19"/>
  <c r="G46" i="19"/>
  <c r="F46" i="19"/>
  <c r="P45" i="19"/>
  <c r="G45" i="19"/>
  <c r="F45" i="19"/>
  <c r="P44" i="19"/>
  <c r="G44" i="19"/>
  <c r="F44" i="19"/>
  <c r="P43" i="19"/>
  <c r="G43" i="19"/>
  <c r="F43" i="19"/>
  <c r="P42" i="19"/>
  <c r="G42" i="19"/>
  <c r="F42" i="19"/>
  <c r="P41" i="19"/>
  <c r="G41" i="19"/>
  <c r="F41" i="19"/>
  <c r="P40" i="19"/>
  <c r="G40" i="19"/>
  <c r="F40" i="19"/>
  <c r="P54" i="18"/>
  <c r="G54" i="18"/>
  <c r="F54" i="18"/>
  <c r="P53" i="18"/>
  <c r="G53" i="18"/>
  <c r="F53" i="18"/>
  <c r="P52" i="18"/>
  <c r="G52" i="18"/>
  <c r="F52" i="18"/>
  <c r="P51" i="18"/>
  <c r="G51" i="18"/>
  <c r="F51" i="18"/>
  <c r="P50" i="18"/>
  <c r="G50" i="18"/>
  <c r="F50" i="18"/>
  <c r="P49" i="18"/>
  <c r="G49" i="18"/>
  <c r="F49" i="18"/>
  <c r="P48" i="18"/>
  <c r="G48" i="18"/>
  <c r="F48" i="18"/>
  <c r="P47" i="18"/>
  <c r="G47" i="18"/>
  <c r="F47" i="18"/>
  <c r="P46" i="18"/>
  <c r="G46" i="18"/>
  <c r="F46" i="18"/>
  <c r="P45" i="18"/>
  <c r="G45" i="18"/>
  <c r="F45" i="18"/>
  <c r="P44" i="18"/>
  <c r="G44" i="18"/>
  <c r="F44" i="18"/>
  <c r="P43" i="18"/>
  <c r="G43" i="18"/>
  <c r="F43" i="18"/>
  <c r="P42" i="18"/>
  <c r="G42" i="18"/>
  <c r="F42" i="18"/>
  <c r="P41" i="18"/>
  <c r="G41" i="18"/>
  <c r="F41" i="18"/>
  <c r="P40" i="18"/>
  <c r="G40" i="18"/>
  <c r="F40" i="18"/>
  <c r="P54" i="17"/>
  <c r="G54" i="17"/>
  <c r="F54" i="17"/>
  <c r="P53" i="17"/>
  <c r="G53" i="17"/>
  <c r="F53" i="17"/>
  <c r="P52" i="17"/>
  <c r="G52" i="17"/>
  <c r="F52" i="17"/>
  <c r="P51" i="17"/>
  <c r="G51" i="17"/>
  <c r="F51" i="17"/>
  <c r="P50" i="17"/>
  <c r="G50" i="17"/>
  <c r="F50" i="17"/>
  <c r="P49" i="17"/>
  <c r="G49" i="17"/>
  <c r="F49" i="17"/>
  <c r="P48" i="17"/>
  <c r="G48" i="17"/>
  <c r="F48" i="17"/>
  <c r="P47" i="17"/>
  <c r="G47" i="17"/>
  <c r="F47" i="17"/>
  <c r="P46" i="17"/>
  <c r="G46" i="17"/>
  <c r="F46" i="17"/>
  <c r="P45" i="17"/>
  <c r="G45" i="17"/>
  <c r="F45" i="17"/>
  <c r="P44" i="17"/>
  <c r="G44" i="17"/>
  <c r="F44" i="17"/>
  <c r="P43" i="17"/>
  <c r="G43" i="17"/>
  <c r="F43" i="17"/>
  <c r="P42" i="17"/>
  <c r="G42" i="17"/>
  <c r="F42" i="17"/>
  <c r="P41" i="17"/>
  <c r="G41" i="17"/>
  <c r="F41" i="17"/>
  <c r="P40" i="17"/>
  <c r="G40" i="17"/>
  <c r="F40" i="17"/>
  <c r="P56" i="15"/>
  <c r="G56" i="15"/>
  <c r="F56" i="15"/>
  <c r="P55" i="15"/>
  <c r="G55" i="15"/>
  <c r="F55" i="15"/>
  <c r="P54" i="15"/>
  <c r="G54" i="15"/>
  <c r="F54" i="15"/>
  <c r="P53" i="15"/>
  <c r="G53" i="15"/>
  <c r="F53" i="15"/>
  <c r="P52" i="15"/>
  <c r="G52" i="15"/>
  <c r="F52" i="15"/>
  <c r="P51" i="15"/>
  <c r="G51" i="15"/>
  <c r="F51" i="15"/>
  <c r="P50" i="15"/>
  <c r="G50" i="15"/>
  <c r="F50" i="15"/>
  <c r="P49" i="15"/>
  <c r="G49" i="15"/>
  <c r="F49" i="15"/>
  <c r="P48" i="15"/>
  <c r="G48" i="15"/>
  <c r="F48" i="15"/>
  <c r="P47" i="15"/>
  <c r="G47" i="15"/>
  <c r="F47" i="15"/>
  <c r="P46" i="15"/>
  <c r="G46" i="15"/>
  <c r="F46" i="15"/>
  <c r="P45" i="15"/>
  <c r="G45" i="15"/>
  <c r="F45" i="15"/>
  <c r="P44" i="15"/>
  <c r="G44" i="15"/>
  <c r="F44" i="15"/>
  <c r="P43" i="15"/>
  <c r="G43" i="15"/>
  <c r="F43" i="15"/>
  <c r="P42" i="15"/>
  <c r="G42" i="15"/>
  <c r="F42" i="15"/>
  <c r="P41" i="15"/>
  <c r="G41" i="15"/>
  <c r="F41" i="15"/>
  <c r="P56" i="14"/>
  <c r="G56" i="14"/>
  <c r="F56" i="14"/>
  <c r="P55" i="14"/>
  <c r="G55" i="14"/>
  <c r="F55" i="14"/>
  <c r="P54" i="14"/>
  <c r="G54" i="14"/>
  <c r="F54" i="14"/>
  <c r="P53" i="14"/>
  <c r="G53" i="14"/>
  <c r="F53" i="14"/>
  <c r="P52" i="14"/>
  <c r="G52" i="14"/>
  <c r="F52" i="14"/>
  <c r="P51" i="14"/>
  <c r="G51" i="14"/>
  <c r="F51" i="14"/>
  <c r="P50" i="14"/>
  <c r="G50" i="14"/>
  <c r="F50" i="14"/>
  <c r="P49" i="14"/>
  <c r="G49" i="14"/>
  <c r="F49" i="14"/>
  <c r="P48" i="14"/>
  <c r="G48" i="14"/>
  <c r="F48" i="14"/>
  <c r="P47" i="14"/>
  <c r="G47" i="14"/>
  <c r="F47" i="14"/>
  <c r="P46" i="14"/>
  <c r="G46" i="14"/>
  <c r="F46" i="14"/>
  <c r="P45" i="14"/>
  <c r="G45" i="14"/>
  <c r="F45" i="14"/>
  <c r="P44" i="14"/>
  <c r="G44" i="14"/>
  <c r="F44" i="14"/>
  <c r="P43" i="14"/>
  <c r="G43" i="14"/>
  <c r="F43" i="14"/>
  <c r="P42" i="14"/>
  <c r="G42" i="14"/>
  <c r="F42" i="14"/>
  <c r="P41" i="14"/>
  <c r="G41" i="14"/>
  <c r="F41" i="14"/>
  <c r="P56" i="13"/>
  <c r="G56" i="13"/>
  <c r="F56" i="13"/>
  <c r="P55" i="13"/>
  <c r="G55" i="13"/>
  <c r="F55" i="13"/>
  <c r="P54" i="13"/>
  <c r="G54" i="13"/>
  <c r="F54" i="13"/>
  <c r="P53" i="13"/>
  <c r="G53" i="13"/>
  <c r="F53" i="13"/>
  <c r="P52" i="13"/>
  <c r="G52" i="13"/>
  <c r="F52" i="13"/>
  <c r="P51" i="13"/>
  <c r="G51" i="13"/>
  <c r="F51" i="13"/>
  <c r="P50" i="13"/>
  <c r="G50" i="13"/>
  <c r="F50" i="13"/>
  <c r="P49" i="13"/>
  <c r="G49" i="13"/>
  <c r="F49" i="13"/>
  <c r="P48" i="13"/>
  <c r="G48" i="13"/>
  <c r="F48" i="13"/>
  <c r="P47" i="13"/>
  <c r="G47" i="13"/>
  <c r="F47" i="13"/>
  <c r="P46" i="13"/>
  <c r="G46" i="13"/>
  <c r="F46" i="13"/>
  <c r="P45" i="13"/>
  <c r="G45" i="13"/>
  <c r="F45" i="13"/>
  <c r="P44" i="13"/>
  <c r="G44" i="13"/>
  <c r="F44" i="13"/>
  <c r="P43" i="13"/>
  <c r="G43" i="13"/>
  <c r="F43" i="13"/>
  <c r="P42" i="13"/>
  <c r="G42" i="13"/>
  <c r="F42" i="13"/>
  <c r="P41" i="13"/>
  <c r="G41" i="13"/>
  <c r="F41" i="13"/>
  <c r="P56" i="12"/>
  <c r="G56" i="12"/>
  <c r="F56" i="12"/>
  <c r="P55" i="12"/>
  <c r="G55" i="12"/>
  <c r="F55" i="12"/>
  <c r="P54" i="12"/>
  <c r="G54" i="12"/>
  <c r="F54" i="12"/>
  <c r="P53" i="12"/>
  <c r="G53" i="12"/>
  <c r="F53" i="12"/>
  <c r="P52" i="12"/>
  <c r="G52" i="12"/>
  <c r="F52" i="12"/>
  <c r="P51" i="12"/>
  <c r="G51" i="12"/>
  <c r="F51" i="12"/>
  <c r="P50" i="12"/>
  <c r="G50" i="12"/>
  <c r="F50" i="12"/>
  <c r="P49" i="12"/>
  <c r="G49" i="12"/>
  <c r="F49" i="12"/>
  <c r="P48" i="12"/>
  <c r="G48" i="12"/>
  <c r="F48" i="12"/>
  <c r="P47" i="12"/>
  <c r="G47" i="12"/>
  <c r="F47" i="12"/>
  <c r="P46" i="12"/>
  <c r="G46" i="12"/>
  <c r="F46" i="12"/>
  <c r="P45" i="12"/>
  <c r="G45" i="12"/>
  <c r="F45" i="12"/>
  <c r="P44" i="12"/>
  <c r="G44" i="12"/>
  <c r="F44" i="12"/>
  <c r="P43" i="12"/>
  <c r="G43" i="12"/>
  <c r="F43" i="12"/>
  <c r="P42" i="12"/>
  <c r="G42" i="12"/>
  <c r="F42" i="12"/>
  <c r="P41" i="12"/>
  <c r="G41" i="12"/>
  <c r="F41" i="12"/>
  <c r="G41" i="11"/>
  <c r="P41" i="11"/>
  <c r="G42" i="11"/>
  <c r="P42" i="11"/>
  <c r="G43" i="11"/>
  <c r="P43" i="11"/>
  <c r="G44" i="11"/>
  <c r="P44" i="11"/>
  <c r="G45" i="11"/>
  <c r="P45" i="11"/>
  <c r="G46" i="11"/>
  <c r="P46" i="11"/>
  <c r="G47" i="11"/>
  <c r="P47" i="11"/>
  <c r="G48" i="11"/>
  <c r="P48" i="11"/>
  <c r="G49" i="11"/>
  <c r="P49" i="11"/>
  <c r="G50" i="11"/>
  <c r="P50" i="11"/>
  <c r="G51" i="11"/>
  <c r="P51" i="11"/>
  <c r="G52" i="11"/>
  <c r="P52" i="11"/>
  <c r="G53" i="11"/>
  <c r="P53" i="11"/>
  <c r="G54" i="11"/>
  <c r="P54" i="11"/>
  <c r="G55" i="11"/>
  <c r="P55" i="11"/>
  <c r="G56" i="11"/>
  <c r="P56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A69" i="1"/>
  <c r="A70" i="1"/>
  <c r="A71" i="1"/>
  <c r="A72" i="1"/>
  <c r="A73" i="1"/>
  <c r="A74" i="1"/>
  <c r="A75" i="1"/>
  <c r="A64" i="1"/>
  <c r="A65" i="1"/>
  <c r="A48" i="1"/>
  <c r="H68" i="1"/>
  <c r="A68" i="1"/>
  <c r="H67" i="1"/>
  <c r="G67" i="1"/>
  <c r="F67" i="1"/>
  <c r="E67" i="1"/>
  <c r="D67" i="1"/>
  <c r="C67" i="1"/>
  <c r="B67" i="1"/>
  <c r="A67" i="1"/>
  <c r="A63" i="1"/>
  <c r="A62" i="1"/>
  <c r="A61" i="1"/>
  <c r="A60" i="1"/>
  <c r="A59" i="1"/>
  <c r="H58" i="1"/>
  <c r="A58" i="1"/>
  <c r="H57" i="1"/>
  <c r="G57" i="1"/>
  <c r="F57" i="1"/>
  <c r="E57" i="1"/>
  <c r="D57" i="1"/>
  <c r="C57" i="1"/>
  <c r="B57" i="1"/>
  <c r="A57" i="1"/>
  <c r="A55" i="1"/>
  <c r="A54" i="1"/>
  <c r="A53" i="1"/>
  <c r="A52" i="1"/>
  <c r="A51" i="1"/>
  <c r="A50" i="1"/>
  <c r="A49" i="1"/>
  <c r="H48" i="1"/>
  <c r="H47" i="1"/>
  <c r="G47" i="1"/>
  <c r="F47" i="1"/>
  <c r="E47" i="1"/>
  <c r="D47" i="1"/>
  <c r="C47" i="1"/>
  <c r="B47" i="1"/>
  <c r="A47" i="1"/>
  <c r="AA38" i="1" l="1"/>
  <c r="H80" i="1" s="1"/>
  <c r="AA49" i="1"/>
  <c r="H90" i="1" s="1"/>
  <c r="N72" i="20"/>
  <c r="N70" i="20"/>
  <c r="N68" i="20"/>
  <c r="N66" i="20"/>
  <c r="N64" i="20"/>
  <c r="N62" i="20"/>
  <c r="N60" i="20"/>
  <c r="N72" i="18"/>
  <c r="N70" i="18"/>
  <c r="N68" i="18"/>
  <c r="N66" i="18"/>
  <c r="N64" i="18"/>
  <c r="N62" i="18"/>
  <c r="N60" i="18"/>
  <c r="N74" i="15"/>
  <c r="N74" i="14"/>
  <c r="N73" i="14"/>
  <c r="N72" i="14"/>
  <c r="N71" i="14"/>
  <c r="N70" i="14"/>
  <c r="N69" i="14"/>
  <c r="N68" i="14"/>
  <c r="N67" i="14"/>
  <c r="N66" i="14"/>
  <c r="N65" i="14"/>
  <c r="N64" i="14"/>
  <c r="N63" i="14"/>
  <c r="N62" i="14"/>
  <c r="N61" i="14"/>
  <c r="N72" i="13"/>
  <c r="N71" i="13"/>
  <c r="N70" i="13"/>
  <c r="N69" i="13"/>
  <c r="N68" i="13"/>
  <c r="N67" i="13"/>
  <c r="N66" i="13"/>
  <c r="N65" i="13"/>
  <c r="N64" i="13"/>
  <c r="N63" i="13"/>
  <c r="N62" i="13"/>
  <c r="N61" i="13"/>
  <c r="N73" i="12"/>
  <c r="L59" i="20"/>
  <c r="L61" i="20"/>
  <c r="L63" i="20"/>
  <c r="L65" i="20"/>
  <c r="L67" i="20"/>
  <c r="L69" i="20"/>
  <c r="L71" i="20"/>
  <c r="L72" i="20"/>
  <c r="M59" i="19"/>
  <c r="N59" i="19" s="1"/>
  <c r="M61" i="19"/>
  <c r="N61" i="19" s="1"/>
  <c r="M63" i="19"/>
  <c r="N63" i="19" s="1"/>
  <c r="M65" i="19"/>
  <c r="N65" i="19" s="1"/>
  <c r="M67" i="19"/>
  <c r="N67" i="19" s="1"/>
  <c r="M69" i="19"/>
  <c r="N69" i="19" s="1"/>
  <c r="M71" i="19"/>
  <c r="N71" i="19" s="1"/>
  <c r="M58" i="19"/>
  <c r="M60" i="19"/>
  <c r="N60" i="19" s="1"/>
  <c r="M62" i="19"/>
  <c r="N62" i="19" s="1"/>
  <c r="M64" i="19"/>
  <c r="N64" i="19" s="1"/>
  <c r="M66" i="19"/>
  <c r="N66" i="19" s="1"/>
  <c r="M68" i="19"/>
  <c r="N68" i="19" s="1"/>
  <c r="M70" i="19"/>
  <c r="N70" i="19" s="1"/>
  <c r="M72" i="19"/>
  <c r="N72" i="19" s="1"/>
  <c r="L59" i="18"/>
  <c r="L61" i="18"/>
  <c r="L63" i="18"/>
  <c r="L65" i="18"/>
  <c r="L67" i="18"/>
  <c r="L69" i="18"/>
  <c r="L71" i="18"/>
  <c r="L58" i="18"/>
  <c r="L60" i="18"/>
  <c r="L62" i="18"/>
  <c r="L64" i="18"/>
  <c r="L66" i="18"/>
  <c r="L68" i="18"/>
  <c r="L70" i="18"/>
  <c r="L72" i="18"/>
  <c r="M61" i="15"/>
  <c r="N61" i="15" s="1"/>
  <c r="M63" i="15"/>
  <c r="N63" i="15" s="1"/>
  <c r="M65" i="15"/>
  <c r="N65" i="15" s="1"/>
  <c r="M67" i="15"/>
  <c r="N67" i="15" s="1"/>
  <c r="M69" i="15"/>
  <c r="N69" i="15" s="1"/>
  <c r="M71" i="15"/>
  <c r="N71" i="15" s="1"/>
  <c r="M73" i="15"/>
  <c r="N73" i="15" s="1"/>
  <c r="M60" i="15"/>
  <c r="M62" i="15"/>
  <c r="N62" i="15" s="1"/>
  <c r="M64" i="15"/>
  <c r="N64" i="15" s="1"/>
  <c r="M66" i="15"/>
  <c r="N66" i="15" s="1"/>
  <c r="M68" i="15"/>
  <c r="N68" i="15" s="1"/>
  <c r="M70" i="15"/>
  <c r="N70" i="15" s="1"/>
  <c r="M72" i="15"/>
  <c r="N72" i="15" s="1"/>
  <c r="M73" i="13"/>
  <c r="N73" i="13" s="1"/>
  <c r="M74" i="13"/>
  <c r="N74" i="13" s="1"/>
  <c r="N63" i="12"/>
  <c r="N61" i="12"/>
  <c r="M65" i="12"/>
  <c r="N65" i="12" s="1"/>
  <c r="M67" i="12"/>
  <c r="N67" i="12" s="1"/>
  <c r="M69" i="12"/>
  <c r="N69" i="12" s="1"/>
  <c r="M71" i="12"/>
  <c r="N71" i="12" s="1"/>
  <c r="M62" i="12"/>
  <c r="N62" i="12" s="1"/>
  <c r="M64" i="12"/>
  <c r="N64" i="12" s="1"/>
  <c r="M66" i="12"/>
  <c r="N66" i="12" s="1"/>
  <c r="M68" i="12"/>
  <c r="N68" i="12" s="1"/>
  <c r="M70" i="12"/>
  <c r="N70" i="12" s="1"/>
  <c r="M72" i="12"/>
  <c r="N72" i="12" s="1"/>
  <c r="M74" i="12"/>
  <c r="N74" i="12" s="1"/>
  <c r="AH41" i="1"/>
  <c r="D69" i="1"/>
  <c r="E69" i="1"/>
  <c r="F69" i="1"/>
  <c r="G69" i="1"/>
  <c r="B70" i="1"/>
  <c r="F70" i="1"/>
  <c r="B71" i="1"/>
  <c r="C71" i="1"/>
  <c r="E71" i="1"/>
  <c r="F71" i="1"/>
  <c r="G71" i="1"/>
  <c r="E72" i="1"/>
  <c r="B73" i="1"/>
  <c r="C73" i="1"/>
  <c r="D73" i="1"/>
  <c r="E73" i="1"/>
  <c r="F73" i="1"/>
  <c r="G73" i="1"/>
  <c r="D74" i="1"/>
  <c r="B75" i="1"/>
  <c r="C75" i="1"/>
  <c r="D75" i="1"/>
  <c r="E75" i="1"/>
  <c r="F75" i="1"/>
  <c r="G75" i="1"/>
  <c r="E59" i="1"/>
  <c r="G59" i="1"/>
  <c r="B60" i="1"/>
  <c r="E60" i="1"/>
  <c r="F60" i="1"/>
  <c r="B61" i="1"/>
  <c r="F61" i="1"/>
  <c r="D62" i="1"/>
  <c r="E62" i="1"/>
  <c r="C63" i="1"/>
  <c r="E63" i="1"/>
  <c r="G63" i="1"/>
  <c r="C64" i="1"/>
  <c r="D64" i="1"/>
  <c r="G64" i="1"/>
  <c r="B65" i="1"/>
  <c r="D65" i="1"/>
  <c r="F65" i="1"/>
  <c r="B49" i="1"/>
  <c r="D49" i="1"/>
  <c r="E49" i="1"/>
  <c r="F49" i="1"/>
  <c r="G49" i="1"/>
  <c r="B51" i="1"/>
  <c r="C51" i="1"/>
  <c r="D51" i="1"/>
  <c r="E51" i="1"/>
  <c r="F51" i="1"/>
  <c r="G51" i="1"/>
  <c r="B53" i="1"/>
  <c r="C53" i="1"/>
  <c r="D53" i="1"/>
  <c r="E53" i="1"/>
  <c r="F53" i="1"/>
  <c r="G53" i="1"/>
  <c r="B55" i="1"/>
  <c r="C55" i="1"/>
  <c r="D55" i="1"/>
  <c r="E55" i="1"/>
  <c r="F55" i="1"/>
  <c r="X25" i="1"/>
  <c r="G68" i="1" s="1"/>
  <c r="V25" i="1"/>
  <c r="F68" i="1" s="1"/>
  <c r="T25" i="1"/>
  <c r="E68" i="1" s="1"/>
  <c r="R25" i="1"/>
  <c r="D68" i="1" s="1"/>
  <c r="N25" i="1"/>
  <c r="B68" i="1" s="1"/>
  <c r="X14" i="1"/>
  <c r="G58" i="1" s="1"/>
  <c r="V14" i="1"/>
  <c r="F58" i="1" s="1"/>
  <c r="T14" i="1"/>
  <c r="E58" i="1" s="1"/>
  <c r="R14" i="1"/>
  <c r="D58" i="1" s="1"/>
  <c r="P14" i="1"/>
  <c r="C58" i="1" s="1"/>
  <c r="N14" i="1"/>
  <c r="B58" i="1" s="1"/>
  <c r="G48" i="1"/>
  <c r="F48" i="1"/>
  <c r="E48" i="1"/>
  <c r="D48" i="1"/>
  <c r="C48" i="1"/>
  <c r="B48" i="1"/>
  <c r="V154" i="21"/>
  <c r="B59" i="1" l="1"/>
  <c r="G70" i="1"/>
  <c r="F54" i="1"/>
  <c r="B52" i="1"/>
  <c r="E50" i="1"/>
  <c r="G60" i="1"/>
  <c r="C59" i="1"/>
  <c r="G74" i="1"/>
  <c r="F74" i="1"/>
  <c r="C50" i="1"/>
  <c r="B64" i="1"/>
  <c r="E74" i="1"/>
  <c r="C72" i="1"/>
  <c r="C69" i="1"/>
  <c r="E61" i="1"/>
  <c r="C54" i="1"/>
  <c r="B50" i="1"/>
  <c r="E65" i="1"/>
  <c r="D61" i="1"/>
  <c r="B72" i="1"/>
  <c r="D71" i="1"/>
  <c r="B69" i="1"/>
  <c r="G52" i="1"/>
  <c r="G55" i="1"/>
  <c r="B54" i="1"/>
  <c r="F52" i="1"/>
  <c r="F64" i="1"/>
  <c r="B63" i="1"/>
  <c r="C62" i="1"/>
  <c r="C61" i="1"/>
  <c r="F59" i="1"/>
  <c r="E70" i="1"/>
  <c r="E54" i="1"/>
  <c r="D54" i="1"/>
  <c r="E52" i="1"/>
  <c r="C49" i="1"/>
  <c r="E64" i="1"/>
  <c r="B62" i="1"/>
  <c r="D60" i="1"/>
  <c r="C74" i="1"/>
  <c r="G72" i="1"/>
  <c r="D70" i="1"/>
  <c r="D63" i="1"/>
  <c r="D52" i="1"/>
  <c r="G50" i="1"/>
  <c r="C65" i="1"/>
  <c r="F63" i="1"/>
  <c r="G62" i="1"/>
  <c r="G61" i="1"/>
  <c r="C60" i="1"/>
  <c r="B74" i="1"/>
  <c r="F72" i="1"/>
  <c r="C70" i="1"/>
  <c r="D50" i="1"/>
  <c r="D72" i="1"/>
  <c r="G54" i="1"/>
  <c r="C52" i="1"/>
  <c r="F50" i="1"/>
  <c r="F62" i="1"/>
  <c r="D59" i="1"/>
  <c r="G65" i="1"/>
  <c r="H81" i="1"/>
  <c r="AA50" i="1"/>
  <c r="H91" i="1" s="1"/>
  <c r="AA40" i="1" l="1"/>
  <c r="H82" i="1" s="1"/>
  <c r="AA51" i="1"/>
  <c r="H92" i="1" s="1"/>
  <c r="C17" i="21"/>
  <c r="AA41" i="1" l="1"/>
  <c r="H83" i="1" s="1"/>
  <c r="AA52" i="1"/>
  <c r="H93" i="1" s="1"/>
  <c r="C16" i="21"/>
  <c r="AA42" i="1" l="1"/>
  <c r="H84" i="1" s="1"/>
  <c r="AA53" i="1"/>
  <c r="H94" i="1" s="1"/>
  <c r="Y180" i="21"/>
  <c r="P180" i="21" s="1"/>
  <c r="AB180" i="21"/>
  <c r="V180" i="21"/>
  <c r="Q180" i="21" s="1"/>
  <c r="Y179" i="21"/>
  <c r="P179" i="21" s="1"/>
  <c r="AB179" i="21"/>
  <c r="V179" i="21"/>
  <c r="Q179" i="21" s="1"/>
  <c r="Y178" i="21"/>
  <c r="P178" i="21" s="1"/>
  <c r="AB178" i="21"/>
  <c r="V178" i="21"/>
  <c r="Q178" i="21" s="1"/>
  <c r="Y177" i="21"/>
  <c r="P177" i="21" s="1"/>
  <c r="AB177" i="21"/>
  <c r="V177" i="21"/>
  <c r="Q177" i="21" s="1"/>
  <c r="Y176" i="21"/>
  <c r="P176" i="21" s="1"/>
  <c r="AB176" i="21"/>
  <c r="V176" i="21"/>
  <c r="Q176" i="21" s="1"/>
  <c r="Y175" i="21"/>
  <c r="P175" i="21" s="1"/>
  <c r="AB175" i="21"/>
  <c r="V175" i="21"/>
  <c r="Q175" i="21" s="1"/>
  <c r="Y174" i="21"/>
  <c r="P174" i="21" s="1"/>
  <c r="AB174" i="21"/>
  <c r="V174" i="21"/>
  <c r="Q174" i="21" s="1"/>
  <c r="Y173" i="21"/>
  <c r="P173" i="21" s="1"/>
  <c r="AB173" i="21"/>
  <c r="V173" i="21"/>
  <c r="Q173" i="21" s="1"/>
  <c r="Y172" i="21"/>
  <c r="P172" i="21" s="1"/>
  <c r="AB172" i="21"/>
  <c r="V172" i="21"/>
  <c r="Q172" i="21" s="1"/>
  <c r="Y171" i="21"/>
  <c r="P171" i="21" s="1"/>
  <c r="AB171" i="21"/>
  <c r="V171" i="21"/>
  <c r="Q171" i="21" s="1"/>
  <c r="Y170" i="21"/>
  <c r="P170" i="21" s="1"/>
  <c r="AB170" i="21"/>
  <c r="V170" i="21"/>
  <c r="Q170" i="21" s="1"/>
  <c r="Y169" i="21"/>
  <c r="AB169" i="21"/>
  <c r="V169" i="21"/>
  <c r="Q169" i="21" s="1"/>
  <c r="P169" i="21"/>
  <c r="Y168" i="21"/>
  <c r="P168" i="21" s="1"/>
  <c r="AB168" i="21"/>
  <c r="V168" i="21"/>
  <c r="Q168" i="21" s="1"/>
  <c r="Y167" i="21"/>
  <c r="AB167" i="21"/>
  <c r="V167" i="21"/>
  <c r="Q167" i="21" s="1"/>
  <c r="P167" i="21"/>
  <c r="Y166" i="21"/>
  <c r="P166" i="21" s="1"/>
  <c r="AB166" i="21"/>
  <c r="V166" i="21"/>
  <c r="Q166" i="21" s="1"/>
  <c r="P25" i="1" l="1"/>
  <c r="C68" i="1" s="1"/>
  <c r="C16" i="20"/>
  <c r="C16" i="19"/>
  <c r="C16" i="18"/>
  <c r="C16" i="17"/>
  <c r="C16" i="15"/>
  <c r="C16" i="14"/>
  <c r="C16" i="13"/>
  <c r="C16" i="12"/>
  <c r="K36" i="21"/>
  <c r="K54" i="21" s="1"/>
  <c r="K90" i="21" s="1"/>
  <c r="K126" i="21" s="1"/>
  <c r="K162" i="21" s="1"/>
  <c r="K180" i="21" l="1"/>
  <c r="R180" i="21" s="1"/>
  <c r="AA33" i="1"/>
  <c r="AA54" i="1" s="1"/>
  <c r="AA22" i="1"/>
  <c r="AA43" i="1" s="1"/>
  <c r="Y33" i="1"/>
  <c r="U33" i="1"/>
  <c r="Q33" i="1"/>
  <c r="Y22" i="1"/>
  <c r="U22" i="1"/>
  <c r="Q22" i="1"/>
  <c r="Y11" i="1"/>
  <c r="U11" i="1"/>
  <c r="Q11" i="1"/>
  <c r="S22" i="1"/>
  <c r="S33" i="1" s="1"/>
  <c r="S43" i="1" s="1"/>
  <c r="S54" i="1" s="1"/>
  <c r="W11" i="1"/>
  <c r="W22" i="1" s="1"/>
  <c r="W33" i="1" s="1"/>
  <c r="W43" i="1" s="1"/>
  <c r="W54" i="1" s="1"/>
  <c r="M33" i="1"/>
  <c r="M22" i="1"/>
  <c r="M11" i="1"/>
  <c r="AH42" i="1" l="1"/>
  <c r="AF42" i="1"/>
  <c r="AD42" i="1"/>
  <c r="AG42" i="1"/>
  <c r="AE42" i="1"/>
  <c r="AC42" i="1"/>
  <c r="B9" i="1"/>
  <c r="Z25" i="1" l="1"/>
  <c r="AA26" i="1" s="1"/>
  <c r="Y25" i="1"/>
  <c r="W25" i="1"/>
  <c r="U25" i="1"/>
  <c r="S25" i="1"/>
  <c r="Q25" i="1"/>
  <c r="O25" i="1"/>
  <c r="Z14" i="1"/>
  <c r="AA15" i="1" s="1"/>
  <c r="Y14" i="1"/>
  <c r="W14" i="1"/>
  <c r="U14" i="1"/>
  <c r="S14" i="1"/>
  <c r="Q14" i="1"/>
  <c r="O14" i="1"/>
  <c r="Z3" i="1"/>
  <c r="AA4" i="1" s="1"/>
  <c r="Y3" i="1"/>
  <c r="W3" i="1"/>
  <c r="U3" i="1"/>
  <c r="S3" i="1"/>
  <c r="Q3" i="1"/>
  <c r="O3" i="1"/>
  <c r="H49" i="1" l="1"/>
  <c r="AA5" i="1"/>
  <c r="H50" i="1" s="1"/>
  <c r="AA27" i="1"/>
  <c r="H69" i="1"/>
  <c r="AA16" i="1"/>
  <c r="H59" i="1"/>
  <c r="Y90" i="21"/>
  <c r="P90" i="21" s="1"/>
  <c r="AB90" i="21"/>
  <c r="V90" i="21"/>
  <c r="Q90" i="21" s="1"/>
  <c r="R90" i="21" s="1"/>
  <c r="Y89" i="21"/>
  <c r="P89" i="21" s="1"/>
  <c r="AB89" i="21"/>
  <c r="V89" i="21"/>
  <c r="Q89" i="21" s="1"/>
  <c r="Y88" i="21"/>
  <c r="P88" i="21" s="1"/>
  <c r="AB88" i="21"/>
  <c r="V88" i="21"/>
  <c r="Q88" i="21" s="1"/>
  <c r="Y87" i="21"/>
  <c r="P87" i="21" s="1"/>
  <c r="AB87" i="21"/>
  <c r="V87" i="21"/>
  <c r="Q87" i="21" s="1"/>
  <c r="Y86" i="21"/>
  <c r="P86" i="21" s="1"/>
  <c r="AB86" i="21"/>
  <c r="V86" i="21"/>
  <c r="Q86" i="21" s="1"/>
  <c r="Y85" i="21"/>
  <c r="P85" i="21" s="1"/>
  <c r="AB85" i="21"/>
  <c r="V85" i="21"/>
  <c r="Q85" i="21" s="1"/>
  <c r="Y84" i="21"/>
  <c r="P84" i="21" s="1"/>
  <c r="AB84" i="21"/>
  <c r="V84" i="21"/>
  <c r="Q84" i="21" s="1"/>
  <c r="Y83" i="21"/>
  <c r="P83" i="21" s="1"/>
  <c r="AB83" i="21"/>
  <c r="V83" i="21"/>
  <c r="Q83" i="21" s="1"/>
  <c r="Y82" i="21"/>
  <c r="P82" i="21" s="1"/>
  <c r="AB82" i="21"/>
  <c r="V82" i="21"/>
  <c r="Q82" i="21" s="1"/>
  <c r="Y81" i="21"/>
  <c r="P81" i="21" s="1"/>
  <c r="AB81" i="21"/>
  <c r="V81" i="21"/>
  <c r="Q81" i="21" s="1"/>
  <c r="Y80" i="21"/>
  <c r="P80" i="21" s="1"/>
  <c r="AB80" i="21"/>
  <c r="V80" i="21"/>
  <c r="Q80" i="21" s="1"/>
  <c r="Y79" i="21"/>
  <c r="P79" i="21" s="1"/>
  <c r="AB79" i="21"/>
  <c r="V79" i="21"/>
  <c r="Q79" i="21" s="1"/>
  <c r="Y78" i="21"/>
  <c r="P78" i="21" s="1"/>
  <c r="AB78" i="21"/>
  <c r="V78" i="21"/>
  <c r="Q78" i="21" s="1"/>
  <c r="Y77" i="21"/>
  <c r="P77" i="21" s="1"/>
  <c r="AB77" i="21"/>
  <c r="V77" i="21"/>
  <c r="Q77" i="21" s="1"/>
  <c r="R77" i="21" s="1"/>
  <c r="Y76" i="21"/>
  <c r="P76" i="21" s="1"/>
  <c r="AB76" i="21"/>
  <c r="V76" i="21"/>
  <c r="Q76" i="21" s="1"/>
  <c r="Y162" i="21"/>
  <c r="P162" i="21" s="1"/>
  <c r="AB162" i="21"/>
  <c r="V162" i="21"/>
  <c r="Q162" i="21" s="1"/>
  <c r="R162" i="21" s="1"/>
  <c r="Y161" i="21"/>
  <c r="P161" i="21" s="1"/>
  <c r="AB161" i="21"/>
  <c r="V161" i="21"/>
  <c r="Q161" i="21" s="1"/>
  <c r="Y160" i="21"/>
  <c r="P160" i="21" s="1"/>
  <c r="AB160" i="21"/>
  <c r="V160" i="21"/>
  <c r="Q160" i="21" s="1"/>
  <c r="Y159" i="21"/>
  <c r="P159" i="21" s="1"/>
  <c r="AB159" i="21"/>
  <c r="V159" i="21"/>
  <c r="Q159" i="21" s="1"/>
  <c r="Y158" i="21"/>
  <c r="P158" i="21" s="1"/>
  <c r="AB158" i="21"/>
  <c r="V158" i="21"/>
  <c r="Q158" i="21" s="1"/>
  <c r="Y157" i="21"/>
  <c r="P157" i="21" s="1"/>
  <c r="AB157" i="21"/>
  <c r="V157" i="21"/>
  <c r="Q157" i="21" s="1"/>
  <c r="Y156" i="21"/>
  <c r="P156" i="21" s="1"/>
  <c r="AB156" i="21"/>
  <c r="V156" i="21"/>
  <c r="Q156" i="21" s="1"/>
  <c r="Y155" i="21"/>
  <c r="P155" i="21" s="1"/>
  <c r="AB155" i="21"/>
  <c r="V155" i="21"/>
  <c r="Q155" i="21" s="1"/>
  <c r="Y154" i="21"/>
  <c r="P154" i="21" s="1"/>
  <c r="AB154" i="21"/>
  <c r="Q154" i="21"/>
  <c r="Y153" i="21"/>
  <c r="P153" i="21" s="1"/>
  <c r="AB153" i="21"/>
  <c r="V153" i="21"/>
  <c r="Q153" i="21" s="1"/>
  <c r="Y152" i="21"/>
  <c r="P152" i="21" s="1"/>
  <c r="AB152" i="21"/>
  <c r="V152" i="21"/>
  <c r="Q152" i="21" s="1"/>
  <c r="Y151" i="21"/>
  <c r="P151" i="21" s="1"/>
  <c r="AB151" i="21"/>
  <c r="V151" i="21"/>
  <c r="Q151" i="21" s="1"/>
  <c r="Y150" i="21"/>
  <c r="P150" i="21" s="1"/>
  <c r="AB150" i="21"/>
  <c r="V150" i="21"/>
  <c r="Q150" i="21" s="1"/>
  <c r="Y149" i="21"/>
  <c r="P149" i="21" s="1"/>
  <c r="AB149" i="21"/>
  <c r="V149" i="21"/>
  <c r="Q149" i="21" s="1"/>
  <c r="Y148" i="21"/>
  <c r="P148" i="21" s="1"/>
  <c r="AB148" i="21"/>
  <c r="V148" i="21"/>
  <c r="Q148" i="21" s="1"/>
  <c r="Y72" i="21"/>
  <c r="P72" i="21" s="1"/>
  <c r="AB72" i="21"/>
  <c r="V72" i="21"/>
  <c r="Q72" i="21" s="1"/>
  <c r="R72" i="21" s="1"/>
  <c r="Y71" i="21"/>
  <c r="P71" i="21" s="1"/>
  <c r="AB71" i="21"/>
  <c r="V71" i="21"/>
  <c r="Q71" i="21" s="1"/>
  <c r="Y70" i="21"/>
  <c r="P70" i="21" s="1"/>
  <c r="AB70" i="21"/>
  <c r="V70" i="21"/>
  <c r="Q70" i="21" s="1"/>
  <c r="Y69" i="21"/>
  <c r="P69" i="21" s="1"/>
  <c r="AB69" i="21"/>
  <c r="V69" i="21"/>
  <c r="Q69" i="21" s="1"/>
  <c r="Y68" i="21"/>
  <c r="P68" i="21" s="1"/>
  <c r="AB68" i="21"/>
  <c r="V68" i="21"/>
  <c r="Q68" i="21" s="1"/>
  <c r="Y67" i="21"/>
  <c r="P67" i="21" s="1"/>
  <c r="AB67" i="21"/>
  <c r="V67" i="21"/>
  <c r="Q67" i="21" s="1"/>
  <c r="Y66" i="21"/>
  <c r="P66" i="21" s="1"/>
  <c r="AB66" i="21"/>
  <c r="V66" i="21"/>
  <c r="Q66" i="21" s="1"/>
  <c r="Y65" i="21"/>
  <c r="P65" i="21" s="1"/>
  <c r="AB65" i="21"/>
  <c r="V65" i="21"/>
  <c r="Q65" i="21" s="1"/>
  <c r="Y64" i="21"/>
  <c r="P64" i="21" s="1"/>
  <c r="AB64" i="21"/>
  <c r="V64" i="21"/>
  <c r="Q64" i="21" s="1"/>
  <c r="Y63" i="21"/>
  <c r="P63" i="21" s="1"/>
  <c r="AB63" i="21"/>
  <c r="V63" i="21"/>
  <c r="Q63" i="21" s="1"/>
  <c r="Y62" i="21"/>
  <c r="P62" i="21" s="1"/>
  <c r="AB62" i="21"/>
  <c r="V62" i="21"/>
  <c r="Q62" i="21" s="1"/>
  <c r="Y61" i="21"/>
  <c r="P61" i="21" s="1"/>
  <c r="AB61" i="21"/>
  <c r="V61" i="21"/>
  <c r="Q61" i="21" s="1"/>
  <c r="Y60" i="21"/>
  <c r="P60" i="21" s="1"/>
  <c r="AB60" i="21"/>
  <c r="V60" i="21"/>
  <c r="Q60" i="21" s="1"/>
  <c r="Y59" i="21"/>
  <c r="P59" i="21" s="1"/>
  <c r="AB59" i="21"/>
  <c r="V59" i="21"/>
  <c r="Q59" i="21" s="1"/>
  <c r="R59" i="21" s="1"/>
  <c r="Y58" i="21"/>
  <c r="P58" i="21" s="1"/>
  <c r="AB58" i="21"/>
  <c r="V58" i="21"/>
  <c r="Q58" i="21" s="1"/>
  <c r="Y144" i="21"/>
  <c r="P144" i="21" s="1"/>
  <c r="AB144" i="21"/>
  <c r="V144" i="21"/>
  <c r="Q144" i="21" s="1"/>
  <c r="R144" i="21" s="1"/>
  <c r="Y143" i="21"/>
  <c r="P143" i="21" s="1"/>
  <c r="AB143" i="21"/>
  <c r="V143" i="21"/>
  <c r="Q143" i="21" s="1"/>
  <c r="Y142" i="21"/>
  <c r="P142" i="21" s="1"/>
  <c r="AB142" i="21"/>
  <c r="V142" i="21"/>
  <c r="Q142" i="21" s="1"/>
  <c r="Y141" i="21"/>
  <c r="P141" i="21" s="1"/>
  <c r="AB141" i="21"/>
  <c r="V141" i="21"/>
  <c r="Q141" i="21" s="1"/>
  <c r="Y140" i="21"/>
  <c r="P140" i="21" s="1"/>
  <c r="AB140" i="21"/>
  <c r="V140" i="21"/>
  <c r="Q140" i="21" s="1"/>
  <c r="Y139" i="21"/>
  <c r="P139" i="21" s="1"/>
  <c r="AB139" i="21"/>
  <c r="V139" i="21"/>
  <c r="Q139" i="21" s="1"/>
  <c r="Y138" i="21"/>
  <c r="P138" i="21" s="1"/>
  <c r="AB138" i="21"/>
  <c r="V138" i="21"/>
  <c r="Q138" i="21" s="1"/>
  <c r="Y137" i="21"/>
  <c r="P137" i="21" s="1"/>
  <c r="AB137" i="21"/>
  <c r="V137" i="21"/>
  <c r="Q137" i="21" s="1"/>
  <c r="Y136" i="21"/>
  <c r="P136" i="21" s="1"/>
  <c r="AB136" i="21"/>
  <c r="V136" i="21"/>
  <c r="Q136" i="21" s="1"/>
  <c r="Y135" i="21"/>
  <c r="P135" i="21" s="1"/>
  <c r="AB135" i="21"/>
  <c r="V135" i="21"/>
  <c r="Q135" i="21" s="1"/>
  <c r="Y134" i="21"/>
  <c r="P134" i="21" s="1"/>
  <c r="AB134" i="21"/>
  <c r="V134" i="21"/>
  <c r="Q134" i="21" s="1"/>
  <c r="Y133" i="21"/>
  <c r="P133" i="21" s="1"/>
  <c r="AB133" i="21"/>
  <c r="V133" i="21"/>
  <c r="Q133" i="21" s="1"/>
  <c r="Y132" i="21"/>
  <c r="P132" i="21" s="1"/>
  <c r="AB132" i="21"/>
  <c r="V132" i="21"/>
  <c r="Q132" i="21" s="1"/>
  <c r="Y131" i="21"/>
  <c r="P131" i="21" s="1"/>
  <c r="AB131" i="21"/>
  <c r="V131" i="21"/>
  <c r="Q131" i="21" s="1"/>
  <c r="Y130" i="21"/>
  <c r="P130" i="21" s="1"/>
  <c r="AB130" i="21"/>
  <c r="V130" i="21"/>
  <c r="Q130" i="21" s="1"/>
  <c r="Y54" i="21"/>
  <c r="P54" i="21" s="1"/>
  <c r="AB54" i="21"/>
  <c r="V54" i="21"/>
  <c r="Q54" i="21" s="1"/>
  <c r="R54" i="21" s="1"/>
  <c r="Y53" i="21"/>
  <c r="P53" i="21" s="1"/>
  <c r="AB53" i="21"/>
  <c r="V53" i="21"/>
  <c r="Q53" i="21" s="1"/>
  <c r="Y52" i="21"/>
  <c r="P52" i="21" s="1"/>
  <c r="AB52" i="21"/>
  <c r="V52" i="21"/>
  <c r="Q52" i="21" s="1"/>
  <c r="Y51" i="21"/>
  <c r="P51" i="21" s="1"/>
  <c r="AB51" i="21"/>
  <c r="V51" i="21"/>
  <c r="Q51" i="21" s="1"/>
  <c r="Y50" i="21"/>
  <c r="P50" i="21" s="1"/>
  <c r="AB50" i="21"/>
  <c r="V50" i="21"/>
  <c r="Q50" i="21" s="1"/>
  <c r="Y49" i="21"/>
  <c r="P49" i="21" s="1"/>
  <c r="AB49" i="21"/>
  <c r="V49" i="21"/>
  <c r="Q49" i="21" s="1"/>
  <c r="Y48" i="21"/>
  <c r="P48" i="21" s="1"/>
  <c r="AB48" i="21"/>
  <c r="V48" i="21"/>
  <c r="Q48" i="21" s="1"/>
  <c r="Y47" i="21"/>
  <c r="P47" i="21" s="1"/>
  <c r="AB47" i="21"/>
  <c r="V47" i="21"/>
  <c r="Q47" i="21" s="1"/>
  <c r="Y46" i="21"/>
  <c r="P46" i="21" s="1"/>
  <c r="AB46" i="21"/>
  <c r="V46" i="21"/>
  <c r="Q46" i="21" s="1"/>
  <c r="Y45" i="21"/>
  <c r="P45" i="21" s="1"/>
  <c r="AB45" i="21"/>
  <c r="V45" i="21"/>
  <c r="Q45" i="21" s="1"/>
  <c r="Y44" i="21"/>
  <c r="P44" i="21" s="1"/>
  <c r="AB44" i="21"/>
  <c r="V44" i="21"/>
  <c r="Q44" i="21" s="1"/>
  <c r="Y43" i="21"/>
  <c r="P43" i="21" s="1"/>
  <c r="AB43" i="21"/>
  <c r="V43" i="21"/>
  <c r="Q43" i="21" s="1"/>
  <c r="Y42" i="21"/>
  <c r="P42" i="21" s="1"/>
  <c r="AB42" i="21"/>
  <c r="V42" i="21"/>
  <c r="Q42" i="21" s="1"/>
  <c r="Y41" i="21"/>
  <c r="P41" i="21" s="1"/>
  <c r="AB41" i="21"/>
  <c r="V41" i="21"/>
  <c r="Q41" i="21" s="1"/>
  <c r="Y40" i="21"/>
  <c r="P40" i="21" s="1"/>
  <c r="AB40" i="21"/>
  <c r="V40" i="21"/>
  <c r="Q40" i="21" s="1"/>
  <c r="Y126" i="21"/>
  <c r="P126" i="21" s="1"/>
  <c r="AB126" i="21"/>
  <c r="V126" i="21"/>
  <c r="Q126" i="21" s="1"/>
  <c r="R126" i="21" s="1"/>
  <c r="Y125" i="21"/>
  <c r="P125" i="21" s="1"/>
  <c r="AB125" i="21"/>
  <c r="V125" i="21"/>
  <c r="Q125" i="21" s="1"/>
  <c r="Y124" i="21"/>
  <c r="P124" i="21" s="1"/>
  <c r="AB124" i="21"/>
  <c r="V124" i="21"/>
  <c r="Q124" i="21" s="1"/>
  <c r="Y123" i="21"/>
  <c r="P123" i="21" s="1"/>
  <c r="AB123" i="21"/>
  <c r="V123" i="21"/>
  <c r="Q123" i="21" s="1"/>
  <c r="Y122" i="21"/>
  <c r="P122" i="21" s="1"/>
  <c r="AB122" i="21"/>
  <c r="V122" i="21"/>
  <c r="Q122" i="21" s="1"/>
  <c r="Y121" i="21"/>
  <c r="P121" i="21" s="1"/>
  <c r="AB121" i="21"/>
  <c r="V121" i="21"/>
  <c r="Q121" i="21" s="1"/>
  <c r="Y120" i="21"/>
  <c r="P120" i="21" s="1"/>
  <c r="AB120" i="21"/>
  <c r="V120" i="21"/>
  <c r="Q120" i="21" s="1"/>
  <c r="Y119" i="21"/>
  <c r="P119" i="21" s="1"/>
  <c r="AB119" i="21"/>
  <c r="V119" i="21"/>
  <c r="Q119" i="21" s="1"/>
  <c r="Y118" i="21"/>
  <c r="P118" i="21" s="1"/>
  <c r="AB118" i="21"/>
  <c r="V118" i="21"/>
  <c r="Q118" i="21" s="1"/>
  <c r="Y117" i="21"/>
  <c r="P117" i="21" s="1"/>
  <c r="AB117" i="21"/>
  <c r="V117" i="21"/>
  <c r="Q117" i="21" s="1"/>
  <c r="Y116" i="21"/>
  <c r="P116" i="21" s="1"/>
  <c r="AB116" i="21"/>
  <c r="V116" i="21"/>
  <c r="Q116" i="21" s="1"/>
  <c r="Y115" i="21"/>
  <c r="P115" i="21" s="1"/>
  <c r="AB115" i="21"/>
  <c r="V115" i="21"/>
  <c r="Q115" i="21" s="1"/>
  <c r="Y114" i="21"/>
  <c r="P114" i="21" s="1"/>
  <c r="AB114" i="21"/>
  <c r="V114" i="21"/>
  <c r="Q114" i="21" s="1"/>
  <c r="Y113" i="21"/>
  <c r="P113" i="21" s="1"/>
  <c r="AB113" i="21"/>
  <c r="V113" i="21"/>
  <c r="Q113" i="21" s="1"/>
  <c r="Y112" i="21"/>
  <c r="P112" i="21" s="1"/>
  <c r="AB112" i="21"/>
  <c r="V112" i="21"/>
  <c r="Q112" i="21" s="1"/>
  <c r="Y36" i="21"/>
  <c r="P36" i="21" s="1"/>
  <c r="AB36" i="21"/>
  <c r="V36" i="21"/>
  <c r="Q36" i="21" s="1"/>
  <c r="R36" i="21" s="1"/>
  <c r="Y35" i="21"/>
  <c r="P35" i="21" s="1"/>
  <c r="AB35" i="21"/>
  <c r="V35" i="21"/>
  <c r="Q35" i="21" s="1"/>
  <c r="Y34" i="21"/>
  <c r="P34" i="21" s="1"/>
  <c r="AB34" i="21"/>
  <c r="V34" i="21"/>
  <c r="Q34" i="21" s="1"/>
  <c r="Y33" i="21"/>
  <c r="P33" i="21" s="1"/>
  <c r="AB33" i="21"/>
  <c r="V33" i="21"/>
  <c r="Q33" i="21" s="1"/>
  <c r="Y32" i="21"/>
  <c r="P32" i="21" s="1"/>
  <c r="AB32" i="21"/>
  <c r="V32" i="21"/>
  <c r="Q32" i="21" s="1"/>
  <c r="Y31" i="21"/>
  <c r="P31" i="21" s="1"/>
  <c r="AB31" i="21"/>
  <c r="V31" i="21"/>
  <c r="Q31" i="21" s="1"/>
  <c r="Y30" i="21"/>
  <c r="P30" i="21" s="1"/>
  <c r="AB30" i="21"/>
  <c r="V30" i="21"/>
  <c r="Q30" i="21" s="1"/>
  <c r="Y29" i="21"/>
  <c r="P29" i="21" s="1"/>
  <c r="AB29" i="21"/>
  <c r="V29" i="21"/>
  <c r="Q29" i="21" s="1"/>
  <c r="Y28" i="21"/>
  <c r="P28" i="21" s="1"/>
  <c r="AB28" i="21"/>
  <c r="V28" i="21"/>
  <c r="Q28" i="21" s="1"/>
  <c r="Y27" i="21"/>
  <c r="P27" i="21" s="1"/>
  <c r="AB27" i="21"/>
  <c r="V27" i="21"/>
  <c r="Q27" i="21" s="1"/>
  <c r="Y26" i="21"/>
  <c r="P26" i="21" s="1"/>
  <c r="AB26" i="21"/>
  <c r="V26" i="21"/>
  <c r="Q26" i="21" s="1"/>
  <c r="Y25" i="21"/>
  <c r="P25" i="21" s="1"/>
  <c r="AB25" i="21"/>
  <c r="V25" i="21"/>
  <c r="Q25" i="21" s="1"/>
  <c r="Y24" i="21"/>
  <c r="P24" i="21" s="1"/>
  <c r="AB24" i="21"/>
  <c r="V24" i="21"/>
  <c r="Q24" i="21" s="1"/>
  <c r="Y23" i="21"/>
  <c r="P23" i="21" s="1"/>
  <c r="AB23" i="21"/>
  <c r="V23" i="21"/>
  <c r="Q23" i="21" s="1"/>
  <c r="Y22" i="21"/>
  <c r="P22" i="21" s="1"/>
  <c r="AB22" i="21"/>
  <c r="V22" i="21"/>
  <c r="Q22" i="21" s="1"/>
  <c r="Y108" i="21"/>
  <c r="P108" i="21" s="1"/>
  <c r="AB108" i="21"/>
  <c r="V108" i="21"/>
  <c r="Q108" i="21" s="1"/>
  <c r="R108" i="21" s="1"/>
  <c r="Y107" i="21"/>
  <c r="P107" i="21" s="1"/>
  <c r="AB107" i="21"/>
  <c r="V107" i="21"/>
  <c r="Q107" i="21" s="1"/>
  <c r="Y106" i="21"/>
  <c r="P106" i="21" s="1"/>
  <c r="AB106" i="21"/>
  <c r="V106" i="21"/>
  <c r="Q106" i="21" s="1"/>
  <c r="Y105" i="21"/>
  <c r="P105" i="21" s="1"/>
  <c r="AB105" i="21"/>
  <c r="V105" i="21"/>
  <c r="Q105" i="21" s="1"/>
  <c r="Y104" i="21"/>
  <c r="P104" i="21" s="1"/>
  <c r="AB104" i="21"/>
  <c r="V104" i="21"/>
  <c r="Q104" i="21" s="1"/>
  <c r="Y103" i="21"/>
  <c r="P103" i="21" s="1"/>
  <c r="AB103" i="21"/>
  <c r="V103" i="21"/>
  <c r="Q103" i="21" s="1"/>
  <c r="Y102" i="21"/>
  <c r="P102" i="21" s="1"/>
  <c r="AB102" i="21"/>
  <c r="V102" i="21"/>
  <c r="Q102" i="21" s="1"/>
  <c r="Y101" i="21"/>
  <c r="P101" i="21" s="1"/>
  <c r="AB101" i="21"/>
  <c r="V101" i="21"/>
  <c r="Q101" i="21" s="1"/>
  <c r="Y100" i="21"/>
  <c r="P100" i="21" s="1"/>
  <c r="AB100" i="21"/>
  <c r="V100" i="21"/>
  <c r="Q100" i="21" s="1"/>
  <c r="Y99" i="21"/>
  <c r="P99" i="21" s="1"/>
  <c r="AB99" i="21"/>
  <c r="V99" i="21"/>
  <c r="Q99" i="21" s="1"/>
  <c r="Y98" i="21"/>
  <c r="P98" i="21" s="1"/>
  <c r="AB98" i="21"/>
  <c r="V98" i="21"/>
  <c r="Q98" i="21" s="1"/>
  <c r="Y97" i="21"/>
  <c r="P97" i="21" s="1"/>
  <c r="AB97" i="21"/>
  <c r="V97" i="21"/>
  <c r="Q97" i="21" s="1"/>
  <c r="Y96" i="21"/>
  <c r="P96" i="21" s="1"/>
  <c r="AB96" i="21"/>
  <c r="V96" i="21"/>
  <c r="Q96" i="21" s="1"/>
  <c r="Y95" i="21"/>
  <c r="P95" i="21" s="1"/>
  <c r="AB95" i="21"/>
  <c r="V95" i="21"/>
  <c r="Q95" i="21" s="1"/>
  <c r="Y94" i="21"/>
  <c r="P94" i="21" s="1"/>
  <c r="AB94" i="21"/>
  <c r="V94" i="21"/>
  <c r="Q94" i="21" s="1"/>
  <c r="C16" i="11"/>
  <c r="AA6" i="1" l="1"/>
  <c r="AA28" i="1"/>
  <c r="H70" i="1"/>
  <c r="H60" i="1"/>
  <c r="AA17" i="1"/>
  <c r="H61" i="1" s="1"/>
  <c r="Y5" i="21"/>
  <c r="P5" i="21" s="1"/>
  <c r="Y6" i="21"/>
  <c r="P6" i="21" s="1"/>
  <c r="Y7" i="21"/>
  <c r="P7" i="21" s="1"/>
  <c r="Y8" i="21"/>
  <c r="P8" i="21" s="1"/>
  <c r="Y9" i="21"/>
  <c r="P9" i="21" s="1"/>
  <c r="Y10" i="21"/>
  <c r="P10" i="21" s="1"/>
  <c r="Y11" i="21"/>
  <c r="P11" i="21" s="1"/>
  <c r="Y12" i="21"/>
  <c r="P12" i="21" s="1"/>
  <c r="Y13" i="21"/>
  <c r="P13" i="21" s="1"/>
  <c r="Y14" i="21"/>
  <c r="P14" i="21" s="1"/>
  <c r="Y15" i="21"/>
  <c r="P15" i="21" s="1"/>
  <c r="Y16" i="21"/>
  <c r="P16" i="21" s="1"/>
  <c r="Y17" i="21"/>
  <c r="P17" i="21" s="1"/>
  <c r="Y18" i="21"/>
  <c r="P18" i="21" s="1"/>
  <c r="V5" i="21"/>
  <c r="Q5" i="21" s="1"/>
  <c r="V6" i="21"/>
  <c r="Q6" i="21" s="1"/>
  <c r="V7" i="21"/>
  <c r="Q7" i="21" s="1"/>
  <c r="V8" i="21"/>
  <c r="Q8" i="21" s="1"/>
  <c r="V9" i="21"/>
  <c r="Q9" i="21" s="1"/>
  <c r="V10" i="21"/>
  <c r="Q10" i="21" s="1"/>
  <c r="V11" i="21"/>
  <c r="Q11" i="21" s="1"/>
  <c r="V12" i="21"/>
  <c r="Q12" i="21" s="1"/>
  <c r="V13" i="21"/>
  <c r="Q13" i="21" s="1"/>
  <c r="V14" i="21"/>
  <c r="Q14" i="21" s="1"/>
  <c r="V15" i="21"/>
  <c r="Q15" i="21" s="1"/>
  <c r="V16" i="21"/>
  <c r="Q16" i="21" s="1"/>
  <c r="V17" i="21"/>
  <c r="Q17" i="21" s="1"/>
  <c r="V18" i="21"/>
  <c r="Q18" i="21" s="1"/>
  <c r="AB5" i="21"/>
  <c r="AB6" i="21"/>
  <c r="AB7" i="21"/>
  <c r="AB8" i="21"/>
  <c r="AB9" i="21"/>
  <c r="AB10" i="21"/>
  <c r="AB11" i="21"/>
  <c r="AB12" i="21"/>
  <c r="AB13" i="21"/>
  <c r="AB14" i="21"/>
  <c r="AB15" i="21"/>
  <c r="AB16" i="21"/>
  <c r="AB17" i="21"/>
  <c r="AB18" i="21"/>
  <c r="AB4" i="21"/>
  <c r="C15" i="21"/>
  <c r="AA7" i="1" l="1"/>
  <c r="H51" i="1"/>
  <c r="AA29" i="1"/>
  <c r="H71" i="1"/>
  <c r="AA18" i="1"/>
  <c r="AA19" i="1" s="1"/>
  <c r="C13" i="21"/>
  <c r="G11" i="21" s="1"/>
  <c r="C12" i="21"/>
  <c r="Y4" i="21"/>
  <c r="P4" i="21" s="1"/>
  <c r="V4" i="21"/>
  <c r="Q4" i="21" s="1"/>
  <c r="R18" i="21"/>
  <c r="C11" i="21"/>
  <c r="G170" i="21" s="1"/>
  <c r="C10" i="21"/>
  <c r="C9" i="21"/>
  <c r="C8" i="21"/>
  <c r="C7" i="21"/>
  <c r="C5" i="21"/>
  <c r="C4" i="21"/>
  <c r="C3" i="21"/>
  <c r="C2" i="21"/>
  <c r="AA8" i="1" l="1"/>
  <c r="H52" i="1"/>
  <c r="AA30" i="1"/>
  <c r="H72" i="1"/>
  <c r="L77" i="21"/>
  <c r="M77" i="21" s="1"/>
  <c r="H62" i="1"/>
  <c r="G171" i="21"/>
  <c r="G172" i="21" s="1"/>
  <c r="L180" i="21"/>
  <c r="M180" i="21" s="1"/>
  <c r="G152" i="21"/>
  <c r="G134" i="21"/>
  <c r="G116" i="21"/>
  <c r="G44" i="21"/>
  <c r="G26" i="21"/>
  <c r="G98" i="21"/>
  <c r="G80" i="21"/>
  <c r="G8" i="21"/>
  <c r="G62" i="21"/>
  <c r="L72" i="21"/>
  <c r="M72" i="21" s="1"/>
  <c r="L144" i="21"/>
  <c r="M144" i="21" s="1"/>
  <c r="L108" i="21"/>
  <c r="M108" i="21" s="1"/>
  <c r="L54" i="21"/>
  <c r="M54" i="21" s="1"/>
  <c r="L36" i="21"/>
  <c r="L126" i="21"/>
  <c r="M126" i="21" s="1"/>
  <c r="L90" i="21"/>
  <c r="L162" i="21"/>
  <c r="M162" i="21" s="1"/>
  <c r="L18" i="21"/>
  <c r="M18" i="21" s="1"/>
  <c r="AA9" i="1" l="1"/>
  <c r="H53" i="1"/>
  <c r="AA31" i="1"/>
  <c r="H73" i="1"/>
  <c r="AA20" i="1"/>
  <c r="H63" i="1"/>
  <c r="G81" i="21"/>
  <c r="N77" i="21" s="1"/>
  <c r="O77" i="21" s="1"/>
  <c r="G99" i="21"/>
  <c r="G27" i="21"/>
  <c r="G45" i="21"/>
  <c r="G117" i="21"/>
  <c r="G63" i="21"/>
  <c r="G135" i="21"/>
  <c r="G9" i="21"/>
  <c r="G153" i="21"/>
  <c r="M90" i="21"/>
  <c r="M36" i="21"/>
  <c r="D51" i="20"/>
  <c r="L17" i="20" s="1"/>
  <c r="D50" i="20"/>
  <c r="M17" i="20" s="1"/>
  <c r="N17" i="20" s="1"/>
  <c r="D49" i="20"/>
  <c r="L16" i="20" s="1"/>
  <c r="D48" i="20"/>
  <c r="M16" i="20" s="1"/>
  <c r="N16" i="20" s="1"/>
  <c r="D47" i="20"/>
  <c r="L15" i="20" s="1"/>
  <c r="D46" i="20"/>
  <c r="M15" i="20" s="1"/>
  <c r="N15" i="20" s="1"/>
  <c r="D45" i="20"/>
  <c r="L14" i="20" s="1"/>
  <c r="D44" i="20"/>
  <c r="M14" i="20" s="1"/>
  <c r="N14" i="20" s="1"/>
  <c r="D43" i="20"/>
  <c r="L13" i="20" s="1"/>
  <c r="D42" i="20"/>
  <c r="M13" i="20" s="1"/>
  <c r="N13" i="20" s="1"/>
  <c r="D41" i="20"/>
  <c r="L12" i="20" s="1"/>
  <c r="D40" i="20"/>
  <c r="M12" i="20" s="1"/>
  <c r="N12" i="20" s="1"/>
  <c r="D39" i="20"/>
  <c r="L11" i="20" s="1"/>
  <c r="D38" i="20"/>
  <c r="M11" i="20" s="1"/>
  <c r="N11" i="20" s="1"/>
  <c r="D37" i="20"/>
  <c r="L10" i="20" s="1"/>
  <c r="D36" i="20"/>
  <c r="M10" i="20" s="1"/>
  <c r="N10" i="20" s="1"/>
  <c r="D35" i="20"/>
  <c r="L9" i="20" s="1"/>
  <c r="D34" i="20"/>
  <c r="M9" i="20" s="1"/>
  <c r="N9" i="20" s="1"/>
  <c r="D33" i="20"/>
  <c r="L8" i="20" s="1"/>
  <c r="D32" i="20"/>
  <c r="M8" i="20" s="1"/>
  <c r="N8" i="20" s="1"/>
  <c r="D31" i="20"/>
  <c r="L7" i="20" s="1"/>
  <c r="D30" i="20"/>
  <c r="M7" i="20" s="1"/>
  <c r="N7" i="20" s="1"/>
  <c r="D29" i="20"/>
  <c r="L6" i="20" s="1"/>
  <c r="D28" i="20"/>
  <c r="M6" i="20" s="1"/>
  <c r="N6" i="20" s="1"/>
  <c r="D27" i="20"/>
  <c r="L5" i="20" s="1"/>
  <c r="D26" i="20"/>
  <c r="M5" i="20" s="1"/>
  <c r="N5" i="20" s="1"/>
  <c r="D25" i="20"/>
  <c r="L4" i="20" s="1"/>
  <c r="D24" i="20"/>
  <c r="M4" i="20" s="1"/>
  <c r="N4" i="20" s="1"/>
  <c r="D23" i="20"/>
  <c r="L3" i="20" s="1"/>
  <c r="D22" i="20"/>
  <c r="M3" i="20" s="1"/>
  <c r="C14" i="20"/>
  <c r="C17" i="20" s="1"/>
  <c r="C13" i="20"/>
  <c r="C12" i="20"/>
  <c r="C11" i="20"/>
  <c r="C10" i="20"/>
  <c r="C7" i="20"/>
  <c r="C6" i="20"/>
  <c r="C5" i="20"/>
  <c r="C4" i="20"/>
  <c r="D51" i="19"/>
  <c r="L17" i="19" s="1"/>
  <c r="D50" i="19"/>
  <c r="M17" i="19" s="1"/>
  <c r="N17" i="19" s="1"/>
  <c r="D49" i="19"/>
  <c r="L16" i="19" s="1"/>
  <c r="D48" i="19"/>
  <c r="M16" i="19" s="1"/>
  <c r="N16" i="19" s="1"/>
  <c r="D47" i="19"/>
  <c r="L15" i="19" s="1"/>
  <c r="D46" i="19"/>
  <c r="M15" i="19" s="1"/>
  <c r="N15" i="19" s="1"/>
  <c r="D45" i="19"/>
  <c r="L14" i="19" s="1"/>
  <c r="D44" i="19"/>
  <c r="M14" i="19" s="1"/>
  <c r="N14" i="19" s="1"/>
  <c r="D43" i="19"/>
  <c r="L13" i="19" s="1"/>
  <c r="D42" i="19"/>
  <c r="M13" i="19" s="1"/>
  <c r="N13" i="19" s="1"/>
  <c r="D41" i="19"/>
  <c r="L12" i="19" s="1"/>
  <c r="D40" i="19"/>
  <c r="M12" i="19" s="1"/>
  <c r="N12" i="19" s="1"/>
  <c r="D39" i="19"/>
  <c r="L11" i="19" s="1"/>
  <c r="D38" i="19"/>
  <c r="M11" i="19" s="1"/>
  <c r="N11" i="19" s="1"/>
  <c r="D37" i="19"/>
  <c r="L10" i="19" s="1"/>
  <c r="D36" i="19"/>
  <c r="M10" i="19" s="1"/>
  <c r="N10" i="19" s="1"/>
  <c r="D35" i="19"/>
  <c r="L9" i="19" s="1"/>
  <c r="D34" i="19"/>
  <c r="M9" i="19" s="1"/>
  <c r="N9" i="19" s="1"/>
  <c r="D33" i="19"/>
  <c r="L8" i="19" s="1"/>
  <c r="D32" i="19"/>
  <c r="M8" i="19" s="1"/>
  <c r="N8" i="19" s="1"/>
  <c r="D31" i="19"/>
  <c r="L7" i="19" s="1"/>
  <c r="D30" i="19"/>
  <c r="M7" i="19" s="1"/>
  <c r="N7" i="19" s="1"/>
  <c r="D29" i="19"/>
  <c r="L6" i="19" s="1"/>
  <c r="D28" i="19"/>
  <c r="M6" i="19" s="1"/>
  <c r="N6" i="19" s="1"/>
  <c r="D27" i="19"/>
  <c r="L5" i="19" s="1"/>
  <c r="D26" i="19"/>
  <c r="M5" i="19" s="1"/>
  <c r="N5" i="19" s="1"/>
  <c r="D25" i="19"/>
  <c r="L4" i="19" s="1"/>
  <c r="D24" i="19"/>
  <c r="M4" i="19" s="1"/>
  <c r="N4" i="19" s="1"/>
  <c r="D23" i="19"/>
  <c r="L3" i="19" s="1"/>
  <c r="D22" i="19"/>
  <c r="M3" i="19" s="1"/>
  <c r="C14" i="19"/>
  <c r="C17" i="19" s="1"/>
  <c r="C13" i="19"/>
  <c r="C12" i="19"/>
  <c r="C11" i="19"/>
  <c r="C10" i="19"/>
  <c r="C7" i="19"/>
  <c r="C6" i="19"/>
  <c r="C5" i="19"/>
  <c r="C4" i="19"/>
  <c r="D51" i="18"/>
  <c r="L17" i="18" s="1"/>
  <c r="D50" i="18"/>
  <c r="M17" i="18" s="1"/>
  <c r="N17" i="18" s="1"/>
  <c r="D49" i="18"/>
  <c r="L16" i="18" s="1"/>
  <c r="D48" i="18"/>
  <c r="M16" i="18" s="1"/>
  <c r="N16" i="18" s="1"/>
  <c r="D47" i="18"/>
  <c r="L15" i="18" s="1"/>
  <c r="D46" i="18"/>
  <c r="M15" i="18" s="1"/>
  <c r="N15" i="18" s="1"/>
  <c r="D45" i="18"/>
  <c r="L14" i="18" s="1"/>
  <c r="D44" i="18"/>
  <c r="M14" i="18" s="1"/>
  <c r="N14" i="18" s="1"/>
  <c r="D43" i="18"/>
  <c r="L13" i="18" s="1"/>
  <c r="D42" i="18"/>
  <c r="M13" i="18" s="1"/>
  <c r="N13" i="18" s="1"/>
  <c r="D41" i="18"/>
  <c r="L12" i="18" s="1"/>
  <c r="D40" i="18"/>
  <c r="M12" i="18" s="1"/>
  <c r="N12" i="18" s="1"/>
  <c r="D39" i="18"/>
  <c r="L11" i="18" s="1"/>
  <c r="D38" i="18"/>
  <c r="M11" i="18" s="1"/>
  <c r="N11" i="18" s="1"/>
  <c r="D37" i="18"/>
  <c r="L10" i="18" s="1"/>
  <c r="D36" i="18"/>
  <c r="M10" i="18" s="1"/>
  <c r="N10" i="18" s="1"/>
  <c r="D35" i="18"/>
  <c r="L9" i="18" s="1"/>
  <c r="D34" i="18"/>
  <c r="M9" i="18" s="1"/>
  <c r="N9" i="18" s="1"/>
  <c r="D33" i="18"/>
  <c r="L8" i="18" s="1"/>
  <c r="D32" i="18"/>
  <c r="M8" i="18" s="1"/>
  <c r="N8" i="18" s="1"/>
  <c r="D31" i="18"/>
  <c r="L7" i="18" s="1"/>
  <c r="D30" i="18"/>
  <c r="M7" i="18" s="1"/>
  <c r="N7" i="18" s="1"/>
  <c r="D29" i="18"/>
  <c r="L6" i="18" s="1"/>
  <c r="D28" i="18"/>
  <c r="M6" i="18" s="1"/>
  <c r="N6" i="18" s="1"/>
  <c r="D27" i="18"/>
  <c r="L5" i="18" s="1"/>
  <c r="D26" i="18"/>
  <c r="M5" i="18" s="1"/>
  <c r="N5" i="18" s="1"/>
  <c r="D25" i="18"/>
  <c r="L4" i="18" s="1"/>
  <c r="D24" i="18"/>
  <c r="M4" i="18" s="1"/>
  <c r="N4" i="18" s="1"/>
  <c r="D23" i="18"/>
  <c r="L3" i="18" s="1"/>
  <c r="D22" i="18"/>
  <c r="M3" i="18" s="1"/>
  <c r="C14" i="18"/>
  <c r="C17" i="18" s="1"/>
  <c r="C13" i="18"/>
  <c r="C12" i="18"/>
  <c r="C11" i="18"/>
  <c r="C10" i="18"/>
  <c r="C7" i="18"/>
  <c r="C6" i="18"/>
  <c r="C5" i="18"/>
  <c r="C4" i="18"/>
  <c r="D51" i="17"/>
  <c r="L17" i="17" s="1"/>
  <c r="D50" i="17"/>
  <c r="M17" i="17" s="1"/>
  <c r="N17" i="17" s="1"/>
  <c r="D49" i="17"/>
  <c r="L16" i="17" s="1"/>
  <c r="D48" i="17"/>
  <c r="M16" i="17" s="1"/>
  <c r="N16" i="17" s="1"/>
  <c r="D47" i="17"/>
  <c r="L15" i="17" s="1"/>
  <c r="D46" i="17"/>
  <c r="M15" i="17" s="1"/>
  <c r="N15" i="17" s="1"/>
  <c r="D45" i="17"/>
  <c r="L14" i="17" s="1"/>
  <c r="D44" i="17"/>
  <c r="M14" i="17" s="1"/>
  <c r="N14" i="17" s="1"/>
  <c r="D43" i="17"/>
  <c r="L13" i="17" s="1"/>
  <c r="D42" i="17"/>
  <c r="M13" i="17" s="1"/>
  <c r="N13" i="17" s="1"/>
  <c r="D41" i="17"/>
  <c r="L12" i="17" s="1"/>
  <c r="D40" i="17"/>
  <c r="M12" i="17" s="1"/>
  <c r="N12" i="17" s="1"/>
  <c r="D39" i="17"/>
  <c r="L11" i="17" s="1"/>
  <c r="D38" i="17"/>
  <c r="M11" i="17" s="1"/>
  <c r="N11" i="17" s="1"/>
  <c r="D37" i="17"/>
  <c r="L10" i="17" s="1"/>
  <c r="D36" i="17"/>
  <c r="M10" i="17" s="1"/>
  <c r="N10" i="17" s="1"/>
  <c r="D35" i="17"/>
  <c r="L9" i="17" s="1"/>
  <c r="D34" i="17"/>
  <c r="M9" i="17" s="1"/>
  <c r="N9" i="17" s="1"/>
  <c r="D33" i="17"/>
  <c r="L8" i="17" s="1"/>
  <c r="D32" i="17"/>
  <c r="D31" i="17"/>
  <c r="L7" i="17" s="1"/>
  <c r="D30" i="17"/>
  <c r="M7" i="17" s="1"/>
  <c r="N7" i="17" s="1"/>
  <c r="D29" i="17"/>
  <c r="L6" i="17" s="1"/>
  <c r="D28" i="17"/>
  <c r="M6" i="17" s="1"/>
  <c r="N6" i="17" s="1"/>
  <c r="D27" i="17"/>
  <c r="L5" i="17" s="1"/>
  <c r="D26" i="17"/>
  <c r="M5" i="17" s="1"/>
  <c r="N5" i="17" s="1"/>
  <c r="D25" i="17"/>
  <c r="L4" i="17" s="1"/>
  <c r="D24" i="17"/>
  <c r="M4" i="17" s="1"/>
  <c r="N4" i="17" s="1"/>
  <c r="D23" i="17"/>
  <c r="L3" i="17" s="1"/>
  <c r="D22" i="17"/>
  <c r="M3" i="17" s="1"/>
  <c r="C14" i="17"/>
  <c r="C17" i="17" s="1"/>
  <c r="C13" i="17"/>
  <c r="C12" i="17"/>
  <c r="C11" i="17"/>
  <c r="C10" i="17"/>
  <c r="M8" i="17"/>
  <c r="N8" i="17" s="1"/>
  <c r="C7" i="17"/>
  <c r="C6" i="17"/>
  <c r="C5" i="17"/>
  <c r="C4" i="17"/>
  <c r="D51" i="15"/>
  <c r="L17" i="15" s="1"/>
  <c r="D50" i="15"/>
  <c r="M17" i="15" s="1"/>
  <c r="N17" i="15" s="1"/>
  <c r="D49" i="15"/>
  <c r="L16" i="15" s="1"/>
  <c r="D48" i="15"/>
  <c r="M16" i="15" s="1"/>
  <c r="N16" i="15" s="1"/>
  <c r="D47" i="15"/>
  <c r="L15" i="15" s="1"/>
  <c r="D46" i="15"/>
  <c r="M15" i="15" s="1"/>
  <c r="N15" i="15" s="1"/>
  <c r="D45" i="15"/>
  <c r="L14" i="15" s="1"/>
  <c r="D44" i="15"/>
  <c r="M14" i="15" s="1"/>
  <c r="N14" i="15" s="1"/>
  <c r="D43" i="15"/>
  <c r="L13" i="15" s="1"/>
  <c r="D42" i="15"/>
  <c r="M13" i="15" s="1"/>
  <c r="N13" i="15" s="1"/>
  <c r="D41" i="15"/>
  <c r="L12" i="15" s="1"/>
  <c r="D40" i="15"/>
  <c r="M12" i="15" s="1"/>
  <c r="N12" i="15" s="1"/>
  <c r="D39" i="15"/>
  <c r="L11" i="15" s="1"/>
  <c r="D38" i="15"/>
  <c r="M11" i="15" s="1"/>
  <c r="N11" i="15" s="1"/>
  <c r="D37" i="15"/>
  <c r="L10" i="15" s="1"/>
  <c r="D36" i="15"/>
  <c r="M10" i="15" s="1"/>
  <c r="N10" i="15" s="1"/>
  <c r="D35" i="15"/>
  <c r="L9" i="15" s="1"/>
  <c r="D34" i="15"/>
  <c r="M9" i="15" s="1"/>
  <c r="N9" i="15" s="1"/>
  <c r="D33" i="15"/>
  <c r="L8" i="15" s="1"/>
  <c r="D32" i="15"/>
  <c r="M8" i="15" s="1"/>
  <c r="N8" i="15" s="1"/>
  <c r="D31" i="15"/>
  <c r="L7" i="15" s="1"/>
  <c r="D30" i="15"/>
  <c r="M7" i="15" s="1"/>
  <c r="N7" i="15" s="1"/>
  <c r="D29" i="15"/>
  <c r="L6" i="15" s="1"/>
  <c r="D28" i="15"/>
  <c r="M6" i="15" s="1"/>
  <c r="N6" i="15" s="1"/>
  <c r="D27" i="15"/>
  <c r="L5" i="15" s="1"/>
  <c r="D26" i="15"/>
  <c r="M5" i="15" s="1"/>
  <c r="N5" i="15" s="1"/>
  <c r="D25" i="15"/>
  <c r="L4" i="15" s="1"/>
  <c r="D24" i="15"/>
  <c r="M4" i="15" s="1"/>
  <c r="N4" i="15" s="1"/>
  <c r="D23" i="15"/>
  <c r="L3" i="15" s="1"/>
  <c r="D22" i="15"/>
  <c r="M3" i="15" s="1"/>
  <c r="C14" i="15"/>
  <c r="C17" i="15" s="1"/>
  <c r="C13" i="15"/>
  <c r="C12" i="15"/>
  <c r="C11" i="15"/>
  <c r="C10" i="15"/>
  <c r="C7" i="15"/>
  <c r="C6" i="15"/>
  <c r="C5" i="15"/>
  <c r="C4" i="15"/>
  <c r="D51" i="14"/>
  <c r="L17" i="14" s="1"/>
  <c r="D50" i="14"/>
  <c r="M17" i="14" s="1"/>
  <c r="N17" i="14" s="1"/>
  <c r="D49" i="14"/>
  <c r="L16" i="14" s="1"/>
  <c r="D48" i="14"/>
  <c r="M16" i="14" s="1"/>
  <c r="N16" i="14" s="1"/>
  <c r="D47" i="14"/>
  <c r="L15" i="14" s="1"/>
  <c r="D46" i="14"/>
  <c r="M15" i="14" s="1"/>
  <c r="N15" i="14" s="1"/>
  <c r="D45" i="14"/>
  <c r="L14" i="14" s="1"/>
  <c r="D44" i="14"/>
  <c r="M14" i="14" s="1"/>
  <c r="N14" i="14" s="1"/>
  <c r="D43" i="14"/>
  <c r="L13" i="14" s="1"/>
  <c r="D42" i="14"/>
  <c r="M13" i="14" s="1"/>
  <c r="N13" i="14" s="1"/>
  <c r="D41" i="14"/>
  <c r="L12" i="14" s="1"/>
  <c r="D40" i="14"/>
  <c r="M12" i="14" s="1"/>
  <c r="N12" i="14" s="1"/>
  <c r="D39" i="14"/>
  <c r="L11" i="14" s="1"/>
  <c r="D38" i="14"/>
  <c r="M11" i="14" s="1"/>
  <c r="N11" i="14" s="1"/>
  <c r="D37" i="14"/>
  <c r="L10" i="14" s="1"/>
  <c r="D36" i="14"/>
  <c r="M10" i="14" s="1"/>
  <c r="N10" i="14" s="1"/>
  <c r="D35" i="14"/>
  <c r="L9" i="14" s="1"/>
  <c r="D34" i="14"/>
  <c r="M9" i="14" s="1"/>
  <c r="N9" i="14" s="1"/>
  <c r="D33" i="14"/>
  <c r="L8" i="14" s="1"/>
  <c r="D32" i="14"/>
  <c r="M8" i="14" s="1"/>
  <c r="N8" i="14" s="1"/>
  <c r="D31" i="14"/>
  <c r="L7" i="14" s="1"/>
  <c r="D30" i="14"/>
  <c r="M7" i="14" s="1"/>
  <c r="N7" i="14" s="1"/>
  <c r="D29" i="14"/>
  <c r="L6" i="14" s="1"/>
  <c r="D28" i="14"/>
  <c r="M6" i="14" s="1"/>
  <c r="N6" i="14" s="1"/>
  <c r="D27" i="14"/>
  <c r="L5" i="14" s="1"/>
  <c r="D26" i="14"/>
  <c r="M5" i="14" s="1"/>
  <c r="N5" i="14" s="1"/>
  <c r="D25" i="14"/>
  <c r="L4" i="14" s="1"/>
  <c r="D24" i="14"/>
  <c r="M4" i="14" s="1"/>
  <c r="N4" i="14" s="1"/>
  <c r="D23" i="14"/>
  <c r="L3" i="14" s="1"/>
  <c r="D22" i="14"/>
  <c r="M3" i="14" s="1"/>
  <c r="C14" i="14"/>
  <c r="C17" i="14" s="1"/>
  <c r="C13" i="14"/>
  <c r="C12" i="14"/>
  <c r="C11" i="14"/>
  <c r="C10" i="14"/>
  <c r="C7" i="14"/>
  <c r="C6" i="14"/>
  <c r="C5" i="14"/>
  <c r="C4" i="14"/>
  <c r="D51" i="13"/>
  <c r="L17" i="13" s="1"/>
  <c r="D50" i="13"/>
  <c r="M17" i="13" s="1"/>
  <c r="N17" i="13" s="1"/>
  <c r="D49" i="13"/>
  <c r="L16" i="13" s="1"/>
  <c r="D48" i="13"/>
  <c r="M16" i="13" s="1"/>
  <c r="N16" i="13" s="1"/>
  <c r="D47" i="13"/>
  <c r="L15" i="13" s="1"/>
  <c r="D46" i="13"/>
  <c r="M15" i="13" s="1"/>
  <c r="N15" i="13" s="1"/>
  <c r="D45" i="13"/>
  <c r="L14" i="13" s="1"/>
  <c r="D44" i="13"/>
  <c r="M14" i="13" s="1"/>
  <c r="N14" i="13" s="1"/>
  <c r="D43" i="13"/>
  <c r="L13" i="13" s="1"/>
  <c r="D42" i="13"/>
  <c r="M13" i="13" s="1"/>
  <c r="N13" i="13" s="1"/>
  <c r="D41" i="13"/>
  <c r="L12" i="13" s="1"/>
  <c r="D40" i="13"/>
  <c r="M12" i="13" s="1"/>
  <c r="N12" i="13" s="1"/>
  <c r="D39" i="13"/>
  <c r="L11" i="13" s="1"/>
  <c r="D38" i="13"/>
  <c r="M11" i="13" s="1"/>
  <c r="N11" i="13" s="1"/>
  <c r="D37" i="13"/>
  <c r="L10" i="13" s="1"/>
  <c r="D36" i="13"/>
  <c r="M10" i="13" s="1"/>
  <c r="N10" i="13" s="1"/>
  <c r="D35" i="13"/>
  <c r="L9" i="13" s="1"/>
  <c r="D34" i="13"/>
  <c r="M9" i="13" s="1"/>
  <c r="N9" i="13" s="1"/>
  <c r="D33" i="13"/>
  <c r="L8" i="13" s="1"/>
  <c r="D32" i="13"/>
  <c r="M8" i="13" s="1"/>
  <c r="N8" i="13" s="1"/>
  <c r="D31" i="13"/>
  <c r="L7" i="13" s="1"/>
  <c r="D30" i="13"/>
  <c r="M7" i="13" s="1"/>
  <c r="N7" i="13" s="1"/>
  <c r="D29" i="13"/>
  <c r="L6" i="13" s="1"/>
  <c r="D28" i="13"/>
  <c r="M6" i="13" s="1"/>
  <c r="N6" i="13" s="1"/>
  <c r="D27" i="13"/>
  <c r="L5" i="13" s="1"/>
  <c r="D26" i="13"/>
  <c r="M5" i="13" s="1"/>
  <c r="N5" i="13" s="1"/>
  <c r="D25" i="13"/>
  <c r="L4" i="13" s="1"/>
  <c r="D24" i="13"/>
  <c r="M4" i="13" s="1"/>
  <c r="N4" i="13" s="1"/>
  <c r="D23" i="13"/>
  <c r="L3" i="13" s="1"/>
  <c r="D22" i="13"/>
  <c r="M3" i="13" s="1"/>
  <c r="C14" i="13"/>
  <c r="C17" i="13" s="1"/>
  <c r="C13" i="13"/>
  <c r="C12" i="13"/>
  <c r="C11" i="13"/>
  <c r="C10" i="13"/>
  <c r="C7" i="13"/>
  <c r="C6" i="13"/>
  <c r="C5" i="13"/>
  <c r="C4" i="13"/>
  <c r="D51" i="12"/>
  <c r="L17" i="12" s="1"/>
  <c r="D50" i="12"/>
  <c r="M17" i="12" s="1"/>
  <c r="N17" i="12" s="1"/>
  <c r="D49" i="12"/>
  <c r="L16" i="12" s="1"/>
  <c r="D48" i="12"/>
  <c r="M16" i="12" s="1"/>
  <c r="N16" i="12" s="1"/>
  <c r="D47" i="12"/>
  <c r="L15" i="12" s="1"/>
  <c r="D46" i="12"/>
  <c r="M15" i="12" s="1"/>
  <c r="N15" i="12" s="1"/>
  <c r="D45" i="12"/>
  <c r="L14" i="12" s="1"/>
  <c r="D44" i="12"/>
  <c r="M14" i="12" s="1"/>
  <c r="N14" i="12" s="1"/>
  <c r="D43" i="12"/>
  <c r="L13" i="12" s="1"/>
  <c r="D42" i="12"/>
  <c r="M13" i="12" s="1"/>
  <c r="N13" i="12" s="1"/>
  <c r="D41" i="12"/>
  <c r="L12" i="12" s="1"/>
  <c r="D40" i="12"/>
  <c r="M12" i="12" s="1"/>
  <c r="N12" i="12" s="1"/>
  <c r="D39" i="12"/>
  <c r="L11" i="12" s="1"/>
  <c r="D38" i="12"/>
  <c r="M11" i="12" s="1"/>
  <c r="N11" i="12" s="1"/>
  <c r="D37" i="12"/>
  <c r="L10" i="12" s="1"/>
  <c r="D36" i="12"/>
  <c r="M10" i="12" s="1"/>
  <c r="N10" i="12" s="1"/>
  <c r="D35" i="12"/>
  <c r="L9" i="12" s="1"/>
  <c r="D34" i="12"/>
  <c r="M9" i="12" s="1"/>
  <c r="N9" i="12" s="1"/>
  <c r="D33" i="12"/>
  <c r="L8" i="12" s="1"/>
  <c r="D32" i="12"/>
  <c r="M8" i="12" s="1"/>
  <c r="N8" i="12" s="1"/>
  <c r="D31" i="12"/>
  <c r="L7" i="12" s="1"/>
  <c r="D30" i="12"/>
  <c r="M7" i="12" s="1"/>
  <c r="N7" i="12" s="1"/>
  <c r="D29" i="12"/>
  <c r="L6" i="12" s="1"/>
  <c r="D28" i="12"/>
  <c r="M6" i="12" s="1"/>
  <c r="N6" i="12" s="1"/>
  <c r="D27" i="12"/>
  <c r="L5" i="12" s="1"/>
  <c r="D26" i="12"/>
  <c r="M5" i="12" s="1"/>
  <c r="N5" i="12" s="1"/>
  <c r="D25" i="12"/>
  <c r="L4" i="12" s="1"/>
  <c r="D24" i="12"/>
  <c r="M4" i="12" s="1"/>
  <c r="N4" i="12" s="1"/>
  <c r="D23" i="12"/>
  <c r="L3" i="12" s="1"/>
  <c r="D22" i="12"/>
  <c r="M3" i="12" s="1"/>
  <c r="C14" i="12"/>
  <c r="C17" i="12" s="1"/>
  <c r="C13" i="12"/>
  <c r="C12" i="12"/>
  <c r="C11" i="12"/>
  <c r="C10" i="12"/>
  <c r="C7" i="12"/>
  <c r="C6" i="12"/>
  <c r="C5" i="12"/>
  <c r="C4" i="12"/>
  <c r="AA10" i="1" l="1"/>
  <c r="H55" i="1" s="1"/>
  <c r="H54" i="1"/>
  <c r="AA32" i="1"/>
  <c r="H75" i="1" s="1"/>
  <c r="H74" i="1"/>
  <c r="AA21" i="1"/>
  <c r="H65" i="1" s="1"/>
  <c r="H64" i="1"/>
  <c r="H67" i="14"/>
  <c r="I67" i="14" s="1"/>
  <c r="H68" i="14"/>
  <c r="I68" i="14" s="1"/>
  <c r="H61" i="14"/>
  <c r="I61" i="14" s="1"/>
  <c r="H69" i="14"/>
  <c r="I69" i="14" s="1"/>
  <c r="H62" i="14"/>
  <c r="I62" i="14" s="1"/>
  <c r="H70" i="14"/>
  <c r="I70" i="14" s="1"/>
  <c r="H63" i="14"/>
  <c r="I63" i="14" s="1"/>
  <c r="H71" i="14"/>
  <c r="I71" i="14" s="1"/>
  <c r="H64" i="14"/>
  <c r="I64" i="14" s="1"/>
  <c r="H72" i="14"/>
  <c r="I72" i="14" s="1"/>
  <c r="H65" i="14"/>
  <c r="I65" i="14" s="1"/>
  <c r="H73" i="14"/>
  <c r="I73" i="14" s="1"/>
  <c r="H66" i="14"/>
  <c r="I66" i="14" s="1"/>
  <c r="H74" i="14"/>
  <c r="I74" i="14" s="1"/>
  <c r="H68" i="13"/>
  <c r="I68" i="13" s="1"/>
  <c r="H61" i="13"/>
  <c r="I61" i="13" s="1"/>
  <c r="H69" i="13"/>
  <c r="I69" i="13" s="1"/>
  <c r="H62" i="13"/>
  <c r="I62" i="13" s="1"/>
  <c r="H70" i="13"/>
  <c r="I70" i="13" s="1"/>
  <c r="H63" i="13"/>
  <c r="I63" i="13" s="1"/>
  <c r="H71" i="13"/>
  <c r="I71" i="13" s="1"/>
  <c r="H64" i="13"/>
  <c r="I64" i="13" s="1"/>
  <c r="H72" i="13"/>
  <c r="I72" i="13" s="1"/>
  <c r="H65" i="13"/>
  <c r="I65" i="13" s="1"/>
  <c r="H73" i="13"/>
  <c r="I73" i="13" s="1"/>
  <c r="H66" i="13"/>
  <c r="I66" i="13" s="1"/>
  <c r="H74" i="13"/>
  <c r="I74" i="13" s="1"/>
  <c r="H67" i="13"/>
  <c r="I67" i="13" s="1"/>
  <c r="H61" i="12"/>
  <c r="I61" i="12" s="1"/>
  <c r="H69" i="12"/>
  <c r="I69" i="12" s="1"/>
  <c r="H62" i="12"/>
  <c r="I62" i="12" s="1"/>
  <c r="H70" i="12"/>
  <c r="I70" i="12" s="1"/>
  <c r="H63" i="12"/>
  <c r="I63" i="12" s="1"/>
  <c r="H71" i="12"/>
  <c r="I71" i="12" s="1"/>
  <c r="H64" i="12"/>
  <c r="I64" i="12" s="1"/>
  <c r="H72" i="12"/>
  <c r="I72" i="12" s="1"/>
  <c r="H65" i="12"/>
  <c r="I65" i="12" s="1"/>
  <c r="H73" i="12"/>
  <c r="I73" i="12" s="1"/>
  <c r="H66" i="12"/>
  <c r="I66" i="12" s="1"/>
  <c r="H74" i="12"/>
  <c r="I74" i="12" s="1"/>
  <c r="H67" i="12"/>
  <c r="I67" i="12" s="1"/>
  <c r="H68" i="12"/>
  <c r="I68" i="12" s="1"/>
  <c r="H65" i="20"/>
  <c r="I65" i="20" s="1"/>
  <c r="H71" i="20"/>
  <c r="I71" i="20" s="1"/>
  <c r="H63" i="20"/>
  <c r="I63" i="20" s="1"/>
  <c r="H59" i="20"/>
  <c r="I59" i="20" s="1"/>
  <c r="H69" i="20"/>
  <c r="I69" i="20" s="1"/>
  <c r="H67" i="20"/>
  <c r="I67" i="20" s="1"/>
  <c r="H61" i="20"/>
  <c r="I61" i="20" s="1"/>
  <c r="H68" i="20"/>
  <c r="I68" i="20" s="1"/>
  <c r="H70" i="20"/>
  <c r="I70" i="20" s="1"/>
  <c r="H66" i="20"/>
  <c r="I66" i="20" s="1"/>
  <c r="H64" i="20"/>
  <c r="I64" i="20" s="1"/>
  <c r="H72" i="20"/>
  <c r="I72" i="20" s="1"/>
  <c r="H60" i="20"/>
  <c r="I60" i="20" s="1"/>
  <c r="H62" i="20"/>
  <c r="I62" i="20" s="1"/>
  <c r="H69" i="19"/>
  <c r="I69" i="19" s="1"/>
  <c r="H61" i="19"/>
  <c r="I61" i="19" s="1"/>
  <c r="H70" i="19"/>
  <c r="I70" i="19" s="1"/>
  <c r="H62" i="19"/>
  <c r="I62" i="19" s="1"/>
  <c r="H65" i="19"/>
  <c r="I65" i="19" s="1"/>
  <c r="H68" i="19"/>
  <c r="I68" i="19" s="1"/>
  <c r="H60" i="19"/>
  <c r="I60" i="19" s="1"/>
  <c r="H71" i="19"/>
  <c r="I71" i="19" s="1"/>
  <c r="H63" i="19"/>
  <c r="I63" i="19" s="1"/>
  <c r="H66" i="19"/>
  <c r="I66" i="19" s="1"/>
  <c r="H64" i="19"/>
  <c r="I64" i="19" s="1"/>
  <c r="H67" i="19"/>
  <c r="I67" i="19" s="1"/>
  <c r="H72" i="19"/>
  <c r="I72" i="19" s="1"/>
  <c r="H59" i="19"/>
  <c r="I59" i="19" s="1"/>
  <c r="H69" i="18"/>
  <c r="I69" i="18" s="1"/>
  <c r="H61" i="18"/>
  <c r="I61" i="18" s="1"/>
  <c r="H67" i="18"/>
  <c r="I67" i="18" s="1"/>
  <c r="H59" i="18"/>
  <c r="I59" i="18" s="1"/>
  <c r="H65" i="18"/>
  <c r="I65" i="18" s="1"/>
  <c r="H71" i="18"/>
  <c r="I71" i="18" s="1"/>
  <c r="H63" i="18"/>
  <c r="I63" i="18" s="1"/>
  <c r="H66" i="18"/>
  <c r="I66" i="18" s="1"/>
  <c r="H68" i="18"/>
  <c r="I68" i="18" s="1"/>
  <c r="H60" i="18"/>
  <c r="I60" i="18" s="1"/>
  <c r="H62" i="18"/>
  <c r="I62" i="18" s="1"/>
  <c r="H70" i="18"/>
  <c r="I70" i="18" s="1"/>
  <c r="H64" i="18"/>
  <c r="I64" i="18" s="1"/>
  <c r="H72" i="18"/>
  <c r="I72" i="18" s="1"/>
  <c r="H66" i="15"/>
  <c r="I66" i="15" s="1"/>
  <c r="H74" i="15"/>
  <c r="I74" i="15" s="1"/>
  <c r="H67" i="15"/>
  <c r="I67" i="15" s="1"/>
  <c r="H68" i="15"/>
  <c r="I68" i="15" s="1"/>
  <c r="H61" i="15"/>
  <c r="I61" i="15" s="1"/>
  <c r="H69" i="15"/>
  <c r="I69" i="15" s="1"/>
  <c r="H62" i="15"/>
  <c r="I62" i="15" s="1"/>
  <c r="H70" i="15"/>
  <c r="I70" i="15" s="1"/>
  <c r="H63" i="15"/>
  <c r="I63" i="15" s="1"/>
  <c r="H71" i="15"/>
  <c r="I71" i="15" s="1"/>
  <c r="H64" i="15"/>
  <c r="I64" i="15" s="1"/>
  <c r="H72" i="15"/>
  <c r="I72" i="15" s="1"/>
  <c r="H65" i="15"/>
  <c r="I65" i="15" s="1"/>
  <c r="H73" i="15"/>
  <c r="I73" i="15" s="1"/>
  <c r="H67" i="17"/>
  <c r="I67" i="17" s="1"/>
  <c r="H64" i="17"/>
  <c r="I64" i="17" s="1"/>
  <c r="H61" i="17"/>
  <c r="I61" i="17" s="1"/>
  <c r="H63" i="17"/>
  <c r="I63" i="17" s="1"/>
  <c r="H65" i="17"/>
  <c r="I65" i="17" s="1"/>
  <c r="H70" i="17"/>
  <c r="I70" i="17" s="1"/>
  <c r="H60" i="17"/>
  <c r="I60" i="17" s="1"/>
  <c r="H62" i="17"/>
  <c r="I62" i="17" s="1"/>
  <c r="H72" i="17"/>
  <c r="I72" i="17" s="1"/>
  <c r="H66" i="17"/>
  <c r="I66" i="17" s="1"/>
  <c r="H69" i="17"/>
  <c r="I69" i="17" s="1"/>
  <c r="H71" i="17"/>
  <c r="I71" i="17" s="1"/>
  <c r="H68" i="17"/>
  <c r="I68" i="17" s="1"/>
  <c r="H59" i="17"/>
  <c r="I59" i="17" s="1"/>
  <c r="N180" i="21"/>
  <c r="S180" i="21" s="1"/>
  <c r="C18" i="20"/>
  <c r="C19" i="20" s="1"/>
  <c r="H10" i="13"/>
  <c r="I10" i="13" s="1"/>
  <c r="H14" i="20"/>
  <c r="I14" i="20" s="1"/>
  <c r="H5" i="12"/>
  <c r="I5" i="12" s="1"/>
  <c r="H4" i="14"/>
  <c r="I4" i="14" s="1"/>
  <c r="H6" i="14"/>
  <c r="I6" i="14" s="1"/>
  <c r="H13" i="12"/>
  <c r="I13" i="12" s="1"/>
  <c r="H12" i="13"/>
  <c r="I12" i="13" s="1"/>
  <c r="H15" i="19"/>
  <c r="I15" i="19" s="1"/>
  <c r="H13" i="14"/>
  <c r="I13" i="14" s="1"/>
  <c r="H13" i="18"/>
  <c r="I13" i="18" s="1"/>
  <c r="H9" i="12"/>
  <c r="I9" i="12" s="1"/>
  <c r="H8" i="12"/>
  <c r="I8" i="12" s="1"/>
  <c r="H4" i="13"/>
  <c r="I4" i="13" s="1"/>
  <c r="H11" i="17"/>
  <c r="I11" i="17" s="1"/>
  <c r="H12" i="19"/>
  <c r="I12" i="19" s="1"/>
  <c r="H8" i="14"/>
  <c r="I8" i="14" s="1"/>
  <c r="H5" i="13"/>
  <c r="I5" i="13" s="1"/>
  <c r="H17" i="15"/>
  <c r="I17" i="15" s="1"/>
  <c r="H5" i="19"/>
  <c r="I5" i="19" s="1"/>
  <c r="H13" i="20"/>
  <c r="I13" i="20" s="1"/>
  <c r="C18" i="19"/>
  <c r="C19" i="19" s="1"/>
  <c r="H8" i="17"/>
  <c r="I8" i="17" s="1"/>
  <c r="H15" i="15"/>
  <c r="I15" i="15" s="1"/>
  <c r="C18" i="15"/>
  <c r="H9" i="13"/>
  <c r="I9" i="13" s="1"/>
  <c r="H4" i="17"/>
  <c r="I4" i="17" s="1"/>
  <c r="H7" i="18"/>
  <c r="I7" i="18" s="1"/>
  <c r="G118" i="21"/>
  <c r="N126" i="21"/>
  <c r="S126" i="21" s="1"/>
  <c r="G10" i="21"/>
  <c r="H4" i="12"/>
  <c r="I4" i="12" s="1"/>
  <c r="H14" i="14"/>
  <c r="I14" i="14" s="1"/>
  <c r="H14" i="17"/>
  <c r="I14" i="17" s="1"/>
  <c r="H8" i="19"/>
  <c r="I8" i="19" s="1"/>
  <c r="N18" i="21"/>
  <c r="S18" i="21" s="1"/>
  <c r="H9" i="17"/>
  <c r="I9" i="17" s="1"/>
  <c r="H4" i="18"/>
  <c r="I4" i="18" s="1"/>
  <c r="H9" i="18"/>
  <c r="I9" i="18" s="1"/>
  <c r="H14" i="18"/>
  <c r="I14" i="18" s="1"/>
  <c r="H5" i="17"/>
  <c r="I5" i="17" s="1"/>
  <c r="H11" i="19"/>
  <c r="I11" i="19" s="1"/>
  <c r="H9" i="19"/>
  <c r="H14" i="19"/>
  <c r="I14" i="19" s="1"/>
  <c r="G64" i="21"/>
  <c r="N72" i="21"/>
  <c r="S72" i="21" s="1"/>
  <c r="G28" i="21"/>
  <c r="N36" i="21"/>
  <c r="S36" i="21" s="1"/>
  <c r="G100" i="21"/>
  <c r="N108" i="21"/>
  <c r="S108" i="21" s="1"/>
  <c r="H17" i="12"/>
  <c r="I17" i="12" s="1"/>
  <c r="H11" i="13"/>
  <c r="I11" i="13" s="1"/>
  <c r="H5" i="18"/>
  <c r="I5" i="18" s="1"/>
  <c r="H10" i="18"/>
  <c r="I10" i="18" s="1"/>
  <c r="H15" i="18"/>
  <c r="I15" i="18" s="1"/>
  <c r="H4" i="19"/>
  <c r="I4" i="19" s="1"/>
  <c r="H6" i="12"/>
  <c r="I6" i="12" s="1"/>
  <c r="H12" i="12"/>
  <c r="I12" i="12" s="1"/>
  <c r="H6" i="13"/>
  <c r="I6" i="13" s="1"/>
  <c r="H9" i="14"/>
  <c r="I9" i="14" s="1"/>
  <c r="H6" i="17"/>
  <c r="I6" i="17" s="1"/>
  <c r="G154" i="21"/>
  <c r="N162" i="21"/>
  <c r="G46" i="21"/>
  <c r="N54" i="21"/>
  <c r="S54" i="21" s="1"/>
  <c r="H6" i="18"/>
  <c r="I6" i="18" s="1"/>
  <c r="H11" i="18"/>
  <c r="I11" i="18" s="1"/>
  <c r="G136" i="21"/>
  <c r="N144" i="21"/>
  <c r="S144" i="21" s="1"/>
  <c r="G82" i="21"/>
  <c r="N90" i="21"/>
  <c r="S90" i="21" s="1"/>
  <c r="H5" i="14"/>
  <c r="I5" i="14" s="1"/>
  <c r="H12" i="14"/>
  <c r="I12" i="14" s="1"/>
  <c r="H4" i="15"/>
  <c r="I4" i="15" s="1"/>
  <c r="H11" i="15"/>
  <c r="I11" i="15" s="1"/>
  <c r="H7" i="17"/>
  <c r="I7" i="17" s="1"/>
  <c r="H10" i="17"/>
  <c r="I10" i="17" s="1"/>
  <c r="H17" i="19"/>
  <c r="H10" i="20"/>
  <c r="H13" i="13"/>
  <c r="I13" i="13" s="1"/>
  <c r="H5" i="15"/>
  <c r="I5" i="15" s="1"/>
  <c r="H12" i="15"/>
  <c r="I12" i="15" s="1"/>
  <c r="H7" i="20"/>
  <c r="H10" i="14"/>
  <c r="I10" i="14" s="1"/>
  <c r="H9" i="15"/>
  <c r="I9" i="15" s="1"/>
  <c r="H4" i="20"/>
  <c r="H11" i="20"/>
  <c r="I11" i="20" s="1"/>
  <c r="H14" i="13"/>
  <c r="I14" i="13" s="1"/>
  <c r="H6" i="15"/>
  <c r="I6" i="15" s="1"/>
  <c r="H13" i="15"/>
  <c r="I13" i="15" s="1"/>
  <c r="H17" i="17"/>
  <c r="I17" i="17" s="1"/>
  <c r="H15" i="17"/>
  <c r="I15" i="17" s="1"/>
  <c r="H17" i="18"/>
  <c r="I17" i="18" s="1"/>
  <c r="H6" i="19"/>
  <c r="H13" i="19"/>
  <c r="H8" i="20"/>
  <c r="H17" i="20"/>
  <c r="H15" i="20"/>
  <c r="H10" i="12"/>
  <c r="I10" i="12" s="1"/>
  <c r="H14" i="12"/>
  <c r="I14" i="12" s="1"/>
  <c r="H7" i="13"/>
  <c r="I7" i="13" s="1"/>
  <c r="H7" i="14"/>
  <c r="I7" i="14" s="1"/>
  <c r="C18" i="17"/>
  <c r="H12" i="17"/>
  <c r="I12" i="17" s="1"/>
  <c r="H8" i="18"/>
  <c r="I8" i="18" s="1"/>
  <c r="H12" i="18"/>
  <c r="I12" i="18" s="1"/>
  <c r="H10" i="19"/>
  <c r="I10" i="19" s="1"/>
  <c r="H5" i="20"/>
  <c r="H12" i="20"/>
  <c r="H8" i="15"/>
  <c r="I8" i="15" s="1"/>
  <c r="H17" i="13"/>
  <c r="I17" i="13" s="1"/>
  <c r="H15" i="13"/>
  <c r="I15" i="13" s="1"/>
  <c r="H11" i="14"/>
  <c r="I11" i="14" s="1"/>
  <c r="H10" i="15"/>
  <c r="I10" i="15" s="1"/>
  <c r="H14" i="15"/>
  <c r="I14" i="15" s="1"/>
  <c r="H9" i="20"/>
  <c r="H7" i="12"/>
  <c r="I7" i="12" s="1"/>
  <c r="H11" i="12"/>
  <c r="I11" i="12" s="1"/>
  <c r="H15" i="12"/>
  <c r="I15" i="12" s="1"/>
  <c r="H8" i="13"/>
  <c r="I8" i="13" s="1"/>
  <c r="H17" i="14"/>
  <c r="I17" i="14" s="1"/>
  <c r="H15" i="14"/>
  <c r="I15" i="14" s="1"/>
  <c r="H7" i="15"/>
  <c r="I7" i="15" s="1"/>
  <c r="H13" i="17"/>
  <c r="I13" i="17" s="1"/>
  <c r="H7" i="19"/>
  <c r="H6" i="20"/>
  <c r="C18" i="18"/>
  <c r="C19" i="18" s="1"/>
  <c r="H16" i="20"/>
  <c r="I16" i="20" s="1"/>
  <c r="H16" i="19"/>
  <c r="I16" i="19" s="1"/>
  <c r="H16" i="18"/>
  <c r="I16" i="18" s="1"/>
  <c r="H16" i="17"/>
  <c r="I16" i="17" s="1"/>
  <c r="H16" i="15"/>
  <c r="I16" i="15" s="1"/>
  <c r="C18" i="14"/>
  <c r="H16" i="14"/>
  <c r="I16" i="14" s="1"/>
  <c r="C18" i="13"/>
  <c r="H16" i="13"/>
  <c r="I16" i="13" s="1"/>
  <c r="C18" i="12"/>
  <c r="H16" i="12"/>
  <c r="I16" i="12" s="1"/>
  <c r="J71" i="17" l="1"/>
  <c r="K71" i="17" s="1"/>
  <c r="J63" i="17"/>
  <c r="K63" i="17" s="1"/>
  <c r="J71" i="15"/>
  <c r="K71" i="15" s="1"/>
  <c r="J74" i="15"/>
  <c r="K74" i="15" s="1"/>
  <c r="J66" i="18"/>
  <c r="K66" i="18" s="1"/>
  <c r="J60" i="19"/>
  <c r="K60" i="19" s="1"/>
  <c r="J61" i="20"/>
  <c r="K61" i="20" s="1"/>
  <c r="J67" i="12"/>
  <c r="K67" i="12" s="1"/>
  <c r="J63" i="12"/>
  <c r="K63" i="12" s="1"/>
  <c r="J65" i="13"/>
  <c r="K65" i="13" s="1"/>
  <c r="J61" i="13"/>
  <c r="K61" i="13" s="1"/>
  <c r="J63" i="14"/>
  <c r="K63" i="14" s="1"/>
  <c r="J69" i="17"/>
  <c r="K69" i="17" s="1"/>
  <c r="J61" i="17"/>
  <c r="K61" i="17" s="1"/>
  <c r="J63" i="15"/>
  <c r="K63" i="15" s="1"/>
  <c r="J66" i="15"/>
  <c r="K66" i="15" s="1"/>
  <c r="J63" i="18"/>
  <c r="K63" i="18" s="1"/>
  <c r="J59" i="19"/>
  <c r="K59" i="19" s="1"/>
  <c r="J68" i="19"/>
  <c r="K68" i="19" s="1"/>
  <c r="J62" i="20"/>
  <c r="K62" i="20" s="1"/>
  <c r="J67" i="20"/>
  <c r="K67" i="20" s="1"/>
  <c r="J74" i="12"/>
  <c r="K74" i="12" s="1"/>
  <c r="J70" i="12"/>
  <c r="K70" i="12" s="1"/>
  <c r="J72" i="13"/>
  <c r="K72" i="13" s="1"/>
  <c r="J68" i="13"/>
  <c r="K68" i="13" s="1"/>
  <c r="J74" i="14"/>
  <c r="K74" i="14" s="1"/>
  <c r="J70" i="14"/>
  <c r="K70" i="14" s="1"/>
  <c r="J66" i="17"/>
  <c r="K66" i="17" s="1"/>
  <c r="J64" i="17"/>
  <c r="K64" i="17" s="1"/>
  <c r="J70" i="15"/>
  <c r="K70" i="15" s="1"/>
  <c r="J72" i="18"/>
  <c r="K72" i="18" s="1"/>
  <c r="J71" i="18"/>
  <c r="K71" i="18" s="1"/>
  <c r="J72" i="19"/>
  <c r="K72" i="19" s="1"/>
  <c r="J65" i="19"/>
  <c r="K65" i="19" s="1"/>
  <c r="J60" i="20"/>
  <c r="K60" i="20" s="1"/>
  <c r="J69" i="20"/>
  <c r="K69" i="20" s="1"/>
  <c r="J66" i="12"/>
  <c r="K66" i="12" s="1"/>
  <c r="J62" i="12"/>
  <c r="K62" i="12" s="1"/>
  <c r="J64" i="13"/>
  <c r="K64" i="13" s="1"/>
  <c r="J66" i="14"/>
  <c r="K66" i="14" s="1"/>
  <c r="J62" i="14"/>
  <c r="K62" i="14" s="1"/>
  <c r="J72" i="17"/>
  <c r="K72" i="17" s="1"/>
  <c r="J67" i="17"/>
  <c r="K67" i="17" s="1"/>
  <c r="J62" i="15"/>
  <c r="K62" i="15" s="1"/>
  <c r="J64" i="18"/>
  <c r="K64" i="18" s="1"/>
  <c r="J65" i="18"/>
  <c r="K65" i="18" s="1"/>
  <c r="J67" i="19"/>
  <c r="K67" i="19" s="1"/>
  <c r="J62" i="19"/>
  <c r="K62" i="19" s="1"/>
  <c r="J72" i="20"/>
  <c r="K72" i="20" s="1"/>
  <c r="J59" i="20"/>
  <c r="K59" i="20" s="1"/>
  <c r="J73" i="12"/>
  <c r="K73" i="12" s="1"/>
  <c r="J69" i="12"/>
  <c r="K69" i="12" s="1"/>
  <c r="J71" i="13"/>
  <c r="K71" i="13" s="1"/>
  <c r="J73" i="14"/>
  <c r="K73" i="14" s="1"/>
  <c r="J69" i="14"/>
  <c r="K69" i="14" s="1"/>
  <c r="J62" i="17"/>
  <c r="K62" i="17" s="1"/>
  <c r="J73" i="15"/>
  <c r="K73" i="15" s="1"/>
  <c r="J69" i="15"/>
  <c r="K69" i="15" s="1"/>
  <c r="J70" i="18"/>
  <c r="K70" i="18" s="1"/>
  <c r="J59" i="18"/>
  <c r="K59" i="18" s="1"/>
  <c r="J64" i="19"/>
  <c r="K64" i="19" s="1"/>
  <c r="J70" i="19"/>
  <c r="K70" i="19" s="1"/>
  <c r="J64" i="20"/>
  <c r="K64" i="20" s="1"/>
  <c r="J63" i="20"/>
  <c r="K63" i="20" s="1"/>
  <c r="J65" i="12"/>
  <c r="K65" i="12" s="1"/>
  <c r="J61" i="12"/>
  <c r="K61" i="12" s="1"/>
  <c r="J67" i="13"/>
  <c r="K67" i="13" s="1"/>
  <c r="J63" i="13"/>
  <c r="K63" i="13" s="1"/>
  <c r="J65" i="14"/>
  <c r="K65" i="14" s="1"/>
  <c r="J61" i="14"/>
  <c r="K61" i="14" s="1"/>
  <c r="J60" i="17"/>
  <c r="K60" i="17" s="1"/>
  <c r="J65" i="15"/>
  <c r="K65" i="15" s="1"/>
  <c r="J61" i="15"/>
  <c r="K61" i="15" s="1"/>
  <c r="J62" i="18"/>
  <c r="K62" i="18" s="1"/>
  <c r="J67" i="18"/>
  <c r="K67" i="18" s="1"/>
  <c r="J66" i="19"/>
  <c r="K66" i="19" s="1"/>
  <c r="J61" i="19"/>
  <c r="K61" i="19" s="1"/>
  <c r="J66" i="20"/>
  <c r="K66" i="20" s="1"/>
  <c r="J71" i="20"/>
  <c r="K71" i="20" s="1"/>
  <c r="J72" i="12"/>
  <c r="K72" i="12" s="1"/>
  <c r="J74" i="13"/>
  <c r="K74" i="13" s="1"/>
  <c r="J70" i="13"/>
  <c r="K70" i="13" s="1"/>
  <c r="J72" i="14"/>
  <c r="K72" i="14" s="1"/>
  <c r="J68" i="14"/>
  <c r="K68" i="14" s="1"/>
  <c r="J59" i="17"/>
  <c r="K59" i="17" s="1"/>
  <c r="J70" i="17"/>
  <c r="K70" i="17" s="1"/>
  <c r="J72" i="15"/>
  <c r="K72" i="15" s="1"/>
  <c r="J68" i="15"/>
  <c r="K68" i="15" s="1"/>
  <c r="J60" i="18"/>
  <c r="K60" i="18" s="1"/>
  <c r="J61" i="18"/>
  <c r="K61" i="18" s="1"/>
  <c r="J63" i="19"/>
  <c r="K63" i="19" s="1"/>
  <c r="J69" i="19"/>
  <c r="K69" i="19" s="1"/>
  <c r="J70" i="20"/>
  <c r="K70" i="20" s="1"/>
  <c r="J65" i="20"/>
  <c r="K65" i="20" s="1"/>
  <c r="J64" i="12"/>
  <c r="K64" i="12" s="1"/>
  <c r="J66" i="13"/>
  <c r="K66" i="13" s="1"/>
  <c r="J62" i="13"/>
  <c r="K62" i="13" s="1"/>
  <c r="J64" i="14"/>
  <c r="K64" i="14" s="1"/>
  <c r="J67" i="14"/>
  <c r="K67" i="14" s="1"/>
  <c r="J68" i="17"/>
  <c r="K68" i="17" s="1"/>
  <c r="J65" i="17"/>
  <c r="K65" i="17" s="1"/>
  <c r="J64" i="15"/>
  <c r="K64" i="15" s="1"/>
  <c r="J67" i="15"/>
  <c r="K67" i="15" s="1"/>
  <c r="J68" i="18"/>
  <c r="K68" i="18" s="1"/>
  <c r="J69" i="18"/>
  <c r="K69" i="18" s="1"/>
  <c r="J71" i="19"/>
  <c r="K71" i="19" s="1"/>
  <c r="J68" i="20"/>
  <c r="K68" i="20" s="1"/>
  <c r="J68" i="12"/>
  <c r="K68" i="12" s="1"/>
  <c r="J71" i="12"/>
  <c r="K71" i="12" s="1"/>
  <c r="J73" i="13"/>
  <c r="K73" i="13" s="1"/>
  <c r="J69" i="13"/>
  <c r="K69" i="13" s="1"/>
  <c r="J71" i="14"/>
  <c r="K71" i="14" s="1"/>
  <c r="J11" i="20"/>
  <c r="K11" i="20" s="1"/>
  <c r="S162" i="21"/>
  <c r="O180" i="21"/>
  <c r="O144" i="21"/>
  <c r="O162" i="21"/>
  <c r="O72" i="21"/>
  <c r="O108" i="21"/>
  <c r="O90" i="21"/>
  <c r="O36" i="21"/>
  <c r="O18" i="21"/>
  <c r="O54" i="21"/>
  <c r="O126" i="21"/>
  <c r="J12" i="19"/>
  <c r="K12" i="19" s="1"/>
  <c r="J8" i="19"/>
  <c r="K8" i="19" s="1"/>
  <c r="J14" i="20"/>
  <c r="K14" i="20" s="1"/>
  <c r="J10" i="19"/>
  <c r="K10" i="19" s="1"/>
  <c r="I15" i="20"/>
  <c r="J15" i="20" s="1"/>
  <c r="K15" i="20" s="1"/>
  <c r="I17" i="19"/>
  <c r="J17" i="19" s="1"/>
  <c r="K17" i="19" s="1"/>
  <c r="I8" i="20"/>
  <c r="J8" i="20" s="1"/>
  <c r="K8" i="20" s="1"/>
  <c r="I9" i="19"/>
  <c r="J9" i="19" s="1"/>
  <c r="K9" i="19" s="1"/>
  <c r="I7" i="20"/>
  <c r="J7" i="20" s="1"/>
  <c r="K7" i="20" s="1"/>
  <c r="I6" i="20"/>
  <c r="J6" i="20" s="1"/>
  <c r="K6" i="20" s="1"/>
  <c r="I7" i="19"/>
  <c r="J7" i="19" s="1"/>
  <c r="K7" i="19" s="1"/>
  <c r="I13" i="19"/>
  <c r="J13" i="19" s="1"/>
  <c r="K13" i="19" s="1"/>
  <c r="J5" i="15"/>
  <c r="K5" i="15" s="1"/>
  <c r="I9" i="20"/>
  <c r="J9" i="20" s="1"/>
  <c r="K9" i="20" s="1"/>
  <c r="I12" i="20"/>
  <c r="J12" i="20" s="1"/>
  <c r="K12" i="20" s="1"/>
  <c r="I6" i="19"/>
  <c r="J6" i="19" s="1"/>
  <c r="K6" i="19" s="1"/>
  <c r="I17" i="20"/>
  <c r="J17" i="20" s="1"/>
  <c r="K17" i="20" s="1"/>
  <c r="J7" i="15"/>
  <c r="K7" i="15" s="1"/>
  <c r="J14" i="15"/>
  <c r="K14" i="15" s="1"/>
  <c r="I10" i="20"/>
  <c r="J10" i="20" s="1"/>
  <c r="K10" i="20" s="1"/>
  <c r="I4" i="20"/>
  <c r="J4" i="20" s="1"/>
  <c r="K4" i="20" s="1"/>
  <c r="I5" i="20"/>
  <c r="J5" i="20" s="1"/>
  <c r="K5" i="20" s="1"/>
  <c r="J14" i="19"/>
  <c r="K14" i="19" s="1"/>
  <c r="J13" i="20"/>
  <c r="K13" i="20" s="1"/>
  <c r="J5" i="19"/>
  <c r="K5" i="19" s="1"/>
  <c r="J4" i="19"/>
  <c r="K4" i="19" s="1"/>
  <c r="J15" i="19"/>
  <c r="K15" i="19" s="1"/>
  <c r="J13" i="18"/>
  <c r="K13" i="18" s="1"/>
  <c r="J11" i="19"/>
  <c r="K11" i="19" s="1"/>
  <c r="J12" i="17"/>
  <c r="K12" i="17" s="1"/>
  <c r="J13" i="15"/>
  <c r="K13" i="15" s="1"/>
  <c r="J11" i="18"/>
  <c r="K11" i="18" s="1"/>
  <c r="J6" i="15"/>
  <c r="K6" i="15" s="1"/>
  <c r="J15" i="15"/>
  <c r="K15" i="15" s="1"/>
  <c r="J8" i="15"/>
  <c r="K8" i="15" s="1"/>
  <c r="C19" i="15"/>
  <c r="J16" i="15"/>
  <c r="K16" i="15" s="1"/>
  <c r="J10" i="15"/>
  <c r="K10" i="15" s="1"/>
  <c r="J17" i="15"/>
  <c r="K17" i="15" s="1"/>
  <c r="J11" i="15"/>
  <c r="K11" i="15" s="1"/>
  <c r="J9" i="15"/>
  <c r="K9" i="15" s="1"/>
  <c r="J12" i="15"/>
  <c r="K12" i="15" s="1"/>
  <c r="J4" i="15"/>
  <c r="K4" i="15" s="1"/>
  <c r="J12" i="18"/>
  <c r="K12" i="18" s="1"/>
  <c r="J16" i="18"/>
  <c r="K16" i="18" s="1"/>
  <c r="J4" i="18"/>
  <c r="K4" i="18" s="1"/>
  <c r="J15" i="18"/>
  <c r="K15" i="18" s="1"/>
  <c r="J6" i="18"/>
  <c r="K6" i="18" s="1"/>
  <c r="J8" i="18"/>
  <c r="K8" i="18" s="1"/>
  <c r="J7" i="18"/>
  <c r="K7" i="18" s="1"/>
  <c r="J17" i="18"/>
  <c r="K17" i="18" s="1"/>
  <c r="J5" i="17"/>
  <c r="K5" i="17" s="1"/>
  <c r="J10" i="18"/>
  <c r="K10" i="18" s="1"/>
  <c r="J13" i="17"/>
  <c r="K13" i="17" s="1"/>
  <c r="J5" i="18"/>
  <c r="K5" i="18" s="1"/>
  <c r="J14" i="18"/>
  <c r="K14" i="18" s="1"/>
  <c r="J6" i="17"/>
  <c r="K6" i="17" s="1"/>
  <c r="J14" i="17"/>
  <c r="K14" i="17" s="1"/>
  <c r="J7" i="17"/>
  <c r="K7" i="17" s="1"/>
  <c r="J15" i="17"/>
  <c r="K15" i="17" s="1"/>
  <c r="J8" i="17"/>
  <c r="K8" i="17" s="1"/>
  <c r="C19" i="17"/>
  <c r="J9" i="18"/>
  <c r="K9" i="18" s="1"/>
  <c r="J16" i="17"/>
  <c r="K16" i="17" s="1"/>
  <c r="J9" i="17"/>
  <c r="K9" i="17" s="1"/>
  <c r="J17" i="17"/>
  <c r="K17" i="17" s="1"/>
  <c r="J10" i="17"/>
  <c r="K10" i="17" s="1"/>
  <c r="J16" i="20"/>
  <c r="K16" i="20" s="1"/>
  <c r="J11" i="17"/>
  <c r="K11" i="17" s="1"/>
  <c r="J16" i="19"/>
  <c r="K16" i="19" s="1"/>
  <c r="J4" i="17"/>
  <c r="K4" i="17" s="1"/>
  <c r="C19" i="14"/>
  <c r="J15" i="14"/>
  <c r="J14" i="14"/>
  <c r="J13" i="14"/>
  <c r="J12" i="14"/>
  <c r="J11" i="14"/>
  <c r="J10" i="14"/>
  <c r="J9" i="14"/>
  <c r="J8" i="14"/>
  <c r="J7" i="14"/>
  <c r="J6" i="14"/>
  <c r="J5" i="14"/>
  <c r="J4" i="14"/>
  <c r="J17" i="14"/>
  <c r="J16" i="14"/>
  <c r="C19" i="13"/>
  <c r="J15" i="13"/>
  <c r="J14" i="13"/>
  <c r="J13" i="13"/>
  <c r="J12" i="13"/>
  <c r="J11" i="13"/>
  <c r="J10" i="13"/>
  <c r="J9" i="13"/>
  <c r="J8" i="13"/>
  <c r="J7" i="13"/>
  <c r="J6" i="13"/>
  <c r="J5" i="13"/>
  <c r="J4" i="13"/>
  <c r="J17" i="13"/>
  <c r="J16" i="13"/>
  <c r="C19" i="12"/>
  <c r="J15" i="12"/>
  <c r="J14" i="12"/>
  <c r="J13" i="12"/>
  <c r="J12" i="12"/>
  <c r="J11" i="12"/>
  <c r="J10" i="12"/>
  <c r="J9" i="12"/>
  <c r="J8" i="12"/>
  <c r="J7" i="12"/>
  <c r="J6" i="12"/>
  <c r="J5" i="12"/>
  <c r="J4" i="12"/>
  <c r="J17" i="12"/>
  <c r="J16" i="12"/>
  <c r="K16" i="14" l="1"/>
  <c r="K9" i="14"/>
  <c r="K17" i="14"/>
  <c r="K10" i="14"/>
  <c r="K8" i="14"/>
  <c r="K11" i="14"/>
  <c r="K4" i="14"/>
  <c r="K12" i="14"/>
  <c r="K5" i="14"/>
  <c r="K13" i="14"/>
  <c r="K6" i="14"/>
  <c r="K14" i="14"/>
  <c r="K7" i="14"/>
  <c r="K15" i="14"/>
  <c r="K8" i="13"/>
  <c r="K16" i="13"/>
  <c r="K9" i="13"/>
  <c r="K17" i="13"/>
  <c r="K10" i="13"/>
  <c r="K7" i="13"/>
  <c r="K11" i="13"/>
  <c r="K4" i="13"/>
  <c r="K12" i="13"/>
  <c r="K15" i="13"/>
  <c r="K5" i="13"/>
  <c r="K13" i="13"/>
  <c r="K6" i="13"/>
  <c r="K14" i="13"/>
  <c r="K6" i="12"/>
  <c r="K7" i="12"/>
  <c r="K15" i="12"/>
  <c r="K14" i="12"/>
  <c r="K16" i="12"/>
  <c r="K8" i="12"/>
  <c r="K17" i="12"/>
  <c r="K9" i="12"/>
  <c r="K10" i="12"/>
  <c r="K11" i="12"/>
  <c r="K4" i="12"/>
  <c r="K12" i="12"/>
  <c r="K5" i="12"/>
  <c r="K13" i="12"/>
  <c r="D29" i="11" l="1"/>
  <c r="B21" i="1" l="1"/>
  <c r="C14" i="11" l="1"/>
  <c r="C17" i="11" s="1"/>
  <c r="C13" i="11"/>
  <c r="C12" i="11"/>
  <c r="C11" i="11"/>
  <c r="C10" i="11"/>
  <c r="C7" i="11"/>
  <c r="C6" i="11"/>
  <c r="C5" i="11"/>
  <c r="C4" i="11"/>
  <c r="B30" i="1"/>
  <c r="B29" i="1"/>
  <c r="B22" i="1"/>
  <c r="B23" i="1" s="1"/>
  <c r="B7" i="1"/>
  <c r="H63" i="11" l="1"/>
  <c r="I63" i="11" s="1"/>
  <c r="H71" i="11"/>
  <c r="I71" i="11" s="1"/>
  <c r="H66" i="11"/>
  <c r="I66" i="11" s="1"/>
  <c r="H74" i="11"/>
  <c r="I74" i="11" s="1"/>
  <c r="H67" i="11"/>
  <c r="I67" i="11" s="1"/>
  <c r="H68" i="11"/>
  <c r="I68" i="11" s="1"/>
  <c r="H61" i="11"/>
  <c r="I61" i="11" s="1"/>
  <c r="H69" i="11"/>
  <c r="I69" i="11" s="1"/>
  <c r="H64" i="11"/>
  <c r="I64" i="11" s="1"/>
  <c r="H65" i="11"/>
  <c r="I65" i="11" s="1"/>
  <c r="H70" i="11"/>
  <c r="I70" i="11" s="1"/>
  <c r="H72" i="11"/>
  <c r="I72" i="11" s="1"/>
  <c r="H73" i="11"/>
  <c r="I73" i="11" s="1"/>
  <c r="H62" i="11"/>
  <c r="I62" i="11" s="1"/>
  <c r="B31" i="1"/>
  <c r="B8" i="1"/>
  <c r="C15" i="11"/>
  <c r="C14" i="21"/>
  <c r="C9" i="14"/>
  <c r="C9" i="19"/>
  <c r="C9" i="20"/>
  <c r="C9" i="18"/>
  <c r="C9" i="17"/>
  <c r="C9" i="15"/>
  <c r="C9" i="12"/>
  <c r="C9" i="13"/>
  <c r="C1" i="21"/>
  <c r="C3" i="20"/>
  <c r="C3" i="17"/>
  <c r="C3" i="15"/>
  <c r="C3" i="12"/>
  <c r="C3" i="13"/>
  <c r="C3" i="19"/>
  <c r="C3" i="14"/>
  <c r="C3" i="18"/>
  <c r="C6" i="21"/>
  <c r="C8" i="14"/>
  <c r="C8" i="13"/>
  <c r="C8" i="18"/>
  <c r="C8" i="20"/>
  <c r="C8" i="17"/>
  <c r="C8" i="19"/>
  <c r="C8" i="15"/>
  <c r="C8" i="12"/>
  <c r="C8" i="11"/>
  <c r="C3" i="11"/>
  <c r="H4" i="11"/>
  <c r="I4" i="11" s="1"/>
  <c r="C9" i="11"/>
  <c r="C18" i="11"/>
  <c r="C2" i="15" l="1"/>
  <c r="C20" i="18"/>
  <c r="C20" i="17"/>
  <c r="C20" i="20"/>
  <c r="C20" i="15"/>
  <c r="E72" i="15" s="1"/>
  <c r="C20" i="11"/>
  <c r="C20" i="14"/>
  <c r="E72" i="14" s="1"/>
  <c r="C20" i="13"/>
  <c r="E74" i="13" s="1"/>
  <c r="C20" i="12"/>
  <c r="E74" i="12" s="1"/>
  <c r="C20" i="19"/>
  <c r="B69" i="12"/>
  <c r="B61" i="12"/>
  <c r="E68" i="12"/>
  <c r="B72" i="12"/>
  <c r="B74" i="12"/>
  <c r="B67" i="12"/>
  <c r="E69" i="12"/>
  <c r="B68" i="12"/>
  <c r="B73" i="12"/>
  <c r="B64" i="12"/>
  <c r="B71" i="12"/>
  <c r="B63" i="12"/>
  <c r="B65" i="12"/>
  <c r="B66" i="12"/>
  <c r="B70" i="12"/>
  <c r="B62" i="12"/>
  <c r="B73" i="15"/>
  <c r="B65" i="15"/>
  <c r="B63" i="15"/>
  <c r="B70" i="15"/>
  <c r="B72" i="15"/>
  <c r="B67" i="15"/>
  <c r="E66" i="15"/>
  <c r="B62" i="15"/>
  <c r="B74" i="15"/>
  <c r="B71" i="15"/>
  <c r="B61" i="15"/>
  <c r="E62" i="15"/>
  <c r="B64" i="15"/>
  <c r="B68" i="15"/>
  <c r="B69" i="15"/>
  <c r="B66" i="15"/>
  <c r="J62" i="11"/>
  <c r="J68" i="11"/>
  <c r="B69" i="17"/>
  <c r="B70" i="17"/>
  <c r="B67" i="17"/>
  <c r="B59" i="17"/>
  <c r="E67" i="17"/>
  <c r="E69" i="17"/>
  <c r="E70" i="17"/>
  <c r="E64" i="17"/>
  <c r="B68" i="17"/>
  <c r="E72" i="17"/>
  <c r="E65" i="17"/>
  <c r="B65" i="17"/>
  <c r="B64" i="17"/>
  <c r="E68" i="17"/>
  <c r="B72" i="17"/>
  <c r="B60" i="17"/>
  <c r="E60" i="17"/>
  <c r="B62" i="17"/>
  <c r="B61" i="17"/>
  <c r="B66" i="17"/>
  <c r="E63" i="17"/>
  <c r="B71" i="17"/>
  <c r="E62" i="17"/>
  <c r="E61" i="17"/>
  <c r="E66" i="17"/>
  <c r="B63" i="17"/>
  <c r="E71" i="17"/>
  <c r="E59" i="17"/>
  <c r="J73" i="11"/>
  <c r="K73" i="11" s="1"/>
  <c r="J67" i="11"/>
  <c r="K67" i="11" s="1"/>
  <c r="E59" i="20"/>
  <c r="B62" i="20"/>
  <c r="B59" i="20"/>
  <c r="E66" i="20"/>
  <c r="E70" i="20"/>
  <c r="B68" i="20"/>
  <c r="E62" i="20"/>
  <c r="B63" i="20"/>
  <c r="B61" i="20"/>
  <c r="B66" i="20"/>
  <c r="E67" i="20"/>
  <c r="E64" i="20"/>
  <c r="E63" i="20"/>
  <c r="E61" i="20"/>
  <c r="B60" i="20"/>
  <c r="B72" i="20"/>
  <c r="B70" i="20"/>
  <c r="E68" i="20"/>
  <c r="B64" i="20"/>
  <c r="B71" i="20"/>
  <c r="E60" i="20"/>
  <c r="E72" i="20"/>
  <c r="E71" i="20"/>
  <c r="B65" i="20"/>
  <c r="B69" i="20"/>
  <c r="E65" i="20"/>
  <c r="E69" i="20"/>
  <c r="B67" i="20"/>
  <c r="J72" i="11"/>
  <c r="J74" i="11"/>
  <c r="B68" i="18"/>
  <c r="B70" i="18"/>
  <c r="B65" i="18"/>
  <c r="B64" i="18"/>
  <c r="E68" i="18"/>
  <c r="E70" i="18"/>
  <c r="E65" i="18"/>
  <c r="B71" i="18"/>
  <c r="E72" i="18"/>
  <c r="E64" i="18"/>
  <c r="B72" i="18"/>
  <c r="B69" i="18"/>
  <c r="B60" i="18"/>
  <c r="B62" i="18"/>
  <c r="E71" i="18"/>
  <c r="E69" i="18"/>
  <c r="E62" i="18"/>
  <c r="B66" i="18"/>
  <c r="B59" i="18"/>
  <c r="B67" i="18"/>
  <c r="E63" i="18"/>
  <c r="B61" i="18"/>
  <c r="E66" i="18"/>
  <c r="E59" i="18"/>
  <c r="E67" i="18"/>
  <c r="B63" i="18"/>
  <c r="E61" i="18"/>
  <c r="E60" i="18"/>
  <c r="J70" i="11"/>
  <c r="J66" i="11"/>
  <c r="K66" i="11" s="1"/>
  <c r="B68" i="14"/>
  <c r="B74" i="14"/>
  <c r="B71" i="14"/>
  <c r="B72" i="14"/>
  <c r="B62" i="14"/>
  <c r="B69" i="14"/>
  <c r="B63" i="14"/>
  <c r="B73" i="14"/>
  <c r="B64" i="14"/>
  <c r="B66" i="14"/>
  <c r="B65" i="14"/>
  <c r="B67" i="14"/>
  <c r="B61" i="14"/>
  <c r="B70" i="14"/>
  <c r="K4" i="21"/>
  <c r="Z18" i="21" s="1"/>
  <c r="G158" i="21"/>
  <c r="G14" i="21"/>
  <c r="J65" i="11"/>
  <c r="K65" i="11" s="1"/>
  <c r="J71" i="11"/>
  <c r="J61" i="11"/>
  <c r="K61" i="11" s="1"/>
  <c r="E61" i="11" s="1"/>
  <c r="J69" i="11"/>
  <c r="B71" i="19"/>
  <c r="B64" i="19"/>
  <c r="B65" i="19"/>
  <c r="B59" i="19"/>
  <c r="B67" i="19"/>
  <c r="E72" i="19"/>
  <c r="E71" i="19"/>
  <c r="E64" i="19"/>
  <c r="E65" i="19"/>
  <c r="E59" i="19"/>
  <c r="E67" i="19"/>
  <c r="E61" i="19"/>
  <c r="B66" i="19"/>
  <c r="B63" i="19"/>
  <c r="B61" i="19"/>
  <c r="E66" i="19"/>
  <c r="E63" i="19"/>
  <c r="E70" i="19"/>
  <c r="B72" i="19"/>
  <c r="B70" i="19"/>
  <c r="B68" i="19"/>
  <c r="E62" i="19"/>
  <c r="E69" i="19"/>
  <c r="B60" i="19"/>
  <c r="E68" i="19"/>
  <c r="B62" i="19"/>
  <c r="B69" i="19"/>
  <c r="E60" i="19"/>
  <c r="H22" i="11"/>
  <c r="I22" i="11" s="1"/>
  <c r="J22" i="11" s="1"/>
  <c r="L22" i="11" s="1"/>
  <c r="G3" i="11"/>
  <c r="H3" i="11" s="1"/>
  <c r="J64" i="11"/>
  <c r="J63" i="11"/>
  <c r="B62" i="13"/>
  <c r="B74" i="13"/>
  <c r="B64" i="13"/>
  <c r="B73" i="13"/>
  <c r="B67" i="13"/>
  <c r="B68" i="13"/>
  <c r="B70" i="13"/>
  <c r="B72" i="13"/>
  <c r="B66" i="13"/>
  <c r="B61" i="13"/>
  <c r="B65" i="13"/>
  <c r="B63" i="13"/>
  <c r="B69" i="13"/>
  <c r="B71" i="13"/>
  <c r="E3" i="21"/>
  <c r="C2" i="17"/>
  <c r="G58" i="17" s="1"/>
  <c r="C2" i="14"/>
  <c r="I9" i="21"/>
  <c r="I5" i="21"/>
  <c r="I17" i="21"/>
  <c r="I13" i="21"/>
  <c r="I12" i="21"/>
  <c r="I7" i="21"/>
  <c r="I14" i="21"/>
  <c r="I6" i="21"/>
  <c r="I15" i="21"/>
  <c r="I10" i="21"/>
  <c r="I8" i="21"/>
  <c r="I18" i="21"/>
  <c r="I16" i="21"/>
  <c r="I11" i="21"/>
  <c r="I4" i="21"/>
  <c r="C2" i="18"/>
  <c r="G58" i="18" s="1"/>
  <c r="C2" i="19"/>
  <c r="G58" i="19" s="1"/>
  <c r="C2" i="20"/>
  <c r="G58" i="20" s="1"/>
  <c r="C2" i="11"/>
  <c r="C2" i="13"/>
  <c r="C2" i="12"/>
  <c r="U180" i="21"/>
  <c r="Z180" i="21"/>
  <c r="G50" i="21"/>
  <c r="K166" i="21"/>
  <c r="G32" i="21"/>
  <c r="G104" i="21"/>
  <c r="G68" i="21"/>
  <c r="G122" i="21"/>
  <c r="G140" i="21"/>
  <c r="G86" i="21"/>
  <c r="H25" i="11"/>
  <c r="I25" i="11" s="1"/>
  <c r="J25" i="11" s="1"/>
  <c r="L25" i="11" s="1"/>
  <c r="H26" i="11"/>
  <c r="I26" i="11" s="1"/>
  <c r="J26" i="11" s="1"/>
  <c r="L26" i="11" s="1"/>
  <c r="K34" i="11"/>
  <c r="K28" i="11"/>
  <c r="H35" i="11"/>
  <c r="I35" i="11" s="1"/>
  <c r="J35" i="11" s="1"/>
  <c r="L35" i="11" s="1"/>
  <c r="K22" i="11"/>
  <c r="K32" i="11"/>
  <c r="K24" i="11"/>
  <c r="H27" i="11"/>
  <c r="I27" i="11" s="1"/>
  <c r="J27" i="11" s="1"/>
  <c r="L27" i="11" s="1"/>
  <c r="I23" i="11"/>
  <c r="J23" i="11" s="1"/>
  <c r="L23" i="11" s="1"/>
  <c r="K35" i="11"/>
  <c r="K26" i="11"/>
  <c r="H33" i="11"/>
  <c r="I33" i="11" s="1"/>
  <c r="J33" i="11" s="1"/>
  <c r="L33" i="11" s="1"/>
  <c r="H37" i="11"/>
  <c r="I37" i="11" s="1"/>
  <c r="J37" i="11" s="1"/>
  <c r="L37" i="11" s="1"/>
  <c r="K29" i="11"/>
  <c r="K27" i="11"/>
  <c r="H34" i="11"/>
  <c r="I34" i="11" s="1"/>
  <c r="J34" i="11" s="1"/>
  <c r="L34" i="11" s="1"/>
  <c r="K25" i="11"/>
  <c r="K33" i="11"/>
  <c r="K37" i="11"/>
  <c r="K36" i="11"/>
  <c r="H31" i="11"/>
  <c r="I31" i="11" s="1"/>
  <c r="J31" i="11" s="1"/>
  <c r="L31" i="11" s="1"/>
  <c r="H30" i="11"/>
  <c r="I30" i="11" s="1"/>
  <c r="J30" i="11" s="1"/>
  <c r="L30" i="11" s="1"/>
  <c r="H28" i="11"/>
  <c r="I28" i="11" s="1"/>
  <c r="J28" i="11" s="1"/>
  <c r="L28" i="11" s="1"/>
  <c r="H36" i="11"/>
  <c r="I36" i="11" s="1"/>
  <c r="J36" i="11" s="1"/>
  <c r="L36" i="11" s="1"/>
  <c r="K23" i="11"/>
  <c r="H24" i="11"/>
  <c r="I24" i="11" s="1"/>
  <c r="J24" i="11" s="1"/>
  <c r="L24" i="11" s="1"/>
  <c r="H29" i="11"/>
  <c r="I29" i="11" s="1"/>
  <c r="J29" i="11" s="1"/>
  <c r="L29" i="11" s="1"/>
  <c r="K30" i="11"/>
  <c r="K31" i="11"/>
  <c r="H32" i="11"/>
  <c r="I32" i="11" s="1"/>
  <c r="J32" i="11" s="1"/>
  <c r="L32" i="11" s="1"/>
  <c r="B26" i="19"/>
  <c r="C15" i="15"/>
  <c r="C15" i="14"/>
  <c r="C15" i="19"/>
  <c r="C15" i="18"/>
  <c r="C15" i="17"/>
  <c r="C15" i="12"/>
  <c r="C15" i="13"/>
  <c r="G3" i="13" s="1"/>
  <c r="C15" i="20"/>
  <c r="B37" i="20" s="1"/>
  <c r="B34" i="13"/>
  <c r="B46" i="13"/>
  <c r="B32" i="13"/>
  <c r="B38" i="13"/>
  <c r="B48" i="13"/>
  <c r="B26" i="13"/>
  <c r="B42" i="13"/>
  <c r="B50" i="13"/>
  <c r="B28" i="13"/>
  <c r="B44" i="13"/>
  <c r="B30" i="13"/>
  <c r="B36" i="13"/>
  <c r="B24" i="13"/>
  <c r="B40" i="13"/>
  <c r="B28" i="15"/>
  <c r="B24" i="15"/>
  <c r="B44" i="15"/>
  <c r="B40" i="15"/>
  <c r="B26" i="15"/>
  <c r="B32" i="15"/>
  <c r="B42" i="15"/>
  <c r="B30" i="15"/>
  <c r="B50" i="15"/>
  <c r="B34" i="15"/>
  <c r="B48" i="15"/>
  <c r="B38" i="15"/>
  <c r="B36" i="15"/>
  <c r="B46" i="15"/>
  <c r="B34" i="12"/>
  <c r="B30" i="12"/>
  <c r="B44" i="12"/>
  <c r="B36" i="12"/>
  <c r="B26" i="12"/>
  <c r="B46" i="12"/>
  <c r="B40" i="12"/>
  <c r="B42" i="12"/>
  <c r="B38" i="12"/>
  <c r="B48" i="12"/>
  <c r="B32" i="12"/>
  <c r="B50" i="12"/>
  <c r="B24" i="12"/>
  <c r="B28" i="12"/>
  <c r="B48" i="17"/>
  <c r="B44" i="17"/>
  <c r="B34" i="17"/>
  <c r="B32" i="17"/>
  <c r="B36" i="17"/>
  <c r="B24" i="17"/>
  <c r="B30" i="17"/>
  <c r="B40" i="17"/>
  <c r="B42" i="17"/>
  <c r="B38" i="17"/>
  <c r="B26" i="17"/>
  <c r="B50" i="17"/>
  <c r="B28" i="17"/>
  <c r="B46" i="17"/>
  <c r="B34" i="18"/>
  <c r="B44" i="18"/>
  <c r="B24" i="18"/>
  <c r="B46" i="18"/>
  <c r="B26" i="18"/>
  <c r="B38" i="18"/>
  <c r="B40" i="18"/>
  <c r="B42" i="18"/>
  <c r="B48" i="18"/>
  <c r="B32" i="18"/>
  <c r="B50" i="18"/>
  <c r="B28" i="18"/>
  <c r="B30" i="18"/>
  <c r="B36" i="18"/>
  <c r="B32" i="20"/>
  <c r="B40" i="20"/>
  <c r="B44" i="20"/>
  <c r="B30" i="20"/>
  <c r="B26" i="20"/>
  <c r="B38" i="20"/>
  <c r="B50" i="20"/>
  <c r="B42" i="20"/>
  <c r="B46" i="20"/>
  <c r="B36" i="20"/>
  <c r="B34" i="20"/>
  <c r="B24" i="20"/>
  <c r="B28" i="20"/>
  <c r="B48" i="20"/>
  <c r="B50" i="14"/>
  <c r="B38" i="14"/>
  <c r="B32" i="14"/>
  <c r="B40" i="14"/>
  <c r="B30" i="14"/>
  <c r="B26" i="14"/>
  <c r="B48" i="14"/>
  <c r="B34" i="14"/>
  <c r="B28" i="14"/>
  <c r="B24" i="14"/>
  <c r="B42" i="14"/>
  <c r="B44" i="14"/>
  <c r="B46" i="14"/>
  <c r="B36" i="14"/>
  <c r="B50" i="19"/>
  <c r="B32" i="19"/>
  <c r="B38" i="19"/>
  <c r="B28" i="19"/>
  <c r="B36" i="19"/>
  <c r="B24" i="19"/>
  <c r="B44" i="19"/>
  <c r="B30" i="19"/>
  <c r="B34" i="19"/>
  <c r="B46" i="19"/>
  <c r="B40" i="19"/>
  <c r="B42" i="19"/>
  <c r="B48" i="19"/>
  <c r="C19" i="11"/>
  <c r="E74" i="15" l="1"/>
  <c r="E69" i="15"/>
  <c r="E70" i="15"/>
  <c r="E71" i="15"/>
  <c r="E63" i="15"/>
  <c r="E65" i="12"/>
  <c r="E63" i="12"/>
  <c r="E73" i="12"/>
  <c r="E61" i="12"/>
  <c r="E67" i="12"/>
  <c r="E72" i="12"/>
  <c r="E64" i="15"/>
  <c r="E65" i="15"/>
  <c r="E73" i="15"/>
  <c r="E71" i="12"/>
  <c r="E61" i="15"/>
  <c r="E64" i="12"/>
  <c r="E68" i="15"/>
  <c r="E67" i="15"/>
  <c r="E62" i="12"/>
  <c r="E66" i="12"/>
  <c r="E70" i="12"/>
  <c r="E67" i="14"/>
  <c r="E63" i="13"/>
  <c r="E65" i="14"/>
  <c r="E63" i="14"/>
  <c r="E74" i="14"/>
  <c r="E66" i="14"/>
  <c r="E68" i="14"/>
  <c r="E73" i="14"/>
  <c r="E70" i="14"/>
  <c r="E69" i="14"/>
  <c r="E71" i="14"/>
  <c r="E64" i="14"/>
  <c r="E61" i="14"/>
  <c r="E62" i="14"/>
  <c r="H54" i="13"/>
  <c r="I54" i="13" s="1"/>
  <c r="J54" i="13" s="1"/>
  <c r="L54" i="13" s="1"/>
  <c r="H51" i="13"/>
  <c r="I51" i="13" s="1"/>
  <c r="J51" i="13" s="1"/>
  <c r="L51" i="13" s="1"/>
  <c r="K54" i="13"/>
  <c r="K43" i="13"/>
  <c r="H55" i="13"/>
  <c r="I55" i="13" s="1"/>
  <c r="J55" i="13" s="1"/>
  <c r="L55" i="13" s="1"/>
  <c r="H41" i="13"/>
  <c r="I41" i="13" s="1"/>
  <c r="J41" i="13" s="1"/>
  <c r="L41" i="13" s="1"/>
  <c r="K56" i="13"/>
  <c r="K47" i="13"/>
  <c r="H52" i="13"/>
  <c r="I52" i="13" s="1"/>
  <c r="J52" i="13" s="1"/>
  <c r="L52" i="13" s="1"/>
  <c r="H45" i="13"/>
  <c r="I45" i="13" s="1"/>
  <c r="J45" i="13" s="1"/>
  <c r="L45" i="13" s="1"/>
  <c r="K55" i="13"/>
  <c r="K51" i="13"/>
  <c r="H42" i="13"/>
  <c r="I42" i="13" s="1"/>
  <c r="J42" i="13" s="1"/>
  <c r="L42" i="13" s="1"/>
  <c r="H46" i="13"/>
  <c r="I46" i="13" s="1"/>
  <c r="J46" i="13" s="1"/>
  <c r="L46" i="13" s="1"/>
  <c r="K42" i="13"/>
  <c r="K45" i="13"/>
  <c r="H43" i="13"/>
  <c r="I43" i="13" s="1"/>
  <c r="J43" i="13" s="1"/>
  <c r="L43" i="13" s="1"/>
  <c r="H56" i="13"/>
  <c r="I56" i="13" s="1"/>
  <c r="J56" i="13" s="1"/>
  <c r="L56" i="13" s="1"/>
  <c r="K46" i="13"/>
  <c r="K52" i="13"/>
  <c r="H50" i="13"/>
  <c r="I50" i="13" s="1"/>
  <c r="J50" i="13" s="1"/>
  <c r="L50" i="13" s="1"/>
  <c r="H47" i="13"/>
  <c r="I47" i="13" s="1"/>
  <c r="J47" i="13" s="1"/>
  <c r="L47" i="13" s="1"/>
  <c r="K48" i="13"/>
  <c r="K50" i="13"/>
  <c r="K49" i="13"/>
  <c r="H48" i="13"/>
  <c r="I48" i="13" s="1"/>
  <c r="J48" i="13" s="1"/>
  <c r="L48" i="13" s="1"/>
  <c r="G60" i="13"/>
  <c r="H44" i="13"/>
  <c r="I44" i="13" s="1"/>
  <c r="J44" i="13" s="1"/>
  <c r="L44" i="13" s="1"/>
  <c r="K53" i="13"/>
  <c r="K41" i="13"/>
  <c r="H49" i="13"/>
  <c r="I49" i="13" s="1"/>
  <c r="J49" i="13" s="1"/>
  <c r="L49" i="13" s="1"/>
  <c r="H53" i="13"/>
  <c r="I53" i="13" s="1"/>
  <c r="J53" i="13" s="1"/>
  <c r="L53" i="13" s="1"/>
  <c r="K44" i="13"/>
  <c r="E72" i="13"/>
  <c r="K47" i="14"/>
  <c r="K56" i="14"/>
  <c r="H52" i="14"/>
  <c r="I52" i="14" s="1"/>
  <c r="J52" i="14" s="1"/>
  <c r="L52" i="14" s="1"/>
  <c r="H47" i="14"/>
  <c r="I47" i="14" s="1"/>
  <c r="J47" i="14" s="1"/>
  <c r="L47" i="14" s="1"/>
  <c r="K49" i="14"/>
  <c r="K45" i="14"/>
  <c r="H42" i="14"/>
  <c r="I42" i="14" s="1"/>
  <c r="J42" i="14" s="1"/>
  <c r="L42" i="14" s="1"/>
  <c r="G60" i="14"/>
  <c r="K43" i="14"/>
  <c r="K53" i="14"/>
  <c r="H54" i="14"/>
  <c r="I54" i="14" s="1"/>
  <c r="J54" i="14" s="1"/>
  <c r="L54" i="14" s="1"/>
  <c r="H45" i="14"/>
  <c r="I45" i="14" s="1"/>
  <c r="J45" i="14" s="1"/>
  <c r="L45" i="14" s="1"/>
  <c r="K52" i="14"/>
  <c r="K48" i="14"/>
  <c r="H48" i="14"/>
  <c r="I48" i="14" s="1"/>
  <c r="J48" i="14" s="1"/>
  <c r="L48" i="14" s="1"/>
  <c r="H49" i="14"/>
  <c r="I49" i="14" s="1"/>
  <c r="J49" i="14" s="1"/>
  <c r="L49" i="14" s="1"/>
  <c r="K42" i="14"/>
  <c r="K51" i="14"/>
  <c r="H56" i="14"/>
  <c r="I56" i="14" s="1"/>
  <c r="J56" i="14" s="1"/>
  <c r="L56" i="14" s="1"/>
  <c r="H53" i="14"/>
  <c r="I53" i="14" s="1"/>
  <c r="J53" i="14" s="1"/>
  <c r="L53" i="14" s="1"/>
  <c r="H55" i="14"/>
  <c r="I55" i="14" s="1"/>
  <c r="J55" i="14" s="1"/>
  <c r="L55" i="14" s="1"/>
  <c r="K41" i="14"/>
  <c r="K50" i="14"/>
  <c r="H44" i="14"/>
  <c r="I44" i="14" s="1"/>
  <c r="J44" i="14" s="1"/>
  <c r="L44" i="14" s="1"/>
  <c r="H46" i="14"/>
  <c r="I46" i="14" s="1"/>
  <c r="J46" i="14" s="1"/>
  <c r="L46" i="14" s="1"/>
  <c r="K55" i="14"/>
  <c r="H51" i="14"/>
  <c r="I51" i="14" s="1"/>
  <c r="J51" i="14" s="1"/>
  <c r="L51" i="14" s="1"/>
  <c r="K46" i="14"/>
  <c r="K54" i="14"/>
  <c r="H41" i="14"/>
  <c r="I41" i="14" s="1"/>
  <c r="J41" i="14" s="1"/>
  <c r="L41" i="14" s="1"/>
  <c r="M41" i="14" s="1"/>
  <c r="N41" i="14" s="1"/>
  <c r="O41" i="14" s="1"/>
  <c r="H50" i="14"/>
  <c r="I50" i="14" s="1"/>
  <c r="J50" i="14" s="1"/>
  <c r="L50" i="14" s="1"/>
  <c r="M50" i="14" s="1"/>
  <c r="N50" i="14" s="1"/>
  <c r="O50" i="14" s="1"/>
  <c r="K44" i="14"/>
  <c r="H43" i="14"/>
  <c r="I43" i="14" s="1"/>
  <c r="J43" i="14" s="1"/>
  <c r="L43" i="14" s="1"/>
  <c r="E67" i="13"/>
  <c r="H47" i="11"/>
  <c r="I47" i="11" s="1"/>
  <c r="J47" i="11" s="1"/>
  <c r="L47" i="11" s="1"/>
  <c r="H50" i="11"/>
  <c r="I50" i="11" s="1"/>
  <c r="J50" i="11" s="1"/>
  <c r="L50" i="11" s="1"/>
  <c r="H41" i="11"/>
  <c r="I41" i="11" s="1"/>
  <c r="J41" i="11" s="1"/>
  <c r="L41" i="11" s="1"/>
  <c r="K47" i="11"/>
  <c r="K46" i="11"/>
  <c r="H55" i="11"/>
  <c r="I55" i="11" s="1"/>
  <c r="J55" i="11" s="1"/>
  <c r="L55" i="11" s="1"/>
  <c r="H56" i="11"/>
  <c r="I56" i="11" s="1"/>
  <c r="J56" i="11" s="1"/>
  <c r="L56" i="11" s="1"/>
  <c r="K54" i="11"/>
  <c r="K49" i="11"/>
  <c r="H53" i="11"/>
  <c r="I53" i="11" s="1"/>
  <c r="J53" i="11" s="1"/>
  <c r="L53" i="11" s="1"/>
  <c r="H46" i="11"/>
  <c r="I46" i="11" s="1"/>
  <c r="J46" i="11" s="1"/>
  <c r="L46" i="11" s="1"/>
  <c r="K56" i="11"/>
  <c r="K48" i="11"/>
  <c r="H43" i="11"/>
  <c r="I43" i="11" s="1"/>
  <c r="J43" i="11" s="1"/>
  <c r="L43" i="11" s="1"/>
  <c r="H52" i="11"/>
  <c r="I52" i="11" s="1"/>
  <c r="J52" i="11" s="1"/>
  <c r="L52" i="11" s="1"/>
  <c r="K44" i="11"/>
  <c r="K42" i="11"/>
  <c r="H51" i="11"/>
  <c r="I51" i="11" s="1"/>
  <c r="J51" i="11" s="1"/>
  <c r="L51" i="11" s="1"/>
  <c r="H42" i="11"/>
  <c r="I42" i="11" s="1"/>
  <c r="J42" i="11" s="1"/>
  <c r="L42" i="11" s="1"/>
  <c r="K43" i="11"/>
  <c r="K45" i="11"/>
  <c r="H44" i="11"/>
  <c r="I44" i="11" s="1"/>
  <c r="J44" i="11" s="1"/>
  <c r="L44" i="11" s="1"/>
  <c r="K51" i="11"/>
  <c r="H49" i="11"/>
  <c r="I49" i="11" s="1"/>
  <c r="J49" i="11" s="1"/>
  <c r="L49" i="11" s="1"/>
  <c r="H45" i="11"/>
  <c r="I45" i="11" s="1"/>
  <c r="J45" i="11" s="1"/>
  <c r="L45" i="11" s="1"/>
  <c r="K50" i="11"/>
  <c r="K55" i="11"/>
  <c r="H54" i="11"/>
  <c r="I54" i="11" s="1"/>
  <c r="J54" i="11" s="1"/>
  <c r="L54" i="11" s="1"/>
  <c r="K53" i="11"/>
  <c r="H48" i="11"/>
  <c r="I48" i="11" s="1"/>
  <c r="J48" i="11" s="1"/>
  <c r="L48" i="11" s="1"/>
  <c r="G60" i="11"/>
  <c r="K41" i="11"/>
  <c r="K52" i="11"/>
  <c r="E61" i="13"/>
  <c r="K56" i="15"/>
  <c r="K53" i="15"/>
  <c r="H56" i="15"/>
  <c r="I56" i="15" s="1"/>
  <c r="J56" i="15" s="1"/>
  <c r="L56" i="15" s="1"/>
  <c r="H50" i="15"/>
  <c r="I50" i="15" s="1"/>
  <c r="J50" i="15" s="1"/>
  <c r="L50" i="15" s="1"/>
  <c r="K49" i="15"/>
  <c r="K41" i="15"/>
  <c r="H55" i="15"/>
  <c r="I55" i="15" s="1"/>
  <c r="J55" i="15" s="1"/>
  <c r="L55" i="15" s="1"/>
  <c r="H52" i="15"/>
  <c r="I52" i="15" s="1"/>
  <c r="J52" i="15" s="1"/>
  <c r="L52" i="15" s="1"/>
  <c r="K52" i="15"/>
  <c r="K43" i="15"/>
  <c r="H41" i="15"/>
  <c r="I41" i="15" s="1"/>
  <c r="J41" i="15" s="1"/>
  <c r="L41" i="15" s="1"/>
  <c r="H46" i="15"/>
  <c r="I46" i="15" s="1"/>
  <c r="J46" i="15" s="1"/>
  <c r="L46" i="15" s="1"/>
  <c r="K47" i="15"/>
  <c r="K46" i="15"/>
  <c r="H42" i="15"/>
  <c r="I42" i="15" s="1"/>
  <c r="J42" i="15" s="1"/>
  <c r="L42" i="15" s="1"/>
  <c r="H54" i="15"/>
  <c r="I54" i="15" s="1"/>
  <c r="J54" i="15" s="1"/>
  <c r="L54" i="15" s="1"/>
  <c r="K50" i="15"/>
  <c r="K51" i="15"/>
  <c r="H51" i="15"/>
  <c r="I51" i="15" s="1"/>
  <c r="J51" i="15" s="1"/>
  <c r="L51" i="15" s="1"/>
  <c r="H47" i="15"/>
  <c r="I47" i="15" s="1"/>
  <c r="J47" i="15" s="1"/>
  <c r="L47" i="15" s="1"/>
  <c r="K48" i="15"/>
  <c r="K44" i="15"/>
  <c r="K55" i="15"/>
  <c r="H45" i="15"/>
  <c r="I45" i="15" s="1"/>
  <c r="J45" i="15" s="1"/>
  <c r="L45" i="15" s="1"/>
  <c r="H49" i="15"/>
  <c r="I49" i="15" s="1"/>
  <c r="J49" i="15" s="1"/>
  <c r="L49" i="15" s="1"/>
  <c r="G60" i="15"/>
  <c r="H44" i="15"/>
  <c r="I44" i="15" s="1"/>
  <c r="J44" i="15" s="1"/>
  <c r="L44" i="15" s="1"/>
  <c r="K42" i="15"/>
  <c r="K45" i="15"/>
  <c r="H43" i="15"/>
  <c r="I43" i="15" s="1"/>
  <c r="J43" i="15" s="1"/>
  <c r="L43" i="15" s="1"/>
  <c r="H53" i="15"/>
  <c r="I53" i="15" s="1"/>
  <c r="J53" i="15" s="1"/>
  <c r="L53" i="15" s="1"/>
  <c r="K54" i="15"/>
  <c r="H48" i="15"/>
  <c r="I48" i="15" s="1"/>
  <c r="J48" i="15" s="1"/>
  <c r="L48" i="15" s="1"/>
  <c r="E66" i="13"/>
  <c r="E73" i="13"/>
  <c r="H45" i="20"/>
  <c r="I45" i="20" s="1"/>
  <c r="J45" i="20" s="1"/>
  <c r="L45" i="20" s="1"/>
  <c r="H52" i="20"/>
  <c r="I52" i="20" s="1"/>
  <c r="J52" i="20" s="1"/>
  <c r="L52" i="20" s="1"/>
  <c r="K52" i="20"/>
  <c r="K54" i="20"/>
  <c r="K50" i="20"/>
  <c r="H42" i="20"/>
  <c r="I42" i="20" s="1"/>
  <c r="J42" i="20" s="1"/>
  <c r="L42" i="20" s="1"/>
  <c r="H50" i="20"/>
  <c r="I50" i="20" s="1"/>
  <c r="J50" i="20" s="1"/>
  <c r="L50" i="20" s="1"/>
  <c r="H44" i="20"/>
  <c r="I44" i="20" s="1"/>
  <c r="J44" i="20" s="1"/>
  <c r="L44" i="20" s="1"/>
  <c r="K40" i="20"/>
  <c r="K51" i="20"/>
  <c r="H41" i="20"/>
  <c r="I41" i="20" s="1"/>
  <c r="J41" i="20" s="1"/>
  <c r="L41" i="20" s="1"/>
  <c r="H46" i="20"/>
  <c r="I46" i="20" s="1"/>
  <c r="J46" i="20" s="1"/>
  <c r="L46" i="20" s="1"/>
  <c r="K43" i="20"/>
  <c r="K53" i="20"/>
  <c r="H48" i="20"/>
  <c r="I48" i="20" s="1"/>
  <c r="J48" i="20" s="1"/>
  <c r="L48" i="20" s="1"/>
  <c r="H54" i="20"/>
  <c r="I54" i="20" s="1"/>
  <c r="J54" i="20" s="1"/>
  <c r="L54" i="20" s="1"/>
  <c r="K42" i="20"/>
  <c r="K46" i="20"/>
  <c r="K47" i="20"/>
  <c r="H53" i="20"/>
  <c r="I53" i="20" s="1"/>
  <c r="J53" i="20" s="1"/>
  <c r="L53" i="20" s="1"/>
  <c r="H47" i="20"/>
  <c r="I47" i="20" s="1"/>
  <c r="J47" i="20" s="1"/>
  <c r="L47" i="20" s="1"/>
  <c r="K45" i="20"/>
  <c r="K48" i="20"/>
  <c r="H49" i="20"/>
  <c r="I49" i="20" s="1"/>
  <c r="J49" i="20" s="1"/>
  <c r="L49" i="20" s="1"/>
  <c r="K49" i="20"/>
  <c r="H40" i="20"/>
  <c r="I40" i="20" s="1"/>
  <c r="J40" i="20" s="1"/>
  <c r="L40" i="20" s="1"/>
  <c r="H51" i="20"/>
  <c r="I51" i="20" s="1"/>
  <c r="J51" i="20" s="1"/>
  <c r="L51" i="20" s="1"/>
  <c r="K41" i="20"/>
  <c r="K44" i="20"/>
  <c r="H43" i="20"/>
  <c r="I43" i="20" s="1"/>
  <c r="J43" i="20" s="1"/>
  <c r="L43" i="20" s="1"/>
  <c r="E70" i="13"/>
  <c r="E65" i="13"/>
  <c r="E62" i="13"/>
  <c r="K43" i="17"/>
  <c r="K41" i="17"/>
  <c r="H47" i="17"/>
  <c r="I47" i="17" s="1"/>
  <c r="J47" i="17" s="1"/>
  <c r="L47" i="17" s="1"/>
  <c r="H53" i="17"/>
  <c r="I53" i="17" s="1"/>
  <c r="J53" i="17" s="1"/>
  <c r="L53" i="17" s="1"/>
  <c r="K47" i="17"/>
  <c r="K52" i="17"/>
  <c r="K51" i="17"/>
  <c r="H52" i="17"/>
  <c r="I52" i="17" s="1"/>
  <c r="J52" i="17" s="1"/>
  <c r="L52" i="17" s="1"/>
  <c r="K45" i="17"/>
  <c r="H44" i="17"/>
  <c r="I44" i="17" s="1"/>
  <c r="J44" i="17" s="1"/>
  <c r="L44" i="17" s="1"/>
  <c r="H49" i="17"/>
  <c r="I49" i="17" s="1"/>
  <c r="J49" i="17" s="1"/>
  <c r="L49" i="17" s="1"/>
  <c r="H54" i="17"/>
  <c r="I54" i="17" s="1"/>
  <c r="J54" i="17" s="1"/>
  <c r="L54" i="17" s="1"/>
  <c r="K46" i="17"/>
  <c r="K53" i="17"/>
  <c r="H42" i="17"/>
  <c r="I42" i="17" s="1"/>
  <c r="J42" i="17" s="1"/>
  <c r="L42" i="17" s="1"/>
  <c r="H41" i="17"/>
  <c r="I41" i="17" s="1"/>
  <c r="J41" i="17" s="1"/>
  <c r="L41" i="17" s="1"/>
  <c r="K42" i="17"/>
  <c r="K54" i="17"/>
  <c r="K44" i="17"/>
  <c r="H40" i="17"/>
  <c r="I40" i="17" s="1"/>
  <c r="J40" i="17" s="1"/>
  <c r="L40" i="17" s="1"/>
  <c r="H51" i="17"/>
  <c r="I51" i="17" s="1"/>
  <c r="J51" i="17" s="1"/>
  <c r="L51" i="17" s="1"/>
  <c r="K40" i="17"/>
  <c r="K49" i="17"/>
  <c r="H50" i="17"/>
  <c r="I50" i="17" s="1"/>
  <c r="J50" i="17" s="1"/>
  <c r="L50" i="17" s="1"/>
  <c r="H45" i="17"/>
  <c r="I45" i="17" s="1"/>
  <c r="J45" i="17" s="1"/>
  <c r="L45" i="17" s="1"/>
  <c r="M45" i="17" s="1"/>
  <c r="N45" i="17" s="1"/>
  <c r="O45" i="17" s="1"/>
  <c r="H48" i="17"/>
  <c r="I48" i="17" s="1"/>
  <c r="J48" i="17" s="1"/>
  <c r="L48" i="17" s="1"/>
  <c r="K48" i="17"/>
  <c r="K50" i="17"/>
  <c r="H43" i="17"/>
  <c r="I43" i="17" s="1"/>
  <c r="J43" i="17" s="1"/>
  <c r="L43" i="17" s="1"/>
  <c r="H46" i="17"/>
  <c r="I46" i="17" s="1"/>
  <c r="J46" i="17" s="1"/>
  <c r="L46" i="17" s="1"/>
  <c r="E71" i="13"/>
  <c r="E68" i="13"/>
  <c r="H44" i="19"/>
  <c r="I44" i="19" s="1"/>
  <c r="J44" i="19" s="1"/>
  <c r="L44" i="19" s="1"/>
  <c r="H53" i="19"/>
  <c r="I53" i="19" s="1"/>
  <c r="J53" i="19" s="1"/>
  <c r="L53" i="19" s="1"/>
  <c r="K46" i="19"/>
  <c r="K40" i="19"/>
  <c r="K54" i="19"/>
  <c r="H42" i="19"/>
  <c r="I42" i="19" s="1"/>
  <c r="J42" i="19" s="1"/>
  <c r="L42" i="19" s="1"/>
  <c r="H52" i="19"/>
  <c r="I52" i="19" s="1"/>
  <c r="J52" i="19" s="1"/>
  <c r="L52" i="19" s="1"/>
  <c r="H50" i="19"/>
  <c r="I50" i="19" s="1"/>
  <c r="J50" i="19" s="1"/>
  <c r="L50" i="19" s="1"/>
  <c r="H46" i="19"/>
  <c r="I46" i="19" s="1"/>
  <c r="J46" i="19" s="1"/>
  <c r="L46" i="19" s="1"/>
  <c r="K42" i="19"/>
  <c r="K41" i="19"/>
  <c r="H45" i="19"/>
  <c r="I45" i="19" s="1"/>
  <c r="J45" i="19" s="1"/>
  <c r="L45" i="19" s="1"/>
  <c r="H41" i="19"/>
  <c r="I41" i="19" s="1"/>
  <c r="J41" i="19" s="1"/>
  <c r="L41" i="19" s="1"/>
  <c r="K49" i="19"/>
  <c r="K50" i="19"/>
  <c r="K51" i="19"/>
  <c r="K48" i="19"/>
  <c r="H51" i="19"/>
  <c r="I51" i="19" s="1"/>
  <c r="J51" i="19" s="1"/>
  <c r="L51" i="19" s="1"/>
  <c r="H43" i="19"/>
  <c r="I43" i="19" s="1"/>
  <c r="J43" i="19" s="1"/>
  <c r="L43" i="19" s="1"/>
  <c r="K43" i="19"/>
  <c r="H48" i="19"/>
  <c r="I48" i="19" s="1"/>
  <c r="J48" i="19" s="1"/>
  <c r="L48" i="19" s="1"/>
  <c r="H40" i="19"/>
  <c r="I40" i="19" s="1"/>
  <c r="J40" i="19" s="1"/>
  <c r="L40" i="19" s="1"/>
  <c r="K53" i="19"/>
  <c r="K45" i="19"/>
  <c r="H49" i="19"/>
  <c r="I49" i="19" s="1"/>
  <c r="J49" i="19" s="1"/>
  <c r="L49" i="19" s="1"/>
  <c r="H47" i="19"/>
  <c r="I47" i="19" s="1"/>
  <c r="J47" i="19" s="1"/>
  <c r="L47" i="19" s="1"/>
  <c r="K44" i="19"/>
  <c r="K47" i="19"/>
  <c r="H54" i="19"/>
  <c r="I54" i="19" s="1"/>
  <c r="J54" i="19" s="1"/>
  <c r="L54" i="19" s="1"/>
  <c r="M54" i="19" s="1"/>
  <c r="N54" i="19" s="1"/>
  <c r="O54" i="19" s="1"/>
  <c r="K52" i="19"/>
  <c r="K54" i="18"/>
  <c r="K52" i="18"/>
  <c r="H42" i="18"/>
  <c r="I42" i="18" s="1"/>
  <c r="J42" i="18" s="1"/>
  <c r="L42" i="18" s="1"/>
  <c r="H51" i="18"/>
  <c r="I51" i="18" s="1"/>
  <c r="J51" i="18" s="1"/>
  <c r="L51" i="18" s="1"/>
  <c r="K43" i="18"/>
  <c r="K51" i="18"/>
  <c r="H41" i="18"/>
  <c r="I41" i="18" s="1"/>
  <c r="J41" i="18" s="1"/>
  <c r="L41" i="18" s="1"/>
  <c r="H48" i="18"/>
  <c r="I48" i="18" s="1"/>
  <c r="J48" i="18" s="1"/>
  <c r="L48" i="18" s="1"/>
  <c r="K45" i="18"/>
  <c r="K48" i="18"/>
  <c r="H44" i="18"/>
  <c r="I44" i="18" s="1"/>
  <c r="J44" i="18" s="1"/>
  <c r="L44" i="18" s="1"/>
  <c r="H54" i="18"/>
  <c r="I54" i="18" s="1"/>
  <c r="J54" i="18" s="1"/>
  <c r="L54" i="18" s="1"/>
  <c r="K46" i="18"/>
  <c r="K53" i="18"/>
  <c r="H53" i="18"/>
  <c r="I53" i="18" s="1"/>
  <c r="J53" i="18" s="1"/>
  <c r="L53" i="18" s="1"/>
  <c r="H43" i="18"/>
  <c r="I43" i="18" s="1"/>
  <c r="J43" i="18" s="1"/>
  <c r="L43" i="18" s="1"/>
  <c r="K44" i="18"/>
  <c r="H45" i="18"/>
  <c r="I45" i="18" s="1"/>
  <c r="J45" i="18" s="1"/>
  <c r="L45" i="18" s="1"/>
  <c r="H50" i="18"/>
  <c r="I50" i="18" s="1"/>
  <c r="J50" i="18" s="1"/>
  <c r="L50" i="18" s="1"/>
  <c r="K50" i="18"/>
  <c r="K40" i="18"/>
  <c r="H49" i="18"/>
  <c r="I49" i="18" s="1"/>
  <c r="J49" i="18" s="1"/>
  <c r="L49" i="18" s="1"/>
  <c r="H40" i="18"/>
  <c r="I40" i="18" s="1"/>
  <c r="J40" i="18" s="1"/>
  <c r="L40" i="18" s="1"/>
  <c r="K47" i="18"/>
  <c r="K49" i="18"/>
  <c r="H52" i="18"/>
  <c r="I52" i="18" s="1"/>
  <c r="J52" i="18" s="1"/>
  <c r="L52" i="18" s="1"/>
  <c r="H46" i="18"/>
  <c r="I46" i="18" s="1"/>
  <c r="J46" i="18" s="1"/>
  <c r="L46" i="18" s="1"/>
  <c r="K41" i="18"/>
  <c r="K42" i="18"/>
  <c r="H47" i="18"/>
  <c r="I47" i="18" s="1"/>
  <c r="J47" i="18" s="1"/>
  <c r="L47" i="18" s="1"/>
  <c r="E69" i="13"/>
  <c r="E64" i="13"/>
  <c r="K45" i="12"/>
  <c r="K43" i="12"/>
  <c r="H48" i="12"/>
  <c r="I48" i="12" s="1"/>
  <c r="J48" i="12" s="1"/>
  <c r="L48" i="12" s="1"/>
  <c r="H52" i="12"/>
  <c r="I52" i="12" s="1"/>
  <c r="J52" i="12" s="1"/>
  <c r="L52" i="12" s="1"/>
  <c r="H53" i="12"/>
  <c r="I53" i="12" s="1"/>
  <c r="J53" i="12" s="1"/>
  <c r="L53" i="12" s="1"/>
  <c r="H43" i="12"/>
  <c r="I43" i="12" s="1"/>
  <c r="J43" i="12" s="1"/>
  <c r="L43" i="12" s="1"/>
  <c r="H44" i="12"/>
  <c r="I44" i="12" s="1"/>
  <c r="J44" i="12" s="1"/>
  <c r="L44" i="12" s="1"/>
  <c r="K47" i="12"/>
  <c r="K46" i="12"/>
  <c r="K42" i="12"/>
  <c r="K49" i="12"/>
  <c r="H56" i="12"/>
  <c r="I56" i="12" s="1"/>
  <c r="J56" i="12" s="1"/>
  <c r="L56" i="12" s="1"/>
  <c r="H54" i="12"/>
  <c r="I54" i="12" s="1"/>
  <c r="J54" i="12" s="1"/>
  <c r="L54" i="12" s="1"/>
  <c r="K44" i="12"/>
  <c r="K52" i="12"/>
  <c r="H51" i="12"/>
  <c r="I51" i="12" s="1"/>
  <c r="J51" i="12" s="1"/>
  <c r="L51" i="12" s="1"/>
  <c r="H45" i="12"/>
  <c r="I45" i="12" s="1"/>
  <c r="J45" i="12" s="1"/>
  <c r="L45" i="12" s="1"/>
  <c r="H50" i="12"/>
  <c r="I50" i="12" s="1"/>
  <c r="J50" i="12" s="1"/>
  <c r="L50" i="12" s="1"/>
  <c r="K51" i="12"/>
  <c r="K48" i="12"/>
  <c r="H47" i="12"/>
  <c r="I47" i="12" s="1"/>
  <c r="J47" i="12" s="1"/>
  <c r="L47" i="12" s="1"/>
  <c r="H41" i="12"/>
  <c r="I41" i="12" s="1"/>
  <c r="J41" i="12" s="1"/>
  <c r="L41" i="12" s="1"/>
  <c r="G60" i="12"/>
  <c r="K41" i="12"/>
  <c r="K56" i="12"/>
  <c r="H46" i="12"/>
  <c r="I46" i="12" s="1"/>
  <c r="J46" i="12" s="1"/>
  <c r="L46" i="12" s="1"/>
  <c r="H42" i="12"/>
  <c r="I42" i="12" s="1"/>
  <c r="J42" i="12" s="1"/>
  <c r="L42" i="12" s="1"/>
  <c r="K54" i="12"/>
  <c r="K53" i="12"/>
  <c r="K50" i="12"/>
  <c r="H49" i="12"/>
  <c r="I49" i="12" s="1"/>
  <c r="J49" i="12" s="1"/>
  <c r="L49" i="12" s="1"/>
  <c r="H55" i="12"/>
  <c r="I55" i="12" s="1"/>
  <c r="J55" i="12" s="1"/>
  <c r="L55" i="12" s="1"/>
  <c r="K55" i="12"/>
  <c r="N58" i="18"/>
  <c r="H58" i="18"/>
  <c r="I58" i="18" s="1"/>
  <c r="J58" i="18" s="1"/>
  <c r="K58" i="18" s="1"/>
  <c r="B61" i="11"/>
  <c r="B66" i="11"/>
  <c r="E66" i="11"/>
  <c r="K74" i="11"/>
  <c r="E74" i="11" s="1"/>
  <c r="B73" i="11"/>
  <c r="E73" i="11"/>
  <c r="K62" i="11"/>
  <c r="E62" i="11" s="1"/>
  <c r="H58" i="17"/>
  <c r="I58" i="17" s="1"/>
  <c r="J58" i="17" s="1"/>
  <c r="K58" i="17" s="1"/>
  <c r="N58" i="17"/>
  <c r="K70" i="11"/>
  <c r="E70" i="11" s="1"/>
  <c r="K72" i="11"/>
  <c r="E72" i="11" s="1"/>
  <c r="K71" i="11"/>
  <c r="E71" i="11" s="1"/>
  <c r="E65" i="11"/>
  <c r="B65" i="11"/>
  <c r="K63" i="11"/>
  <c r="E63" i="11" s="1"/>
  <c r="K69" i="11"/>
  <c r="B69" i="11" s="1"/>
  <c r="N58" i="20"/>
  <c r="H58" i="20"/>
  <c r="I58" i="20" s="1"/>
  <c r="J58" i="20" s="1"/>
  <c r="K58" i="20" s="1"/>
  <c r="K64" i="11"/>
  <c r="E64" i="11" s="1"/>
  <c r="H58" i="19"/>
  <c r="I58" i="19" s="1"/>
  <c r="J58" i="19" s="1"/>
  <c r="K58" i="19" s="1"/>
  <c r="N58" i="19"/>
  <c r="L4" i="21"/>
  <c r="R4" i="21"/>
  <c r="U18" i="21"/>
  <c r="E67" i="11"/>
  <c r="B67" i="11"/>
  <c r="K68" i="11"/>
  <c r="E68" i="11" s="1"/>
  <c r="I3" i="11"/>
  <c r="B25" i="13"/>
  <c r="B31" i="13"/>
  <c r="B43" i="13"/>
  <c r="M34" i="11"/>
  <c r="N34" i="11" s="1"/>
  <c r="O34" i="11" s="1"/>
  <c r="G175" i="21"/>
  <c r="K169" i="21" s="1"/>
  <c r="B41" i="20"/>
  <c r="B39" i="20"/>
  <c r="G85" i="21"/>
  <c r="G49" i="21"/>
  <c r="G139" i="21"/>
  <c r="G31" i="21"/>
  <c r="G121" i="21"/>
  <c r="G67" i="21"/>
  <c r="G103" i="21"/>
  <c r="G157" i="21"/>
  <c r="G13" i="21"/>
  <c r="M35" i="11"/>
  <c r="N35" i="11" s="1"/>
  <c r="O35" i="11" s="1"/>
  <c r="B37" i="13"/>
  <c r="B51" i="13"/>
  <c r="B47" i="13"/>
  <c r="B33" i="13"/>
  <c r="B45" i="13"/>
  <c r="B39" i="13"/>
  <c r="B27" i="13"/>
  <c r="B29" i="13"/>
  <c r="B49" i="13"/>
  <c r="J18" i="21"/>
  <c r="J4" i="21"/>
  <c r="B41" i="13"/>
  <c r="B35" i="13"/>
  <c r="L166" i="21"/>
  <c r="M166" i="21" s="1"/>
  <c r="N166" i="21" s="1"/>
  <c r="Z166" i="21" s="1"/>
  <c r="R166" i="21"/>
  <c r="B47" i="18"/>
  <c r="G3" i="18"/>
  <c r="B51" i="14"/>
  <c r="G3" i="14"/>
  <c r="B43" i="15"/>
  <c r="G3" i="15"/>
  <c r="B35" i="20"/>
  <c r="G3" i="20"/>
  <c r="B29" i="19"/>
  <c r="G3" i="19"/>
  <c r="B47" i="19"/>
  <c r="N3" i="13"/>
  <c r="H3" i="13"/>
  <c r="I3" i="13" s="1"/>
  <c r="J3" i="13" s="1"/>
  <c r="K3" i="13" s="1"/>
  <c r="B27" i="12"/>
  <c r="G3" i="12"/>
  <c r="B43" i="17"/>
  <c r="G3" i="17"/>
  <c r="B49" i="12"/>
  <c r="B39" i="12"/>
  <c r="B29" i="12"/>
  <c r="M28" i="11"/>
  <c r="N28" i="11" s="1"/>
  <c r="O28" i="11" s="1"/>
  <c r="M31" i="11"/>
  <c r="N31" i="11" s="1"/>
  <c r="O31" i="11" s="1"/>
  <c r="B33" i="12"/>
  <c r="B35" i="12"/>
  <c r="B47" i="12"/>
  <c r="B25" i="12"/>
  <c r="B45" i="12"/>
  <c r="B31" i="12"/>
  <c r="B43" i="12"/>
  <c r="B37" i="12"/>
  <c r="B41" i="12"/>
  <c r="B51" i="12"/>
  <c r="B45" i="20"/>
  <c r="B43" i="20"/>
  <c r="B51" i="20"/>
  <c r="B29" i="15"/>
  <c r="M24" i="11"/>
  <c r="N24" i="11" s="1"/>
  <c r="O24" i="11" s="1"/>
  <c r="B33" i="20"/>
  <c r="B31" i="20"/>
  <c r="B29" i="20"/>
  <c r="B33" i="15"/>
  <c r="B25" i="20"/>
  <c r="B47" i="20"/>
  <c r="B27" i="20"/>
  <c r="B49" i="15"/>
  <c r="M22" i="11"/>
  <c r="N22" i="11" s="1"/>
  <c r="O22" i="11" s="1"/>
  <c r="B49" i="20"/>
  <c r="M23" i="11"/>
  <c r="N23" i="11" s="1"/>
  <c r="O23" i="11" s="1"/>
  <c r="B39" i="15"/>
  <c r="B51" i="15"/>
  <c r="B41" i="15"/>
  <c r="M25" i="11"/>
  <c r="N25" i="11" s="1"/>
  <c r="O25" i="11" s="1"/>
  <c r="B37" i="15"/>
  <c r="B45" i="15"/>
  <c r="B35" i="15"/>
  <c r="B47" i="15"/>
  <c r="B27" i="15"/>
  <c r="B31" i="15"/>
  <c r="B25" i="15"/>
  <c r="M29" i="11"/>
  <c r="N29" i="11" s="1"/>
  <c r="O29" i="11" s="1"/>
  <c r="M37" i="11"/>
  <c r="N37" i="11" s="1"/>
  <c r="O37" i="11" s="1"/>
  <c r="M33" i="11"/>
  <c r="N33" i="11" s="1"/>
  <c r="O33" i="11" s="1"/>
  <c r="M26" i="11"/>
  <c r="N26" i="11" s="1"/>
  <c r="O26" i="11" s="1"/>
  <c r="M32" i="11"/>
  <c r="N32" i="11" s="1"/>
  <c r="O32" i="11" s="1"/>
  <c r="B27" i="14"/>
  <c r="M36" i="11"/>
  <c r="N36" i="11" s="1"/>
  <c r="O36" i="11" s="1"/>
  <c r="B25" i="14"/>
  <c r="M27" i="11"/>
  <c r="N27" i="11" s="1"/>
  <c r="O27" i="11" s="1"/>
  <c r="B49" i="17"/>
  <c r="B27" i="17"/>
  <c r="B31" i="17"/>
  <c r="B39" i="17"/>
  <c r="B25" i="17"/>
  <c r="B47" i="17"/>
  <c r="B45" i="17"/>
  <c r="B37" i="17"/>
  <c r="B41" i="17"/>
  <c r="B33" i="17"/>
  <c r="B51" i="17"/>
  <c r="B29" i="17"/>
  <c r="B35" i="17"/>
  <c r="B43" i="18"/>
  <c r="B41" i="18"/>
  <c r="B25" i="18"/>
  <c r="B37" i="18"/>
  <c r="B33" i="18"/>
  <c r="B39" i="18"/>
  <c r="B31" i="18"/>
  <c r="B49" i="18"/>
  <c r="B35" i="18"/>
  <c r="B45" i="18"/>
  <c r="B51" i="18"/>
  <c r="B27" i="18"/>
  <c r="B29" i="18"/>
  <c r="B41" i="14"/>
  <c r="B37" i="14"/>
  <c r="B33" i="14"/>
  <c r="B31" i="14"/>
  <c r="B43" i="14"/>
  <c r="M30" i="11"/>
  <c r="N30" i="11" s="1"/>
  <c r="O30" i="11" s="1"/>
  <c r="B29" i="14"/>
  <c r="B35" i="14"/>
  <c r="B39" i="14"/>
  <c r="B47" i="14"/>
  <c r="B45" i="14"/>
  <c r="B49" i="14"/>
  <c r="B43" i="19"/>
  <c r="B45" i="19"/>
  <c r="B39" i="19"/>
  <c r="B25" i="19"/>
  <c r="B49" i="19"/>
  <c r="H33" i="19"/>
  <c r="I33" i="19" s="1"/>
  <c r="H22" i="19"/>
  <c r="I22" i="19" s="1"/>
  <c r="H27" i="19"/>
  <c r="I27" i="19" s="1"/>
  <c r="H28" i="19"/>
  <c r="I28" i="19" s="1"/>
  <c r="K36" i="19"/>
  <c r="H29" i="19"/>
  <c r="I29" i="19" s="1"/>
  <c r="H26" i="19"/>
  <c r="I26" i="19" s="1"/>
  <c r="H31" i="19"/>
  <c r="I31" i="19" s="1"/>
  <c r="H32" i="19"/>
  <c r="I32" i="19" s="1"/>
  <c r="H25" i="19"/>
  <c r="I25" i="19" s="1"/>
  <c r="H30" i="19"/>
  <c r="I30" i="19" s="1"/>
  <c r="H35" i="19"/>
  <c r="I35" i="19" s="1"/>
  <c r="H36" i="19"/>
  <c r="I36" i="19" s="1"/>
  <c r="K35" i="19"/>
  <c r="H34" i="19"/>
  <c r="I34" i="19" s="1"/>
  <c r="K22" i="19"/>
  <c r="K24" i="19"/>
  <c r="K25" i="19"/>
  <c r="K26" i="19"/>
  <c r="K23" i="19"/>
  <c r="H23" i="19"/>
  <c r="I23" i="19" s="1"/>
  <c r="H24" i="19"/>
  <c r="I24" i="19" s="1"/>
  <c r="K28" i="19"/>
  <c r="K29" i="19"/>
  <c r="K30" i="19"/>
  <c r="K27" i="19"/>
  <c r="K32" i="19"/>
  <c r="K33" i="19"/>
  <c r="K34" i="19"/>
  <c r="K31" i="19"/>
  <c r="B41" i="19"/>
  <c r="B37" i="19"/>
  <c r="B31" i="19"/>
  <c r="H25" i="14"/>
  <c r="I25" i="14" s="1"/>
  <c r="H34" i="14"/>
  <c r="I34" i="14" s="1"/>
  <c r="H35" i="14"/>
  <c r="I35" i="14" s="1"/>
  <c r="H36" i="14"/>
  <c r="I36" i="14" s="1"/>
  <c r="K22" i="14"/>
  <c r="H30" i="14"/>
  <c r="I30" i="14" s="1"/>
  <c r="K24" i="14"/>
  <c r="K25" i="14"/>
  <c r="H31" i="14"/>
  <c r="I31" i="14" s="1"/>
  <c r="K28" i="14"/>
  <c r="K29" i="14"/>
  <c r="K26" i="14"/>
  <c r="K23" i="14"/>
  <c r="K30" i="14"/>
  <c r="H32" i="14"/>
  <c r="I32" i="14" s="1"/>
  <c r="K35" i="14"/>
  <c r="K32" i="14"/>
  <c r="K33" i="14"/>
  <c r="K27" i="14"/>
  <c r="K36" i="14"/>
  <c r="K37" i="14"/>
  <c r="K34" i="14"/>
  <c r="K31" i="14"/>
  <c r="H37" i="14"/>
  <c r="I37" i="14" s="1"/>
  <c r="H23" i="14"/>
  <c r="I23" i="14" s="1"/>
  <c r="H24" i="14"/>
  <c r="I24" i="14" s="1"/>
  <c r="H29" i="14"/>
  <c r="I29" i="14" s="1"/>
  <c r="H22" i="14"/>
  <c r="I22" i="14" s="1"/>
  <c r="H33" i="14"/>
  <c r="I33" i="14" s="1"/>
  <c r="H26" i="14"/>
  <c r="I26" i="14" s="1"/>
  <c r="H27" i="14"/>
  <c r="I27" i="14" s="1"/>
  <c r="H28" i="14"/>
  <c r="I28" i="14" s="1"/>
  <c r="K32" i="20"/>
  <c r="K33" i="20"/>
  <c r="K34" i="20"/>
  <c r="K31" i="20"/>
  <c r="K36" i="20"/>
  <c r="H23" i="20"/>
  <c r="I23" i="20" s="1"/>
  <c r="H24" i="20"/>
  <c r="I24" i="20" s="1"/>
  <c r="K30" i="20"/>
  <c r="H22" i="20"/>
  <c r="I22" i="20" s="1"/>
  <c r="H27" i="20"/>
  <c r="I27" i="20" s="1"/>
  <c r="H28" i="20"/>
  <c r="I28" i="20" s="1"/>
  <c r="K29" i="20"/>
  <c r="H33" i="20"/>
  <c r="I33" i="20" s="1"/>
  <c r="H26" i="20"/>
  <c r="I26" i="20" s="1"/>
  <c r="H31" i="20"/>
  <c r="I31" i="20" s="1"/>
  <c r="H32" i="20"/>
  <c r="I32" i="20" s="1"/>
  <c r="K28" i="20"/>
  <c r="H29" i="20"/>
  <c r="I29" i="20" s="1"/>
  <c r="H30" i="20"/>
  <c r="I30" i="20" s="1"/>
  <c r="H35" i="20"/>
  <c r="I35" i="20" s="1"/>
  <c r="H36" i="20"/>
  <c r="I36" i="20" s="1"/>
  <c r="K27" i="20"/>
  <c r="K35" i="20"/>
  <c r="H25" i="20"/>
  <c r="I25" i="20" s="1"/>
  <c r="H34" i="20"/>
  <c r="I34" i="20" s="1"/>
  <c r="K22" i="20"/>
  <c r="K24" i="20"/>
  <c r="K25" i="20"/>
  <c r="K26" i="20"/>
  <c r="K23" i="20"/>
  <c r="K28" i="15"/>
  <c r="K29" i="15"/>
  <c r="K26" i="15"/>
  <c r="K23" i="15"/>
  <c r="K32" i="15"/>
  <c r="K33" i="15"/>
  <c r="K30" i="15"/>
  <c r="K27" i="15"/>
  <c r="K36" i="15"/>
  <c r="K37" i="15"/>
  <c r="K34" i="15"/>
  <c r="K31" i="15"/>
  <c r="K24" i="15"/>
  <c r="K22" i="15"/>
  <c r="H33" i="15"/>
  <c r="I33" i="15" s="1"/>
  <c r="H22" i="15"/>
  <c r="I22" i="15" s="1"/>
  <c r="H23" i="15"/>
  <c r="I23" i="15" s="1"/>
  <c r="H24" i="15"/>
  <c r="I24" i="15" s="1"/>
  <c r="K35" i="15"/>
  <c r="H25" i="15"/>
  <c r="I25" i="15" s="1"/>
  <c r="H26" i="15"/>
  <c r="I26" i="15" s="1"/>
  <c r="H27" i="15"/>
  <c r="I27" i="15" s="1"/>
  <c r="H28" i="15"/>
  <c r="I28" i="15" s="1"/>
  <c r="H37" i="15"/>
  <c r="I37" i="15" s="1"/>
  <c r="H30" i="15"/>
  <c r="I30" i="15" s="1"/>
  <c r="H32" i="15"/>
  <c r="I32" i="15" s="1"/>
  <c r="K25" i="15"/>
  <c r="H31" i="15"/>
  <c r="I31" i="15" s="1"/>
  <c r="H29" i="15"/>
  <c r="I29" i="15" s="1"/>
  <c r="H34" i="15"/>
  <c r="I34" i="15" s="1"/>
  <c r="H35" i="15"/>
  <c r="I35" i="15" s="1"/>
  <c r="H36" i="15"/>
  <c r="I36" i="15" s="1"/>
  <c r="B35" i="19"/>
  <c r="B33" i="19"/>
  <c r="H33" i="13"/>
  <c r="I33" i="13" s="1"/>
  <c r="H26" i="13"/>
  <c r="I26" i="13" s="1"/>
  <c r="H27" i="13"/>
  <c r="I27" i="13" s="1"/>
  <c r="H28" i="13"/>
  <c r="I28" i="13" s="1"/>
  <c r="H29" i="13"/>
  <c r="I29" i="13" s="1"/>
  <c r="H31" i="13"/>
  <c r="I31" i="13" s="1"/>
  <c r="H30" i="13"/>
  <c r="I30" i="13" s="1"/>
  <c r="H32" i="13"/>
  <c r="I32" i="13" s="1"/>
  <c r="H25" i="13"/>
  <c r="I25" i="13" s="1"/>
  <c r="H23" i="13"/>
  <c r="I23" i="13" s="1"/>
  <c r="H37" i="13"/>
  <c r="I37" i="13" s="1"/>
  <c r="H34" i="13"/>
  <c r="I34" i="13" s="1"/>
  <c r="H35" i="13"/>
  <c r="I35" i="13" s="1"/>
  <c r="H36" i="13"/>
  <c r="I36" i="13" s="1"/>
  <c r="K25" i="13"/>
  <c r="K24" i="13"/>
  <c r="K22" i="13"/>
  <c r="K28" i="13"/>
  <c r="K29" i="13"/>
  <c r="K26" i="13"/>
  <c r="K23" i="13"/>
  <c r="K33" i="13"/>
  <c r="K30" i="13"/>
  <c r="K27" i="13"/>
  <c r="K32" i="13"/>
  <c r="H22" i="13"/>
  <c r="I22" i="13" s="1"/>
  <c r="K35" i="13"/>
  <c r="K36" i="13"/>
  <c r="K37" i="13"/>
  <c r="K34" i="13"/>
  <c r="K31" i="13"/>
  <c r="H24" i="13"/>
  <c r="I24" i="13" s="1"/>
  <c r="K35" i="12"/>
  <c r="K36" i="12"/>
  <c r="K37" i="12"/>
  <c r="K34" i="12"/>
  <c r="K31" i="12"/>
  <c r="H37" i="12"/>
  <c r="I37" i="12" s="1"/>
  <c r="H31" i="12"/>
  <c r="I31" i="12" s="1"/>
  <c r="H32" i="12"/>
  <c r="I32" i="12" s="1"/>
  <c r="H22" i="12"/>
  <c r="I22" i="12" s="1"/>
  <c r="H23" i="12"/>
  <c r="I23" i="12" s="1"/>
  <c r="H24" i="12"/>
  <c r="I24" i="12" s="1"/>
  <c r="H29" i="12"/>
  <c r="I29" i="12" s="1"/>
  <c r="H26" i="12"/>
  <c r="I26" i="12" s="1"/>
  <c r="H27" i="12"/>
  <c r="I27" i="12" s="1"/>
  <c r="H28" i="12"/>
  <c r="I28" i="12" s="1"/>
  <c r="H30" i="12"/>
  <c r="I30" i="12" s="1"/>
  <c r="H33" i="12"/>
  <c r="I33" i="12" s="1"/>
  <c r="H25" i="12"/>
  <c r="I25" i="12" s="1"/>
  <c r="H34" i="12"/>
  <c r="I34" i="12" s="1"/>
  <c r="H35" i="12"/>
  <c r="I35" i="12" s="1"/>
  <c r="H36" i="12"/>
  <c r="I36" i="12" s="1"/>
  <c r="K25" i="12"/>
  <c r="K24" i="12"/>
  <c r="K22" i="12"/>
  <c r="K32" i="12"/>
  <c r="K33" i="12"/>
  <c r="K30" i="12"/>
  <c r="K27" i="12"/>
  <c r="K28" i="12"/>
  <c r="K29" i="12"/>
  <c r="K26" i="12"/>
  <c r="K23" i="12"/>
  <c r="B51" i="19"/>
  <c r="K35" i="17"/>
  <c r="H34" i="17"/>
  <c r="I34" i="17" s="1"/>
  <c r="K22" i="17"/>
  <c r="H30" i="17"/>
  <c r="I30" i="17" s="1"/>
  <c r="K24" i="17"/>
  <c r="K25" i="17"/>
  <c r="K26" i="17"/>
  <c r="K23" i="17"/>
  <c r="K28" i="17"/>
  <c r="K29" i="17"/>
  <c r="K30" i="17"/>
  <c r="K27" i="17"/>
  <c r="H33" i="17"/>
  <c r="I33" i="17" s="1"/>
  <c r="H36" i="17"/>
  <c r="I36" i="17" s="1"/>
  <c r="K32" i="17"/>
  <c r="K33" i="17"/>
  <c r="K34" i="17"/>
  <c r="K31" i="17"/>
  <c r="K36" i="17"/>
  <c r="H23" i="17"/>
  <c r="I23" i="17" s="1"/>
  <c r="H24" i="17"/>
  <c r="I24" i="17" s="1"/>
  <c r="H29" i="17"/>
  <c r="I29" i="17" s="1"/>
  <c r="H22" i="17"/>
  <c r="H27" i="17"/>
  <c r="I27" i="17" s="1"/>
  <c r="H28" i="17"/>
  <c r="I28" i="17" s="1"/>
  <c r="H35" i="17"/>
  <c r="I35" i="17" s="1"/>
  <c r="H25" i="17"/>
  <c r="I25" i="17" s="1"/>
  <c r="H26" i="17"/>
  <c r="I26" i="17" s="1"/>
  <c r="H31" i="17"/>
  <c r="I31" i="17" s="1"/>
  <c r="H32" i="17"/>
  <c r="I32" i="17" s="1"/>
  <c r="K24" i="18"/>
  <c r="K25" i="18"/>
  <c r="K26" i="18"/>
  <c r="K23" i="18"/>
  <c r="K22" i="18"/>
  <c r="H29" i="18"/>
  <c r="I29" i="18" s="1"/>
  <c r="K29" i="18"/>
  <c r="K30" i="18"/>
  <c r="K27" i="18"/>
  <c r="H25" i="18"/>
  <c r="I25" i="18" s="1"/>
  <c r="K33" i="18"/>
  <c r="K34" i="18"/>
  <c r="K31" i="18"/>
  <c r="K32" i="18"/>
  <c r="K35" i="18"/>
  <c r="H23" i="18"/>
  <c r="I23" i="18" s="1"/>
  <c r="H24" i="18"/>
  <c r="I24" i="18" s="1"/>
  <c r="K36" i="18"/>
  <c r="K28" i="18"/>
  <c r="H22" i="18"/>
  <c r="I22" i="18" s="1"/>
  <c r="H27" i="18"/>
  <c r="I27" i="18" s="1"/>
  <c r="H28" i="18"/>
  <c r="I28" i="18" s="1"/>
  <c r="H33" i="18"/>
  <c r="I33" i="18" s="1"/>
  <c r="H26" i="18"/>
  <c r="I26" i="18" s="1"/>
  <c r="H31" i="18"/>
  <c r="I31" i="18" s="1"/>
  <c r="H32" i="18"/>
  <c r="I32" i="18" s="1"/>
  <c r="H34" i="18"/>
  <c r="I34" i="18" s="1"/>
  <c r="H30" i="18"/>
  <c r="I30" i="18" s="1"/>
  <c r="H35" i="18"/>
  <c r="I35" i="18" s="1"/>
  <c r="H36" i="18"/>
  <c r="I36" i="18" s="1"/>
  <c r="B27" i="19"/>
  <c r="H14" i="11"/>
  <c r="I14" i="11" s="1"/>
  <c r="D26" i="11"/>
  <c r="D27" i="11"/>
  <c r="D28" i="11"/>
  <c r="L4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H6" i="11"/>
  <c r="I6" i="11" s="1"/>
  <c r="H7" i="11"/>
  <c r="I7" i="11" s="1"/>
  <c r="H8" i="11"/>
  <c r="I8" i="11" s="1"/>
  <c r="H9" i="11"/>
  <c r="I9" i="11" s="1"/>
  <c r="H10" i="11"/>
  <c r="I10" i="11" s="1"/>
  <c r="H11" i="11"/>
  <c r="I11" i="11" s="1"/>
  <c r="H12" i="11"/>
  <c r="I12" i="11" s="1"/>
  <c r="H13" i="11"/>
  <c r="I13" i="11" s="1"/>
  <c r="H15" i="11"/>
  <c r="I15" i="11" s="1"/>
  <c r="H16" i="11"/>
  <c r="I16" i="11" s="1"/>
  <c r="H17" i="11"/>
  <c r="I17" i="11" s="1"/>
  <c r="M47" i="17" l="1"/>
  <c r="N47" i="17" s="1"/>
  <c r="O47" i="17" s="1"/>
  <c r="M53" i="20"/>
  <c r="N53" i="20" s="1"/>
  <c r="O53" i="20" s="1"/>
  <c r="M54" i="14"/>
  <c r="N54" i="14" s="1"/>
  <c r="O54" i="14" s="1"/>
  <c r="M52" i="15"/>
  <c r="N52" i="15" s="1"/>
  <c r="O52" i="15" s="1"/>
  <c r="M50" i="12"/>
  <c r="N50" i="12" s="1"/>
  <c r="O50" i="12" s="1"/>
  <c r="M50" i="17"/>
  <c r="N50" i="17" s="1"/>
  <c r="O50" i="17" s="1"/>
  <c r="M45" i="20"/>
  <c r="N45" i="20" s="1"/>
  <c r="O45" i="20" s="1"/>
  <c r="M50" i="15"/>
  <c r="N50" i="15" s="1"/>
  <c r="O50" i="15" s="1"/>
  <c r="M55" i="11"/>
  <c r="N55" i="11" s="1"/>
  <c r="O55" i="11" s="1"/>
  <c r="M49" i="14"/>
  <c r="N49" i="14" s="1"/>
  <c r="O49" i="14" s="1"/>
  <c r="M48" i="13"/>
  <c r="N48" i="13" s="1"/>
  <c r="O48" i="13" s="1"/>
  <c r="M56" i="13"/>
  <c r="N56" i="13" s="1"/>
  <c r="O56" i="13" s="1"/>
  <c r="M56" i="15"/>
  <c r="N56" i="15" s="1"/>
  <c r="O56" i="15" s="1"/>
  <c r="M52" i="18"/>
  <c r="N52" i="18" s="1"/>
  <c r="O52" i="18" s="1"/>
  <c r="M52" i="14"/>
  <c r="N52" i="14" s="1"/>
  <c r="O52" i="14" s="1"/>
  <c r="M43" i="14"/>
  <c r="N43" i="14" s="1"/>
  <c r="O43" i="14" s="1"/>
  <c r="M47" i="15"/>
  <c r="N47" i="15" s="1"/>
  <c r="O47" i="15" s="1"/>
  <c r="M42" i="17"/>
  <c r="N42" i="17" s="1"/>
  <c r="O42" i="17" s="1"/>
  <c r="M42" i="14"/>
  <c r="N42" i="14" s="1"/>
  <c r="O42" i="14" s="1"/>
  <c r="M46" i="17"/>
  <c r="N46" i="17" s="1"/>
  <c r="O46" i="17" s="1"/>
  <c r="M49" i="12"/>
  <c r="N49" i="12" s="1"/>
  <c r="O49" i="12" s="1"/>
  <c r="M43" i="17"/>
  <c r="N43" i="17" s="1"/>
  <c r="O43" i="17" s="1"/>
  <c r="M48" i="15"/>
  <c r="N48" i="15" s="1"/>
  <c r="O48" i="15" s="1"/>
  <c r="M49" i="15"/>
  <c r="N49" i="15" s="1"/>
  <c r="O49" i="15" s="1"/>
  <c r="M45" i="15"/>
  <c r="N45" i="15" s="1"/>
  <c r="O45" i="15" s="1"/>
  <c r="M51" i="11"/>
  <c r="N51" i="11" s="1"/>
  <c r="O51" i="11" s="1"/>
  <c r="M47" i="14"/>
  <c r="N47" i="14" s="1"/>
  <c r="O47" i="14" s="1"/>
  <c r="M46" i="20"/>
  <c r="N46" i="20" s="1"/>
  <c r="O46" i="20" s="1"/>
  <c r="M51" i="20"/>
  <c r="N51" i="20" s="1"/>
  <c r="O51" i="20" s="1"/>
  <c r="M54" i="13"/>
  <c r="N54" i="13" s="1"/>
  <c r="O54" i="13" s="1"/>
  <c r="M51" i="12"/>
  <c r="N51" i="12" s="1"/>
  <c r="O51" i="12" s="1"/>
  <c r="M43" i="18"/>
  <c r="N43" i="18" s="1"/>
  <c r="O43" i="18" s="1"/>
  <c r="M40" i="19"/>
  <c r="N40" i="19" s="1"/>
  <c r="O40" i="19" s="1"/>
  <c r="M50" i="20"/>
  <c r="N50" i="20" s="1"/>
  <c r="O50" i="20" s="1"/>
  <c r="M53" i="13"/>
  <c r="N53" i="13" s="1"/>
  <c r="O53" i="13" s="1"/>
  <c r="M48" i="19"/>
  <c r="N48" i="19" s="1"/>
  <c r="O48" i="19" s="1"/>
  <c r="M46" i="13"/>
  <c r="N46" i="13" s="1"/>
  <c r="O46" i="13" s="1"/>
  <c r="M42" i="13"/>
  <c r="N42" i="13" s="1"/>
  <c r="O42" i="13" s="1"/>
  <c r="M48" i="12"/>
  <c r="N48" i="12" s="1"/>
  <c r="O48" i="12" s="1"/>
  <c r="M50" i="18"/>
  <c r="N50" i="18" s="1"/>
  <c r="O50" i="18" s="1"/>
  <c r="M52" i="20"/>
  <c r="N52" i="20" s="1"/>
  <c r="O52" i="20" s="1"/>
  <c r="M46" i="12"/>
  <c r="N46" i="12" s="1"/>
  <c r="O46" i="12" s="1"/>
  <c r="M45" i="18"/>
  <c r="N45" i="18" s="1"/>
  <c r="O45" i="18" s="1"/>
  <c r="M50" i="19"/>
  <c r="N50" i="19" s="1"/>
  <c r="O50" i="19" s="1"/>
  <c r="M41" i="17"/>
  <c r="N41" i="17" s="1"/>
  <c r="O41" i="17" s="1"/>
  <c r="M46" i="15"/>
  <c r="N46" i="15" s="1"/>
  <c r="O46" i="15" s="1"/>
  <c r="M48" i="11"/>
  <c r="N48" i="11" s="1"/>
  <c r="O48" i="11" s="1"/>
  <c r="M44" i="11"/>
  <c r="N44" i="11" s="1"/>
  <c r="O44" i="11" s="1"/>
  <c r="M51" i="13"/>
  <c r="N51" i="13" s="1"/>
  <c r="O51" i="13" s="1"/>
  <c r="M45" i="12"/>
  <c r="N45" i="12" s="1"/>
  <c r="O45" i="12" s="1"/>
  <c r="M44" i="15"/>
  <c r="N44" i="15" s="1"/>
  <c r="O44" i="15" s="1"/>
  <c r="M41" i="15"/>
  <c r="N41" i="15" s="1"/>
  <c r="O41" i="15" s="1"/>
  <c r="M43" i="13"/>
  <c r="N43" i="13" s="1"/>
  <c r="O43" i="13" s="1"/>
  <c r="M52" i="13"/>
  <c r="N52" i="13" s="1"/>
  <c r="O52" i="13" s="1"/>
  <c r="M55" i="12"/>
  <c r="N55" i="12" s="1"/>
  <c r="O55" i="12" s="1"/>
  <c r="M48" i="18"/>
  <c r="N48" i="18" s="1"/>
  <c r="O48" i="18" s="1"/>
  <c r="M42" i="19"/>
  <c r="N42" i="19" s="1"/>
  <c r="O42" i="19" s="1"/>
  <c r="M54" i="11"/>
  <c r="N54" i="11" s="1"/>
  <c r="O54" i="11" s="1"/>
  <c r="M55" i="14"/>
  <c r="N55" i="14" s="1"/>
  <c r="O55" i="14" s="1"/>
  <c r="M49" i="18"/>
  <c r="N49" i="18" s="1"/>
  <c r="O49" i="18" s="1"/>
  <c r="M54" i="17"/>
  <c r="N54" i="17" s="1"/>
  <c r="O54" i="17" s="1"/>
  <c r="M47" i="20"/>
  <c r="N47" i="20" s="1"/>
  <c r="O47" i="20" s="1"/>
  <c r="M53" i="11"/>
  <c r="N53" i="11" s="1"/>
  <c r="O53" i="11" s="1"/>
  <c r="M53" i="14"/>
  <c r="N53" i="14" s="1"/>
  <c r="O53" i="14" s="1"/>
  <c r="M54" i="12"/>
  <c r="N54" i="12" s="1"/>
  <c r="O54" i="12" s="1"/>
  <c r="M49" i="17"/>
  <c r="N49" i="17" s="1"/>
  <c r="O49" i="17" s="1"/>
  <c r="M45" i="11"/>
  <c r="N45" i="11" s="1"/>
  <c r="O45" i="11" s="1"/>
  <c r="M51" i="14"/>
  <c r="N51" i="14" s="1"/>
  <c r="O51" i="14" s="1"/>
  <c r="M56" i="14"/>
  <c r="N56" i="14" s="1"/>
  <c r="O56" i="14" s="1"/>
  <c r="M55" i="13"/>
  <c r="N55" i="13" s="1"/>
  <c r="O55" i="13" s="1"/>
  <c r="H60" i="12"/>
  <c r="I60" i="12" s="1"/>
  <c r="J60" i="12" s="1"/>
  <c r="K60" i="12" s="1"/>
  <c r="N60" i="12"/>
  <c r="M44" i="12"/>
  <c r="N44" i="12" s="1"/>
  <c r="O44" i="12" s="1"/>
  <c r="M40" i="18"/>
  <c r="N40" i="18" s="1"/>
  <c r="O40" i="18" s="1"/>
  <c r="M53" i="18"/>
  <c r="N53" i="18" s="1"/>
  <c r="O53" i="18" s="1"/>
  <c r="M41" i="18"/>
  <c r="N41" i="18" s="1"/>
  <c r="O41" i="18" s="1"/>
  <c r="M41" i="19"/>
  <c r="N41" i="19" s="1"/>
  <c r="O41" i="19" s="1"/>
  <c r="M51" i="17"/>
  <c r="N51" i="17" s="1"/>
  <c r="O51" i="17" s="1"/>
  <c r="M43" i="20"/>
  <c r="N43" i="20" s="1"/>
  <c r="O43" i="20" s="1"/>
  <c r="M42" i="20"/>
  <c r="N42" i="20" s="1"/>
  <c r="O42" i="20" s="1"/>
  <c r="M42" i="11"/>
  <c r="N42" i="11" s="1"/>
  <c r="O42" i="11" s="1"/>
  <c r="M46" i="11"/>
  <c r="N46" i="11" s="1"/>
  <c r="O46" i="11" s="1"/>
  <c r="M41" i="11"/>
  <c r="N41" i="11" s="1"/>
  <c r="O41" i="11" s="1"/>
  <c r="M49" i="13"/>
  <c r="N49" i="13" s="1"/>
  <c r="O49" i="13" s="1"/>
  <c r="M48" i="20"/>
  <c r="N48" i="20" s="1"/>
  <c r="O48" i="20" s="1"/>
  <c r="M41" i="12"/>
  <c r="N41" i="12" s="1"/>
  <c r="O41" i="12" s="1"/>
  <c r="M43" i="12"/>
  <c r="N43" i="12" s="1"/>
  <c r="O43" i="12" s="1"/>
  <c r="M47" i="18"/>
  <c r="N47" i="18" s="1"/>
  <c r="O47" i="18" s="1"/>
  <c r="M45" i="19"/>
  <c r="N45" i="19" s="1"/>
  <c r="O45" i="19" s="1"/>
  <c r="M40" i="17"/>
  <c r="N40" i="17" s="1"/>
  <c r="O40" i="17" s="1"/>
  <c r="M53" i="17"/>
  <c r="N53" i="17" s="1"/>
  <c r="O53" i="17" s="1"/>
  <c r="M54" i="15"/>
  <c r="N54" i="15" s="1"/>
  <c r="O54" i="15" s="1"/>
  <c r="M50" i="11"/>
  <c r="N50" i="11" s="1"/>
  <c r="O50" i="11" s="1"/>
  <c r="M45" i="14"/>
  <c r="N45" i="14" s="1"/>
  <c r="O45" i="14" s="1"/>
  <c r="M47" i="13"/>
  <c r="N47" i="13" s="1"/>
  <c r="O47" i="13" s="1"/>
  <c r="M41" i="13"/>
  <c r="N41" i="13" s="1"/>
  <c r="O41" i="13" s="1"/>
  <c r="M47" i="12"/>
  <c r="N47" i="12" s="1"/>
  <c r="O47" i="12" s="1"/>
  <c r="M53" i="12"/>
  <c r="N53" i="12" s="1"/>
  <c r="O53" i="12" s="1"/>
  <c r="M43" i="19"/>
  <c r="N43" i="19" s="1"/>
  <c r="O43" i="19" s="1"/>
  <c r="M53" i="15"/>
  <c r="N53" i="15" s="1"/>
  <c r="O53" i="15" s="1"/>
  <c r="M42" i="15"/>
  <c r="N42" i="15" s="1"/>
  <c r="O42" i="15" s="1"/>
  <c r="M55" i="15"/>
  <c r="N55" i="15" s="1"/>
  <c r="O55" i="15" s="1"/>
  <c r="M47" i="11"/>
  <c r="N47" i="11" s="1"/>
  <c r="O47" i="11" s="1"/>
  <c r="M50" i="13"/>
  <c r="N50" i="13" s="1"/>
  <c r="O50" i="13" s="1"/>
  <c r="M56" i="12"/>
  <c r="N56" i="12" s="1"/>
  <c r="O56" i="12" s="1"/>
  <c r="M52" i="12"/>
  <c r="N52" i="12" s="1"/>
  <c r="O52" i="12" s="1"/>
  <c r="M54" i="18"/>
  <c r="N54" i="18" s="1"/>
  <c r="O54" i="18" s="1"/>
  <c r="M51" i="18"/>
  <c r="N51" i="18" s="1"/>
  <c r="O51" i="18" s="1"/>
  <c r="M47" i="19"/>
  <c r="N47" i="19" s="1"/>
  <c r="O47" i="19" s="1"/>
  <c r="M51" i="19"/>
  <c r="N51" i="19" s="1"/>
  <c r="O51" i="19" s="1"/>
  <c r="M53" i="19"/>
  <c r="N53" i="19" s="1"/>
  <c r="O53" i="19" s="1"/>
  <c r="M48" i="17"/>
  <c r="N48" i="17" s="1"/>
  <c r="O48" i="17" s="1"/>
  <c r="M44" i="17"/>
  <c r="N44" i="17" s="1"/>
  <c r="O44" i="17" s="1"/>
  <c r="M41" i="20"/>
  <c r="N41" i="20" s="1"/>
  <c r="O41" i="20" s="1"/>
  <c r="M43" i="15"/>
  <c r="N43" i="15" s="1"/>
  <c r="O43" i="15" s="1"/>
  <c r="M49" i="11"/>
  <c r="N49" i="11" s="1"/>
  <c r="O49" i="11" s="1"/>
  <c r="M44" i="13"/>
  <c r="N44" i="13" s="1"/>
  <c r="O44" i="13" s="1"/>
  <c r="N60" i="15"/>
  <c r="H60" i="15"/>
  <c r="I60" i="15" s="1"/>
  <c r="J60" i="15" s="1"/>
  <c r="K60" i="15" s="1"/>
  <c r="M42" i="12"/>
  <c r="N42" i="12" s="1"/>
  <c r="O42" i="12" s="1"/>
  <c r="M46" i="18"/>
  <c r="N46" i="18" s="1"/>
  <c r="O46" i="18" s="1"/>
  <c r="M44" i="18"/>
  <c r="N44" i="18" s="1"/>
  <c r="O44" i="18" s="1"/>
  <c r="M42" i="18"/>
  <c r="N42" i="18" s="1"/>
  <c r="O42" i="18" s="1"/>
  <c r="M49" i="19"/>
  <c r="N49" i="19" s="1"/>
  <c r="O49" i="19" s="1"/>
  <c r="M46" i="19"/>
  <c r="N46" i="19" s="1"/>
  <c r="O46" i="19" s="1"/>
  <c r="M44" i="19"/>
  <c r="N44" i="19" s="1"/>
  <c r="O44" i="19" s="1"/>
  <c r="M40" i="20"/>
  <c r="N40" i="20" s="1"/>
  <c r="O40" i="20" s="1"/>
  <c r="H60" i="11"/>
  <c r="I60" i="11" s="1"/>
  <c r="J60" i="11" s="1"/>
  <c r="K60" i="11" s="1"/>
  <c r="N60" i="11"/>
  <c r="M52" i="11"/>
  <c r="N52" i="11" s="1"/>
  <c r="O52" i="11" s="1"/>
  <c r="M56" i="11"/>
  <c r="N56" i="11" s="1"/>
  <c r="O56" i="11" s="1"/>
  <c r="M46" i="14"/>
  <c r="N46" i="14" s="1"/>
  <c r="O46" i="14" s="1"/>
  <c r="H60" i="13"/>
  <c r="I60" i="13" s="1"/>
  <c r="J60" i="13" s="1"/>
  <c r="K60" i="13" s="1"/>
  <c r="N60" i="13"/>
  <c r="M52" i="17"/>
  <c r="N52" i="17" s="1"/>
  <c r="O52" i="17" s="1"/>
  <c r="M43" i="11"/>
  <c r="N43" i="11" s="1"/>
  <c r="O43" i="11" s="1"/>
  <c r="M44" i="14"/>
  <c r="N44" i="14" s="1"/>
  <c r="O44" i="14" s="1"/>
  <c r="N60" i="14"/>
  <c r="H60" i="14"/>
  <c r="I60" i="14" s="1"/>
  <c r="J60" i="14" s="1"/>
  <c r="K60" i="14" s="1"/>
  <c r="M45" i="13"/>
  <c r="N45" i="13" s="1"/>
  <c r="O45" i="13" s="1"/>
  <c r="M52" i="19"/>
  <c r="N52" i="19" s="1"/>
  <c r="O52" i="19" s="1"/>
  <c r="M49" i="20"/>
  <c r="N49" i="20" s="1"/>
  <c r="O49" i="20" s="1"/>
  <c r="M54" i="20"/>
  <c r="N54" i="20" s="1"/>
  <c r="O54" i="20" s="1"/>
  <c r="M44" i="20"/>
  <c r="N44" i="20" s="1"/>
  <c r="O44" i="20" s="1"/>
  <c r="M51" i="15"/>
  <c r="N51" i="15" s="1"/>
  <c r="O51" i="15" s="1"/>
  <c r="M48" i="14"/>
  <c r="N48" i="14" s="1"/>
  <c r="O48" i="14" s="1"/>
  <c r="B74" i="11"/>
  <c r="B70" i="11"/>
  <c r="M4" i="21"/>
  <c r="N4" i="21" s="1"/>
  <c r="B63" i="11"/>
  <c r="B68" i="11"/>
  <c r="B64" i="11"/>
  <c r="B58" i="17"/>
  <c r="E58" i="17"/>
  <c r="E58" i="20"/>
  <c r="B58" i="20"/>
  <c r="B71" i="11"/>
  <c r="B62" i="11"/>
  <c r="E58" i="18"/>
  <c r="B58" i="18"/>
  <c r="E58" i="19"/>
  <c r="B58" i="19"/>
  <c r="E69" i="11"/>
  <c r="B72" i="11"/>
  <c r="K151" i="21"/>
  <c r="L151" i="21" s="1"/>
  <c r="M151" i="21" s="1"/>
  <c r="N151" i="21" s="1"/>
  <c r="K135" i="21"/>
  <c r="R135" i="21" s="1"/>
  <c r="K119" i="21"/>
  <c r="R119" i="21" s="1"/>
  <c r="K104" i="21"/>
  <c r="R104" i="21" s="1"/>
  <c r="K83" i="21"/>
  <c r="R83" i="21" s="1"/>
  <c r="K68" i="21"/>
  <c r="K50" i="21"/>
  <c r="R50" i="21" s="1"/>
  <c r="K41" i="21"/>
  <c r="K25" i="21"/>
  <c r="R25" i="21" s="1"/>
  <c r="K23" i="21"/>
  <c r="R23" i="21" s="1"/>
  <c r="K6" i="21"/>
  <c r="R6" i="21" s="1"/>
  <c r="K5" i="21"/>
  <c r="L3" i="11"/>
  <c r="J3" i="11"/>
  <c r="K105" i="21"/>
  <c r="K171" i="21"/>
  <c r="L171" i="21" s="1"/>
  <c r="M171" i="21" s="1"/>
  <c r="N171" i="21" s="1"/>
  <c r="U171" i="21" s="1"/>
  <c r="K80" i="21"/>
  <c r="K116" i="21"/>
  <c r="L116" i="21" s="1"/>
  <c r="M116" i="21" s="1"/>
  <c r="N116" i="21" s="1"/>
  <c r="K136" i="21"/>
  <c r="K79" i="21"/>
  <c r="K134" i="21"/>
  <c r="K118" i="21"/>
  <c r="K141" i="21"/>
  <c r="K32" i="21"/>
  <c r="K45" i="21"/>
  <c r="K175" i="21"/>
  <c r="R175" i="21" s="1"/>
  <c r="R95" i="21"/>
  <c r="K35" i="21"/>
  <c r="K43" i="21"/>
  <c r="K172" i="21"/>
  <c r="R172" i="21" s="1"/>
  <c r="K60" i="21"/>
  <c r="K138" i="21"/>
  <c r="K44" i="21"/>
  <c r="K42" i="21"/>
  <c r="K124" i="21"/>
  <c r="K139" i="21"/>
  <c r="K53" i="21"/>
  <c r="K49" i="21"/>
  <c r="K132" i="21"/>
  <c r="K46" i="21"/>
  <c r="K48" i="21"/>
  <c r="K115" i="21"/>
  <c r="K137" i="21"/>
  <c r="K52" i="21"/>
  <c r="K158" i="21"/>
  <c r="K106" i="21"/>
  <c r="K63" i="21"/>
  <c r="K117" i="21"/>
  <c r="K120" i="21"/>
  <c r="R120" i="21" s="1"/>
  <c r="K28" i="21"/>
  <c r="K103" i="21"/>
  <c r="K67" i="21"/>
  <c r="K24" i="21"/>
  <c r="K27" i="21"/>
  <c r="K16" i="21"/>
  <c r="K66" i="21"/>
  <c r="K70" i="21"/>
  <c r="K31" i="21"/>
  <c r="K34" i="21"/>
  <c r="K17" i="21"/>
  <c r="K102" i="21"/>
  <c r="K65" i="21"/>
  <c r="K62" i="21"/>
  <c r="L62" i="21" s="1"/>
  <c r="M62" i="21" s="1"/>
  <c r="N62" i="21" s="1"/>
  <c r="O62" i="21" s="1"/>
  <c r="K123" i="21"/>
  <c r="K30" i="21"/>
  <c r="K26" i="21"/>
  <c r="K69" i="21"/>
  <c r="K161" i="21"/>
  <c r="K101" i="21"/>
  <c r="K64" i="21"/>
  <c r="K61" i="21"/>
  <c r="K122" i="21"/>
  <c r="K29" i="21"/>
  <c r="K33" i="21"/>
  <c r="K143" i="21"/>
  <c r="K47" i="21"/>
  <c r="K154" i="21"/>
  <c r="K99" i="21"/>
  <c r="K71" i="21"/>
  <c r="R113" i="21"/>
  <c r="K121" i="21"/>
  <c r="K142" i="21"/>
  <c r="K51" i="21"/>
  <c r="R169" i="21"/>
  <c r="L169" i="21"/>
  <c r="M169" i="21" s="1"/>
  <c r="N169" i="21" s="1"/>
  <c r="U169" i="21" s="1"/>
  <c r="K9" i="21"/>
  <c r="K13" i="21"/>
  <c r="K153" i="21"/>
  <c r="K150" i="21"/>
  <c r="K98" i="21"/>
  <c r="K86" i="21"/>
  <c r="K168" i="21"/>
  <c r="K78" i="21"/>
  <c r="K8" i="21"/>
  <c r="K12" i="21"/>
  <c r="K160" i="21"/>
  <c r="K157" i="21"/>
  <c r="K100" i="21"/>
  <c r="K97" i="21"/>
  <c r="K125" i="21"/>
  <c r="K114" i="21"/>
  <c r="K140" i="21"/>
  <c r="K133" i="21"/>
  <c r="K89" i="21"/>
  <c r="K85" i="21"/>
  <c r="K174" i="21"/>
  <c r="K178" i="21"/>
  <c r="K15" i="21"/>
  <c r="K11" i="21"/>
  <c r="K152" i="21"/>
  <c r="K156" i="21"/>
  <c r="K96" i="21"/>
  <c r="K81" i="21"/>
  <c r="K82" i="21"/>
  <c r="K173" i="21"/>
  <c r="K170" i="21"/>
  <c r="K7" i="21"/>
  <c r="K155" i="21"/>
  <c r="K107" i="21"/>
  <c r="K88" i="21"/>
  <c r="K84" i="21"/>
  <c r="K167" i="21"/>
  <c r="K176" i="21"/>
  <c r="K14" i="21"/>
  <c r="K10" i="21"/>
  <c r="K159" i="21"/>
  <c r="K177" i="21"/>
  <c r="K87" i="21"/>
  <c r="K179" i="21"/>
  <c r="U166" i="21"/>
  <c r="S166" i="21"/>
  <c r="O166" i="21"/>
  <c r="H3" i="20"/>
  <c r="I3" i="20" s="1"/>
  <c r="J3" i="20" s="1"/>
  <c r="K3" i="20" s="1"/>
  <c r="N3" i="20"/>
  <c r="N3" i="12"/>
  <c r="H3" i="12"/>
  <c r="I3" i="12" s="1"/>
  <c r="J3" i="12" s="1"/>
  <c r="K3" i="12" s="1"/>
  <c r="N3" i="15"/>
  <c r="H3" i="15"/>
  <c r="I3" i="15" s="1"/>
  <c r="J3" i="15" s="1"/>
  <c r="K3" i="15" s="1"/>
  <c r="B22" i="13"/>
  <c r="B23" i="13"/>
  <c r="N3" i="14"/>
  <c r="H3" i="14"/>
  <c r="I3" i="14" s="1"/>
  <c r="J3" i="14" s="1"/>
  <c r="K3" i="14" s="1"/>
  <c r="H3" i="19"/>
  <c r="I3" i="19" s="1"/>
  <c r="J3" i="19" s="1"/>
  <c r="K3" i="19" s="1"/>
  <c r="N3" i="19"/>
  <c r="N3" i="18"/>
  <c r="H3" i="18"/>
  <c r="I3" i="18" s="1"/>
  <c r="J3" i="18" s="1"/>
  <c r="K3" i="18" s="1"/>
  <c r="H3" i="17"/>
  <c r="I3" i="17" s="1"/>
  <c r="J3" i="17" s="1"/>
  <c r="K3" i="17" s="1"/>
  <c r="N3" i="17"/>
  <c r="J25" i="12"/>
  <c r="L25" i="12" s="1"/>
  <c r="M25" i="12" s="1"/>
  <c r="N25" i="12" s="1"/>
  <c r="O25" i="12" s="1"/>
  <c r="J31" i="13"/>
  <c r="L31" i="13" s="1"/>
  <c r="M31" i="13" s="1"/>
  <c r="N31" i="13" s="1"/>
  <c r="O31" i="13" s="1"/>
  <c r="J24" i="15"/>
  <c r="L24" i="15" s="1"/>
  <c r="M24" i="15" s="1"/>
  <c r="N24" i="15" s="1"/>
  <c r="O24" i="15" s="1"/>
  <c r="J32" i="20"/>
  <c r="L32" i="20" s="1"/>
  <c r="M32" i="20" s="1"/>
  <c r="N32" i="20" s="1"/>
  <c r="O32" i="20" s="1"/>
  <c r="J24" i="14"/>
  <c r="L24" i="14" s="1"/>
  <c r="M24" i="14" s="1"/>
  <c r="N24" i="14" s="1"/>
  <c r="O24" i="14" s="1"/>
  <c r="J34" i="14"/>
  <c r="L34" i="14" s="1"/>
  <c r="M34" i="14" s="1"/>
  <c r="N34" i="14" s="1"/>
  <c r="O34" i="14" s="1"/>
  <c r="J23" i="19"/>
  <c r="L23" i="19" s="1"/>
  <c r="M23" i="19" s="1"/>
  <c r="N23" i="19" s="1"/>
  <c r="O23" i="19" s="1"/>
  <c r="J36" i="19"/>
  <c r="L36" i="19" s="1"/>
  <c r="M36" i="19" s="1"/>
  <c r="N36" i="19" s="1"/>
  <c r="O36" i="19" s="1"/>
  <c r="J36" i="18"/>
  <c r="L36" i="18" s="1"/>
  <c r="M36" i="18" s="1"/>
  <c r="N36" i="18" s="1"/>
  <c r="O36" i="18" s="1"/>
  <c r="J28" i="18"/>
  <c r="L28" i="18" s="1"/>
  <c r="M28" i="18" s="1"/>
  <c r="N28" i="18" s="1"/>
  <c r="O28" i="18" s="1"/>
  <c r="J29" i="18"/>
  <c r="L29" i="18" s="1"/>
  <c r="M29" i="18" s="1"/>
  <c r="N29" i="18" s="1"/>
  <c r="O29" i="18" s="1"/>
  <c r="J32" i="17"/>
  <c r="L32" i="17" s="1"/>
  <c r="M32" i="17" s="1"/>
  <c r="N32" i="17" s="1"/>
  <c r="O32" i="17" s="1"/>
  <c r="J29" i="17"/>
  <c r="L29" i="17" s="1"/>
  <c r="M29" i="17" s="1"/>
  <c r="N29" i="17" s="1"/>
  <c r="O29" i="17" s="1"/>
  <c r="J36" i="17"/>
  <c r="L36" i="17" s="1"/>
  <c r="M36" i="17" s="1"/>
  <c r="N36" i="17" s="1"/>
  <c r="O36" i="17" s="1"/>
  <c r="J33" i="12"/>
  <c r="L33" i="12" s="1"/>
  <c r="M33" i="12" s="1"/>
  <c r="N33" i="12" s="1"/>
  <c r="O33" i="12" s="1"/>
  <c r="J22" i="12"/>
  <c r="L22" i="12" s="1"/>
  <c r="M22" i="12" s="1"/>
  <c r="N22" i="12" s="1"/>
  <c r="O22" i="12" s="1"/>
  <c r="J35" i="13"/>
  <c r="L35" i="13" s="1"/>
  <c r="M35" i="13" s="1"/>
  <c r="N35" i="13" s="1"/>
  <c r="O35" i="13" s="1"/>
  <c r="J29" i="13"/>
  <c r="L29" i="13" s="1"/>
  <c r="M29" i="13" s="1"/>
  <c r="N29" i="13" s="1"/>
  <c r="O29" i="13" s="1"/>
  <c r="J30" i="15"/>
  <c r="L30" i="15" s="1"/>
  <c r="M30" i="15" s="1"/>
  <c r="N30" i="15" s="1"/>
  <c r="O30" i="15" s="1"/>
  <c r="J23" i="15"/>
  <c r="L23" i="15" s="1"/>
  <c r="M23" i="15" s="1"/>
  <c r="N23" i="15" s="1"/>
  <c r="O23" i="15" s="1"/>
  <c r="J31" i="20"/>
  <c r="L31" i="20" s="1"/>
  <c r="M31" i="20" s="1"/>
  <c r="N31" i="20" s="1"/>
  <c r="O31" i="20" s="1"/>
  <c r="J24" i="20"/>
  <c r="L24" i="20" s="1"/>
  <c r="M24" i="20" s="1"/>
  <c r="N24" i="20" s="1"/>
  <c r="O24" i="20" s="1"/>
  <c r="J23" i="14"/>
  <c r="L23" i="14" s="1"/>
  <c r="M23" i="14" s="1"/>
  <c r="N23" i="14" s="1"/>
  <c r="O23" i="14" s="1"/>
  <c r="J31" i="14"/>
  <c r="L31" i="14" s="1"/>
  <c r="M31" i="14" s="1"/>
  <c r="N31" i="14" s="1"/>
  <c r="O31" i="14" s="1"/>
  <c r="J25" i="14"/>
  <c r="L25" i="14" s="1"/>
  <c r="M25" i="14" s="1"/>
  <c r="N25" i="14" s="1"/>
  <c r="O25" i="14" s="1"/>
  <c r="J35" i="19"/>
  <c r="L35" i="19" s="1"/>
  <c r="M35" i="19" s="1"/>
  <c r="N35" i="19" s="1"/>
  <c r="O35" i="19" s="1"/>
  <c r="J28" i="19"/>
  <c r="L28" i="19" s="1"/>
  <c r="M28" i="19" s="1"/>
  <c r="N28" i="19" s="1"/>
  <c r="O28" i="19" s="1"/>
  <c r="J30" i="12"/>
  <c r="L30" i="12" s="1"/>
  <c r="M30" i="12" s="1"/>
  <c r="N30" i="12" s="1"/>
  <c r="O30" i="12" s="1"/>
  <c r="J34" i="13"/>
  <c r="L34" i="13" s="1"/>
  <c r="M34" i="13" s="1"/>
  <c r="N34" i="13" s="1"/>
  <c r="O34" i="13" s="1"/>
  <c r="J28" i="13"/>
  <c r="L28" i="13" s="1"/>
  <c r="M28" i="13" s="1"/>
  <c r="N28" i="13" s="1"/>
  <c r="O28" i="13" s="1"/>
  <c r="J37" i="14"/>
  <c r="L37" i="14" s="1"/>
  <c r="M37" i="14" s="1"/>
  <c r="N37" i="14" s="1"/>
  <c r="O37" i="14" s="1"/>
  <c r="J30" i="19"/>
  <c r="L30" i="19" s="1"/>
  <c r="M30" i="19" s="1"/>
  <c r="N30" i="19" s="1"/>
  <c r="O30" i="19" s="1"/>
  <c r="J30" i="18"/>
  <c r="L30" i="18" s="1"/>
  <c r="M30" i="18" s="1"/>
  <c r="N30" i="18" s="1"/>
  <c r="O30" i="18" s="1"/>
  <c r="J22" i="18"/>
  <c r="L22" i="18" s="1"/>
  <c r="M22" i="18" s="1"/>
  <c r="N22" i="18" s="1"/>
  <c r="O22" i="18" s="1"/>
  <c r="J26" i="17"/>
  <c r="L26" i="17" s="1"/>
  <c r="M26" i="17" s="1"/>
  <c r="N26" i="17" s="1"/>
  <c r="O26" i="17" s="1"/>
  <c r="J23" i="17"/>
  <c r="L23" i="17" s="1"/>
  <c r="M23" i="17" s="1"/>
  <c r="N23" i="17" s="1"/>
  <c r="O23" i="17" s="1"/>
  <c r="J30" i="17"/>
  <c r="L30" i="17" s="1"/>
  <c r="M30" i="17" s="1"/>
  <c r="N30" i="17" s="1"/>
  <c r="O30" i="17" s="1"/>
  <c r="J28" i="12"/>
  <c r="L28" i="12" s="1"/>
  <c r="M28" i="12" s="1"/>
  <c r="N28" i="12" s="1"/>
  <c r="O28" i="12" s="1"/>
  <c r="J31" i="12"/>
  <c r="L31" i="12" s="1"/>
  <c r="M31" i="12" s="1"/>
  <c r="N31" i="12" s="1"/>
  <c r="O31" i="12" s="1"/>
  <c r="J37" i="13"/>
  <c r="L37" i="13" s="1"/>
  <c r="M37" i="13" s="1"/>
  <c r="N37" i="13" s="1"/>
  <c r="O37" i="13" s="1"/>
  <c r="J27" i="13"/>
  <c r="L27" i="13" s="1"/>
  <c r="M27" i="13" s="1"/>
  <c r="N27" i="13" s="1"/>
  <c r="O27" i="13" s="1"/>
  <c r="J35" i="15"/>
  <c r="L35" i="15" s="1"/>
  <c r="M35" i="15" s="1"/>
  <c r="N35" i="15" s="1"/>
  <c r="O35" i="15" s="1"/>
  <c r="J28" i="15"/>
  <c r="L28" i="15" s="1"/>
  <c r="M28" i="15" s="1"/>
  <c r="N28" i="15" s="1"/>
  <c r="O28" i="15" s="1"/>
  <c r="J33" i="15"/>
  <c r="L33" i="15" s="1"/>
  <c r="M33" i="15" s="1"/>
  <c r="N33" i="15" s="1"/>
  <c r="O33" i="15" s="1"/>
  <c r="J36" i="20"/>
  <c r="L36" i="20" s="1"/>
  <c r="M36" i="20" s="1"/>
  <c r="N36" i="20" s="1"/>
  <c r="O36" i="20" s="1"/>
  <c r="J33" i="20"/>
  <c r="L33" i="20" s="1"/>
  <c r="M33" i="20" s="1"/>
  <c r="N33" i="20" s="1"/>
  <c r="O33" i="20" s="1"/>
  <c r="J27" i="14"/>
  <c r="L27" i="14" s="1"/>
  <c r="M27" i="14" s="1"/>
  <c r="N27" i="14" s="1"/>
  <c r="O27" i="14" s="1"/>
  <c r="J32" i="14"/>
  <c r="L32" i="14" s="1"/>
  <c r="M32" i="14" s="1"/>
  <c r="N32" i="14" s="1"/>
  <c r="O32" i="14" s="1"/>
  <c r="J25" i="19"/>
  <c r="L25" i="19" s="1"/>
  <c r="M25" i="19" s="1"/>
  <c r="N25" i="19" s="1"/>
  <c r="O25" i="19" s="1"/>
  <c r="J22" i="19"/>
  <c r="L22" i="19" s="1"/>
  <c r="M22" i="19" s="1"/>
  <c r="N22" i="19" s="1"/>
  <c r="O22" i="19" s="1"/>
  <c r="J33" i="18"/>
  <c r="L33" i="18" s="1"/>
  <c r="M33" i="18" s="1"/>
  <c r="N33" i="18" s="1"/>
  <c r="O33" i="18" s="1"/>
  <c r="I22" i="17"/>
  <c r="J22" i="17" s="1"/>
  <c r="L22" i="17" s="1"/>
  <c r="M22" i="17" s="1"/>
  <c r="N22" i="17" s="1"/>
  <c r="O22" i="17" s="1"/>
  <c r="J36" i="13"/>
  <c r="L36" i="13" s="1"/>
  <c r="M36" i="13" s="1"/>
  <c r="N36" i="13" s="1"/>
  <c r="O36" i="13" s="1"/>
  <c r="J35" i="18"/>
  <c r="L35" i="18" s="1"/>
  <c r="M35" i="18" s="1"/>
  <c r="N35" i="18" s="1"/>
  <c r="O35" i="18" s="1"/>
  <c r="J24" i="17"/>
  <c r="L24" i="17" s="1"/>
  <c r="M24" i="17" s="1"/>
  <c r="N24" i="17" s="1"/>
  <c r="O24" i="17" s="1"/>
  <c r="J32" i="12"/>
  <c r="L32" i="12" s="1"/>
  <c r="M32" i="12" s="1"/>
  <c r="N32" i="12" s="1"/>
  <c r="O32" i="12" s="1"/>
  <c r="J36" i="15"/>
  <c r="L36" i="15" s="1"/>
  <c r="M36" i="15" s="1"/>
  <c r="N36" i="15" s="1"/>
  <c r="O36" i="15" s="1"/>
  <c r="J22" i="13"/>
  <c r="L22" i="13" s="1"/>
  <c r="M22" i="13" s="1"/>
  <c r="N22" i="13" s="1"/>
  <c r="O22" i="13" s="1"/>
  <c r="J23" i="13"/>
  <c r="L23" i="13" s="1"/>
  <c r="M23" i="13" s="1"/>
  <c r="N23" i="13" s="1"/>
  <c r="O23" i="13" s="1"/>
  <c r="J26" i="13"/>
  <c r="L26" i="13" s="1"/>
  <c r="M26" i="13" s="1"/>
  <c r="N26" i="13" s="1"/>
  <c r="O26" i="13" s="1"/>
  <c r="J34" i="15"/>
  <c r="L34" i="15" s="1"/>
  <c r="M34" i="15" s="1"/>
  <c r="N34" i="15" s="1"/>
  <c r="O34" i="15" s="1"/>
  <c r="J27" i="15"/>
  <c r="L27" i="15" s="1"/>
  <c r="M27" i="15" s="1"/>
  <c r="N27" i="15" s="1"/>
  <c r="O27" i="15" s="1"/>
  <c r="J35" i="20"/>
  <c r="L35" i="20" s="1"/>
  <c r="M35" i="20" s="1"/>
  <c r="N35" i="20" s="1"/>
  <c r="O35" i="20" s="1"/>
  <c r="J26" i="14"/>
  <c r="L26" i="14" s="1"/>
  <c r="M26" i="14" s="1"/>
  <c r="N26" i="14" s="1"/>
  <c r="O26" i="14" s="1"/>
  <c r="J30" i="14"/>
  <c r="L30" i="14" s="1"/>
  <c r="M30" i="14" s="1"/>
  <c r="N30" i="14" s="1"/>
  <c r="O30" i="14" s="1"/>
  <c r="J32" i="19"/>
  <c r="L32" i="19" s="1"/>
  <c r="M32" i="19" s="1"/>
  <c r="N32" i="19" s="1"/>
  <c r="O32" i="19" s="1"/>
  <c r="J33" i="19"/>
  <c r="L33" i="19" s="1"/>
  <c r="M33" i="19" s="1"/>
  <c r="N33" i="19" s="1"/>
  <c r="O33" i="19" s="1"/>
  <c r="J23" i="20"/>
  <c r="L23" i="20" s="1"/>
  <c r="M23" i="20" s="1"/>
  <c r="N23" i="20" s="1"/>
  <c r="O23" i="20" s="1"/>
  <c r="J32" i="18"/>
  <c r="L32" i="18" s="1"/>
  <c r="M32" i="18" s="1"/>
  <c r="N32" i="18" s="1"/>
  <c r="O32" i="18" s="1"/>
  <c r="J25" i="18"/>
  <c r="L25" i="18" s="1"/>
  <c r="M25" i="18" s="1"/>
  <c r="N25" i="18" s="1"/>
  <c r="O25" i="18" s="1"/>
  <c r="J35" i="17"/>
  <c r="L35" i="17" s="1"/>
  <c r="M35" i="17" s="1"/>
  <c r="N35" i="17" s="1"/>
  <c r="O35" i="17" s="1"/>
  <c r="J34" i="17"/>
  <c r="L34" i="17" s="1"/>
  <c r="M34" i="17" s="1"/>
  <c r="N34" i="17" s="1"/>
  <c r="O34" i="17" s="1"/>
  <c r="J36" i="12"/>
  <c r="L36" i="12" s="1"/>
  <c r="M36" i="12" s="1"/>
  <c r="N36" i="12" s="1"/>
  <c r="O36" i="12" s="1"/>
  <c r="J26" i="12"/>
  <c r="L26" i="12" s="1"/>
  <c r="M26" i="12" s="1"/>
  <c r="N26" i="12" s="1"/>
  <c r="O26" i="12" s="1"/>
  <c r="J25" i="13"/>
  <c r="L25" i="13" s="1"/>
  <c r="M25" i="13" s="1"/>
  <c r="N25" i="13" s="1"/>
  <c r="O25" i="13" s="1"/>
  <c r="J33" i="13"/>
  <c r="L33" i="13" s="1"/>
  <c r="M33" i="13" s="1"/>
  <c r="N33" i="13" s="1"/>
  <c r="O33" i="13" s="1"/>
  <c r="J29" i="15"/>
  <c r="L29" i="15" s="1"/>
  <c r="M29" i="15" s="1"/>
  <c r="N29" i="15" s="1"/>
  <c r="O29" i="15" s="1"/>
  <c r="J26" i="15"/>
  <c r="L26" i="15" s="1"/>
  <c r="M26" i="15" s="1"/>
  <c r="N26" i="15" s="1"/>
  <c r="O26" i="15" s="1"/>
  <c r="J30" i="20"/>
  <c r="L30" i="20" s="1"/>
  <c r="M30" i="20" s="1"/>
  <c r="N30" i="20" s="1"/>
  <c r="O30" i="20" s="1"/>
  <c r="J28" i="20"/>
  <c r="L28" i="20" s="1"/>
  <c r="M28" i="20" s="1"/>
  <c r="N28" i="20" s="1"/>
  <c r="O28" i="20" s="1"/>
  <c r="J33" i="14"/>
  <c r="L33" i="14" s="1"/>
  <c r="M33" i="14" s="1"/>
  <c r="N33" i="14" s="1"/>
  <c r="O33" i="14" s="1"/>
  <c r="J31" i="19"/>
  <c r="L31" i="19" s="1"/>
  <c r="M31" i="19" s="1"/>
  <c r="N31" i="19" s="1"/>
  <c r="O31" i="19" s="1"/>
  <c r="J23" i="12"/>
  <c r="L23" i="12" s="1"/>
  <c r="M23" i="12" s="1"/>
  <c r="N23" i="12" s="1"/>
  <c r="O23" i="12" s="1"/>
  <c r="J32" i="15"/>
  <c r="L32" i="15" s="1"/>
  <c r="M32" i="15" s="1"/>
  <c r="N32" i="15" s="1"/>
  <c r="O32" i="15" s="1"/>
  <c r="J25" i="20"/>
  <c r="L25" i="20" s="1"/>
  <c r="M25" i="20" s="1"/>
  <c r="N25" i="20" s="1"/>
  <c r="O25" i="20" s="1"/>
  <c r="J27" i="18"/>
  <c r="L27" i="18" s="1"/>
  <c r="M27" i="18" s="1"/>
  <c r="N27" i="18" s="1"/>
  <c r="O27" i="18" s="1"/>
  <c r="J31" i="17"/>
  <c r="L31" i="17" s="1"/>
  <c r="M31" i="17" s="1"/>
  <c r="N31" i="17" s="1"/>
  <c r="O31" i="17" s="1"/>
  <c r="J33" i="17"/>
  <c r="L33" i="17" s="1"/>
  <c r="M33" i="17" s="1"/>
  <c r="N33" i="17" s="1"/>
  <c r="O33" i="17" s="1"/>
  <c r="J37" i="15"/>
  <c r="L37" i="15" s="1"/>
  <c r="M37" i="15" s="1"/>
  <c r="N37" i="15" s="1"/>
  <c r="O37" i="15" s="1"/>
  <c r="J26" i="20"/>
  <c r="L26" i="20" s="1"/>
  <c r="M26" i="20" s="1"/>
  <c r="N26" i="20" s="1"/>
  <c r="O26" i="20" s="1"/>
  <c r="J28" i="14"/>
  <c r="L28" i="14" s="1"/>
  <c r="M28" i="14" s="1"/>
  <c r="N28" i="14" s="1"/>
  <c r="O28" i="14" s="1"/>
  <c r="J25" i="17"/>
  <c r="L25" i="17" s="1"/>
  <c r="M25" i="17" s="1"/>
  <c r="N25" i="17" s="1"/>
  <c r="O25" i="17" s="1"/>
  <c r="J37" i="12"/>
  <c r="L37" i="12" s="1"/>
  <c r="M37" i="12" s="1"/>
  <c r="N37" i="12" s="1"/>
  <c r="O37" i="12" s="1"/>
  <c r="J31" i="18"/>
  <c r="L31" i="18" s="1"/>
  <c r="M31" i="18" s="1"/>
  <c r="N31" i="18" s="1"/>
  <c r="O31" i="18" s="1"/>
  <c r="J28" i="17"/>
  <c r="L28" i="17" s="1"/>
  <c r="M28" i="17" s="1"/>
  <c r="N28" i="17" s="1"/>
  <c r="O28" i="17" s="1"/>
  <c r="J35" i="12"/>
  <c r="L35" i="12" s="1"/>
  <c r="M35" i="12" s="1"/>
  <c r="N35" i="12" s="1"/>
  <c r="O35" i="12" s="1"/>
  <c r="J29" i="12"/>
  <c r="L29" i="12" s="1"/>
  <c r="M29" i="12" s="1"/>
  <c r="N29" i="12" s="1"/>
  <c r="O29" i="12" s="1"/>
  <c r="J24" i="13"/>
  <c r="L24" i="13" s="1"/>
  <c r="M24" i="13" s="1"/>
  <c r="N24" i="13" s="1"/>
  <c r="O24" i="13" s="1"/>
  <c r="J32" i="13"/>
  <c r="L32" i="13" s="1"/>
  <c r="M32" i="13" s="1"/>
  <c r="N32" i="13" s="1"/>
  <c r="O32" i="13" s="1"/>
  <c r="J31" i="15"/>
  <c r="L31" i="15" s="1"/>
  <c r="M31" i="15" s="1"/>
  <c r="N31" i="15" s="1"/>
  <c r="O31" i="15" s="1"/>
  <c r="J25" i="15"/>
  <c r="L25" i="15" s="1"/>
  <c r="M25" i="15" s="1"/>
  <c r="N25" i="15" s="1"/>
  <c r="O25" i="15" s="1"/>
  <c r="J29" i="20"/>
  <c r="L29" i="20" s="1"/>
  <c r="M29" i="20" s="1"/>
  <c r="N29" i="20" s="1"/>
  <c r="O29" i="20" s="1"/>
  <c r="J27" i="20"/>
  <c r="L27" i="20" s="1"/>
  <c r="M27" i="20" s="1"/>
  <c r="N27" i="20" s="1"/>
  <c r="O27" i="20" s="1"/>
  <c r="J22" i="14"/>
  <c r="L22" i="14" s="1"/>
  <c r="M22" i="14" s="1"/>
  <c r="N22" i="14" s="1"/>
  <c r="O22" i="14" s="1"/>
  <c r="J36" i="14"/>
  <c r="L36" i="14" s="1"/>
  <c r="M36" i="14" s="1"/>
  <c r="N36" i="14" s="1"/>
  <c r="O36" i="14" s="1"/>
  <c r="J34" i="19"/>
  <c r="L34" i="19" s="1"/>
  <c r="M34" i="19" s="1"/>
  <c r="N34" i="19" s="1"/>
  <c r="O34" i="19" s="1"/>
  <c r="J26" i="19"/>
  <c r="L26" i="19" s="1"/>
  <c r="M26" i="19" s="1"/>
  <c r="N26" i="19" s="1"/>
  <c r="O26" i="19" s="1"/>
  <c r="J22" i="15"/>
  <c r="L22" i="15" s="1"/>
  <c r="M22" i="15" s="1"/>
  <c r="N22" i="15" s="1"/>
  <c r="O22" i="15" s="1"/>
  <c r="J27" i="19"/>
  <c r="L27" i="19" s="1"/>
  <c r="M27" i="19" s="1"/>
  <c r="N27" i="19" s="1"/>
  <c r="O27" i="19" s="1"/>
  <c r="J34" i="18"/>
  <c r="L34" i="18" s="1"/>
  <c r="M34" i="18" s="1"/>
  <c r="N34" i="18" s="1"/>
  <c r="O34" i="18" s="1"/>
  <c r="J27" i="12"/>
  <c r="L27" i="12" s="1"/>
  <c r="M27" i="12" s="1"/>
  <c r="N27" i="12" s="1"/>
  <c r="O27" i="12" s="1"/>
  <c r="J24" i="18"/>
  <c r="L24" i="18" s="1"/>
  <c r="M24" i="18" s="1"/>
  <c r="N24" i="18" s="1"/>
  <c r="O24" i="18" s="1"/>
  <c r="J26" i="18"/>
  <c r="L26" i="18" s="1"/>
  <c r="M26" i="18" s="1"/>
  <c r="N26" i="18" s="1"/>
  <c r="O26" i="18" s="1"/>
  <c r="J23" i="18"/>
  <c r="L23" i="18" s="1"/>
  <c r="M23" i="18" s="1"/>
  <c r="N23" i="18" s="1"/>
  <c r="O23" i="18" s="1"/>
  <c r="J27" i="17"/>
  <c r="L27" i="17" s="1"/>
  <c r="M27" i="17" s="1"/>
  <c r="N27" i="17" s="1"/>
  <c r="O27" i="17" s="1"/>
  <c r="J34" i="12"/>
  <c r="L34" i="12" s="1"/>
  <c r="M34" i="12" s="1"/>
  <c r="N34" i="12" s="1"/>
  <c r="O34" i="12" s="1"/>
  <c r="J24" i="12"/>
  <c r="L24" i="12" s="1"/>
  <c r="M24" i="12" s="1"/>
  <c r="N24" i="12" s="1"/>
  <c r="O24" i="12" s="1"/>
  <c r="J30" i="13"/>
  <c r="L30" i="13" s="1"/>
  <c r="M30" i="13" s="1"/>
  <c r="N30" i="13" s="1"/>
  <c r="O30" i="13" s="1"/>
  <c r="J34" i="20"/>
  <c r="L34" i="20" s="1"/>
  <c r="M34" i="20" s="1"/>
  <c r="N34" i="20" s="1"/>
  <c r="O34" i="20" s="1"/>
  <c r="J22" i="20"/>
  <c r="L22" i="20" s="1"/>
  <c r="M22" i="20" s="1"/>
  <c r="N22" i="20" s="1"/>
  <c r="O22" i="20" s="1"/>
  <c r="J29" i="14"/>
  <c r="L29" i="14" s="1"/>
  <c r="M29" i="14" s="1"/>
  <c r="N29" i="14" s="1"/>
  <c r="O29" i="14" s="1"/>
  <c r="J35" i="14"/>
  <c r="L35" i="14" s="1"/>
  <c r="M35" i="14" s="1"/>
  <c r="N35" i="14" s="1"/>
  <c r="O35" i="14" s="1"/>
  <c r="J24" i="19"/>
  <c r="L24" i="19" s="1"/>
  <c r="M24" i="19" s="1"/>
  <c r="N24" i="19" s="1"/>
  <c r="O24" i="19" s="1"/>
  <c r="J29" i="19"/>
  <c r="L29" i="19" s="1"/>
  <c r="M29" i="19" s="1"/>
  <c r="N29" i="19" s="1"/>
  <c r="O29" i="19" s="1"/>
  <c r="L17" i="11"/>
  <c r="M17" i="11"/>
  <c r="L16" i="11"/>
  <c r="M16" i="11"/>
  <c r="L15" i="11"/>
  <c r="M15" i="11"/>
  <c r="M14" i="11"/>
  <c r="L14" i="11"/>
  <c r="L13" i="11"/>
  <c r="M13" i="11"/>
  <c r="M12" i="11"/>
  <c r="L12" i="11"/>
  <c r="L11" i="11"/>
  <c r="M11" i="11"/>
  <c r="M10" i="11"/>
  <c r="L10" i="11"/>
  <c r="M9" i="11"/>
  <c r="L9" i="11"/>
  <c r="L8" i="11"/>
  <c r="M8" i="11"/>
  <c r="L7" i="11"/>
  <c r="M7" i="11"/>
  <c r="M6" i="11"/>
  <c r="L6" i="11"/>
  <c r="M5" i="11"/>
  <c r="L5" i="11"/>
  <c r="M4" i="11"/>
  <c r="M3" i="11"/>
  <c r="J4" i="11"/>
  <c r="H5" i="11"/>
  <c r="I5" i="11" s="1"/>
  <c r="J10" i="11"/>
  <c r="J16" i="11"/>
  <c r="J8" i="11"/>
  <c r="J12" i="11"/>
  <c r="J9" i="11"/>
  <c r="J13" i="11"/>
  <c r="J7" i="11"/>
  <c r="J17" i="11"/>
  <c r="J11" i="11"/>
  <c r="J15" i="11"/>
  <c r="J14" i="11"/>
  <c r="J6" i="11"/>
  <c r="L135" i="21" l="1"/>
  <c r="M135" i="21" s="1"/>
  <c r="N135" i="21" s="1"/>
  <c r="B60" i="14"/>
  <c r="E60" i="14"/>
  <c r="B60" i="13"/>
  <c r="E60" i="13"/>
  <c r="E60" i="11"/>
  <c r="B60" i="11"/>
  <c r="E60" i="15"/>
  <c r="B60" i="15"/>
  <c r="B60" i="12"/>
  <c r="E60" i="12"/>
  <c r="L50" i="21"/>
  <c r="M50" i="21" s="1"/>
  <c r="N50" i="21" s="1"/>
  <c r="L25" i="21"/>
  <c r="M25" i="21" s="1"/>
  <c r="N25" i="21" s="1"/>
  <c r="S25" i="21" s="1"/>
  <c r="L83" i="21"/>
  <c r="M83" i="21" s="1"/>
  <c r="N83" i="21" s="1"/>
  <c r="R171" i="21"/>
  <c r="S171" i="21" s="1"/>
  <c r="O4" i="21"/>
  <c r="U4" i="21"/>
  <c r="Z4" i="21"/>
  <c r="S4" i="21"/>
  <c r="L119" i="21"/>
  <c r="M119" i="21" s="1"/>
  <c r="N119" i="21" s="1"/>
  <c r="O119" i="21" s="1"/>
  <c r="L6" i="21"/>
  <c r="M6" i="21" s="1"/>
  <c r="N6" i="21" s="1"/>
  <c r="Z6" i="21" s="1"/>
  <c r="R99" i="21"/>
  <c r="R64" i="21"/>
  <c r="L65" i="21"/>
  <c r="M65" i="21" s="1"/>
  <c r="N65" i="21" s="1"/>
  <c r="O65" i="21" s="1"/>
  <c r="R27" i="21"/>
  <c r="L63" i="21"/>
  <c r="M63" i="21" s="1"/>
  <c r="N63" i="21" s="1"/>
  <c r="O63" i="21" s="1"/>
  <c r="R132" i="21"/>
  <c r="R60" i="21"/>
  <c r="L141" i="21"/>
  <c r="M141" i="21" s="1"/>
  <c r="N141" i="21" s="1"/>
  <c r="O141" i="21" s="1"/>
  <c r="R105" i="21"/>
  <c r="R151" i="21"/>
  <c r="S151" i="21" s="1"/>
  <c r="R101" i="21"/>
  <c r="R102" i="21"/>
  <c r="L24" i="21"/>
  <c r="M24" i="21" s="1"/>
  <c r="N24" i="21" s="1"/>
  <c r="O24" i="21" s="1"/>
  <c r="R106" i="21"/>
  <c r="R49" i="21"/>
  <c r="L118" i="21"/>
  <c r="M118" i="21" s="1"/>
  <c r="N118" i="21" s="1"/>
  <c r="O118" i="21" s="1"/>
  <c r="L59" i="21"/>
  <c r="M59" i="21" s="1"/>
  <c r="N59" i="21" s="1"/>
  <c r="S59" i="21" s="1"/>
  <c r="L175" i="21"/>
  <c r="M175" i="21" s="1"/>
  <c r="N175" i="21" s="1"/>
  <c r="U175" i="21" s="1"/>
  <c r="L51" i="21"/>
  <c r="M51" i="21" s="1"/>
  <c r="N51" i="21" s="1"/>
  <c r="O51" i="21" s="1"/>
  <c r="R47" i="21"/>
  <c r="R17" i="21"/>
  <c r="L53" i="21"/>
  <c r="M53" i="21" s="1"/>
  <c r="N53" i="21" s="1"/>
  <c r="R43" i="21"/>
  <c r="R134" i="21"/>
  <c r="R68" i="21"/>
  <c r="R142" i="21"/>
  <c r="R143" i="21"/>
  <c r="L69" i="21"/>
  <c r="M69" i="21" s="1"/>
  <c r="N69" i="21" s="1"/>
  <c r="O69" i="21" s="1"/>
  <c r="R34" i="21"/>
  <c r="R67" i="21"/>
  <c r="R52" i="21"/>
  <c r="R139" i="21"/>
  <c r="R35" i="21"/>
  <c r="R79" i="21"/>
  <c r="R33" i="21"/>
  <c r="R26" i="21"/>
  <c r="R31" i="21"/>
  <c r="L103" i="21"/>
  <c r="M103" i="21" s="1"/>
  <c r="N103" i="21" s="1"/>
  <c r="L137" i="21"/>
  <c r="M137" i="21" s="1"/>
  <c r="N137" i="21" s="1"/>
  <c r="O137" i="21" s="1"/>
  <c r="L124" i="21"/>
  <c r="M124" i="21" s="1"/>
  <c r="N124" i="21" s="1"/>
  <c r="O124" i="21" s="1"/>
  <c r="L136" i="21"/>
  <c r="M136" i="21" s="1"/>
  <c r="N136" i="21" s="1"/>
  <c r="O136" i="21" s="1"/>
  <c r="J6" i="21"/>
  <c r="R121" i="21"/>
  <c r="R29" i="21"/>
  <c r="L30" i="21"/>
  <c r="M30" i="21" s="1"/>
  <c r="N30" i="21" s="1"/>
  <c r="R70" i="21"/>
  <c r="L28" i="21"/>
  <c r="M28" i="21" s="1"/>
  <c r="N28" i="21" s="1"/>
  <c r="O28" i="21" s="1"/>
  <c r="R115" i="21"/>
  <c r="R42" i="21"/>
  <c r="R116" i="21"/>
  <c r="S116" i="21" s="1"/>
  <c r="L122" i="21"/>
  <c r="M122" i="21" s="1"/>
  <c r="N122" i="21" s="1"/>
  <c r="O122" i="21" s="1"/>
  <c r="R123" i="21"/>
  <c r="R66" i="21"/>
  <c r="L120" i="21"/>
  <c r="M120" i="21" s="1"/>
  <c r="N120" i="21" s="1"/>
  <c r="S120" i="21" s="1"/>
  <c r="R48" i="21"/>
  <c r="R44" i="21"/>
  <c r="R45" i="21"/>
  <c r="L80" i="21"/>
  <c r="M80" i="21" s="1"/>
  <c r="N80" i="21" s="1"/>
  <c r="O80" i="21" s="1"/>
  <c r="L104" i="21"/>
  <c r="M104" i="21" s="1"/>
  <c r="N104" i="21" s="1"/>
  <c r="S104" i="21" s="1"/>
  <c r="R71" i="21"/>
  <c r="R61" i="21"/>
  <c r="J16" i="21"/>
  <c r="R117" i="21"/>
  <c r="R46" i="21"/>
  <c r="L138" i="21"/>
  <c r="M138" i="21" s="1"/>
  <c r="N138" i="21" s="1"/>
  <c r="O138" i="21" s="1"/>
  <c r="R32" i="21"/>
  <c r="L41" i="21"/>
  <c r="M41" i="21" s="1"/>
  <c r="N41" i="21" s="1"/>
  <c r="O41" i="21" s="1"/>
  <c r="L105" i="21"/>
  <c r="M105" i="21" s="1"/>
  <c r="N105" i="21" s="1"/>
  <c r="L68" i="21"/>
  <c r="M68" i="21" s="1"/>
  <c r="N68" i="21" s="1"/>
  <c r="O68" i="21" s="1"/>
  <c r="K3" i="11"/>
  <c r="B27" i="11" s="1"/>
  <c r="L35" i="21"/>
  <c r="M35" i="21" s="1"/>
  <c r="N35" i="21" s="1"/>
  <c r="O35" i="21" s="1"/>
  <c r="L123" i="21"/>
  <c r="M123" i="21" s="1"/>
  <c r="N123" i="21" s="1"/>
  <c r="O123" i="21" s="1"/>
  <c r="R124" i="21"/>
  <c r="L42" i="21"/>
  <c r="M42" i="21" s="1"/>
  <c r="N42" i="21" s="1"/>
  <c r="O42" i="21" s="1"/>
  <c r="L48" i="21"/>
  <c r="M48" i="21" s="1"/>
  <c r="N48" i="21" s="1"/>
  <c r="L23" i="21"/>
  <c r="M23" i="21" s="1"/>
  <c r="N23" i="21" s="1"/>
  <c r="S23" i="21" s="1"/>
  <c r="L79" i="21"/>
  <c r="M79" i="21" s="1"/>
  <c r="N79" i="21" s="1"/>
  <c r="R41" i="21"/>
  <c r="L26" i="21"/>
  <c r="M26" i="21" s="1"/>
  <c r="N26" i="21" s="1"/>
  <c r="O26" i="21" s="1"/>
  <c r="R103" i="21"/>
  <c r="R138" i="21"/>
  <c r="S138" i="21" s="1"/>
  <c r="R80" i="21"/>
  <c r="S80" i="21" s="1"/>
  <c r="R137" i="21"/>
  <c r="L132" i="21"/>
  <c r="M132" i="21" s="1"/>
  <c r="N132" i="21" s="1"/>
  <c r="R63" i="21"/>
  <c r="S63" i="21" s="1"/>
  <c r="J17" i="21"/>
  <c r="L99" i="21"/>
  <c r="M99" i="21" s="1"/>
  <c r="N99" i="21" s="1"/>
  <c r="O99" i="21" s="1"/>
  <c r="L33" i="21"/>
  <c r="M33" i="21" s="1"/>
  <c r="N33" i="21" s="1"/>
  <c r="O33" i="21" s="1"/>
  <c r="L64" i="21"/>
  <c r="M64" i="21" s="1"/>
  <c r="N64" i="21" s="1"/>
  <c r="R65" i="21"/>
  <c r="L27" i="21"/>
  <c r="M27" i="21" s="1"/>
  <c r="N27" i="21" s="1"/>
  <c r="O27" i="21" s="1"/>
  <c r="L32" i="21"/>
  <c r="M32" i="21" s="1"/>
  <c r="N32" i="21" s="1"/>
  <c r="O32" i="21" s="1"/>
  <c r="R28" i="21"/>
  <c r="L134" i="21"/>
  <c r="M134" i="21" s="1"/>
  <c r="N134" i="21" s="1"/>
  <c r="L67" i="21"/>
  <c r="M67" i="21" s="1"/>
  <c r="N67" i="21" s="1"/>
  <c r="R69" i="21"/>
  <c r="R62" i="21"/>
  <c r="S62" i="21" s="1"/>
  <c r="R30" i="21"/>
  <c r="R51" i="21"/>
  <c r="S51" i="21" s="1"/>
  <c r="R136" i="21"/>
  <c r="R122" i="21"/>
  <c r="L70" i="21"/>
  <c r="M70" i="21" s="1"/>
  <c r="N70" i="21" s="1"/>
  <c r="O70" i="21" s="1"/>
  <c r="L113" i="21"/>
  <c r="M113" i="21" s="1"/>
  <c r="N113" i="21" s="1"/>
  <c r="S113" i="21" s="1"/>
  <c r="L66" i="21"/>
  <c r="M66" i="21" s="1"/>
  <c r="N66" i="21" s="1"/>
  <c r="L154" i="21"/>
  <c r="M154" i="21" s="1"/>
  <c r="N154" i="21" s="1"/>
  <c r="L29" i="21"/>
  <c r="M29" i="21" s="1"/>
  <c r="N29" i="21" s="1"/>
  <c r="L95" i="21"/>
  <c r="M95" i="21" s="1"/>
  <c r="N95" i="21" s="1"/>
  <c r="R161" i="21"/>
  <c r="R158" i="21"/>
  <c r="L158" i="21"/>
  <c r="M158" i="21" s="1"/>
  <c r="N158" i="21" s="1"/>
  <c r="O158" i="21" s="1"/>
  <c r="R118" i="21"/>
  <c r="R53" i="21"/>
  <c r="L142" i="21"/>
  <c r="M142" i="21" s="1"/>
  <c r="N142" i="21" s="1"/>
  <c r="L143" i="21"/>
  <c r="M143" i="21" s="1"/>
  <c r="N143" i="21" s="1"/>
  <c r="L161" i="21"/>
  <c r="M161" i="21" s="1"/>
  <c r="N161" i="21" s="1"/>
  <c r="O161" i="21" s="1"/>
  <c r="L139" i="21"/>
  <c r="M139" i="21" s="1"/>
  <c r="N139" i="21" s="1"/>
  <c r="L17" i="21"/>
  <c r="M17" i="21" s="1"/>
  <c r="N17" i="21" s="1"/>
  <c r="Z17" i="21" s="1"/>
  <c r="L34" i="21"/>
  <c r="M34" i="21" s="1"/>
  <c r="N34" i="21" s="1"/>
  <c r="O34" i="21" s="1"/>
  <c r="L52" i="21"/>
  <c r="M52" i="21" s="1"/>
  <c r="N52" i="21" s="1"/>
  <c r="L172" i="21"/>
  <c r="M172" i="21" s="1"/>
  <c r="N172" i="21" s="1"/>
  <c r="U172" i="21" s="1"/>
  <c r="L43" i="21"/>
  <c r="M43" i="21" s="1"/>
  <c r="N43" i="21" s="1"/>
  <c r="L47" i="21"/>
  <c r="M47" i="21" s="1"/>
  <c r="N47" i="21" s="1"/>
  <c r="R24" i="21"/>
  <c r="L60" i="21"/>
  <c r="M60" i="21" s="1"/>
  <c r="N60" i="21" s="1"/>
  <c r="L106" i="21"/>
  <c r="M106" i="21" s="1"/>
  <c r="N106" i="21" s="1"/>
  <c r="R154" i="21"/>
  <c r="L102" i="21"/>
  <c r="M102" i="21" s="1"/>
  <c r="N102" i="21" s="1"/>
  <c r="L49" i="21"/>
  <c r="M49" i="21" s="1"/>
  <c r="N49" i="21" s="1"/>
  <c r="R141" i="21"/>
  <c r="L121" i="21"/>
  <c r="M121" i="21" s="1"/>
  <c r="N121" i="21" s="1"/>
  <c r="L101" i="21"/>
  <c r="M101" i="21" s="1"/>
  <c r="N101" i="21" s="1"/>
  <c r="L115" i="21"/>
  <c r="M115" i="21" s="1"/>
  <c r="N115" i="21" s="1"/>
  <c r="L117" i="21"/>
  <c r="M117" i="21" s="1"/>
  <c r="N117" i="21" s="1"/>
  <c r="L45" i="21"/>
  <c r="M45" i="21" s="1"/>
  <c r="N45" i="21" s="1"/>
  <c r="O45" i="21" s="1"/>
  <c r="L16" i="21"/>
  <c r="M16" i="21" s="1"/>
  <c r="N16" i="21" s="1"/>
  <c r="Z16" i="21" s="1"/>
  <c r="L46" i="21"/>
  <c r="M46" i="21" s="1"/>
  <c r="N46" i="21" s="1"/>
  <c r="R16" i="21"/>
  <c r="L61" i="21"/>
  <c r="M61" i="21" s="1"/>
  <c r="N61" i="21" s="1"/>
  <c r="L44" i="21"/>
  <c r="M44" i="21" s="1"/>
  <c r="N44" i="21" s="1"/>
  <c r="O44" i="21" s="1"/>
  <c r="L71" i="21"/>
  <c r="M71" i="21" s="1"/>
  <c r="N71" i="21" s="1"/>
  <c r="Z169" i="21"/>
  <c r="L31" i="21"/>
  <c r="M31" i="21" s="1"/>
  <c r="N31" i="21" s="1"/>
  <c r="O31" i="21" s="1"/>
  <c r="Z171" i="21"/>
  <c r="R167" i="21"/>
  <c r="L167" i="21"/>
  <c r="M167" i="21" s="1"/>
  <c r="N167" i="21" s="1"/>
  <c r="U167" i="21" s="1"/>
  <c r="R5" i="21"/>
  <c r="L5" i="21"/>
  <c r="M5" i="21" s="1"/>
  <c r="N5" i="21" s="1"/>
  <c r="Z5" i="21" s="1"/>
  <c r="J5" i="21"/>
  <c r="R82" i="21"/>
  <c r="L82" i="21"/>
  <c r="M82" i="21" s="1"/>
  <c r="N82" i="21" s="1"/>
  <c r="R12" i="21"/>
  <c r="L12" i="21"/>
  <c r="M12" i="21" s="1"/>
  <c r="N12" i="21" s="1"/>
  <c r="Z12" i="21" s="1"/>
  <c r="J12" i="21"/>
  <c r="R159" i="21"/>
  <c r="L159" i="21"/>
  <c r="M159" i="21" s="1"/>
  <c r="N159" i="21" s="1"/>
  <c r="R131" i="21"/>
  <c r="L131" i="21"/>
  <c r="M131" i="21" s="1"/>
  <c r="N131" i="21" s="1"/>
  <c r="R10" i="21"/>
  <c r="L10" i="21"/>
  <c r="M10" i="21" s="1"/>
  <c r="N10" i="21" s="1"/>
  <c r="Z10" i="21" s="1"/>
  <c r="J10" i="21"/>
  <c r="R88" i="21"/>
  <c r="L88" i="21"/>
  <c r="M88" i="21" s="1"/>
  <c r="N88" i="21" s="1"/>
  <c r="R96" i="21"/>
  <c r="L96" i="21"/>
  <c r="M96" i="21" s="1"/>
  <c r="N96" i="21" s="1"/>
  <c r="R178" i="21"/>
  <c r="L178" i="21"/>
  <c r="M178" i="21" s="1"/>
  <c r="N178" i="21" s="1"/>
  <c r="U178" i="21" s="1"/>
  <c r="R114" i="21"/>
  <c r="L114" i="21"/>
  <c r="M114" i="21" s="1"/>
  <c r="N114" i="21" s="1"/>
  <c r="R78" i="21"/>
  <c r="L78" i="21"/>
  <c r="M78" i="21" s="1"/>
  <c r="N78" i="21" s="1"/>
  <c r="S169" i="21"/>
  <c r="O169" i="21"/>
  <c r="R8" i="21"/>
  <c r="L8" i="21"/>
  <c r="M8" i="21" s="1"/>
  <c r="N8" i="21" s="1"/>
  <c r="Z8" i="21" s="1"/>
  <c r="J8" i="21"/>
  <c r="R98" i="21"/>
  <c r="L98" i="21"/>
  <c r="M98" i="21" s="1"/>
  <c r="N98" i="21" s="1"/>
  <c r="R177" i="21"/>
  <c r="L177" i="21"/>
  <c r="M177" i="21" s="1"/>
  <c r="N177" i="21" s="1"/>
  <c r="U177" i="21" s="1"/>
  <c r="R14" i="21"/>
  <c r="L14" i="21"/>
  <c r="M14" i="21" s="1"/>
  <c r="N14" i="21" s="1"/>
  <c r="Z14" i="21" s="1"/>
  <c r="J14" i="21"/>
  <c r="R156" i="21"/>
  <c r="L156" i="21"/>
  <c r="M156" i="21" s="1"/>
  <c r="N156" i="21" s="1"/>
  <c r="R174" i="21"/>
  <c r="L174" i="21"/>
  <c r="M174" i="21" s="1"/>
  <c r="N174" i="21" s="1"/>
  <c r="Z174" i="21" s="1"/>
  <c r="R125" i="21"/>
  <c r="L125" i="21"/>
  <c r="M125" i="21" s="1"/>
  <c r="N125" i="21" s="1"/>
  <c r="O30" i="21"/>
  <c r="S50" i="21"/>
  <c r="O50" i="21"/>
  <c r="O53" i="21"/>
  <c r="R152" i="21"/>
  <c r="L152" i="21"/>
  <c r="M152" i="21" s="1"/>
  <c r="N152" i="21" s="1"/>
  <c r="R85" i="21"/>
  <c r="L85" i="21"/>
  <c r="M85" i="21" s="1"/>
  <c r="N85" i="21" s="1"/>
  <c r="R97" i="21"/>
  <c r="L97" i="21"/>
  <c r="M97" i="21" s="1"/>
  <c r="N97" i="21" s="1"/>
  <c r="O171" i="21"/>
  <c r="R150" i="21"/>
  <c r="L150" i="21"/>
  <c r="M150" i="21" s="1"/>
  <c r="N150" i="21" s="1"/>
  <c r="O151" i="21"/>
  <c r="R107" i="21"/>
  <c r="L107" i="21"/>
  <c r="M107" i="21" s="1"/>
  <c r="N107" i="21" s="1"/>
  <c r="R11" i="21"/>
  <c r="L11" i="21"/>
  <c r="M11" i="21" s="1"/>
  <c r="N11" i="21" s="1"/>
  <c r="Z11" i="21" s="1"/>
  <c r="J11" i="21"/>
  <c r="R89" i="21"/>
  <c r="L89" i="21"/>
  <c r="M89" i="21" s="1"/>
  <c r="N89" i="21" s="1"/>
  <c r="R100" i="21"/>
  <c r="L100" i="21"/>
  <c r="M100" i="21" s="1"/>
  <c r="N100" i="21" s="1"/>
  <c r="R168" i="21"/>
  <c r="L168" i="21"/>
  <c r="M168" i="21" s="1"/>
  <c r="N168" i="21" s="1"/>
  <c r="R153" i="21"/>
  <c r="L153" i="21"/>
  <c r="M153" i="21" s="1"/>
  <c r="N153" i="21" s="1"/>
  <c r="S135" i="21"/>
  <c r="O135" i="21"/>
  <c r="R81" i="21"/>
  <c r="L81" i="21"/>
  <c r="M81" i="21" s="1"/>
  <c r="N81" i="21" s="1"/>
  <c r="R179" i="21"/>
  <c r="L179" i="21"/>
  <c r="M179" i="21" s="1"/>
  <c r="N179" i="21" s="1"/>
  <c r="R155" i="21"/>
  <c r="L155" i="21"/>
  <c r="M155" i="21" s="1"/>
  <c r="N155" i="21" s="1"/>
  <c r="R170" i="21"/>
  <c r="L170" i="21"/>
  <c r="M170" i="21" s="1"/>
  <c r="N170" i="21" s="1"/>
  <c r="U170" i="21" s="1"/>
  <c r="R15" i="21"/>
  <c r="L15" i="21"/>
  <c r="M15" i="21" s="1"/>
  <c r="N15" i="21" s="1"/>
  <c r="Z15" i="21" s="1"/>
  <c r="J15" i="21"/>
  <c r="R133" i="21"/>
  <c r="L133" i="21"/>
  <c r="M133" i="21" s="1"/>
  <c r="N133" i="21" s="1"/>
  <c r="R157" i="21"/>
  <c r="L157" i="21"/>
  <c r="M157" i="21" s="1"/>
  <c r="N157" i="21" s="1"/>
  <c r="R86" i="21"/>
  <c r="L86" i="21"/>
  <c r="M86" i="21" s="1"/>
  <c r="N86" i="21" s="1"/>
  <c r="R13" i="21"/>
  <c r="L13" i="21"/>
  <c r="M13" i="21" s="1"/>
  <c r="N13" i="21" s="1"/>
  <c r="Z13" i="21" s="1"/>
  <c r="J13" i="21"/>
  <c r="S83" i="21"/>
  <c r="O83" i="21"/>
  <c r="R84" i="21"/>
  <c r="L84" i="21"/>
  <c r="M84" i="21" s="1"/>
  <c r="N84" i="21" s="1"/>
  <c r="R7" i="21"/>
  <c r="L7" i="21"/>
  <c r="M7" i="21" s="1"/>
  <c r="N7" i="21" s="1"/>
  <c r="Z7" i="21" s="1"/>
  <c r="J7" i="21"/>
  <c r="R87" i="21"/>
  <c r="L87" i="21"/>
  <c r="M87" i="21" s="1"/>
  <c r="N87" i="21" s="1"/>
  <c r="O116" i="21"/>
  <c r="O103" i="21"/>
  <c r="R176" i="21"/>
  <c r="L176" i="21"/>
  <c r="M176" i="21" s="1"/>
  <c r="N176" i="21" s="1"/>
  <c r="Z176" i="21" s="1"/>
  <c r="R149" i="21"/>
  <c r="L149" i="21"/>
  <c r="M149" i="21" s="1"/>
  <c r="N149" i="21" s="1"/>
  <c r="O149" i="21" s="1"/>
  <c r="R173" i="21"/>
  <c r="L173" i="21"/>
  <c r="M173" i="21" s="1"/>
  <c r="N173" i="21" s="1"/>
  <c r="U173" i="21" s="1"/>
  <c r="R140" i="21"/>
  <c r="L140" i="21"/>
  <c r="M140" i="21" s="1"/>
  <c r="N140" i="21" s="1"/>
  <c r="R160" i="21"/>
  <c r="L160" i="21"/>
  <c r="M160" i="21" s="1"/>
  <c r="N160" i="21" s="1"/>
  <c r="R9" i="21"/>
  <c r="L9" i="21"/>
  <c r="M9" i="21" s="1"/>
  <c r="N9" i="21" s="1"/>
  <c r="Z9" i="21" s="1"/>
  <c r="J9" i="21"/>
  <c r="S6" i="21"/>
  <c r="B22" i="17"/>
  <c r="B23" i="17"/>
  <c r="B22" i="18"/>
  <c r="B23" i="18"/>
  <c r="B22" i="15"/>
  <c r="B23" i="15"/>
  <c r="B22" i="12"/>
  <c r="B23" i="12"/>
  <c r="B22" i="19"/>
  <c r="B23" i="19"/>
  <c r="B22" i="14"/>
  <c r="B23" i="14"/>
  <c r="B22" i="20"/>
  <c r="B23" i="20"/>
  <c r="N17" i="11"/>
  <c r="N5" i="11"/>
  <c r="N6" i="11"/>
  <c r="N10" i="11"/>
  <c r="N14" i="11"/>
  <c r="N7" i="11"/>
  <c r="N11" i="11"/>
  <c r="N15" i="11"/>
  <c r="N9" i="11"/>
  <c r="N12" i="11"/>
  <c r="N3" i="11"/>
  <c r="N8" i="11"/>
  <c r="N16" i="11"/>
  <c r="N4" i="11"/>
  <c r="N13" i="11"/>
  <c r="K4" i="11"/>
  <c r="K13" i="11"/>
  <c r="K7" i="11"/>
  <c r="K12" i="11"/>
  <c r="K8" i="11"/>
  <c r="K15" i="11"/>
  <c r="K16" i="11"/>
  <c r="K9" i="11"/>
  <c r="K6" i="11"/>
  <c r="K11" i="11"/>
  <c r="K10" i="11"/>
  <c r="K14" i="11"/>
  <c r="K17" i="11"/>
  <c r="J5" i="11"/>
  <c r="S175" i="21" l="1"/>
  <c r="O25" i="21"/>
  <c r="Z175" i="21"/>
  <c r="O175" i="21"/>
  <c r="O104" i="21"/>
  <c r="S65" i="21"/>
  <c r="S119" i="21"/>
  <c r="S27" i="21"/>
  <c r="S122" i="21"/>
  <c r="S24" i="21"/>
  <c r="S69" i="21"/>
  <c r="S53" i="21"/>
  <c r="S103" i="21"/>
  <c r="S28" i="21"/>
  <c r="S137" i="21"/>
  <c r="S64" i="21"/>
  <c r="S35" i="21"/>
  <c r="S30" i="21"/>
  <c r="S68" i="21"/>
  <c r="S66" i="21"/>
  <c r="S41" i="21"/>
  <c r="O64" i="21"/>
  <c r="S136" i="21"/>
  <c r="O6" i="21"/>
  <c r="U16" i="21"/>
  <c r="S99" i="21"/>
  <c r="S123" i="21"/>
  <c r="U13" i="21"/>
  <c r="S34" i="21"/>
  <c r="O120" i="21"/>
  <c r="S141" i="21"/>
  <c r="S124" i="21"/>
  <c r="U6" i="21"/>
  <c r="S26" i="21"/>
  <c r="S42" i="21"/>
  <c r="S33" i="21"/>
  <c r="S118" i="21"/>
  <c r="O59" i="21"/>
  <c r="S143" i="21"/>
  <c r="S142" i="21"/>
  <c r="S139" i="21"/>
  <c r="S134" i="21"/>
  <c r="S132" i="21"/>
  <c r="S121" i="21"/>
  <c r="S117" i="21"/>
  <c r="S115" i="21"/>
  <c r="S106" i="21"/>
  <c r="S105" i="21"/>
  <c r="S102" i="21"/>
  <c r="S101" i="21"/>
  <c r="S79" i="21"/>
  <c r="S71" i="21"/>
  <c r="S67" i="21"/>
  <c r="S61" i="21"/>
  <c r="S60" i="21"/>
  <c r="S52" i="21"/>
  <c r="S49" i="21"/>
  <c r="S47" i="21"/>
  <c r="S46" i="21"/>
  <c r="S43" i="21"/>
  <c r="S29" i="21"/>
  <c r="S48" i="21"/>
  <c r="U12" i="21"/>
  <c r="U14" i="21"/>
  <c r="U5" i="21"/>
  <c r="U8" i="21"/>
  <c r="U17" i="21"/>
  <c r="U15" i="21"/>
  <c r="U11" i="21"/>
  <c r="O113" i="21"/>
  <c r="U9" i="21"/>
  <c r="U7" i="21"/>
  <c r="U10" i="21"/>
  <c r="S95" i="21"/>
  <c r="O105" i="21"/>
  <c r="O48" i="21"/>
  <c r="O23" i="21"/>
  <c r="B26" i="11"/>
  <c r="O139" i="21"/>
  <c r="O79" i="21"/>
  <c r="O134" i="21"/>
  <c r="O142" i="21"/>
  <c r="O47" i="21"/>
  <c r="O132" i="21"/>
  <c r="O66" i="21"/>
  <c r="O43" i="21"/>
  <c r="S32" i="21"/>
  <c r="S70" i="21"/>
  <c r="O67" i="21"/>
  <c r="S158" i="21"/>
  <c r="O121" i="21"/>
  <c r="O143" i="21"/>
  <c r="O29" i="21"/>
  <c r="O61" i="21"/>
  <c r="S45" i="21"/>
  <c r="S154" i="21"/>
  <c r="O95" i="21"/>
  <c r="S161" i="21"/>
  <c r="S172" i="21"/>
  <c r="O117" i="21"/>
  <c r="O172" i="21"/>
  <c r="S31" i="21"/>
  <c r="O49" i="21"/>
  <c r="O52" i="21"/>
  <c r="O16" i="21"/>
  <c r="O102" i="21"/>
  <c r="O154" i="21"/>
  <c r="Z172" i="21"/>
  <c r="O101" i="21"/>
  <c r="O60" i="21"/>
  <c r="O115" i="21"/>
  <c r="O17" i="21"/>
  <c r="S17" i="21"/>
  <c r="O106" i="21"/>
  <c r="S16" i="21"/>
  <c r="O46" i="21"/>
  <c r="S44" i="21"/>
  <c r="Z177" i="21"/>
  <c r="O71" i="21"/>
  <c r="Z170" i="21"/>
  <c r="Z173" i="21"/>
  <c r="U176" i="21"/>
  <c r="S179" i="21"/>
  <c r="O179" i="21"/>
  <c r="S153" i="21"/>
  <c r="O153" i="21"/>
  <c r="S168" i="21"/>
  <c r="O168" i="21"/>
  <c r="S97" i="21"/>
  <c r="O97" i="21"/>
  <c r="S10" i="21"/>
  <c r="O10" i="21"/>
  <c r="S12" i="21"/>
  <c r="O12" i="21"/>
  <c r="S84" i="21"/>
  <c r="O84" i="21"/>
  <c r="S133" i="21"/>
  <c r="O133" i="21"/>
  <c r="S11" i="21"/>
  <c r="O11" i="21"/>
  <c r="S156" i="21"/>
  <c r="O156" i="21"/>
  <c r="S78" i="21"/>
  <c r="O78" i="21"/>
  <c r="S96" i="21"/>
  <c r="O96" i="21"/>
  <c r="S88" i="21"/>
  <c r="O88" i="21"/>
  <c r="Z167" i="21"/>
  <c r="S173" i="21"/>
  <c r="O173" i="21"/>
  <c r="S13" i="21"/>
  <c r="O13" i="21"/>
  <c r="S100" i="21"/>
  <c r="O100" i="21"/>
  <c r="S85" i="21"/>
  <c r="O85" i="21"/>
  <c r="S98" i="21"/>
  <c r="O98" i="21"/>
  <c r="S131" i="21"/>
  <c r="O131" i="21"/>
  <c r="S82" i="21"/>
  <c r="O82" i="21"/>
  <c r="S81" i="21"/>
  <c r="O81" i="21"/>
  <c r="S107" i="21"/>
  <c r="O107" i="21"/>
  <c r="S125" i="21"/>
  <c r="O125" i="21"/>
  <c r="S114" i="21"/>
  <c r="O114" i="21"/>
  <c r="S167" i="21"/>
  <c r="O167" i="21"/>
  <c r="S9" i="21"/>
  <c r="O9" i="21"/>
  <c r="S160" i="21"/>
  <c r="O160" i="21"/>
  <c r="S149" i="21"/>
  <c r="S176" i="21"/>
  <c r="O176" i="21"/>
  <c r="S86" i="21"/>
  <c r="O86" i="21"/>
  <c r="S89" i="21"/>
  <c r="O89" i="21"/>
  <c r="S150" i="21"/>
  <c r="O150" i="21"/>
  <c r="S152" i="21"/>
  <c r="O152" i="21"/>
  <c r="S14" i="21"/>
  <c r="O14" i="21"/>
  <c r="U174" i="21"/>
  <c r="S8" i="21"/>
  <c r="O8" i="21"/>
  <c r="Z178" i="21"/>
  <c r="S155" i="21"/>
  <c r="O155" i="21"/>
  <c r="S140" i="21"/>
  <c r="O140" i="21"/>
  <c r="S87" i="21"/>
  <c r="O87" i="21"/>
  <c r="S15" i="21"/>
  <c r="O15" i="21"/>
  <c r="S170" i="21"/>
  <c r="O170" i="21"/>
  <c r="Z179" i="21"/>
  <c r="U168" i="21"/>
  <c r="S177" i="21"/>
  <c r="O177" i="21"/>
  <c r="S7" i="21"/>
  <c r="O7" i="21"/>
  <c r="S157" i="21"/>
  <c r="O157" i="21"/>
  <c r="U179" i="21"/>
  <c r="Z168" i="21"/>
  <c r="S174" i="21"/>
  <c r="O174" i="21"/>
  <c r="S178" i="21"/>
  <c r="O178" i="21"/>
  <c r="S159" i="21"/>
  <c r="O159" i="21"/>
  <c r="S5" i="21"/>
  <c r="O5" i="21"/>
  <c r="S77" i="21"/>
  <c r="B41" i="11"/>
  <c r="B40" i="11"/>
  <c r="B35" i="11"/>
  <c r="B34" i="11"/>
  <c r="B39" i="11"/>
  <c r="B38" i="11"/>
  <c r="B47" i="11"/>
  <c r="B46" i="11"/>
  <c r="B37" i="11"/>
  <c r="B36" i="11"/>
  <c r="B53" i="11"/>
  <c r="B52" i="11"/>
  <c r="K5" i="11"/>
  <c r="B51" i="11"/>
  <c r="B50" i="11"/>
  <c r="B55" i="11"/>
  <c r="B54" i="11"/>
  <c r="B43" i="11"/>
  <c r="B42" i="11"/>
  <c r="B45" i="11"/>
  <c r="B44" i="11"/>
  <c r="B48" i="11"/>
  <c r="B49" i="11"/>
  <c r="B33" i="11"/>
  <c r="B32" i="11"/>
  <c r="B29" i="11"/>
  <c r="B28" i="11"/>
  <c r="G12" i="21" l="1" a="1"/>
  <c r="G12" i="21" s="1"/>
  <c r="G29" i="21" s="1"/>
  <c r="B31" i="11"/>
  <c r="B30" i="11"/>
  <c r="K22" i="21" l="1"/>
  <c r="U36" i="21" s="1"/>
  <c r="U24" i="21" l="1"/>
  <c r="Z31" i="21"/>
  <c r="Z30" i="21"/>
  <c r="U34" i="21"/>
  <c r="U35" i="21"/>
  <c r="Z35" i="21"/>
  <c r="U29" i="21"/>
  <c r="Z32" i="21"/>
  <c r="Z33" i="21"/>
  <c r="Z23" i="21"/>
  <c r="U25" i="21"/>
  <c r="Z34" i="21"/>
  <c r="U26" i="21"/>
  <c r="U32" i="21"/>
  <c r="U31" i="21"/>
  <c r="U23" i="21"/>
  <c r="Z29" i="21"/>
  <c r="Z24" i="21"/>
  <c r="U28" i="21"/>
  <c r="Z26" i="21"/>
  <c r="U27" i="21"/>
  <c r="U33" i="21"/>
  <c r="Z27" i="21"/>
  <c r="Z28" i="21"/>
  <c r="Z25" i="21"/>
  <c r="U30" i="21"/>
  <c r="Z36" i="21"/>
  <c r="L22" i="21"/>
  <c r="R22" i="21"/>
  <c r="M22" i="21" l="1"/>
  <c r="N22" i="21" s="1"/>
  <c r="Z22" i="21" l="1"/>
  <c r="S22" i="21"/>
  <c r="G30" i="21" s="1" a="1"/>
  <c r="G30" i="21" s="1"/>
  <c r="G47" i="21" s="1"/>
  <c r="K40" i="21" s="1"/>
  <c r="U49" i="21" s="1"/>
  <c r="U22" i="21"/>
  <c r="O22" i="21"/>
  <c r="Z41" i="21" l="1"/>
  <c r="U54" i="21"/>
  <c r="Z42" i="21"/>
  <c r="U51" i="21"/>
  <c r="Z44" i="21"/>
  <c r="U53" i="21"/>
  <c r="U48" i="21"/>
  <c r="U47" i="21"/>
  <c r="U45" i="21"/>
  <c r="Z54" i="21"/>
  <c r="Z51" i="21"/>
  <c r="Z49" i="21"/>
  <c r="Z46" i="21"/>
  <c r="U42" i="21"/>
  <c r="U43" i="21"/>
  <c r="Z43" i="21"/>
  <c r="U52" i="21"/>
  <c r="Z45" i="21"/>
  <c r="Z53" i="21"/>
  <c r="U46" i="21"/>
  <c r="Z50" i="21"/>
  <c r="Z48" i="21"/>
  <c r="Z47" i="21"/>
  <c r="U44" i="21"/>
  <c r="Z52" i="21"/>
  <c r="R40" i="21"/>
  <c r="L40" i="21"/>
  <c r="U41" i="21"/>
  <c r="U50" i="21"/>
  <c r="M40" i="21" l="1"/>
  <c r="N40" i="21" s="1"/>
  <c r="Z40" i="21" l="1"/>
  <c r="U40" i="21"/>
  <c r="O40" i="21"/>
  <c r="S40" i="21"/>
  <c r="G48" i="21" s="1" a="1"/>
  <c r="G48" i="21" s="1"/>
  <c r="G65" i="21" s="1"/>
  <c r="K58" i="21" l="1"/>
  <c r="Z67" i="21" s="1"/>
  <c r="R58" i="21" l="1"/>
  <c r="U59" i="21"/>
  <c r="Z70" i="21"/>
  <c r="Z68" i="21"/>
  <c r="U65" i="21"/>
  <c r="U63" i="21"/>
  <c r="U72" i="21"/>
  <c r="U60" i="21"/>
  <c r="U69" i="21"/>
  <c r="Z69" i="21"/>
  <c r="U61" i="21"/>
  <c r="Z64" i="21"/>
  <c r="Z63" i="21"/>
  <c r="U62" i="21"/>
  <c r="Z60" i="21"/>
  <c r="L58" i="21"/>
  <c r="M58" i="21" s="1"/>
  <c r="N58" i="21" s="1"/>
  <c r="Z58" i="21" s="1"/>
  <c r="Z62" i="21"/>
  <c r="Z65" i="21"/>
  <c r="U64" i="21"/>
  <c r="Z66" i="21"/>
  <c r="Z59" i="21"/>
  <c r="U67" i="21"/>
  <c r="U66" i="21"/>
  <c r="Z61" i="21"/>
  <c r="U68" i="21"/>
  <c r="U71" i="21"/>
  <c r="Z72" i="21"/>
  <c r="U70" i="21"/>
  <c r="Z71" i="21"/>
  <c r="O58" i="21" l="1"/>
  <c r="S58" i="21"/>
  <c r="G66" i="21" s="1" a="1"/>
  <c r="G66" i="21" s="1"/>
  <c r="G83" i="21" s="1"/>
  <c r="K76" i="21" s="1"/>
  <c r="U89" i="21" s="1"/>
  <c r="U58" i="21"/>
  <c r="Z84" i="21" l="1"/>
  <c r="Z78" i="21"/>
  <c r="Z79" i="21"/>
  <c r="U84" i="21"/>
  <c r="U78" i="21"/>
  <c r="Z77" i="21"/>
  <c r="Z83" i="21"/>
  <c r="Z87" i="21"/>
  <c r="U83" i="21"/>
  <c r="Z81" i="21"/>
  <c r="U77" i="21"/>
  <c r="U87" i="21"/>
  <c r="U88" i="21"/>
  <c r="Z86" i="21"/>
  <c r="Z90" i="21"/>
  <c r="U85" i="21"/>
  <c r="U80" i="21"/>
  <c r="R76" i="21"/>
  <c r="Z88" i="21"/>
  <c r="Z89" i="21"/>
  <c r="U79" i="21"/>
  <c r="U86" i="21"/>
  <c r="Z85" i="21"/>
  <c r="L76" i="21"/>
  <c r="M76" i="21" s="1"/>
  <c r="N76" i="21" s="1"/>
  <c r="Z80" i="21"/>
  <c r="U90" i="21"/>
  <c r="U82" i="21"/>
  <c r="Z82" i="21"/>
  <c r="U81" i="21"/>
  <c r="O76" i="21" l="1"/>
  <c r="Z76" i="21"/>
  <c r="S76" i="21"/>
  <c r="G84" i="21" s="1" a="1"/>
  <c r="G84" i="21" s="1"/>
  <c r="G101" i="21" s="1"/>
  <c r="K94" i="21" s="1"/>
  <c r="R94" i="21" s="1"/>
  <c r="U76" i="21"/>
  <c r="Z108" i="21" l="1"/>
  <c r="U102" i="21"/>
  <c r="U96" i="21"/>
  <c r="Z95" i="21"/>
  <c r="Z104" i="21"/>
  <c r="U95" i="21"/>
  <c r="Z96" i="21"/>
  <c r="Z103" i="21"/>
  <c r="Z101" i="21"/>
  <c r="U103" i="21"/>
  <c r="Z99" i="21"/>
  <c r="U107" i="21"/>
  <c r="Z107" i="21"/>
  <c r="U99" i="21"/>
  <c r="U97" i="21"/>
  <c r="U104" i="21"/>
  <c r="U108" i="21"/>
  <c r="U100" i="21"/>
  <c r="Z105" i="21"/>
  <c r="U106" i="21"/>
  <c r="Z100" i="21"/>
  <c r="Z106" i="21"/>
  <c r="U101" i="21"/>
  <c r="Z98" i="21"/>
  <c r="U98" i="21"/>
  <c r="L94" i="21"/>
  <c r="M94" i="21" s="1"/>
  <c r="N94" i="21" s="1"/>
  <c r="Z102" i="21"/>
  <c r="Z97" i="21"/>
  <c r="U105" i="21"/>
  <c r="Z94" i="21" l="1"/>
  <c r="S94" i="21"/>
  <c r="G102" i="21" s="1" a="1"/>
  <c r="G102" i="21" s="1"/>
  <c r="G119" i="21" s="1"/>
  <c r="K112" i="21" s="1"/>
  <c r="U126" i="21" s="1"/>
  <c r="O94" i="21"/>
  <c r="U94" i="21"/>
  <c r="U125" i="21" l="1"/>
  <c r="Z125" i="21"/>
  <c r="Z122" i="21"/>
  <c r="U114" i="21"/>
  <c r="Z123" i="21"/>
  <c r="Z124" i="21"/>
  <c r="Z119" i="21"/>
  <c r="U119" i="21"/>
  <c r="U117" i="21"/>
  <c r="Z114" i="21"/>
  <c r="U116" i="21"/>
  <c r="Z117" i="21"/>
  <c r="Z116" i="21"/>
  <c r="U123" i="21"/>
  <c r="Z115" i="21"/>
  <c r="U121" i="21"/>
  <c r="Z113" i="21"/>
  <c r="U124" i="21"/>
  <c r="U113" i="21"/>
  <c r="U122" i="21"/>
  <c r="Z120" i="21"/>
  <c r="Z121" i="21"/>
  <c r="L112" i="21"/>
  <c r="U118" i="21"/>
  <c r="U115" i="21"/>
  <c r="U120" i="21"/>
  <c r="Z118" i="21"/>
  <c r="Z126" i="21"/>
  <c r="R112" i="21"/>
  <c r="M112" i="21" l="1"/>
  <c r="N112" i="21" s="1"/>
  <c r="Z112" i="21" l="1"/>
  <c r="U112" i="21"/>
  <c r="O112" i="21"/>
  <c r="S112" i="21"/>
  <c r="G120" i="21" s="1" a="1"/>
  <c r="G120" i="21" s="1"/>
  <c r="G137" i="21" s="1"/>
  <c r="K130" i="21" s="1"/>
  <c r="Z135" i="21" s="1"/>
  <c r="Z140" i="21" l="1"/>
  <c r="U133" i="21"/>
  <c r="Z134" i="21"/>
  <c r="U131" i="21"/>
  <c r="U135" i="21"/>
  <c r="U138" i="21"/>
  <c r="R130" i="21"/>
  <c r="Z143" i="21"/>
  <c r="Z138" i="21"/>
  <c r="U141" i="21"/>
  <c r="U137" i="21"/>
  <c r="Z142" i="21"/>
  <c r="Z141" i="21"/>
  <c r="Z133" i="21"/>
  <c r="U140" i="21"/>
  <c r="U143" i="21"/>
  <c r="Z137" i="21"/>
  <c r="U142" i="21"/>
  <c r="U134" i="21"/>
  <c r="Z136" i="21"/>
  <c r="U132" i="21"/>
  <c r="U144" i="21"/>
  <c r="U136" i="21"/>
  <c r="Z131" i="21"/>
  <c r="Z139" i="21"/>
  <c r="Z132" i="21"/>
  <c r="U139" i="21"/>
  <c r="Z144" i="21"/>
  <c r="L130" i="21"/>
  <c r="M130" i="21" l="1"/>
  <c r="N130" i="21" s="1"/>
  <c r="U130" i="21" l="1"/>
  <c r="Z130" i="21"/>
  <c r="O130" i="21"/>
  <c r="S130" i="21"/>
  <c r="G138" i="21" s="1" a="1"/>
  <c r="G138" i="21" s="1"/>
  <c r="G155" i="21" s="1"/>
  <c r="K148" i="21" l="1"/>
  <c r="U158" i="21" s="1"/>
  <c r="U160" i="21" l="1"/>
  <c r="U151" i="21"/>
  <c r="Z150" i="21"/>
  <c r="U159" i="21"/>
  <c r="U149" i="21"/>
  <c r="Z159" i="21"/>
  <c r="U153" i="21"/>
  <c r="Z154" i="21"/>
  <c r="U161" i="21"/>
  <c r="U157" i="21"/>
  <c r="Z156" i="21"/>
  <c r="U150" i="21"/>
  <c r="U152" i="21"/>
  <c r="Z162" i="21"/>
  <c r="Z149" i="21"/>
  <c r="Z153" i="21"/>
  <c r="U155" i="21"/>
  <c r="L148" i="21"/>
  <c r="M148" i="21" s="1"/>
  <c r="N148" i="21" s="1"/>
  <c r="O148" i="21" s="1"/>
  <c r="U148" i="21" s="1"/>
  <c r="R148" i="21"/>
  <c r="Z155" i="21"/>
  <c r="Z151" i="21"/>
  <c r="Z158" i="21"/>
  <c r="U154" i="21"/>
  <c r="Z160" i="21"/>
  <c r="Z152" i="21"/>
  <c r="U156" i="21"/>
  <c r="Z161" i="21"/>
  <c r="Z157" i="21"/>
  <c r="U162" i="21"/>
  <c r="Z148" i="21" l="1"/>
  <c r="S148" i="21"/>
  <c r="G156" i="21" s="1" a="1"/>
  <c r="G156" i="21" s="1"/>
  <c r="G173" i="2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5893C5-174A-4FEE-B2D1-2C7D2ACCC570}" name="V Piper" type="6" refreshedVersion="8" background="1" saveData="1">
    <textPr codePage="852" sourceFile="C:\Users\Sebastian\Desktop\OBRONA\praca\Praca\ofertowy\V Piper.txt" decimal="," thousands=" " semicolon="1">
      <textFields count="2">
        <textField/>
        <textField/>
      </textFields>
    </textPr>
  </connection>
  <connection id="2" xr16:uid="{BFCCBCE8-CAA7-4CFD-9C5E-13CB098620B0}" name="V2 Piper" type="6" refreshedVersion="8" background="1" saveData="1">
    <textPr codePage="852" sourceFile="C:\Users\Sebastian\Desktop\OBRONA\praca\Praca\ofertowy\V2 Piper.txt" decimal="," thousands=" " semicolon="1">
      <textFields count="2">
        <textField/>
        <textField/>
      </textFields>
    </textPr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<sst xmlns="http://schemas.openxmlformats.org/spreadsheetml/2006/main" count="1494" uniqueCount="200">
  <si>
    <t>kg</t>
  </si>
  <si>
    <t>Cz</t>
  </si>
  <si>
    <t>E</t>
  </si>
  <si>
    <t>m</t>
  </si>
  <si>
    <t>g</t>
  </si>
  <si>
    <t>S</t>
  </si>
  <si>
    <t>h</t>
  </si>
  <si>
    <t>-</t>
  </si>
  <si>
    <t>h [m]</t>
  </si>
  <si>
    <t>wysokość lotu</t>
  </si>
  <si>
    <t>kąt pochylenia osi silnika fi</t>
  </si>
  <si>
    <t>średnica śmigła</t>
  </si>
  <si>
    <t>masa samolotu</t>
  </si>
  <si>
    <t>Q</t>
  </si>
  <si>
    <t>k</t>
  </si>
  <si>
    <t>J</t>
  </si>
  <si>
    <t>Równania</t>
  </si>
  <si>
    <t>Kąty [deg]</t>
  </si>
  <si>
    <t>D</t>
  </si>
  <si>
    <t>Obroty silnika</t>
  </si>
  <si>
    <t>współczynnik korekcyjny</t>
  </si>
  <si>
    <t>wydłużenie Oswalda</t>
  </si>
  <si>
    <t>Powierzchnia nośna</t>
  </si>
  <si>
    <t>Moc silnika</t>
  </si>
  <si>
    <t>Współczynnik kierunkowy prostej Cz(a)</t>
  </si>
  <si>
    <t>Minimalny współczynnik Cx z danych</t>
  </si>
  <si>
    <t>Ciężar samolotu</t>
  </si>
  <si>
    <t>Moc na wysokości przelotowej</t>
  </si>
  <si>
    <t>Współczynnik mocy</t>
  </si>
  <si>
    <t>gęstość powietrza na wysokości h</t>
  </si>
  <si>
    <t>φ</t>
  </si>
  <si>
    <r>
      <t>α</t>
    </r>
    <r>
      <rPr>
        <vertAlign val="subscript"/>
        <sz val="11"/>
        <color theme="1"/>
        <rFont val="Calibri"/>
        <family val="2"/>
        <charset val="238"/>
        <scheme val="minor"/>
      </rPr>
      <t>0</t>
    </r>
  </si>
  <si>
    <t>ρ</t>
  </si>
  <si>
    <t>gęstość powietrza przy ziemii</t>
  </si>
  <si>
    <t>1/rad</t>
  </si>
  <si>
    <t>W</t>
  </si>
  <si>
    <t>m2</t>
  </si>
  <si>
    <t>1/s</t>
  </si>
  <si>
    <t>kg/m3</t>
  </si>
  <si>
    <t>N</t>
  </si>
  <si>
    <t>rad</t>
  </si>
  <si>
    <t>Kąt zerowej siły nośnej</t>
  </si>
  <si>
    <r>
      <t>m</t>
    </r>
    <r>
      <rPr>
        <b/>
        <vertAlign val="subscript"/>
        <sz val="11"/>
        <color theme="1"/>
        <rFont val="Calibri"/>
        <family val="2"/>
        <charset val="238"/>
        <scheme val="minor"/>
      </rPr>
      <t>max</t>
    </r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</si>
  <si>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t</t>
    </r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</si>
  <si>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p</t>
    </r>
  </si>
  <si>
    <r>
      <t>t</t>
    </r>
    <r>
      <rPr>
        <vertAlign val="subscript"/>
        <sz val="11"/>
        <color theme="1"/>
        <rFont val="Calibri"/>
        <family val="2"/>
        <charset val="238"/>
        <scheme val="minor"/>
      </rPr>
      <t>hp</t>
    </r>
  </si>
  <si>
    <r>
      <t>ρ</t>
    </r>
    <r>
      <rPr>
        <vertAlign val="subscript"/>
        <sz val="11"/>
        <color theme="1"/>
        <rFont val="Calibri Light"/>
        <family val="2"/>
        <charset val="238"/>
      </rPr>
      <t>0</t>
    </r>
  </si>
  <si>
    <r>
      <t>q</t>
    </r>
    <r>
      <rPr>
        <vertAlign val="subscript"/>
        <sz val="11"/>
        <color theme="1"/>
        <rFont val="Calibri"/>
        <family val="2"/>
        <charset val="238"/>
        <scheme val="minor"/>
      </rPr>
      <t>t</t>
    </r>
  </si>
  <si>
    <r>
      <t>m</t>
    </r>
    <r>
      <rPr>
        <b/>
        <vertAlign val="subscript"/>
        <sz val="11"/>
        <color theme="1"/>
        <rFont val="Calibri"/>
        <family val="2"/>
        <charset val="238"/>
        <scheme val="minor"/>
      </rPr>
      <t>pal</t>
    </r>
  </si>
  <si>
    <t>Δt</t>
  </si>
  <si>
    <r>
      <t>m</t>
    </r>
    <r>
      <rPr>
        <vertAlign val="subscript"/>
        <sz val="11"/>
        <color theme="1"/>
        <rFont val="Calibri"/>
        <family val="2"/>
        <charset val="238"/>
        <scheme val="minor"/>
      </rPr>
      <t>obl</t>
    </r>
  </si>
  <si>
    <t>m/s2</t>
  </si>
  <si>
    <t>min</t>
  </si>
  <si>
    <r>
      <t>q</t>
    </r>
    <r>
      <rPr>
        <vertAlign val="subscript"/>
        <sz val="11"/>
        <color theme="1"/>
        <rFont val="Calibri"/>
        <family val="2"/>
        <charset val="238"/>
        <scheme val="minor"/>
      </rPr>
      <t>N</t>
    </r>
  </si>
  <si>
    <r>
      <t>q</t>
    </r>
    <r>
      <rPr>
        <vertAlign val="subscript"/>
        <sz val="11"/>
        <color theme="1"/>
        <rFont val="Calibri"/>
        <family val="2"/>
        <charset val="238"/>
        <scheme val="minor"/>
      </rPr>
      <t>e</t>
    </r>
  </si>
  <si>
    <r>
      <t>m</t>
    </r>
    <r>
      <rPr>
        <b/>
        <vertAlign val="subscript"/>
        <sz val="11"/>
        <color theme="1"/>
        <rFont val="Calibri"/>
        <family val="2"/>
        <charset val="238"/>
        <scheme val="minor"/>
      </rPr>
      <t>k</t>
    </r>
  </si>
  <si>
    <r>
      <t>N</t>
    </r>
    <r>
      <rPr>
        <b/>
        <vertAlign val="subscript"/>
        <sz val="11"/>
        <color theme="1"/>
        <rFont val="Calibri"/>
        <family val="2"/>
        <charset val="238"/>
        <scheme val="minor"/>
      </rPr>
      <t>max</t>
    </r>
  </si>
  <si>
    <r>
      <t>N</t>
    </r>
    <r>
      <rPr>
        <b/>
        <vertAlign val="subscript"/>
        <sz val="11"/>
        <color theme="1"/>
        <rFont val="Calibri"/>
        <family val="2"/>
        <charset val="238"/>
        <scheme val="minor"/>
      </rPr>
      <t>nom</t>
    </r>
  </si>
  <si>
    <r>
      <t>n</t>
    </r>
    <r>
      <rPr>
        <b/>
        <vertAlign val="subscript"/>
        <sz val="11"/>
        <color theme="1"/>
        <rFont val="Calibri"/>
        <family val="2"/>
        <charset val="238"/>
        <scheme val="minor"/>
      </rPr>
      <t>s</t>
    </r>
  </si>
  <si>
    <r>
      <t>Λ</t>
    </r>
    <r>
      <rPr>
        <b/>
        <vertAlign val="subscript"/>
        <sz val="11"/>
        <color theme="1"/>
        <rFont val="Calibri"/>
        <family val="2"/>
        <charset val="238"/>
        <scheme val="minor"/>
      </rPr>
      <t>e</t>
    </r>
  </si>
  <si>
    <r>
      <t>(Cx)</t>
    </r>
    <r>
      <rPr>
        <b/>
        <vertAlign val="subscript"/>
        <sz val="11"/>
        <color theme="1"/>
        <rFont val="Calibri"/>
        <family val="2"/>
        <charset val="238"/>
        <scheme val="minor"/>
      </rPr>
      <t>min</t>
    </r>
  </si>
  <si>
    <r>
      <t>a</t>
    </r>
    <r>
      <rPr>
        <b/>
        <vertAlign val="subscript"/>
        <sz val="11"/>
        <color theme="1"/>
        <rFont val="Calibri"/>
        <family val="2"/>
        <charset val="238"/>
        <scheme val="minor"/>
      </rPr>
      <t>∞</t>
    </r>
  </si>
  <si>
    <r>
      <t>α</t>
    </r>
    <r>
      <rPr>
        <b/>
        <vertAlign val="subscript"/>
        <sz val="11"/>
        <color theme="1"/>
        <rFont val="Calibri"/>
        <family val="2"/>
        <charset val="238"/>
        <scheme val="minor"/>
      </rPr>
      <t>0</t>
    </r>
  </si>
  <si>
    <r>
      <rPr>
        <b/>
        <sz val="11"/>
        <color theme="1"/>
        <rFont val="Calibri"/>
        <family val="2"/>
        <charset val="238"/>
      </rPr>
      <t>η</t>
    </r>
    <r>
      <rPr>
        <b/>
        <vertAlign val="subscript"/>
        <sz val="11"/>
        <color theme="1"/>
        <rFont val="Calibri"/>
        <family val="2"/>
        <charset val="238"/>
        <scheme val="minor"/>
      </rPr>
      <t>ś</t>
    </r>
  </si>
  <si>
    <t>°</t>
  </si>
  <si>
    <r>
      <t>ρ</t>
    </r>
    <r>
      <rPr>
        <b/>
        <vertAlign val="subscript"/>
        <sz val="11"/>
        <color theme="1"/>
        <rFont val="Calibri Light"/>
        <family val="2"/>
        <charset val="238"/>
      </rPr>
      <t>pal</t>
    </r>
  </si>
  <si>
    <t>Kąty [rad]</t>
  </si>
  <si>
    <t>V [m/s]</t>
  </si>
  <si>
    <r>
      <t>P</t>
    </r>
    <r>
      <rPr>
        <b/>
        <vertAlign val="subscript"/>
        <sz val="12"/>
        <color theme="1"/>
        <rFont val="Arial"/>
        <family val="2"/>
        <charset val="238"/>
      </rPr>
      <t>s</t>
    </r>
    <r>
      <rPr>
        <b/>
        <sz val="12"/>
        <color theme="1"/>
        <rFont val="Arial"/>
        <family val="2"/>
        <charset val="238"/>
      </rPr>
      <t xml:space="preserve"> [N]</t>
    </r>
  </si>
  <si>
    <t>w [m/s]</t>
  </si>
  <si>
    <t>α [°]</t>
  </si>
  <si>
    <t>ΔN [W]</t>
  </si>
  <si>
    <r>
      <t>N</t>
    </r>
    <r>
      <rPr>
        <b/>
        <vertAlign val="subscript"/>
        <sz val="12"/>
        <color theme="1"/>
        <rFont val="Arial"/>
        <family val="2"/>
        <charset val="238"/>
      </rPr>
      <t>n</t>
    </r>
    <r>
      <rPr>
        <b/>
        <sz val="12"/>
        <color theme="1"/>
        <rFont val="Arial"/>
        <family val="2"/>
        <charset val="238"/>
      </rPr>
      <t xml:space="preserve"> [W]</t>
    </r>
  </si>
  <si>
    <r>
      <t>N</t>
    </r>
    <r>
      <rPr>
        <b/>
        <vertAlign val="subscript"/>
        <sz val="12"/>
        <color theme="1"/>
        <rFont val="Arial"/>
        <family val="2"/>
        <charset val="238"/>
      </rPr>
      <t>r</t>
    </r>
    <r>
      <rPr>
        <b/>
        <sz val="12"/>
        <color theme="1"/>
        <rFont val="Arial"/>
        <family val="2"/>
        <charset val="238"/>
      </rPr>
      <t xml:space="preserve"> [W]</t>
    </r>
  </si>
  <si>
    <r>
      <t>η</t>
    </r>
    <r>
      <rPr>
        <b/>
        <vertAlign val="subscript"/>
        <sz val="12"/>
        <color theme="1"/>
        <rFont val="Arial"/>
        <family val="2"/>
        <charset val="238"/>
      </rPr>
      <t>s</t>
    </r>
  </si>
  <si>
    <r>
      <t>a</t>
    </r>
    <r>
      <rPr>
        <b/>
        <vertAlign val="subscript"/>
        <sz val="12"/>
        <color theme="1"/>
        <rFont val="Arial"/>
        <family val="2"/>
        <charset val="238"/>
      </rPr>
      <t>∞</t>
    </r>
  </si>
  <si>
    <r>
      <t>N</t>
    </r>
    <r>
      <rPr>
        <b/>
        <vertAlign val="subscript"/>
        <sz val="12"/>
        <color theme="1"/>
        <rFont val="Arial"/>
        <family val="2"/>
        <charset val="238"/>
      </rPr>
      <t>max</t>
    </r>
  </si>
  <si>
    <r>
      <t>m</t>
    </r>
    <r>
      <rPr>
        <b/>
        <vertAlign val="superscript"/>
        <sz val="12"/>
        <color theme="1"/>
        <rFont val="Arial"/>
        <family val="2"/>
        <charset val="238"/>
      </rPr>
      <t>2</t>
    </r>
  </si>
  <si>
    <r>
      <t>α</t>
    </r>
    <r>
      <rPr>
        <b/>
        <vertAlign val="subscript"/>
        <sz val="12"/>
        <color theme="1"/>
        <rFont val="Arial"/>
        <family val="2"/>
        <charset val="238"/>
      </rPr>
      <t>0</t>
    </r>
  </si>
  <si>
    <r>
      <t>Λ</t>
    </r>
    <r>
      <rPr>
        <b/>
        <vertAlign val="subscript"/>
        <sz val="12"/>
        <color theme="1"/>
        <rFont val="Arial"/>
        <family val="2"/>
        <charset val="238"/>
      </rPr>
      <t>e</t>
    </r>
  </si>
  <si>
    <r>
      <t>(Cx)</t>
    </r>
    <r>
      <rPr>
        <b/>
        <vertAlign val="subscript"/>
        <sz val="12"/>
        <color theme="1"/>
        <rFont val="Arial"/>
        <family val="2"/>
        <charset val="238"/>
      </rPr>
      <t>min</t>
    </r>
  </si>
  <si>
    <r>
      <t>n</t>
    </r>
    <r>
      <rPr>
        <b/>
        <vertAlign val="subscript"/>
        <sz val="12"/>
        <color theme="1"/>
        <rFont val="Arial"/>
        <family val="2"/>
        <charset val="238"/>
      </rPr>
      <t>s</t>
    </r>
  </si>
  <si>
    <r>
      <t>kg/m</t>
    </r>
    <r>
      <rPr>
        <b/>
        <vertAlign val="superscript"/>
        <sz val="12"/>
        <color theme="1"/>
        <rFont val="Arial"/>
        <family val="2"/>
        <charset val="238"/>
      </rPr>
      <t>3</t>
    </r>
  </si>
  <si>
    <r>
      <t>ρ</t>
    </r>
    <r>
      <rPr>
        <vertAlign val="subscript"/>
        <sz val="12"/>
        <color theme="1"/>
        <rFont val="Arial"/>
        <family val="2"/>
        <charset val="238"/>
      </rPr>
      <t>h</t>
    </r>
  </si>
  <si>
    <r>
      <t>kg/m</t>
    </r>
    <r>
      <rPr>
        <vertAlign val="superscript"/>
        <sz val="12"/>
        <color theme="1"/>
        <rFont val="Arial"/>
        <family val="2"/>
        <charset val="238"/>
      </rPr>
      <t>3</t>
    </r>
  </si>
  <si>
    <r>
      <t>N</t>
    </r>
    <r>
      <rPr>
        <vertAlign val="subscript"/>
        <sz val="12"/>
        <color theme="1"/>
        <rFont val="Arial"/>
        <family val="2"/>
        <charset val="238"/>
      </rPr>
      <t>h</t>
    </r>
  </si>
  <si>
    <r>
      <t>C</t>
    </r>
    <r>
      <rPr>
        <vertAlign val="subscript"/>
        <sz val="12"/>
        <color theme="1"/>
        <rFont val="Arial"/>
        <family val="2"/>
        <charset val="238"/>
      </rPr>
      <t>N</t>
    </r>
  </si>
  <si>
    <t>γ [°]</t>
  </si>
  <si>
    <t>Przyspieszenie grawitacyjne</t>
  </si>
  <si>
    <t>Czmax</t>
  </si>
  <si>
    <t>Masa paliwa</t>
  </si>
  <si>
    <t>Miminalna masa samolotu</t>
  </si>
  <si>
    <t>maksymalny współczynnik siły nośnej</t>
  </si>
  <si>
    <r>
      <t>Cz</t>
    </r>
    <r>
      <rPr>
        <vertAlign val="subscript"/>
        <sz val="11"/>
        <color theme="1"/>
        <rFont val="Calibri"/>
        <family val="2"/>
        <charset val="238"/>
        <scheme val="minor"/>
      </rPr>
      <t>max</t>
    </r>
  </si>
  <si>
    <r>
      <t>m/s</t>
    </r>
    <r>
      <rPr>
        <b/>
        <vertAlign val="subscript"/>
        <sz val="12"/>
        <color theme="1"/>
        <rFont val="Arial"/>
        <family val="2"/>
        <charset val="238"/>
      </rPr>
      <t>2</t>
    </r>
  </si>
  <si>
    <r>
      <t>m</t>
    </r>
    <r>
      <rPr>
        <b/>
        <vertAlign val="subscript"/>
        <sz val="12"/>
        <color theme="1"/>
        <rFont val="Arial"/>
        <family val="2"/>
        <charset val="238"/>
      </rPr>
      <t>p</t>
    </r>
  </si>
  <si>
    <r>
      <t>m</t>
    </r>
    <r>
      <rPr>
        <b/>
        <vertAlign val="subscript"/>
        <sz val="12"/>
        <color theme="1"/>
        <rFont val="Arial"/>
        <family val="2"/>
        <charset val="238"/>
      </rPr>
      <t>min</t>
    </r>
  </si>
  <si>
    <r>
      <t>Cz</t>
    </r>
    <r>
      <rPr>
        <b/>
        <vertAlign val="subscript"/>
        <sz val="12"/>
        <color theme="1"/>
        <rFont val="Arial"/>
        <family val="2"/>
        <charset val="238"/>
      </rPr>
      <t>max</t>
    </r>
  </si>
  <si>
    <t>γ</t>
  </si>
  <si>
    <t>[°]</t>
  </si>
  <si>
    <t xml:space="preserve">α </t>
  </si>
  <si>
    <t>[rad]</t>
  </si>
  <si>
    <t>Maksymalne Cz</t>
  </si>
  <si>
    <t>Metoda ciągu, zmienna masa, h=4000m</t>
  </si>
  <si>
    <t>Metoda ciągu, zmienna masa, h=3000m</t>
  </si>
  <si>
    <t>Metoda ciągu, zmienna masa, h=2000m</t>
  </si>
  <si>
    <t>Metoda ciągu, zmienna masa, h=1000m</t>
  </si>
  <si>
    <t>Metoda ciągu, zmienna masa, h=0m</t>
  </si>
  <si>
    <r>
      <t>V</t>
    </r>
    <r>
      <rPr>
        <b/>
        <vertAlign val="subscript"/>
        <sz val="11"/>
        <color theme="1"/>
        <rFont val="Calibri"/>
        <family val="2"/>
        <charset val="238"/>
        <scheme val="minor"/>
      </rPr>
      <t>min</t>
    </r>
    <r>
      <rPr>
        <b/>
        <sz val="11"/>
        <color theme="1"/>
        <rFont val="Calibri"/>
        <family val="2"/>
        <charset val="238"/>
        <scheme val="minor"/>
      </rPr>
      <t xml:space="preserve"> [m/s]</t>
    </r>
  </si>
  <si>
    <r>
      <t>V</t>
    </r>
    <r>
      <rPr>
        <b/>
        <vertAlign val="subscript"/>
        <sz val="11"/>
        <color theme="1"/>
        <rFont val="Calibri"/>
        <family val="2"/>
        <charset val="238"/>
        <scheme val="minor"/>
      </rPr>
      <t>min</t>
    </r>
    <r>
      <rPr>
        <b/>
        <sz val="11"/>
        <color theme="1"/>
        <rFont val="Calibri"/>
        <family val="2"/>
        <charset val="238"/>
        <scheme val="minor"/>
      </rPr>
      <t xml:space="preserve"> [km/h]</t>
    </r>
  </si>
  <si>
    <r>
      <t>V</t>
    </r>
    <r>
      <rPr>
        <b/>
        <vertAlign val="subscript"/>
        <sz val="11"/>
        <color theme="1"/>
        <rFont val="Calibri"/>
        <family val="2"/>
        <charset val="238"/>
        <scheme val="minor"/>
      </rPr>
      <t>max</t>
    </r>
    <r>
      <rPr>
        <b/>
        <sz val="11"/>
        <color theme="1"/>
        <rFont val="Calibri"/>
        <family val="2"/>
        <charset val="238"/>
        <scheme val="minor"/>
      </rPr>
      <t xml:space="preserve"> [m/s]</t>
    </r>
  </si>
  <si>
    <r>
      <t>V</t>
    </r>
    <r>
      <rPr>
        <b/>
        <vertAlign val="subscript"/>
        <sz val="11"/>
        <color theme="1"/>
        <rFont val="Calibri"/>
        <family val="2"/>
        <charset val="238"/>
        <scheme val="minor"/>
      </rPr>
      <t>max</t>
    </r>
    <r>
      <rPr>
        <b/>
        <sz val="11"/>
        <color theme="1"/>
        <rFont val="Calibri"/>
        <family val="2"/>
        <charset val="238"/>
        <scheme val="minor"/>
      </rPr>
      <t xml:space="preserve"> [km/h]</t>
    </r>
  </si>
  <si>
    <r>
      <t>w</t>
    </r>
    <r>
      <rPr>
        <b/>
        <vertAlign val="subscript"/>
        <sz val="11"/>
        <color theme="1"/>
        <rFont val="Calibri"/>
        <family val="2"/>
        <charset val="238"/>
        <scheme val="minor"/>
      </rPr>
      <t>max</t>
    </r>
    <r>
      <rPr>
        <b/>
        <sz val="11"/>
        <color theme="1"/>
        <rFont val="Calibri"/>
        <family val="2"/>
        <charset val="238"/>
        <scheme val="minor"/>
      </rPr>
      <t xml:space="preserve"> [m/s]</t>
    </r>
  </si>
  <si>
    <r>
      <t>10·w</t>
    </r>
    <r>
      <rPr>
        <b/>
        <vertAlign val="subscript"/>
        <sz val="11"/>
        <color theme="1"/>
        <rFont val="Calibri"/>
        <family val="2"/>
        <charset val="238"/>
        <scheme val="minor"/>
      </rPr>
      <t>max</t>
    </r>
    <r>
      <rPr>
        <b/>
        <sz val="11"/>
        <color theme="1"/>
        <rFont val="Calibri"/>
        <family val="2"/>
        <charset val="238"/>
        <scheme val="minor"/>
      </rPr>
      <t xml:space="preserve"> [m/s]</t>
    </r>
  </si>
  <si>
    <r>
      <t>V</t>
    </r>
    <r>
      <rPr>
        <b/>
        <vertAlign val="subscript"/>
        <sz val="11"/>
        <color theme="1"/>
        <rFont val="Calibri"/>
        <family val="2"/>
        <charset val="238"/>
        <scheme val="minor"/>
      </rPr>
      <t>w</t>
    </r>
    <r>
      <rPr>
        <b/>
        <sz val="11"/>
        <color theme="1"/>
        <rFont val="Calibri"/>
        <family val="2"/>
        <charset val="238"/>
        <scheme val="minor"/>
      </rPr>
      <t xml:space="preserve"> [m/s]</t>
    </r>
  </si>
  <si>
    <r>
      <t>V</t>
    </r>
    <r>
      <rPr>
        <b/>
        <vertAlign val="subscript"/>
        <sz val="11"/>
        <color theme="1"/>
        <rFont val="Calibri"/>
        <family val="2"/>
        <charset val="238"/>
        <scheme val="minor"/>
      </rPr>
      <t>w</t>
    </r>
    <r>
      <rPr>
        <b/>
        <sz val="11"/>
        <color theme="1"/>
        <rFont val="Calibri"/>
        <family val="2"/>
        <charset val="238"/>
        <scheme val="minor"/>
      </rPr>
      <t xml:space="preserve"> [km/h]</t>
    </r>
  </si>
  <si>
    <r>
      <t>γ</t>
    </r>
    <r>
      <rPr>
        <b/>
        <vertAlign val="subscript"/>
        <sz val="11"/>
        <color theme="1"/>
        <rFont val="Calibri"/>
        <family val="2"/>
        <charset val="238"/>
      </rPr>
      <t>max</t>
    </r>
    <r>
      <rPr>
        <b/>
        <sz val="11"/>
        <color theme="1"/>
        <rFont val="Calibri"/>
        <family val="2"/>
        <charset val="238"/>
      </rPr>
      <t xml:space="preserve"> [°]</t>
    </r>
  </si>
  <si>
    <r>
      <t>10·γ</t>
    </r>
    <r>
      <rPr>
        <b/>
        <vertAlign val="subscript"/>
        <sz val="11"/>
        <color theme="1"/>
        <rFont val="Calibri"/>
        <family val="2"/>
        <charset val="238"/>
      </rPr>
      <t>max</t>
    </r>
    <r>
      <rPr>
        <b/>
        <sz val="11"/>
        <color theme="1"/>
        <rFont val="Calibri"/>
        <family val="2"/>
        <charset val="238"/>
      </rPr>
      <t xml:space="preserve"> [°]</t>
    </r>
  </si>
  <si>
    <r>
      <t>V</t>
    </r>
    <r>
      <rPr>
        <b/>
        <vertAlign val="subscript"/>
        <sz val="11"/>
        <color theme="1"/>
        <rFont val="Calibri"/>
        <family val="2"/>
        <charset val="238"/>
      </rPr>
      <t>γ</t>
    </r>
    <r>
      <rPr>
        <b/>
        <sz val="11"/>
        <color theme="1"/>
        <rFont val="Calibri"/>
        <family val="2"/>
        <charset val="238"/>
      </rPr>
      <t xml:space="preserve"> [m/s]</t>
    </r>
  </si>
  <si>
    <r>
      <t>V</t>
    </r>
    <r>
      <rPr>
        <b/>
        <vertAlign val="subscript"/>
        <sz val="11"/>
        <color theme="1"/>
        <rFont val="Calibri"/>
        <family val="2"/>
        <charset val="238"/>
      </rPr>
      <t>γ</t>
    </r>
    <r>
      <rPr>
        <b/>
        <sz val="11"/>
        <color theme="1"/>
        <rFont val="Calibri"/>
        <family val="2"/>
        <charset val="238"/>
      </rPr>
      <t xml:space="preserve"> [km/h]</t>
    </r>
  </si>
  <si>
    <r>
      <t>1/w</t>
    </r>
    <r>
      <rPr>
        <b/>
        <vertAlign val="subscript"/>
        <sz val="11"/>
        <color theme="1"/>
        <rFont val="Calibri"/>
        <family val="2"/>
        <charset val="238"/>
      </rPr>
      <t>max</t>
    </r>
  </si>
  <si>
    <t>ciągu</t>
  </si>
  <si>
    <t>m zmienna</t>
  </si>
  <si>
    <t>mocy</t>
  </si>
  <si>
    <t>Vmin</t>
  </si>
  <si>
    <t>Vmax</t>
  </si>
  <si>
    <t>Vw</t>
  </si>
  <si>
    <t>Vy</t>
  </si>
  <si>
    <t>w</t>
  </si>
  <si>
    <t>ht1</t>
  </si>
  <si>
    <t>hp1</t>
  </si>
  <si>
    <t>ht2</t>
  </si>
  <si>
    <t>hp2</t>
  </si>
  <si>
    <t>ht3</t>
  </si>
  <si>
    <t>hp3</t>
  </si>
  <si>
    <t>Metoda ciągu, zmienna masa, h=8000m</t>
  </si>
  <si>
    <t>Metoda ciągu, zmienna masa, h=7000m</t>
  </si>
  <si>
    <t>Metoda ciągu, zmienna masa, h=6000m</t>
  </si>
  <si>
    <t>Metoda ciągu, zmienna masa, h=5000m</t>
  </si>
  <si>
    <t>Maksymalny ciężar</t>
  </si>
  <si>
    <t>Qmax</t>
  </si>
  <si>
    <r>
      <t>Q</t>
    </r>
    <r>
      <rPr>
        <vertAlign val="subscript"/>
        <sz val="12"/>
        <color theme="1"/>
        <rFont val="Arial"/>
        <family val="2"/>
        <charset val="238"/>
      </rPr>
      <t>max</t>
    </r>
  </si>
  <si>
    <t>mph</t>
  </si>
  <si>
    <t>dmp</t>
  </si>
  <si>
    <t>qe</t>
  </si>
  <si>
    <t>Jednostkowe zużycie paliwa</t>
  </si>
  <si>
    <t>kg/kWh</t>
  </si>
  <si>
    <t>Nr/w</t>
  </si>
  <si>
    <t>Czmax-</t>
  </si>
  <si>
    <t>Metoda ciągu, zmienna masa, h=9000m</t>
  </si>
  <si>
    <t>m/s</t>
  </si>
  <si>
    <t>v</t>
  </si>
  <si>
    <r>
      <t>10t</t>
    </r>
    <r>
      <rPr>
        <b/>
        <vertAlign val="subscript"/>
        <sz val="11"/>
        <color theme="1"/>
        <rFont val="Calibri"/>
        <family val="2"/>
        <charset val="238"/>
      </rPr>
      <t>h</t>
    </r>
    <r>
      <rPr>
        <b/>
        <sz val="11"/>
        <color theme="1"/>
        <rFont val="Calibri"/>
        <family val="2"/>
        <charset val="238"/>
      </rPr>
      <t xml:space="preserve"> [min]</t>
    </r>
  </si>
  <si>
    <t>Maksymalny ciężar samolotu</t>
  </si>
  <si>
    <t>Równanie 1</t>
  </si>
  <si>
    <t>Rówannie 2</t>
  </si>
  <si>
    <t xml:space="preserve">gamma </t>
  </si>
  <si>
    <t>alfa</t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</si>
  <si>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h=0m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</si>
  <si>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h=0m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</si>
  <si>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h=8000m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</si>
  <si>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h=7000m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</si>
  <si>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h=6000m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</si>
  <si>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h=5000m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</si>
  <si>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h=4000m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</si>
  <si>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h=3000m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</si>
  <si>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h=2000m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</si>
  <si>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h=1000m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</si>
  <si>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h=8000m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</si>
  <si>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h=7000m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</si>
  <si>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h=6000m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</si>
  <si>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h=5000m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</si>
  <si>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h=4000m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</si>
  <si>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h=3000m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</si>
  <si>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h=2000m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</si>
  <si>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h=1000m</t>
    </r>
  </si>
  <si>
    <t>ht4</t>
  </si>
  <si>
    <t>hp4</t>
  </si>
  <si>
    <t>ht5</t>
  </si>
  <si>
    <t>hp5</t>
  </si>
  <si>
    <t>mmax</t>
  </si>
  <si>
    <t>mśr</t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</si>
  <si>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h=0m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</si>
  <si>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h=0m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</si>
  <si>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h=1000m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</si>
  <si>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h=1000m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</si>
  <si>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h=2000m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</si>
  <si>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h=2000m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</si>
  <si>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h=3000m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</si>
  <si>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h=3000m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</si>
  <si>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h=4000m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</si>
  <si>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h=4000m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</si>
  <si>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h=5000m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</si>
  <si>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h=5000m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</si>
  <si>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h=6000m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</si>
  <si>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h=6000m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</si>
  <si>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h=7000m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</si>
  <si>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h=7000m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</si>
  <si>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h=8000m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</si>
  <si>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h=8000m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</si>
</sst>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7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1"/>
      <color theme="1"/>
      <name val="Calibri Light"/>
      <family val="2"/>
      <charset val="238"/>
    </font>
    <font>
      <b/>
      <vertAlign val="subscript"/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 Light"/>
      <family val="2"/>
      <charset val="238"/>
    </font>
    <font>
      <b/>
      <sz val="11"/>
      <color theme="1"/>
      <name val="Calibri"/>
      <family val="2"/>
      <charset val="238"/>
    </font>
    <font>
      <b/>
      <sz val="11"/>
      <color theme="1"/>
      <name val="Calibri Light"/>
      <family val="2"/>
      <charset val="238"/>
    </font>
    <font>
      <b/>
      <vertAlign val="subscript"/>
      <sz val="11"/>
      <color theme="1"/>
      <name val="Calibri Light"/>
      <family val="2"/>
      <charset val="238"/>
    </font>
    <font>
      <sz val="12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vertAlign val="subscript"/>
      <sz val="12"/>
      <color theme="1"/>
      <name val="Arial"/>
      <family val="2"/>
      <charset val="238"/>
    </font>
    <font>
      <b/>
      <vertAlign val="superscript"/>
      <sz val="12"/>
      <color theme="1"/>
      <name val="Arial"/>
      <family val="2"/>
      <charset val="238"/>
    </font>
    <font>
      <vertAlign val="subscript"/>
      <sz val="12"/>
      <color theme="1"/>
      <name val="Arial"/>
      <family val="2"/>
      <charset val="238"/>
    </font>
    <font>
      <vertAlign val="superscript"/>
      <sz val="12"/>
      <color theme="1"/>
      <name val="Arial"/>
      <family val="2"/>
      <charset val="238"/>
    </font>
    <font>
      <b/>
      <vertAlign val="subscript"/>
      <sz val="11"/>
      <color theme="1"/>
      <name val="Calibri"/>
      <family val="2"/>
      <charset val="238"/>
    </font>
    <font>
      <sz val="11"/>
      <color theme="1"/>
      <name val="Calibri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Dashed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3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/>
    </xf>
    <xf numFmtId="164" fontId="9" fillId="3" borderId="1" xfId="0" applyNumberFormat="1" applyFont="1" applyFill="1" applyBorder="1" applyAlignment="1">
      <alignment horizontal="center" vertical="center"/>
    </xf>
    <xf numFmtId="2" fontId="9" fillId="3" borderId="1" xfId="0" applyNumberFormat="1" applyFont="1" applyFill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/>
    </xf>
    <xf numFmtId="2" fontId="9" fillId="2" borderId="1" xfId="0" applyNumberFormat="1" applyFont="1" applyFill="1" applyBorder="1" applyAlignment="1">
      <alignment horizontal="center" vertical="center"/>
    </xf>
    <xf numFmtId="164" fontId="9" fillId="3" borderId="12" xfId="0" applyNumberFormat="1" applyFont="1" applyFill="1" applyBorder="1" applyAlignment="1">
      <alignment horizontal="center" vertical="center"/>
    </xf>
    <xf numFmtId="2" fontId="9" fillId="3" borderId="12" xfId="0" applyNumberFormat="1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1" fontId="9" fillId="3" borderId="12" xfId="0" applyNumberFormat="1" applyFont="1" applyFill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center"/>
    </xf>
    <xf numFmtId="2" fontId="9" fillId="2" borderId="3" xfId="0" applyNumberFormat="1" applyFont="1" applyFill="1" applyBorder="1" applyAlignment="1">
      <alignment horizontal="center" vertical="center"/>
    </xf>
    <xf numFmtId="164" fontId="9" fillId="2" borderId="3" xfId="0" applyNumberFormat="1" applyFont="1" applyFill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/>
    </xf>
    <xf numFmtId="1" fontId="9" fillId="2" borderId="3" xfId="0" applyNumberFormat="1" applyFont="1" applyFill="1" applyBorder="1" applyAlignment="1">
      <alignment horizontal="center" vertical="center"/>
    </xf>
    <xf numFmtId="165" fontId="9" fillId="2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164" fontId="9" fillId="5" borderId="6" xfId="0" applyNumberFormat="1" applyFont="1" applyFill="1" applyBorder="1" applyAlignment="1">
      <alignment horizontal="center" vertical="center"/>
    </xf>
    <xf numFmtId="2" fontId="9" fillId="5" borderId="7" xfId="0" applyNumberFormat="1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164" fontId="9" fillId="6" borderId="4" xfId="0" applyNumberFormat="1" applyFont="1" applyFill="1" applyBorder="1" applyAlignment="1">
      <alignment horizontal="center" vertical="center"/>
    </xf>
    <xf numFmtId="2" fontId="9" fillId="6" borderId="9" xfId="0" applyNumberFormat="1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164" fontId="9" fillId="5" borderId="0" xfId="0" applyNumberFormat="1" applyFont="1" applyFill="1" applyAlignment="1">
      <alignment horizontal="center" vertical="center"/>
    </xf>
    <xf numFmtId="2" fontId="9" fillId="5" borderId="10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164" fontId="9" fillId="6" borderId="0" xfId="0" applyNumberFormat="1" applyFont="1" applyFill="1" applyAlignment="1">
      <alignment horizontal="center" vertical="center"/>
    </xf>
    <xf numFmtId="2" fontId="9" fillId="6" borderId="10" xfId="0" applyNumberFormat="1" applyFont="1" applyFill="1" applyBorder="1" applyAlignment="1">
      <alignment horizontal="center" vertical="center"/>
    </xf>
    <xf numFmtId="2" fontId="9" fillId="5" borderId="0" xfId="0" applyNumberFormat="1" applyFont="1" applyFill="1" applyAlignment="1">
      <alignment horizontal="center" vertical="center"/>
    </xf>
    <xf numFmtId="2" fontId="9" fillId="6" borderId="0" xfId="0" applyNumberFormat="1" applyFont="1" applyFill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9" fillId="5" borderId="6" xfId="0" applyNumberFormat="1" applyFont="1" applyFill="1" applyBorder="1" applyAlignment="1">
      <alignment horizontal="center" vertical="center"/>
    </xf>
    <xf numFmtId="2" fontId="9" fillId="6" borderId="4" xfId="0" applyNumberFormat="1" applyFont="1" applyFill="1" applyBorder="1" applyAlignment="1">
      <alignment horizontal="center" vertical="center"/>
    </xf>
    <xf numFmtId="164" fontId="9" fillId="3" borderId="6" xfId="0" applyNumberFormat="1" applyFont="1" applyFill="1" applyBorder="1" applyAlignment="1">
      <alignment horizontal="center" vertical="center"/>
    </xf>
    <xf numFmtId="2" fontId="9" fillId="3" borderId="6" xfId="0" applyNumberFormat="1" applyFont="1" applyFill="1" applyBorder="1" applyAlignment="1">
      <alignment horizontal="center" vertical="center"/>
    </xf>
    <xf numFmtId="1" fontId="9" fillId="3" borderId="6" xfId="0" applyNumberFormat="1" applyFont="1" applyFill="1" applyBorder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/>
    </xf>
    <xf numFmtId="2" fontId="9" fillId="3" borderId="0" xfId="0" applyNumberFormat="1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30" xfId="0" applyBorder="1" applyAlignment="1">
      <alignment horizontal="center"/>
    </xf>
    <xf numFmtId="2" fontId="0" fillId="0" borderId="31" xfId="0" applyNumberFormat="1" applyBorder="1" applyAlignment="1">
      <alignment horizontal="center" vertical="center"/>
    </xf>
    <xf numFmtId="2" fontId="0" fillId="0" borderId="32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 vertical="center"/>
    </xf>
    <xf numFmtId="0" fontId="1" fillId="2" borderId="19" xfId="0" applyFont="1" applyFill="1" applyBorder="1" applyAlignment="1">
      <alignment horizontal="center"/>
    </xf>
    <xf numFmtId="2" fontId="1" fillId="2" borderId="20" xfId="0" applyNumberFormat="1" applyFont="1" applyFill="1" applyBorder="1" applyAlignment="1">
      <alignment horizontal="center" vertical="center"/>
    </xf>
    <xf numFmtId="2" fontId="1" fillId="2" borderId="21" xfId="0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/>
    </xf>
    <xf numFmtId="2" fontId="0" fillId="3" borderId="23" xfId="0" applyNumberFormat="1" applyFill="1" applyBorder="1" applyAlignment="1">
      <alignment horizontal="center" vertical="center"/>
    </xf>
    <xf numFmtId="2" fontId="0" fillId="3" borderId="24" xfId="0" applyNumberFormat="1" applyFill="1" applyBorder="1" applyAlignment="1">
      <alignment horizontal="center" vertical="center"/>
    </xf>
    <xf numFmtId="0" fontId="0" fillId="3" borderId="30" xfId="0" applyFill="1" applyBorder="1" applyAlignment="1">
      <alignment horizontal="center"/>
    </xf>
    <xf numFmtId="2" fontId="0" fillId="3" borderId="31" xfId="0" applyNumberFormat="1" applyFill="1" applyBorder="1" applyAlignment="1">
      <alignment horizontal="center" vertical="center"/>
    </xf>
    <xf numFmtId="2" fontId="0" fillId="3" borderId="32" xfId="0" applyNumberFormat="1" applyFill="1" applyBorder="1" applyAlignment="1">
      <alignment horizontal="center" vertical="center"/>
    </xf>
    <xf numFmtId="165" fontId="9" fillId="3" borderId="3" xfId="0" applyNumberFormat="1" applyFont="1" applyFill="1" applyBorder="1" applyAlignment="1">
      <alignment horizontal="center" vertical="center"/>
    </xf>
    <xf numFmtId="2" fontId="9" fillId="3" borderId="3" xfId="0" applyNumberFormat="1" applyFont="1" applyFill="1" applyBorder="1" applyAlignment="1">
      <alignment horizontal="center" vertical="center"/>
    </xf>
    <xf numFmtId="164" fontId="9" fillId="3" borderId="3" xfId="0" applyNumberFormat="1" applyFont="1" applyFill="1" applyBorder="1" applyAlignment="1">
      <alignment horizontal="center" vertical="center"/>
    </xf>
    <xf numFmtId="1" fontId="9" fillId="3" borderId="3" xfId="0" applyNumberFormat="1" applyFont="1" applyFill="1" applyBorder="1" applyAlignment="1">
      <alignment horizontal="center" vertical="center"/>
    </xf>
    <xf numFmtId="165" fontId="9" fillId="3" borderId="1" xfId="0" applyNumberFormat="1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6" fillId="0" borderId="0" xfId="0" applyFont="1"/>
    <xf numFmtId="0" fontId="9" fillId="3" borderId="3" xfId="0" applyFont="1" applyFill="1" applyBorder="1" applyAlignment="1">
      <alignment horizontal="center" vertical="center"/>
    </xf>
    <xf numFmtId="1" fontId="9" fillId="3" borderId="0" xfId="0" applyNumberFormat="1" applyFont="1" applyFill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2" fontId="9" fillId="3" borderId="17" xfId="0" applyNumberFormat="1" applyFont="1" applyFill="1" applyBorder="1" applyAlignment="1">
      <alignment horizontal="center" vertical="center"/>
    </xf>
    <xf numFmtId="164" fontId="9" fillId="3" borderId="17" xfId="0" applyNumberFormat="1" applyFont="1" applyFill="1" applyBorder="1" applyAlignment="1">
      <alignment horizontal="center" vertical="center"/>
    </xf>
    <xf numFmtId="1" fontId="9" fillId="3" borderId="17" xfId="0" applyNumberFormat="1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165" fontId="9" fillId="3" borderId="0" xfId="0" applyNumberFormat="1" applyFont="1" applyFill="1" applyAlignment="1">
      <alignment horizontal="center" vertical="center"/>
    </xf>
    <xf numFmtId="165" fontId="9" fillId="3" borderId="6" xfId="0" applyNumberFormat="1" applyFont="1" applyFill="1" applyBorder="1" applyAlignment="1">
      <alignment horizontal="center" vertical="center"/>
    </xf>
    <xf numFmtId="1" fontId="9" fillId="3" borderId="18" xfId="0" applyNumberFormat="1" applyFont="1" applyFill="1" applyBorder="1" applyAlignment="1">
      <alignment horizontal="center" vertical="center"/>
    </xf>
    <xf numFmtId="165" fontId="9" fillId="0" borderId="3" xfId="0" applyNumberFormat="1" applyFont="1" applyBorder="1" applyAlignment="1">
      <alignment horizontal="center" vertical="center"/>
    </xf>
    <xf numFmtId="1" fontId="9" fillId="2" borderId="0" xfId="0" applyNumberFormat="1" applyFont="1" applyFill="1" applyAlignment="1">
      <alignment horizontal="center" vertical="center"/>
    </xf>
    <xf numFmtId="0" fontId="1" fillId="2" borderId="33" xfId="0" applyFont="1" applyFill="1" applyBorder="1" applyAlignment="1">
      <alignment horizontal="center"/>
    </xf>
    <xf numFmtId="2" fontId="1" fillId="2" borderId="34" xfId="0" applyNumberFormat="1" applyFont="1" applyFill="1" applyBorder="1" applyAlignment="1">
      <alignment horizontal="center" vertical="center"/>
    </xf>
    <xf numFmtId="2" fontId="1" fillId="2" borderId="35" xfId="0" applyNumberFormat="1" applyFont="1" applyFill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0" fillId="0" borderId="28" xfId="0" applyBorder="1"/>
    <xf numFmtId="0" fontId="0" fillId="0" borderId="29" xfId="0" applyBorder="1"/>
    <xf numFmtId="0" fontId="0" fillId="0" borderId="27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39" xfId="0" applyFill="1" applyBorder="1" applyAlignment="1">
      <alignment horizontal="center"/>
    </xf>
    <xf numFmtId="2" fontId="0" fillId="3" borderId="40" xfId="0" applyNumberFormat="1" applyFill="1" applyBorder="1" applyAlignment="1">
      <alignment horizontal="center" vertical="center"/>
    </xf>
    <xf numFmtId="2" fontId="0" fillId="3" borderId="41" xfId="0" applyNumberFormat="1" applyFill="1" applyBorder="1" applyAlignment="1">
      <alignment horizontal="center" vertical="center"/>
    </xf>
    <xf numFmtId="0" fontId="0" fillId="3" borderId="27" xfId="0" applyFill="1" applyBorder="1" applyAlignment="1">
      <alignment horizontal="center"/>
    </xf>
    <xf numFmtId="2" fontId="0" fillId="3" borderId="27" xfId="0" applyNumberForma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Piper w(V) dla średniej</a:t>
            </a:r>
            <a:r>
              <a:rPr lang="pl-PL" baseline="0"/>
              <a:t> masy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h=0km m. ciągu m=const.</c:v>
          </c:tx>
          <c:spPr>
            <a:ln w="19050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'h=0m'!$G$3:$G$17</c:f>
              <c:numCache>
                <c:formatCode>0.0</c:formatCode>
                <c:ptCount val="15"/>
                <c:pt idx="0">
                  <c:v>35.157432011792558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'h=0m'!$N$3:$N$17</c:f>
              <c:numCache>
                <c:formatCode>0.00</c:formatCode>
                <c:ptCount val="15"/>
                <c:pt idx="0">
                  <c:v>5.853598521505921</c:v>
                </c:pt>
                <c:pt idx="1">
                  <c:v>7.5393584722415596</c:v>
                </c:pt>
                <c:pt idx="2">
                  <c:v>8.2180914572090096</c:v>
                </c:pt>
                <c:pt idx="3">
                  <c:v>8.4981840115175018</c:v>
                </c:pt>
                <c:pt idx="4">
                  <c:v>8.3448243339694983</c:v>
                </c:pt>
                <c:pt idx="5">
                  <c:v>7.8000301606534412</c:v>
                </c:pt>
                <c:pt idx="6">
                  <c:v>6.8706350779642307</c:v>
                </c:pt>
                <c:pt idx="7">
                  <c:v>5.3322891074386494</c:v>
                </c:pt>
                <c:pt idx="8">
                  <c:v>3.5631363069663022</c:v>
                </c:pt>
                <c:pt idx="9">
                  <c:v>1.3919689160718394</c:v>
                </c:pt>
                <c:pt idx="10">
                  <c:v>-1.5913238596835</c:v>
                </c:pt>
                <c:pt idx="11">
                  <c:v>-4.6499346551321752</c:v>
                </c:pt>
                <c:pt idx="12">
                  <c:v>-8.1356855189698116</c:v>
                </c:pt>
                <c:pt idx="13">
                  <c:v>-12.057210433612738</c:v>
                </c:pt>
                <c:pt idx="14">
                  <c:v>-17.083867338790231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4F-44EC-95BC-935A6B4E393D}"/>
            </c:ext>
          </c:extLst>
        </c:ser>
        <c:ser>
          <c:idx val="1"/>
          <c:order val="1"/>
          <c:tx>
            <c:v>h=1km m. ciągu, m=const.</c:v>
          </c:tx>
          <c:spPr>
            <a:ln w="19050" cap="rnd">
              <a:solidFill>
                <a:schemeClr val="accent2">
                  <a:alpha val="96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'h=1km'!$G$3:$G$17</c:f>
              <c:numCache>
                <c:formatCode>0.0</c:formatCode>
                <c:ptCount val="15"/>
                <c:pt idx="0">
                  <c:v>36.907789207676011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'h=1km'!$N$3:$N$17</c:f>
              <c:numCache>
                <c:formatCode>0.00</c:formatCode>
                <c:ptCount val="15"/>
                <c:pt idx="0">
                  <c:v>5.0144834704004841</c:v>
                </c:pt>
                <c:pt idx="1">
                  <c:v>6.2968550256903066</c:v>
                </c:pt>
                <c:pt idx="2">
                  <c:v>6.9626273208930325</c:v>
                </c:pt>
                <c:pt idx="3">
                  <c:v>7.2517967197267517</c:v>
                </c:pt>
                <c:pt idx="4">
                  <c:v>7.1402310358052059</c:v>
                </c:pt>
                <c:pt idx="5">
                  <c:v>6.6623246939410636</c:v>
                </c:pt>
                <c:pt idx="6">
                  <c:v>5.8301754327705559</c:v>
                </c:pt>
                <c:pt idx="7">
                  <c:v>4.4422186919605595</c:v>
                </c:pt>
                <c:pt idx="8">
                  <c:v>2.8405870065141618</c:v>
                </c:pt>
                <c:pt idx="9">
                  <c:v>0.87179535339264358</c:v>
                </c:pt>
                <c:pt idx="10">
                  <c:v>-1.8360104608558871</c:v>
                </c:pt>
                <c:pt idx="11">
                  <c:v>-4.6136515572512673</c:v>
                </c:pt>
                <c:pt idx="12">
                  <c:v>-7.7800579393180911</c:v>
                </c:pt>
                <c:pt idx="13">
                  <c:v>-11.342831041453154</c:v>
                </c:pt>
                <c:pt idx="14">
                  <c:v>-15.909944556616242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4F-44EC-95BC-935A6B4E393D}"/>
            </c:ext>
          </c:extLst>
        </c:ser>
        <c:ser>
          <c:idx val="2"/>
          <c:order val="2"/>
          <c:tx>
            <c:v>h=2km m. ciągu, m=const.</c:v>
          </c:tx>
          <c:spPr>
            <a:ln w="19050" cap="rnd">
              <a:solidFill>
                <a:schemeClr val="accent4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'h=2km'!$G$3:$G$17</c:f>
              <c:numCache>
                <c:formatCode>0.0</c:formatCode>
                <c:ptCount val="15"/>
                <c:pt idx="0">
                  <c:v>38.789302761294081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'h=2km'!$N$3:$N$17</c:f>
              <c:numCache>
                <c:formatCode>0.00</c:formatCode>
                <c:ptCount val="15"/>
                <c:pt idx="0">
                  <c:v>4.1859485238708256</c:v>
                </c:pt>
                <c:pt idx="1">
                  <c:v>5.1008068210570512</c:v>
                </c:pt>
                <c:pt idx="2">
                  <c:v>5.7614329371791042</c:v>
                </c:pt>
                <c:pt idx="3">
                  <c:v>6.0643033956694072</c:v>
                </c:pt>
                <c:pt idx="4">
                  <c:v>5.9959714388832346</c:v>
                </c:pt>
                <c:pt idx="5">
                  <c:v>5.5828633849034937</c:v>
                </c:pt>
                <c:pt idx="6">
                  <c:v>4.8427108560280248</c:v>
                </c:pt>
                <c:pt idx="7">
                  <c:v>3.5952030797707413</c:v>
                </c:pt>
                <c:pt idx="8">
                  <c:v>2.1488508136410673</c:v>
                </c:pt>
                <c:pt idx="9">
                  <c:v>0.36680616953771022</c:v>
                </c:pt>
                <c:pt idx="10">
                  <c:v>-2.0876767746311389</c:v>
                </c:pt>
                <c:pt idx="11">
                  <c:v>-4.6076167249617823</c:v>
                </c:pt>
                <c:pt idx="12">
                  <c:v>-7.481682136354995</c:v>
                </c:pt>
                <c:pt idx="13">
                  <c:v>-10.716559712791103</c:v>
                </c:pt>
                <c:pt idx="14">
                  <c:v>-14.864261151954656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14F-44EC-95BC-935A6B4E393D}"/>
            </c:ext>
          </c:extLst>
        </c:ser>
        <c:ser>
          <c:idx val="3"/>
          <c:order val="3"/>
          <c:tx>
            <c:v>h=3km m. ciągu, m=const.</c:v>
          </c:tx>
          <c:spPr>
            <a:ln w="19050" cap="rnd">
              <a:solidFill>
                <a:schemeClr val="accent3">
                  <a:alpha val="97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'h=3km'!$G$3:$G$17</c:f>
              <c:numCache>
                <c:formatCode>0.0</c:formatCode>
                <c:ptCount val="15"/>
                <c:pt idx="0">
                  <c:v>40.815259783159711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'h=3km'!$N$3:$N$17</c:f>
              <c:numCache>
                <c:formatCode>0.00</c:formatCode>
                <c:ptCount val="15"/>
                <c:pt idx="0">
                  <c:v>3.3553473760019381</c:v>
                </c:pt>
                <c:pt idx="1">
                  <c:v>3.9303213933488417</c:v>
                </c:pt>
                <c:pt idx="2">
                  <c:v>4.5920455417216868</c:v>
                </c:pt>
                <c:pt idx="3">
                  <c:v>4.9122477734625996</c:v>
                </c:pt>
                <c:pt idx="4">
                  <c:v>4.8884276835339815</c:v>
                </c:pt>
                <c:pt idx="5">
                  <c:v>4.5389740485897088</c:v>
                </c:pt>
                <c:pt idx="6">
                  <c:v>3.8877593552800054</c:v>
                </c:pt>
                <c:pt idx="7">
                  <c:v>2.7750508959304754</c:v>
                </c:pt>
                <c:pt idx="8">
                  <c:v>1.477306019618247</c:v>
                </c:pt>
                <c:pt idx="9">
                  <c:v>-0.12616437041624659</c:v>
                </c:pt>
                <c:pt idx="10">
                  <c:v>-2.3383441719051747</c:v>
                </c:pt>
                <c:pt idx="11">
                  <c:v>-4.6115970938161945</c:v>
                </c:pt>
                <c:pt idx="12">
                  <c:v>-7.205515612576078</c:v>
                </c:pt>
                <c:pt idx="13">
                  <c:v>-10.125781719771982</c:v>
                </c:pt>
                <c:pt idx="14">
                  <c:v>-13.870474641733701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14F-44EC-95BC-935A6B4E393D}"/>
            </c:ext>
          </c:extLst>
        </c:ser>
        <c:ser>
          <c:idx val="4"/>
          <c:order val="4"/>
          <c:tx>
            <c:v>h=4km m. ciągu, m=const.</c:v>
          </c:tx>
          <c:spPr>
            <a:ln w="19050" cap="rnd">
              <a:solidFill>
                <a:schemeClr val="accent5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'h=4km'!$G$3:$G$17</c:f>
              <c:numCache>
                <c:formatCode>0.0</c:formatCode>
                <c:ptCount val="15"/>
                <c:pt idx="0">
                  <c:v>43.00066152062773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'h=4km'!$N$3:$N$17</c:f>
              <c:numCache>
                <c:formatCode>0.00</c:formatCode>
                <c:ptCount val="15"/>
                <c:pt idx="0">
                  <c:v>2.5468480498700123</c:v>
                </c:pt>
                <c:pt idx="1">
                  <c:v>2.8033627475714549</c:v>
                </c:pt>
                <c:pt idx="2">
                  <c:v>3.4691459268760747</c:v>
                </c:pt>
                <c:pt idx="3">
                  <c:v>3.8060086159079836</c:v>
                </c:pt>
                <c:pt idx="4">
                  <c:v>3.8221741440907335</c:v>
                </c:pt>
                <c:pt idx="5">
                  <c:v>3.5297242415150278</c:v>
                </c:pt>
                <c:pt idx="6">
                  <c:v>2.9588087675609729</c:v>
                </c:pt>
                <c:pt idx="7">
                  <c:v>1.969210624356913</c:v>
                </c:pt>
                <c:pt idx="8">
                  <c:v>0.8087534218699175</c:v>
                </c:pt>
                <c:pt idx="9">
                  <c:v>-0.62801786403329729</c:v>
                </c:pt>
                <c:pt idx="10">
                  <c:v>-2.611606936615118</c:v>
                </c:pt>
                <c:pt idx="11">
                  <c:v>-4.6498225107408473</c:v>
                </c:pt>
                <c:pt idx="12">
                  <c:v>-6.9744884263573068</c:v>
                </c:pt>
                <c:pt idx="13">
                  <c:v>-9.589874960820433</c:v>
                </c:pt>
                <c:pt idx="14">
                  <c:v>-12.940738266895075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14F-44EC-95BC-935A6B4E393D}"/>
            </c:ext>
          </c:extLst>
        </c:ser>
        <c:ser>
          <c:idx val="6"/>
          <c:order val="5"/>
          <c:tx>
            <c:v>h=5km m. ciągu, m=const.</c:v>
          </c:tx>
          <c:spPr>
            <a:ln w="19050" cap="rnd">
              <a:solidFill>
                <a:schemeClr val="accent6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'h=5km'!$G$3:$G$17</c:f>
              <c:numCache>
                <c:formatCode>0.0</c:formatCode>
                <c:ptCount val="15"/>
                <c:pt idx="0">
                  <c:v>45.362494420478008</c:v>
                </c:pt>
                <c:pt idx="1">
                  <c:v>50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'h=5km'!$N$3:$N$17</c:f>
              <c:numCache>
                <c:formatCode>0.00</c:formatCode>
                <c:ptCount val="15"/>
                <c:pt idx="0">
                  <c:v>1.7063127985974098</c:v>
                </c:pt>
                <c:pt idx="1">
                  <c:v>2.1850399362672865</c:v>
                </c:pt>
                <c:pt idx="2">
                  <c:v>2.3461234807419946</c:v>
                </c:pt>
                <c:pt idx="3">
                  <c:v>2.7116108717985514</c:v>
                </c:pt>
                <c:pt idx="4">
                  <c:v>2.7784875954278729</c:v>
                </c:pt>
                <c:pt idx="5">
                  <c:v>2.5493689899198047</c:v>
                </c:pt>
                <c:pt idx="6">
                  <c:v>2.0617486225537891</c:v>
                </c:pt>
                <c:pt idx="7">
                  <c:v>1.1939477967130097</c:v>
                </c:pt>
                <c:pt idx="8">
                  <c:v>0.16490596383433528</c:v>
                </c:pt>
                <c:pt idx="9">
                  <c:v>-1.1160202307890776</c:v>
                </c:pt>
                <c:pt idx="10">
                  <c:v>-2.8902526071967083</c:v>
                </c:pt>
                <c:pt idx="11">
                  <c:v>-4.716876971218344</c:v>
                </c:pt>
                <c:pt idx="12">
                  <c:v>-6.802523047682369</c:v>
                </c:pt>
                <c:pt idx="13">
                  <c:v>-9.1506372017469015</c:v>
                </c:pt>
                <c:pt idx="14">
                  <c:v>-12.16043968367234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14F-44EC-95BC-935A6B4E393D}"/>
            </c:ext>
          </c:extLst>
        </c:ser>
        <c:ser>
          <c:idx val="7"/>
          <c:order val="6"/>
          <c:tx>
            <c:v>h=6km m. ciągu, m=const.</c:v>
          </c:tx>
          <c:spPr>
            <a:ln w="19050" cap="rnd">
              <a:solidFill>
                <a:schemeClr val="tx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'h=6km'!$G$3:$G$17</c:f>
              <c:numCache>
                <c:formatCode>0.0</c:formatCode>
                <c:ptCount val="15"/>
                <c:pt idx="0">
                  <c:v>47.92005236771405</c:v>
                </c:pt>
                <c:pt idx="1">
                  <c:v>51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'h=6km'!$N$3:$N$17</c:f>
              <c:numCache>
                <c:formatCode>0.00</c:formatCode>
                <c:ptCount val="15"/>
                <c:pt idx="0">
                  <c:v>0.86660463251923536</c:v>
                </c:pt>
                <c:pt idx="1">
                  <c:v>1.1574452692112311</c:v>
                </c:pt>
                <c:pt idx="2">
                  <c:v>1.238551216890236</c:v>
                </c:pt>
                <c:pt idx="3">
                  <c:v>1.6362192311249206</c:v>
                </c:pt>
                <c:pt idx="4">
                  <c:v>1.7546873181252427</c:v>
                </c:pt>
                <c:pt idx="5">
                  <c:v>1.5872837618447613</c:v>
                </c:pt>
                <c:pt idx="6">
                  <c:v>1.1794551061626435</c:v>
                </c:pt>
                <c:pt idx="7">
                  <c:v>0.42754203833600424</c:v>
                </c:pt>
                <c:pt idx="8">
                  <c:v>-0.47660852497897299</c:v>
                </c:pt>
                <c:pt idx="9">
                  <c:v>-1.6092054840159591</c:v>
                </c:pt>
                <c:pt idx="10">
                  <c:v>-3.1835708096650794</c:v>
                </c:pt>
                <c:pt idx="11">
                  <c:v>-4.8074266702383417</c:v>
                </c:pt>
                <c:pt idx="12">
                  <c:v>-6.6631190533163736</c:v>
                </c:pt>
                <c:pt idx="13">
                  <c:v>-8.7530535399447675</c:v>
                </c:pt>
                <c:pt idx="14">
                  <c:v>-11.431934605222663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14F-44EC-95BC-935A6B4E393D}"/>
            </c:ext>
          </c:extLst>
        </c:ser>
        <c:ser>
          <c:idx val="8"/>
          <c:order val="7"/>
          <c:tx>
            <c:v>h=7km m. ciągu, m=const.</c:v>
          </c:tx>
          <c:spPr>
            <a:ln w="19050" cap="rnd">
              <a:solidFill>
                <a:schemeClr val="accent2">
                  <a:lumMod val="75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'h=7m'!$G$3:$G$17</c:f>
              <c:numCache>
                <c:formatCode>0.0</c:formatCode>
                <c:ptCount val="15"/>
                <c:pt idx="0">
                  <c:v>50.695321417043772</c:v>
                </c:pt>
                <c:pt idx="1">
                  <c:v>55</c:v>
                </c:pt>
                <c:pt idx="2">
                  <c:v>57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'h=7m'!$N$3:$N$17</c:f>
              <c:numCache>
                <c:formatCode>0.00</c:formatCode>
                <c:ptCount val="15"/>
                <c:pt idx="0">
                  <c:v>-1.2080979455590618E-2</c:v>
                </c:pt>
                <c:pt idx="1">
                  <c:v>0.32581668949246273</c:v>
                </c:pt>
                <c:pt idx="2">
                  <c:v>0.44569663612379573</c:v>
                </c:pt>
                <c:pt idx="3">
                  <c:v>0.54326113321693659</c:v>
                </c:pt>
                <c:pt idx="4">
                  <c:v>0.72390304106038128</c:v>
                </c:pt>
                <c:pt idx="5">
                  <c:v>0.62531310223120329</c:v>
                </c:pt>
                <c:pt idx="6">
                  <c:v>0.30216165978839743</c:v>
                </c:pt>
                <c:pt idx="7">
                  <c:v>-0.33128306460738227</c:v>
                </c:pt>
                <c:pt idx="8">
                  <c:v>-1.1112100250859827</c:v>
                </c:pt>
                <c:pt idx="9">
                  <c:v>-2.0991611773064514</c:v>
                </c:pt>
                <c:pt idx="10">
                  <c:v>-3.4819301835844296</c:v>
                </c:pt>
                <c:pt idx="11">
                  <c:v>-4.914173288295081</c:v>
                </c:pt>
                <c:pt idx="12">
                  <c:v>-6.555057141563176</c:v>
                </c:pt>
                <c:pt idx="13">
                  <c:v>-8.4062686023530837</c:v>
                </c:pt>
                <c:pt idx="14">
                  <c:v>-10.782181158603946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14F-44EC-95BC-935A6B4E393D}"/>
            </c:ext>
          </c:extLst>
        </c:ser>
        <c:ser>
          <c:idx val="18"/>
          <c:order val="8"/>
          <c:tx>
            <c:v>h=8km m. ciągu, m=const.</c:v>
          </c:tx>
          <c:spPr>
            <a:ln w="19050" cap="rnd">
              <a:solidFill>
                <a:schemeClr val="bg1">
                  <a:lumMod val="50000"/>
                  <a:alpha val="98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'h=8km'!$G$3:$G$17</c:f>
              <c:numCache>
                <c:formatCode>0.0</c:formatCode>
                <c:ptCount val="15"/>
                <c:pt idx="0">
                  <c:v>53.713441222143487</c:v>
                </c:pt>
                <c:pt idx="1">
                  <c:v>57</c:v>
                </c:pt>
                <c:pt idx="2">
                  <c:v>58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'h=8km'!$N$3:$N$17</c:f>
              <c:numCache>
                <c:formatCode>0.00</c:formatCode>
                <c:ptCount val="15"/>
                <c:pt idx="0">
                  <c:v>-0.88450954987868369</c:v>
                </c:pt>
                <c:pt idx="1">
                  <c:v>-0.6525613569122658</c:v>
                </c:pt>
                <c:pt idx="2">
                  <c:v>-0.59385880778817413</c:v>
                </c:pt>
                <c:pt idx="3">
                  <c:v>-0.54050041454131947</c:v>
                </c:pt>
                <c:pt idx="4">
                  <c:v>-0.29513496410028683</c:v>
                </c:pt>
                <c:pt idx="5">
                  <c:v>-0.32558946508774994</c:v>
                </c:pt>
                <c:pt idx="6">
                  <c:v>-0.56718840712064045</c:v>
                </c:pt>
                <c:pt idx="7">
                  <c:v>-1.0883938951674577</c:v>
                </c:pt>
                <c:pt idx="8">
                  <c:v>-1.7515986903921066</c:v>
                </c:pt>
                <c:pt idx="9">
                  <c:v>-2.6040924195714834</c:v>
                </c:pt>
                <c:pt idx="10">
                  <c:v>-3.8075923298818024</c:v>
                </c:pt>
                <c:pt idx="11">
                  <c:v>-5.0603696851460587</c:v>
                </c:pt>
                <c:pt idx="12">
                  <c:v>-6.4996955842840043</c:v>
                </c:pt>
                <c:pt idx="13">
                  <c:v>-8.1263630138361904</c:v>
                </c:pt>
                <c:pt idx="14">
                  <c:v>-10.216441226450161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414F-44EC-95BC-935A6B4E393D}"/>
            </c:ext>
          </c:extLst>
        </c:ser>
        <c:ser>
          <c:idx val="9"/>
          <c:order val="9"/>
          <c:tx>
            <c:v>h=0km m. mocy</c:v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'h=0m'!$H$22:$H$37</c:f>
              <c:numCache>
                <c:formatCode>0.00</c:formatCode>
                <c:ptCount val="16"/>
                <c:pt idx="0">
                  <c:v>35.157432011792558</c:v>
                </c:pt>
                <c:pt idx="1">
                  <c:v>35.811528285403178</c:v>
                </c:pt>
                <c:pt idx="2">
                  <c:v>36.971085844054947</c:v>
                </c:pt>
                <c:pt idx="3">
                  <c:v>38.223355944888525</c:v>
                </c:pt>
                <c:pt idx="4">
                  <c:v>39.798563070913126</c:v>
                </c:pt>
                <c:pt idx="5">
                  <c:v>41.355978660828761</c:v>
                </c:pt>
                <c:pt idx="6">
                  <c:v>43.191577880930247</c:v>
                </c:pt>
                <c:pt idx="7">
                  <c:v>45.598342806506814</c:v>
                </c:pt>
                <c:pt idx="8">
                  <c:v>48.17825713572428</c:v>
                </c:pt>
                <c:pt idx="9">
                  <c:v>51.119165881347236</c:v>
                </c:pt>
                <c:pt idx="10">
                  <c:v>59.505185664529769</c:v>
                </c:pt>
                <c:pt idx="11">
                  <c:v>65.403425373590096</c:v>
                </c:pt>
                <c:pt idx="12">
                  <c:v>73.692619266233933</c:v>
                </c:pt>
                <c:pt idx="13">
                  <c:v>85.439049209516369</c:v>
                </c:pt>
                <c:pt idx="14">
                  <c:v>104.07693059928242</c:v>
                </c:pt>
                <c:pt idx="15">
                  <c:v>168.45417280572855</c:v>
                </c:pt>
              </c:numCache>
            </c:numRef>
          </c:xVal>
          <c:yVal>
            <c:numRef>
              <c:f>'h=0m'!$N$22:$N$37</c:f>
              <c:numCache>
                <c:formatCode>0.00</c:formatCode>
                <c:ptCount val="16"/>
                <c:pt idx="0">
                  <c:v>5.6225247486882726</c:v>
                </c:pt>
                <c:pt idx="1">
                  <c:v>5.7722876914477412</c:v>
                </c:pt>
                <c:pt idx="2">
                  <c:v>6.0262562622225726</c:v>
                </c:pt>
                <c:pt idx="3">
                  <c:v>6.2924387621882465</c:v>
                </c:pt>
                <c:pt idx="4">
                  <c:v>6.5792469171273948</c:v>
                </c:pt>
                <c:pt idx="5">
                  <c:v>6.8422290704987665</c:v>
                </c:pt>
                <c:pt idx="6">
                  <c:v>7.1232334668273705</c:v>
                </c:pt>
                <c:pt idx="7">
                  <c:v>7.4212967285721225</c:v>
                </c:pt>
                <c:pt idx="8">
                  <c:v>7.7436761419440225</c:v>
                </c:pt>
                <c:pt idx="9">
                  <c:v>8.0448967363464465</c:v>
                </c:pt>
                <c:pt idx="10">
                  <c:v>8.4340838988079287</c:v>
                </c:pt>
                <c:pt idx="11">
                  <c:v>8.3540039767182446</c:v>
                </c:pt>
                <c:pt idx="12">
                  <c:v>7.7402279985224043</c:v>
                </c:pt>
                <c:pt idx="13">
                  <c:v>5.9868268243534128</c:v>
                </c:pt>
                <c:pt idx="14">
                  <c:v>0.8527985787127913</c:v>
                </c:pt>
                <c:pt idx="15">
                  <c:v>-39.972467118355112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14F-44EC-95BC-935A6B4E393D}"/>
            </c:ext>
          </c:extLst>
        </c:ser>
        <c:ser>
          <c:idx val="10"/>
          <c:order val="10"/>
          <c:tx>
            <c:v>h=1km m. mocy</c:v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'h=1km'!$H$22:$H$37</c:f>
              <c:numCache>
                <c:formatCode>0.00</c:formatCode>
                <c:ptCount val="16"/>
                <c:pt idx="0">
                  <c:v>36.907789207676011</c:v>
                </c:pt>
                <c:pt idx="1">
                  <c:v>37.59445049112383</c:v>
                </c:pt>
                <c:pt idx="2">
                  <c:v>38.811738088651779</c:v>
                </c:pt>
                <c:pt idx="3">
                  <c:v>40.126354039473725</c:v>
                </c:pt>
                <c:pt idx="4">
                  <c:v>41.779984843516651</c:v>
                </c:pt>
                <c:pt idx="5">
                  <c:v>43.414938337334817</c:v>
                </c:pt>
                <c:pt idx="6">
                  <c:v>45.341925185024834</c:v>
                </c:pt>
                <c:pt idx="7">
                  <c:v>47.868513944858393</c:v>
                </c:pt>
                <c:pt idx="8">
                  <c:v>50.576872570274581</c:v>
                </c:pt>
                <c:pt idx="9">
                  <c:v>53.664198175456868</c:v>
                </c:pt>
                <c:pt idx="10">
                  <c:v>62.467726554471739</c:v>
                </c:pt>
                <c:pt idx="11">
                  <c:v>68.65961758352428</c:v>
                </c:pt>
                <c:pt idx="12">
                  <c:v>77.361499472640546</c:v>
                </c:pt>
                <c:pt idx="13">
                  <c:v>89.692740279534092</c:v>
                </c:pt>
                <c:pt idx="14">
                  <c:v>109.25853215478887</c:v>
                </c:pt>
                <c:pt idx="15">
                  <c:v>176.84087674497533</c:v>
                </c:pt>
              </c:numCache>
            </c:numRef>
          </c:xVal>
          <c:yVal>
            <c:numRef>
              <c:f>'h=1km'!$N$22:$N$37</c:f>
              <c:numCache>
                <c:formatCode>0.00</c:formatCode>
                <c:ptCount val="16"/>
                <c:pt idx="0">
                  <c:v>4.8158650055092362</c:v>
                </c:pt>
                <c:pt idx="1">
                  <c:v>4.9558969904283572</c:v>
                </c:pt>
                <c:pt idx="2">
                  <c:v>5.1923143260459614</c:v>
                </c:pt>
                <c:pt idx="3">
                  <c:v>5.4395320067651287</c:v>
                </c:pt>
                <c:pt idx="4">
                  <c:v>5.7006733111228938</c:v>
                </c:pt>
                <c:pt idx="5">
                  <c:v>5.9378884939370291</c:v>
                </c:pt>
                <c:pt idx="6">
                  <c:v>6.1878931356045248</c:v>
                </c:pt>
                <c:pt idx="7">
                  <c:v>6.4431375209015957</c:v>
                </c:pt>
                <c:pt idx="8">
                  <c:v>6.7214387443712864</c:v>
                </c:pt>
                <c:pt idx="9">
                  <c:v>6.9712344368811703</c:v>
                </c:pt>
                <c:pt idx="10">
                  <c:v>7.2028229893692854</c:v>
                </c:pt>
                <c:pt idx="11">
                  <c:v>7.0053298758400464</c:v>
                </c:pt>
                <c:pt idx="12">
                  <c:v>6.2170574686053071</c:v>
                </c:pt>
                <c:pt idx="13">
                  <c:v>4.2034473462658761</c:v>
                </c:pt>
                <c:pt idx="14">
                  <c:v>-1.3854279023255964</c:v>
                </c:pt>
                <c:pt idx="15">
                  <c:v>-44.213715315741673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14F-44EC-95BC-935A6B4E393D}"/>
            </c:ext>
          </c:extLst>
        </c:ser>
        <c:ser>
          <c:idx val="11"/>
          <c:order val="11"/>
          <c:tx>
            <c:v>h=2km m. mocy</c:v>
          </c:tx>
          <c:spPr>
            <a:ln w="1905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'h=2km'!$H$22:$H$37</c:f>
              <c:numCache>
                <c:formatCode>0.00</c:formatCode>
                <c:ptCount val="16"/>
                <c:pt idx="0">
                  <c:v>38.789302761294081</c:v>
                </c:pt>
                <c:pt idx="1">
                  <c:v>39.510969189706891</c:v>
                </c:pt>
                <c:pt idx="2">
                  <c:v>40.79031260695659</c:v>
                </c:pt>
                <c:pt idx="3">
                  <c:v>42.171946056858644</c:v>
                </c:pt>
                <c:pt idx="4">
                  <c:v>43.909876918891499</c:v>
                </c:pt>
                <c:pt idx="5">
                  <c:v>45.628178324470092</c:v>
                </c:pt>
                <c:pt idx="6">
                  <c:v>47.653400583963595</c:v>
                </c:pt>
                <c:pt idx="7">
                  <c:v>50.308791721238322</c:v>
                </c:pt>
                <c:pt idx="8">
                  <c:v>53.155219127558865</c:v>
                </c:pt>
                <c:pt idx="9">
                  <c:v>56.399932782670049</c:v>
                </c:pt>
                <c:pt idx="10">
                  <c:v>65.65225417585259</c:v>
                </c:pt>
                <c:pt idx="11">
                  <c:v>72.159800169447564</c:v>
                </c:pt>
                <c:pt idx="12">
                  <c:v>81.305293260097159</c:v>
                </c:pt>
                <c:pt idx="13">
                  <c:v>94.265165507918979</c:v>
                </c:pt>
                <c:pt idx="14">
                  <c:v>114.82839731091957</c:v>
                </c:pt>
                <c:pt idx="15">
                  <c:v>185.85600643906642</c:v>
                </c:pt>
              </c:numCache>
            </c:numRef>
          </c:xVal>
          <c:yVal>
            <c:numRef>
              <c:f>'h=2km'!$N$22:$N$37</c:f>
              <c:numCache>
                <c:formatCode>0.00</c:formatCode>
                <c:ptCount val="16"/>
                <c:pt idx="0">
                  <c:v>4.0143902840627375</c:v>
                </c:pt>
                <c:pt idx="1">
                  <c:v>4.1451798103898687</c:v>
                </c:pt>
                <c:pt idx="2">
                  <c:v>4.364886128495451</c:v>
                </c:pt>
                <c:pt idx="3">
                  <c:v>4.5940405915715665</c:v>
                </c:pt>
                <c:pt idx="4">
                  <c:v>4.8305053398312019</c:v>
                </c:pt>
                <c:pt idx="5">
                  <c:v>5.0428937668622886</c:v>
                </c:pt>
                <c:pt idx="6">
                  <c:v>5.2629460582871745</c:v>
                </c:pt>
                <c:pt idx="7">
                  <c:v>5.4765576268685301</c:v>
                </c:pt>
                <c:pt idx="8">
                  <c:v>5.7121544190309104</c:v>
                </c:pt>
                <c:pt idx="9">
                  <c:v>5.9119549260120428</c:v>
                </c:pt>
                <c:pt idx="10">
                  <c:v>5.9888699588758865</c:v>
                </c:pt>
                <c:pt idx="11">
                  <c:v>5.675180624998009</c:v>
                </c:pt>
                <c:pt idx="12">
                  <c:v>4.7128242143779344</c:v>
                </c:pt>
                <c:pt idx="13">
                  <c:v>2.4372140361073575</c:v>
                </c:pt>
                <c:pt idx="14">
                  <c:v>-3.6167114207555038</c:v>
                </c:pt>
                <c:pt idx="15">
                  <c:v>-48.574648468700246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414F-44EC-95BC-935A6B4E393D}"/>
            </c:ext>
          </c:extLst>
        </c:ser>
        <c:ser>
          <c:idx val="12"/>
          <c:order val="12"/>
          <c:tx>
            <c:v>h=3km m. mocy</c:v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'h=3km'!$H$22:$H$37</c:f>
              <c:numCache>
                <c:formatCode>0.00</c:formatCode>
                <c:ptCount val="16"/>
                <c:pt idx="0">
                  <c:v>40.815259783159711</c:v>
                </c:pt>
                <c:pt idx="1">
                  <c:v>41.574618695427802</c:v>
                </c:pt>
                <c:pt idx="2">
                  <c:v>42.920781946885526</c:v>
                </c:pt>
                <c:pt idx="3">
                  <c:v>44.374577817615268</c:v>
                </c:pt>
                <c:pt idx="4">
                  <c:v>46.203280438427093</c:v>
                </c:pt>
                <c:pt idx="5">
                  <c:v>48.011328360454733</c:v>
                </c:pt>
                <c:pt idx="6">
                  <c:v>50.142327547229172</c:v>
                </c:pt>
                <c:pt idx="7">
                  <c:v>52.936409198057795</c:v>
                </c:pt>
                <c:pt idx="8">
                  <c:v>55.931504901577547</c:v>
                </c:pt>
                <c:pt idx="9">
                  <c:v>59.34568925983514</c:v>
                </c:pt>
                <c:pt idx="10">
                  <c:v>69.081257428821559</c:v>
                </c:pt>
                <c:pt idx="11">
                  <c:v>75.928691163682998</c:v>
                </c:pt>
                <c:pt idx="12">
                  <c:v>85.551851410647487</c:v>
                </c:pt>
                <c:pt idx="13">
                  <c:v>99.188615025775746</c:v>
                </c:pt>
                <c:pt idx="14">
                  <c:v>120.82586004628411</c:v>
                </c:pt>
                <c:pt idx="15">
                  <c:v>195.56322607171359</c:v>
                </c:pt>
              </c:numCache>
            </c:numRef>
          </c:xVal>
          <c:yVal>
            <c:numRef>
              <c:f>'h=3km'!$N$22:$N$37</c:f>
              <c:numCache>
                <c:formatCode>0.00</c:formatCode>
                <c:ptCount val="16"/>
                <c:pt idx="0">
                  <c:v>3.206352000409165</c:v>
                </c:pt>
                <c:pt idx="1">
                  <c:v>3.3281451274932841</c:v>
                </c:pt>
                <c:pt idx="2">
                  <c:v>3.5315532067470516</c:v>
                </c:pt>
                <c:pt idx="3">
                  <c:v>3.7430922466116754</c:v>
                </c:pt>
                <c:pt idx="4">
                  <c:v>3.9553001445879254</c:v>
                </c:pt>
                <c:pt idx="5">
                  <c:v>4.1432531115119371</c:v>
                </c:pt>
                <c:pt idx="6">
                  <c:v>4.3337760482729406</c:v>
                </c:pt>
                <c:pt idx="7">
                  <c:v>4.5061583845658877</c:v>
                </c:pt>
                <c:pt idx="8">
                  <c:v>4.6996776960564475</c:v>
                </c:pt>
                <c:pt idx="9">
                  <c:v>4.8501682542417397</c:v>
                </c:pt>
                <c:pt idx="10">
                  <c:v>4.7739822749684357</c:v>
                </c:pt>
                <c:pt idx="11">
                  <c:v>4.3452630970387807</c:v>
                </c:pt>
                <c:pt idx="12">
                  <c:v>3.2107728985618391</c:v>
                </c:pt>
                <c:pt idx="13">
                  <c:v>0.67763040453575596</c:v>
                </c:pt>
                <c:pt idx="14">
                  <c:v>-5.8289625699613774</c:v>
                </c:pt>
                <c:pt idx="15">
                  <c:v>-52.778464886880244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414F-44EC-95BC-935A6B4E393D}"/>
            </c:ext>
          </c:extLst>
        </c:ser>
        <c:ser>
          <c:idx val="13"/>
          <c:order val="13"/>
          <c:tx>
            <c:v>h=4km m. mocy</c:v>
          </c:tx>
          <c:spPr>
            <a:ln w="1905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'h=4km'!$H$22:$H$37</c:f>
              <c:numCache>
                <c:formatCode>0.00</c:formatCode>
                <c:ptCount val="16"/>
                <c:pt idx="0">
                  <c:v>43.00066152062773</c:v>
                </c:pt>
                <c:pt idx="1">
                  <c:v>43.80067935054204</c:v>
                </c:pt>
                <c:pt idx="2">
                  <c:v>45.218921219758926</c:v>
                </c:pt>
                <c:pt idx="3">
                  <c:v>46.750558761439585</c:v>
                </c:pt>
                <c:pt idx="4">
                  <c:v>48.677176963484172</c:v>
                </c:pt>
                <c:pt idx="5">
                  <c:v>50.582034536882823</c:v>
                </c:pt>
                <c:pt idx="6">
                  <c:v>52.827135394210416</c:v>
                </c:pt>
                <c:pt idx="7">
                  <c:v>55.770822631939353</c:v>
                </c:pt>
                <c:pt idx="8">
                  <c:v>58.926286966925112</c:v>
                </c:pt>
                <c:pt idx="9">
                  <c:v>62.523279531432344</c:v>
                </c:pt>
                <c:pt idx="10">
                  <c:v>72.780126450199489</c:v>
                </c:pt>
                <c:pt idx="11">
                  <c:v>79.994197409982817</c:v>
                </c:pt>
                <c:pt idx="12">
                  <c:v>90.132617665958122</c:v>
                </c:pt>
                <c:pt idx="13">
                  <c:v>104.49954463313341</c:v>
                </c:pt>
                <c:pt idx="14">
                  <c:v>127.29532871753742</c:v>
                </c:pt>
                <c:pt idx="15">
                  <c:v>206.03441298348505</c:v>
                </c:pt>
              </c:numCache>
            </c:numRef>
          </c:xVal>
          <c:yVal>
            <c:numRef>
              <c:f>'h=4km'!$N$22:$N$37</c:f>
              <c:numCache>
                <c:formatCode>0.00</c:formatCode>
                <c:ptCount val="16"/>
                <c:pt idx="0">
                  <c:v>2.4157032551744484</c:v>
                </c:pt>
                <c:pt idx="1">
                  <c:v>2.5284638570106295</c:v>
                </c:pt>
                <c:pt idx="2">
                  <c:v>2.7154399127004156</c:v>
                </c:pt>
                <c:pt idx="3">
                  <c:v>2.9091612118710377</c:v>
                </c:pt>
                <c:pt idx="4">
                  <c:v>3.0966164136366352</c:v>
                </c:pt>
                <c:pt idx="5">
                  <c:v>3.2595336116289175</c:v>
                </c:pt>
                <c:pt idx="6">
                  <c:v>3.4196802556292556</c:v>
                </c:pt>
                <c:pt idx="7">
                  <c:v>3.5494157143348692</c:v>
                </c:pt>
                <c:pt idx="8">
                  <c:v>3.6994035482426293</c:v>
                </c:pt>
                <c:pt idx="9">
                  <c:v>3.7987475399571329</c:v>
                </c:pt>
                <c:pt idx="10">
                  <c:v>3.5633672269565779</c:v>
                </c:pt>
                <c:pt idx="11">
                  <c:v>3.015477872494094</c:v>
                </c:pt>
                <c:pt idx="12">
                  <c:v>1.7043384051496751</c:v>
                </c:pt>
                <c:pt idx="13">
                  <c:v>-1.0869789176610916</c:v>
                </c:pt>
                <c:pt idx="14">
                  <c:v>-8.0250784555558585</c:v>
                </c:pt>
                <c:pt idx="15">
                  <c:v>-56.471515093494119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414F-44EC-95BC-935A6B4E393D}"/>
            </c:ext>
          </c:extLst>
        </c:ser>
        <c:ser>
          <c:idx val="15"/>
          <c:order val="14"/>
          <c:tx>
            <c:v>h=5km m. mocy</c:v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'h=5km'!$H$22:$H$36</c:f>
              <c:numCache>
                <c:formatCode>0.00</c:formatCode>
                <c:ptCount val="15"/>
                <c:pt idx="0">
                  <c:v>45.362494420478008</c:v>
                </c:pt>
                <c:pt idx="1">
                  <c:v>46.206453630927868</c:v>
                </c:pt>
                <c:pt idx="2">
                  <c:v>47.70259314609271</c:v>
                </c:pt>
                <c:pt idx="3">
                  <c:v>49.31835664790195</c:v>
                </c:pt>
                <c:pt idx="4">
                  <c:v>51.350795320937586</c:v>
                </c:pt>
                <c:pt idx="5">
                  <c:v>53.360278151885439</c:v>
                </c:pt>
                <c:pt idx="6">
                  <c:v>55.728692299771943</c:v>
                </c:pt>
                <c:pt idx="7">
                  <c:v>58.834063035360614</c:v>
                </c:pt>
                <c:pt idx="8">
                  <c:v>62.16284283148407</c:v>
                </c:pt>
                <c:pt idx="9">
                  <c:v>65.957402016572118</c:v>
                </c:pt>
                <c:pt idx="10">
                  <c:v>76.777611396399351</c:v>
                </c:pt>
                <c:pt idx="11">
                  <c:v>84.387918821672784</c:v>
                </c:pt>
                <c:pt idx="12">
                  <c:v>95.083196894860606</c:v>
                </c:pt>
                <c:pt idx="13">
                  <c:v>110.23923453105532</c:v>
                </c:pt>
                <c:pt idx="14">
                  <c:v>134.28708848891003</c:v>
                </c:pt>
              </c:numCache>
            </c:numRef>
          </c:xVal>
          <c:yVal>
            <c:numRef>
              <c:f>'h=5km'!$N$22:$N$36</c:f>
              <c:numCache>
                <c:formatCode>0.00</c:formatCode>
                <c:ptCount val="15"/>
                <c:pt idx="0">
                  <c:v>1.5900449990575927</c:v>
                </c:pt>
                <c:pt idx="1">
                  <c:v>1.6946084157666674</c:v>
                </c:pt>
                <c:pt idx="2">
                  <c:v>1.8666568715465812</c:v>
                </c:pt>
                <c:pt idx="3">
                  <c:v>2.0442576586409795</c:v>
                </c:pt>
                <c:pt idx="4">
                  <c:v>2.209013686441351</c:v>
                </c:pt>
                <c:pt idx="5">
                  <c:v>2.348988208140883</c:v>
                </c:pt>
                <c:pt idx="6">
                  <c:v>2.4812796129133226</c:v>
                </c:pt>
                <c:pt idx="7">
                  <c:v>2.5716232150818872</c:v>
                </c:pt>
                <c:pt idx="8">
                  <c:v>2.6819287714822124</c:v>
                </c:pt>
                <c:pt idx="9">
                  <c:v>2.7345650619361339</c:v>
                </c:pt>
                <c:pt idx="10">
                  <c:v>2.3519958086617199</c:v>
                </c:pt>
                <c:pt idx="11">
                  <c:v>1.6925249785808696</c:v>
                </c:pt>
                <c:pt idx="12">
                  <c:v>0.21308719081579644</c:v>
                </c:pt>
                <c:pt idx="13">
                  <c:v>-2.8310929062495092</c:v>
                </c:pt>
                <c:pt idx="14">
                  <c:v>-10.218033040724196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414F-44EC-95BC-935A6B4E393D}"/>
            </c:ext>
          </c:extLst>
        </c:ser>
        <c:ser>
          <c:idx val="16"/>
          <c:order val="15"/>
          <c:tx>
            <c:v>h=6km m. mocy</c:v>
          </c:tx>
          <c:spPr>
            <a:ln w="19050" cap="rnd">
              <a:solidFill>
                <a:schemeClr val="tx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'h=6km'!$H$22:$H$36</c:f>
              <c:numCache>
                <c:formatCode>0.00</c:formatCode>
                <c:ptCount val="15"/>
                <c:pt idx="0">
                  <c:v>47.92005236771405</c:v>
                </c:pt>
                <c:pt idx="1">
                  <c:v>48.811594380066772</c:v>
                </c:pt>
                <c:pt idx="2">
                  <c:v>50.392086917614265</c:v>
                </c:pt>
                <c:pt idx="3">
                  <c:v>52.098947896264214</c:v>
                </c:pt>
                <c:pt idx="4">
                  <c:v>54.245976380704612</c:v>
                </c:pt>
                <c:pt idx="5">
                  <c:v>56.368754762300249</c:v>
                </c:pt>
                <c:pt idx="6">
                  <c:v>58.870701170783491</c:v>
                </c:pt>
                <c:pt idx="7">
                  <c:v>62.151154112617277</c:v>
                </c:pt>
                <c:pt idx="8">
                  <c:v>65.667612018838909</c:v>
                </c:pt>
                <c:pt idx="9">
                  <c:v>69.676110166588984</c:v>
                </c:pt>
                <c:pt idx="10">
                  <c:v>81.106367843884669</c:v>
                </c:pt>
                <c:pt idx="11">
                  <c:v>89.145747842989749</c:v>
                </c:pt>
                <c:pt idx="12">
                  <c:v>100.44403053008682</c:v>
                </c:pt>
                <c:pt idx="13">
                  <c:v>116.45457242139939</c:v>
                </c:pt>
                <c:pt idx="14">
                  <c:v>141.85825525924881</c:v>
                </c:pt>
              </c:numCache>
            </c:numRef>
          </c:xVal>
          <c:yVal>
            <c:numRef>
              <c:f>'h=6km'!$N$22:$N$36</c:f>
              <c:numCache>
                <c:formatCode>0.00</c:formatCode>
                <c:ptCount val="15"/>
                <c:pt idx="0">
                  <c:v>0.76170377662359556</c:v>
                </c:pt>
                <c:pt idx="1">
                  <c:v>0.85822482091205332</c:v>
                </c:pt>
                <c:pt idx="2">
                  <c:v>1.0155773134039954</c:v>
                </c:pt>
                <c:pt idx="3">
                  <c:v>1.1772964062692854</c:v>
                </c:pt>
                <c:pt idx="4">
                  <c:v>1.3194418901363134</c:v>
                </c:pt>
                <c:pt idx="5">
                  <c:v>1.4365146305492102</c:v>
                </c:pt>
                <c:pt idx="6">
                  <c:v>1.5409346335658338</c:v>
                </c:pt>
                <c:pt idx="7">
                  <c:v>1.5916515503975177</c:v>
                </c:pt>
                <c:pt idx="8">
                  <c:v>1.6622924278346352</c:v>
                </c:pt>
                <c:pt idx="9">
                  <c:v>1.6682341545317509</c:v>
                </c:pt>
                <c:pt idx="10">
                  <c:v>1.1384501010150296</c:v>
                </c:pt>
                <c:pt idx="11">
                  <c:v>0.36815007866653449</c:v>
                </c:pt>
                <c:pt idx="12">
                  <c:v>-1.2766221990044877</c:v>
                </c:pt>
                <c:pt idx="13">
                  <c:v>-4.5629794324881772</c:v>
                </c:pt>
                <c:pt idx="14">
                  <c:v>-12.360260744866896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414F-44EC-95BC-935A6B4E393D}"/>
            </c:ext>
          </c:extLst>
        </c:ser>
        <c:ser>
          <c:idx val="17"/>
          <c:order val="16"/>
          <c:tx>
            <c:v>h=7km m. mocy</c:v>
          </c:tx>
          <c:spPr>
            <a:ln w="19050" cap="rnd">
              <a:solidFill>
                <a:schemeClr val="accent2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'h=7m'!$H$22:$H$36</c:f>
              <c:numCache>
                <c:formatCode>0.00</c:formatCode>
                <c:ptCount val="15"/>
                <c:pt idx="0">
                  <c:v>50.695321417043772</c:v>
                </c:pt>
                <c:pt idx="1">
                  <c:v>51.638496698368591</c:v>
                </c:pt>
                <c:pt idx="2">
                  <c:v>53.310522775748105</c:v>
                </c:pt>
                <c:pt idx="3">
                  <c:v>55.116235867688886</c:v>
                </c:pt>
                <c:pt idx="4">
                  <c:v>57.387608575611623</c:v>
                </c:pt>
                <c:pt idx="5">
                  <c:v>59.633326746500941</c:v>
                </c:pt>
                <c:pt idx="6">
                  <c:v>62.280172296104972</c:v>
                </c:pt>
                <c:pt idx="7">
                  <c:v>65.750611247290209</c:v>
                </c:pt>
                <c:pt idx="8">
                  <c:v>69.470723288017382</c:v>
                </c:pt>
                <c:pt idx="9">
                  <c:v>73.711371867456933</c:v>
                </c:pt>
                <c:pt idx="10">
                  <c:v>85.803607960682612</c:v>
                </c:pt>
                <c:pt idx="11">
                  <c:v>94.308585165652786</c:v>
                </c:pt>
                <c:pt idx="12">
                  <c:v>106.26120299436177</c:v>
                </c:pt>
                <c:pt idx="13">
                  <c:v>123.19898847533064</c:v>
                </c:pt>
                <c:pt idx="14">
                  <c:v>150.07391458682832</c:v>
                </c:pt>
              </c:numCache>
            </c:numRef>
          </c:xVal>
          <c:yVal>
            <c:numRef>
              <c:f>'h=7m'!$N$22:$N$36</c:f>
              <c:numCache>
                <c:formatCode>0.00</c:formatCode>
                <c:ptCount val="15"/>
                <c:pt idx="0">
                  <c:v>-0.10817714555693456</c:v>
                </c:pt>
                <c:pt idx="1">
                  <c:v>-1.8816428485769667E-2</c:v>
                </c:pt>
                <c:pt idx="2">
                  <c:v>0.12543152140003824</c:v>
                </c:pt>
                <c:pt idx="3">
                  <c:v>0.27307694727450699</c:v>
                </c:pt>
                <c:pt idx="4">
                  <c:v>0.39478894240245688</c:v>
                </c:pt>
                <c:pt idx="5">
                  <c:v>0.49119740342552998</c:v>
                </c:pt>
                <c:pt idx="6">
                  <c:v>0.57046549940266378</c:v>
                </c:pt>
                <c:pt idx="7">
                  <c:v>0.58509595502165457</c:v>
                </c:pt>
                <c:pt idx="8">
                  <c:v>0.62037443228073441</c:v>
                </c:pt>
                <c:pt idx="9">
                  <c:v>0.58469307771549084</c:v>
                </c:pt>
                <c:pt idx="10">
                  <c:v>-7.7787754830135572E-2</c:v>
                </c:pt>
                <c:pt idx="11">
                  <c:v>-0.94872065727596844</c:v>
                </c:pt>
                <c:pt idx="12">
                  <c:v>-2.745395057322245</c:v>
                </c:pt>
                <c:pt idx="13">
                  <c:v>-6.2578608413277177</c:v>
                </c:pt>
                <c:pt idx="14">
                  <c:v>-14.455376981244491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414F-44EC-95BC-935A6B4E393D}"/>
            </c:ext>
          </c:extLst>
        </c:ser>
        <c:ser>
          <c:idx val="19"/>
          <c:order val="17"/>
          <c:tx>
            <c:v>h=8km m. mocy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'h=8km'!$H$22:$H$36</c:f>
              <c:numCache>
                <c:formatCode>0.00</c:formatCode>
                <c:ptCount val="15"/>
                <c:pt idx="0">
                  <c:v>53.713441222143487</c:v>
                </c:pt>
                <c:pt idx="1">
                  <c:v>54.712767957225346</c:v>
                </c:pt>
                <c:pt idx="2">
                  <c:v>56.484337244465749</c:v>
                </c:pt>
                <c:pt idx="3">
                  <c:v>58.397552533705586</c:v>
                </c:pt>
                <c:pt idx="4">
                  <c:v>60.804150243915025</c:v>
                </c:pt>
                <c:pt idx="5">
                  <c:v>63.183566087464804</c:v>
                </c:pt>
                <c:pt idx="6">
                  <c:v>65.987990221265662</c:v>
                </c:pt>
                <c:pt idx="7">
                  <c:v>69.665039964890596</c:v>
                </c:pt>
                <c:pt idx="8">
                  <c:v>73.606626956628432</c:v>
                </c:pt>
                <c:pt idx="9">
                  <c:v>78.099740361348111</c:v>
                </c:pt>
                <c:pt idx="10">
                  <c:v>90.91188149158252</c:v>
                </c:pt>
                <c:pt idx="11">
                  <c:v>99.923198126439644</c:v>
                </c:pt>
                <c:pt idx="12">
                  <c:v>112.58740889081324</c:v>
                </c:pt>
                <c:pt idx="13">
                  <c:v>130.53357669160414</c:v>
                </c:pt>
                <c:pt idx="14">
                  <c:v>159.00848766344899</c:v>
                </c:pt>
              </c:numCache>
            </c:numRef>
          </c:xVal>
          <c:yVal>
            <c:numRef>
              <c:f>'h=8km'!$N$22:$N$36</c:f>
              <c:numCache>
                <c:formatCode>0.00</c:formatCode>
                <c:ptCount val="15"/>
                <c:pt idx="0">
                  <c:v>-0.97487434831338682</c:v>
                </c:pt>
                <c:pt idx="1">
                  <c:v>-0.89229803818598896</c:v>
                </c:pt>
                <c:pt idx="2">
                  <c:v>-0.76054184307072892</c:v>
                </c:pt>
                <c:pt idx="3">
                  <c:v>-0.62632383760068822</c:v>
                </c:pt>
                <c:pt idx="4">
                  <c:v>-0.52449875990776029</c:v>
                </c:pt>
                <c:pt idx="5">
                  <c:v>-0.44827776164106165</c:v>
                </c:pt>
                <c:pt idx="6">
                  <c:v>-0.39368903213517742</c:v>
                </c:pt>
                <c:pt idx="7">
                  <c:v>-0.41481092657221691</c:v>
                </c:pt>
                <c:pt idx="8">
                  <c:v>-0.41423515492575858</c:v>
                </c:pt>
                <c:pt idx="9">
                  <c:v>-0.49084750994207627</c:v>
                </c:pt>
                <c:pt idx="10">
                  <c:v>-1.2845348170173034</c:v>
                </c:pt>
                <c:pt idx="11">
                  <c:v>-2.2545698759507062</c:v>
                </c:pt>
                <c:pt idx="12">
                  <c:v>-4.1994999730743388</c:v>
                </c:pt>
                <c:pt idx="13">
                  <c:v>-7.9270836566541627</c:v>
                </c:pt>
                <c:pt idx="14">
                  <c:v>-16.487744084257571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414F-44EC-95BC-935A6B4E393D}"/>
            </c:ext>
          </c:extLst>
        </c:ser>
        <c:ser>
          <c:idx val="20"/>
          <c:order val="18"/>
          <c:tx>
            <c:v>h=0km, m. ciągu, zmienna masa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masa'!$K$4:$K$18</c:f>
              <c:numCache>
                <c:formatCode>0.0</c:formatCode>
                <c:ptCount val="15"/>
                <c:pt idx="0">
                  <c:v>36.916857200854587</c:v>
                </c:pt>
                <c:pt idx="1">
                  <c:v>38.783391060051393</c:v>
                </c:pt>
                <c:pt idx="2">
                  <c:v>44.261591747739743</c:v>
                </c:pt>
                <c:pt idx="3">
                  <c:v>49.7397924354281</c:v>
                </c:pt>
                <c:pt idx="4">
                  <c:v>55.217993123116457</c:v>
                </c:pt>
                <c:pt idx="5">
                  <c:v>60.696193810804814</c:v>
                </c:pt>
                <c:pt idx="6">
                  <c:v>66.174394498493172</c:v>
                </c:pt>
                <c:pt idx="7">
                  <c:v>71.652595186181514</c:v>
                </c:pt>
                <c:pt idx="8">
                  <c:v>77.130795873869886</c:v>
                </c:pt>
                <c:pt idx="9">
                  <c:v>82.608996561558229</c:v>
                </c:pt>
                <c:pt idx="10">
                  <c:v>88.0871972492466</c:v>
                </c:pt>
                <c:pt idx="11">
                  <c:v>93.565397936934943</c:v>
                </c:pt>
                <c:pt idx="12">
                  <c:v>99.043598624623286</c:v>
                </c:pt>
                <c:pt idx="13">
                  <c:v>104.52179931231166</c:v>
                </c:pt>
                <c:pt idx="14">
                  <c:v>110</c:v>
                </c:pt>
              </c:numCache>
            </c:numRef>
          </c:xVal>
          <c:yVal>
            <c:numRef>
              <c:f>'Meotda CIągu, zmienna masa'!$R$4:$R$18</c:f>
              <c:numCache>
                <c:formatCode>0.00</c:formatCode>
                <c:ptCount val="15"/>
                <c:pt idx="0">
                  <c:v>5.0741431973812459</c:v>
                </c:pt>
                <c:pt idx="1">
                  <c:v>5.4807586003817432</c:v>
                </c:pt>
                <c:pt idx="2">
                  <c:v>6.4951448628910082</c:v>
                </c:pt>
                <c:pt idx="3">
                  <c:v>7.2610463770975384</c:v>
                </c:pt>
                <c:pt idx="4">
                  <c:v>7.7908415762983783</c:v>
                </c:pt>
                <c:pt idx="5">
                  <c:v>8.0878713762983363</c:v>
                </c:pt>
                <c:pt idx="6">
                  <c:v>8.1496524867639284</c:v>
                </c:pt>
                <c:pt idx="7">
                  <c:v>7.9696994481296421</c:v>
                </c:pt>
                <c:pt idx="8">
                  <c:v>7.5385775894148388</c:v>
                </c:pt>
                <c:pt idx="9">
                  <c:v>6.8445193298020719</c:v>
                </c:pt>
                <c:pt idx="10">
                  <c:v>5.8737832465786974</c:v>
                </c:pt>
                <c:pt idx="11">
                  <c:v>4.6108552141471089</c:v>
                </c:pt>
                <c:pt idx="12">
                  <c:v>3.0385480844173807</c:v>
                </c:pt>
                <c:pt idx="13">
                  <c:v>1.1380328035091356</c:v>
                </c:pt>
                <c:pt idx="14">
                  <c:v>-1.1111794854972241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83-401A-B55C-77C4B62012B6}"/>
            </c:ext>
          </c:extLst>
        </c:ser>
        <c:ser>
          <c:idx val="22"/>
          <c:order val="19"/>
          <c:tx>
            <c:v>h=1km, m. ciągu, zmienna masa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masa'!$K$22:$K$36</c:f>
              <c:numCache>
                <c:formatCode>0.0</c:formatCode>
                <c:ptCount val="15"/>
                <c:pt idx="0">
                  <c:v>38.731648677140406</c:v>
                </c:pt>
                <c:pt idx="1">
                  <c:v>40.323093421289883</c:v>
                </c:pt>
                <c:pt idx="2">
                  <c:v>45.682855465806043</c:v>
                </c:pt>
                <c:pt idx="3">
                  <c:v>51.042617510322209</c:v>
                </c:pt>
                <c:pt idx="4">
                  <c:v>56.402379554838376</c:v>
                </c:pt>
                <c:pt idx="5">
                  <c:v>61.762141599354536</c:v>
                </c:pt>
                <c:pt idx="6">
                  <c:v>67.121903643870695</c:v>
                </c:pt>
                <c:pt idx="7">
                  <c:v>72.481665688386869</c:v>
                </c:pt>
                <c:pt idx="8">
                  <c:v>77.841427732903028</c:v>
                </c:pt>
                <c:pt idx="9">
                  <c:v>83.201189777419188</c:v>
                </c:pt>
                <c:pt idx="10">
                  <c:v>88.560951821935362</c:v>
                </c:pt>
                <c:pt idx="11">
                  <c:v>93.920713866451521</c:v>
                </c:pt>
                <c:pt idx="12">
                  <c:v>99.280475910967681</c:v>
                </c:pt>
                <c:pt idx="13">
                  <c:v>104.64023795548385</c:v>
                </c:pt>
                <c:pt idx="14">
                  <c:v>110</c:v>
                </c:pt>
              </c:numCache>
            </c:numRef>
          </c:xVal>
          <c:yVal>
            <c:numRef>
              <c:f>'Meotda CIągu, zmienna masa'!$R$22:$R$36</c:f>
              <c:numCache>
                <c:formatCode>0.00</c:formatCode>
                <c:ptCount val="15"/>
                <c:pt idx="0">
                  <c:v>4.2718483718401696</c:v>
                </c:pt>
                <c:pt idx="1">
                  <c:v>4.5871641952025985</c:v>
                </c:pt>
                <c:pt idx="2">
                  <c:v>5.4912238198353212</c:v>
                </c:pt>
                <c:pt idx="3">
                  <c:v>6.1684857563941051</c:v>
                </c:pt>
                <c:pt idx="4">
                  <c:v>6.6311209190070848</c:v>
                </c:pt>
                <c:pt idx="5">
                  <c:v>6.8833291555316807</c:v>
                </c:pt>
                <c:pt idx="6">
                  <c:v>6.9240403030962909</c:v>
                </c:pt>
                <c:pt idx="7">
                  <c:v>6.7485044125863833</c:v>
                </c:pt>
                <c:pt idx="8">
                  <c:v>6.3492396548489998</c:v>
                </c:pt>
                <c:pt idx="9">
                  <c:v>5.7166028894744763</c:v>
                </c:pt>
                <c:pt idx="10">
                  <c:v>4.8391319050591894</c:v>
                </c:pt>
                <c:pt idx="11">
                  <c:v>3.7037445227315229</c:v>
                </c:pt>
                <c:pt idx="12">
                  <c:v>2.2958443039242087</c:v>
                </c:pt>
                <c:pt idx="13">
                  <c:v>0.59936250125148627</c:v>
                </c:pt>
                <c:pt idx="14">
                  <c:v>-1.4032458131265273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D83-401A-B55C-77C4B62012B6}"/>
            </c:ext>
          </c:extLst>
        </c:ser>
        <c:ser>
          <c:idx val="24"/>
          <c:order val="20"/>
          <c:tx>
            <c:v>h=2km, m. ciągu, zmienna masa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masa'!$K$40:$K$54</c:f>
              <c:numCache>
                <c:formatCode>0.0</c:formatCode>
                <c:ptCount val="15"/>
                <c:pt idx="0">
                  <c:v>40.680124812202166</c:v>
                </c:pt>
                <c:pt idx="1">
                  <c:v>41.978167521605606</c:v>
                </c:pt>
                <c:pt idx="2">
                  <c:v>47.210616173789788</c:v>
                </c:pt>
                <c:pt idx="3">
                  <c:v>52.443064825973977</c:v>
                </c:pt>
                <c:pt idx="4">
                  <c:v>57.675513478158159</c:v>
                </c:pt>
                <c:pt idx="5">
                  <c:v>62.907962130342341</c:v>
                </c:pt>
                <c:pt idx="6">
                  <c:v>68.14041078252653</c:v>
                </c:pt>
                <c:pt idx="7">
                  <c:v>73.372859434710705</c:v>
                </c:pt>
                <c:pt idx="8">
                  <c:v>78.605308086894894</c:v>
                </c:pt>
                <c:pt idx="9">
                  <c:v>83.837756739079083</c:v>
                </c:pt>
                <c:pt idx="10">
                  <c:v>89.070205391263258</c:v>
                </c:pt>
                <c:pt idx="11">
                  <c:v>94.302654043447447</c:v>
                </c:pt>
                <c:pt idx="12">
                  <c:v>99.535102695631622</c:v>
                </c:pt>
                <c:pt idx="13">
                  <c:v>104.76755134781581</c:v>
                </c:pt>
                <c:pt idx="14">
                  <c:v>110</c:v>
                </c:pt>
              </c:numCache>
            </c:numRef>
          </c:xVal>
          <c:yVal>
            <c:numRef>
              <c:f>'Meotda CIągu, zmienna masa'!$R$40:$R$54</c:f>
              <c:numCache>
                <c:formatCode>0.00</c:formatCode>
                <c:ptCount val="15"/>
                <c:pt idx="0">
                  <c:v>3.4779012865443062</c:v>
                </c:pt>
                <c:pt idx="1">
                  <c:v>3.711891621940155</c:v>
                </c:pt>
                <c:pt idx="2">
                  <c:v>4.5172686145612344</c:v>
                </c:pt>
                <c:pt idx="3">
                  <c:v>5.1164425134146807</c:v>
                </c:pt>
                <c:pt idx="4">
                  <c:v>5.5210723378083779</c:v>
                </c:pt>
                <c:pt idx="5">
                  <c:v>5.7358955522934689</c:v>
                </c:pt>
                <c:pt idx="6">
                  <c:v>5.7609493551499371</c:v>
                </c:pt>
                <c:pt idx="7">
                  <c:v>5.5929290493859272</c:v>
                </c:pt>
                <c:pt idx="8">
                  <c:v>5.2260242354232327</c:v>
                </c:pt>
                <c:pt idx="9">
                  <c:v>4.6524364993636276</c:v>
                </c:pt>
                <c:pt idx="10">
                  <c:v>3.8626988072218165</c:v>
                </c:pt>
                <c:pt idx="11">
                  <c:v>2.8458677258766136</c:v>
                </c:pt>
                <c:pt idx="12">
                  <c:v>1.5896311988522116</c:v>
                </c:pt>
                <c:pt idx="13">
                  <c:v>8.0357957674795824E-2</c:v>
                </c:pt>
                <c:pt idx="14">
                  <c:v>-1.696894431733166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D83-401A-B55C-77C4B62012B6}"/>
            </c:ext>
          </c:extLst>
        </c:ser>
        <c:ser>
          <c:idx val="26"/>
          <c:order val="21"/>
          <c:tx>
            <c:v>h=3km, m. ciągu, zmienna masa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masa'!$K$58:$K$72</c:f>
              <c:numCache>
                <c:formatCode>0.0</c:formatCode>
                <c:ptCount val="15"/>
                <c:pt idx="0">
                  <c:v>42.775014365807877</c:v>
                </c:pt>
                <c:pt idx="1">
                  <c:v>45</c:v>
                </c:pt>
                <c:pt idx="2">
                  <c:v>48.141377091306531</c:v>
                </c:pt>
                <c:pt idx="3">
                  <c:v>52.879595667030983</c:v>
                </c:pt>
                <c:pt idx="4">
                  <c:v>57.617814242755443</c:v>
                </c:pt>
                <c:pt idx="5">
                  <c:v>62.356032818479896</c:v>
                </c:pt>
                <c:pt idx="6">
                  <c:v>67.094251394204349</c:v>
                </c:pt>
                <c:pt idx="7">
                  <c:v>71.832469969928809</c:v>
                </c:pt>
                <c:pt idx="8">
                  <c:v>76.570688545653269</c:v>
                </c:pt>
                <c:pt idx="9">
                  <c:v>81.308907121377715</c:v>
                </c:pt>
                <c:pt idx="10">
                  <c:v>86.047125697102175</c:v>
                </c:pt>
                <c:pt idx="11">
                  <c:v>90.78534427282662</c:v>
                </c:pt>
                <c:pt idx="12">
                  <c:v>95.52356284855108</c:v>
                </c:pt>
                <c:pt idx="13">
                  <c:v>100.26178142427554</c:v>
                </c:pt>
                <c:pt idx="14">
                  <c:v>105</c:v>
                </c:pt>
              </c:numCache>
            </c:numRef>
          </c:xVal>
          <c:yVal>
            <c:numRef>
              <c:f>'Meotda CIągu, zmienna masa'!$R$58:$R$72</c:f>
              <c:numCache>
                <c:formatCode>0.00</c:formatCode>
                <c:ptCount val="15"/>
                <c:pt idx="0">
                  <c:v>2.6803102885406731</c:v>
                </c:pt>
                <c:pt idx="1">
                  <c:v>3.0389208923954412</c:v>
                </c:pt>
                <c:pt idx="2">
                  <c:v>3.4808488121982499</c:v>
                </c:pt>
                <c:pt idx="3">
                  <c:v>4.0131449224826357</c:v>
                </c:pt>
                <c:pt idx="4">
                  <c:v>4.3920627522466411</c:v>
                </c:pt>
                <c:pt idx="5">
                  <c:v>4.6224179816746673</c:v>
                </c:pt>
                <c:pt idx="6">
                  <c:v>4.7055622958957031</c:v>
                </c:pt>
                <c:pt idx="7">
                  <c:v>4.6402903588045294</c:v>
                </c:pt>
                <c:pt idx="8">
                  <c:v>4.4234320024272087</c:v>
                </c:pt>
                <c:pt idx="9">
                  <c:v>4.0502389823096383</c:v>
                </c:pt>
                <c:pt idx="10">
                  <c:v>3.5146358490441894</c:v>
                </c:pt>
                <c:pt idx="11">
                  <c:v>2.8093794993230321</c:v>
                </c:pt>
                <c:pt idx="12">
                  <c:v>1.9261557257885784</c:v>
                </c:pt>
                <c:pt idx="13">
                  <c:v>0.85563091769611677</c:v>
                </c:pt>
                <c:pt idx="14">
                  <c:v>-0.41252902083574111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D83-401A-B55C-77C4B62012B6}"/>
            </c:ext>
          </c:extLst>
        </c:ser>
        <c:ser>
          <c:idx val="28"/>
          <c:order val="22"/>
          <c:tx>
            <c:v>h=4km, m. ciągu, zmienna masa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masa'!$K$76:$K$90</c:f>
              <c:numCache>
                <c:formatCode>0.0</c:formatCode>
                <c:ptCount val="15"/>
                <c:pt idx="0">
                  <c:v>45.03066252474688</c:v>
                </c:pt>
                <c:pt idx="1">
                  <c:v>47</c:v>
                </c:pt>
                <c:pt idx="2">
                  <c:v>49.915890434164325</c:v>
                </c:pt>
                <c:pt idx="3">
                  <c:v>54.506232897983963</c:v>
                </c:pt>
                <c:pt idx="4">
                  <c:v>59.096575361803602</c:v>
                </c:pt>
                <c:pt idx="5">
                  <c:v>63.68691782562324</c:v>
                </c:pt>
                <c:pt idx="6">
                  <c:v>68.277260289442893</c:v>
                </c:pt>
                <c:pt idx="7">
                  <c:v>72.867602753262531</c:v>
                </c:pt>
                <c:pt idx="8">
                  <c:v>77.45794521708217</c:v>
                </c:pt>
                <c:pt idx="9">
                  <c:v>82.048287680901808</c:v>
                </c:pt>
                <c:pt idx="10">
                  <c:v>86.638630144721446</c:v>
                </c:pt>
                <c:pt idx="11">
                  <c:v>91.228972608541085</c:v>
                </c:pt>
                <c:pt idx="12">
                  <c:v>95.819315072360723</c:v>
                </c:pt>
                <c:pt idx="13">
                  <c:v>100.40965753618036</c:v>
                </c:pt>
                <c:pt idx="14">
                  <c:v>105</c:v>
                </c:pt>
              </c:numCache>
            </c:numRef>
          </c:xVal>
          <c:yVal>
            <c:numRef>
              <c:f>'Meotda CIągu, zmienna masa'!$R$76:$R$90</c:f>
              <c:numCache>
                <c:formatCode>0.00</c:formatCode>
                <c:ptCount val="15"/>
                <c:pt idx="0">
                  <c:v>1.9003407370094718</c:v>
                </c:pt>
                <c:pt idx="1">
                  <c:v>2.1874806010783874</c:v>
                </c:pt>
                <c:pt idx="2">
                  <c:v>2.5607164069071335</c:v>
                </c:pt>
                <c:pt idx="3">
                  <c:v>3.0296126426395982</c:v>
                </c:pt>
                <c:pt idx="4">
                  <c:v>3.3607702197108673</c:v>
                </c:pt>
                <c:pt idx="5">
                  <c:v>3.5590739628957988</c:v>
                </c:pt>
                <c:pt idx="6">
                  <c:v>3.6264663816580627</c:v>
                </c:pt>
                <c:pt idx="7">
                  <c:v>3.5626723949651398</c:v>
                </c:pt>
                <c:pt idx="8">
                  <c:v>3.3656900174586175</c:v>
                </c:pt>
                <c:pt idx="9">
                  <c:v>3.0321203132489947</c:v>
                </c:pt>
                <c:pt idx="10">
                  <c:v>2.5573880651019318</c:v>
                </c:pt>
                <c:pt idx="11">
                  <c:v>1.9358866286077565</c:v>
                </c:pt>
                <c:pt idx="12">
                  <c:v>1.1610693391390785</c:v>
                </c:pt>
                <c:pt idx="13">
                  <c:v>0.22550220322024189</c:v>
                </c:pt>
                <c:pt idx="14">
                  <c:v>-0.87911157786492466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D83-401A-B55C-77C4B62012B6}"/>
            </c:ext>
          </c:extLst>
        </c:ser>
        <c:ser>
          <c:idx val="21"/>
          <c:order val="23"/>
          <c:tx>
            <c:v>h=5km, m. ciągu, zmienna masa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masa'!$K$94:$K$108</c:f>
              <c:numCache>
                <c:formatCode>0.0</c:formatCode>
                <c:ptCount val="15"/>
                <c:pt idx="0">
                  <c:v>47.46137408372384</c:v>
                </c:pt>
                <c:pt idx="1">
                  <c:v>50</c:v>
                </c:pt>
                <c:pt idx="2">
                  <c:v>51.119377513104538</c:v>
                </c:pt>
                <c:pt idx="3">
                  <c:v>55.192762720345826</c:v>
                </c:pt>
                <c:pt idx="4">
                  <c:v>59.266147927587113</c:v>
                </c:pt>
                <c:pt idx="5">
                  <c:v>63.3395331348284</c:v>
                </c:pt>
                <c:pt idx="6">
                  <c:v>67.412918342069702</c:v>
                </c:pt>
                <c:pt idx="7">
                  <c:v>71.486303549310975</c:v>
                </c:pt>
                <c:pt idx="8">
                  <c:v>75.559688756552276</c:v>
                </c:pt>
                <c:pt idx="9">
                  <c:v>79.633073963793549</c:v>
                </c:pt>
                <c:pt idx="10">
                  <c:v>83.706459171034851</c:v>
                </c:pt>
                <c:pt idx="11">
                  <c:v>87.779844378276124</c:v>
                </c:pt>
                <c:pt idx="12">
                  <c:v>91.853229585517425</c:v>
                </c:pt>
                <c:pt idx="13">
                  <c:v>95.926614792758713</c:v>
                </c:pt>
                <c:pt idx="14">
                  <c:v>100</c:v>
                </c:pt>
              </c:numCache>
            </c:numRef>
          </c:xVal>
          <c:yVal>
            <c:numRef>
              <c:f>'Meotda CIągu, zmienna masa'!$R$94:$R$108</c:f>
              <c:numCache>
                <c:formatCode>0.00</c:formatCode>
                <c:ptCount val="15"/>
                <c:pt idx="0">
                  <c:v>1.0914269612758247</c:v>
                </c:pt>
                <c:pt idx="1">
                  <c:v>1.427436628048991</c:v>
                </c:pt>
                <c:pt idx="2">
                  <c:v>1.5613957689432398</c:v>
                </c:pt>
                <c:pt idx="3">
                  <c:v>1.9788306485006528</c:v>
                </c:pt>
                <c:pt idx="4">
                  <c:v>2.2909970070137242</c:v>
                </c:pt>
                <c:pt idx="5">
                  <c:v>2.5019893879389641</c:v>
                </c:pt>
                <c:pt idx="6">
                  <c:v>2.6139370165186984</c:v>
                </c:pt>
                <c:pt idx="7">
                  <c:v>2.6274205559949042</c:v>
                </c:pt>
                <c:pt idx="8">
                  <c:v>2.5417729951135457</c:v>
                </c:pt>
                <c:pt idx="9">
                  <c:v>2.355294477783183</c:v>
                </c:pt>
                <c:pt idx="10">
                  <c:v>2.0654030510983086</c:v>
                </c:pt>
                <c:pt idx="11">
                  <c:v>1.6687390326821034</c:v>
                </c:pt>
                <c:pt idx="12">
                  <c:v>1.1612346568807923</c:v>
                </c:pt>
                <c:pt idx="13">
                  <c:v>0.5381575475741962</c:v>
                </c:pt>
                <c:pt idx="14">
                  <c:v>-0.20586596715042865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D83-401A-B55C-77C4B62012B6}"/>
            </c:ext>
          </c:extLst>
        </c:ser>
        <c:ser>
          <c:idx val="23"/>
          <c:order val="24"/>
          <c:tx>
            <c:v>h=6km, m. ciągu, zmienna masa</c:v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masa'!$K$112:$K$126</c:f>
              <c:numCache>
                <c:formatCode>0.0</c:formatCode>
                <c:ptCount val="15"/>
                <c:pt idx="0">
                  <c:v>50.08201896169011</c:v>
                </c:pt>
                <c:pt idx="1">
                  <c:v>51.5</c:v>
                </c:pt>
                <c:pt idx="2">
                  <c:v>53.196076101145614</c:v>
                </c:pt>
                <c:pt idx="3">
                  <c:v>57.096403092716812</c:v>
                </c:pt>
                <c:pt idx="4">
                  <c:v>60.996730084288011</c:v>
                </c:pt>
                <c:pt idx="5">
                  <c:v>64.897057075859209</c:v>
                </c:pt>
                <c:pt idx="6">
                  <c:v>68.797384067430414</c:v>
                </c:pt>
                <c:pt idx="7">
                  <c:v>72.697711059001605</c:v>
                </c:pt>
                <c:pt idx="8">
                  <c:v>76.598038050572811</c:v>
                </c:pt>
                <c:pt idx="9">
                  <c:v>80.498365042144002</c:v>
                </c:pt>
                <c:pt idx="10">
                  <c:v>84.398692033715207</c:v>
                </c:pt>
                <c:pt idx="11">
                  <c:v>88.299019025286412</c:v>
                </c:pt>
                <c:pt idx="12">
                  <c:v>92.199346016857604</c:v>
                </c:pt>
                <c:pt idx="13">
                  <c:v>96.099673008428795</c:v>
                </c:pt>
                <c:pt idx="14">
                  <c:v>100</c:v>
                </c:pt>
              </c:numCache>
            </c:numRef>
          </c:xVal>
          <c:yVal>
            <c:numRef>
              <c:f>'Meotda CIągu, zmienna masa'!$R$112:$R$126</c:f>
              <c:numCache>
                <c:formatCode>0.00</c:formatCode>
                <c:ptCount val="15"/>
                <c:pt idx="0">
                  <c:v>0.28245168045669455</c:v>
                </c:pt>
                <c:pt idx="1">
                  <c:v>0.45735933869050649</c:v>
                </c:pt>
                <c:pt idx="2">
                  <c:v>0.64901146619284422</c:v>
                </c:pt>
                <c:pt idx="3">
                  <c:v>1.0201622625721403</c:v>
                </c:pt>
                <c:pt idx="4">
                  <c:v>1.2986953419779301</c:v>
                </c:pt>
                <c:pt idx="5">
                  <c:v>1.488346581762884</c:v>
                </c:pt>
                <c:pt idx="6">
                  <c:v>1.5912821818652918</c:v>
                </c:pt>
                <c:pt idx="7">
                  <c:v>1.6084005091412761</c:v>
                </c:pt>
                <c:pt idx="8">
                  <c:v>1.5395590811524216</c:v>
                </c:pt>
                <c:pt idx="9">
                  <c:v>1.3837417965126706</c:v>
                </c:pt>
                <c:pt idx="10">
                  <c:v>1.1391802541382623</c:v>
                </c:pt>
                <c:pt idx="11">
                  <c:v>0.80344012664825859</c:v>
                </c:pt>
                <c:pt idx="12">
                  <c:v>0.37348077310592198</c:v>
                </c:pt>
                <c:pt idx="13">
                  <c:v>-0.15430588408499882</c:v>
                </c:pt>
                <c:pt idx="14">
                  <c:v>-0.78407286886123684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D83-401A-B55C-77C4B62012B6}"/>
            </c:ext>
          </c:extLst>
        </c:ser>
        <c:ser>
          <c:idx val="25"/>
          <c:order val="25"/>
          <c:tx>
            <c:v>h=7km, m. ciągu, zmienna masa</c:v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masa'!$K$130:$K$144</c:f>
              <c:numCache>
                <c:formatCode>0.0</c:formatCode>
                <c:ptCount val="15"/>
                <c:pt idx="0">
                  <c:v>52.897697598007575</c:v>
                </c:pt>
                <c:pt idx="1">
                  <c:v>54</c:v>
                </c:pt>
                <c:pt idx="2">
                  <c:v>54.735267115473484</c:v>
                </c:pt>
                <c:pt idx="3">
                  <c:v>58.090661522517358</c:v>
                </c:pt>
                <c:pt idx="4">
                  <c:v>61.446055929561233</c:v>
                </c:pt>
                <c:pt idx="5">
                  <c:v>64.801450336605114</c:v>
                </c:pt>
                <c:pt idx="6">
                  <c:v>68.156844743648989</c:v>
                </c:pt>
                <c:pt idx="7">
                  <c:v>71.512239150692864</c:v>
                </c:pt>
                <c:pt idx="8">
                  <c:v>74.867633557736738</c:v>
                </c:pt>
                <c:pt idx="9">
                  <c:v>78.223027964780613</c:v>
                </c:pt>
                <c:pt idx="10">
                  <c:v>81.578422371824502</c:v>
                </c:pt>
                <c:pt idx="11">
                  <c:v>84.933816778868362</c:v>
                </c:pt>
                <c:pt idx="12">
                  <c:v>88.289211185912251</c:v>
                </c:pt>
                <c:pt idx="13">
                  <c:v>91.644605592956125</c:v>
                </c:pt>
                <c:pt idx="14">
                  <c:v>95</c:v>
                </c:pt>
              </c:numCache>
            </c:numRef>
          </c:xVal>
          <c:yVal>
            <c:numRef>
              <c:f>'Meotda CIągu, zmienna masa'!$R$130:$R$144</c:f>
              <c:numCache>
                <c:formatCode>0.00</c:formatCode>
                <c:ptCount val="15"/>
                <c:pt idx="0">
                  <c:v>-0.48852951757149193</c:v>
                </c:pt>
                <c:pt idx="1">
                  <c:v>-0.42886150423771474</c:v>
                </c:pt>
                <c:pt idx="2">
                  <c:v>-0.3470613037512687</c:v>
                </c:pt>
                <c:pt idx="3">
                  <c:v>-1.6279145036835464E-2</c:v>
                </c:pt>
                <c:pt idx="4">
                  <c:v>0.24735466618121349</c:v>
                </c:pt>
                <c:pt idx="5">
                  <c:v>0.44650921781757813</c:v>
                </c:pt>
                <c:pt idx="6">
                  <c:v>0.58294554183463942</c:v>
                </c:pt>
                <c:pt idx="7">
                  <c:v>0.65765381147971436</c:v>
                </c:pt>
                <c:pt idx="8">
                  <c:v>0.67096444868411131</c:v>
                </c:pt>
                <c:pt idx="9">
                  <c:v>0.6226354311225053</c:v>
                </c:pt>
                <c:pt idx="10">
                  <c:v>0.51191936221683365</c:v>
                </c:pt>
                <c:pt idx="11">
                  <c:v>0.33761374528059218</c:v>
                </c:pt>
                <c:pt idx="12">
                  <c:v>9.8097484765902992E-2</c:v>
                </c:pt>
                <c:pt idx="13">
                  <c:v>-0.20864394736576014</c:v>
                </c:pt>
                <c:pt idx="14">
                  <c:v>-0.58500277346100304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D83-401A-B55C-77C4B62012B6}"/>
            </c:ext>
          </c:extLst>
        </c:ser>
        <c:ser>
          <c:idx val="27"/>
          <c:order val="26"/>
          <c:tx>
            <c:v>h=8km, m. ciągu, zmienna masa</c:v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masa'!$K$148:$K$162</c:f>
              <c:numCache>
                <c:formatCode>0.0</c:formatCode>
                <c:ptCount val="15"/>
                <c:pt idx="0">
                  <c:v>55.8578463757027</c:v>
                </c:pt>
                <c:pt idx="1">
                  <c:v>56.5</c:v>
                </c:pt>
                <c:pt idx="2">
                  <c:v>57.185935005349812</c:v>
                </c:pt>
                <c:pt idx="3">
                  <c:v>60.337107088237325</c:v>
                </c:pt>
                <c:pt idx="4">
                  <c:v>63.488279171124844</c:v>
                </c:pt>
                <c:pt idx="5">
                  <c:v>66.639451254012357</c:v>
                </c:pt>
                <c:pt idx="6">
                  <c:v>69.79062333689987</c:v>
                </c:pt>
                <c:pt idx="7">
                  <c:v>72.941795419787383</c:v>
                </c:pt>
                <c:pt idx="8">
                  <c:v>76.092967502674909</c:v>
                </c:pt>
                <c:pt idx="9">
                  <c:v>79.244139585562422</c:v>
                </c:pt>
                <c:pt idx="10">
                  <c:v>82.395311668449935</c:v>
                </c:pt>
                <c:pt idx="11">
                  <c:v>85.546483751337462</c:v>
                </c:pt>
                <c:pt idx="12">
                  <c:v>88.697655834224975</c:v>
                </c:pt>
                <c:pt idx="13">
                  <c:v>91.848827917112487</c:v>
                </c:pt>
                <c:pt idx="14">
                  <c:v>95</c:v>
                </c:pt>
              </c:numCache>
            </c:numRef>
          </c:xVal>
          <c:yVal>
            <c:numRef>
              <c:f>'Meotda CIągu, zmienna masa'!$R$148:$R$162</c:f>
              <c:numCache>
                <c:formatCode>0.00</c:formatCode>
                <c:ptCount val="15"/>
                <c:pt idx="0">
                  <c:v>-1.3744576832055186</c:v>
                </c:pt>
                <c:pt idx="1">
                  <c:v>-1.3046051829449774</c:v>
                </c:pt>
                <c:pt idx="2">
                  <c:v>-1.2327731938908013</c:v>
                </c:pt>
                <c:pt idx="3">
                  <c:v>-0.93877228196472162</c:v>
                </c:pt>
                <c:pt idx="4">
                  <c:v>-0.7018260795443132</c:v>
                </c:pt>
                <c:pt idx="5">
                  <c:v>-0.51973363003410211</c:v>
                </c:pt>
                <c:pt idx="6">
                  <c:v>-0.39094966703400286</c:v>
                </c:pt>
                <c:pt idx="7">
                  <c:v>-0.31450000547267271</c:v>
                </c:pt>
                <c:pt idx="8">
                  <c:v>-0.28990977993118744</c:v>
                </c:pt>
                <c:pt idx="9">
                  <c:v>-0.31714482707492925</c:v>
                </c:pt>
                <c:pt idx="10">
                  <c:v>-0.39656496107340078</c:v>
                </c:pt>
                <c:pt idx="11">
                  <c:v>-0.52888778857064045</c:v>
                </c:pt>
                <c:pt idx="12">
                  <c:v>-0.71516141697558222</c:v>
                </c:pt>
                <c:pt idx="13">
                  <c:v>-0.95674481940318035</c:v>
                </c:pt>
                <c:pt idx="14">
                  <c:v>-1.2552947168045914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D83-401A-B55C-77C4B6201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780144"/>
        <c:axId val="428777192"/>
      </c:scatterChart>
      <c:valAx>
        <c:axId val="428780144"/>
        <c:scaling>
          <c:orientation val="minMax"/>
          <c:max val="110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28777192"/>
        <c:crosses val="autoZero"/>
        <c:crossBetween val="midCat"/>
        <c:majorUnit val="5"/>
      </c:valAx>
      <c:valAx>
        <c:axId val="428777192"/>
        <c:scaling>
          <c:orientation val="minMax"/>
          <c:max val="10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28780144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Piper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γ</a:t>
            </a: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(V) dla średniej masy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8.4796901961562116E-2"/>
          <c:y val="0.11381064162754305"/>
          <c:w val="0.8832108596626933"/>
          <c:h val="0.7836657301640112"/>
        </c:manualLayout>
      </c:layout>
      <c:scatterChart>
        <c:scatterStyle val="smoothMarker"/>
        <c:varyColors val="0"/>
        <c:ser>
          <c:idx val="0"/>
          <c:order val="0"/>
          <c:tx>
            <c:v>h=0km m. ciągu m=const.</c:v>
          </c:tx>
          <c:spPr>
            <a:ln w="19050" cap="rnd">
              <a:solidFill>
                <a:schemeClr val="accent1">
                  <a:alpha val="99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'h=0m'!$G$3:$G$17</c:f>
              <c:numCache>
                <c:formatCode>0.0</c:formatCode>
                <c:ptCount val="15"/>
                <c:pt idx="0">
                  <c:v>35.157432011792558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'h=0m'!$M$3:$M$17</c:f>
              <c:numCache>
                <c:formatCode>0.00</c:formatCode>
                <c:ptCount val="15"/>
                <c:pt idx="0">
                  <c:v>9.5841953472820176</c:v>
                </c:pt>
                <c:pt idx="1">
                  <c:v>9.6448956623915105</c:v>
                </c:pt>
                <c:pt idx="2">
                  <c:v>9.0931618671122241</c:v>
                </c:pt>
                <c:pt idx="3">
                  <c:v>8.2815189678457362</c:v>
                </c:pt>
                <c:pt idx="4">
                  <c:v>7.1547474792448513</c:v>
                </c:pt>
                <c:pt idx="5">
                  <c:v>6.0505476784594547</c:v>
                </c:pt>
                <c:pt idx="6">
                  <c:v>4.8658269361088191</c:v>
                </c:pt>
                <c:pt idx="7">
                  <c:v>3.4348397580482977</c:v>
                </c:pt>
                <c:pt idx="8">
                  <c:v>2.1270789028708372</c:v>
                </c:pt>
                <c:pt idx="9">
                  <c:v>0.77433370826113224</c:v>
                </c:pt>
                <c:pt idx="10">
                  <c:v>-0.82143481528782425</c:v>
                </c:pt>
                <c:pt idx="11">
                  <c:v>-2.2583951791902956</c:v>
                </c:pt>
                <c:pt idx="12">
                  <c:v>-3.7317614169694586</c:v>
                </c:pt>
                <c:pt idx="13">
                  <c:v>-5.2408450214472646</c:v>
                </c:pt>
                <c:pt idx="14">
                  <c:v>-7.0091369959915291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94-46E2-BAFE-48D34B4AA39D}"/>
            </c:ext>
          </c:extLst>
        </c:ser>
        <c:ser>
          <c:idx val="1"/>
          <c:order val="1"/>
          <c:tx>
            <c:v>h=1km m. ciągu, m=const.</c:v>
          </c:tx>
          <c:spPr>
            <a:ln w="19050" cap="rnd">
              <a:solidFill>
                <a:schemeClr val="accent2">
                  <a:alpha val="98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'h=1km'!$G$3:$G$17</c:f>
              <c:numCache>
                <c:formatCode>0.0</c:formatCode>
                <c:ptCount val="15"/>
                <c:pt idx="0">
                  <c:v>36.907789207676011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'h=1km'!$M$3:$M$17</c:f>
              <c:numCache>
                <c:formatCode>0.00</c:formatCode>
                <c:ptCount val="15"/>
                <c:pt idx="0">
                  <c:v>7.8086520932075212</c:v>
                </c:pt>
                <c:pt idx="1">
                  <c:v>8.0438021331875849</c:v>
                </c:pt>
                <c:pt idx="2">
                  <c:v>7.6948250439592556</c:v>
                </c:pt>
                <c:pt idx="3">
                  <c:v>7.0601813131027349</c:v>
                </c:pt>
                <c:pt idx="4">
                  <c:v>6.1176638166125406</c:v>
                </c:pt>
                <c:pt idx="5">
                  <c:v>5.1654143622227551</c:v>
                </c:pt>
                <c:pt idx="6">
                  <c:v>4.1275747466445347</c:v>
                </c:pt>
                <c:pt idx="7">
                  <c:v>2.8609683255829514</c:v>
                </c:pt>
                <c:pt idx="8">
                  <c:v>1.6955979750588339</c:v>
                </c:pt>
                <c:pt idx="9">
                  <c:v>0.48495913370670007</c:v>
                </c:pt>
                <c:pt idx="10">
                  <c:v>-0.94775178316647879</c:v>
                </c:pt>
                <c:pt idx="11">
                  <c:v>-2.2407640626348706</c:v>
                </c:pt>
                <c:pt idx="12">
                  <c:v>-3.5684223453623476</c:v>
                </c:pt>
                <c:pt idx="13">
                  <c:v>-4.9295365740018262</c:v>
                </c:pt>
                <c:pt idx="14">
                  <c:v>-6.5253304820357316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694-46E2-BAFE-48D34B4AA39D}"/>
            </c:ext>
          </c:extLst>
        </c:ser>
        <c:ser>
          <c:idx val="2"/>
          <c:order val="2"/>
          <c:tx>
            <c:v>h=2km m. ciągu, m=const.</c:v>
          </c:tx>
          <c:spPr>
            <a:ln w="19050" cap="rnd">
              <a:solidFill>
                <a:schemeClr val="accent4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'h=2km'!$G$3:$G$17</c:f>
              <c:numCache>
                <c:formatCode>0.0</c:formatCode>
                <c:ptCount val="15"/>
                <c:pt idx="0">
                  <c:v>38.789302761294081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'h=2km'!$M$3:$M$17</c:f>
              <c:numCache>
                <c:formatCode>0.00</c:formatCode>
                <c:ptCount val="15"/>
                <c:pt idx="0">
                  <c:v>6.1951397219791637</c:v>
                </c:pt>
                <c:pt idx="1">
                  <c:v>6.5085375309250608</c:v>
                </c:pt>
                <c:pt idx="2">
                  <c:v>6.3612488887133933</c:v>
                </c:pt>
                <c:pt idx="3">
                  <c:v>5.8995545452841425</c:v>
                </c:pt>
                <c:pt idx="4">
                  <c:v>5.1343892928331769</c:v>
                </c:pt>
                <c:pt idx="5">
                  <c:v>4.3267396443970769</c:v>
                </c:pt>
                <c:pt idx="6">
                  <c:v>3.4275612056533702</c:v>
                </c:pt>
                <c:pt idx="7">
                  <c:v>2.3151238936331948</c:v>
                </c:pt>
                <c:pt idx="8">
                  <c:v>1.2826079795425605</c:v>
                </c:pt>
                <c:pt idx="9">
                  <c:v>0.2040435906506447</c:v>
                </c:pt>
                <c:pt idx="10">
                  <c:v>-1.0776767688624453</c:v>
                </c:pt>
                <c:pt idx="11">
                  <c:v>-2.2378315654404011</c:v>
                </c:pt>
                <c:pt idx="12">
                  <c:v>-3.43140136013379</c:v>
                </c:pt>
                <c:pt idx="13">
                  <c:v>-4.6567436587536299</c:v>
                </c:pt>
                <c:pt idx="14">
                  <c:v>-6.0947692470153871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694-46E2-BAFE-48D34B4AA39D}"/>
            </c:ext>
          </c:extLst>
        </c:ser>
        <c:ser>
          <c:idx val="3"/>
          <c:order val="3"/>
          <c:tx>
            <c:v>h=3km m. ciągu, m=const.</c:v>
          </c:tx>
          <c:spPr>
            <a:ln w="19050" cap="rnd">
              <a:solidFill>
                <a:schemeClr val="accent3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'h=3km'!$G$3:$G$17</c:f>
              <c:numCache>
                <c:formatCode>0.0</c:formatCode>
                <c:ptCount val="15"/>
                <c:pt idx="0">
                  <c:v>40.815259783159711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'h=3km'!$M$3:$M$17</c:f>
              <c:numCache>
                <c:formatCode>0.00</c:formatCode>
                <c:ptCount val="15"/>
                <c:pt idx="0">
                  <c:v>4.7155021420850671</c:v>
                </c:pt>
                <c:pt idx="1">
                  <c:v>5.0106249187064318</c:v>
                </c:pt>
                <c:pt idx="2">
                  <c:v>5.0663077074092255</c:v>
                </c:pt>
                <c:pt idx="3">
                  <c:v>4.7758856294232563</c:v>
                </c:pt>
                <c:pt idx="4">
                  <c:v>4.1841100538177205</c:v>
                </c:pt>
                <c:pt idx="5">
                  <c:v>3.5165865625335631</c:v>
                </c:pt>
                <c:pt idx="6">
                  <c:v>2.7510841711383014</c:v>
                </c:pt>
                <c:pt idx="7">
                  <c:v>1.7867918990009153</c:v>
                </c:pt>
                <c:pt idx="8">
                  <c:v>0.88173688595107613</c:v>
                </c:pt>
                <c:pt idx="9">
                  <c:v>-7.0181434537836929E-2</c:v>
                </c:pt>
                <c:pt idx="10">
                  <c:v>-1.2070915635626569</c:v>
                </c:pt>
                <c:pt idx="11">
                  <c:v>-2.2397657395751462</c:v>
                </c:pt>
                <c:pt idx="12">
                  <c:v>-3.304596907104512</c:v>
                </c:pt>
                <c:pt idx="13">
                  <c:v>-4.3995080667678108</c:v>
                </c:pt>
                <c:pt idx="14">
                  <c:v>-5.6858969352714821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694-46E2-BAFE-48D34B4AA39D}"/>
            </c:ext>
          </c:extLst>
        </c:ser>
        <c:ser>
          <c:idx val="4"/>
          <c:order val="4"/>
          <c:tx>
            <c:v>h=4km m. ciągu, m=const.</c:v>
          </c:tx>
          <c:spPr>
            <a:ln w="19050" cap="rnd">
              <a:solidFill>
                <a:schemeClr val="accent5">
                  <a:alpha val="98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'h=4km'!$G$3:$G$17</c:f>
              <c:numCache>
                <c:formatCode>0.0</c:formatCode>
                <c:ptCount val="15"/>
                <c:pt idx="0">
                  <c:v>43.00066152062773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'h=4km'!$M$3:$M$17</c:f>
              <c:numCache>
                <c:formatCode>0.00</c:formatCode>
                <c:ptCount val="15"/>
                <c:pt idx="0">
                  <c:v>3.3955081169054093</c:v>
                </c:pt>
                <c:pt idx="1">
                  <c:v>3.5716650722539751</c:v>
                </c:pt>
                <c:pt idx="2">
                  <c:v>3.8252915773319751</c:v>
                </c:pt>
                <c:pt idx="3">
                  <c:v>3.6986399641599248</c:v>
                </c:pt>
                <c:pt idx="4">
                  <c:v>3.2703493136080914</c:v>
                </c:pt>
                <c:pt idx="5">
                  <c:v>2.7339874190878701</c:v>
                </c:pt>
                <c:pt idx="6">
                  <c:v>2.0933947944515308</c:v>
                </c:pt>
                <c:pt idx="7">
                  <c:v>1.2678277046193025</c:v>
                </c:pt>
                <c:pt idx="8">
                  <c:v>0.48269485291158104</c:v>
                </c:pt>
                <c:pt idx="9">
                  <c:v>-0.34934947596558885</c:v>
                </c:pt>
                <c:pt idx="10">
                  <c:v>-1.3481789554156642</c:v>
                </c:pt>
                <c:pt idx="11">
                  <c:v>-2.2583406843186027</c:v>
                </c:pt>
                <c:pt idx="12">
                  <c:v>-3.1985310772221016</c:v>
                </c:pt>
                <c:pt idx="13">
                  <c:v>-4.1662413913920417</c:v>
                </c:pt>
                <c:pt idx="14">
                  <c:v>-5.3036399498526361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694-46E2-BAFE-48D34B4AA39D}"/>
            </c:ext>
          </c:extLst>
        </c:ser>
        <c:ser>
          <c:idx val="6"/>
          <c:order val="5"/>
          <c:tx>
            <c:v>h=5km m. ciągu, m=const.</c:v>
          </c:tx>
          <c:spPr>
            <a:ln w="19050" cap="rnd">
              <a:solidFill>
                <a:schemeClr val="accent6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'h=5km'!$G$3:$G$17</c:f>
              <c:numCache>
                <c:formatCode>0.0</c:formatCode>
                <c:ptCount val="15"/>
                <c:pt idx="0">
                  <c:v>45.362494420478008</c:v>
                </c:pt>
                <c:pt idx="1">
                  <c:v>50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'h=5km'!$M$3:$M$17</c:f>
              <c:numCache>
                <c:formatCode>0.00</c:formatCode>
                <c:ptCount val="15"/>
                <c:pt idx="0">
                  <c:v>2.1556925431565483</c:v>
                </c:pt>
                <c:pt idx="1">
                  <c:v>2.5046689794699857</c:v>
                </c:pt>
                <c:pt idx="2">
                  <c:v>2.5859350191743031</c:v>
                </c:pt>
                <c:pt idx="3">
                  <c:v>2.6342136596798955</c:v>
                </c:pt>
                <c:pt idx="4">
                  <c:v>2.3767354872946713</c:v>
                </c:pt>
                <c:pt idx="5">
                  <c:v>1.9742836875456553</c:v>
                </c:pt>
                <c:pt idx="6">
                  <c:v>1.458546346081748</c:v>
                </c:pt>
                <c:pt idx="7">
                  <c:v>0.76865417679971082</c:v>
                </c:pt>
                <c:pt idx="8">
                  <c:v>9.8421045738329327E-2</c:v>
                </c:pt>
                <c:pt idx="9">
                  <c:v>-0.62082039128495536</c:v>
                </c:pt>
                <c:pt idx="10">
                  <c:v>-1.492054003371873</c:v>
                </c:pt>
                <c:pt idx="11">
                  <c:v>-2.290925152272266</c:v>
                </c:pt>
                <c:pt idx="12">
                  <c:v>-3.1195879854109241</c:v>
                </c:pt>
                <c:pt idx="13">
                  <c:v>-3.9751040367667545</c:v>
                </c:pt>
                <c:pt idx="14">
                  <c:v>-4.9830069853283616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694-46E2-BAFE-48D34B4AA39D}"/>
            </c:ext>
          </c:extLst>
        </c:ser>
        <c:ser>
          <c:idx val="7"/>
          <c:order val="6"/>
          <c:tx>
            <c:v>h=6km m. ciągu, m=const.</c:v>
          </c:tx>
          <c:spPr>
            <a:ln w="19050" cap="rnd">
              <a:solidFill>
                <a:schemeClr val="tx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'h=6km'!$G$3:$G$17</c:f>
              <c:numCache>
                <c:formatCode>0.0</c:formatCode>
                <c:ptCount val="15"/>
                <c:pt idx="0">
                  <c:v>47.92005236771405</c:v>
                </c:pt>
                <c:pt idx="1">
                  <c:v>51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'h=6km'!$M$3:$M$17</c:f>
              <c:numCache>
                <c:formatCode>0.00</c:formatCode>
                <c:ptCount val="15"/>
                <c:pt idx="0">
                  <c:v>1.0362153700521985</c:v>
                </c:pt>
                <c:pt idx="1">
                  <c:v>1.3004396695731559</c:v>
                </c:pt>
                <c:pt idx="2">
                  <c:v>1.3648167097353179</c:v>
                </c:pt>
                <c:pt idx="3">
                  <c:v>1.5891606329757579</c:v>
                </c:pt>
                <c:pt idx="4">
                  <c:v>1.5007115509508593</c:v>
                </c:pt>
                <c:pt idx="5">
                  <c:v>1.2290761584127374</c:v>
                </c:pt>
                <c:pt idx="6">
                  <c:v>0.83432330861856985</c:v>
                </c:pt>
                <c:pt idx="7">
                  <c:v>0.27524099526675422</c:v>
                </c:pt>
                <c:pt idx="8">
                  <c:v>-0.28445592856469232</c:v>
                </c:pt>
                <c:pt idx="9">
                  <c:v>-0.89518867845215133</c:v>
                </c:pt>
                <c:pt idx="10">
                  <c:v>-1.6435152059529161</c:v>
                </c:pt>
                <c:pt idx="11">
                  <c:v>-2.3349280831312824</c:v>
                </c:pt>
                <c:pt idx="12">
                  <c:v>-3.0555970058866935</c:v>
                </c:pt>
                <c:pt idx="13">
                  <c:v>-3.8021310066409542</c:v>
                </c:pt>
                <c:pt idx="14">
                  <c:v>-4.6837978715374238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694-46E2-BAFE-48D34B4AA39D}"/>
            </c:ext>
          </c:extLst>
        </c:ser>
        <c:ser>
          <c:idx val="8"/>
          <c:order val="7"/>
          <c:tx>
            <c:v>h=7km m. ciągu, m=const.</c:v>
          </c:tx>
          <c:spPr>
            <a:ln w="19050" cap="rnd">
              <a:solidFill>
                <a:schemeClr val="accent2">
                  <a:lumMod val="75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'h=7m'!$G$3:$G$17</c:f>
              <c:numCache>
                <c:formatCode>0.0</c:formatCode>
                <c:ptCount val="15"/>
                <c:pt idx="0">
                  <c:v>50.695321417043772</c:v>
                </c:pt>
                <c:pt idx="1">
                  <c:v>55</c:v>
                </c:pt>
                <c:pt idx="2">
                  <c:v>57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'h=7m'!$M$3:$M$17</c:f>
              <c:numCache>
                <c:formatCode>0.00</c:formatCode>
                <c:ptCount val="15"/>
                <c:pt idx="0">
                  <c:v>-1.3653905772622307E-2</c:v>
                </c:pt>
                <c:pt idx="1">
                  <c:v>0.33941873436949471</c:v>
                </c:pt>
                <c:pt idx="2">
                  <c:v>0.44801397227495049</c:v>
                </c:pt>
                <c:pt idx="3">
                  <c:v>0.52757644003610171</c:v>
                </c:pt>
                <c:pt idx="4">
                  <c:v>0.6190656127198193</c:v>
                </c:pt>
                <c:pt idx="5">
                  <c:v>0.4841652436407764</c:v>
                </c:pt>
                <c:pt idx="6">
                  <c:v>0.21373614802377205</c:v>
                </c:pt>
                <c:pt idx="7">
                  <c:v>-0.21327151975519851</c:v>
                </c:pt>
                <c:pt idx="8">
                  <c:v>-0.6632194417350854</c:v>
                </c:pt>
                <c:pt idx="9">
                  <c:v>-1.1677806164405178</c:v>
                </c:pt>
                <c:pt idx="10">
                  <c:v>-1.7975913197128399</c:v>
                </c:pt>
                <c:pt idx="11">
                  <c:v>-2.3868037330437688</c:v>
                </c:pt>
                <c:pt idx="12">
                  <c:v>-3.0059956932456142</c:v>
                </c:pt>
                <c:pt idx="13">
                  <c:v>-3.6512868914252841</c:v>
                </c:pt>
                <c:pt idx="14">
                  <c:v>-4.417041574223588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694-46E2-BAFE-48D34B4AA39D}"/>
            </c:ext>
          </c:extLst>
        </c:ser>
        <c:ser>
          <c:idx val="18"/>
          <c:order val="8"/>
          <c:tx>
            <c:v>h=8km m. ciągu, m=const.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'h=8km'!$G$3:$G$17</c:f>
              <c:numCache>
                <c:formatCode>0.0</c:formatCode>
                <c:ptCount val="15"/>
                <c:pt idx="0">
                  <c:v>53.713441222143487</c:v>
                </c:pt>
                <c:pt idx="1">
                  <c:v>57</c:v>
                </c:pt>
                <c:pt idx="2">
                  <c:v>58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'h=8km'!$M$3:$M$17</c:f>
              <c:numCache>
                <c:formatCode>0.00</c:formatCode>
                <c:ptCount val="15"/>
                <c:pt idx="0">
                  <c:v>-0.94354324880833074</c:v>
                </c:pt>
                <c:pt idx="1">
                  <c:v>-0.65596190203781191</c:v>
                </c:pt>
                <c:pt idx="2">
                  <c:v>-0.58665858377538649</c:v>
                </c:pt>
                <c:pt idx="3">
                  <c:v>-0.52489535189386682</c:v>
                </c:pt>
                <c:pt idx="4">
                  <c:v>-0.25238869428547489</c:v>
                </c:pt>
                <c:pt idx="5">
                  <c:v>-0.2520940863950068</c:v>
                </c:pt>
                <c:pt idx="6">
                  <c:v>-0.40120700611470755</c:v>
                </c:pt>
                <c:pt idx="7">
                  <c:v>-0.70069585503966403</c:v>
                </c:pt>
                <c:pt idx="8">
                  <c:v>-1.0454664752532259</c:v>
                </c:pt>
                <c:pt idx="9">
                  <c:v>-1.4487320862286495</c:v>
                </c:pt>
                <c:pt idx="10">
                  <c:v>-1.9657817731731073</c:v>
                </c:pt>
                <c:pt idx="11">
                  <c:v>-2.4578539757836633</c:v>
                </c:pt>
                <c:pt idx="12">
                  <c:v>-2.9805851557052141</c:v>
                </c:pt>
                <c:pt idx="13">
                  <c:v>-3.5295524079341196</c:v>
                </c:pt>
                <c:pt idx="14">
                  <c:v>-4.1848553370811068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694-46E2-BAFE-48D34B4AA39D}"/>
            </c:ext>
          </c:extLst>
        </c:ser>
        <c:ser>
          <c:idx val="9"/>
          <c:order val="9"/>
          <c:tx>
            <c:v>h=0km m. mocy</c:v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'h=0m'!$H$22:$H$37</c:f>
              <c:numCache>
                <c:formatCode>0.00</c:formatCode>
                <c:ptCount val="16"/>
                <c:pt idx="0">
                  <c:v>35.157432011792558</c:v>
                </c:pt>
                <c:pt idx="1">
                  <c:v>35.811528285403178</c:v>
                </c:pt>
                <c:pt idx="2">
                  <c:v>36.971085844054947</c:v>
                </c:pt>
                <c:pt idx="3">
                  <c:v>38.223355944888525</c:v>
                </c:pt>
                <c:pt idx="4">
                  <c:v>39.798563070913126</c:v>
                </c:pt>
                <c:pt idx="5">
                  <c:v>41.355978660828761</c:v>
                </c:pt>
                <c:pt idx="6">
                  <c:v>43.191577880930247</c:v>
                </c:pt>
                <c:pt idx="7">
                  <c:v>45.598342806506814</c:v>
                </c:pt>
                <c:pt idx="8">
                  <c:v>48.17825713572428</c:v>
                </c:pt>
                <c:pt idx="9">
                  <c:v>51.119165881347236</c:v>
                </c:pt>
                <c:pt idx="10">
                  <c:v>59.505185664529769</c:v>
                </c:pt>
                <c:pt idx="11">
                  <c:v>65.403425373590096</c:v>
                </c:pt>
                <c:pt idx="12">
                  <c:v>73.692619266233933</c:v>
                </c:pt>
                <c:pt idx="13">
                  <c:v>85.439049209516369</c:v>
                </c:pt>
                <c:pt idx="14">
                  <c:v>104.07693059928242</c:v>
                </c:pt>
                <c:pt idx="15">
                  <c:v>168.45417280572855</c:v>
                </c:pt>
              </c:numCache>
            </c:numRef>
          </c:xVal>
          <c:yVal>
            <c:numRef>
              <c:f>'h=0m'!$O$22:$O$37</c:f>
              <c:numCache>
                <c:formatCode>0.00</c:formatCode>
                <c:ptCount val="16"/>
                <c:pt idx="0">
                  <c:v>9.2024974721161357</c:v>
                </c:pt>
                <c:pt idx="1">
                  <c:v>9.2756950872416848</c:v>
                </c:pt>
                <c:pt idx="2">
                  <c:v>9.3810217917284628</c:v>
                </c:pt>
                <c:pt idx="3">
                  <c:v>9.4753272397941526</c:v>
                </c:pt>
                <c:pt idx="4">
                  <c:v>9.5154572523679448</c:v>
                </c:pt>
                <c:pt idx="5">
                  <c:v>9.523211671641528</c:v>
                </c:pt>
                <c:pt idx="6">
                  <c:v>9.4926926417636821</c:v>
                </c:pt>
                <c:pt idx="7">
                  <c:v>9.3667642154018544</c:v>
                </c:pt>
                <c:pt idx="8">
                  <c:v>9.2492523320277122</c:v>
                </c:pt>
                <c:pt idx="9">
                  <c:v>9.0545849722729308</c:v>
                </c:pt>
                <c:pt idx="10">
                  <c:v>8.1483689046408152</c:v>
                </c:pt>
                <c:pt idx="11">
                  <c:v>7.3384589151338373</c:v>
                </c:pt>
                <c:pt idx="12">
                  <c:v>6.0291234364437098</c:v>
                </c:pt>
                <c:pt idx="13">
                  <c:v>4.0180835221810476</c:v>
                </c:pt>
                <c:pt idx="14">
                  <c:v>0.46948258213021554</c:v>
                </c:pt>
                <c:pt idx="15">
                  <c:v>-13.726640734674382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694-46E2-BAFE-48D34B4AA39D}"/>
            </c:ext>
          </c:extLst>
        </c:ser>
        <c:ser>
          <c:idx val="10"/>
          <c:order val="10"/>
          <c:tx>
            <c:v>h=1km m. mocy</c:v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'h=1km'!$H$22:$H$37</c:f>
              <c:numCache>
                <c:formatCode>0.00</c:formatCode>
                <c:ptCount val="16"/>
                <c:pt idx="0">
                  <c:v>36.907789207676011</c:v>
                </c:pt>
                <c:pt idx="1">
                  <c:v>37.59445049112383</c:v>
                </c:pt>
                <c:pt idx="2">
                  <c:v>38.811738088651779</c:v>
                </c:pt>
                <c:pt idx="3">
                  <c:v>40.126354039473725</c:v>
                </c:pt>
                <c:pt idx="4">
                  <c:v>41.779984843516651</c:v>
                </c:pt>
                <c:pt idx="5">
                  <c:v>43.414938337334817</c:v>
                </c:pt>
                <c:pt idx="6">
                  <c:v>45.341925185024834</c:v>
                </c:pt>
                <c:pt idx="7">
                  <c:v>47.868513944858393</c:v>
                </c:pt>
                <c:pt idx="8">
                  <c:v>50.576872570274581</c:v>
                </c:pt>
                <c:pt idx="9">
                  <c:v>53.664198175456868</c:v>
                </c:pt>
                <c:pt idx="10">
                  <c:v>62.467726554471739</c:v>
                </c:pt>
                <c:pt idx="11">
                  <c:v>68.65961758352428</c:v>
                </c:pt>
                <c:pt idx="12">
                  <c:v>77.361499472640546</c:v>
                </c:pt>
                <c:pt idx="13">
                  <c:v>89.692740279534092</c:v>
                </c:pt>
                <c:pt idx="14">
                  <c:v>109.25853215478887</c:v>
                </c:pt>
                <c:pt idx="15">
                  <c:v>176.84087674497533</c:v>
                </c:pt>
              </c:numCache>
            </c:numRef>
          </c:xVal>
          <c:yVal>
            <c:numRef>
              <c:f>'h=1km'!$O$22:$O$37</c:f>
              <c:numCache>
                <c:formatCode>0.00</c:formatCode>
                <c:ptCount val="16"/>
                <c:pt idx="0">
                  <c:v>7.4975445473756759</c:v>
                </c:pt>
                <c:pt idx="1">
                  <c:v>7.5750779859674466</c:v>
                </c:pt>
                <c:pt idx="2">
                  <c:v>7.6881983015579367</c:v>
                </c:pt>
                <c:pt idx="3">
                  <c:v>7.7910081888875995</c:v>
                </c:pt>
                <c:pt idx="4">
                  <c:v>7.842190079150634</c:v>
                </c:pt>
                <c:pt idx="5">
                  <c:v>7.8610193621748925</c:v>
                </c:pt>
                <c:pt idx="6">
                  <c:v>7.8437342777643169</c:v>
                </c:pt>
                <c:pt idx="7">
                  <c:v>7.7355334051058104</c:v>
                </c:pt>
                <c:pt idx="8">
                  <c:v>7.6369443776203827</c:v>
                </c:pt>
                <c:pt idx="9">
                  <c:v>7.4640884234409475</c:v>
                </c:pt>
                <c:pt idx="10">
                  <c:v>6.621200463585172</c:v>
                </c:pt>
                <c:pt idx="11">
                  <c:v>5.8560697797058268</c:v>
                </c:pt>
                <c:pt idx="12">
                  <c:v>4.6094723644488829</c:v>
                </c:pt>
                <c:pt idx="13">
                  <c:v>2.6861487257374472</c:v>
                </c:pt>
                <c:pt idx="14">
                  <c:v>-0.72654553773970276</c:v>
                </c:pt>
                <c:pt idx="15">
                  <c:v>-14.47868207043896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8694-46E2-BAFE-48D34B4AA39D}"/>
            </c:ext>
          </c:extLst>
        </c:ser>
        <c:ser>
          <c:idx val="11"/>
          <c:order val="11"/>
          <c:tx>
            <c:v>h=2km m. mocy</c:v>
          </c:tx>
          <c:spPr>
            <a:ln w="1905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'h=2km'!$H$22:$H$37</c:f>
              <c:numCache>
                <c:formatCode>0.00</c:formatCode>
                <c:ptCount val="16"/>
                <c:pt idx="0">
                  <c:v>38.789302761294081</c:v>
                </c:pt>
                <c:pt idx="1">
                  <c:v>39.510969189706891</c:v>
                </c:pt>
                <c:pt idx="2">
                  <c:v>40.79031260695659</c:v>
                </c:pt>
                <c:pt idx="3">
                  <c:v>42.171946056858644</c:v>
                </c:pt>
                <c:pt idx="4">
                  <c:v>43.909876918891499</c:v>
                </c:pt>
                <c:pt idx="5">
                  <c:v>45.628178324470092</c:v>
                </c:pt>
                <c:pt idx="6">
                  <c:v>47.653400583963595</c:v>
                </c:pt>
                <c:pt idx="7">
                  <c:v>50.308791721238322</c:v>
                </c:pt>
                <c:pt idx="8">
                  <c:v>53.155219127558865</c:v>
                </c:pt>
                <c:pt idx="9">
                  <c:v>56.399932782670049</c:v>
                </c:pt>
                <c:pt idx="10">
                  <c:v>65.65225417585259</c:v>
                </c:pt>
                <c:pt idx="11">
                  <c:v>72.159800169447564</c:v>
                </c:pt>
                <c:pt idx="12">
                  <c:v>81.305293260097159</c:v>
                </c:pt>
                <c:pt idx="13">
                  <c:v>94.265165507918979</c:v>
                </c:pt>
                <c:pt idx="14">
                  <c:v>114.82839731091957</c:v>
                </c:pt>
                <c:pt idx="15">
                  <c:v>185.85600643906642</c:v>
                </c:pt>
              </c:numCache>
            </c:numRef>
          </c:xVal>
          <c:yVal>
            <c:numRef>
              <c:f>'h=2km'!$O$22:$O$37</c:f>
              <c:numCache>
                <c:formatCode>0.00</c:formatCode>
                <c:ptCount val="16"/>
                <c:pt idx="0">
                  <c:v>5.9403027074842401</c:v>
                </c:pt>
                <c:pt idx="1">
                  <c:v>6.0221038356143346</c:v>
                </c:pt>
                <c:pt idx="2">
                  <c:v>6.1428632575305508</c:v>
                </c:pt>
                <c:pt idx="3">
                  <c:v>6.2539808257095766</c:v>
                </c:pt>
                <c:pt idx="4">
                  <c:v>6.315865480453172</c:v>
                </c:pt>
                <c:pt idx="5">
                  <c:v>6.3453774298567698</c:v>
                </c:pt>
                <c:pt idx="6">
                  <c:v>6.3408066697531575</c:v>
                </c:pt>
                <c:pt idx="7">
                  <c:v>6.2495379365748507</c:v>
                </c:pt>
                <c:pt idx="8">
                  <c:v>6.1690188257981022</c:v>
                </c:pt>
                <c:pt idx="9">
                  <c:v>6.0169125160677108</c:v>
                </c:pt>
                <c:pt idx="10">
                  <c:v>5.2338591885178651</c:v>
                </c:pt>
                <c:pt idx="11">
                  <c:v>4.5108224482908401</c:v>
                </c:pt>
                <c:pt idx="12">
                  <c:v>3.3229862934452847</c:v>
                </c:pt>
                <c:pt idx="13">
                  <c:v>1.4815402893607115</c:v>
                </c:pt>
                <c:pt idx="14">
                  <c:v>-1.8049244125415036</c:v>
                </c:pt>
                <c:pt idx="15">
                  <c:v>-15.150558699186597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8694-46E2-BAFE-48D34B4AA39D}"/>
            </c:ext>
          </c:extLst>
        </c:ser>
        <c:ser>
          <c:idx val="12"/>
          <c:order val="12"/>
          <c:tx>
            <c:v>h=3km m. mocy</c:v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'h=3km'!$H$22:$H$37</c:f>
              <c:numCache>
                <c:formatCode>0.00</c:formatCode>
                <c:ptCount val="16"/>
                <c:pt idx="0">
                  <c:v>40.815259783159711</c:v>
                </c:pt>
                <c:pt idx="1">
                  <c:v>41.574618695427802</c:v>
                </c:pt>
                <c:pt idx="2">
                  <c:v>42.920781946885526</c:v>
                </c:pt>
                <c:pt idx="3">
                  <c:v>44.374577817615268</c:v>
                </c:pt>
                <c:pt idx="4">
                  <c:v>46.203280438427093</c:v>
                </c:pt>
                <c:pt idx="5">
                  <c:v>48.011328360454733</c:v>
                </c:pt>
                <c:pt idx="6">
                  <c:v>50.142327547229172</c:v>
                </c:pt>
                <c:pt idx="7">
                  <c:v>52.936409198057795</c:v>
                </c:pt>
                <c:pt idx="8">
                  <c:v>55.931504901577547</c:v>
                </c:pt>
                <c:pt idx="9">
                  <c:v>59.34568925983514</c:v>
                </c:pt>
                <c:pt idx="10">
                  <c:v>69.081257428821559</c:v>
                </c:pt>
                <c:pt idx="11">
                  <c:v>75.928691163682998</c:v>
                </c:pt>
                <c:pt idx="12">
                  <c:v>85.551851410647487</c:v>
                </c:pt>
                <c:pt idx="13">
                  <c:v>99.188615025775746</c:v>
                </c:pt>
                <c:pt idx="14">
                  <c:v>120.82586004628411</c:v>
                </c:pt>
                <c:pt idx="15">
                  <c:v>195.56322607171359</c:v>
                </c:pt>
              </c:numCache>
            </c:numRef>
          </c:xVal>
          <c:yVal>
            <c:numRef>
              <c:f>'h=3km'!$O$22:$O$37</c:f>
              <c:numCache>
                <c:formatCode>0.00</c:formatCode>
                <c:ptCount val="16"/>
                <c:pt idx="0">
                  <c:v>4.505665786542127</c:v>
                </c:pt>
                <c:pt idx="1">
                  <c:v>4.5915737154179777</c:v>
                </c:pt>
                <c:pt idx="2">
                  <c:v>4.719674188552486</c:v>
                </c:pt>
                <c:pt idx="3">
                  <c:v>4.8387735637261571</c:v>
                </c:pt>
                <c:pt idx="4">
                  <c:v>4.9109006633691532</c:v>
                </c:pt>
                <c:pt idx="5">
                  <c:v>4.9506349437553769</c:v>
                </c:pt>
                <c:pt idx="6">
                  <c:v>4.9582314507404384</c:v>
                </c:pt>
                <c:pt idx="7">
                  <c:v>4.8831548335124291</c:v>
                </c:pt>
                <c:pt idx="8">
                  <c:v>4.8199948304701099</c:v>
                </c:pt>
                <c:pt idx="9">
                  <c:v>4.687863051451612</c:v>
                </c:pt>
                <c:pt idx="10">
                  <c:v>3.9626844202529941</c:v>
                </c:pt>
                <c:pt idx="11">
                  <c:v>3.2807273447941303</c:v>
                </c:pt>
                <c:pt idx="12">
                  <c:v>2.1508236964967726</c:v>
                </c:pt>
                <c:pt idx="13">
                  <c:v>0.39143266855185899</c:v>
                </c:pt>
                <c:pt idx="14">
                  <c:v>-2.7651749083081394</c:v>
                </c:pt>
                <c:pt idx="15">
                  <c:v>-15.657084118342688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8694-46E2-BAFE-48D34B4AA39D}"/>
            </c:ext>
          </c:extLst>
        </c:ser>
        <c:ser>
          <c:idx val="13"/>
          <c:order val="13"/>
          <c:tx>
            <c:v>h=4km m. mocy</c:v>
          </c:tx>
          <c:spPr>
            <a:ln w="1905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'h=4km'!$H$22:$H$37</c:f>
              <c:numCache>
                <c:formatCode>0.00</c:formatCode>
                <c:ptCount val="16"/>
                <c:pt idx="0">
                  <c:v>43.00066152062773</c:v>
                </c:pt>
                <c:pt idx="1">
                  <c:v>43.80067935054204</c:v>
                </c:pt>
                <c:pt idx="2">
                  <c:v>45.218921219758926</c:v>
                </c:pt>
                <c:pt idx="3">
                  <c:v>46.750558761439585</c:v>
                </c:pt>
                <c:pt idx="4">
                  <c:v>48.677176963484172</c:v>
                </c:pt>
                <c:pt idx="5">
                  <c:v>50.582034536882823</c:v>
                </c:pt>
                <c:pt idx="6">
                  <c:v>52.827135394210416</c:v>
                </c:pt>
                <c:pt idx="7">
                  <c:v>55.770822631939353</c:v>
                </c:pt>
                <c:pt idx="8">
                  <c:v>58.926286966925112</c:v>
                </c:pt>
                <c:pt idx="9">
                  <c:v>62.523279531432344</c:v>
                </c:pt>
                <c:pt idx="10">
                  <c:v>72.780126450199489</c:v>
                </c:pt>
                <c:pt idx="11">
                  <c:v>79.994197409982817</c:v>
                </c:pt>
                <c:pt idx="12">
                  <c:v>90.132617665958122</c:v>
                </c:pt>
                <c:pt idx="13">
                  <c:v>104.49954463313341</c:v>
                </c:pt>
                <c:pt idx="14">
                  <c:v>127.29532871753742</c:v>
                </c:pt>
                <c:pt idx="15">
                  <c:v>206.03441298348505</c:v>
                </c:pt>
              </c:numCache>
            </c:numRef>
          </c:xVal>
          <c:yVal>
            <c:numRef>
              <c:f>'h=4km'!$O$22:$O$37</c:f>
              <c:numCache>
                <c:formatCode>0.00</c:formatCode>
                <c:ptCount val="16"/>
                <c:pt idx="0">
                  <c:v>3.2204738997957039</c:v>
                </c:pt>
                <c:pt idx="1">
                  <c:v>3.3093296881557173</c:v>
                </c:pt>
                <c:pt idx="2">
                  <c:v>3.4427381943867479</c:v>
                </c:pt>
                <c:pt idx="3">
                  <c:v>3.5676668713660744</c:v>
                </c:pt>
                <c:pt idx="4">
                  <c:v>3.6473548823590702</c:v>
                </c:pt>
                <c:pt idx="5">
                  <c:v>3.6947310903012034</c:v>
                </c:pt>
                <c:pt idx="6">
                  <c:v>3.7115460335166985</c:v>
                </c:pt>
                <c:pt idx="7">
                  <c:v>3.6489344771423848</c:v>
                </c:pt>
                <c:pt idx="8">
                  <c:v>3.5994070466027073</c:v>
                </c:pt>
                <c:pt idx="9">
                  <c:v>3.4832839041534216</c:v>
                </c:pt>
                <c:pt idx="10">
                  <c:v>2.8063644635485847</c:v>
                </c:pt>
                <c:pt idx="11">
                  <c:v>2.1603454486491263</c:v>
                </c:pt>
                <c:pt idx="12">
                  <c:v>1.0834836521815148</c:v>
                </c:pt>
                <c:pt idx="13">
                  <c:v>-0.59598754944570509</c:v>
                </c:pt>
                <c:pt idx="14">
                  <c:v>-3.6144943530967866</c:v>
                </c:pt>
                <c:pt idx="15">
                  <c:v>-15.907659259254011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8694-46E2-BAFE-48D34B4AA39D}"/>
            </c:ext>
          </c:extLst>
        </c:ser>
        <c:ser>
          <c:idx val="15"/>
          <c:order val="14"/>
          <c:tx>
            <c:v>h=5km m. mocy</c:v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'h=5km'!$H$22:$H$36</c:f>
              <c:numCache>
                <c:formatCode>0.00</c:formatCode>
                <c:ptCount val="15"/>
                <c:pt idx="0">
                  <c:v>45.362494420478008</c:v>
                </c:pt>
                <c:pt idx="1">
                  <c:v>46.206453630927868</c:v>
                </c:pt>
                <c:pt idx="2">
                  <c:v>47.70259314609271</c:v>
                </c:pt>
                <c:pt idx="3">
                  <c:v>49.31835664790195</c:v>
                </c:pt>
                <c:pt idx="4">
                  <c:v>51.350795320937586</c:v>
                </c:pt>
                <c:pt idx="5">
                  <c:v>53.360278151885439</c:v>
                </c:pt>
                <c:pt idx="6">
                  <c:v>55.728692299771943</c:v>
                </c:pt>
                <c:pt idx="7">
                  <c:v>58.834063035360614</c:v>
                </c:pt>
                <c:pt idx="8">
                  <c:v>62.16284283148407</c:v>
                </c:pt>
                <c:pt idx="9">
                  <c:v>65.957402016572118</c:v>
                </c:pt>
                <c:pt idx="10">
                  <c:v>76.777611396399351</c:v>
                </c:pt>
                <c:pt idx="11">
                  <c:v>84.387918821672784</c:v>
                </c:pt>
                <c:pt idx="12">
                  <c:v>95.083196894860606</c:v>
                </c:pt>
                <c:pt idx="13">
                  <c:v>110.23923453105532</c:v>
                </c:pt>
                <c:pt idx="14">
                  <c:v>134.28708848891003</c:v>
                </c:pt>
              </c:numCache>
            </c:numRef>
          </c:xVal>
          <c:yVal>
            <c:numRef>
              <c:f>'h=5km'!$O$22:$O$36</c:f>
              <c:numCache>
                <c:formatCode>0.00</c:formatCode>
                <c:ptCount val="15"/>
                <c:pt idx="0">
                  <c:v>2.008741684507501</c:v>
                </c:pt>
                <c:pt idx="1">
                  <c:v>2.1017775977472759</c:v>
                </c:pt>
                <c:pt idx="2">
                  <c:v>2.2426217773314288</c:v>
                </c:pt>
                <c:pt idx="3">
                  <c:v>2.3756043357204852</c:v>
                </c:pt>
                <c:pt idx="4">
                  <c:v>2.4655164442192148</c:v>
                </c:pt>
                <c:pt idx="5">
                  <c:v>2.523049389413647</c:v>
                </c:pt>
                <c:pt idx="6">
                  <c:v>2.5518966601342874</c:v>
                </c:pt>
                <c:pt idx="7">
                  <c:v>2.5051833426550152</c:v>
                </c:pt>
                <c:pt idx="8">
                  <c:v>2.4727136536112662</c:v>
                </c:pt>
                <c:pt idx="9">
                  <c:v>2.3761390325830818</c:v>
                </c:pt>
                <c:pt idx="10">
                  <c:v>1.7554664292093718</c:v>
                </c:pt>
                <c:pt idx="11">
                  <c:v>1.1492289662106281</c:v>
                </c:pt>
                <c:pt idx="12">
                  <c:v>0.12840341217401002</c:v>
                </c:pt>
                <c:pt idx="13">
                  <c:v>-1.4715950390365511</c:v>
                </c:pt>
                <c:pt idx="14">
                  <c:v>-4.3639086597843955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8694-46E2-BAFE-48D34B4AA39D}"/>
            </c:ext>
          </c:extLst>
        </c:ser>
        <c:ser>
          <c:idx val="16"/>
          <c:order val="15"/>
          <c:tx>
            <c:v>h=6km m. mocy</c:v>
          </c:tx>
          <c:spPr>
            <a:ln w="19050" cap="rnd">
              <a:solidFill>
                <a:schemeClr val="tx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'h=6km'!$H$22:$H$36</c:f>
              <c:numCache>
                <c:formatCode>0.00</c:formatCode>
                <c:ptCount val="15"/>
                <c:pt idx="0">
                  <c:v>47.92005236771405</c:v>
                </c:pt>
                <c:pt idx="1">
                  <c:v>48.811594380066772</c:v>
                </c:pt>
                <c:pt idx="2">
                  <c:v>50.392086917614265</c:v>
                </c:pt>
                <c:pt idx="3">
                  <c:v>52.098947896264214</c:v>
                </c:pt>
                <c:pt idx="4">
                  <c:v>54.245976380704612</c:v>
                </c:pt>
                <c:pt idx="5">
                  <c:v>56.368754762300249</c:v>
                </c:pt>
                <c:pt idx="6">
                  <c:v>58.870701170783491</c:v>
                </c:pt>
                <c:pt idx="7">
                  <c:v>62.151154112617277</c:v>
                </c:pt>
                <c:pt idx="8">
                  <c:v>65.667612018838909</c:v>
                </c:pt>
                <c:pt idx="9">
                  <c:v>69.676110166588984</c:v>
                </c:pt>
                <c:pt idx="10">
                  <c:v>81.106367843884669</c:v>
                </c:pt>
                <c:pt idx="11">
                  <c:v>89.145747842989749</c:v>
                </c:pt>
                <c:pt idx="12">
                  <c:v>100.44403053008682</c:v>
                </c:pt>
                <c:pt idx="13">
                  <c:v>116.45457242139939</c:v>
                </c:pt>
                <c:pt idx="14">
                  <c:v>141.85825525924881</c:v>
                </c:pt>
              </c:numCache>
            </c:numRef>
          </c:xVal>
          <c:yVal>
            <c:numRef>
              <c:f>'h=6km'!$O$22:$O$36</c:f>
              <c:numCache>
                <c:formatCode>0.00</c:formatCode>
                <c:ptCount val="15"/>
                <c:pt idx="0">
                  <c:v>0.91077216069467448</c:v>
                </c:pt>
                <c:pt idx="1">
                  <c:v>1.0074490422532985</c:v>
                </c:pt>
                <c:pt idx="2">
                  <c:v>1.1547891167849704</c:v>
                </c:pt>
                <c:pt idx="3">
                  <c:v>1.2948410695237993</c:v>
                </c:pt>
                <c:pt idx="4">
                  <c:v>1.3937606611900448</c:v>
                </c:pt>
                <c:pt idx="5">
                  <c:v>1.4602972409599635</c:v>
                </c:pt>
                <c:pt idx="6">
                  <c:v>1.4998825200474319</c:v>
                </c:pt>
                <c:pt idx="7">
                  <c:v>1.4674689270672967</c:v>
                </c:pt>
                <c:pt idx="8">
                  <c:v>1.4505250317884131</c:v>
                </c:pt>
                <c:pt idx="9">
                  <c:v>1.3719467204099727</c:v>
                </c:pt>
                <c:pt idx="10">
                  <c:v>0.8042590220661926</c:v>
                </c:pt>
                <c:pt idx="11">
                  <c:v>0.23661819215754284</c:v>
                </c:pt>
                <c:pt idx="12">
                  <c:v>-0.72823674125396731</c:v>
                </c:pt>
                <c:pt idx="13">
                  <c:v>-2.2455658105506595</c:v>
                </c:pt>
                <c:pt idx="14">
                  <c:v>-4.9985806231732282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8694-46E2-BAFE-48D34B4AA39D}"/>
            </c:ext>
          </c:extLst>
        </c:ser>
        <c:ser>
          <c:idx val="17"/>
          <c:order val="16"/>
          <c:tx>
            <c:v>h=7km m. mocy</c:v>
          </c:tx>
          <c:spPr>
            <a:ln w="19050" cap="rnd">
              <a:solidFill>
                <a:schemeClr val="accent2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'h=7m'!$H$22:$H$36</c:f>
              <c:numCache>
                <c:formatCode>0.00</c:formatCode>
                <c:ptCount val="15"/>
                <c:pt idx="0">
                  <c:v>50.695321417043772</c:v>
                </c:pt>
                <c:pt idx="1">
                  <c:v>51.638496698368591</c:v>
                </c:pt>
                <c:pt idx="2">
                  <c:v>53.310522775748105</c:v>
                </c:pt>
                <c:pt idx="3">
                  <c:v>55.116235867688886</c:v>
                </c:pt>
                <c:pt idx="4">
                  <c:v>57.387608575611623</c:v>
                </c:pt>
                <c:pt idx="5">
                  <c:v>59.633326746500941</c:v>
                </c:pt>
                <c:pt idx="6">
                  <c:v>62.280172296104972</c:v>
                </c:pt>
                <c:pt idx="7">
                  <c:v>65.750611247290209</c:v>
                </c:pt>
                <c:pt idx="8">
                  <c:v>69.470723288017382</c:v>
                </c:pt>
                <c:pt idx="9">
                  <c:v>73.711371867456933</c:v>
                </c:pt>
                <c:pt idx="10">
                  <c:v>85.803607960682612</c:v>
                </c:pt>
                <c:pt idx="11">
                  <c:v>94.308585165652786</c:v>
                </c:pt>
                <c:pt idx="12">
                  <c:v>106.26120299436177</c:v>
                </c:pt>
                <c:pt idx="13">
                  <c:v>123.19898847533064</c:v>
                </c:pt>
                <c:pt idx="14">
                  <c:v>150.07391458682832</c:v>
                </c:pt>
              </c:numCache>
            </c:numRef>
          </c:xVal>
          <c:yVal>
            <c:numRef>
              <c:f>'h=7m'!$O$22:$O$36</c:f>
              <c:numCache>
                <c:formatCode>0.00</c:formatCode>
                <c:ptCount val="15"/>
                <c:pt idx="0">
                  <c:v>-0.12226174744871586</c:v>
                </c:pt>
                <c:pt idx="1">
                  <c:v>-2.0877872721583278E-2</c:v>
                </c:pt>
                <c:pt idx="2">
                  <c:v>0.13480834647165468</c:v>
                </c:pt>
                <c:pt idx="3">
                  <c:v>0.283876798341196</c:v>
                </c:pt>
                <c:pt idx="4">
                  <c:v>0.39416032794880979</c:v>
                </c:pt>
                <c:pt idx="5">
                  <c:v>0.47194845423185755</c:v>
                </c:pt>
                <c:pt idx="6">
                  <c:v>0.52481747130472411</c:v>
                </c:pt>
                <c:pt idx="7">
                  <c:v>0.50986554575547305</c:v>
                </c:pt>
                <c:pt idx="8">
                  <c:v>0.51165883185548067</c:v>
                </c:pt>
                <c:pt idx="9">
                  <c:v>0.45448614143759414</c:v>
                </c:pt>
                <c:pt idx="10">
                  <c:v>-5.194316143581456E-2</c:v>
                </c:pt>
                <c:pt idx="11">
                  <c:v>-0.57639085948415325</c:v>
                </c:pt>
                <c:pt idx="12">
                  <c:v>-1.4804750053886464</c:v>
                </c:pt>
                <c:pt idx="13">
                  <c:v>-2.9115772874117587</c:v>
                </c:pt>
                <c:pt idx="14">
                  <c:v>-5.5273974604702296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8694-46E2-BAFE-48D34B4AA39D}"/>
            </c:ext>
          </c:extLst>
        </c:ser>
        <c:ser>
          <c:idx val="19"/>
          <c:order val="17"/>
          <c:tx>
            <c:v>h=8km m. mocy</c:v>
          </c:tx>
          <c:spPr>
            <a:ln w="19050" cap="rnd">
              <a:solidFill>
                <a:schemeClr val="bg1">
                  <a:lumMod val="50000"/>
                  <a:alpha val="9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'h=8km'!$H$22:$H$36</c:f>
              <c:numCache>
                <c:formatCode>0.00</c:formatCode>
                <c:ptCount val="15"/>
                <c:pt idx="0">
                  <c:v>53.713441222143487</c:v>
                </c:pt>
                <c:pt idx="1">
                  <c:v>54.712767957225346</c:v>
                </c:pt>
                <c:pt idx="2">
                  <c:v>56.484337244465749</c:v>
                </c:pt>
                <c:pt idx="3">
                  <c:v>58.397552533705586</c:v>
                </c:pt>
                <c:pt idx="4">
                  <c:v>60.804150243915025</c:v>
                </c:pt>
                <c:pt idx="5">
                  <c:v>63.183566087464804</c:v>
                </c:pt>
                <c:pt idx="6">
                  <c:v>65.987990221265662</c:v>
                </c:pt>
                <c:pt idx="7">
                  <c:v>69.665039964890596</c:v>
                </c:pt>
                <c:pt idx="8">
                  <c:v>73.606626956628432</c:v>
                </c:pt>
                <c:pt idx="9">
                  <c:v>78.099740361348111</c:v>
                </c:pt>
                <c:pt idx="10">
                  <c:v>90.91188149158252</c:v>
                </c:pt>
                <c:pt idx="11">
                  <c:v>99.923198126439644</c:v>
                </c:pt>
                <c:pt idx="12">
                  <c:v>112.58740889081324</c:v>
                </c:pt>
                <c:pt idx="13">
                  <c:v>130.53357669160414</c:v>
                </c:pt>
                <c:pt idx="14">
                  <c:v>159.00848766344899</c:v>
                </c:pt>
              </c:numCache>
            </c:numRef>
          </c:xVal>
          <c:yVal>
            <c:numRef>
              <c:f>'h=8km'!$O$22:$O$36</c:f>
              <c:numCache>
                <c:formatCode>0.00</c:formatCode>
                <c:ptCount val="15"/>
                <c:pt idx="0">
                  <c:v>-1.039949246535669</c:v>
                </c:pt>
                <c:pt idx="1">
                  <c:v>-0.93446521113053227</c:v>
                </c:pt>
                <c:pt idx="2">
                  <c:v>-0.7714909420507805</c:v>
                </c:pt>
                <c:pt idx="3">
                  <c:v>-0.61451891331865993</c:v>
                </c:pt>
                <c:pt idx="4">
                  <c:v>-0.49424155878198162</c:v>
                </c:pt>
                <c:pt idx="5">
                  <c:v>-0.40650822461974934</c:v>
                </c:pt>
                <c:pt idx="6">
                  <c:v>-0.34183271414139776</c:v>
                </c:pt>
                <c:pt idx="7">
                  <c:v>-0.34116187750917992</c:v>
                </c:pt>
                <c:pt idx="8">
                  <c:v>-0.32244449128204189</c:v>
                </c:pt>
                <c:pt idx="9">
                  <c:v>-0.36009947949061405</c:v>
                </c:pt>
                <c:pt idx="10">
                  <c:v>-0.80958474895080568</c:v>
                </c:pt>
                <c:pt idx="11">
                  <c:v>-1.2928759680412365</c:v>
                </c:pt>
                <c:pt idx="12">
                  <c:v>-2.1376231628924032</c:v>
                </c:pt>
                <c:pt idx="13">
                  <c:v>-3.4816181570801925</c:v>
                </c:pt>
                <c:pt idx="14">
                  <c:v>-5.9517528990113941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8694-46E2-BAFE-48D34B4AA39D}"/>
            </c:ext>
          </c:extLst>
        </c:ser>
        <c:ser>
          <c:idx val="20"/>
          <c:order val="18"/>
          <c:tx>
            <c:v>h=0km, m. ciągu, zmienna masa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masa'!$K$4:$K$18</c:f>
              <c:numCache>
                <c:formatCode>0.0</c:formatCode>
                <c:ptCount val="15"/>
                <c:pt idx="0">
                  <c:v>36.916857200854587</c:v>
                </c:pt>
                <c:pt idx="1">
                  <c:v>38.783391060051393</c:v>
                </c:pt>
                <c:pt idx="2">
                  <c:v>44.261591747739743</c:v>
                </c:pt>
                <c:pt idx="3">
                  <c:v>49.7397924354281</c:v>
                </c:pt>
                <c:pt idx="4">
                  <c:v>55.217993123116457</c:v>
                </c:pt>
                <c:pt idx="5">
                  <c:v>60.696193810804814</c:v>
                </c:pt>
                <c:pt idx="6">
                  <c:v>66.174394498493172</c:v>
                </c:pt>
                <c:pt idx="7">
                  <c:v>71.652595186181514</c:v>
                </c:pt>
                <c:pt idx="8">
                  <c:v>77.130795873869886</c:v>
                </c:pt>
                <c:pt idx="9">
                  <c:v>82.608996561558229</c:v>
                </c:pt>
                <c:pt idx="10">
                  <c:v>88.0871972492466</c:v>
                </c:pt>
                <c:pt idx="11">
                  <c:v>93.565397936934943</c:v>
                </c:pt>
                <c:pt idx="12">
                  <c:v>99.043598624623286</c:v>
                </c:pt>
                <c:pt idx="13">
                  <c:v>104.52179931231166</c:v>
                </c:pt>
                <c:pt idx="14">
                  <c:v>110</c:v>
                </c:pt>
              </c:numCache>
            </c:numRef>
          </c:xVal>
          <c:yVal>
            <c:numRef>
              <c:f>'Meotda CIągu, zmienna masa'!$Q$4:$Q$18</c:f>
              <c:numCache>
                <c:formatCode>0.00</c:formatCode>
                <c:ptCount val="15"/>
                <c:pt idx="0">
                  <c:v>7.9001919730721797</c:v>
                </c:pt>
                <c:pt idx="1">
                  <c:v>8.124071665626035</c:v>
                </c:pt>
                <c:pt idx="2">
                  <c:v>8.4383120223231316</c:v>
                </c:pt>
                <c:pt idx="3">
                  <c:v>8.3940695825970142</c:v>
                </c:pt>
                <c:pt idx="4">
                  <c:v>8.1110661674836688</c:v>
                </c:pt>
                <c:pt idx="5">
                  <c:v>7.6575366532568898</c:v>
                </c:pt>
                <c:pt idx="6">
                  <c:v>7.0741737692794322</c:v>
                </c:pt>
                <c:pt idx="7">
                  <c:v>6.3860485443153578</c:v>
                </c:pt>
                <c:pt idx="8">
                  <c:v>5.6089052849865295</c:v>
                </c:pt>
                <c:pt idx="9">
                  <c:v>4.7526560985078401</c:v>
                </c:pt>
                <c:pt idx="10">
                  <c:v>3.8234034280757307</c:v>
                </c:pt>
                <c:pt idx="11">
                  <c:v>2.8246509185099251</c:v>
                </c:pt>
                <c:pt idx="12">
                  <c:v>1.7580470093364471</c:v>
                </c:pt>
                <c:pt idx="13">
                  <c:v>0.62384847372491603</c:v>
                </c:pt>
                <c:pt idx="14">
                  <c:v>-0.57879070569382662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32-4A0F-9A02-12C5B6F122C6}"/>
            </c:ext>
          </c:extLst>
        </c:ser>
        <c:ser>
          <c:idx val="22"/>
          <c:order val="19"/>
          <c:tx>
            <c:v>h=1km, m. ciągu, zmienna masa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masa'!$K$22:$K$36</c:f>
              <c:numCache>
                <c:formatCode>0.0</c:formatCode>
                <c:ptCount val="15"/>
                <c:pt idx="0">
                  <c:v>38.731648677140406</c:v>
                </c:pt>
                <c:pt idx="1">
                  <c:v>40.323093421289883</c:v>
                </c:pt>
                <c:pt idx="2">
                  <c:v>45.682855465806043</c:v>
                </c:pt>
                <c:pt idx="3">
                  <c:v>51.042617510322209</c:v>
                </c:pt>
                <c:pt idx="4">
                  <c:v>56.402379554838376</c:v>
                </c:pt>
                <c:pt idx="5">
                  <c:v>61.762141599354536</c:v>
                </c:pt>
                <c:pt idx="6">
                  <c:v>67.121903643870695</c:v>
                </c:pt>
                <c:pt idx="7">
                  <c:v>72.481665688386869</c:v>
                </c:pt>
                <c:pt idx="8">
                  <c:v>77.841427732903028</c:v>
                </c:pt>
                <c:pt idx="9">
                  <c:v>83.201189777419188</c:v>
                </c:pt>
                <c:pt idx="10">
                  <c:v>88.560951821935362</c:v>
                </c:pt>
                <c:pt idx="11">
                  <c:v>93.920713866451521</c:v>
                </c:pt>
                <c:pt idx="12">
                  <c:v>99.280475910967681</c:v>
                </c:pt>
                <c:pt idx="13">
                  <c:v>104.64023795548385</c:v>
                </c:pt>
                <c:pt idx="14">
                  <c:v>110</c:v>
                </c:pt>
              </c:numCache>
            </c:numRef>
          </c:xVal>
          <c:yVal>
            <c:numRef>
              <c:f>'Meotda CIągu, zmienna masa'!$Q$22:$Q$36</c:f>
              <c:numCache>
                <c:formatCode>0.00</c:formatCode>
                <c:ptCount val="15"/>
                <c:pt idx="0">
                  <c:v>6.3322337548153014</c:v>
                </c:pt>
                <c:pt idx="1">
                  <c:v>6.5321219192341573</c:v>
                </c:pt>
                <c:pt idx="2">
                  <c:v>6.9038279575867598</c:v>
                </c:pt>
                <c:pt idx="3">
                  <c:v>6.9411445444130635</c:v>
                </c:pt>
                <c:pt idx="4">
                  <c:v>6.7517717344830643</c:v>
                </c:pt>
                <c:pt idx="5">
                  <c:v>6.3988510288320519</c:v>
                </c:pt>
                <c:pt idx="6">
                  <c:v>5.9209475419917705</c:v>
                </c:pt>
                <c:pt idx="7">
                  <c:v>5.3423394040896097</c:v>
                </c:pt>
                <c:pt idx="8">
                  <c:v>4.6786041697362482</c:v>
                </c:pt>
                <c:pt idx="9">
                  <c:v>3.9397931171746676</c:v>
                </c:pt>
                <c:pt idx="10">
                  <c:v>3.1323058990484491</c:v>
                </c:pt>
                <c:pt idx="11">
                  <c:v>2.2600336014563061</c:v>
                </c:pt>
                <c:pt idx="12">
                  <c:v>1.3250733794195786</c:v>
                </c:pt>
                <c:pt idx="13">
                  <c:v>0.3281828307252681</c:v>
                </c:pt>
                <c:pt idx="14">
                  <c:v>-0.7309294866167646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532-4A0F-9A02-12C5B6F122C6}"/>
            </c:ext>
          </c:extLst>
        </c:ser>
        <c:ser>
          <c:idx val="24"/>
          <c:order val="20"/>
          <c:tx>
            <c:v>h=2km, m. ciągu, zmienna masa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masa'!$K$40:$K$54</c:f>
              <c:numCache>
                <c:formatCode>0.0</c:formatCode>
                <c:ptCount val="15"/>
                <c:pt idx="0">
                  <c:v>40.680124812202166</c:v>
                </c:pt>
                <c:pt idx="1">
                  <c:v>41.978167521605606</c:v>
                </c:pt>
                <c:pt idx="2">
                  <c:v>47.210616173789788</c:v>
                </c:pt>
                <c:pt idx="3">
                  <c:v>52.443064825973977</c:v>
                </c:pt>
                <c:pt idx="4">
                  <c:v>57.675513478158159</c:v>
                </c:pt>
                <c:pt idx="5">
                  <c:v>62.907962130342341</c:v>
                </c:pt>
                <c:pt idx="6">
                  <c:v>68.14041078252653</c:v>
                </c:pt>
                <c:pt idx="7">
                  <c:v>73.372859434710705</c:v>
                </c:pt>
                <c:pt idx="8">
                  <c:v>78.605308086894894</c:v>
                </c:pt>
                <c:pt idx="9">
                  <c:v>83.837756739079083</c:v>
                </c:pt>
                <c:pt idx="10">
                  <c:v>89.070205391263258</c:v>
                </c:pt>
                <c:pt idx="11">
                  <c:v>94.302654043447447</c:v>
                </c:pt>
                <c:pt idx="12">
                  <c:v>99.535102695631622</c:v>
                </c:pt>
                <c:pt idx="13">
                  <c:v>104.76755134781581</c:v>
                </c:pt>
                <c:pt idx="14">
                  <c:v>110</c:v>
                </c:pt>
              </c:numCache>
            </c:numRef>
          </c:xVal>
          <c:yVal>
            <c:numRef>
              <c:f>'Meotda CIągu, zmienna masa'!$Q$40:$Q$54</c:f>
              <c:numCache>
                <c:formatCode>0.00</c:formatCode>
                <c:ptCount val="15"/>
                <c:pt idx="0">
                  <c:v>4.9044248945935633</c:v>
                </c:pt>
                <c:pt idx="1">
                  <c:v>5.0729668132597485</c:v>
                </c:pt>
                <c:pt idx="2">
                  <c:v>5.4906504772605507</c:v>
                </c:pt>
                <c:pt idx="3">
                  <c:v>5.5987882532969619</c:v>
                </c:pt>
                <c:pt idx="4">
                  <c:v>5.4931330739930635</c:v>
                </c:pt>
                <c:pt idx="5">
                  <c:v>5.231447295648989</c:v>
                </c:pt>
                <c:pt idx="6">
                  <c:v>4.8498765732486238</c:v>
                </c:pt>
                <c:pt idx="7">
                  <c:v>4.3716760192670483</c:v>
                </c:pt>
                <c:pt idx="8">
                  <c:v>3.8120855645073433</c:v>
                </c:pt>
                <c:pt idx="9">
                  <c:v>3.1811679021313504</c:v>
                </c:pt>
                <c:pt idx="10">
                  <c:v>2.4855199126969105</c:v>
                </c:pt>
                <c:pt idx="11">
                  <c:v>1.7293359462594429</c:v>
                </c:pt>
                <c:pt idx="12">
                  <c:v>0.91508451199884777</c:v>
                </c:pt>
                <c:pt idx="13">
                  <c:v>4.3946548499698361E-2</c:v>
                </c:pt>
                <c:pt idx="14">
                  <c:v>-0.88389768863700702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532-4A0F-9A02-12C5B6F122C6}"/>
            </c:ext>
          </c:extLst>
        </c:ser>
        <c:ser>
          <c:idx val="26"/>
          <c:order val="21"/>
          <c:tx>
            <c:v>h=3km, m. ciągu, zmienna masa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masa'!$K$58:$K$72</c:f>
              <c:numCache>
                <c:formatCode>0.0</c:formatCode>
                <c:ptCount val="15"/>
                <c:pt idx="0">
                  <c:v>42.775014365807877</c:v>
                </c:pt>
                <c:pt idx="1">
                  <c:v>45</c:v>
                </c:pt>
                <c:pt idx="2">
                  <c:v>48.141377091306531</c:v>
                </c:pt>
                <c:pt idx="3">
                  <c:v>52.879595667030983</c:v>
                </c:pt>
                <c:pt idx="4">
                  <c:v>57.617814242755443</c:v>
                </c:pt>
                <c:pt idx="5">
                  <c:v>62.356032818479896</c:v>
                </c:pt>
                <c:pt idx="6">
                  <c:v>67.094251394204349</c:v>
                </c:pt>
                <c:pt idx="7">
                  <c:v>71.832469969928809</c:v>
                </c:pt>
                <c:pt idx="8">
                  <c:v>76.570688545653269</c:v>
                </c:pt>
                <c:pt idx="9">
                  <c:v>81.308907121377715</c:v>
                </c:pt>
                <c:pt idx="10">
                  <c:v>86.047125697102175</c:v>
                </c:pt>
                <c:pt idx="11">
                  <c:v>90.78534427282662</c:v>
                </c:pt>
                <c:pt idx="12">
                  <c:v>95.52356284855108</c:v>
                </c:pt>
                <c:pt idx="13">
                  <c:v>100.26178142427554</c:v>
                </c:pt>
                <c:pt idx="14">
                  <c:v>105</c:v>
                </c:pt>
              </c:numCache>
            </c:numRef>
          </c:xVal>
          <c:yVal>
            <c:numRef>
              <c:f>'Meotda CIągu, zmienna masa'!$Q$58:$Q$72</c:f>
              <c:numCache>
                <c:formatCode>0.00</c:formatCode>
                <c:ptCount val="15"/>
                <c:pt idx="0">
                  <c:v>3.5925444560525484</c:v>
                </c:pt>
                <c:pt idx="1">
                  <c:v>3.8722212852154132</c:v>
                </c:pt>
                <c:pt idx="2">
                  <c:v>4.1463735406461746</c:v>
                </c:pt>
                <c:pt idx="3">
                  <c:v>4.3524834452468824</c:v>
                </c:pt>
                <c:pt idx="4">
                  <c:v>4.3717556150608026</c:v>
                </c:pt>
                <c:pt idx="5">
                  <c:v>4.2512038195484436</c:v>
                </c:pt>
                <c:pt idx="6">
                  <c:v>4.0216615694060263</c:v>
                </c:pt>
                <c:pt idx="7">
                  <c:v>3.7038168610240225</c:v>
                </c:pt>
                <c:pt idx="8">
                  <c:v>3.3117785784640206</c:v>
                </c:pt>
                <c:pt idx="9">
                  <c:v>2.8552551693875778</c:v>
                </c:pt>
                <c:pt idx="10">
                  <c:v>2.3409246373510215</c:v>
                </c:pt>
                <c:pt idx="11">
                  <c:v>1.7733180519743363</c:v>
                </c:pt>
                <c:pt idx="12">
                  <c:v>1.1554015629560268</c:v>
                </c:pt>
                <c:pt idx="13">
                  <c:v>0.4889663318053396</c:v>
                </c:pt>
                <c:pt idx="14">
                  <c:v>-0.22510697741291616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532-4A0F-9A02-12C5B6F122C6}"/>
            </c:ext>
          </c:extLst>
        </c:ser>
        <c:ser>
          <c:idx val="28"/>
          <c:order val="22"/>
          <c:tx>
            <c:v>h=4km, m. ciągu, zmienna masa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masa'!$K$76:$K$90</c:f>
              <c:numCache>
                <c:formatCode>0.0</c:formatCode>
                <c:ptCount val="15"/>
                <c:pt idx="0">
                  <c:v>45.03066252474688</c:v>
                </c:pt>
                <c:pt idx="1">
                  <c:v>47</c:v>
                </c:pt>
                <c:pt idx="2">
                  <c:v>49.915890434164325</c:v>
                </c:pt>
                <c:pt idx="3">
                  <c:v>54.506232897983963</c:v>
                </c:pt>
                <c:pt idx="4">
                  <c:v>59.096575361803602</c:v>
                </c:pt>
                <c:pt idx="5">
                  <c:v>63.68691782562324</c:v>
                </c:pt>
                <c:pt idx="6">
                  <c:v>68.277260289442893</c:v>
                </c:pt>
                <c:pt idx="7">
                  <c:v>72.867602753262531</c:v>
                </c:pt>
                <c:pt idx="8">
                  <c:v>77.45794521708217</c:v>
                </c:pt>
                <c:pt idx="9">
                  <c:v>82.048287680901808</c:v>
                </c:pt>
                <c:pt idx="10">
                  <c:v>86.638630144721446</c:v>
                </c:pt>
                <c:pt idx="11">
                  <c:v>91.228972608541085</c:v>
                </c:pt>
                <c:pt idx="12">
                  <c:v>95.819315072360723</c:v>
                </c:pt>
                <c:pt idx="13">
                  <c:v>100.40965753618036</c:v>
                </c:pt>
                <c:pt idx="14">
                  <c:v>105</c:v>
                </c:pt>
              </c:numCache>
            </c:numRef>
          </c:xVal>
          <c:yVal>
            <c:numRef>
              <c:f>'Meotda CIągu, zmienna masa'!$Q$76:$Q$90</c:f>
              <c:numCache>
                <c:formatCode>0.00</c:formatCode>
                <c:ptCount val="15"/>
                <c:pt idx="0">
                  <c:v>2.4186596873372022</c:v>
                </c:pt>
                <c:pt idx="1">
                  <c:v>2.6676319000286437</c:v>
                </c:pt>
                <c:pt idx="2">
                  <c:v>2.9406001194085674</c:v>
                </c:pt>
                <c:pt idx="3">
                  <c:v>3.1863057349748707</c:v>
                </c:pt>
                <c:pt idx="4">
                  <c:v>3.2601194148403954</c:v>
                </c:pt>
                <c:pt idx="5">
                  <c:v>3.2035811146274873</c:v>
                </c:pt>
                <c:pt idx="6">
                  <c:v>3.0446306146190061</c:v>
                </c:pt>
                <c:pt idx="7">
                  <c:v>2.8024457788817836</c:v>
                </c:pt>
                <c:pt idx="8">
                  <c:v>2.4903909662119577</c:v>
                </c:pt>
                <c:pt idx="9">
                  <c:v>2.1178658243998085</c:v>
                </c:pt>
                <c:pt idx="10">
                  <c:v>1.6914952275779931</c:v>
                </c:pt>
                <c:pt idx="11">
                  <c:v>1.2159126230329427</c:v>
                </c:pt>
                <c:pt idx="12">
                  <c:v>0.69428591570544751</c:v>
                </c:pt>
                <c:pt idx="13">
                  <c:v>0.12867622192481343</c:v>
                </c:pt>
                <c:pt idx="14">
                  <c:v>-0.47971401544692926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532-4A0F-9A02-12C5B6F122C6}"/>
            </c:ext>
          </c:extLst>
        </c:ser>
        <c:ser>
          <c:idx val="21"/>
          <c:order val="23"/>
          <c:tx>
            <c:v>h=5km, m. ciągu, zmienna masa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masa'!$K$94:$K$108</c:f>
              <c:numCache>
                <c:formatCode>0.0</c:formatCode>
                <c:ptCount val="15"/>
                <c:pt idx="0">
                  <c:v>47.46137408372384</c:v>
                </c:pt>
                <c:pt idx="1">
                  <c:v>50</c:v>
                </c:pt>
                <c:pt idx="2">
                  <c:v>51.119377513104538</c:v>
                </c:pt>
                <c:pt idx="3">
                  <c:v>55.192762720345826</c:v>
                </c:pt>
                <c:pt idx="4">
                  <c:v>59.266147927587113</c:v>
                </c:pt>
                <c:pt idx="5">
                  <c:v>63.3395331348284</c:v>
                </c:pt>
                <c:pt idx="6">
                  <c:v>67.412918342069702</c:v>
                </c:pt>
                <c:pt idx="7">
                  <c:v>71.486303549310975</c:v>
                </c:pt>
                <c:pt idx="8">
                  <c:v>75.559688756552276</c:v>
                </c:pt>
                <c:pt idx="9">
                  <c:v>79.633073963793549</c:v>
                </c:pt>
                <c:pt idx="10">
                  <c:v>83.706459171034851</c:v>
                </c:pt>
                <c:pt idx="11">
                  <c:v>87.779844378276124</c:v>
                </c:pt>
                <c:pt idx="12">
                  <c:v>91.853229585517425</c:v>
                </c:pt>
                <c:pt idx="13">
                  <c:v>95.926614792758713</c:v>
                </c:pt>
                <c:pt idx="14">
                  <c:v>100</c:v>
                </c:pt>
              </c:numCache>
            </c:numRef>
          </c:xVal>
          <c:yVal>
            <c:numRef>
              <c:f>'Meotda CIągu, zmienna masa'!$Q$94:$Q$108</c:f>
              <c:numCache>
                <c:formatCode>0.00</c:formatCode>
                <c:ptCount val="15"/>
                <c:pt idx="0">
                  <c:v>1.3176961815913164</c:v>
                </c:pt>
                <c:pt idx="1">
                  <c:v>1.6359441614944752</c:v>
                </c:pt>
                <c:pt idx="2">
                  <c:v>1.7503206864925775</c:v>
                </c:pt>
                <c:pt idx="3">
                  <c:v>2.0546706363124394</c:v>
                </c:pt>
                <c:pt idx="4">
                  <c:v>2.2153822582340186</c:v>
                </c:pt>
                <c:pt idx="5">
                  <c:v>2.2638426840913022</c:v>
                </c:pt>
                <c:pt idx="6">
                  <c:v>2.2222018770218264</c:v>
                </c:pt>
                <c:pt idx="7">
                  <c:v>2.1063338759620858</c:v>
                </c:pt>
                <c:pt idx="8">
                  <c:v>1.9277520575885403</c:v>
                </c:pt>
                <c:pt idx="9">
                  <c:v>1.6948751236099404</c:v>
                </c:pt>
                <c:pt idx="10">
                  <c:v>1.413880006478609</c:v>
                </c:pt>
                <c:pt idx="11">
                  <c:v>1.089287230969342</c:v>
                </c:pt>
                <c:pt idx="12">
                  <c:v>0.72436883942713215</c:v>
                </c:pt>
                <c:pt idx="13">
                  <c:v>0.32143652728194699</c:v>
                </c:pt>
                <c:pt idx="14">
                  <c:v>-0.11795259394649869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532-4A0F-9A02-12C5B6F122C6}"/>
            </c:ext>
          </c:extLst>
        </c:ser>
        <c:ser>
          <c:idx val="23"/>
          <c:order val="24"/>
          <c:tx>
            <c:v>h=6km, m. ciągu, zmienna masa</c:v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masa'!$K$112:$K$126</c:f>
              <c:numCache>
                <c:formatCode>0.0</c:formatCode>
                <c:ptCount val="15"/>
                <c:pt idx="0">
                  <c:v>50.08201896169011</c:v>
                </c:pt>
                <c:pt idx="1">
                  <c:v>51.5</c:v>
                </c:pt>
                <c:pt idx="2">
                  <c:v>53.196076101145614</c:v>
                </c:pt>
                <c:pt idx="3">
                  <c:v>57.096403092716812</c:v>
                </c:pt>
                <c:pt idx="4">
                  <c:v>60.996730084288011</c:v>
                </c:pt>
                <c:pt idx="5">
                  <c:v>64.897057075859209</c:v>
                </c:pt>
                <c:pt idx="6">
                  <c:v>68.797384067430414</c:v>
                </c:pt>
                <c:pt idx="7">
                  <c:v>72.697711059001605</c:v>
                </c:pt>
                <c:pt idx="8">
                  <c:v>76.598038050572811</c:v>
                </c:pt>
                <c:pt idx="9">
                  <c:v>80.498365042144002</c:v>
                </c:pt>
                <c:pt idx="10">
                  <c:v>84.398692033715207</c:v>
                </c:pt>
                <c:pt idx="11">
                  <c:v>88.299019025286412</c:v>
                </c:pt>
                <c:pt idx="12">
                  <c:v>92.199346016857604</c:v>
                </c:pt>
                <c:pt idx="13">
                  <c:v>96.099673008428795</c:v>
                </c:pt>
                <c:pt idx="14">
                  <c:v>100</c:v>
                </c:pt>
              </c:numCache>
            </c:numRef>
          </c:xVal>
          <c:yVal>
            <c:numRef>
              <c:f>'Meotda CIągu, zmienna masa'!$Q$112:$Q$126</c:f>
              <c:numCache>
                <c:formatCode>0.00</c:formatCode>
                <c:ptCount val="15"/>
                <c:pt idx="0">
                  <c:v>0.32313743203632073</c:v>
                </c:pt>
                <c:pt idx="1">
                  <c:v>0.50883697655870663</c:v>
                </c:pt>
                <c:pt idx="2">
                  <c:v>0.69904668091944699</c:v>
                </c:pt>
                <c:pt idx="3">
                  <c:v>1.023779071071087</c:v>
                </c:pt>
                <c:pt idx="4">
                  <c:v>1.2199897416497345</c:v>
                </c:pt>
                <c:pt idx="5">
                  <c:v>1.3141343935442586</c:v>
                </c:pt>
                <c:pt idx="6">
                  <c:v>1.3253684835287871</c:v>
                </c:pt>
                <c:pt idx="7">
                  <c:v>1.2677439142293867</c:v>
                </c:pt>
                <c:pt idx="8">
                  <c:v>1.1516767289097019</c:v>
                </c:pt>
                <c:pt idx="9">
                  <c:v>0.98494509580318712</c:v>
                </c:pt>
                <c:pt idx="10">
                  <c:v>0.77337931591303</c:v>
                </c:pt>
                <c:pt idx="11">
                  <c:v>0.52134626289628516</c:v>
                </c:pt>
                <c:pt idx="12">
                  <c:v>0.2320941685090222</c:v>
                </c:pt>
                <c:pt idx="13">
                  <c:v>-9.1999061332752111E-2</c:v>
                </c:pt>
                <c:pt idx="14">
                  <c:v>-0.44924526528865066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532-4A0F-9A02-12C5B6F122C6}"/>
            </c:ext>
          </c:extLst>
        </c:ser>
        <c:ser>
          <c:idx val="25"/>
          <c:order val="25"/>
          <c:tx>
            <c:v>h=7km, m. ciągu, zmienna masa</c:v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masa'!$K$130:$K$144</c:f>
              <c:numCache>
                <c:formatCode>0.0</c:formatCode>
                <c:ptCount val="15"/>
                <c:pt idx="0">
                  <c:v>52.897697598007575</c:v>
                </c:pt>
                <c:pt idx="1">
                  <c:v>54</c:v>
                </c:pt>
                <c:pt idx="2">
                  <c:v>54.735267115473484</c:v>
                </c:pt>
                <c:pt idx="3">
                  <c:v>58.090661522517358</c:v>
                </c:pt>
                <c:pt idx="4">
                  <c:v>61.446055929561233</c:v>
                </c:pt>
                <c:pt idx="5">
                  <c:v>64.801450336605114</c:v>
                </c:pt>
                <c:pt idx="6">
                  <c:v>68.156844743648989</c:v>
                </c:pt>
                <c:pt idx="7">
                  <c:v>71.512239150692864</c:v>
                </c:pt>
                <c:pt idx="8">
                  <c:v>74.867633557736738</c:v>
                </c:pt>
                <c:pt idx="9">
                  <c:v>78.223027964780613</c:v>
                </c:pt>
                <c:pt idx="10">
                  <c:v>81.578422371824502</c:v>
                </c:pt>
                <c:pt idx="11">
                  <c:v>84.933816778868362</c:v>
                </c:pt>
                <c:pt idx="12">
                  <c:v>88.289211185912251</c:v>
                </c:pt>
                <c:pt idx="13">
                  <c:v>91.644605592956125</c:v>
                </c:pt>
                <c:pt idx="14">
                  <c:v>95</c:v>
                </c:pt>
              </c:numCache>
            </c:numRef>
          </c:xVal>
          <c:yVal>
            <c:numRef>
              <c:f>'Meotda CIągu, zmienna masa'!$Q$130:$Q$144</c:f>
              <c:numCache>
                <c:formatCode>0.00</c:formatCode>
                <c:ptCount val="15"/>
                <c:pt idx="0">
                  <c:v>-0.52915492937021835</c:v>
                </c:pt>
                <c:pt idx="1">
                  <c:v>-0.45504097226146067</c:v>
                </c:pt>
                <c:pt idx="2">
                  <c:v>-0.36329924441792943</c:v>
                </c:pt>
                <c:pt idx="3">
                  <c:v>-1.6056390002353801E-2</c:v>
                </c:pt>
                <c:pt idx="4">
                  <c:v>0.23064811041878391</c:v>
                </c:pt>
                <c:pt idx="5">
                  <c:v>0.39479511653858812</c:v>
                </c:pt>
                <c:pt idx="6">
                  <c:v>0.49005681819566221</c:v>
                </c:pt>
                <c:pt idx="7">
                  <c:v>0.52692125681476742</c:v>
                </c:pt>
                <c:pt idx="8">
                  <c:v>0.51349219841435534</c:v>
                </c:pt>
                <c:pt idx="9">
                  <c:v>0.45606466566822762</c:v>
                </c:pt>
                <c:pt idx="10">
                  <c:v>0.35954374397476613</c:v>
                </c:pt>
                <c:pt idx="11">
                  <c:v>0.22775255352363771</c:v>
                </c:pt>
                <c:pt idx="12">
                  <c:v>6.3660926843689361E-2</c:v>
                </c:pt>
                <c:pt idx="13">
                  <c:v>-0.13044333438616296</c:v>
                </c:pt>
                <c:pt idx="14">
                  <c:v>-0.3528252816998953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532-4A0F-9A02-12C5B6F122C6}"/>
            </c:ext>
          </c:extLst>
        </c:ser>
        <c:ser>
          <c:idx val="27"/>
          <c:order val="26"/>
          <c:tx>
            <c:v>h=8km, m. ciągu, zmienna masa</c:v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masa'!$K$148:$K$162</c:f>
              <c:numCache>
                <c:formatCode>0.0</c:formatCode>
                <c:ptCount val="15"/>
                <c:pt idx="0">
                  <c:v>55.8578463757027</c:v>
                </c:pt>
                <c:pt idx="1">
                  <c:v>56.5</c:v>
                </c:pt>
                <c:pt idx="2">
                  <c:v>57.185935005349812</c:v>
                </c:pt>
                <c:pt idx="3">
                  <c:v>60.337107088237325</c:v>
                </c:pt>
                <c:pt idx="4">
                  <c:v>63.488279171124844</c:v>
                </c:pt>
                <c:pt idx="5">
                  <c:v>66.639451254012357</c:v>
                </c:pt>
                <c:pt idx="6">
                  <c:v>69.79062333689987</c:v>
                </c:pt>
                <c:pt idx="7">
                  <c:v>72.941795419787383</c:v>
                </c:pt>
                <c:pt idx="8">
                  <c:v>76.092967502674909</c:v>
                </c:pt>
                <c:pt idx="9">
                  <c:v>79.244139585562422</c:v>
                </c:pt>
                <c:pt idx="10">
                  <c:v>82.395311668449935</c:v>
                </c:pt>
                <c:pt idx="11">
                  <c:v>85.546483751337462</c:v>
                </c:pt>
                <c:pt idx="12">
                  <c:v>88.697655834224975</c:v>
                </c:pt>
                <c:pt idx="13">
                  <c:v>91.848827917112487</c:v>
                </c:pt>
                <c:pt idx="14">
                  <c:v>95</c:v>
                </c:pt>
              </c:numCache>
            </c:numRef>
          </c:xVal>
          <c:yVal>
            <c:numRef>
              <c:f>'Meotda CIągu, zmienna masa'!$Q$148:$Q$162</c:f>
              <c:numCache>
                <c:formatCode>0.00</c:formatCode>
                <c:ptCount val="15"/>
                <c:pt idx="0">
                  <c:v>-1.409982277009489</c:v>
                </c:pt>
                <c:pt idx="1">
                  <c:v>-1.3230976054030519</c:v>
                </c:pt>
                <c:pt idx="2">
                  <c:v>-1.2352368277133605</c:v>
                </c:pt>
                <c:pt idx="3">
                  <c:v>-0.89148888022449435</c:v>
                </c:pt>
                <c:pt idx="4">
                  <c:v>-0.63338449016353138</c:v>
                </c:pt>
                <c:pt idx="5">
                  <c:v>-0.4468651048507723</c:v>
                </c:pt>
                <c:pt idx="6">
                  <c:v>-0.32095834659530326</c:v>
                </c:pt>
                <c:pt idx="7">
                  <c:v>-0.2470405163300019</c:v>
                </c:pt>
                <c:pt idx="8">
                  <c:v>-0.2182941152209191</c:v>
                </c:pt>
                <c:pt idx="9">
                  <c:v>-0.22930539329220415</c:v>
                </c:pt>
                <c:pt idx="10">
                  <c:v>-0.27576309665282422</c:v>
                </c:pt>
                <c:pt idx="11">
                  <c:v>-0.35423117164134077</c:v>
                </c:pt>
                <c:pt idx="12">
                  <c:v>-0.46197584892996435</c:v>
                </c:pt>
                <c:pt idx="13">
                  <c:v>-0.59683321857484206</c:v>
                </c:pt>
                <c:pt idx="14">
                  <c:v>-0.75710718362212781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532-4A0F-9A02-12C5B6F12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780144"/>
        <c:axId val="428777192"/>
      </c:scatterChart>
      <c:valAx>
        <c:axId val="428780144"/>
        <c:scaling>
          <c:orientation val="minMax"/>
          <c:max val="110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28777192"/>
        <c:crosses val="autoZero"/>
        <c:crossBetween val="midCat"/>
        <c:majorUnit val="5"/>
      </c:valAx>
      <c:valAx>
        <c:axId val="428777192"/>
        <c:scaling>
          <c:orientation val="minMax"/>
          <c:max val="10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γ</a:t>
                </a: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[°]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28780144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zmienna masa h(w)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6.378171478565179E-3"/>
                  <c:y val="-0.713810513269174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(Podsumowanie!$R$3,Podsumowanie!$R$10)</c:f>
              <c:numCache>
                <c:formatCode>0.00</c:formatCode>
                <c:ptCount val="2"/>
                <c:pt idx="0">
                  <c:v>8.1692154255319096</c:v>
                </c:pt>
                <c:pt idx="1">
                  <c:v>0.73905109489051102</c:v>
                </c:pt>
              </c:numCache>
            </c:numRef>
          </c:xVal>
          <c:yVal>
            <c:numRef>
              <c:f>(Podsumowanie!$M$3,Podsumowanie!$M$10)</c:f>
              <c:numCache>
                <c:formatCode>General</c:formatCode>
                <c:ptCount val="2"/>
                <c:pt idx="0">
                  <c:v>0</c:v>
                </c:pt>
                <c:pt idx="1">
                  <c:v>7000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5E-489E-B842-4CC3B371BB2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Podsumowanie!$AD$45:$AD$46</c:f>
              <c:numCache>
                <c:formatCode>General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xVal>
          <c:yVal>
            <c:numRef>
              <c:f>Podsumowanie!$AC$45:$AC$46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15E-489E-B842-4CC3B371B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339439"/>
        <c:axId val="1373292671"/>
      </c:scatterChart>
      <c:valAx>
        <c:axId val="1494339439"/>
        <c:scaling>
          <c:orientation val="minMax"/>
          <c:max val="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73292671"/>
        <c:crosses val="autoZero"/>
        <c:crossBetween val="midCat"/>
      </c:valAx>
      <c:valAx>
        <c:axId val="1373292671"/>
        <c:scaling>
          <c:orientation val="minMax"/>
          <c:max val="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h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94339439"/>
        <c:crosses val="autoZero"/>
        <c:crossBetween val="midCat"/>
        <c:majorUnit val="1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 ofertowy samolotu Piper mmax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5.0553237624689336E-2"/>
          <c:y val="6.6571788151444766E-2"/>
          <c:w val="0.93341345686558697"/>
          <c:h val="0.88666917393793754"/>
        </c:manualLayout>
      </c:layout>
      <c:scatterChart>
        <c:scatterStyle val="smoothMarker"/>
        <c:varyColors val="0"/>
        <c:ser>
          <c:idx val="0"/>
          <c:order val="0"/>
          <c:tx>
            <c:v>Vmin1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Podsumowanie!$O$3:$O$11</c:f>
              <c:numCache>
                <c:formatCode>0.00</c:formatCode>
                <c:ptCount val="9"/>
                <c:pt idx="0">
                  <c:v>132.91411935953411</c:v>
                </c:pt>
                <c:pt idx="1">
                  <c:v>139.46433770014522</c:v>
                </c:pt>
                <c:pt idx="2">
                  <c:v>146.74235807860236</c:v>
                </c:pt>
                <c:pt idx="3">
                  <c:v>154.26297913634136</c:v>
                </c:pt>
                <c:pt idx="4">
                  <c:v>162.26880155264411</c:v>
                </c:pt>
                <c:pt idx="5">
                  <c:v>171.00242600679252</c:v>
                </c:pt>
                <c:pt idx="6">
                  <c:v>180.22125181950503</c:v>
                </c:pt>
                <c:pt idx="7">
                  <c:v>210.06113537117881</c:v>
                </c:pt>
                <c:pt idx="8" formatCode="General">
                  <c:v>275</c:v>
                </c:pt>
              </c:numCache>
            </c:numRef>
          </c:xVal>
          <c:yVal>
            <c:numRef>
              <c:f>Podsumowanie!$M$3:$M$11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2E-4F45-9EBF-B5BD72F71264}"/>
            </c:ext>
          </c:extLst>
        </c:ser>
        <c:ser>
          <c:idx val="13"/>
          <c:order val="1"/>
          <c:tx>
            <c:v>Vmin2</c:v>
          </c:tx>
          <c:spPr>
            <a:ln w="19050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Podsumowanie!$O$36:$O$43</c:f>
              <c:numCache>
                <c:formatCode>0.00</c:formatCode>
                <c:ptCount val="8"/>
                <c:pt idx="0">
                  <c:v>132.91411935953411</c:v>
                </c:pt>
                <c:pt idx="1">
                  <c:v>139.70693837942713</c:v>
                </c:pt>
                <c:pt idx="2">
                  <c:v>146.98495875788424</c:v>
                </c:pt>
                <c:pt idx="3">
                  <c:v>154.50557981562326</c:v>
                </c:pt>
                <c:pt idx="4">
                  <c:v>162.26880155264411</c:v>
                </c:pt>
                <c:pt idx="5">
                  <c:v>171.73022804463852</c:v>
                </c:pt>
                <c:pt idx="6">
                  <c:v>181.19165453663257</c:v>
                </c:pt>
                <c:pt idx="7" formatCode="General">
                  <c:v>250</c:v>
                </c:pt>
              </c:numCache>
            </c:numRef>
          </c:xVal>
          <c:yVal>
            <c:numRef>
              <c:f>Podsumowanie!$M$36:$M$43</c:f>
              <c:numCache>
                <c:formatCode>General</c:formatCode>
                <c:ptCount val="8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6890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52E-4F45-9EBF-B5BD72F71264}"/>
            </c:ext>
          </c:extLst>
        </c:ser>
        <c:ser>
          <c:idx val="20"/>
          <c:order val="2"/>
          <c:tx>
            <c:v>Vmin3</c:v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Podsumowanie!$O$47:$O$54</c:f>
              <c:numCache>
                <c:formatCode>0.00</c:formatCode>
                <c:ptCount val="8"/>
                <c:pt idx="0">
                  <c:v>132.91411935953411</c:v>
                </c:pt>
                <c:pt idx="1">
                  <c:v>139.70693837942713</c:v>
                </c:pt>
                <c:pt idx="2">
                  <c:v>146.74235807860236</c:v>
                </c:pt>
                <c:pt idx="3">
                  <c:v>154.50557981562326</c:v>
                </c:pt>
                <c:pt idx="4">
                  <c:v>162.51140223192598</c:v>
                </c:pt>
                <c:pt idx="5">
                  <c:v>171.9728287239204</c:v>
                </c:pt>
                <c:pt idx="6">
                  <c:v>186.77147016011617</c:v>
                </c:pt>
                <c:pt idx="7" formatCode="General">
                  <c:v>255</c:v>
                </c:pt>
              </c:numCache>
            </c:numRef>
          </c:xVal>
          <c:yVal>
            <c:numRef>
              <c:f>Podsumowanie!$M$47:$M$54</c:f>
              <c:numCache>
                <c:formatCode>General</c:formatCode>
                <c:ptCount val="8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6670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52E-4F45-9EBF-B5BD72F71264}"/>
            </c:ext>
          </c:extLst>
        </c:ser>
        <c:ser>
          <c:idx val="1"/>
          <c:order val="3"/>
          <c:tx>
            <c:v>Vmax1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Podsumowanie!$Q$3:$Q$11</c:f>
              <c:numCache>
                <c:formatCode>0.00</c:formatCode>
                <c:ptCount val="9"/>
                <c:pt idx="0">
                  <c:v>386.18922852983883</c:v>
                </c:pt>
                <c:pt idx="1">
                  <c:v>382.55021834060881</c:v>
                </c:pt>
                <c:pt idx="2">
                  <c:v>377.69820475497124</c:v>
                </c:pt>
                <c:pt idx="3">
                  <c:v>372.36098981076839</c:v>
                </c:pt>
                <c:pt idx="4">
                  <c:v>364.84036875303121</c:v>
                </c:pt>
                <c:pt idx="5">
                  <c:v>356.10674429888388</c:v>
                </c:pt>
                <c:pt idx="6">
                  <c:v>341.55070354196965</c:v>
                </c:pt>
                <c:pt idx="7">
                  <c:v>321.4148471615718</c:v>
                </c:pt>
                <c:pt idx="8" formatCode="General">
                  <c:v>275</c:v>
                </c:pt>
              </c:numCache>
            </c:numRef>
          </c:xVal>
          <c:yVal>
            <c:numRef>
              <c:f>Podsumowanie!$M$3:$M$11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52E-4F45-9EBF-B5BD72F71264}"/>
            </c:ext>
          </c:extLst>
        </c:ser>
        <c:ser>
          <c:idx val="14"/>
          <c:order val="4"/>
          <c:tx>
            <c:v>Vmax2</c:v>
          </c:tx>
          <c:spPr>
            <a:ln w="19050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Podsumowanie!$Q$36:$Q$43</c:f>
              <c:numCache>
                <c:formatCode>0.00</c:formatCode>
                <c:ptCount val="8"/>
                <c:pt idx="0">
                  <c:v>382.30761766132804</c:v>
                </c:pt>
                <c:pt idx="1">
                  <c:v>377.69820475497124</c:v>
                </c:pt>
                <c:pt idx="2">
                  <c:v>371.63318777292238</c:v>
                </c:pt>
                <c:pt idx="3">
                  <c:v>363.86996603590444</c:v>
                </c:pt>
                <c:pt idx="4">
                  <c:v>353.43813682678285</c:v>
                </c:pt>
                <c:pt idx="5">
                  <c:v>339.60989810771463</c:v>
                </c:pt>
                <c:pt idx="6">
                  <c:v>317.7758369723436</c:v>
                </c:pt>
                <c:pt idx="7" formatCode="General">
                  <c:v>250</c:v>
                </c:pt>
              </c:numCache>
            </c:numRef>
          </c:xVal>
          <c:yVal>
            <c:numRef>
              <c:f>Podsumowanie!$M$36:$M$43</c:f>
              <c:numCache>
                <c:formatCode>General</c:formatCode>
                <c:ptCount val="8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6890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52E-4F45-9EBF-B5BD72F71264}"/>
            </c:ext>
          </c:extLst>
        </c:ser>
        <c:ser>
          <c:idx val="21"/>
          <c:order val="5"/>
          <c:tx>
            <c:v>Vmax3</c:v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Podsumowanie!$Q$47:$Q$54</c:f>
              <c:numCache>
                <c:formatCode>0.00</c:formatCode>
                <c:ptCount val="8"/>
                <c:pt idx="0">
                  <c:v>383.76322173702005</c:v>
                </c:pt>
                <c:pt idx="1">
                  <c:v>380.3668122270708</c:v>
                </c:pt>
                <c:pt idx="2">
                  <c:v>371.63318777292238</c:v>
                </c:pt>
                <c:pt idx="3">
                  <c:v>363.38476467733921</c:v>
                </c:pt>
                <c:pt idx="4">
                  <c:v>351.49733139252783</c:v>
                </c:pt>
                <c:pt idx="5">
                  <c:v>337.6690926734592</c:v>
                </c:pt>
                <c:pt idx="6">
                  <c:v>314.3794274623969</c:v>
                </c:pt>
                <c:pt idx="7" formatCode="General">
                  <c:v>255</c:v>
                </c:pt>
              </c:numCache>
            </c:numRef>
          </c:xVal>
          <c:yVal>
            <c:numRef>
              <c:f>Podsumowanie!$M$47:$M$54</c:f>
              <c:numCache>
                <c:formatCode>General</c:formatCode>
                <c:ptCount val="8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6670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52E-4F45-9EBF-B5BD72F71264}"/>
            </c:ext>
          </c:extLst>
        </c:ser>
        <c:ser>
          <c:idx val="2"/>
          <c:order val="6"/>
          <c:tx>
            <c:v>Vw1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Podsumowanie!$U$3:$U$11</c:f>
              <c:numCache>
                <c:formatCode>0.00</c:formatCode>
                <c:ptCount val="9"/>
                <c:pt idx="0">
                  <c:v>234.80640465793275</c:v>
                </c:pt>
                <c:pt idx="1">
                  <c:v>240.14361960213481</c:v>
                </c:pt>
                <c:pt idx="2">
                  <c:v>245.96603590490031</c:v>
                </c:pt>
                <c:pt idx="3">
                  <c:v>251.30325084910237</c:v>
                </c:pt>
                <c:pt idx="4">
                  <c:v>256.88306647258594</c:v>
                </c:pt>
                <c:pt idx="5">
                  <c:v>261.24987869966014</c:v>
                </c:pt>
                <c:pt idx="6">
                  <c:v>266.10189228529811</c:v>
                </c:pt>
                <c:pt idx="7">
                  <c:v>272.16690926734589</c:v>
                </c:pt>
                <c:pt idx="8" formatCode="General">
                  <c:v>275</c:v>
                </c:pt>
              </c:numCache>
            </c:numRef>
          </c:xVal>
          <c:yVal>
            <c:numRef>
              <c:f>Podsumowanie!$M$3:$M$11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52E-4F45-9EBF-B5BD72F71264}"/>
            </c:ext>
          </c:extLst>
        </c:ser>
        <c:ser>
          <c:idx val="15"/>
          <c:order val="7"/>
          <c:tx>
            <c:v>Vw2</c:v>
          </c:tx>
          <c:spPr>
            <a:ln w="19050" cap="rnd">
              <a:solidFill>
                <a:schemeClr val="accent3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Podsumowanie!$U$36:$U$43</c:f>
              <c:numCache>
                <c:formatCode>0.00</c:formatCode>
                <c:ptCount val="8"/>
                <c:pt idx="0">
                  <c:v>218.55215914604534</c:v>
                </c:pt>
                <c:pt idx="1">
                  <c:v>224.37457544881116</c:v>
                </c:pt>
                <c:pt idx="2">
                  <c:v>229.95439107229478</c:v>
                </c:pt>
                <c:pt idx="3">
                  <c:v>235.29160601649684</c:v>
                </c:pt>
                <c:pt idx="4">
                  <c:v>239.65841824357105</c:v>
                </c:pt>
                <c:pt idx="5">
                  <c:v>243.54002911208147</c:v>
                </c:pt>
                <c:pt idx="6">
                  <c:v>248.63464337700131</c:v>
                </c:pt>
                <c:pt idx="7" formatCode="General">
                  <c:v>250</c:v>
                </c:pt>
              </c:numCache>
            </c:numRef>
          </c:xVal>
          <c:yVal>
            <c:numRef>
              <c:f>Podsumowanie!$M$36:$M$43</c:f>
              <c:numCache>
                <c:formatCode>General</c:formatCode>
                <c:ptCount val="8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6890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52E-4F45-9EBF-B5BD72F71264}"/>
            </c:ext>
          </c:extLst>
        </c:ser>
        <c:ser>
          <c:idx val="22"/>
          <c:order val="8"/>
          <c:tx>
            <c:v>Vw3</c:v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Podsumowanie!$U$47:$U$54</c:f>
              <c:numCache>
                <c:formatCode>0.00</c:formatCode>
                <c:ptCount val="8"/>
                <c:pt idx="0">
                  <c:v>231.16739446870454</c:v>
                </c:pt>
                <c:pt idx="1">
                  <c:v>235.77680737506057</c:v>
                </c:pt>
                <c:pt idx="2">
                  <c:v>240.62882096069853</c:v>
                </c:pt>
                <c:pt idx="3">
                  <c:v>245.96603590490031</c:v>
                </c:pt>
                <c:pt idx="4">
                  <c:v>251.06065016982015</c:v>
                </c:pt>
                <c:pt idx="5">
                  <c:v>254.94226103833091</c:v>
                </c:pt>
                <c:pt idx="6">
                  <c:v>259.06647258612327</c:v>
                </c:pt>
                <c:pt idx="7" formatCode="General">
                  <c:v>255</c:v>
                </c:pt>
              </c:numCache>
            </c:numRef>
          </c:xVal>
          <c:yVal>
            <c:numRef>
              <c:f>Podsumowanie!$M$47:$M$54</c:f>
              <c:numCache>
                <c:formatCode>General</c:formatCode>
                <c:ptCount val="8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6670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52E-4F45-9EBF-B5BD72F71264}"/>
            </c:ext>
          </c:extLst>
        </c:ser>
        <c:ser>
          <c:idx val="3"/>
          <c:order val="9"/>
          <c:tx>
            <c:v>Vy1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Podsumowanie!$Y$3:$Y$11</c:f>
              <c:numCache>
                <c:formatCode>0.00</c:formatCode>
                <c:ptCount val="9"/>
                <c:pt idx="0">
                  <c:v>166.30315361139347</c:v>
                </c:pt>
                <c:pt idx="1">
                  <c:v>185.05391658189191</c:v>
                </c:pt>
                <c:pt idx="2">
                  <c:v>201.75381485249221</c:v>
                </c:pt>
                <c:pt idx="3">
                  <c:v>216.69582909460823</c:v>
                </c:pt>
                <c:pt idx="4">
                  <c:v>229.87995930824005</c:v>
                </c:pt>
                <c:pt idx="5">
                  <c:v>243.06408952187186</c:v>
                </c:pt>
                <c:pt idx="6">
                  <c:v>254.78331637843334</c:v>
                </c:pt>
                <c:pt idx="7">
                  <c:v>264.45167853509668</c:v>
                </c:pt>
                <c:pt idx="8" formatCode="General">
                  <c:v>275</c:v>
                </c:pt>
              </c:numCache>
            </c:numRef>
          </c:xVal>
          <c:yVal>
            <c:numRef>
              <c:f>Podsumowanie!$M$3:$M$11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52E-4F45-9EBF-B5BD72F71264}"/>
            </c:ext>
          </c:extLst>
        </c:ser>
        <c:ser>
          <c:idx val="16"/>
          <c:order val="10"/>
          <c:tx>
            <c:v>Vy2</c:v>
          </c:tx>
          <c:spPr>
            <a:ln w="19050" cap="rnd">
              <a:solidFill>
                <a:schemeClr val="accent4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Podsumowanie!$Y$36:$Y$43</c:f>
              <c:numCache>
                <c:formatCode>0.00</c:formatCode>
                <c:ptCount val="8"/>
                <c:pt idx="0">
                  <c:v>161.9084435401829</c:v>
                </c:pt>
                <c:pt idx="1">
                  <c:v>172.16276703967441</c:v>
                </c:pt>
                <c:pt idx="2">
                  <c:v>181.83112919633771</c:v>
                </c:pt>
                <c:pt idx="3">
                  <c:v>194.42929806714133</c:v>
                </c:pt>
                <c:pt idx="4">
                  <c:v>205.85554425228889</c:v>
                </c:pt>
                <c:pt idx="5">
                  <c:v>217.28179043743609</c:v>
                </c:pt>
                <c:pt idx="6">
                  <c:v>231.0518819938961</c:v>
                </c:pt>
                <c:pt idx="7" formatCode="General">
                  <c:v>250</c:v>
                </c:pt>
              </c:numCache>
            </c:numRef>
          </c:xVal>
          <c:yVal>
            <c:numRef>
              <c:f>Podsumowanie!$M$36:$M$43</c:f>
              <c:numCache>
                <c:formatCode>General</c:formatCode>
                <c:ptCount val="8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6890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52E-4F45-9EBF-B5BD72F71264}"/>
            </c:ext>
          </c:extLst>
        </c:ser>
        <c:ser>
          <c:idx val="23"/>
          <c:order val="11"/>
          <c:tx>
            <c:v>Vy3</c:v>
          </c:tx>
          <c:spPr>
            <a:ln w="1905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Podsumowanie!$Y$47:$Y$54</c:f>
              <c:numCache>
                <c:formatCode>0.00</c:formatCode>
                <c:ptCount val="8"/>
                <c:pt idx="0">
                  <c:v>156.92777212614445</c:v>
                </c:pt>
                <c:pt idx="1">
                  <c:v>168.06103763987772</c:v>
                </c:pt>
                <c:pt idx="2">
                  <c:v>176.85045778229895</c:v>
                </c:pt>
                <c:pt idx="3">
                  <c:v>189.15564598168859</c:v>
                </c:pt>
                <c:pt idx="4">
                  <c:v>202.63275686673433</c:v>
                </c:pt>
                <c:pt idx="5">
                  <c:v>216.69582909460823</c:v>
                </c:pt>
                <c:pt idx="6">
                  <c:v>231.34486266530999</c:v>
                </c:pt>
                <c:pt idx="7" formatCode="General">
                  <c:v>255</c:v>
                </c:pt>
              </c:numCache>
            </c:numRef>
          </c:xVal>
          <c:yVal>
            <c:numRef>
              <c:f>Podsumowanie!$M$47:$M$54</c:f>
              <c:numCache>
                <c:formatCode>General</c:formatCode>
                <c:ptCount val="8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6670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C52E-4F45-9EBF-B5BD72F71264}"/>
            </c:ext>
          </c:extLst>
        </c:ser>
        <c:ser>
          <c:idx val="4"/>
          <c:order val="12"/>
          <c:tx>
            <c:v>10wmax1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Podsumowanie!$S$3:$S$11</c:f>
              <c:numCache>
                <c:formatCode>0.00</c:formatCode>
                <c:ptCount val="9"/>
                <c:pt idx="0">
                  <c:v>81.692154255319096</c:v>
                </c:pt>
                <c:pt idx="1">
                  <c:v>69.363918439716301</c:v>
                </c:pt>
                <c:pt idx="2">
                  <c:v>57.589760638297804</c:v>
                </c:pt>
                <c:pt idx="3">
                  <c:v>46.923758865248203</c:v>
                </c:pt>
                <c:pt idx="4">
                  <c:v>35.980718085106304</c:v>
                </c:pt>
                <c:pt idx="5">
                  <c:v>26.1458333333333</c:v>
                </c:pt>
                <c:pt idx="6">
                  <c:v>16.033909574467998</c:v>
                </c:pt>
                <c:pt idx="7">
                  <c:v>7.39051094890511</c:v>
                </c:pt>
                <c:pt idx="8" formatCode="General">
                  <c:v>0</c:v>
                </c:pt>
              </c:numCache>
            </c:numRef>
          </c:xVal>
          <c:yVal>
            <c:numRef>
              <c:f>Podsumowanie!$M$3:$M$11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C52E-4F45-9EBF-B5BD72F71264}"/>
            </c:ext>
          </c:extLst>
        </c:ser>
        <c:ser>
          <c:idx val="17"/>
          <c:order val="13"/>
          <c:tx>
            <c:v>10wmax2</c:v>
          </c:tx>
          <c:spPr>
            <a:ln w="19050" cap="rnd">
              <a:solidFill>
                <a:schemeClr val="accent5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Podsumowanie!$S$36:$S$43</c:f>
              <c:numCache>
                <c:formatCode>0.00</c:formatCode>
                <c:ptCount val="8"/>
                <c:pt idx="0">
                  <c:v>73.658023049645294</c:v>
                </c:pt>
                <c:pt idx="1">
                  <c:v>61.606826241134698</c:v>
                </c:pt>
                <c:pt idx="2">
                  <c:v>50.1097074468085</c:v>
                </c:pt>
                <c:pt idx="3">
                  <c:v>38.889627659574401</c:v>
                </c:pt>
                <c:pt idx="4">
                  <c:v>28.777703900709199</c:v>
                </c:pt>
                <c:pt idx="5">
                  <c:v>19.912455673758799</c:v>
                </c:pt>
                <c:pt idx="6">
                  <c:v>9.5234929078014297</c:v>
                </c:pt>
                <c:pt idx="7" formatCode="General">
                  <c:v>0</c:v>
                </c:pt>
              </c:numCache>
            </c:numRef>
          </c:xVal>
          <c:yVal>
            <c:numRef>
              <c:f>Podsumowanie!$M$36:$M$43</c:f>
              <c:numCache>
                <c:formatCode>General</c:formatCode>
                <c:ptCount val="8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6890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C52E-4F45-9EBF-B5BD72F71264}"/>
            </c:ext>
          </c:extLst>
        </c:ser>
        <c:ser>
          <c:idx val="24"/>
          <c:order val="14"/>
          <c:tx>
            <c:v>10wmax3</c:v>
          </c:tx>
          <c:spPr>
            <a:ln w="1905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Podsumowanie!$S$47:$S$54</c:f>
              <c:numCache>
                <c:formatCode>0.00</c:formatCode>
                <c:ptCount val="8"/>
                <c:pt idx="0">
                  <c:v>73.103945035460896</c:v>
                </c:pt>
                <c:pt idx="1">
                  <c:v>60.637189716312001</c:v>
                </c:pt>
                <c:pt idx="2">
                  <c:v>49.001551418439703</c:v>
                </c:pt>
                <c:pt idx="3">
                  <c:v>37.781471631205598</c:v>
                </c:pt>
                <c:pt idx="4">
                  <c:v>27.2539893617021</c:v>
                </c:pt>
                <c:pt idx="5">
                  <c:v>17.142065602836801</c:v>
                </c:pt>
                <c:pt idx="6">
                  <c:v>7.3071808510638299</c:v>
                </c:pt>
                <c:pt idx="7" formatCode="General">
                  <c:v>0</c:v>
                </c:pt>
              </c:numCache>
            </c:numRef>
          </c:xVal>
          <c:yVal>
            <c:numRef>
              <c:f>Podsumowanie!$M$47:$M$54</c:f>
              <c:numCache>
                <c:formatCode>General</c:formatCode>
                <c:ptCount val="8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6670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C52E-4F45-9EBF-B5BD72F71264}"/>
            </c:ext>
          </c:extLst>
        </c:ser>
        <c:ser>
          <c:idx val="5"/>
          <c:order val="15"/>
          <c:tx>
            <c:v>10ymax1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Podsumowanie!$W$3:$W$11</c:f>
              <c:numCache>
                <c:formatCode>0.00</c:formatCode>
                <c:ptCount val="9"/>
                <c:pt idx="0">
                  <c:v>84.556976802361405</c:v>
                </c:pt>
                <c:pt idx="1">
                  <c:v>69.628270766972904</c:v>
                </c:pt>
                <c:pt idx="2">
                  <c:v>55.520404249286997</c:v>
                </c:pt>
                <c:pt idx="3">
                  <c:v>43.380751463402405</c:v>
                </c:pt>
                <c:pt idx="4">
                  <c:v>32.225705851941996</c:v>
                </c:pt>
                <c:pt idx="5">
                  <c:v>22.546070076547199</c:v>
                </c:pt>
                <c:pt idx="6">
                  <c:v>13.195137001150702</c:v>
                </c:pt>
                <c:pt idx="7">
                  <c:v>5.4847155746043397</c:v>
                </c:pt>
                <c:pt idx="8" formatCode="General">
                  <c:v>0</c:v>
                </c:pt>
              </c:numCache>
            </c:numRef>
          </c:xVal>
          <c:yVal>
            <c:numRef>
              <c:f>Podsumowanie!$M$3:$M$11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C52E-4F45-9EBF-B5BD72F71264}"/>
            </c:ext>
          </c:extLst>
        </c:ser>
        <c:ser>
          <c:idx val="18"/>
          <c:order val="16"/>
          <c:tx>
            <c:v>10ymax2</c:v>
          </c:tx>
          <c:spPr>
            <a:ln w="19050" cap="rnd">
              <a:solidFill>
                <a:schemeClr val="accent6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Podsumowanie!$W$36:$W$43</c:f>
              <c:numCache>
                <c:formatCode>0.00</c:formatCode>
                <c:ptCount val="8"/>
                <c:pt idx="0">
                  <c:v>81.444724246618705</c:v>
                </c:pt>
                <c:pt idx="1">
                  <c:v>65.701182395810704</c:v>
                </c:pt>
                <c:pt idx="2">
                  <c:v>51.269449493854502</c:v>
                </c:pt>
                <c:pt idx="3">
                  <c:v>38.3114587328852</c:v>
                </c:pt>
                <c:pt idx="4">
                  <c:v>26.665610459783501</c:v>
                </c:pt>
                <c:pt idx="5">
                  <c:v>18.4623851375014</c:v>
                </c:pt>
                <c:pt idx="6">
                  <c:v>8.2906125444023697</c:v>
                </c:pt>
                <c:pt idx="7" formatCode="General">
                  <c:v>0</c:v>
                </c:pt>
              </c:numCache>
            </c:numRef>
          </c:xVal>
          <c:yVal>
            <c:numRef>
              <c:f>Podsumowanie!$M$36:$M$43</c:f>
              <c:numCache>
                <c:formatCode>General</c:formatCode>
                <c:ptCount val="8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6890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C52E-4F45-9EBF-B5BD72F71264}"/>
            </c:ext>
          </c:extLst>
        </c:ser>
        <c:ser>
          <c:idx val="25"/>
          <c:order val="17"/>
          <c:tx>
            <c:v>10ymax3</c:v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Podsumowanie!$W$47:$W$54</c:f>
              <c:numCache>
                <c:formatCode>0.00</c:formatCode>
                <c:ptCount val="8"/>
                <c:pt idx="0">
                  <c:v>79.644280639727796</c:v>
                </c:pt>
                <c:pt idx="1">
                  <c:v>63.900238480396197</c:v>
                </c:pt>
                <c:pt idx="2">
                  <c:v>50.124743591881604</c:v>
                </c:pt>
                <c:pt idx="3">
                  <c:v>37.330854026649696</c:v>
                </c:pt>
                <c:pt idx="4">
                  <c:v>25.519903940763399</c:v>
                </c:pt>
                <c:pt idx="5">
                  <c:v>15.511899004386001</c:v>
                </c:pt>
                <c:pt idx="6">
                  <c:v>5.99536380768141</c:v>
                </c:pt>
                <c:pt idx="7" formatCode="General">
                  <c:v>0</c:v>
                </c:pt>
              </c:numCache>
            </c:numRef>
          </c:xVal>
          <c:yVal>
            <c:numRef>
              <c:f>Podsumowanie!$M$47:$M$54</c:f>
              <c:numCache>
                <c:formatCode>General</c:formatCode>
                <c:ptCount val="8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6670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C52E-4F45-9EBF-B5BD72F71264}"/>
            </c:ext>
          </c:extLst>
        </c:ser>
        <c:ser>
          <c:idx val="6"/>
          <c:order val="18"/>
          <c:tx>
            <c:v>10th1</c:v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Podsumowanie!$AA$3:$AA$11</c:f>
              <c:numCache>
                <c:formatCode>0.00</c:formatCode>
                <c:ptCount val="9"/>
                <c:pt idx="0">
                  <c:v>0</c:v>
                </c:pt>
                <c:pt idx="1">
                  <c:v>22.214829052289236</c:v>
                </c:pt>
                <c:pt idx="2">
                  <c:v>48.698925005995164</c:v>
                </c:pt>
                <c:pt idx="3">
                  <c:v>80.92839465410907</c:v>
                </c:pt>
                <c:pt idx="4">
                  <c:v>121.84825253921929</c:v>
                </c:pt>
                <c:pt idx="5">
                  <c:v>176.88131564237668</c:v>
                </c:pt>
                <c:pt idx="6">
                  <c:v>260.72700965119213</c:v>
                </c:pt>
                <c:pt idx="7">
                  <c:v>425.45739534593872</c:v>
                </c:pt>
                <c:pt idx="8" formatCode="General">
                  <c:v>500</c:v>
                </c:pt>
              </c:numCache>
            </c:numRef>
          </c:xVal>
          <c:yVal>
            <c:numRef>
              <c:f>Podsumowanie!$M$3:$M$11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C52E-4F45-9EBF-B5BD72F71264}"/>
            </c:ext>
          </c:extLst>
        </c:ser>
        <c:ser>
          <c:idx val="19"/>
          <c:order val="19"/>
          <c:tx>
            <c:v>10th2</c:v>
          </c:tx>
          <c:spPr>
            <a:ln w="1270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Podsumowanie!$AA$36:$AA$43</c:f>
              <c:numCache>
                <c:formatCode>0.00</c:formatCode>
                <c:ptCount val="8"/>
                <c:pt idx="0">
                  <c:v>0</c:v>
                </c:pt>
                <c:pt idx="1">
                  <c:v>24.840184225337406</c:v>
                </c:pt>
                <c:pt idx="2">
                  <c:v>54.99700137097885</c:v>
                </c:pt>
                <c:pt idx="3">
                  <c:v>93.055343309779403</c:v>
                </c:pt>
                <c:pt idx="4">
                  <c:v>143.4411109645971</c:v>
                </c:pt>
                <c:pt idx="5">
                  <c:v>214.24856678462606</c:v>
                </c:pt>
                <c:pt idx="6">
                  <c:v>343.60132831470054</c:v>
                </c:pt>
                <c:pt idx="7" formatCode="General">
                  <c:v>500</c:v>
                </c:pt>
              </c:numCache>
            </c:numRef>
          </c:xVal>
          <c:yVal>
            <c:numRef>
              <c:f>Podsumowanie!$M$36:$M$43</c:f>
              <c:numCache>
                <c:formatCode>General</c:formatCode>
                <c:ptCount val="8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6890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C52E-4F45-9EBF-B5BD72F71264}"/>
            </c:ext>
          </c:extLst>
        </c:ser>
        <c:ser>
          <c:idx val="26"/>
          <c:order val="20"/>
          <c:tx>
            <c:v>10th3</c:v>
          </c:tx>
          <c:spPr>
            <a:ln w="127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Podsumowanie!$AA$47:$AA$54</c:f>
              <c:numCache>
                <c:formatCode>0.00</c:formatCode>
                <c:ptCount val="8"/>
                <c:pt idx="0">
                  <c:v>0</c:v>
                </c:pt>
                <c:pt idx="1">
                  <c:v>25.142234816324521</c:v>
                </c:pt>
                <c:pt idx="2">
                  <c:v>55.89144030058312</c:v>
                </c:pt>
                <c:pt idx="3">
                  <c:v>94.954371438325325</c:v>
                </c:pt>
                <c:pt idx="4">
                  <c:v>147.58760168997446</c:v>
                </c:pt>
                <c:pt idx="5">
                  <c:v>226.77752082316488</c:v>
                </c:pt>
                <c:pt idx="6">
                  <c:v>389.43394602399286</c:v>
                </c:pt>
                <c:pt idx="7" formatCode="General">
                  <c:v>500</c:v>
                </c:pt>
              </c:numCache>
            </c:numRef>
          </c:xVal>
          <c:yVal>
            <c:numRef>
              <c:f>Podsumowanie!$M$47:$M$54</c:f>
              <c:numCache>
                <c:formatCode>General</c:formatCode>
                <c:ptCount val="8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6670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C52E-4F45-9EBF-B5BD72F71264}"/>
            </c:ext>
          </c:extLst>
        </c:ser>
        <c:ser>
          <c:idx val="7"/>
          <c:order val="21"/>
          <c:tx>
            <c:v>ht1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Podsumowanie!$AC$45:$AC$46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xVal>
          <c:yVal>
            <c:numRef>
              <c:f>Podsumowanie!$AC$41:$AC$42</c:f>
              <c:numCache>
                <c:formatCode>General</c:formatCode>
                <c:ptCount val="2"/>
                <c:pt idx="0">
                  <c:v>7700</c:v>
                </c:pt>
                <c:pt idx="1">
                  <c:v>7700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C52E-4F45-9EBF-B5BD72F71264}"/>
            </c:ext>
          </c:extLst>
        </c:ser>
        <c:ser>
          <c:idx val="9"/>
          <c:order val="22"/>
          <c:tx>
            <c:v>ht2</c:v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Podsumowanie!$AC$45:$AC$46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xVal>
          <c:yVal>
            <c:numRef>
              <c:f>Podsumowanie!$AI$41:$AI$42</c:f>
              <c:numCache>
                <c:formatCode>General</c:formatCode>
                <c:ptCount val="2"/>
                <c:pt idx="0">
                  <c:v>6890</c:v>
                </c:pt>
                <c:pt idx="1">
                  <c:v>6890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C52E-4F45-9EBF-B5BD72F71264}"/>
            </c:ext>
          </c:extLst>
        </c:ser>
        <c:ser>
          <c:idx val="11"/>
          <c:order val="23"/>
          <c:tx>
            <c:v>ht3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Podsumowanie!$AC$45:$AC$46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xVal>
          <c:yVal>
            <c:numRef>
              <c:f>Podsumowanie!$AK$41:$AK$42</c:f>
              <c:numCache>
                <c:formatCode>General</c:formatCode>
                <c:ptCount val="2"/>
                <c:pt idx="0">
                  <c:v>6670</c:v>
                </c:pt>
                <c:pt idx="1">
                  <c:v>6670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C52E-4F45-9EBF-B5BD72F71264}"/>
            </c:ext>
          </c:extLst>
        </c:ser>
        <c:ser>
          <c:idx val="8"/>
          <c:order val="24"/>
          <c:tx>
            <c:v>hp1</c:v>
          </c:tx>
          <c:spPr>
            <a:ln w="12700" cap="rnd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Podsumowanie!$AC$45:$AC$46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xVal>
          <c:yVal>
            <c:numRef>
              <c:f>Podsumowanie!$AD$41:$AD$42</c:f>
              <c:numCache>
                <c:formatCode>General</c:formatCode>
                <c:ptCount val="2"/>
                <c:pt idx="0">
                  <c:v>7228.9449999999997</c:v>
                </c:pt>
                <c:pt idx="1">
                  <c:v>7228.9449999999997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C52E-4F45-9EBF-B5BD72F71264}"/>
            </c:ext>
          </c:extLst>
        </c:ser>
        <c:ser>
          <c:idx val="10"/>
          <c:order val="25"/>
          <c:tx>
            <c:v>hp2</c:v>
          </c:tx>
          <c:spPr>
            <a:ln w="12700" cap="rnd">
              <a:solidFill>
                <a:schemeClr val="bg1">
                  <a:lumMod val="5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Podsumowanie!$AC$45:$AC$46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xVal>
          <c:yVal>
            <c:numRef>
              <c:f>Podsumowanie!$AJ$41:$AJ$42</c:f>
              <c:numCache>
                <c:formatCode>General</c:formatCode>
                <c:ptCount val="2"/>
                <c:pt idx="0">
                  <c:v>6422.2349999999997</c:v>
                </c:pt>
                <c:pt idx="1">
                  <c:v>6422.2349999999997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C52E-4F45-9EBF-B5BD72F71264}"/>
            </c:ext>
          </c:extLst>
        </c:ser>
        <c:ser>
          <c:idx val="12"/>
          <c:order val="26"/>
          <c:tx>
            <c:v>hp3</c:v>
          </c:tx>
          <c:spPr>
            <a:ln w="1270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Podsumowanie!$AC$45:$AC$46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xVal>
          <c:yVal>
            <c:numRef>
              <c:f>Podsumowanie!$AL$41:$AL$42</c:f>
              <c:numCache>
                <c:formatCode>General</c:formatCode>
                <c:ptCount val="2"/>
                <c:pt idx="0">
                  <c:v>6214.05</c:v>
                </c:pt>
                <c:pt idx="1">
                  <c:v>6214.05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C52E-4F45-9EBF-B5BD72F71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335119"/>
        <c:axId val="1641619439"/>
      </c:scatterChart>
      <c:valAx>
        <c:axId val="1494335119"/>
        <c:scaling>
          <c:orientation val="minMax"/>
          <c:max val="4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 [km/h]</a:t>
                </a:r>
              </a:p>
              <a:p>
                <a:pPr>
                  <a:defRPr/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 [m/s]</a:t>
                </a:r>
              </a:p>
              <a:p>
                <a:pPr>
                  <a:defRPr/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 [min]</a:t>
                </a:r>
              </a:p>
              <a:p>
                <a:pPr>
                  <a:defRPr/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γ</a:t>
                </a: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[°]</a:t>
                </a:r>
              </a:p>
            </c:rich>
          </c:tx>
          <c:layout>
            <c:manualLayout>
              <c:xMode val="edge"/>
              <c:yMode val="edge"/>
              <c:x val="0.87937522814012614"/>
              <c:y val="0.848554551664526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41619439"/>
        <c:crosses val="autoZero"/>
        <c:crossBetween val="midCat"/>
        <c:majorUnit val="10"/>
      </c:valAx>
      <c:valAx>
        <c:axId val="1641619439"/>
        <c:scaling>
          <c:orientation val="minMax"/>
          <c:max val="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h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94335119"/>
        <c:crosses val="autoZero"/>
        <c:crossBetween val="midCat"/>
        <c:majorUnit val="5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ciągu mśr h(w)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6.378171478565179E-3"/>
                  <c:y val="-0.713810513269174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(Podsumowanie!$R$14,Podsumowanie!$R$21)</c:f>
              <c:numCache>
                <c:formatCode>0.00</c:formatCode>
                <c:ptCount val="2"/>
                <c:pt idx="0">
                  <c:v>8.5237226277372198</c:v>
                </c:pt>
                <c:pt idx="1">
                  <c:v>0.66145833333333204</c:v>
                </c:pt>
              </c:numCache>
            </c:numRef>
          </c:xVal>
          <c:yVal>
            <c:numRef>
              <c:f>(Podsumowanie!$M$14,Podsumowanie!$M$21)</c:f>
              <c:numCache>
                <c:formatCode>General</c:formatCode>
                <c:ptCount val="2"/>
                <c:pt idx="0">
                  <c:v>0</c:v>
                </c:pt>
                <c:pt idx="1">
                  <c:v>7000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8A-4608-A4AC-6100CC10A14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Podsumowanie!$AD$45:$AD$46</c:f>
              <c:numCache>
                <c:formatCode>General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xVal>
          <c:yVal>
            <c:numRef>
              <c:f>Podsumowanie!$AC$45:$AC$46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28A-4608-A4AC-6100CC10A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339439"/>
        <c:axId val="1373292671"/>
      </c:scatterChart>
      <c:valAx>
        <c:axId val="1494339439"/>
        <c:scaling>
          <c:orientation val="minMax"/>
          <c:max val="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73292671"/>
        <c:crosses val="autoZero"/>
        <c:crossBetween val="midCat"/>
      </c:valAx>
      <c:valAx>
        <c:axId val="1373292671"/>
        <c:scaling>
          <c:orientation val="minMax"/>
          <c:max val="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h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94339439"/>
        <c:crosses val="autoZero"/>
        <c:crossBetween val="midCat"/>
        <c:majorUnit val="1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mocy mśr h(w)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marker>
            <c:symbol val="none"/>
          </c:marker>
          <c:xVal>
            <c:numRef>
              <c:f>(Podsumowanie!$R$25,Podsumowanie!$R$32)</c:f>
              <c:numCache>
                <c:formatCode>0.00</c:formatCode>
                <c:ptCount val="2"/>
                <c:pt idx="0">
                  <c:v>8.4580291970802897</c:v>
                </c:pt>
                <c:pt idx="1">
                  <c:v>0.65693430656934304</c:v>
                </c:pt>
              </c:numCache>
            </c:numRef>
          </c:xVal>
          <c:yVal>
            <c:numRef>
              <c:f>(Podsumowanie!$M$25,Podsumowanie!$M$32)</c:f>
              <c:numCache>
                <c:formatCode>General</c:formatCode>
                <c:ptCount val="2"/>
                <c:pt idx="0">
                  <c:v>0</c:v>
                </c:pt>
                <c:pt idx="1">
                  <c:v>7000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89F-4822-B5EA-796793637DE2}"/>
            </c:ext>
          </c:extLst>
        </c:ser>
        <c:ser>
          <c:idx val="3"/>
          <c:order val="1"/>
          <c:marker>
            <c:symbol val="none"/>
          </c:marker>
          <c:xVal>
            <c:numRef>
              <c:f>Podsumowanie!$AD$45:$AD$46</c:f>
              <c:numCache>
                <c:formatCode>General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xVal>
          <c:yVal>
            <c:numRef>
              <c:f>Podsumowanie!$AC$45:$AC$46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89F-4822-B5EA-796793637DE2}"/>
            </c:ext>
          </c:extLst>
        </c:ser>
        <c:ser>
          <c:idx val="0"/>
          <c:order val="2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6.378171478565179E-3"/>
                  <c:y val="-0.713810513269174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(Podsumowanie!$R$25,Podsumowanie!$R$32)</c:f>
              <c:numCache>
                <c:formatCode>0.00</c:formatCode>
                <c:ptCount val="2"/>
                <c:pt idx="0">
                  <c:v>8.4580291970802897</c:v>
                </c:pt>
                <c:pt idx="1">
                  <c:v>0.65693430656934304</c:v>
                </c:pt>
              </c:numCache>
            </c:numRef>
          </c:xVal>
          <c:yVal>
            <c:numRef>
              <c:f>(Podsumowanie!$M$25,Podsumowanie!$M$32)</c:f>
              <c:numCache>
                <c:formatCode>General</c:formatCode>
                <c:ptCount val="2"/>
                <c:pt idx="0">
                  <c:v>0</c:v>
                </c:pt>
                <c:pt idx="1">
                  <c:v>7000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89F-4822-B5EA-796793637DE2}"/>
            </c:ext>
          </c:extLst>
        </c:ser>
        <c:ser>
          <c:idx val="1"/>
          <c:order val="3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Podsumowanie!$AD$45:$AD$46</c:f>
              <c:numCache>
                <c:formatCode>General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xVal>
          <c:yVal>
            <c:numRef>
              <c:f>Podsumowanie!$AC$45:$AC$46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89F-4822-B5EA-796793637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339439"/>
        <c:axId val="1373292671"/>
      </c:scatterChart>
      <c:valAx>
        <c:axId val="1494339439"/>
        <c:scaling>
          <c:orientation val="minMax"/>
          <c:max val="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73292671"/>
        <c:crosses val="autoZero"/>
        <c:crossBetween val="midCat"/>
      </c:valAx>
      <c:valAx>
        <c:axId val="1373292671"/>
        <c:scaling>
          <c:orientation val="minMax"/>
          <c:max val="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h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94339439"/>
        <c:crosses val="autoZero"/>
        <c:crossBetween val="midCat"/>
        <c:majorUnit val="1000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 ofertowy samolotu Piper w otoczeniu pułapu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5.0553237624689336E-2"/>
          <c:y val="6.6571788151444766E-2"/>
          <c:w val="0.85026377588115487"/>
          <c:h val="0.82525398493297142"/>
        </c:manualLayout>
      </c:layout>
      <c:scatterChart>
        <c:scatterStyle val="smoothMarker"/>
        <c:varyColors val="0"/>
        <c:ser>
          <c:idx val="0"/>
          <c:order val="0"/>
          <c:tx>
            <c:v>Vmin1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Podsumowanie!$O$3:$O$11</c:f>
              <c:numCache>
                <c:formatCode>0.00</c:formatCode>
                <c:ptCount val="9"/>
                <c:pt idx="0">
                  <c:v>132.91411935953411</c:v>
                </c:pt>
                <c:pt idx="1">
                  <c:v>139.46433770014522</c:v>
                </c:pt>
                <c:pt idx="2">
                  <c:v>146.74235807860236</c:v>
                </c:pt>
                <c:pt idx="3">
                  <c:v>154.26297913634136</c:v>
                </c:pt>
                <c:pt idx="4">
                  <c:v>162.26880155264411</c:v>
                </c:pt>
                <c:pt idx="5">
                  <c:v>171.00242600679252</c:v>
                </c:pt>
                <c:pt idx="6">
                  <c:v>180.22125181950503</c:v>
                </c:pt>
                <c:pt idx="7">
                  <c:v>210.06113537117881</c:v>
                </c:pt>
                <c:pt idx="8" formatCode="General">
                  <c:v>275</c:v>
                </c:pt>
              </c:numCache>
            </c:numRef>
          </c:xVal>
          <c:yVal>
            <c:numRef>
              <c:f>Podsumowanie!$M$3:$M$11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2C-4EB4-B1BE-459F5D06FAEB}"/>
            </c:ext>
          </c:extLst>
        </c:ser>
        <c:ser>
          <c:idx val="13"/>
          <c:order val="1"/>
          <c:tx>
            <c:v>Vmin2</c:v>
          </c:tx>
          <c:spPr>
            <a:ln w="19050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Podsumowanie!$O$14:$O$22</c:f>
              <c:numCache>
                <c:formatCode>0.00</c:formatCode>
                <c:ptCount val="9"/>
                <c:pt idx="0">
                  <c:v>126.39803439803435</c:v>
                </c:pt>
                <c:pt idx="1">
                  <c:v>132.76658476658449</c:v>
                </c:pt>
                <c:pt idx="2">
                  <c:v>139.84275184275168</c:v>
                </c:pt>
                <c:pt idx="3">
                  <c:v>146.91891891891888</c:v>
                </c:pt>
                <c:pt idx="4">
                  <c:v>155.0565110565108</c:v>
                </c:pt>
                <c:pt idx="5">
                  <c:v>163.54791154791144</c:v>
                </c:pt>
                <c:pt idx="6">
                  <c:v>173.10073710073681</c:v>
                </c:pt>
                <c:pt idx="7">
                  <c:v>183.36117936117927</c:v>
                </c:pt>
                <c:pt idx="8" formatCode="General">
                  <c:v>245</c:v>
                </c:pt>
              </c:numCache>
            </c:numRef>
          </c:xVal>
          <c:yVal>
            <c:numRef>
              <c:f>Podsumowanie!$M$14:$M$22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72C-4EB4-B1BE-459F5D06FAEB}"/>
            </c:ext>
          </c:extLst>
        </c:ser>
        <c:ser>
          <c:idx val="20"/>
          <c:order val="2"/>
          <c:tx>
            <c:v>Vmin3</c:v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Podsumowanie!$O$25:$O$33</c:f>
              <c:numCache>
                <c:formatCode>0.00</c:formatCode>
                <c:ptCount val="9"/>
                <c:pt idx="0">
                  <c:v>126.39803439803435</c:v>
                </c:pt>
                <c:pt idx="1">
                  <c:v>132.76658476658449</c:v>
                </c:pt>
                <c:pt idx="2">
                  <c:v>139.84275184275168</c:v>
                </c:pt>
                <c:pt idx="3">
                  <c:v>146.91891891891888</c:v>
                </c:pt>
                <c:pt idx="4">
                  <c:v>154.70270270270242</c:v>
                </c:pt>
                <c:pt idx="5">
                  <c:v>163.54791154791144</c:v>
                </c:pt>
                <c:pt idx="6">
                  <c:v>172.74692874692846</c:v>
                </c:pt>
                <c:pt idx="7">
                  <c:v>187.2530712530712</c:v>
                </c:pt>
                <c:pt idx="8" formatCode="General">
                  <c:v>250</c:v>
                </c:pt>
              </c:numCache>
            </c:numRef>
          </c:xVal>
          <c:yVal>
            <c:numRef>
              <c:f>Podsumowanie!$M$25:$M$33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7590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72C-4EB4-B1BE-459F5D06FAEB}"/>
            </c:ext>
          </c:extLst>
        </c:ser>
        <c:ser>
          <c:idx val="1"/>
          <c:order val="3"/>
          <c:tx>
            <c:v>Vmax1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Podsumowanie!$Q$3:$Q$11</c:f>
              <c:numCache>
                <c:formatCode>0.00</c:formatCode>
                <c:ptCount val="9"/>
                <c:pt idx="0">
                  <c:v>386.18922852983883</c:v>
                </c:pt>
                <c:pt idx="1">
                  <c:v>382.55021834060881</c:v>
                </c:pt>
                <c:pt idx="2">
                  <c:v>377.69820475497124</c:v>
                </c:pt>
                <c:pt idx="3">
                  <c:v>372.36098981076839</c:v>
                </c:pt>
                <c:pt idx="4">
                  <c:v>364.84036875303121</c:v>
                </c:pt>
                <c:pt idx="5">
                  <c:v>356.10674429888388</c:v>
                </c:pt>
                <c:pt idx="6">
                  <c:v>341.55070354196965</c:v>
                </c:pt>
                <c:pt idx="7">
                  <c:v>321.4148471615718</c:v>
                </c:pt>
                <c:pt idx="8" formatCode="General">
                  <c:v>275</c:v>
                </c:pt>
              </c:numCache>
            </c:numRef>
          </c:xVal>
          <c:yVal>
            <c:numRef>
              <c:f>Podsumowanie!$M$3:$M$11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72C-4EB4-B1BE-459F5D06FAEB}"/>
            </c:ext>
          </c:extLst>
        </c:ser>
        <c:ser>
          <c:idx val="14"/>
          <c:order val="4"/>
          <c:tx>
            <c:v>Vmax2</c:v>
          </c:tx>
          <c:spPr>
            <a:ln w="19050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Podsumowanie!$Q$14:$Q$22</c:f>
              <c:numCache>
                <c:formatCode>0.00</c:formatCode>
                <c:ptCount val="9"/>
                <c:pt idx="0">
                  <c:v>385.03194103193761</c:v>
                </c:pt>
                <c:pt idx="1">
                  <c:v>380.78624078623801</c:v>
                </c:pt>
                <c:pt idx="2">
                  <c:v>375.4791154791144</c:v>
                </c:pt>
                <c:pt idx="3">
                  <c:v>369.46437346437119</c:v>
                </c:pt>
                <c:pt idx="4">
                  <c:v>360.972972972972</c:v>
                </c:pt>
                <c:pt idx="5">
                  <c:v>349.29729729729723</c:v>
                </c:pt>
                <c:pt idx="6">
                  <c:v>333.72972972972968</c:v>
                </c:pt>
                <c:pt idx="7">
                  <c:v>307.19410319410309</c:v>
                </c:pt>
                <c:pt idx="8" formatCode="General">
                  <c:v>245</c:v>
                </c:pt>
              </c:numCache>
            </c:numRef>
          </c:xVal>
          <c:yVal>
            <c:numRef>
              <c:f>Podsumowanie!$M$14:$M$22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72C-4EB4-B1BE-459F5D06FAEB}"/>
            </c:ext>
          </c:extLst>
        </c:ser>
        <c:ser>
          <c:idx val="21"/>
          <c:order val="5"/>
          <c:tx>
            <c:v>Vmax3</c:v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Podsumowanie!$Q$25:$Q$33</c:f>
              <c:numCache>
                <c:formatCode>0.00</c:formatCode>
                <c:ptCount val="9"/>
                <c:pt idx="0">
                  <c:v>382.62857142857041</c:v>
                </c:pt>
                <c:pt idx="1">
                  <c:v>380.078624078622</c:v>
                </c:pt>
                <c:pt idx="2">
                  <c:v>377.95577395577038</c:v>
                </c:pt>
                <c:pt idx="3">
                  <c:v>368.40294840294717</c:v>
                </c:pt>
                <c:pt idx="4">
                  <c:v>359.91154791154764</c:v>
                </c:pt>
                <c:pt idx="5">
                  <c:v>346.82063882063869</c:v>
                </c:pt>
                <c:pt idx="6">
                  <c:v>331.96068796068789</c:v>
                </c:pt>
                <c:pt idx="7">
                  <c:v>305.07125307125295</c:v>
                </c:pt>
                <c:pt idx="8" formatCode="General">
                  <c:v>250</c:v>
                </c:pt>
              </c:numCache>
            </c:numRef>
          </c:xVal>
          <c:yVal>
            <c:numRef>
              <c:f>Podsumowanie!$M$25:$M$33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7590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72C-4EB4-B1BE-459F5D06FAEB}"/>
            </c:ext>
          </c:extLst>
        </c:ser>
        <c:ser>
          <c:idx val="2"/>
          <c:order val="6"/>
          <c:tx>
            <c:v>Vw1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Podsumowanie!$U$3:$U$11</c:f>
              <c:numCache>
                <c:formatCode>0.00</c:formatCode>
                <c:ptCount val="9"/>
                <c:pt idx="0">
                  <c:v>234.80640465793275</c:v>
                </c:pt>
                <c:pt idx="1">
                  <c:v>240.14361960213481</c:v>
                </c:pt>
                <c:pt idx="2">
                  <c:v>245.96603590490031</c:v>
                </c:pt>
                <c:pt idx="3">
                  <c:v>251.30325084910237</c:v>
                </c:pt>
                <c:pt idx="4">
                  <c:v>256.88306647258594</c:v>
                </c:pt>
                <c:pt idx="5">
                  <c:v>261.24987869966014</c:v>
                </c:pt>
                <c:pt idx="6">
                  <c:v>266.10189228529811</c:v>
                </c:pt>
                <c:pt idx="7">
                  <c:v>272.16690926734589</c:v>
                </c:pt>
                <c:pt idx="8" formatCode="General">
                  <c:v>275</c:v>
                </c:pt>
              </c:numCache>
            </c:numRef>
          </c:xVal>
          <c:yVal>
            <c:numRef>
              <c:f>Podsumowanie!$M$3:$M$11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72C-4EB4-B1BE-459F5D06FAEB}"/>
            </c:ext>
          </c:extLst>
        </c:ser>
        <c:ser>
          <c:idx val="15"/>
          <c:order val="7"/>
          <c:tx>
            <c:v>Vw2</c:v>
          </c:tx>
          <c:spPr>
            <a:ln w="19050" cap="rnd">
              <a:solidFill>
                <a:schemeClr val="accent3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Podsumowanie!$U$14:$U$22</c:f>
              <c:numCache>
                <c:formatCode>0.00</c:formatCode>
                <c:ptCount val="9"/>
                <c:pt idx="0">
                  <c:v>216.61916461916437</c:v>
                </c:pt>
                <c:pt idx="1">
                  <c:v>220.15724815724795</c:v>
                </c:pt>
                <c:pt idx="2">
                  <c:v>225.11056511056501</c:v>
                </c:pt>
                <c:pt idx="3">
                  <c:v>228.29484029484024</c:v>
                </c:pt>
                <c:pt idx="4">
                  <c:v>232.54054054054055</c:v>
                </c:pt>
                <c:pt idx="5">
                  <c:v>235.72481572481547</c:v>
                </c:pt>
                <c:pt idx="6">
                  <c:v>239.97051597051578</c:v>
                </c:pt>
                <c:pt idx="7">
                  <c:v>243.50859950859936</c:v>
                </c:pt>
                <c:pt idx="8" formatCode="General">
                  <c:v>245</c:v>
                </c:pt>
              </c:numCache>
            </c:numRef>
          </c:xVal>
          <c:yVal>
            <c:numRef>
              <c:f>Podsumowanie!$M$14:$M$22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72C-4EB4-B1BE-459F5D06FAEB}"/>
            </c:ext>
          </c:extLst>
        </c:ser>
        <c:ser>
          <c:idx val="22"/>
          <c:order val="8"/>
          <c:tx>
            <c:v>Vw3</c:v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Podsumowanie!$U$25:$U$33</c:f>
              <c:numCache>
                <c:formatCode>0.00</c:formatCode>
                <c:ptCount val="9"/>
                <c:pt idx="0">
                  <c:v>222.98771498771484</c:v>
                </c:pt>
                <c:pt idx="1">
                  <c:v>226.52579852579842</c:v>
                </c:pt>
                <c:pt idx="2">
                  <c:v>231.83292383292383</c:v>
                </c:pt>
                <c:pt idx="3">
                  <c:v>235.72481572481547</c:v>
                </c:pt>
                <c:pt idx="4">
                  <c:v>239.26289926289905</c:v>
                </c:pt>
                <c:pt idx="5">
                  <c:v>244.21621621621608</c:v>
                </c:pt>
                <c:pt idx="6">
                  <c:v>247.40049140049135</c:v>
                </c:pt>
                <c:pt idx="7">
                  <c:v>251.29238329238328</c:v>
                </c:pt>
                <c:pt idx="8" formatCode="General">
                  <c:v>250</c:v>
                </c:pt>
              </c:numCache>
            </c:numRef>
          </c:xVal>
          <c:yVal>
            <c:numRef>
              <c:f>Podsumowanie!$M$25:$M$33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7590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72C-4EB4-B1BE-459F5D06FAEB}"/>
            </c:ext>
          </c:extLst>
        </c:ser>
        <c:ser>
          <c:idx val="3"/>
          <c:order val="9"/>
          <c:tx>
            <c:v>Vy1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Podsumowanie!$Y$3:$Y$11</c:f>
              <c:numCache>
                <c:formatCode>0.00</c:formatCode>
                <c:ptCount val="9"/>
                <c:pt idx="0">
                  <c:v>166.30315361139347</c:v>
                </c:pt>
                <c:pt idx="1">
                  <c:v>185.05391658189191</c:v>
                </c:pt>
                <c:pt idx="2">
                  <c:v>201.75381485249221</c:v>
                </c:pt>
                <c:pt idx="3">
                  <c:v>216.69582909460823</c:v>
                </c:pt>
                <c:pt idx="4">
                  <c:v>229.87995930824005</c:v>
                </c:pt>
                <c:pt idx="5">
                  <c:v>243.06408952187186</c:v>
                </c:pt>
                <c:pt idx="6">
                  <c:v>254.78331637843334</c:v>
                </c:pt>
                <c:pt idx="7">
                  <c:v>264.45167853509668</c:v>
                </c:pt>
                <c:pt idx="8" formatCode="General">
                  <c:v>275</c:v>
                </c:pt>
              </c:numCache>
            </c:numRef>
          </c:xVal>
          <c:yVal>
            <c:numRef>
              <c:f>Podsumowanie!$M$3:$M$11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72C-4EB4-B1BE-459F5D06FAEB}"/>
            </c:ext>
          </c:extLst>
        </c:ser>
        <c:ser>
          <c:idx val="16"/>
          <c:order val="10"/>
          <c:tx>
            <c:v>Vy2</c:v>
          </c:tx>
          <c:spPr>
            <a:ln w="19050" cap="rnd">
              <a:solidFill>
                <a:schemeClr val="accent4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Podsumowanie!$Y$14:$Y$22</c:f>
              <c:numCache>
                <c:formatCode>0.00</c:formatCode>
                <c:ptCount val="9"/>
                <c:pt idx="0">
                  <c:v>155.01330108827065</c:v>
                </c:pt>
                <c:pt idx="1">
                  <c:v>165.80894800483657</c:v>
                </c:pt>
                <c:pt idx="2">
                  <c:v>174.51511487303509</c:v>
                </c:pt>
                <c:pt idx="3">
                  <c:v>184.96251511487282</c:v>
                </c:pt>
                <c:pt idx="4">
                  <c:v>194.01692865779916</c:v>
                </c:pt>
                <c:pt idx="5">
                  <c:v>208.99153567110025</c:v>
                </c:pt>
                <c:pt idx="6">
                  <c:v>220.48367593712183</c:v>
                </c:pt>
                <c:pt idx="7">
                  <c:v>234</c:v>
                </c:pt>
                <c:pt idx="8" formatCode="General">
                  <c:v>245</c:v>
                </c:pt>
              </c:numCache>
            </c:numRef>
          </c:xVal>
          <c:yVal>
            <c:numRef>
              <c:f>Podsumowanie!$M$14:$M$22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72C-4EB4-B1BE-459F5D06FAEB}"/>
            </c:ext>
          </c:extLst>
        </c:ser>
        <c:ser>
          <c:idx val="23"/>
          <c:order val="11"/>
          <c:tx>
            <c:v>Vy3</c:v>
          </c:tx>
          <c:spPr>
            <a:ln w="1905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Podsumowanie!$Y$25:$Y$33</c:f>
              <c:numCache>
                <c:formatCode>0.00</c:formatCode>
                <c:ptCount val="9"/>
                <c:pt idx="0">
                  <c:v>149.09310761789592</c:v>
                </c:pt>
                <c:pt idx="1">
                  <c:v>157.10278113663841</c:v>
                </c:pt>
                <c:pt idx="2">
                  <c:v>167.20193470374826</c:v>
                </c:pt>
                <c:pt idx="3">
                  <c:v>177.99758162031421</c:v>
                </c:pt>
                <c:pt idx="4">
                  <c:v>189.837968561064</c:v>
                </c:pt>
                <c:pt idx="5">
                  <c:v>200.63361547762992</c:v>
                </c:pt>
                <c:pt idx="6">
                  <c:v>214.91172914147495</c:v>
                </c:pt>
                <c:pt idx="7">
                  <c:v>230.9310761789599</c:v>
                </c:pt>
                <c:pt idx="8" formatCode="General">
                  <c:v>250</c:v>
                </c:pt>
              </c:numCache>
            </c:numRef>
          </c:xVal>
          <c:yVal>
            <c:numRef>
              <c:f>Podsumowanie!$M$25:$M$33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7590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E72C-4EB4-B1BE-459F5D06FAEB}"/>
            </c:ext>
          </c:extLst>
        </c:ser>
        <c:ser>
          <c:idx val="7"/>
          <c:order val="21"/>
          <c:tx>
            <c:v>ht1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Podsumowanie!$AC$45:$AC$46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xVal>
          <c:yVal>
            <c:numRef>
              <c:f>Podsumowanie!$AC$41:$AC$42</c:f>
              <c:numCache>
                <c:formatCode>General</c:formatCode>
                <c:ptCount val="2"/>
                <c:pt idx="0">
                  <c:v>7700</c:v>
                </c:pt>
                <c:pt idx="1">
                  <c:v>7700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E72C-4EB4-B1BE-459F5D06FAEB}"/>
            </c:ext>
          </c:extLst>
        </c:ser>
        <c:ser>
          <c:idx val="9"/>
          <c:order val="22"/>
          <c:tx>
            <c:v>ht2</c:v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Podsumowanie!$AC$45:$AC$46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xVal>
          <c:yVal>
            <c:numRef>
              <c:f>Podsumowanie!$AE$41:$AE$42</c:f>
              <c:numCache>
                <c:formatCode>General</c:formatCode>
                <c:ptCount val="2"/>
                <c:pt idx="0">
                  <c:v>7600</c:v>
                </c:pt>
                <c:pt idx="1">
                  <c:v>7600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E72C-4EB4-B1BE-459F5D06FAEB}"/>
            </c:ext>
          </c:extLst>
        </c:ser>
        <c:ser>
          <c:idx val="11"/>
          <c:order val="23"/>
          <c:tx>
            <c:v>ht3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Podsumowanie!$AC$45:$AC$46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xVal>
          <c:yVal>
            <c:numRef>
              <c:f>Podsumowanie!$AG$41:$AG$42</c:f>
              <c:numCache>
                <c:formatCode>General</c:formatCode>
                <c:ptCount val="2"/>
                <c:pt idx="0">
                  <c:v>7590</c:v>
                </c:pt>
                <c:pt idx="1">
                  <c:v>7590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E72C-4EB4-B1BE-459F5D06FAEB}"/>
            </c:ext>
          </c:extLst>
        </c:ser>
        <c:ser>
          <c:idx val="8"/>
          <c:order val="24"/>
          <c:tx>
            <c:v>hp1</c:v>
          </c:tx>
          <c:spPr>
            <a:ln w="12700" cap="rnd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Podsumowanie!$AC$45:$AC$46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xVal>
          <c:yVal>
            <c:numRef>
              <c:f>Podsumowanie!$AD$41:$AD$42</c:f>
              <c:numCache>
                <c:formatCode>General</c:formatCode>
                <c:ptCount val="2"/>
                <c:pt idx="0">
                  <c:v>7228.9449999999997</c:v>
                </c:pt>
                <c:pt idx="1">
                  <c:v>7228.9449999999997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E72C-4EB4-B1BE-459F5D06FAEB}"/>
            </c:ext>
          </c:extLst>
        </c:ser>
        <c:ser>
          <c:idx val="10"/>
          <c:order val="25"/>
          <c:tx>
            <c:v>hp2</c:v>
          </c:tx>
          <c:spPr>
            <a:ln w="12700" cap="rnd">
              <a:solidFill>
                <a:schemeClr val="bg1">
                  <a:lumMod val="5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Podsumowanie!$AC$45:$AC$46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xVal>
          <c:yVal>
            <c:numRef>
              <c:f>Podsumowanie!$AF$41:$AF$42</c:f>
              <c:numCache>
                <c:formatCode>General</c:formatCode>
                <c:ptCount val="2"/>
                <c:pt idx="0">
                  <c:v>7154.835</c:v>
                </c:pt>
                <c:pt idx="1">
                  <c:v>7154.835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E72C-4EB4-B1BE-459F5D06FAEB}"/>
            </c:ext>
          </c:extLst>
        </c:ser>
        <c:ser>
          <c:idx val="12"/>
          <c:order val="26"/>
          <c:tx>
            <c:v>hp3</c:v>
          </c:tx>
          <c:spPr>
            <a:ln w="1270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Podsumowanie!$AC$45:$AC$46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xVal>
          <c:yVal>
            <c:numRef>
              <c:f>Podsumowanie!$AH$41:$AH$42</c:f>
              <c:numCache>
                <c:formatCode>General</c:formatCode>
                <c:ptCount val="2"/>
                <c:pt idx="0">
                  <c:v>7141.3450000000003</c:v>
                </c:pt>
                <c:pt idx="1">
                  <c:v>7141.3450000000003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E72C-4EB4-B1BE-459F5D06F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335119"/>
        <c:axId val="1641619439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12"/>
                <c:tx>
                  <c:v>10wmax1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Podsumowanie!$S$3:$S$11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81.692154255319096</c:v>
                      </c:pt>
                      <c:pt idx="1">
                        <c:v>69.363918439716301</c:v>
                      </c:pt>
                      <c:pt idx="2">
                        <c:v>57.589760638297804</c:v>
                      </c:pt>
                      <c:pt idx="3">
                        <c:v>46.923758865248203</c:v>
                      </c:pt>
                      <c:pt idx="4">
                        <c:v>35.980718085106304</c:v>
                      </c:pt>
                      <c:pt idx="5">
                        <c:v>26.1458333333333</c:v>
                      </c:pt>
                      <c:pt idx="6">
                        <c:v>16.033909574467998</c:v>
                      </c:pt>
                      <c:pt idx="7">
                        <c:v>7.39051094890511</c:v>
                      </c:pt>
                      <c:pt idx="8" formatCode="General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Podsumowanie!$M$3:$M$11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3000</c:v>
                      </c:pt>
                      <c:pt idx="4">
                        <c:v>4000</c:v>
                      </c:pt>
                      <c:pt idx="5">
                        <c:v>5000</c:v>
                      </c:pt>
                      <c:pt idx="6">
                        <c:v>6000</c:v>
                      </c:pt>
                      <c:pt idx="7">
                        <c:v>7000</c:v>
                      </c:pt>
                      <c:pt idx="8">
                        <c:v>7700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C-E72C-4EB4-B1BE-459F5D06FAEB}"/>
                  </c:ext>
                </c:extLst>
              </c15:ser>
            </c15:filteredScatterSeries>
            <c15:filteredScatterSeries>
              <c15:ser>
                <c:idx val="17"/>
                <c:order val="13"/>
                <c:tx>
                  <c:v>10wmax2</c:v>
                </c:tx>
                <c:spPr>
                  <a:ln w="19050" cap="rnd">
                    <a:solidFill>
                      <a:schemeClr val="accent5"/>
                    </a:solidFill>
                    <a:prstDash val="lg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Podsumowanie!$S$14:$S$22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85.237226277372201</c:v>
                      </c:pt>
                      <c:pt idx="1">
                        <c:v>72.755474452554708</c:v>
                      </c:pt>
                      <c:pt idx="2">
                        <c:v>60.930656934306498</c:v>
                      </c:pt>
                      <c:pt idx="3">
                        <c:v>49.598540145985403</c:v>
                      </c:pt>
                      <c:pt idx="4">
                        <c:v>38.5948905109489</c:v>
                      </c:pt>
                      <c:pt idx="5">
                        <c:v>27.919708029197</c:v>
                      </c:pt>
                      <c:pt idx="6">
                        <c:v>17.737226277372201</c:v>
                      </c:pt>
                      <c:pt idx="7">
                        <c:v>6.6145833333333206</c:v>
                      </c:pt>
                      <c:pt idx="8" formatCode="General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Podsumowanie!$M$14:$M$22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3000</c:v>
                      </c:pt>
                      <c:pt idx="4">
                        <c:v>4000</c:v>
                      </c:pt>
                      <c:pt idx="5">
                        <c:v>5000</c:v>
                      </c:pt>
                      <c:pt idx="6">
                        <c:v>6000</c:v>
                      </c:pt>
                      <c:pt idx="7">
                        <c:v>7000</c:v>
                      </c:pt>
                      <c:pt idx="8">
                        <c:v>7600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E72C-4EB4-B1BE-459F5D06FAEB}"/>
                  </c:ext>
                </c:extLst>
              </c15:ser>
            </c15:filteredScatterSeries>
            <c15:filteredScatterSeries>
              <c15:ser>
                <c:idx val="24"/>
                <c:order val="14"/>
                <c:tx>
                  <c:v>10wmax3</c:v>
                </c:tx>
                <c:spPr>
                  <a:ln w="19050" cap="rnd">
                    <a:solidFill>
                      <a:schemeClr val="accent5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Podsumowanie!$S$25:$S$33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84.580291970802904</c:v>
                      </c:pt>
                      <c:pt idx="1">
                        <c:v>72.098540145985396</c:v>
                      </c:pt>
                      <c:pt idx="2">
                        <c:v>60.109489051094904</c:v>
                      </c:pt>
                      <c:pt idx="3">
                        <c:v>48.613138686131393</c:v>
                      </c:pt>
                      <c:pt idx="4">
                        <c:v>37.445255474452502</c:v>
                      </c:pt>
                      <c:pt idx="5">
                        <c:v>27.262773722627699</c:v>
                      </c:pt>
                      <c:pt idx="6">
                        <c:v>17.408759124087602</c:v>
                      </c:pt>
                      <c:pt idx="7">
                        <c:v>6.5693430656934302</c:v>
                      </c:pt>
                      <c:pt idx="8" formatCode="General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Podsumowanie!$M$25:$M$33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3000</c:v>
                      </c:pt>
                      <c:pt idx="4">
                        <c:v>4000</c:v>
                      </c:pt>
                      <c:pt idx="5">
                        <c:v>5000</c:v>
                      </c:pt>
                      <c:pt idx="6">
                        <c:v>6000</c:v>
                      </c:pt>
                      <c:pt idx="7">
                        <c:v>7000</c:v>
                      </c:pt>
                      <c:pt idx="8">
                        <c:v>7590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E72C-4EB4-B1BE-459F5D06FAEB}"/>
                  </c:ext>
                </c:extLst>
              </c15:ser>
            </c15:filteredScatterSeries>
            <c15:filteredScatterSeries>
              <c15:ser>
                <c:idx val="5"/>
                <c:order val="15"/>
                <c:tx>
                  <c:v>10ymax1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Podsumowanie!$W$3:$W$11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84.556976802361405</c:v>
                      </c:pt>
                      <c:pt idx="1">
                        <c:v>69.628270766972904</c:v>
                      </c:pt>
                      <c:pt idx="2">
                        <c:v>55.520404249286997</c:v>
                      </c:pt>
                      <c:pt idx="3">
                        <c:v>43.380751463402405</c:v>
                      </c:pt>
                      <c:pt idx="4">
                        <c:v>32.225705851941996</c:v>
                      </c:pt>
                      <c:pt idx="5">
                        <c:v>22.546070076547199</c:v>
                      </c:pt>
                      <c:pt idx="6">
                        <c:v>13.195137001150702</c:v>
                      </c:pt>
                      <c:pt idx="7">
                        <c:v>5.4847155746043397</c:v>
                      </c:pt>
                      <c:pt idx="8" formatCode="General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Podsumowanie!$M$3:$M$11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3000</c:v>
                      </c:pt>
                      <c:pt idx="4">
                        <c:v>4000</c:v>
                      </c:pt>
                      <c:pt idx="5">
                        <c:v>5000</c:v>
                      </c:pt>
                      <c:pt idx="6">
                        <c:v>6000</c:v>
                      </c:pt>
                      <c:pt idx="7">
                        <c:v>7000</c:v>
                      </c:pt>
                      <c:pt idx="8">
                        <c:v>7700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E72C-4EB4-B1BE-459F5D06FAEB}"/>
                  </c:ext>
                </c:extLst>
              </c15:ser>
            </c15:filteredScatterSeries>
            <c15:filteredScatterSeries>
              <c15:ser>
                <c:idx val="18"/>
                <c:order val="16"/>
                <c:tx>
                  <c:v>10ymax2</c:v>
                </c:tx>
                <c:spPr>
                  <a:ln w="19050" cap="rnd">
                    <a:solidFill>
                      <a:schemeClr val="accent6"/>
                    </a:solidFill>
                    <a:prstDash val="lg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Podsumowanie!$W$14:$W$22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97.178130511463792</c:v>
                      </c:pt>
                      <c:pt idx="1">
                        <c:v>80.599647266313909</c:v>
                      </c:pt>
                      <c:pt idx="2">
                        <c:v>65.255731922398496</c:v>
                      </c:pt>
                      <c:pt idx="3">
                        <c:v>50.793650793650698</c:v>
                      </c:pt>
                      <c:pt idx="4">
                        <c:v>38.4479717813051</c:v>
                      </c:pt>
                      <c:pt idx="5">
                        <c:v>26.455026455026399</c:v>
                      </c:pt>
                      <c:pt idx="6">
                        <c:v>16.049382716049301</c:v>
                      </c:pt>
                      <c:pt idx="7">
                        <c:v>6.5255731922398494</c:v>
                      </c:pt>
                      <c:pt idx="8" formatCode="General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Podsumowanie!$M$14:$M$22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3000</c:v>
                      </c:pt>
                      <c:pt idx="4">
                        <c:v>4000</c:v>
                      </c:pt>
                      <c:pt idx="5">
                        <c:v>5000</c:v>
                      </c:pt>
                      <c:pt idx="6">
                        <c:v>6000</c:v>
                      </c:pt>
                      <c:pt idx="7">
                        <c:v>7000</c:v>
                      </c:pt>
                      <c:pt idx="8">
                        <c:v>7600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E72C-4EB4-B1BE-459F5D06FAEB}"/>
                  </c:ext>
                </c:extLst>
              </c15:ser>
            </c15:filteredScatterSeries>
            <c15:filteredScatterSeries>
              <c15:ser>
                <c:idx val="25"/>
                <c:order val="17"/>
                <c:tx>
                  <c:v>10ymax3</c:v>
                </c:tx>
                <c:spPr>
                  <a:ln w="19050" cap="rnd">
                    <a:solidFill>
                      <a:schemeClr val="accent6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Podsumowanie!$W$25:$W$33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95.414462081128704</c:v>
                      </c:pt>
                      <c:pt idx="1">
                        <c:v>78.835978835978807</c:v>
                      </c:pt>
                      <c:pt idx="2">
                        <c:v>63.668430335097</c:v>
                      </c:pt>
                      <c:pt idx="3">
                        <c:v>49.735449735449706</c:v>
                      </c:pt>
                      <c:pt idx="4">
                        <c:v>37.389770723104</c:v>
                      </c:pt>
                      <c:pt idx="5">
                        <c:v>25.573192239858898</c:v>
                      </c:pt>
                      <c:pt idx="6">
                        <c:v>14.991181657848301</c:v>
                      </c:pt>
                      <c:pt idx="7">
                        <c:v>5.2910052910052796</c:v>
                      </c:pt>
                      <c:pt idx="8" formatCode="General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Podsumowanie!$M$25:$M$33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3000</c:v>
                      </c:pt>
                      <c:pt idx="4">
                        <c:v>4000</c:v>
                      </c:pt>
                      <c:pt idx="5">
                        <c:v>5000</c:v>
                      </c:pt>
                      <c:pt idx="6">
                        <c:v>6000</c:v>
                      </c:pt>
                      <c:pt idx="7">
                        <c:v>7000</c:v>
                      </c:pt>
                      <c:pt idx="8">
                        <c:v>7590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E72C-4EB4-B1BE-459F5D06FAEB}"/>
                  </c:ext>
                </c:extLst>
              </c15:ser>
            </c15:filteredScatterSeries>
            <c15:filteredScatterSeries>
              <c15:ser>
                <c:idx val="6"/>
                <c:order val="18"/>
                <c:tx>
                  <c:v>th1</c:v>
                </c:tx>
                <c:spPr>
                  <a:ln w="1270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Podsumowanie!$AA$3:$AA$11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0</c:v>
                      </c:pt>
                      <c:pt idx="1">
                        <c:v>22.214829052289236</c:v>
                      </c:pt>
                      <c:pt idx="2">
                        <c:v>48.698925005995164</c:v>
                      </c:pt>
                      <c:pt idx="3">
                        <c:v>80.92839465410907</c:v>
                      </c:pt>
                      <c:pt idx="4">
                        <c:v>121.84825253921929</c:v>
                      </c:pt>
                      <c:pt idx="5">
                        <c:v>176.88131564237668</c:v>
                      </c:pt>
                      <c:pt idx="6">
                        <c:v>260.72700965119213</c:v>
                      </c:pt>
                      <c:pt idx="7">
                        <c:v>425.45739534593872</c:v>
                      </c:pt>
                      <c:pt idx="8" formatCode="General">
                        <c:v>500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Podsumowanie!$M$3:$M$11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3000</c:v>
                      </c:pt>
                      <c:pt idx="4">
                        <c:v>4000</c:v>
                      </c:pt>
                      <c:pt idx="5">
                        <c:v>5000</c:v>
                      </c:pt>
                      <c:pt idx="6">
                        <c:v>6000</c:v>
                      </c:pt>
                      <c:pt idx="7">
                        <c:v>7000</c:v>
                      </c:pt>
                      <c:pt idx="8">
                        <c:v>7700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E72C-4EB4-B1BE-459F5D06FAEB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v>th2</c:v>
                </c:tx>
                <c:spPr>
                  <a:ln w="12700" cap="rnd">
                    <a:solidFill>
                      <a:srgbClr val="FF0000"/>
                    </a:solidFill>
                    <a:prstDash val="lg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Podsumowanie!$AA$14:$AA$22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0</c:v>
                      </c:pt>
                      <c:pt idx="1">
                        <c:v>21.230527795940542</c:v>
                      </c:pt>
                      <c:pt idx="2">
                        <c:v>46.361169136812329</c:v>
                      </c:pt>
                      <c:pt idx="3">
                        <c:v>76.839488444320708</c:v>
                      </c:pt>
                      <c:pt idx="4">
                        <c:v>115.23286279655092</c:v>
                      </c:pt>
                      <c:pt idx="5">
                        <c:v>166.67216192045589</c:v>
                      </c:pt>
                      <c:pt idx="6">
                        <c:v>243.50182382637075</c:v>
                      </c:pt>
                      <c:pt idx="7">
                        <c:v>416.46824314741281</c:v>
                      </c:pt>
                      <c:pt idx="8" formatCode="General">
                        <c:v>500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Podsumowanie!$M$14:$M$22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3000</c:v>
                      </c:pt>
                      <c:pt idx="4">
                        <c:v>4000</c:v>
                      </c:pt>
                      <c:pt idx="5">
                        <c:v>5000</c:v>
                      </c:pt>
                      <c:pt idx="6">
                        <c:v>6000</c:v>
                      </c:pt>
                      <c:pt idx="7">
                        <c:v>7000</c:v>
                      </c:pt>
                      <c:pt idx="8">
                        <c:v>7600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E72C-4EB4-B1BE-459F5D06FAEB}"/>
                  </c:ext>
                </c:extLst>
              </c15:ser>
            </c15:filteredScatterSeries>
            <c15:filteredScatterSeries>
              <c15:ser>
                <c:idx val="26"/>
                <c:order val="20"/>
                <c:tx>
                  <c:v>th3</c:v>
                </c:tx>
                <c:spPr>
                  <a:ln w="12700" cap="rnd">
                    <a:solidFill>
                      <a:srgbClr val="FF0000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Podsumowanie!$AA$25:$AA$33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0</c:v>
                      </c:pt>
                      <c:pt idx="1">
                        <c:v>21.410826311637958</c:v>
                      </c:pt>
                      <c:pt idx="2">
                        <c:v>46.832671971978954</c:v>
                      </c:pt>
                      <c:pt idx="3">
                        <c:v>77.8384044804437</c:v>
                      </c:pt>
                      <c:pt idx="4">
                        <c:v>117.23525747378795</c:v>
                      </c:pt>
                      <c:pt idx="5">
                        <c:v>170.05667961459295</c:v>
                      </c:pt>
                      <c:pt idx="6">
                        <c:v>248.49201424451729</c:v>
                      </c:pt>
                      <c:pt idx="7">
                        <c:v>423.21248943669059</c:v>
                      </c:pt>
                      <c:pt idx="8" formatCode="General">
                        <c:v>500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Podsumowanie!$M$25:$M$33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3000</c:v>
                      </c:pt>
                      <c:pt idx="4">
                        <c:v>4000</c:v>
                      </c:pt>
                      <c:pt idx="5">
                        <c:v>5000</c:v>
                      </c:pt>
                      <c:pt idx="6">
                        <c:v>6000</c:v>
                      </c:pt>
                      <c:pt idx="7">
                        <c:v>7000</c:v>
                      </c:pt>
                      <c:pt idx="8">
                        <c:v>7590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E72C-4EB4-B1BE-459F5D06FAEB}"/>
                  </c:ext>
                </c:extLst>
              </c15:ser>
            </c15:filteredScatterSeries>
          </c:ext>
        </c:extLst>
      </c:scatterChart>
      <c:valAx>
        <c:axId val="1494335119"/>
        <c:scaling>
          <c:orientation val="minMax"/>
          <c:max val="320"/>
          <c:min val="18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 [km/h]</a:t>
                </a:r>
              </a:p>
              <a:p>
                <a:pPr>
                  <a:defRPr/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 [m/s]</a:t>
                </a:r>
              </a:p>
              <a:p>
                <a:pPr>
                  <a:defRPr/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 [min]</a:t>
                </a:r>
              </a:p>
              <a:p>
                <a:pPr>
                  <a:defRPr/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γ</a:t>
                </a: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[°]</a:t>
                </a:r>
              </a:p>
            </c:rich>
          </c:tx>
          <c:layout>
            <c:manualLayout>
              <c:xMode val="edge"/>
              <c:yMode val="edge"/>
              <c:x val="0.87851800455417273"/>
              <c:y val="0.902950867862823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41619439"/>
        <c:crosses val="autoZero"/>
        <c:crossBetween val="midCat"/>
        <c:majorUnit val="10"/>
      </c:valAx>
      <c:valAx>
        <c:axId val="1641619439"/>
        <c:scaling>
          <c:orientation val="minMax"/>
          <c:max val="7700"/>
          <c:min val="7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h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94335119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7374313863585662"/>
          <c:y val="1.596121381372766E-2"/>
          <c:w val="0.11704398201620214"/>
          <c:h val="0.966090070049458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Piper w(V)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20"/>
          <c:order val="18"/>
          <c:tx>
            <c:v>h=0km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masa'!$K$4:$K$18</c:f>
              <c:numCache>
                <c:formatCode>0.0</c:formatCode>
                <c:ptCount val="15"/>
                <c:pt idx="0">
                  <c:v>36.916857200854587</c:v>
                </c:pt>
                <c:pt idx="1">
                  <c:v>38.783391060051393</c:v>
                </c:pt>
                <c:pt idx="2">
                  <c:v>44.261591747739743</c:v>
                </c:pt>
                <c:pt idx="3">
                  <c:v>49.7397924354281</c:v>
                </c:pt>
                <c:pt idx="4">
                  <c:v>55.217993123116457</c:v>
                </c:pt>
                <c:pt idx="5">
                  <c:v>60.696193810804814</c:v>
                </c:pt>
                <c:pt idx="6">
                  <c:v>66.174394498493172</c:v>
                </c:pt>
                <c:pt idx="7">
                  <c:v>71.652595186181514</c:v>
                </c:pt>
                <c:pt idx="8">
                  <c:v>77.130795873869886</c:v>
                </c:pt>
                <c:pt idx="9">
                  <c:v>82.608996561558229</c:v>
                </c:pt>
                <c:pt idx="10">
                  <c:v>88.0871972492466</c:v>
                </c:pt>
                <c:pt idx="11">
                  <c:v>93.565397936934943</c:v>
                </c:pt>
                <c:pt idx="12">
                  <c:v>99.043598624623286</c:v>
                </c:pt>
                <c:pt idx="13">
                  <c:v>104.52179931231166</c:v>
                </c:pt>
                <c:pt idx="14">
                  <c:v>110</c:v>
                </c:pt>
              </c:numCache>
            </c:numRef>
          </c:xVal>
          <c:yVal>
            <c:numRef>
              <c:f>'Meotda CIągu, zmienna masa'!$R$4:$R$18</c:f>
              <c:numCache>
                <c:formatCode>0.00</c:formatCode>
                <c:ptCount val="15"/>
                <c:pt idx="0">
                  <c:v>5.0741431973812459</c:v>
                </c:pt>
                <c:pt idx="1">
                  <c:v>5.4807586003817432</c:v>
                </c:pt>
                <c:pt idx="2">
                  <c:v>6.4951448628910082</c:v>
                </c:pt>
                <c:pt idx="3">
                  <c:v>7.2610463770975384</c:v>
                </c:pt>
                <c:pt idx="4">
                  <c:v>7.7908415762983783</c:v>
                </c:pt>
                <c:pt idx="5">
                  <c:v>8.0878713762983363</c:v>
                </c:pt>
                <c:pt idx="6">
                  <c:v>8.1496524867639284</c:v>
                </c:pt>
                <c:pt idx="7">
                  <c:v>7.9696994481296421</c:v>
                </c:pt>
                <c:pt idx="8">
                  <c:v>7.5385775894148388</c:v>
                </c:pt>
                <c:pt idx="9">
                  <c:v>6.8445193298020719</c:v>
                </c:pt>
                <c:pt idx="10">
                  <c:v>5.8737832465786974</c:v>
                </c:pt>
                <c:pt idx="11">
                  <c:v>4.6108552141471089</c:v>
                </c:pt>
                <c:pt idx="12">
                  <c:v>3.0385480844173807</c:v>
                </c:pt>
                <c:pt idx="13">
                  <c:v>1.1380328035091356</c:v>
                </c:pt>
                <c:pt idx="14">
                  <c:v>-1.1111794854972241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7D18-4A2B-AC1E-68FBEF91CE6B}"/>
            </c:ext>
          </c:extLst>
        </c:ser>
        <c:ser>
          <c:idx val="22"/>
          <c:order val="19"/>
          <c:tx>
            <c:v>h=1km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masa'!$K$22:$K$36</c:f>
              <c:numCache>
                <c:formatCode>0.0</c:formatCode>
                <c:ptCount val="15"/>
                <c:pt idx="0">
                  <c:v>38.731648677140406</c:v>
                </c:pt>
                <c:pt idx="1">
                  <c:v>40.323093421289883</c:v>
                </c:pt>
                <c:pt idx="2">
                  <c:v>45.682855465806043</c:v>
                </c:pt>
                <c:pt idx="3">
                  <c:v>51.042617510322209</c:v>
                </c:pt>
                <c:pt idx="4">
                  <c:v>56.402379554838376</c:v>
                </c:pt>
                <c:pt idx="5">
                  <c:v>61.762141599354536</c:v>
                </c:pt>
                <c:pt idx="6">
                  <c:v>67.121903643870695</c:v>
                </c:pt>
                <c:pt idx="7">
                  <c:v>72.481665688386869</c:v>
                </c:pt>
                <c:pt idx="8">
                  <c:v>77.841427732903028</c:v>
                </c:pt>
                <c:pt idx="9">
                  <c:v>83.201189777419188</c:v>
                </c:pt>
                <c:pt idx="10">
                  <c:v>88.560951821935362</c:v>
                </c:pt>
                <c:pt idx="11">
                  <c:v>93.920713866451521</c:v>
                </c:pt>
                <c:pt idx="12">
                  <c:v>99.280475910967681</c:v>
                </c:pt>
                <c:pt idx="13">
                  <c:v>104.64023795548385</c:v>
                </c:pt>
                <c:pt idx="14">
                  <c:v>110</c:v>
                </c:pt>
              </c:numCache>
            </c:numRef>
          </c:xVal>
          <c:yVal>
            <c:numRef>
              <c:f>'Meotda CIągu, zmienna masa'!$R$22:$R$36</c:f>
              <c:numCache>
                <c:formatCode>0.00</c:formatCode>
                <c:ptCount val="15"/>
                <c:pt idx="0">
                  <c:v>4.2718483718401696</c:v>
                </c:pt>
                <c:pt idx="1">
                  <c:v>4.5871641952025985</c:v>
                </c:pt>
                <c:pt idx="2">
                  <c:v>5.4912238198353212</c:v>
                </c:pt>
                <c:pt idx="3">
                  <c:v>6.1684857563941051</c:v>
                </c:pt>
                <c:pt idx="4">
                  <c:v>6.6311209190070848</c:v>
                </c:pt>
                <c:pt idx="5">
                  <c:v>6.8833291555316807</c:v>
                </c:pt>
                <c:pt idx="6">
                  <c:v>6.9240403030962909</c:v>
                </c:pt>
                <c:pt idx="7">
                  <c:v>6.7485044125863833</c:v>
                </c:pt>
                <c:pt idx="8">
                  <c:v>6.3492396548489998</c:v>
                </c:pt>
                <c:pt idx="9">
                  <c:v>5.7166028894744763</c:v>
                </c:pt>
                <c:pt idx="10">
                  <c:v>4.8391319050591894</c:v>
                </c:pt>
                <c:pt idx="11">
                  <c:v>3.7037445227315229</c:v>
                </c:pt>
                <c:pt idx="12">
                  <c:v>2.2958443039242087</c:v>
                </c:pt>
                <c:pt idx="13">
                  <c:v>0.59936250125148627</c:v>
                </c:pt>
                <c:pt idx="14">
                  <c:v>-1.4032458131265273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7D18-4A2B-AC1E-68FBEF91CE6B}"/>
            </c:ext>
          </c:extLst>
        </c:ser>
        <c:ser>
          <c:idx val="24"/>
          <c:order val="20"/>
          <c:tx>
            <c:v>h=2km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masa'!$K$40:$K$54</c:f>
              <c:numCache>
                <c:formatCode>0.0</c:formatCode>
                <c:ptCount val="15"/>
                <c:pt idx="0">
                  <c:v>40.680124812202166</c:v>
                </c:pt>
                <c:pt idx="1">
                  <c:v>41.978167521605606</c:v>
                </c:pt>
                <c:pt idx="2">
                  <c:v>47.210616173789788</c:v>
                </c:pt>
                <c:pt idx="3">
                  <c:v>52.443064825973977</c:v>
                </c:pt>
                <c:pt idx="4">
                  <c:v>57.675513478158159</c:v>
                </c:pt>
                <c:pt idx="5">
                  <c:v>62.907962130342341</c:v>
                </c:pt>
                <c:pt idx="6">
                  <c:v>68.14041078252653</c:v>
                </c:pt>
                <c:pt idx="7">
                  <c:v>73.372859434710705</c:v>
                </c:pt>
                <c:pt idx="8">
                  <c:v>78.605308086894894</c:v>
                </c:pt>
                <c:pt idx="9">
                  <c:v>83.837756739079083</c:v>
                </c:pt>
                <c:pt idx="10">
                  <c:v>89.070205391263258</c:v>
                </c:pt>
                <c:pt idx="11">
                  <c:v>94.302654043447447</c:v>
                </c:pt>
                <c:pt idx="12">
                  <c:v>99.535102695631622</c:v>
                </c:pt>
                <c:pt idx="13">
                  <c:v>104.76755134781581</c:v>
                </c:pt>
                <c:pt idx="14">
                  <c:v>110</c:v>
                </c:pt>
              </c:numCache>
            </c:numRef>
          </c:xVal>
          <c:yVal>
            <c:numRef>
              <c:f>'Meotda CIągu, zmienna masa'!$R$40:$R$54</c:f>
              <c:numCache>
                <c:formatCode>0.00</c:formatCode>
                <c:ptCount val="15"/>
                <c:pt idx="0">
                  <c:v>3.4779012865443062</c:v>
                </c:pt>
                <c:pt idx="1">
                  <c:v>3.711891621940155</c:v>
                </c:pt>
                <c:pt idx="2">
                  <c:v>4.5172686145612344</c:v>
                </c:pt>
                <c:pt idx="3">
                  <c:v>5.1164425134146807</c:v>
                </c:pt>
                <c:pt idx="4">
                  <c:v>5.5210723378083779</c:v>
                </c:pt>
                <c:pt idx="5">
                  <c:v>5.7358955522934689</c:v>
                </c:pt>
                <c:pt idx="6">
                  <c:v>5.7609493551499371</c:v>
                </c:pt>
                <c:pt idx="7">
                  <c:v>5.5929290493859272</c:v>
                </c:pt>
                <c:pt idx="8">
                  <c:v>5.2260242354232327</c:v>
                </c:pt>
                <c:pt idx="9">
                  <c:v>4.6524364993636276</c:v>
                </c:pt>
                <c:pt idx="10">
                  <c:v>3.8626988072218165</c:v>
                </c:pt>
                <c:pt idx="11">
                  <c:v>2.8458677258766136</c:v>
                </c:pt>
                <c:pt idx="12">
                  <c:v>1.5896311988522116</c:v>
                </c:pt>
                <c:pt idx="13">
                  <c:v>8.0357957674795824E-2</c:v>
                </c:pt>
                <c:pt idx="14">
                  <c:v>-1.696894431733166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7D18-4A2B-AC1E-68FBEF91CE6B}"/>
            </c:ext>
          </c:extLst>
        </c:ser>
        <c:ser>
          <c:idx val="26"/>
          <c:order val="21"/>
          <c:tx>
            <c:v>h=3km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masa'!$K$58:$K$72</c:f>
              <c:numCache>
                <c:formatCode>0.0</c:formatCode>
                <c:ptCount val="15"/>
                <c:pt idx="0">
                  <c:v>42.775014365807877</c:v>
                </c:pt>
                <c:pt idx="1">
                  <c:v>45</c:v>
                </c:pt>
                <c:pt idx="2">
                  <c:v>48.141377091306531</c:v>
                </c:pt>
                <c:pt idx="3">
                  <c:v>52.879595667030983</c:v>
                </c:pt>
                <c:pt idx="4">
                  <c:v>57.617814242755443</c:v>
                </c:pt>
                <c:pt idx="5">
                  <c:v>62.356032818479896</c:v>
                </c:pt>
                <c:pt idx="6">
                  <c:v>67.094251394204349</c:v>
                </c:pt>
                <c:pt idx="7">
                  <c:v>71.832469969928809</c:v>
                </c:pt>
                <c:pt idx="8">
                  <c:v>76.570688545653269</c:v>
                </c:pt>
                <c:pt idx="9">
                  <c:v>81.308907121377715</c:v>
                </c:pt>
                <c:pt idx="10">
                  <c:v>86.047125697102175</c:v>
                </c:pt>
                <c:pt idx="11">
                  <c:v>90.78534427282662</c:v>
                </c:pt>
                <c:pt idx="12">
                  <c:v>95.52356284855108</c:v>
                </c:pt>
                <c:pt idx="13">
                  <c:v>100.26178142427554</c:v>
                </c:pt>
                <c:pt idx="14">
                  <c:v>105</c:v>
                </c:pt>
              </c:numCache>
            </c:numRef>
          </c:xVal>
          <c:yVal>
            <c:numRef>
              <c:f>'Meotda CIągu, zmienna masa'!$R$58:$R$72</c:f>
              <c:numCache>
                <c:formatCode>0.00</c:formatCode>
                <c:ptCount val="15"/>
                <c:pt idx="0">
                  <c:v>2.6803102885406731</c:v>
                </c:pt>
                <c:pt idx="1">
                  <c:v>3.0389208923954412</c:v>
                </c:pt>
                <c:pt idx="2">
                  <c:v>3.4808488121982499</c:v>
                </c:pt>
                <c:pt idx="3">
                  <c:v>4.0131449224826357</c:v>
                </c:pt>
                <c:pt idx="4">
                  <c:v>4.3920627522466411</c:v>
                </c:pt>
                <c:pt idx="5">
                  <c:v>4.6224179816746673</c:v>
                </c:pt>
                <c:pt idx="6">
                  <c:v>4.7055622958957031</c:v>
                </c:pt>
                <c:pt idx="7">
                  <c:v>4.6402903588045294</c:v>
                </c:pt>
                <c:pt idx="8">
                  <c:v>4.4234320024272087</c:v>
                </c:pt>
                <c:pt idx="9">
                  <c:v>4.0502389823096383</c:v>
                </c:pt>
                <c:pt idx="10">
                  <c:v>3.5146358490441894</c:v>
                </c:pt>
                <c:pt idx="11">
                  <c:v>2.8093794993230321</c:v>
                </c:pt>
                <c:pt idx="12">
                  <c:v>1.9261557257885784</c:v>
                </c:pt>
                <c:pt idx="13">
                  <c:v>0.85563091769611677</c:v>
                </c:pt>
                <c:pt idx="14">
                  <c:v>-0.41252902083574111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7D18-4A2B-AC1E-68FBEF91CE6B}"/>
            </c:ext>
          </c:extLst>
        </c:ser>
        <c:ser>
          <c:idx val="28"/>
          <c:order val="22"/>
          <c:tx>
            <c:v>h=4km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masa'!$K$76:$K$90</c:f>
              <c:numCache>
                <c:formatCode>0.0</c:formatCode>
                <c:ptCount val="15"/>
                <c:pt idx="0">
                  <c:v>45.03066252474688</c:v>
                </c:pt>
                <c:pt idx="1">
                  <c:v>47</c:v>
                </c:pt>
                <c:pt idx="2">
                  <c:v>49.915890434164325</c:v>
                </c:pt>
                <c:pt idx="3">
                  <c:v>54.506232897983963</c:v>
                </c:pt>
                <c:pt idx="4">
                  <c:v>59.096575361803602</c:v>
                </c:pt>
                <c:pt idx="5">
                  <c:v>63.68691782562324</c:v>
                </c:pt>
                <c:pt idx="6">
                  <c:v>68.277260289442893</c:v>
                </c:pt>
                <c:pt idx="7">
                  <c:v>72.867602753262531</c:v>
                </c:pt>
                <c:pt idx="8">
                  <c:v>77.45794521708217</c:v>
                </c:pt>
                <c:pt idx="9">
                  <c:v>82.048287680901808</c:v>
                </c:pt>
                <c:pt idx="10">
                  <c:v>86.638630144721446</c:v>
                </c:pt>
                <c:pt idx="11">
                  <c:v>91.228972608541085</c:v>
                </c:pt>
                <c:pt idx="12">
                  <c:v>95.819315072360723</c:v>
                </c:pt>
                <c:pt idx="13">
                  <c:v>100.40965753618036</c:v>
                </c:pt>
                <c:pt idx="14">
                  <c:v>105</c:v>
                </c:pt>
              </c:numCache>
            </c:numRef>
          </c:xVal>
          <c:yVal>
            <c:numRef>
              <c:f>'Meotda CIągu, zmienna masa'!$R$76:$R$90</c:f>
              <c:numCache>
                <c:formatCode>0.00</c:formatCode>
                <c:ptCount val="15"/>
                <c:pt idx="0">
                  <c:v>1.9003407370094718</c:v>
                </c:pt>
                <c:pt idx="1">
                  <c:v>2.1874806010783874</c:v>
                </c:pt>
                <c:pt idx="2">
                  <c:v>2.5607164069071335</c:v>
                </c:pt>
                <c:pt idx="3">
                  <c:v>3.0296126426395982</c:v>
                </c:pt>
                <c:pt idx="4">
                  <c:v>3.3607702197108673</c:v>
                </c:pt>
                <c:pt idx="5">
                  <c:v>3.5590739628957988</c:v>
                </c:pt>
                <c:pt idx="6">
                  <c:v>3.6264663816580627</c:v>
                </c:pt>
                <c:pt idx="7">
                  <c:v>3.5626723949651398</c:v>
                </c:pt>
                <c:pt idx="8">
                  <c:v>3.3656900174586175</c:v>
                </c:pt>
                <c:pt idx="9">
                  <c:v>3.0321203132489947</c:v>
                </c:pt>
                <c:pt idx="10">
                  <c:v>2.5573880651019318</c:v>
                </c:pt>
                <c:pt idx="11">
                  <c:v>1.9358866286077565</c:v>
                </c:pt>
                <c:pt idx="12">
                  <c:v>1.1610693391390785</c:v>
                </c:pt>
                <c:pt idx="13">
                  <c:v>0.22550220322024189</c:v>
                </c:pt>
                <c:pt idx="14">
                  <c:v>-0.87911157786492466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7D18-4A2B-AC1E-68FBEF91CE6B}"/>
            </c:ext>
          </c:extLst>
        </c:ser>
        <c:ser>
          <c:idx val="21"/>
          <c:order val="23"/>
          <c:tx>
            <c:v>h=5km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masa'!$K$94:$K$108</c:f>
              <c:numCache>
                <c:formatCode>0.0</c:formatCode>
                <c:ptCount val="15"/>
                <c:pt idx="0">
                  <c:v>47.46137408372384</c:v>
                </c:pt>
                <c:pt idx="1">
                  <c:v>50</c:v>
                </c:pt>
                <c:pt idx="2">
                  <c:v>51.119377513104538</c:v>
                </c:pt>
                <c:pt idx="3">
                  <c:v>55.192762720345826</c:v>
                </c:pt>
                <c:pt idx="4">
                  <c:v>59.266147927587113</c:v>
                </c:pt>
                <c:pt idx="5">
                  <c:v>63.3395331348284</c:v>
                </c:pt>
                <c:pt idx="6">
                  <c:v>67.412918342069702</c:v>
                </c:pt>
                <c:pt idx="7">
                  <c:v>71.486303549310975</c:v>
                </c:pt>
                <c:pt idx="8">
                  <c:v>75.559688756552276</c:v>
                </c:pt>
                <c:pt idx="9">
                  <c:v>79.633073963793549</c:v>
                </c:pt>
                <c:pt idx="10">
                  <c:v>83.706459171034851</c:v>
                </c:pt>
                <c:pt idx="11">
                  <c:v>87.779844378276124</c:v>
                </c:pt>
                <c:pt idx="12">
                  <c:v>91.853229585517425</c:v>
                </c:pt>
                <c:pt idx="13">
                  <c:v>95.926614792758713</c:v>
                </c:pt>
                <c:pt idx="14">
                  <c:v>100</c:v>
                </c:pt>
              </c:numCache>
            </c:numRef>
          </c:xVal>
          <c:yVal>
            <c:numRef>
              <c:f>'Meotda CIągu, zmienna masa'!$R$94:$R$108</c:f>
              <c:numCache>
                <c:formatCode>0.00</c:formatCode>
                <c:ptCount val="15"/>
                <c:pt idx="0">
                  <c:v>1.0914269612758247</c:v>
                </c:pt>
                <c:pt idx="1">
                  <c:v>1.427436628048991</c:v>
                </c:pt>
                <c:pt idx="2">
                  <c:v>1.5613957689432398</c:v>
                </c:pt>
                <c:pt idx="3">
                  <c:v>1.9788306485006528</c:v>
                </c:pt>
                <c:pt idx="4">
                  <c:v>2.2909970070137242</c:v>
                </c:pt>
                <c:pt idx="5">
                  <c:v>2.5019893879389641</c:v>
                </c:pt>
                <c:pt idx="6">
                  <c:v>2.6139370165186984</c:v>
                </c:pt>
                <c:pt idx="7">
                  <c:v>2.6274205559949042</c:v>
                </c:pt>
                <c:pt idx="8">
                  <c:v>2.5417729951135457</c:v>
                </c:pt>
                <c:pt idx="9">
                  <c:v>2.355294477783183</c:v>
                </c:pt>
                <c:pt idx="10">
                  <c:v>2.0654030510983086</c:v>
                </c:pt>
                <c:pt idx="11">
                  <c:v>1.6687390326821034</c:v>
                </c:pt>
                <c:pt idx="12">
                  <c:v>1.1612346568807923</c:v>
                </c:pt>
                <c:pt idx="13">
                  <c:v>0.5381575475741962</c:v>
                </c:pt>
                <c:pt idx="14">
                  <c:v>-0.20586596715042865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7D18-4A2B-AC1E-68FBEF91CE6B}"/>
            </c:ext>
          </c:extLst>
        </c:ser>
        <c:ser>
          <c:idx val="23"/>
          <c:order val="24"/>
          <c:tx>
            <c:v>h=6km</c:v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masa'!$K$112:$K$126</c:f>
              <c:numCache>
                <c:formatCode>0.0</c:formatCode>
                <c:ptCount val="15"/>
                <c:pt idx="0">
                  <c:v>50.08201896169011</c:v>
                </c:pt>
                <c:pt idx="1">
                  <c:v>51.5</c:v>
                </c:pt>
                <c:pt idx="2">
                  <c:v>53.196076101145614</c:v>
                </c:pt>
                <c:pt idx="3">
                  <c:v>57.096403092716812</c:v>
                </c:pt>
                <c:pt idx="4">
                  <c:v>60.996730084288011</c:v>
                </c:pt>
                <c:pt idx="5">
                  <c:v>64.897057075859209</c:v>
                </c:pt>
                <c:pt idx="6">
                  <c:v>68.797384067430414</c:v>
                </c:pt>
                <c:pt idx="7">
                  <c:v>72.697711059001605</c:v>
                </c:pt>
                <c:pt idx="8">
                  <c:v>76.598038050572811</c:v>
                </c:pt>
                <c:pt idx="9">
                  <c:v>80.498365042144002</c:v>
                </c:pt>
                <c:pt idx="10">
                  <c:v>84.398692033715207</c:v>
                </c:pt>
                <c:pt idx="11">
                  <c:v>88.299019025286412</c:v>
                </c:pt>
                <c:pt idx="12">
                  <c:v>92.199346016857604</c:v>
                </c:pt>
                <c:pt idx="13">
                  <c:v>96.099673008428795</c:v>
                </c:pt>
                <c:pt idx="14">
                  <c:v>100</c:v>
                </c:pt>
              </c:numCache>
            </c:numRef>
          </c:xVal>
          <c:yVal>
            <c:numRef>
              <c:f>'Meotda CIągu, zmienna masa'!$R$112:$R$126</c:f>
              <c:numCache>
                <c:formatCode>0.00</c:formatCode>
                <c:ptCount val="15"/>
                <c:pt idx="0">
                  <c:v>0.28245168045669455</c:v>
                </c:pt>
                <c:pt idx="1">
                  <c:v>0.45735933869050649</c:v>
                </c:pt>
                <c:pt idx="2">
                  <c:v>0.64901146619284422</c:v>
                </c:pt>
                <c:pt idx="3">
                  <c:v>1.0201622625721403</c:v>
                </c:pt>
                <c:pt idx="4">
                  <c:v>1.2986953419779301</c:v>
                </c:pt>
                <c:pt idx="5">
                  <c:v>1.488346581762884</c:v>
                </c:pt>
                <c:pt idx="6">
                  <c:v>1.5912821818652918</c:v>
                </c:pt>
                <c:pt idx="7">
                  <c:v>1.6084005091412761</c:v>
                </c:pt>
                <c:pt idx="8">
                  <c:v>1.5395590811524216</c:v>
                </c:pt>
                <c:pt idx="9">
                  <c:v>1.3837417965126706</c:v>
                </c:pt>
                <c:pt idx="10">
                  <c:v>1.1391802541382623</c:v>
                </c:pt>
                <c:pt idx="11">
                  <c:v>0.80344012664825859</c:v>
                </c:pt>
                <c:pt idx="12">
                  <c:v>0.37348077310592198</c:v>
                </c:pt>
                <c:pt idx="13">
                  <c:v>-0.15430588408499882</c:v>
                </c:pt>
                <c:pt idx="14">
                  <c:v>-0.78407286886123684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7D18-4A2B-AC1E-68FBEF91CE6B}"/>
            </c:ext>
          </c:extLst>
        </c:ser>
        <c:ser>
          <c:idx val="25"/>
          <c:order val="25"/>
          <c:tx>
            <c:v>h=7km</c:v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masa'!$K$130:$K$144</c:f>
              <c:numCache>
                <c:formatCode>0.0</c:formatCode>
                <c:ptCount val="15"/>
                <c:pt idx="0">
                  <c:v>52.897697598007575</c:v>
                </c:pt>
                <c:pt idx="1">
                  <c:v>54</c:v>
                </c:pt>
                <c:pt idx="2">
                  <c:v>54.735267115473484</c:v>
                </c:pt>
                <c:pt idx="3">
                  <c:v>58.090661522517358</c:v>
                </c:pt>
                <c:pt idx="4">
                  <c:v>61.446055929561233</c:v>
                </c:pt>
                <c:pt idx="5">
                  <c:v>64.801450336605114</c:v>
                </c:pt>
                <c:pt idx="6">
                  <c:v>68.156844743648989</c:v>
                </c:pt>
                <c:pt idx="7">
                  <c:v>71.512239150692864</c:v>
                </c:pt>
                <c:pt idx="8">
                  <c:v>74.867633557736738</c:v>
                </c:pt>
                <c:pt idx="9">
                  <c:v>78.223027964780613</c:v>
                </c:pt>
                <c:pt idx="10">
                  <c:v>81.578422371824502</c:v>
                </c:pt>
                <c:pt idx="11">
                  <c:v>84.933816778868362</c:v>
                </c:pt>
                <c:pt idx="12">
                  <c:v>88.289211185912251</c:v>
                </c:pt>
                <c:pt idx="13">
                  <c:v>91.644605592956125</c:v>
                </c:pt>
                <c:pt idx="14">
                  <c:v>95</c:v>
                </c:pt>
              </c:numCache>
            </c:numRef>
          </c:xVal>
          <c:yVal>
            <c:numRef>
              <c:f>'Meotda CIągu, zmienna masa'!$R$130:$R$144</c:f>
              <c:numCache>
                <c:formatCode>0.00</c:formatCode>
                <c:ptCount val="15"/>
                <c:pt idx="0">
                  <c:v>-0.48852951757149193</c:v>
                </c:pt>
                <c:pt idx="1">
                  <c:v>-0.42886150423771474</c:v>
                </c:pt>
                <c:pt idx="2">
                  <c:v>-0.3470613037512687</c:v>
                </c:pt>
                <c:pt idx="3">
                  <c:v>-1.6279145036835464E-2</c:v>
                </c:pt>
                <c:pt idx="4">
                  <c:v>0.24735466618121349</c:v>
                </c:pt>
                <c:pt idx="5">
                  <c:v>0.44650921781757813</c:v>
                </c:pt>
                <c:pt idx="6">
                  <c:v>0.58294554183463942</c:v>
                </c:pt>
                <c:pt idx="7">
                  <c:v>0.65765381147971436</c:v>
                </c:pt>
                <c:pt idx="8">
                  <c:v>0.67096444868411131</c:v>
                </c:pt>
                <c:pt idx="9">
                  <c:v>0.6226354311225053</c:v>
                </c:pt>
                <c:pt idx="10">
                  <c:v>0.51191936221683365</c:v>
                </c:pt>
                <c:pt idx="11">
                  <c:v>0.33761374528059218</c:v>
                </c:pt>
                <c:pt idx="12">
                  <c:v>9.8097484765902992E-2</c:v>
                </c:pt>
                <c:pt idx="13">
                  <c:v>-0.20864394736576014</c:v>
                </c:pt>
                <c:pt idx="14">
                  <c:v>-0.58500277346100304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7D18-4A2B-AC1E-68FBEF91CE6B}"/>
            </c:ext>
          </c:extLst>
        </c:ser>
        <c:ser>
          <c:idx val="27"/>
          <c:order val="26"/>
          <c:tx>
            <c:v>h=8km</c:v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masa'!$K$148:$K$162</c:f>
              <c:numCache>
                <c:formatCode>0.0</c:formatCode>
                <c:ptCount val="15"/>
                <c:pt idx="0">
                  <c:v>55.8578463757027</c:v>
                </c:pt>
                <c:pt idx="1">
                  <c:v>56.5</c:v>
                </c:pt>
                <c:pt idx="2">
                  <c:v>57.185935005349812</c:v>
                </c:pt>
                <c:pt idx="3">
                  <c:v>60.337107088237325</c:v>
                </c:pt>
                <c:pt idx="4">
                  <c:v>63.488279171124844</c:v>
                </c:pt>
                <c:pt idx="5">
                  <c:v>66.639451254012357</c:v>
                </c:pt>
                <c:pt idx="6">
                  <c:v>69.79062333689987</c:v>
                </c:pt>
                <c:pt idx="7">
                  <c:v>72.941795419787383</c:v>
                </c:pt>
                <c:pt idx="8">
                  <c:v>76.092967502674909</c:v>
                </c:pt>
                <c:pt idx="9">
                  <c:v>79.244139585562422</c:v>
                </c:pt>
                <c:pt idx="10">
                  <c:v>82.395311668449935</c:v>
                </c:pt>
                <c:pt idx="11">
                  <c:v>85.546483751337462</c:v>
                </c:pt>
                <c:pt idx="12">
                  <c:v>88.697655834224975</c:v>
                </c:pt>
                <c:pt idx="13">
                  <c:v>91.848827917112487</c:v>
                </c:pt>
                <c:pt idx="14">
                  <c:v>95</c:v>
                </c:pt>
              </c:numCache>
            </c:numRef>
          </c:xVal>
          <c:yVal>
            <c:numRef>
              <c:f>'Meotda CIągu, zmienna masa'!$R$148:$R$162</c:f>
              <c:numCache>
                <c:formatCode>0.00</c:formatCode>
                <c:ptCount val="15"/>
                <c:pt idx="0">
                  <c:v>-1.3744576832055186</c:v>
                </c:pt>
                <c:pt idx="1">
                  <c:v>-1.3046051829449774</c:v>
                </c:pt>
                <c:pt idx="2">
                  <c:v>-1.2327731938908013</c:v>
                </c:pt>
                <c:pt idx="3">
                  <c:v>-0.93877228196472162</c:v>
                </c:pt>
                <c:pt idx="4">
                  <c:v>-0.7018260795443132</c:v>
                </c:pt>
                <c:pt idx="5">
                  <c:v>-0.51973363003410211</c:v>
                </c:pt>
                <c:pt idx="6">
                  <c:v>-0.39094966703400286</c:v>
                </c:pt>
                <c:pt idx="7">
                  <c:v>-0.31450000547267271</c:v>
                </c:pt>
                <c:pt idx="8">
                  <c:v>-0.28990977993118744</c:v>
                </c:pt>
                <c:pt idx="9">
                  <c:v>-0.31714482707492925</c:v>
                </c:pt>
                <c:pt idx="10">
                  <c:v>-0.39656496107340078</c:v>
                </c:pt>
                <c:pt idx="11">
                  <c:v>-0.52888778857064045</c:v>
                </c:pt>
                <c:pt idx="12">
                  <c:v>-0.71516141697558222</c:v>
                </c:pt>
                <c:pt idx="13">
                  <c:v>-0.95674481940318035</c:v>
                </c:pt>
                <c:pt idx="14">
                  <c:v>-1.2552947168045914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7D18-4A2B-AC1E-68FBEF91C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780144"/>
        <c:axId val="42877719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h=0km m. ciągu m=const.</c:v>
                </c:tx>
                <c:spPr>
                  <a:ln w="19050" cap="rnd">
                    <a:solidFill>
                      <a:schemeClr val="accent1"/>
                    </a:solidFill>
                    <a:prstDash val="lg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'h=0m'!$G$3:$G$17</c15:sqref>
                        </c15:formulaRef>
                      </c:ext>
                    </c:extLst>
                    <c:numCache>
                      <c:formatCode>0.0</c:formatCode>
                      <c:ptCount val="15"/>
                      <c:pt idx="0">
                        <c:v>35.157432011792558</c:v>
                      </c:pt>
                      <c:pt idx="1">
                        <c:v>45</c:v>
                      </c:pt>
                      <c:pt idx="2">
                        <c:v>52</c:v>
                      </c:pt>
                      <c:pt idx="3">
                        <c:v>59</c:v>
                      </c:pt>
                      <c:pt idx="4">
                        <c:v>67</c:v>
                      </c:pt>
                      <c:pt idx="5">
                        <c:v>74</c:v>
                      </c:pt>
                      <c:pt idx="6">
                        <c:v>81</c:v>
                      </c:pt>
                      <c:pt idx="7">
                        <c:v>89</c:v>
                      </c:pt>
                      <c:pt idx="8">
                        <c:v>96</c:v>
                      </c:pt>
                      <c:pt idx="9">
                        <c:v>103</c:v>
                      </c:pt>
                      <c:pt idx="10">
                        <c:v>111</c:v>
                      </c:pt>
                      <c:pt idx="11">
                        <c:v>118</c:v>
                      </c:pt>
                      <c:pt idx="12">
                        <c:v>125</c:v>
                      </c:pt>
                      <c:pt idx="13">
                        <c:v>132</c:v>
                      </c:pt>
                      <c:pt idx="14">
                        <c:v>140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'h=0m'!$N$3:$N$17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5.853598521505921</c:v>
                      </c:pt>
                      <c:pt idx="1">
                        <c:v>7.5393584722415596</c:v>
                      </c:pt>
                      <c:pt idx="2">
                        <c:v>8.2180914572090096</c:v>
                      </c:pt>
                      <c:pt idx="3">
                        <c:v>8.4981840115175018</c:v>
                      </c:pt>
                      <c:pt idx="4">
                        <c:v>8.3448243339694983</c:v>
                      </c:pt>
                      <c:pt idx="5">
                        <c:v>7.8000301606534412</c:v>
                      </c:pt>
                      <c:pt idx="6">
                        <c:v>6.8706350779642307</c:v>
                      </c:pt>
                      <c:pt idx="7">
                        <c:v>5.3322891074386494</c:v>
                      </c:pt>
                      <c:pt idx="8">
                        <c:v>3.5631363069663022</c:v>
                      </c:pt>
                      <c:pt idx="9">
                        <c:v>1.3919689160718394</c:v>
                      </c:pt>
                      <c:pt idx="10">
                        <c:v>-1.5913238596835</c:v>
                      </c:pt>
                      <c:pt idx="11">
                        <c:v>-4.6499346551321752</c:v>
                      </c:pt>
                      <c:pt idx="12">
                        <c:v>-8.1356855189698116</c:v>
                      </c:pt>
                      <c:pt idx="13">
                        <c:v>-12.057210433612738</c:v>
                      </c:pt>
                      <c:pt idx="14">
                        <c:v>-17.083867338790231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7D18-4A2B-AC1E-68FBEF91CE6B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h=1km m. ciągu, m=const.</c:v>
                </c:tx>
                <c:spPr>
                  <a:ln w="19050" cap="rnd">
                    <a:solidFill>
                      <a:schemeClr val="accent2">
                        <a:alpha val="96000"/>
                      </a:schemeClr>
                    </a:solidFill>
                    <a:prstDash val="lg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'h=1km'!$G$3:$G$17</c15:sqref>
                        </c15:formulaRef>
                      </c:ext>
                    </c:extLst>
                    <c:numCache>
                      <c:formatCode>0.0</c:formatCode>
                      <c:ptCount val="15"/>
                      <c:pt idx="0">
                        <c:v>36.907789207676011</c:v>
                      </c:pt>
                      <c:pt idx="1">
                        <c:v>45</c:v>
                      </c:pt>
                      <c:pt idx="2">
                        <c:v>52</c:v>
                      </c:pt>
                      <c:pt idx="3">
                        <c:v>59</c:v>
                      </c:pt>
                      <c:pt idx="4">
                        <c:v>67</c:v>
                      </c:pt>
                      <c:pt idx="5">
                        <c:v>74</c:v>
                      </c:pt>
                      <c:pt idx="6">
                        <c:v>81</c:v>
                      </c:pt>
                      <c:pt idx="7">
                        <c:v>89</c:v>
                      </c:pt>
                      <c:pt idx="8">
                        <c:v>96</c:v>
                      </c:pt>
                      <c:pt idx="9">
                        <c:v>103</c:v>
                      </c:pt>
                      <c:pt idx="10">
                        <c:v>111</c:v>
                      </c:pt>
                      <c:pt idx="11">
                        <c:v>118</c:v>
                      </c:pt>
                      <c:pt idx="12">
                        <c:v>125</c:v>
                      </c:pt>
                      <c:pt idx="13">
                        <c:v>132</c:v>
                      </c:pt>
                      <c:pt idx="14">
                        <c:v>140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'h=1km'!$N$3:$N$17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5.0144834704004841</c:v>
                      </c:pt>
                      <c:pt idx="1">
                        <c:v>6.2968550256903066</c:v>
                      </c:pt>
                      <c:pt idx="2">
                        <c:v>6.9626273208930325</c:v>
                      </c:pt>
                      <c:pt idx="3">
                        <c:v>7.2517967197267517</c:v>
                      </c:pt>
                      <c:pt idx="4">
                        <c:v>7.1402310358052059</c:v>
                      </c:pt>
                      <c:pt idx="5">
                        <c:v>6.6623246939410636</c:v>
                      </c:pt>
                      <c:pt idx="6">
                        <c:v>5.8301754327705559</c:v>
                      </c:pt>
                      <c:pt idx="7">
                        <c:v>4.4422186919605595</c:v>
                      </c:pt>
                      <c:pt idx="8">
                        <c:v>2.8405870065141618</c:v>
                      </c:pt>
                      <c:pt idx="9">
                        <c:v>0.87179535339264358</c:v>
                      </c:pt>
                      <c:pt idx="10">
                        <c:v>-1.8360104608558871</c:v>
                      </c:pt>
                      <c:pt idx="11">
                        <c:v>-4.6136515572512673</c:v>
                      </c:pt>
                      <c:pt idx="12">
                        <c:v>-7.7800579393180911</c:v>
                      </c:pt>
                      <c:pt idx="13">
                        <c:v>-11.342831041453154</c:v>
                      </c:pt>
                      <c:pt idx="14">
                        <c:v>-15.909944556616242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D18-4A2B-AC1E-68FBEF91CE6B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h=2km m. ciągu, m=const.</c:v>
                </c:tx>
                <c:spPr>
                  <a:ln w="19050" cap="rnd">
                    <a:solidFill>
                      <a:schemeClr val="accent4"/>
                    </a:solidFill>
                    <a:prstDash val="lg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'h=2km'!$G$3:$G$17</c15:sqref>
                        </c15:formulaRef>
                      </c:ext>
                    </c:extLst>
                    <c:numCache>
                      <c:formatCode>0.0</c:formatCode>
                      <c:ptCount val="15"/>
                      <c:pt idx="0">
                        <c:v>38.789302761294081</c:v>
                      </c:pt>
                      <c:pt idx="1">
                        <c:v>45</c:v>
                      </c:pt>
                      <c:pt idx="2">
                        <c:v>52</c:v>
                      </c:pt>
                      <c:pt idx="3">
                        <c:v>59</c:v>
                      </c:pt>
                      <c:pt idx="4">
                        <c:v>67</c:v>
                      </c:pt>
                      <c:pt idx="5">
                        <c:v>74</c:v>
                      </c:pt>
                      <c:pt idx="6">
                        <c:v>81</c:v>
                      </c:pt>
                      <c:pt idx="7">
                        <c:v>89</c:v>
                      </c:pt>
                      <c:pt idx="8">
                        <c:v>96</c:v>
                      </c:pt>
                      <c:pt idx="9">
                        <c:v>103</c:v>
                      </c:pt>
                      <c:pt idx="10">
                        <c:v>111</c:v>
                      </c:pt>
                      <c:pt idx="11">
                        <c:v>118</c:v>
                      </c:pt>
                      <c:pt idx="12">
                        <c:v>125</c:v>
                      </c:pt>
                      <c:pt idx="13">
                        <c:v>132</c:v>
                      </c:pt>
                      <c:pt idx="14">
                        <c:v>140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'h=2km'!$N$3:$N$17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4.1859485238708256</c:v>
                      </c:pt>
                      <c:pt idx="1">
                        <c:v>5.1008068210570512</c:v>
                      </c:pt>
                      <c:pt idx="2">
                        <c:v>5.7614329371791042</c:v>
                      </c:pt>
                      <c:pt idx="3">
                        <c:v>6.0643033956694072</c:v>
                      </c:pt>
                      <c:pt idx="4">
                        <c:v>5.9959714388832346</c:v>
                      </c:pt>
                      <c:pt idx="5">
                        <c:v>5.5828633849034937</c:v>
                      </c:pt>
                      <c:pt idx="6">
                        <c:v>4.8427108560280248</c:v>
                      </c:pt>
                      <c:pt idx="7">
                        <c:v>3.5952030797707413</c:v>
                      </c:pt>
                      <c:pt idx="8">
                        <c:v>2.1488508136410673</c:v>
                      </c:pt>
                      <c:pt idx="9">
                        <c:v>0.36680616953771022</c:v>
                      </c:pt>
                      <c:pt idx="10">
                        <c:v>-2.0876767746311389</c:v>
                      </c:pt>
                      <c:pt idx="11">
                        <c:v>-4.6076167249617823</c:v>
                      </c:pt>
                      <c:pt idx="12">
                        <c:v>-7.481682136354995</c:v>
                      </c:pt>
                      <c:pt idx="13">
                        <c:v>-10.716559712791103</c:v>
                      </c:pt>
                      <c:pt idx="14">
                        <c:v>-14.864261151954656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D18-4A2B-AC1E-68FBEF91CE6B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h=3km m. ciągu, m=const.</c:v>
                </c:tx>
                <c:spPr>
                  <a:ln w="19050" cap="rnd">
                    <a:solidFill>
                      <a:schemeClr val="accent3">
                        <a:alpha val="97000"/>
                      </a:schemeClr>
                    </a:solidFill>
                    <a:prstDash val="lg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'h=3km'!$G$3:$G$17</c15:sqref>
                        </c15:formulaRef>
                      </c:ext>
                    </c:extLst>
                    <c:numCache>
                      <c:formatCode>0.0</c:formatCode>
                      <c:ptCount val="15"/>
                      <c:pt idx="0">
                        <c:v>40.815259783159711</c:v>
                      </c:pt>
                      <c:pt idx="1">
                        <c:v>45</c:v>
                      </c:pt>
                      <c:pt idx="2">
                        <c:v>52</c:v>
                      </c:pt>
                      <c:pt idx="3">
                        <c:v>59</c:v>
                      </c:pt>
                      <c:pt idx="4">
                        <c:v>67</c:v>
                      </c:pt>
                      <c:pt idx="5">
                        <c:v>74</c:v>
                      </c:pt>
                      <c:pt idx="6">
                        <c:v>81</c:v>
                      </c:pt>
                      <c:pt idx="7">
                        <c:v>89</c:v>
                      </c:pt>
                      <c:pt idx="8">
                        <c:v>96</c:v>
                      </c:pt>
                      <c:pt idx="9">
                        <c:v>103</c:v>
                      </c:pt>
                      <c:pt idx="10">
                        <c:v>111</c:v>
                      </c:pt>
                      <c:pt idx="11">
                        <c:v>118</c:v>
                      </c:pt>
                      <c:pt idx="12">
                        <c:v>125</c:v>
                      </c:pt>
                      <c:pt idx="13">
                        <c:v>132</c:v>
                      </c:pt>
                      <c:pt idx="14">
                        <c:v>140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'h=3km'!$N$3:$N$17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3.3553473760019381</c:v>
                      </c:pt>
                      <c:pt idx="1">
                        <c:v>3.9303213933488417</c:v>
                      </c:pt>
                      <c:pt idx="2">
                        <c:v>4.5920455417216868</c:v>
                      </c:pt>
                      <c:pt idx="3">
                        <c:v>4.9122477734625996</c:v>
                      </c:pt>
                      <c:pt idx="4">
                        <c:v>4.8884276835339815</c:v>
                      </c:pt>
                      <c:pt idx="5">
                        <c:v>4.5389740485897088</c:v>
                      </c:pt>
                      <c:pt idx="6">
                        <c:v>3.8877593552800054</c:v>
                      </c:pt>
                      <c:pt idx="7">
                        <c:v>2.7750508959304754</c:v>
                      </c:pt>
                      <c:pt idx="8">
                        <c:v>1.477306019618247</c:v>
                      </c:pt>
                      <c:pt idx="9">
                        <c:v>-0.12616437041624659</c:v>
                      </c:pt>
                      <c:pt idx="10">
                        <c:v>-2.3383441719051747</c:v>
                      </c:pt>
                      <c:pt idx="11">
                        <c:v>-4.6115970938161945</c:v>
                      </c:pt>
                      <c:pt idx="12">
                        <c:v>-7.205515612576078</c:v>
                      </c:pt>
                      <c:pt idx="13">
                        <c:v>-10.125781719771982</c:v>
                      </c:pt>
                      <c:pt idx="14">
                        <c:v>-13.870474641733701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D18-4A2B-AC1E-68FBEF91CE6B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h=4km m. ciągu, m=const.</c:v>
                </c:tx>
                <c:spPr>
                  <a:ln w="19050" cap="rnd">
                    <a:solidFill>
                      <a:schemeClr val="accent5"/>
                    </a:solidFill>
                    <a:prstDash val="lg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'h=4km'!$G$3:$G$17</c15:sqref>
                        </c15:formulaRef>
                      </c:ext>
                    </c:extLst>
                    <c:numCache>
                      <c:formatCode>0.0</c:formatCode>
                      <c:ptCount val="15"/>
                      <c:pt idx="0">
                        <c:v>43.00066152062773</c:v>
                      </c:pt>
                      <c:pt idx="1">
                        <c:v>45</c:v>
                      </c:pt>
                      <c:pt idx="2">
                        <c:v>52</c:v>
                      </c:pt>
                      <c:pt idx="3">
                        <c:v>59</c:v>
                      </c:pt>
                      <c:pt idx="4">
                        <c:v>67</c:v>
                      </c:pt>
                      <c:pt idx="5">
                        <c:v>74</c:v>
                      </c:pt>
                      <c:pt idx="6">
                        <c:v>81</c:v>
                      </c:pt>
                      <c:pt idx="7">
                        <c:v>89</c:v>
                      </c:pt>
                      <c:pt idx="8">
                        <c:v>96</c:v>
                      </c:pt>
                      <c:pt idx="9">
                        <c:v>103</c:v>
                      </c:pt>
                      <c:pt idx="10">
                        <c:v>111</c:v>
                      </c:pt>
                      <c:pt idx="11">
                        <c:v>118</c:v>
                      </c:pt>
                      <c:pt idx="12">
                        <c:v>125</c:v>
                      </c:pt>
                      <c:pt idx="13">
                        <c:v>132</c:v>
                      </c:pt>
                      <c:pt idx="14">
                        <c:v>140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'h=4km'!$N$3:$N$17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2.5468480498700123</c:v>
                      </c:pt>
                      <c:pt idx="1">
                        <c:v>2.8033627475714549</c:v>
                      </c:pt>
                      <c:pt idx="2">
                        <c:v>3.4691459268760747</c:v>
                      </c:pt>
                      <c:pt idx="3">
                        <c:v>3.8060086159079836</c:v>
                      </c:pt>
                      <c:pt idx="4">
                        <c:v>3.8221741440907335</c:v>
                      </c:pt>
                      <c:pt idx="5">
                        <c:v>3.5297242415150278</c:v>
                      </c:pt>
                      <c:pt idx="6">
                        <c:v>2.9588087675609729</c:v>
                      </c:pt>
                      <c:pt idx="7">
                        <c:v>1.969210624356913</c:v>
                      </c:pt>
                      <c:pt idx="8">
                        <c:v>0.8087534218699175</c:v>
                      </c:pt>
                      <c:pt idx="9">
                        <c:v>-0.62801786403329729</c:v>
                      </c:pt>
                      <c:pt idx="10">
                        <c:v>-2.611606936615118</c:v>
                      </c:pt>
                      <c:pt idx="11">
                        <c:v>-4.6498225107408473</c:v>
                      </c:pt>
                      <c:pt idx="12">
                        <c:v>-6.9744884263573068</c:v>
                      </c:pt>
                      <c:pt idx="13">
                        <c:v>-9.589874960820433</c:v>
                      </c:pt>
                      <c:pt idx="14">
                        <c:v>-12.940738266895075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D18-4A2B-AC1E-68FBEF91CE6B}"/>
                  </c:ext>
                </c:extLst>
              </c15:ser>
            </c15:filteredScatterSeries>
            <c15:filteredScatterSeries>
              <c15:ser>
                <c:idx val="6"/>
                <c:order val="5"/>
                <c:tx>
                  <c:v>h=5km m. ciągu, m=const.</c:v>
                </c:tx>
                <c:spPr>
                  <a:ln w="19050" cap="rnd">
                    <a:solidFill>
                      <a:schemeClr val="accent6"/>
                    </a:solidFill>
                    <a:prstDash val="lg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'h=5km'!$G$3:$G$17</c15:sqref>
                        </c15:formulaRef>
                      </c:ext>
                    </c:extLst>
                    <c:numCache>
                      <c:formatCode>0.0</c:formatCode>
                      <c:ptCount val="15"/>
                      <c:pt idx="0">
                        <c:v>45.362494420478008</c:v>
                      </c:pt>
                      <c:pt idx="1">
                        <c:v>50</c:v>
                      </c:pt>
                      <c:pt idx="2">
                        <c:v>52</c:v>
                      </c:pt>
                      <c:pt idx="3">
                        <c:v>59</c:v>
                      </c:pt>
                      <c:pt idx="4">
                        <c:v>67</c:v>
                      </c:pt>
                      <c:pt idx="5">
                        <c:v>74</c:v>
                      </c:pt>
                      <c:pt idx="6">
                        <c:v>81</c:v>
                      </c:pt>
                      <c:pt idx="7">
                        <c:v>89</c:v>
                      </c:pt>
                      <c:pt idx="8">
                        <c:v>96</c:v>
                      </c:pt>
                      <c:pt idx="9">
                        <c:v>103</c:v>
                      </c:pt>
                      <c:pt idx="10">
                        <c:v>111</c:v>
                      </c:pt>
                      <c:pt idx="11">
                        <c:v>118</c:v>
                      </c:pt>
                      <c:pt idx="12">
                        <c:v>125</c:v>
                      </c:pt>
                      <c:pt idx="13">
                        <c:v>132</c:v>
                      </c:pt>
                      <c:pt idx="14">
                        <c:v>140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'h=5km'!$N$3:$N$17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1.7063127985974098</c:v>
                      </c:pt>
                      <c:pt idx="1">
                        <c:v>2.1850399362672865</c:v>
                      </c:pt>
                      <c:pt idx="2">
                        <c:v>2.3461234807419946</c:v>
                      </c:pt>
                      <c:pt idx="3">
                        <c:v>2.7116108717985514</c:v>
                      </c:pt>
                      <c:pt idx="4">
                        <c:v>2.7784875954278729</c:v>
                      </c:pt>
                      <c:pt idx="5">
                        <c:v>2.5493689899198047</c:v>
                      </c:pt>
                      <c:pt idx="6">
                        <c:v>2.0617486225537891</c:v>
                      </c:pt>
                      <c:pt idx="7">
                        <c:v>1.1939477967130097</c:v>
                      </c:pt>
                      <c:pt idx="8">
                        <c:v>0.16490596383433528</c:v>
                      </c:pt>
                      <c:pt idx="9">
                        <c:v>-1.1160202307890776</c:v>
                      </c:pt>
                      <c:pt idx="10">
                        <c:v>-2.8902526071967083</c:v>
                      </c:pt>
                      <c:pt idx="11">
                        <c:v>-4.716876971218344</c:v>
                      </c:pt>
                      <c:pt idx="12">
                        <c:v>-6.802523047682369</c:v>
                      </c:pt>
                      <c:pt idx="13">
                        <c:v>-9.1506372017469015</c:v>
                      </c:pt>
                      <c:pt idx="14">
                        <c:v>-12.16043968367234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D18-4A2B-AC1E-68FBEF91CE6B}"/>
                  </c:ext>
                </c:extLst>
              </c15:ser>
            </c15:filteredScatterSeries>
            <c15:filteredScatterSeries>
              <c15:ser>
                <c:idx val="7"/>
                <c:order val="6"/>
                <c:tx>
                  <c:v>h=6km m. ciągu, m=const.</c:v>
                </c:tx>
                <c:spPr>
                  <a:ln w="19050" cap="rnd">
                    <a:solidFill>
                      <a:schemeClr val="tx2"/>
                    </a:solidFill>
                    <a:prstDash val="lg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'h=6km'!$G$3:$G$17</c15:sqref>
                        </c15:formulaRef>
                      </c:ext>
                    </c:extLst>
                    <c:numCache>
                      <c:formatCode>0.0</c:formatCode>
                      <c:ptCount val="15"/>
                      <c:pt idx="0">
                        <c:v>47.92005236771405</c:v>
                      </c:pt>
                      <c:pt idx="1">
                        <c:v>51</c:v>
                      </c:pt>
                      <c:pt idx="2">
                        <c:v>52</c:v>
                      </c:pt>
                      <c:pt idx="3">
                        <c:v>59</c:v>
                      </c:pt>
                      <c:pt idx="4">
                        <c:v>67</c:v>
                      </c:pt>
                      <c:pt idx="5">
                        <c:v>74</c:v>
                      </c:pt>
                      <c:pt idx="6">
                        <c:v>81</c:v>
                      </c:pt>
                      <c:pt idx="7">
                        <c:v>89</c:v>
                      </c:pt>
                      <c:pt idx="8">
                        <c:v>96</c:v>
                      </c:pt>
                      <c:pt idx="9">
                        <c:v>103</c:v>
                      </c:pt>
                      <c:pt idx="10">
                        <c:v>111</c:v>
                      </c:pt>
                      <c:pt idx="11">
                        <c:v>118</c:v>
                      </c:pt>
                      <c:pt idx="12">
                        <c:v>125</c:v>
                      </c:pt>
                      <c:pt idx="13">
                        <c:v>132</c:v>
                      </c:pt>
                      <c:pt idx="14">
                        <c:v>140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'h=6km'!$N$3:$N$17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0.86660463251923536</c:v>
                      </c:pt>
                      <c:pt idx="1">
                        <c:v>1.1574452692112311</c:v>
                      </c:pt>
                      <c:pt idx="2">
                        <c:v>1.238551216890236</c:v>
                      </c:pt>
                      <c:pt idx="3">
                        <c:v>1.6362192311249206</c:v>
                      </c:pt>
                      <c:pt idx="4">
                        <c:v>1.7546873181252427</c:v>
                      </c:pt>
                      <c:pt idx="5">
                        <c:v>1.5872837618447613</c:v>
                      </c:pt>
                      <c:pt idx="6">
                        <c:v>1.1794551061626435</c:v>
                      </c:pt>
                      <c:pt idx="7">
                        <c:v>0.42754203833600424</c:v>
                      </c:pt>
                      <c:pt idx="8">
                        <c:v>-0.47660852497897299</c:v>
                      </c:pt>
                      <c:pt idx="9">
                        <c:v>-1.6092054840159591</c:v>
                      </c:pt>
                      <c:pt idx="10">
                        <c:v>-3.1835708096650794</c:v>
                      </c:pt>
                      <c:pt idx="11">
                        <c:v>-4.8074266702383417</c:v>
                      </c:pt>
                      <c:pt idx="12">
                        <c:v>-6.6631190533163736</c:v>
                      </c:pt>
                      <c:pt idx="13">
                        <c:v>-8.7530535399447675</c:v>
                      </c:pt>
                      <c:pt idx="14">
                        <c:v>-11.431934605222663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D18-4A2B-AC1E-68FBEF91CE6B}"/>
                  </c:ext>
                </c:extLst>
              </c15:ser>
            </c15:filteredScatterSeries>
            <c15:filteredScatterSeries>
              <c15:ser>
                <c:idx val="8"/>
                <c:order val="7"/>
                <c:tx>
                  <c:v>h=7km m. ciągu, m=const.</c:v>
                </c:tx>
                <c:spPr>
                  <a:ln w="19050" cap="rnd">
                    <a:solidFill>
                      <a:schemeClr val="accent2">
                        <a:lumMod val="75000"/>
                      </a:schemeClr>
                    </a:solidFill>
                    <a:prstDash val="lg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'h=7m'!$G$3:$G$17</c15:sqref>
                        </c15:formulaRef>
                      </c:ext>
                    </c:extLst>
                    <c:numCache>
                      <c:formatCode>0.0</c:formatCode>
                      <c:ptCount val="15"/>
                      <c:pt idx="0">
                        <c:v>50.695321417043772</c:v>
                      </c:pt>
                      <c:pt idx="1">
                        <c:v>55</c:v>
                      </c:pt>
                      <c:pt idx="2">
                        <c:v>57</c:v>
                      </c:pt>
                      <c:pt idx="3">
                        <c:v>59</c:v>
                      </c:pt>
                      <c:pt idx="4">
                        <c:v>67</c:v>
                      </c:pt>
                      <c:pt idx="5">
                        <c:v>74</c:v>
                      </c:pt>
                      <c:pt idx="6">
                        <c:v>81</c:v>
                      </c:pt>
                      <c:pt idx="7">
                        <c:v>89</c:v>
                      </c:pt>
                      <c:pt idx="8">
                        <c:v>96</c:v>
                      </c:pt>
                      <c:pt idx="9">
                        <c:v>103</c:v>
                      </c:pt>
                      <c:pt idx="10">
                        <c:v>111</c:v>
                      </c:pt>
                      <c:pt idx="11">
                        <c:v>118</c:v>
                      </c:pt>
                      <c:pt idx="12">
                        <c:v>125</c:v>
                      </c:pt>
                      <c:pt idx="13">
                        <c:v>132</c:v>
                      </c:pt>
                      <c:pt idx="14">
                        <c:v>140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'h=7m'!$N$3:$N$17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-1.2080979455590618E-2</c:v>
                      </c:pt>
                      <c:pt idx="1">
                        <c:v>0.32581668949246273</c:v>
                      </c:pt>
                      <c:pt idx="2">
                        <c:v>0.44569663612379573</c:v>
                      </c:pt>
                      <c:pt idx="3">
                        <c:v>0.54326113321693659</c:v>
                      </c:pt>
                      <c:pt idx="4">
                        <c:v>0.72390304106038128</c:v>
                      </c:pt>
                      <c:pt idx="5">
                        <c:v>0.62531310223120329</c:v>
                      </c:pt>
                      <c:pt idx="6">
                        <c:v>0.30216165978839743</c:v>
                      </c:pt>
                      <c:pt idx="7">
                        <c:v>-0.33128306460738227</c:v>
                      </c:pt>
                      <c:pt idx="8">
                        <c:v>-1.1112100250859827</c:v>
                      </c:pt>
                      <c:pt idx="9">
                        <c:v>-2.0991611773064514</c:v>
                      </c:pt>
                      <c:pt idx="10">
                        <c:v>-3.4819301835844296</c:v>
                      </c:pt>
                      <c:pt idx="11">
                        <c:v>-4.914173288295081</c:v>
                      </c:pt>
                      <c:pt idx="12">
                        <c:v>-6.555057141563176</c:v>
                      </c:pt>
                      <c:pt idx="13">
                        <c:v>-8.4062686023530837</c:v>
                      </c:pt>
                      <c:pt idx="14">
                        <c:v>-10.782181158603946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D18-4A2B-AC1E-68FBEF91CE6B}"/>
                  </c:ext>
                </c:extLst>
              </c15:ser>
            </c15:filteredScatterSeries>
            <c15:filteredScatterSeries>
              <c15:ser>
                <c:idx val="18"/>
                <c:order val="8"/>
                <c:tx>
                  <c:v>h=8km m. ciągu, m=const.</c:v>
                </c:tx>
                <c:spPr>
                  <a:ln w="19050" cap="rnd">
                    <a:solidFill>
                      <a:schemeClr val="bg1">
                        <a:lumMod val="50000"/>
                        <a:alpha val="98000"/>
                      </a:schemeClr>
                    </a:solidFill>
                    <a:prstDash val="lg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'h=8km'!$G$3:$G$17</c15:sqref>
                        </c15:formulaRef>
                      </c:ext>
                    </c:extLst>
                    <c:numCache>
                      <c:formatCode>0.0</c:formatCode>
                      <c:ptCount val="15"/>
                      <c:pt idx="0">
                        <c:v>53.713441222143487</c:v>
                      </c:pt>
                      <c:pt idx="1">
                        <c:v>57</c:v>
                      </c:pt>
                      <c:pt idx="2">
                        <c:v>58</c:v>
                      </c:pt>
                      <c:pt idx="3">
                        <c:v>59</c:v>
                      </c:pt>
                      <c:pt idx="4">
                        <c:v>67</c:v>
                      </c:pt>
                      <c:pt idx="5">
                        <c:v>74</c:v>
                      </c:pt>
                      <c:pt idx="6">
                        <c:v>81</c:v>
                      </c:pt>
                      <c:pt idx="7">
                        <c:v>89</c:v>
                      </c:pt>
                      <c:pt idx="8">
                        <c:v>96</c:v>
                      </c:pt>
                      <c:pt idx="9">
                        <c:v>103</c:v>
                      </c:pt>
                      <c:pt idx="10">
                        <c:v>111</c:v>
                      </c:pt>
                      <c:pt idx="11">
                        <c:v>118</c:v>
                      </c:pt>
                      <c:pt idx="12">
                        <c:v>125</c:v>
                      </c:pt>
                      <c:pt idx="13">
                        <c:v>132</c:v>
                      </c:pt>
                      <c:pt idx="14">
                        <c:v>140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'h=8km'!$N$3:$N$17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-0.88450954987868369</c:v>
                      </c:pt>
                      <c:pt idx="1">
                        <c:v>-0.6525613569122658</c:v>
                      </c:pt>
                      <c:pt idx="2">
                        <c:v>-0.59385880778817413</c:v>
                      </c:pt>
                      <c:pt idx="3">
                        <c:v>-0.54050041454131947</c:v>
                      </c:pt>
                      <c:pt idx="4">
                        <c:v>-0.29513496410028683</c:v>
                      </c:pt>
                      <c:pt idx="5">
                        <c:v>-0.32558946508774994</c:v>
                      </c:pt>
                      <c:pt idx="6">
                        <c:v>-0.56718840712064045</c:v>
                      </c:pt>
                      <c:pt idx="7">
                        <c:v>-1.0883938951674577</c:v>
                      </c:pt>
                      <c:pt idx="8">
                        <c:v>-1.7515986903921066</c:v>
                      </c:pt>
                      <c:pt idx="9">
                        <c:v>-2.6040924195714834</c:v>
                      </c:pt>
                      <c:pt idx="10">
                        <c:v>-3.8075923298818024</c:v>
                      </c:pt>
                      <c:pt idx="11">
                        <c:v>-5.0603696851460587</c:v>
                      </c:pt>
                      <c:pt idx="12">
                        <c:v>-6.4996955842840043</c:v>
                      </c:pt>
                      <c:pt idx="13">
                        <c:v>-8.1263630138361904</c:v>
                      </c:pt>
                      <c:pt idx="14">
                        <c:v>-10.216441226450161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D18-4A2B-AC1E-68FBEF91CE6B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h=0km m. mocy</c:v>
                </c:tx>
                <c:spPr>
                  <a:ln w="19050" cap="rnd">
                    <a:solidFill>
                      <a:schemeClr val="accent1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'h=0m'!$H$22:$H$37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35.157432011792558</c:v>
                      </c:pt>
                      <c:pt idx="1">
                        <c:v>35.811528285403178</c:v>
                      </c:pt>
                      <c:pt idx="2">
                        <c:v>36.971085844054947</c:v>
                      </c:pt>
                      <c:pt idx="3">
                        <c:v>38.223355944888525</c:v>
                      </c:pt>
                      <c:pt idx="4">
                        <c:v>39.798563070913126</c:v>
                      </c:pt>
                      <c:pt idx="5">
                        <c:v>41.355978660828761</c:v>
                      </c:pt>
                      <c:pt idx="6">
                        <c:v>43.191577880930247</c:v>
                      </c:pt>
                      <c:pt idx="7">
                        <c:v>45.598342806506814</c:v>
                      </c:pt>
                      <c:pt idx="8">
                        <c:v>48.17825713572428</c:v>
                      </c:pt>
                      <c:pt idx="9">
                        <c:v>51.119165881347236</c:v>
                      </c:pt>
                      <c:pt idx="10">
                        <c:v>59.505185664529769</c:v>
                      </c:pt>
                      <c:pt idx="11">
                        <c:v>65.403425373590096</c:v>
                      </c:pt>
                      <c:pt idx="12">
                        <c:v>73.692619266233933</c:v>
                      </c:pt>
                      <c:pt idx="13">
                        <c:v>85.439049209516369</c:v>
                      </c:pt>
                      <c:pt idx="14">
                        <c:v>104.07693059928242</c:v>
                      </c:pt>
                      <c:pt idx="15">
                        <c:v>168.45417280572855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'h=0m'!$N$22:$N$37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5.6225247486882726</c:v>
                      </c:pt>
                      <c:pt idx="1">
                        <c:v>5.7722876914477412</c:v>
                      </c:pt>
                      <c:pt idx="2">
                        <c:v>6.0262562622225726</c:v>
                      </c:pt>
                      <c:pt idx="3">
                        <c:v>6.2924387621882465</c:v>
                      </c:pt>
                      <c:pt idx="4">
                        <c:v>6.5792469171273948</c:v>
                      </c:pt>
                      <c:pt idx="5">
                        <c:v>6.8422290704987665</c:v>
                      </c:pt>
                      <c:pt idx="6">
                        <c:v>7.1232334668273705</c:v>
                      </c:pt>
                      <c:pt idx="7">
                        <c:v>7.4212967285721225</c:v>
                      </c:pt>
                      <c:pt idx="8">
                        <c:v>7.7436761419440225</c:v>
                      </c:pt>
                      <c:pt idx="9">
                        <c:v>8.0448967363464465</c:v>
                      </c:pt>
                      <c:pt idx="10">
                        <c:v>8.4340838988079287</c:v>
                      </c:pt>
                      <c:pt idx="11">
                        <c:v>8.3540039767182446</c:v>
                      </c:pt>
                      <c:pt idx="12">
                        <c:v>7.7402279985224043</c:v>
                      </c:pt>
                      <c:pt idx="13">
                        <c:v>5.9868268243534128</c:v>
                      </c:pt>
                      <c:pt idx="14">
                        <c:v>0.8527985787127913</c:v>
                      </c:pt>
                      <c:pt idx="15">
                        <c:v>-39.972467118355112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D18-4A2B-AC1E-68FBEF91CE6B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v>h=1km m. mocy</c:v>
                </c:tx>
                <c:spPr>
                  <a:ln w="19050" cap="rnd">
                    <a:solidFill>
                      <a:schemeClr val="accent2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'h=1km'!$H$22:$H$37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36.907789207676011</c:v>
                      </c:pt>
                      <c:pt idx="1">
                        <c:v>37.59445049112383</c:v>
                      </c:pt>
                      <c:pt idx="2">
                        <c:v>38.811738088651779</c:v>
                      </c:pt>
                      <c:pt idx="3">
                        <c:v>40.126354039473725</c:v>
                      </c:pt>
                      <c:pt idx="4">
                        <c:v>41.779984843516651</c:v>
                      </c:pt>
                      <c:pt idx="5">
                        <c:v>43.414938337334817</c:v>
                      </c:pt>
                      <c:pt idx="6">
                        <c:v>45.341925185024834</c:v>
                      </c:pt>
                      <c:pt idx="7">
                        <c:v>47.868513944858393</c:v>
                      </c:pt>
                      <c:pt idx="8">
                        <c:v>50.576872570274581</c:v>
                      </c:pt>
                      <c:pt idx="9">
                        <c:v>53.664198175456868</c:v>
                      </c:pt>
                      <c:pt idx="10">
                        <c:v>62.467726554471739</c:v>
                      </c:pt>
                      <c:pt idx="11">
                        <c:v>68.65961758352428</c:v>
                      </c:pt>
                      <c:pt idx="12">
                        <c:v>77.361499472640546</c:v>
                      </c:pt>
                      <c:pt idx="13">
                        <c:v>89.692740279534092</c:v>
                      </c:pt>
                      <c:pt idx="14">
                        <c:v>109.25853215478887</c:v>
                      </c:pt>
                      <c:pt idx="15">
                        <c:v>176.84087674497533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'h=1km'!$N$22:$N$37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4.8158650055092362</c:v>
                      </c:pt>
                      <c:pt idx="1">
                        <c:v>4.9558969904283572</c:v>
                      </c:pt>
                      <c:pt idx="2">
                        <c:v>5.1923143260459614</c:v>
                      </c:pt>
                      <c:pt idx="3">
                        <c:v>5.4395320067651287</c:v>
                      </c:pt>
                      <c:pt idx="4">
                        <c:v>5.7006733111228938</c:v>
                      </c:pt>
                      <c:pt idx="5">
                        <c:v>5.9378884939370291</c:v>
                      </c:pt>
                      <c:pt idx="6">
                        <c:v>6.1878931356045248</c:v>
                      </c:pt>
                      <c:pt idx="7">
                        <c:v>6.4431375209015957</c:v>
                      </c:pt>
                      <c:pt idx="8">
                        <c:v>6.7214387443712864</c:v>
                      </c:pt>
                      <c:pt idx="9">
                        <c:v>6.9712344368811703</c:v>
                      </c:pt>
                      <c:pt idx="10">
                        <c:v>7.2028229893692854</c:v>
                      </c:pt>
                      <c:pt idx="11">
                        <c:v>7.0053298758400464</c:v>
                      </c:pt>
                      <c:pt idx="12">
                        <c:v>6.2170574686053071</c:v>
                      </c:pt>
                      <c:pt idx="13">
                        <c:v>4.2034473462658761</c:v>
                      </c:pt>
                      <c:pt idx="14">
                        <c:v>-1.3854279023255964</c:v>
                      </c:pt>
                      <c:pt idx="15">
                        <c:v>-44.213715315741673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D18-4A2B-AC1E-68FBEF91CE6B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v>h=2km m. mocy</c:v>
                </c:tx>
                <c:spPr>
                  <a:ln w="19050" cap="rnd">
                    <a:solidFill>
                      <a:schemeClr val="accent4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'h=2km'!$H$22:$H$37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38.789302761294081</c:v>
                      </c:pt>
                      <c:pt idx="1">
                        <c:v>39.510969189706891</c:v>
                      </c:pt>
                      <c:pt idx="2">
                        <c:v>40.79031260695659</c:v>
                      </c:pt>
                      <c:pt idx="3">
                        <c:v>42.171946056858644</c:v>
                      </c:pt>
                      <c:pt idx="4">
                        <c:v>43.909876918891499</c:v>
                      </c:pt>
                      <c:pt idx="5">
                        <c:v>45.628178324470092</c:v>
                      </c:pt>
                      <c:pt idx="6">
                        <c:v>47.653400583963595</c:v>
                      </c:pt>
                      <c:pt idx="7">
                        <c:v>50.308791721238322</c:v>
                      </c:pt>
                      <c:pt idx="8">
                        <c:v>53.155219127558865</c:v>
                      </c:pt>
                      <c:pt idx="9">
                        <c:v>56.399932782670049</c:v>
                      </c:pt>
                      <c:pt idx="10">
                        <c:v>65.65225417585259</c:v>
                      </c:pt>
                      <c:pt idx="11">
                        <c:v>72.159800169447564</c:v>
                      </c:pt>
                      <c:pt idx="12">
                        <c:v>81.305293260097159</c:v>
                      </c:pt>
                      <c:pt idx="13">
                        <c:v>94.265165507918979</c:v>
                      </c:pt>
                      <c:pt idx="14">
                        <c:v>114.82839731091957</c:v>
                      </c:pt>
                      <c:pt idx="15">
                        <c:v>185.85600643906642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'h=2km'!$N$22:$N$37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4.0143902840627375</c:v>
                      </c:pt>
                      <c:pt idx="1">
                        <c:v>4.1451798103898687</c:v>
                      </c:pt>
                      <c:pt idx="2">
                        <c:v>4.364886128495451</c:v>
                      </c:pt>
                      <c:pt idx="3">
                        <c:v>4.5940405915715665</c:v>
                      </c:pt>
                      <c:pt idx="4">
                        <c:v>4.8305053398312019</c:v>
                      </c:pt>
                      <c:pt idx="5">
                        <c:v>5.0428937668622886</c:v>
                      </c:pt>
                      <c:pt idx="6">
                        <c:v>5.2629460582871745</c:v>
                      </c:pt>
                      <c:pt idx="7">
                        <c:v>5.4765576268685301</c:v>
                      </c:pt>
                      <c:pt idx="8">
                        <c:v>5.7121544190309104</c:v>
                      </c:pt>
                      <c:pt idx="9">
                        <c:v>5.9119549260120428</c:v>
                      </c:pt>
                      <c:pt idx="10">
                        <c:v>5.9888699588758865</c:v>
                      </c:pt>
                      <c:pt idx="11">
                        <c:v>5.675180624998009</c:v>
                      </c:pt>
                      <c:pt idx="12">
                        <c:v>4.7128242143779344</c:v>
                      </c:pt>
                      <c:pt idx="13">
                        <c:v>2.4372140361073575</c:v>
                      </c:pt>
                      <c:pt idx="14">
                        <c:v>-3.6167114207555038</c:v>
                      </c:pt>
                      <c:pt idx="15">
                        <c:v>-48.574648468700246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7D18-4A2B-AC1E-68FBEF91CE6B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v>h=3km m. mocy</c:v>
                </c:tx>
                <c:spPr>
                  <a:ln w="19050" cap="rnd">
                    <a:solidFill>
                      <a:schemeClr val="accent3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'h=3km'!$H$22:$H$37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40.815259783159711</c:v>
                      </c:pt>
                      <c:pt idx="1">
                        <c:v>41.574618695427802</c:v>
                      </c:pt>
                      <c:pt idx="2">
                        <c:v>42.920781946885526</c:v>
                      </c:pt>
                      <c:pt idx="3">
                        <c:v>44.374577817615268</c:v>
                      </c:pt>
                      <c:pt idx="4">
                        <c:v>46.203280438427093</c:v>
                      </c:pt>
                      <c:pt idx="5">
                        <c:v>48.011328360454733</c:v>
                      </c:pt>
                      <c:pt idx="6">
                        <c:v>50.142327547229172</c:v>
                      </c:pt>
                      <c:pt idx="7">
                        <c:v>52.936409198057795</c:v>
                      </c:pt>
                      <c:pt idx="8">
                        <c:v>55.931504901577547</c:v>
                      </c:pt>
                      <c:pt idx="9">
                        <c:v>59.34568925983514</c:v>
                      </c:pt>
                      <c:pt idx="10">
                        <c:v>69.081257428821559</c:v>
                      </c:pt>
                      <c:pt idx="11">
                        <c:v>75.928691163682998</c:v>
                      </c:pt>
                      <c:pt idx="12">
                        <c:v>85.551851410647487</c:v>
                      </c:pt>
                      <c:pt idx="13">
                        <c:v>99.188615025775746</c:v>
                      </c:pt>
                      <c:pt idx="14">
                        <c:v>120.82586004628411</c:v>
                      </c:pt>
                      <c:pt idx="15">
                        <c:v>195.56322607171359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'h=3km'!$N$22:$N$37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3.206352000409165</c:v>
                      </c:pt>
                      <c:pt idx="1">
                        <c:v>3.3281451274932841</c:v>
                      </c:pt>
                      <c:pt idx="2">
                        <c:v>3.5315532067470516</c:v>
                      </c:pt>
                      <c:pt idx="3">
                        <c:v>3.7430922466116754</c:v>
                      </c:pt>
                      <c:pt idx="4">
                        <c:v>3.9553001445879254</c:v>
                      </c:pt>
                      <c:pt idx="5">
                        <c:v>4.1432531115119371</c:v>
                      </c:pt>
                      <c:pt idx="6">
                        <c:v>4.3337760482729406</c:v>
                      </c:pt>
                      <c:pt idx="7">
                        <c:v>4.5061583845658877</c:v>
                      </c:pt>
                      <c:pt idx="8">
                        <c:v>4.6996776960564475</c:v>
                      </c:pt>
                      <c:pt idx="9">
                        <c:v>4.8501682542417397</c:v>
                      </c:pt>
                      <c:pt idx="10">
                        <c:v>4.7739822749684357</c:v>
                      </c:pt>
                      <c:pt idx="11">
                        <c:v>4.3452630970387807</c:v>
                      </c:pt>
                      <c:pt idx="12">
                        <c:v>3.2107728985618391</c:v>
                      </c:pt>
                      <c:pt idx="13">
                        <c:v>0.67763040453575596</c:v>
                      </c:pt>
                      <c:pt idx="14">
                        <c:v>-5.8289625699613774</c:v>
                      </c:pt>
                      <c:pt idx="15">
                        <c:v>-52.778464886880244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7D18-4A2B-AC1E-68FBEF91CE6B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v>h=4km m. mocy</c:v>
                </c:tx>
                <c:spPr>
                  <a:ln w="19050" cap="rnd">
                    <a:solidFill>
                      <a:schemeClr val="accent5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'h=4km'!$H$22:$H$37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43.00066152062773</c:v>
                      </c:pt>
                      <c:pt idx="1">
                        <c:v>43.80067935054204</c:v>
                      </c:pt>
                      <c:pt idx="2">
                        <c:v>45.218921219758926</c:v>
                      </c:pt>
                      <c:pt idx="3">
                        <c:v>46.750558761439585</c:v>
                      </c:pt>
                      <c:pt idx="4">
                        <c:v>48.677176963484172</c:v>
                      </c:pt>
                      <c:pt idx="5">
                        <c:v>50.582034536882823</c:v>
                      </c:pt>
                      <c:pt idx="6">
                        <c:v>52.827135394210416</c:v>
                      </c:pt>
                      <c:pt idx="7">
                        <c:v>55.770822631939353</c:v>
                      </c:pt>
                      <c:pt idx="8">
                        <c:v>58.926286966925112</c:v>
                      </c:pt>
                      <c:pt idx="9">
                        <c:v>62.523279531432344</c:v>
                      </c:pt>
                      <c:pt idx="10">
                        <c:v>72.780126450199489</c:v>
                      </c:pt>
                      <c:pt idx="11">
                        <c:v>79.994197409982817</c:v>
                      </c:pt>
                      <c:pt idx="12">
                        <c:v>90.132617665958122</c:v>
                      </c:pt>
                      <c:pt idx="13">
                        <c:v>104.49954463313341</c:v>
                      </c:pt>
                      <c:pt idx="14">
                        <c:v>127.29532871753742</c:v>
                      </c:pt>
                      <c:pt idx="15">
                        <c:v>206.03441298348505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'h=4km'!$N$22:$N$37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2.4157032551744484</c:v>
                      </c:pt>
                      <c:pt idx="1">
                        <c:v>2.5284638570106295</c:v>
                      </c:pt>
                      <c:pt idx="2">
                        <c:v>2.7154399127004156</c:v>
                      </c:pt>
                      <c:pt idx="3">
                        <c:v>2.9091612118710377</c:v>
                      </c:pt>
                      <c:pt idx="4">
                        <c:v>3.0966164136366352</c:v>
                      </c:pt>
                      <c:pt idx="5">
                        <c:v>3.2595336116289175</c:v>
                      </c:pt>
                      <c:pt idx="6">
                        <c:v>3.4196802556292556</c:v>
                      </c:pt>
                      <c:pt idx="7">
                        <c:v>3.5494157143348692</c:v>
                      </c:pt>
                      <c:pt idx="8">
                        <c:v>3.6994035482426293</c:v>
                      </c:pt>
                      <c:pt idx="9">
                        <c:v>3.7987475399571329</c:v>
                      </c:pt>
                      <c:pt idx="10">
                        <c:v>3.5633672269565779</c:v>
                      </c:pt>
                      <c:pt idx="11">
                        <c:v>3.015477872494094</c:v>
                      </c:pt>
                      <c:pt idx="12">
                        <c:v>1.7043384051496751</c:v>
                      </c:pt>
                      <c:pt idx="13">
                        <c:v>-1.0869789176610916</c:v>
                      </c:pt>
                      <c:pt idx="14">
                        <c:v>-8.0250784555558585</c:v>
                      </c:pt>
                      <c:pt idx="15">
                        <c:v>-56.471515093494119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7D18-4A2B-AC1E-68FBEF91CE6B}"/>
                  </c:ext>
                </c:extLst>
              </c15:ser>
            </c15:filteredScatterSeries>
            <c15:filteredScatterSeries>
              <c15:ser>
                <c:idx val="15"/>
                <c:order val="14"/>
                <c:tx>
                  <c:v>h=5km m. mocy</c:v>
                </c:tx>
                <c:spPr>
                  <a:ln w="19050" cap="rnd">
                    <a:solidFill>
                      <a:schemeClr val="accent6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'h=5km'!$H$22:$H$36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45.362494420478008</c:v>
                      </c:pt>
                      <c:pt idx="1">
                        <c:v>46.206453630927868</c:v>
                      </c:pt>
                      <c:pt idx="2">
                        <c:v>47.70259314609271</c:v>
                      </c:pt>
                      <c:pt idx="3">
                        <c:v>49.31835664790195</c:v>
                      </c:pt>
                      <c:pt idx="4">
                        <c:v>51.350795320937586</c:v>
                      </c:pt>
                      <c:pt idx="5">
                        <c:v>53.360278151885439</c:v>
                      </c:pt>
                      <c:pt idx="6">
                        <c:v>55.728692299771943</c:v>
                      </c:pt>
                      <c:pt idx="7">
                        <c:v>58.834063035360614</c:v>
                      </c:pt>
                      <c:pt idx="8">
                        <c:v>62.16284283148407</c:v>
                      </c:pt>
                      <c:pt idx="9">
                        <c:v>65.957402016572118</c:v>
                      </c:pt>
                      <c:pt idx="10">
                        <c:v>76.777611396399351</c:v>
                      </c:pt>
                      <c:pt idx="11">
                        <c:v>84.387918821672784</c:v>
                      </c:pt>
                      <c:pt idx="12">
                        <c:v>95.083196894860606</c:v>
                      </c:pt>
                      <c:pt idx="13">
                        <c:v>110.23923453105532</c:v>
                      </c:pt>
                      <c:pt idx="14">
                        <c:v>134.28708848891003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'h=5km'!$N$22:$N$36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1.5900449990575927</c:v>
                      </c:pt>
                      <c:pt idx="1">
                        <c:v>1.6946084157666674</c:v>
                      </c:pt>
                      <c:pt idx="2">
                        <c:v>1.8666568715465812</c:v>
                      </c:pt>
                      <c:pt idx="3">
                        <c:v>2.0442576586409795</c:v>
                      </c:pt>
                      <c:pt idx="4">
                        <c:v>2.209013686441351</c:v>
                      </c:pt>
                      <c:pt idx="5">
                        <c:v>2.348988208140883</c:v>
                      </c:pt>
                      <c:pt idx="6">
                        <c:v>2.4812796129133226</c:v>
                      </c:pt>
                      <c:pt idx="7">
                        <c:v>2.5716232150818872</c:v>
                      </c:pt>
                      <c:pt idx="8">
                        <c:v>2.6819287714822124</c:v>
                      </c:pt>
                      <c:pt idx="9">
                        <c:v>2.7345650619361339</c:v>
                      </c:pt>
                      <c:pt idx="10">
                        <c:v>2.3519958086617199</c:v>
                      </c:pt>
                      <c:pt idx="11">
                        <c:v>1.6925249785808696</c:v>
                      </c:pt>
                      <c:pt idx="12">
                        <c:v>0.21308719081579644</c:v>
                      </c:pt>
                      <c:pt idx="13">
                        <c:v>-2.8310929062495092</c:v>
                      </c:pt>
                      <c:pt idx="14">
                        <c:v>-10.218033040724196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7D18-4A2B-AC1E-68FBEF91CE6B}"/>
                  </c:ext>
                </c:extLst>
              </c15:ser>
            </c15:filteredScatterSeries>
            <c15:filteredScatterSeries>
              <c15:ser>
                <c:idx val="16"/>
                <c:order val="15"/>
                <c:tx>
                  <c:v>h=6km m. mocy</c:v>
                </c:tx>
                <c:spPr>
                  <a:ln w="19050" cap="rnd">
                    <a:solidFill>
                      <a:schemeClr val="tx2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'h=6km'!$H$22:$H$36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47.92005236771405</c:v>
                      </c:pt>
                      <c:pt idx="1">
                        <c:v>48.811594380066772</c:v>
                      </c:pt>
                      <c:pt idx="2">
                        <c:v>50.392086917614265</c:v>
                      </c:pt>
                      <c:pt idx="3">
                        <c:v>52.098947896264214</c:v>
                      </c:pt>
                      <c:pt idx="4">
                        <c:v>54.245976380704612</c:v>
                      </c:pt>
                      <c:pt idx="5">
                        <c:v>56.368754762300249</c:v>
                      </c:pt>
                      <c:pt idx="6">
                        <c:v>58.870701170783491</c:v>
                      </c:pt>
                      <c:pt idx="7">
                        <c:v>62.151154112617277</c:v>
                      </c:pt>
                      <c:pt idx="8">
                        <c:v>65.667612018838909</c:v>
                      </c:pt>
                      <c:pt idx="9">
                        <c:v>69.676110166588984</c:v>
                      </c:pt>
                      <c:pt idx="10">
                        <c:v>81.106367843884669</c:v>
                      </c:pt>
                      <c:pt idx="11">
                        <c:v>89.145747842989749</c:v>
                      </c:pt>
                      <c:pt idx="12">
                        <c:v>100.44403053008682</c:v>
                      </c:pt>
                      <c:pt idx="13">
                        <c:v>116.45457242139939</c:v>
                      </c:pt>
                      <c:pt idx="14">
                        <c:v>141.85825525924881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'h=6km'!$N$22:$N$36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0.76170377662359556</c:v>
                      </c:pt>
                      <c:pt idx="1">
                        <c:v>0.85822482091205332</c:v>
                      </c:pt>
                      <c:pt idx="2">
                        <c:v>1.0155773134039954</c:v>
                      </c:pt>
                      <c:pt idx="3">
                        <c:v>1.1772964062692854</c:v>
                      </c:pt>
                      <c:pt idx="4">
                        <c:v>1.3194418901363134</c:v>
                      </c:pt>
                      <c:pt idx="5">
                        <c:v>1.4365146305492102</c:v>
                      </c:pt>
                      <c:pt idx="6">
                        <c:v>1.5409346335658338</c:v>
                      </c:pt>
                      <c:pt idx="7">
                        <c:v>1.5916515503975177</c:v>
                      </c:pt>
                      <c:pt idx="8">
                        <c:v>1.6622924278346352</c:v>
                      </c:pt>
                      <c:pt idx="9">
                        <c:v>1.6682341545317509</c:v>
                      </c:pt>
                      <c:pt idx="10">
                        <c:v>1.1384501010150296</c:v>
                      </c:pt>
                      <c:pt idx="11">
                        <c:v>0.36815007866653449</c:v>
                      </c:pt>
                      <c:pt idx="12">
                        <c:v>-1.2766221990044877</c:v>
                      </c:pt>
                      <c:pt idx="13">
                        <c:v>-4.5629794324881772</c:v>
                      </c:pt>
                      <c:pt idx="14">
                        <c:v>-12.360260744866896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7D18-4A2B-AC1E-68FBEF91CE6B}"/>
                  </c:ext>
                </c:extLst>
              </c15:ser>
            </c15:filteredScatterSeries>
            <c15:filteredScatterSeries>
              <c15:ser>
                <c:idx val="17"/>
                <c:order val="16"/>
                <c:tx>
                  <c:v>h=7km m. mocy</c:v>
                </c:tx>
                <c:spPr>
                  <a:ln w="19050" cap="rnd">
                    <a:solidFill>
                      <a:schemeClr val="accent2">
                        <a:lumMod val="7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'h=7m'!$H$22:$H$36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50.695321417043772</c:v>
                      </c:pt>
                      <c:pt idx="1">
                        <c:v>51.638496698368591</c:v>
                      </c:pt>
                      <c:pt idx="2">
                        <c:v>53.310522775748105</c:v>
                      </c:pt>
                      <c:pt idx="3">
                        <c:v>55.116235867688886</c:v>
                      </c:pt>
                      <c:pt idx="4">
                        <c:v>57.387608575611623</c:v>
                      </c:pt>
                      <c:pt idx="5">
                        <c:v>59.633326746500941</c:v>
                      </c:pt>
                      <c:pt idx="6">
                        <c:v>62.280172296104972</c:v>
                      </c:pt>
                      <c:pt idx="7">
                        <c:v>65.750611247290209</c:v>
                      </c:pt>
                      <c:pt idx="8">
                        <c:v>69.470723288017382</c:v>
                      </c:pt>
                      <c:pt idx="9">
                        <c:v>73.711371867456933</c:v>
                      </c:pt>
                      <c:pt idx="10">
                        <c:v>85.803607960682612</c:v>
                      </c:pt>
                      <c:pt idx="11">
                        <c:v>94.308585165652786</c:v>
                      </c:pt>
                      <c:pt idx="12">
                        <c:v>106.26120299436177</c:v>
                      </c:pt>
                      <c:pt idx="13">
                        <c:v>123.19898847533064</c:v>
                      </c:pt>
                      <c:pt idx="14">
                        <c:v>150.07391458682832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'h=7m'!$N$22:$N$36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-0.10817714555693456</c:v>
                      </c:pt>
                      <c:pt idx="1">
                        <c:v>-1.8816428485769667E-2</c:v>
                      </c:pt>
                      <c:pt idx="2">
                        <c:v>0.12543152140003824</c:v>
                      </c:pt>
                      <c:pt idx="3">
                        <c:v>0.27307694727450699</c:v>
                      </c:pt>
                      <c:pt idx="4">
                        <c:v>0.39478894240245688</c:v>
                      </c:pt>
                      <c:pt idx="5">
                        <c:v>0.49119740342552998</c:v>
                      </c:pt>
                      <c:pt idx="6">
                        <c:v>0.57046549940266378</c:v>
                      </c:pt>
                      <c:pt idx="7">
                        <c:v>0.58509595502165457</c:v>
                      </c:pt>
                      <c:pt idx="8">
                        <c:v>0.62037443228073441</c:v>
                      </c:pt>
                      <c:pt idx="9">
                        <c:v>0.58469307771549084</c:v>
                      </c:pt>
                      <c:pt idx="10">
                        <c:v>-7.7787754830135572E-2</c:v>
                      </c:pt>
                      <c:pt idx="11">
                        <c:v>-0.94872065727596844</c:v>
                      </c:pt>
                      <c:pt idx="12">
                        <c:v>-2.745395057322245</c:v>
                      </c:pt>
                      <c:pt idx="13">
                        <c:v>-6.2578608413277177</c:v>
                      </c:pt>
                      <c:pt idx="14">
                        <c:v>-14.455376981244491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7D18-4A2B-AC1E-68FBEF91CE6B}"/>
                  </c:ext>
                </c:extLst>
              </c15:ser>
            </c15:filteredScatterSeries>
            <c15:filteredScatterSeries>
              <c15:ser>
                <c:idx val="19"/>
                <c:order val="17"/>
                <c:tx>
                  <c:v>h=8km m. mocy</c:v>
                </c:tx>
                <c:spPr>
                  <a:ln w="19050" cap="rnd">
                    <a:solidFill>
                      <a:schemeClr val="bg1">
                        <a:lumMod val="50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'h=8km'!$H$22:$H$36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53.713441222143487</c:v>
                      </c:pt>
                      <c:pt idx="1">
                        <c:v>54.712767957225346</c:v>
                      </c:pt>
                      <c:pt idx="2">
                        <c:v>56.484337244465749</c:v>
                      </c:pt>
                      <c:pt idx="3">
                        <c:v>58.397552533705586</c:v>
                      </c:pt>
                      <c:pt idx="4">
                        <c:v>60.804150243915025</c:v>
                      </c:pt>
                      <c:pt idx="5">
                        <c:v>63.183566087464804</c:v>
                      </c:pt>
                      <c:pt idx="6">
                        <c:v>65.987990221265662</c:v>
                      </c:pt>
                      <c:pt idx="7">
                        <c:v>69.665039964890596</c:v>
                      </c:pt>
                      <c:pt idx="8">
                        <c:v>73.606626956628432</c:v>
                      </c:pt>
                      <c:pt idx="9">
                        <c:v>78.099740361348111</c:v>
                      </c:pt>
                      <c:pt idx="10">
                        <c:v>90.91188149158252</c:v>
                      </c:pt>
                      <c:pt idx="11">
                        <c:v>99.923198126439644</c:v>
                      </c:pt>
                      <c:pt idx="12">
                        <c:v>112.58740889081324</c:v>
                      </c:pt>
                      <c:pt idx="13">
                        <c:v>130.53357669160414</c:v>
                      </c:pt>
                      <c:pt idx="14">
                        <c:v>159.00848766344899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'h=8km'!$N$22:$N$36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-0.97487434831338682</c:v>
                      </c:pt>
                      <c:pt idx="1">
                        <c:v>-0.89229803818598896</c:v>
                      </c:pt>
                      <c:pt idx="2">
                        <c:v>-0.76054184307072892</c:v>
                      </c:pt>
                      <c:pt idx="3">
                        <c:v>-0.62632383760068822</c:v>
                      </c:pt>
                      <c:pt idx="4">
                        <c:v>-0.52449875990776029</c:v>
                      </c:pt>
                      <c:pt idx="5">
                        <c:v>-0.44827776164106165</c:v>
                      </c:pt>
                      <c:pt idx="6">
                        <c:v>-0.39368903213517742</c:v>
                      </c:pt>
                      <c:pt idx="7">
                        <c:v>-0.41481092657221691</c:v>
                      </c:pt>
                      <c:pt idx="8">
                        <c:v>-0.41423515492575858</c:v>
                      </c:pt>
                      <c:pt idx="9">
                        <c:v>-0.49084750994207627</c:v>
                      </c:pt>
                      <c:pt idx="10">
                        <c:v>-1.2845348170173034</c:v>
                      </c:pt>
                      <c:pt idx="11">
                        <c:v>-2.2545698759507062</c:v>
                      </c:pt>
                      <c:pt idx="12">
                        <c:v>-4.1994999730743388</c:v>
                      </c:pt>
                      <c:pt idx="13">
                        <c:v>-7.9270836566541627</c:v>
                      </c:pt>
                      <c:pt idx="14">
                        <c:v>-16.487744084257571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7D18-4A2B-AC1E-68FBEF91CE6B}"/>
                  </c:ext>
                </c:extLst>
              </c15:ser>
            </c15:filteredScatterSeries>
          </c:ext>
        </c:extLst>
      </c:scatterChart>
      <c:valAx>
        <c:axId val="428780144"/>
        <c:scaling>
          <c:orientation val="minMax"/>
          <c:max val="110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28777192"/>
        <c:crosses val="autoZero"/>
        <c:crossBetween val="midCat"/>
        <c:majorUnit val="5"/>
      </c:valAx>
      <c:valAx>
        <c:axId val="428777192"/>
        <c:scaling>
          <c:orientation val="minMax"/>
          <c:max val="10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28780144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977060482968138"/>
          <c:y val="0.30002081979200518"/>
          <c:w val="0.1135627739506367"/>
          <c:h val="0.68472325833899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0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 ofertowy samolotu Piper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5.0553237624689336E-2"/>
          <c:y val="6.6571788151444766E-2"/>
          <c:w val="0.68186298157658498"/>
          <c:h val="0.82525398493297142"/>
        </c:manualLayout>
      </c:layout>
      <c:scatterChart>
        <c:scatterStyle val="smoothMarker"/>
        <c:varyColors val="0"/>
        <c:ser>
          <c:idx val="0"/>
          <c:order val="0"/>
          <c:tx>
            <c:v>Vmin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Podsumowanie!$O$3:$O$11</c:f>
              <c:numCache>
                <c:formatCode>0.00</c:formatCode>
                <c:ptCount val="9"/>
                <c:pt idx="0">
                  <c:v>132.91411935953411</c:v>
                </c:pt>
                <c:pt idx="1">
                  <c:v>139.46433770014522</c:v>
                </c:pt>
                <c:pt idx="2">
                  <c:v>146.74235807860236</c:v>
                </c:pt>
                <c:pt idx="3">
                  <c:v>154.26297913634136</c:v>
                </c:pt>
                <c:pt idx="4">
                  <c:v>162.26880155264411</c:v>
                </c:pt>
                <c:pt idx="5">
                  <c:v>171.00242600679252</c:v>
                </c:pt>
                <c:pt idx="6">
                  <c:v>180.22125181950503</c:v>
                </c:pt>
                <c:pt idx="7">
                  <c:v>210.06113537117881</c:v>
                </c:pt>
                <c:pt idx="8" formatCode="General">
                  <c:v>275</c:v>
                </c:pt>
              </c:numCache>
            </c:numRef>
          </c:xVal>
          <c:yVal>
            <c:numRef>
              <c:f>Podsumowanie!$M$3:$M$11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B4-4535-8D92-2A90BB38B80A}"/>
            </c:ext>
          </c:extLst>
        </c:ser>
        <c:ser>
          <c:idx val="1"/>
          <c:order val="3"/>
          <c:tx>
            <c:v>Vmax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Podsumowanie!$Q$3:$Q$11</c:f>
              <c:numCache>
                <c:formatCode>0.00</c:formatCode>
                <c:ptCount val="9"/>
                <c:pt idx="0">
                  <c:v>386.18922852983883</c:v>
                </c:pt>
                <c:pt idx="1">
                  <c:v>382.55021834060881</c:v>
                </c:pt>
                <c:pt idx="2">
                  <c:v>377.69820475497124</c:v>
                </c:pt>
                <c:pt idx="3">
                  <c:v>372.36098981076839</c:v>
                </c:pt>
                <c:pt idx="4">
                  <c:v>364.84036875303121</c:v>
                </c:pt>
                <c:pt idx="5">
                  <c:v>356.10674429888388</c:v>
                </c:pt>
                <c:pt idx="6">
                  <c:v>341.55070354196965</c:v>
                </c:pt>
                <c:pt idx="7">
                  <c:v>321.4148471615718</c:v>
                </c:pt>
                <c:pt idx="8" formatCode="General">
                  <c:v>275</c:v>
                </c:pt>
              </c:numCache>
            </c:numRef>
          </c:xVal>
          <c:yVal>
            <c:numRef>
              <c:f>Podsumowanie!$M$3:$M$11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FB4-4535-8D92-2A90BB38B80A}"/>
            </c:ext>
          </c:extLst>
        </c:ser>
        <c:ser>
          <c:idx val="2"/>
          <c:order val="6"/>
          <c:tx>
            <c:v>Vw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Podsumowanie!$U$3:$U$11</c:f>
              <c:numCache>
                <c:formatCode>0.00</c:formatCode>
                <c:ptCount val="9"/>
                <c:pt idx="0">
                  <c:v>234.80640465793275</c:v>
                </c:pt>
                <c:pt idx="1">
                  <c:v>240.14361960213481</c:v>
                </c:pt>
                <c:pt idx="2">
                  <c:v>245.96603590490031</c:v>
                </c:pt>
                <c:pt idx="3">
                  <c:v>251.30325084910237</c:v>
                </c:pt>
                <c:pt idx="4">
                  <c:v>256.88306647258594</c:v>
                </c:pt>
                <c:pt idx="5">
                  <c:v>261.24987869966014</c:v>
                </c:pt>
                <c:pt idx="6">
                  <c:v>266.10189228529811</c:v>
                </c:pt>
                <c:pt idx="7">
                  <c:v>272.16690926734589</c:v>
                </c:pt>
                <c:pt idx="8" formatCode="General">
                  <c:v>275</c:v>
                </c:pt>
              </c:numCache>
            </c:numRef>
          </c:xVal>
          <c:yVal>
            <c:numRef>
              <c:f>Podsumowanie!$M$3:$M$11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FB4-4535-8D92-2A90BB38B80A}"/>
            </c:ext>
          </c:extLst>
        </c:ser>
        <c:ser>
          <c:idx val="3"/>
          <c:order val="9"/>
          <c:tx>
            <c:v>Vγ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Podsumowanie!$Y$3:$Y$11</c:f>
              <c:numCache>
                <c:formatCode>0.00</c:formatCode>
                <c:ptCount val="9"/>
                <c:pt idx="0">
                  <c:v>166.30315361139347</c:v>
                </c:pt>
                <c:pt idx="1">
                  <c:v>185.05391658189191</c:v>
                </c:pt>
                <c:pt idx="2">
                  <c:v>201.75381485249221</c:v>
                </c:pt>
                <c:pt idx="3">
                  <c:v>216.69582909460823</c:v>
                </c:pt>
                <c:pt idx="4">
                  <c:v>229.87995930824005</c:v>
                </c:pt>
                <c:pt idx="5">
                  <c:v>243.06408952187186</c:v>
                </c:pt>
                <c:pt idx="6">
                  <c:v>254.78331637843334</c:v>
                </c:pt>
                <c:pt idx="7">
                  <c:v>264.45167853509668</c:v>
                </c:pt>
                <c:pt idx="8" formatCode="General">
                  <c:v>275</c:v>
                </c:pt>
              </c:numCache>
            </c:numRef>
          </c:xVal>
          <c:yVal>
            <c:numRef>
              <c:f>Podsumowanie!$M$3:$M$11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FB4-4535-8D92-2A90BB38B80A}"/>
            </c:ext>
          </c:extLst>
        </c:ser>
        <c:ser>
          <c:idx val="4"/>
          <c:order val="12"/>
          <c:tx>
            <c:v>10wmax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Podsumowanie!$S$3:$S$11</c:f>
              <c:numCache>
                <c:formatCode>0.00</c:formatCode>
                <c:ptCount val="9"/>
                <c:pt idx="0">
                  <c:v>81.692154255319096</c:v>
                </c:pt>
                <c:pt idx="1">
                  <c:v>69.363918439716301</c:v>
                </c:pt>
                <c:pt idx="2">
                  <c:v>57.589760638297804</c:v>
                </c:pt>
                <c:pt idx="3">
                  <c:v>46.923758865248203</c:v>
                </c:pt>
                <c:pt idx="4">
                  <c:v>35.980718085106304</c:v>
                </c:pt>
                <c:pt idx="5">
                  <c:v>26.1458333333333</c:v>
                </c:pt>
                <c:pt idx="6">
                  <c:v>16.033909574467998</c:v>
                </c:pt>
                <c:pt idx="7">
                  <c:v>7.39051094890511</c:v>
                </c:pt>
                <c:pt idx="8" formatCode="General">
                  <c:v>0</c:v>
                </c:pt>
              </c:numCache>
            </c:numRef>
          </c:xVal>
          <c:yVal>
            <c:numRef>
              <c:f>Podsumowanie!$M$3:$M$11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0FB4-4535-8D92-2A90BB38B80A}"/>
            </c:ext>
          </c:extLst>
        </c:ser>
        <c:ser>
          <c:idx val="5"/>
          <c:order val="15"/>
          <c:tx>
            <c:v>10γmax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Podsumowanie!$W$3:$W$11</c:f>
              <c:numCache>
                <c:formatCode>0.00</c:formatCode>
                <c:ptCount val="9"/>
                <c:pt idx="0">
                  <c:v>84.556976802361405</c:v>
                </c:pt>
                <c:pt idx="1">
                  <c:v>69.628270766972904</c:v>
                </c:pt>
                <c:pt idx="2">
                  <c:v>55.520404249286997</c:v>
                </c:pt>
                <c:pt idx="3">
                  <c:v>43.380751463402405</c:v>
                </c:pt>
                <c:pt idx="4">
                  <c:v>32.225705851941996</c:v>
                </c:pt>
                <c:pt idx="5">
                  <c:v>22.546070076547199</c:v>
                </c:pt>
                <c:pt idx="6">
                  <c:v>13.195137001150702</c:v>
                </c:pt>
                <c:pt idx="7">
                  <c:v>5.4847155746043397</c:v>
                </c:pt>
                <c:pt idx="8" formatCode="General">
                  <c:v>0</c:v>
                </c:pt>
              </c:numCache>
            </c:numRef>
          </c:xVal>
          <c:yVal>
            <c:numRef>
              <c:f>Podsumowanie!$M$3:$M$11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0FB4-4535-8D92-2A90BB38B80A}"/>
            </c:ext>
          </c:extLst>
        </c:ser>
        <c:ser>
          <c:idx val="6"/>
          <c:order val="18"/>
          <c:tx>
            <c:v>10th</c:v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Podsumowanie!$AA$3:$AA$11</c:f>
              <c:numCache>
                <c:formatCode>0.00</c:formatCode>
                <c:ptCount val="9"/>
                <c:pt idx="0">
                  <c:v>0</c:v>
                </c:pt>
                <c:pt idx="1">
                  <c:v>22.214829052289236</c:v>
                </c:pt>
                <c:pt idx="2">
                  <c:v>48.698925005995164</c:v>
                </c:pt>
                <c:pt idx="3">
                  <c:v>80.92839465410907</c:v>
                </c:pt>
                <c:pt idx="4">
                  <c:v>121.84825253921929</c:v>
                </c:pt>
                <c:pt idx="5">
                  <c:v>176.88131564237668</c:v>
                </c:pt>
                <c:pt idx="6">
                  <c:v>260.72700965119213</c:v>
                </c:pt>
                <c:pt idx="7">
                  <c:v>425.45739534593872</c:v>
                </c:pt>
                <c:pt idx="8" formatCode="General">
                  <c:v>500</c:v>
                </c:pt>
              </c:numCache>
            </c:numRef>
          </c:xVal>
          <c:yVal>
            <c:numRef>
              <c:f>Podsumowanie!$M$3:$M$11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0FB4-4535-8D92-2A90BB38B80A}"/>
            </c:ext>
          </c:extLst>
        </c:ser>
        <c:ser>
          <c:idx val="7"/>
          <c:order val="21"/>
          <c:tx>
            <c:v>ht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Podsumowanie!$AC$45:$AC$46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xVal>
          <c:yVal>
            <c:numRef>
              <c:f>Podsumowanie!$AC$41:$AC$42</c:f>
              <c:numCache>
                <c:formatCode>General</c:formatCode>
                <c:ptCount val="2"/>
                <c:pt idx="0">
                  <c:v>7700</c:v>
                </c:pt>
                <c:pt idx="1">
                  <c:v>7700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0FB4-4535-8D92-2A90BB38B80A}"/>
            </c:ext>
          </c:extLst>
        </c:ser>
        <c:ser>
          <c:idx val="8"/>
          <c:order val="24"/>
          <c:tx>
            <c:v>hp</c:v>
          </c:tx>
          <c:spPr>
            <a:ln w="12700" cap="rnd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Podsumowanie!$AC$45:$AC$46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xVal>
          <c:yVal>
            <c:numRef>
              <c:f>Podsumowanie!$AD$41:$AD$42</c:f>
              <c:numCache>
                <c:formatCode>General</c:formatCode>
                <c:ptCount val="2"/>
                <c:pt idx="0">
                  <c:v>7228.9449999999997</c:v>
                </c:pt>
                <c:pt idx="1">
                  <c:v>7228.9449999999997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0FB4-4535-8D92-2A90BB38B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335119"/>
        <c:axId val="1641619439"/>
        <c:extLst>
          <c:ext xmlns:c15="http://schemas.microsoft.com/office/drawing/2012/chart" uri="{02D57815-91ED-43cb-92C2-25804820EDAC}">
            <c15:filteredScatterSeries>
              <c15:ser>
                <c:idx val="13"/>
                <c:order val="1"/>
                <c:tx>
                  <c:v>Vmin2</c:v>
                </c:tx>
                <c:spPr>
                  <a:ln w="19050" cap="rnd">
                    <a:solidFill>
                      <a:schemeClr val="accent1"/>
                    </a:solidFill>
                    <a:prstDash val="lg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Podsumowanie!$O$14:$O$22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126.39803439803435</c:v>
                      </c:pt>
                      <c:pt idx="1">
                        <c:v>132.76658476658449</c:v>
                      </c:pt>
                      <c:pt idx="2">
                        <c:v>139.84275184275168</c:v>
                      </c:pt>
                      <c:pt idx="3">
                        <c:v>146.91891891891888</c:v>
                      </c:pt>
                      <c:pt idx="4">
                        <c:v>155.0565110565108</c:v>
                      </c:pt>
                      <c:pt idx="5">
                        <c:v>163.54791154791144</c:v>
                      </c:pt>
                      <c:pt idx="6">
                        <c:v>173.10073710073681</c:v>
                      </c:pt>
                      <c:pt idx="7">
                        <c:v>183.36117936117927</c:v>
                      </c:pt>
                      <c:pt idx="8" formatCode="General">
                        <c:v>245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Podsumowanie!$M$14:$M$22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3000</c:v>
                      </c:pt>
                      <c:pt idx="4">
                        <c:v>4000</c:v>
                      </c:pt>
                      <c:pt idx="5">
                        <c:v>5000</c:v>
                      </c:pt>
                      <c:pt idx="6">
                        <c:v>6000</c:v>
                      </c:pt>
                      <c:pt idx="7">
                        <c:v>7000</c:v>
                      </c:pt>
                      <c:pt idx="8">
                        <c:v>7600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0FB4-4535-8D92-2A90BB38B80A}"/>
                  </c:ext>
                </c:extLst>
              </c15:ser>
            </c15:filteredScatterSeries>
            <c15:filteredScatterSeries>
              <c15:ser>
                <c:idx val="20"/>
                <c:order val="2"/>
                <c:tx>
                  <c:v>Vmin3</c:v>
                </c:tx>
                <c:spPr>
                  <a:ln w="19050" cap="rnd">
                    <a:solidFill>
                      <a:schemeClr val="accent1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Podsumowanie!$O$25:$O$33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126.39803439803435</c:v>
                      </c:pt>
                      <c:pt idx="1">
                        <c:v>132.76658476658449</c:v>
                      </c:pt>
                      <c:pt idx="2">
                        <c:v>139.84275184275168</c:v>
                      </c:pt>
                      <c:pt idx="3">
                        <c:v>146.91891891891888</c:v>
                      </c:pt>
                      <c:pt idx="4">
                        <c:v>154.70270270270242</c:v>
                      </c:pt>
                      <c:pt idx="5">
                        <c:v>163.54791154791144</c:v>
                      </c:pt>
                      <c:pt idx="6">
                        <c:v>172.74692874692846</c:v>
                      </c:pt>
                      <c:pt idx="7">
                        <c:v>187.2530712530712</c:v>
                      </c:pt>
                      <c:pt idx="8" formatCode="General">
                        <c:v>250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Podsumowanie!$M$25:$M$33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3000</c:v>
                      </c:pt>
                      <c:pt idx="4">
                        <c:v>4000</c:v>
                      </c:pt>
                      <c:pt idx="5">
                        <c:v>5000</c:v>
                      </c:pt>
                      <c:pt idx="6">
                        <c:v>6000</c:v>
                      </c:pt>
                      <c:pt idx="7">
                        <c:v>7000</c:v>
                      </c:pt>
                      <c:pt idx="8">
                        <c:v>7590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FB4-4535-8D92-2A90BB38B80A}"/>
                  </c:ext>
                </c:extLst>
              </c15:ser>
            </c15:filteredScatterSeries>
            <c15:filteredScatterSeries>
              <c15:ser>
                <c:idx val="14"/>
                <c:order val="4"/>
                <c:tx>
                  <c:v>Vmax2</c:v>
                </c:tx>
                <c:spPr>
                  <a:ln w="19050" cap="rnd">
                    <a:solidFill>
                      <a:schemeClr val="accent2"/>
                    </a:solidFill>
                    <a:prstDash val="lg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Podsumowanie!$Q$14:$Q$22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385.03194103193761</c:v>
                      </c:pt>
                      <c:pt idx="1">
                        <c:v>380.78624078623801</c:v>
                      </c:pt>
                      <c:pt idx="2">
                        <c:v>375.4791154791144</c:v>
                      </c:pt>
                      <c:pt idx="3">
                        <c:v>369.46437346437119</c:v>
                      </c:pt>
                      <c:pt idx="4">
                        <c:v>360.972972972972</c:v>
                      </c:pt>
                      <c:pt idx="5">
                        <c:v>349.29729729729723</c:v>
                      </c:pt>
                      <c:pt idx="6">
                        <c:v>333.72972972972968</c:v>
                      </c:pt>
                      <c:pt idx="7">
                        <c:v>307.19410319410309</c:v>
                      </c:pt>
                      <c:pt idx="8" formatCode="General">
                        <c:v>245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Podsumowanie!$M$14:$M$22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3000</c:v>
                      </c:pt>
                      <c:pt idx="4">
                        <c:v>4000</c:v>
                      </c:pt>
                      <c:pt idx="5">
                        <c:v>5000</c:v>
                      </c:pt>
                      <c:pt idx="6">
                        <c:v>6000</c:v>
                      </c:pt>
                      <c:pt idx="7">
                        <c:v>7000</c:v>
                      </c:pt>
                      <c:pt idx="8">
                        <c:v>7600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FB4-4535-8D92-2A90BB38B80A}"/>
                  </c:ext>
                </c:extLst>
              </c15:ser>
            </c15:filteredScatterSeries>
            <c15:filteredScatterSeries>
              <c15:ser>
                <c:idx val="21"/>
                <c:order val="5"/>
                <c:tx>
                  <c:v>Vmax3</c:v>
                </c:tx>
                <c:spPr>
                  <a:ln w="19050" cap="rnd">
                    <a:solidFill>
                      <a:schemeClr val="accent2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Podsumowanie!$Q$25:$Q$33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382.62857142857041</c:v>
                      </c:pt>
                      <c:pt idx="1">
                        <c:v>380.078624078622</c:v>
                      </c:pt>
                      <c:pt idx="2">
                        <c:v>377.95577395577038</c:v>
                      </c:pt>
                      <c:pt idx="3">
                        <c:v>368.40294840294717</c:v>
                      </c:pt>
                      <c:pt idx="4">
                        <c:v>359.91154791154764</c:v>
                      </c:pt>
                      <c:pt idx="5">
                        <c:v>346.82063882063869</c:v>
                      </c:pt>
                      <c:pt idx="6">
                        <c:v>331.96068796068789</c:v>
                      </c:pt>
                      <c:pt idx="7">
                        <c:v>305.07125307125295</c:v>
                      </c:pt>
                      <c:pt idx="8" formatCode="General">
                        <c:v>250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Podsumowanie!$M$25:$M$33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3000</c:v>
                      </c:pt>
                      <c:pt idx="4">
                        <c:v>4000</c:v>
                      </c:pt>
                      <c:pt idx="5">
                        <c:v>5000</c:v>
                      </c:pt>
                      <c:pt idx="6">
                        <c:v>6000</c:v>
                      </c:pt>
                      <c:pt idx="7">
                        <c:v>7000</c:v>
                      </c:pt>
                      <c:pt idx="8">
                        <c:v>7590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FB4-4535-8D92-2A90BB38B80A}"/>
                  </c:ext>
                </c:extLst>
              </c15:ser>
            </c15:filteredScatterSeries>
            <c15:filteredScatterSeries>
              <c15:ser>
                <c:idx val="15"/>
                <c:order val="7"/>
                <c:tx>
                  <c:v>Vw2</c:v>
                </c:tx>
                <c:spPr>
                  <a:ln w="19050" cap="rnd">
                    <a:solidFill>
                      <a:schemeClr val="accent3"/>
                    </a:solidFill>
                    <a:prstDash val="lg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Podsumowanie!$U$14:$U$22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216.61916461916437</c:v>
                      </c:pt>
                      <c:pt idx="1">
                        <c:v>220.15724815724795</c:v>
                      </c:pt>
                      <c:pt idx="2">
                        <c:v>225.11056511056501</c:v>
                      </c:pt>
                      <c:pt idx="3">
                        <c:v>228.29484029484024</c:v>
                      </c:pt>
                      <c:pt idx="4">
                        <c:v>232.54054054054055</c:v>
                      </c:pt>
                      <c:pt idx="5">
                        <c:v>235.72481572481547</c:v>
                      </c:pt>
                      <c:pt idx="6">
                        <c:v>239.97051597051578</c:v>
                      </c:pt>
                      <c:pt idx="7">
                        <c:v>243.50859950859936</c:v>
                      </c:pt>
                      <c:pt idx="8" formatCode="General">
                        <c:v>245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Podsumowanie!$M$14:$M$22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3000</c:v>
                      </c:pt>
                      <c:pt idx="4">
                        <c:v>4000</c:v>
                      </c:pt>
                      <c:pt idx="5">
                        <c:v>5000</c:v>
                      </c:pt>
                      <c:pt idx="6">
                        <c:v>6000</c:v>
                      </c:pt>
                      <c:pt idx="7">
                        <c:v>7000</c:v>
                      </c:pt>
                      <c:pt idx="8">
                        <c:v>7600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FB4-4535-8D92-2A90BB38B80A}"/>
                  </c:ext>
                </c:extLst>
              </c15:ser>
            </c15:filteredScatterSeries>
            <c15:filteredScatterSeries>
              <c15:ser>
                <c:idx val="22"/>
                <c:order val="8"/>
                <c:tx>
                  <c:v>Vw3</c:v>
                </c:tx>
                <c:spPr>
                  <a:ln w="19050" cap="rnd">
                    <a:solidFill>
                      <a:schemeClr val="accent3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Podsumowanie!$U$25:$U$33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222.98771498771484</c:v>
                      </c:pt>
                      <c:pt idx="1">
                        <c:v>226.52579852579842</c:v>
                      </c:pt>
                      <c:pt idx="2">
                        <c:v>231.83292383292383</c:v>
                      </c:pt>
                      <c:pt idx="3">
                        <c:v>235.72481572481547</c:v>
                      </c:pt>
                      <c:pt idx="4">
                        <c:v>239.26289926289905</c:v>
                      </c:pt>
                      <c:pt idx="5">
                        <c:v>244.21621621621608</c:v>
                      </c:pt>
                      <c:pt idx="6">
                        <c:v>247.40049140049135</c:v>
                      </c:pt>
                      <c:pt idx="7">
                        <c:v>251.29238329238328</c:v>
                      </c:pt>
                      <c:pt idx="8" formatCode="General">
                        <c:v>250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Podsumowanie!$M$25:$M$33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3000</c:v>
                      </c:pt>
                      <c:pt idx="4">
                        <c:v>4000</c:v>
                      </c:pt>
                      <c:pt idx="5">
                        <c:v>5000</c:v>
                      </c:pt>
                      <c:pt idx="6">
                        <c:v>6000</c:v>
                      </c:pt>
                      <c:pt idx="7">
                        <c:v>7000</c:v>
                      </c:pt>
                      <c:pt idx="8">
                        <c:v>7590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FB4-4535-8D92-2A90BB38B80A}"/>
                  </c:ext>
                </c:extLst>
              </c15:ser>
            </c15:filteredScatterSeries>
            <c15:filteredScatterSeries>
              <c15:ser>
                <c:idx val="16"/>
                <c:order val="10"/>
                <c:tx>
                  <c:v>Vy2</c:v>
                </c:tx>
                <c:spPr>
                  <a:ln w="19050" cap="rnd">
                    <a:solidFill>
                      <a:schemeClr val="accent4"/>
                    </a:solidFill>
                    <a:prstDash val="lg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Podsumowanie!$Y$14:$Y$22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155.01330108827065</c:v>
                      </c:pt>
                      <c:pt idx="1">
                        <c:v>165.80894800483657</c:v>
                      </c:pt>
                      <c:pt idx="2">
                        <c:v>174.51511487303509</c:v>
                      </c:pt>
                      <c:pt idx="3">
                        <c:v>184.96251511487282</c:v>
                      </c:pt>
                      <c:pt idx="4">
                        <c:v>194.01692865779916</c:v>
                      </c:pt>
                      <c:pt idx="5">
                        <c:v>208.99153567110025</c:v>
                      </c:pt>
                      <c:pt idx="6">
                        <c:v>220.48367593712183</c:v>
                      </c:pt>
                      <c:pt idx="7">
                        <c:v>234</c:v>
                      </c:pt>
                      <c:pt idx="8" formatCode="General">
                        <c:v>245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Podsumowanie!$M$14:$M$22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3000</c:v>
                      </c:pt>
                      <c:pt idx="4">
                        <c:v>4000</c:v>
                      </c:pt>
                      <c:pt idx="5">
                        <c:v>5000</c:v>
                      </c:pt>
                      <c:pt idx="6">
                        <c:v>6000</c:v>
                      </c:pt>
                      <c:pt idx="7">
                        <c:v>7000</c:v>
                      </c:pt>
                      <c:pt idx="8">
                        <c:v>7600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0FB4-4535-8D92-2A90BB38B80A}"/>
                  </c:ext>
                </c:extLst>
              </c15:ser>
            </c15:filteredScatterSeries>
            <c15:filteredScatterSeries>
              <c15:ser>
                <c:idx val="23"/>
                <c:order val="11"/>
                <c:tx>
                  <c:v>Vy3</c:v>
                </c:tx>
                <c:spPr>
                  <a:ln w="19050" cap="rnd">
                    <a:solidFill>
                      <a:schemeClr val="accent4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Podsumowanie!$Y$25:$Y$33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149.09310761789592</c:v>
                      </c:pt>
                      <c:pt idx="1">
                        <c:v>157.10278113663841</c:v>
                      </c:pt>
                      <c:pt idx="2">
                        <c:v>167.20193470374826</c:v>
                      </c:pt>
                      <c:pt idx="3">
                        <c:v>177.99758162031421</c:v>
                      </c:pt>
                      <c:pt idx="4">
                        <c:v>189.837968561064</c:v>
                      </c:pt>
                      <c:pt idx="5">
                        <c:v>200.63361547762992</c:v>
                      </c:pt>
                      <c:pt idx="6">
                        <c:v>214.91172914147495</c:v>
                      </c:pt>
                      <c:pt idx="7">
                        <c:v>230.9310761789599</c:v>
                      </c:pt>
                      <c:pt idx="8" formatCode="General">
                        <c:v>250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Podsumowanie!$M$25:$M$33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3000</c:v>
                      </c:pt>
                      <c:pt idx="4">
                        <c:v>4000</c:v>
                      </c:pt>
                      <c:pt idx="5">
                        <c:v>5000</c:v>
                      </c:pt>
                      <c:pt idx="6">
                        <c:v>6000</c:v>
                      </c:pt>
                      <c:pt idx="7">
                        <c:v>7000</c:v>
                      </c:pt>
                      <c:pt idx="8">
                        <c:v>7590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0FB4-4535-8D92-2A90BB38B80A}"/>
                  </c:ext>
                </c:extLst>
              </c15:ser>
            </c15:filteredScatterSeries>
            <c15:filteredScatterSeries>
              <c15:ser>
                <c:idx val="17"/>
                <c:order val="13"/>
                <c:tx>
                  <c:v>10wmax2</c:v>
                </c:tx>
                <c:spPr>
                  <a:ln w="19050" cap="rnd">
                    <a:solidFill>
                      <a:schemeClr val="accent5"/>
                    </a:solidFill>
                    <a:prstDash val="lg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Podsumowanie!$S$14:$S$22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85.237226277372201</c:v>
                      </c:pt>
                      <c:pt idx="1">
                        <c:v>72.755474452554708</c:v>
                      </c:pt>
                      <c:pt idx="2">
                        <c:v>60.930656934306498</c:v>
                      </c:pt>
                      <c:pt idx="3">
                        <c:v>49.598540145985403</c:v>
                      </c:pt>
                      <c:pt idx="4">
                        <c:v>38.5948905109489</c:v>
                      </c:pt>
                      <c:pt idx="5">
                        <c:v>27.919708029197</c:v>
                      </c:pt>
                      <c:pt idx="6">
                        <c:v>17.737226277372201</c:v>
                      </c:pt>
                      <c:pt idx="7">
                        <c:v>6.6145833333333206</c:v>
                      </c:pt>
                      <c:pt idx="8" formatCode="General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Podsumowanie!$M$14:$M$22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3000</c:v>
                      </c:pt>
                      <c:pt idx="4">
                        <c:v>4000</c:v>
                      </c:pt>
                      <c:pt idx="5">
                        <c:v>5000</c:v>
                      </c:pt>
                      <c:pt idx="6">
                        <c:v>6000</c:v>
                      </c:pt>
                      <c:pt idx="7">
                        <c:v>7000</c:v>
                      </c:pt>
                      <c:pt idx="8">
                        <c:v>7600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0FB4-4535-8D92-2A90BB38B80A}"/>
                  </c:ext>
                </c:extLst>
              </c15:ser>
            </c15:filteredScatterSeries>
            <c15:filteredScatterSeries>
              <c15:ser>
                <c:idx val="24"/>
                <c:order val="14"/>
                <c:tx>
                  <c:v>10wmax3</c:v>
                </c:tx>
                <c:spPr>
                  <a:ln w="19050" cap="rnd">
                    <a:solidFill>
                      <a:schemeClr val="accent5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Podsumowanie!$S$25:$S$33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84.580291970802904</c:v>
                      </c:pt>
                      <c:pt idx="1">
                        <c:v>72.098540145985396</c:v>
                      </c:pt>
                      <c:pt idx="2">
                        <c:v>60.109489051094904</c:v>
                      </c:pt>
                      <c:pt idx="3">
                        <c:v>48.613138686131393</c:v>
                      </c:pt>
                      <c:pt idx="4">
                        <c:v>37.445255474452502</c:v>
                      </c:pt>
                      <c:pt idx="5">
                        <c:v>27.262773722627699</c:v>
                      </c:pt>
                      <c:pt idx="6">
                        <c:v>17.408759124087602</c:v>
                      </c:pt>
                      <c:pt idx="7">
                        <c:v>6.5693430656934302</c:v>
                      </c:pt>
                      <c:pt idx="8" formatCode="General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Podsumowanie!$M$25:$M$33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3000</c:v>
                      </c:pt>
                      <c:pt idx="4">
                        <c:v>4000</c:v>
                      </c:pt>
                      <c:pt idx="5">
                        <c:v>5000</c:v>
                      </c:pt>
                      <c:pt idx="6">
                        <c:v>6000</c:v>
                      </c:pt>
                      <c:pt idx="7">
                        <c:v>7000</c:v>
                      </c:pt>
                      <c:pt idx="8">
                        <c:v>7590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0FB4-4535-8D92-2A90BB38B80A}"/>
                  </c:ext>
                </c:extLst>
              </c15:ser>
            </c15:filteredScatterSeries>
            <c15:filteredScatterSeries>
              <c15:ser>
                <c:idx val="18"/>
                <c:order val="16"/>
                <c:tx>
                  <c:v>10ymax2</c:v>
                </c:tx>
                <c:spPr>
                  <a:ln w="19050" cap="rnd">
                    <a:solidFill>
                      <a:schemeClr val="accent6"/>
                    </a:solidFill>
                    <a:prstDash val="lg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Podsumowanie!$W$14:$W$22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97.178130511463792</c:v>
                      </c:pt>
                      <c:pt idx="1">
                        <c:v>80.599647266313909</c:v>
                      </c:pt>
                      <c:pt idx="2">
                        <c:v>65.255731922398496</c:v>
                      </c:pt>
                      <c:pt idx="3">
                        <c:v>50.793650793650698</c:v>
                      </c:pt>
                      <c:pt idx="4">
                        <c:v>38.4479717813051</c:v>
                      </c:pt>
                      <c:pt idx="5">
                        <c:v>26.455026455026399</c:v>
                      </c:pt>
                      <c:pt idx="6">
                        <c:v>16.049382716049301</c:v>
                      </c:pt>
                      <c:pt idx="7">
                        <c:v>6.5255731922398494</c:v>
                      </c:pt>
                      <c:pt idx="8" formatCode="General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Podsumowanie!$M$14:$M$22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3000</c:v>
                      </c:pt>
                      <c:pt idx="4">
                        <c:v>4000</c:v>
                      </c:pt>
                      <c:pt idx="5">
                        <c:v>5000</c:v>
                      </c:pt>
                      <c:pt idx="6">
                        <c:v>6000</c:v>
                      </c:pt>
                      <c:pt idx="7">
                        <c:v>7000</c:v>
                      </c:pt>
                      <c:pt idx="8">
                        <c:v>7600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0FB4-4535-8D92-2A90BB38B80A}"/>
                  </c:ext>
                </c:extLst>
              </c15:ser>
            </c15:filteredScatterSeries>
            <c15:filteredScatterSeries>
              <c15:ser>
                <c:idx val="25"/>
                <c:order val="17"/>
                <c:tx>
                  <c:v>10ymax3</c:v>
                </c:tx>
                <c:spPr>
                  <a:ln w="19050" cap="rnd">
                    <a:solidFill>
                      <a:schemeClr val="accent6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Podsumowanie!$W$25:$W$33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95.414462081128704</c:v>
                      </c:pt>
                      <c:pt idx="1">
                        <c:v>78.835978835978807</c:v>
                      </c:pt>
                      <c:pt idx="2">
                        <c:v>63.668430335097</c:v>
                      </c:pt>
                      <c:pt idx="3">
                        <c:v>49.735449735449706</c:v>
                      </c:pt>
                      <c:pt idx="4">
                        <c:v>37.389770723104</c:v>
                      </c:pt>
                      <c:pt idx="5">
                        <c:v>25.573192239858898</c:v>
                      </c:pt>
                      <c:pt idx="6">
                        <c:v>14.991181657848301</c:v>
                      </c:pt>
                      <c:pt idx="7">
                        <c:v>5.2910052910052796</c:v>
                      </c:pt>
                      <c:pt idx="8" formatCode="General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Podsumowanie!$M$25:$M$33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3000</c:v>
                      </c:pt>
                      <c:pt idx="4">
                        <c:v>4000</c:v>
                      </c:pt>
                      <c:pt idx="5">
                        <c:v>5000</c:v>
                      </c:pt>
                      <c:pt idx="6">
                        <c:v>6000</c:v>
                      </c:pt>
                      <c:pt idx="7">
                        <c:v>7000</c:v>
                      </c:pt>
                      <c:pt idx="8">
                        <c:v>7590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0FB4-4535-8D92-2A90BB38B80A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v>10th2</c:v>
                </c:tx>
                <c:spPr>
                  <a:ln w="12700" cap="rnd">
                    <a:solidFill>
                      <a:srgbClr val="FF0000"/>
                    </a:solidFill>
                    <a:prstDash val="lg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Podsumowanie!$AA$14:$AA$22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0</c:v>
                      </c:pt>
                      <c:pt idx="1">
                        <c:v>21.230527795940542</c:v>
                      </c:pt>
                      <c:pt idx="2">
                        <c:v>46.361169136812329</c:v>
                      </c:pt>
                      <c:pt idx="3">
                        <c:v>76.839488444320708</c:v>
                      </c:pt>
                      <c:pt idx="4">
                        <c:v>115.23286279655092</c:v>
                      </c:pt>
                      <c:pt idx="5">
                        <c:v>166.67216192045589</c:v>
                      </c:pt>
                      <c:pt idx="6">
                        <c:v>243.50182382637075</c:v>
                      </c:pt>
                      <c:pt idx="7">
                        <c:v>416.46824314741281</c:v>
                      </c:pt>
                      <c:pt idx="8" formatCode="General">
                        <c:v>500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Podsumowanie!$M$14:$M$22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3000</c:v>
                      </c:pt>
                      <c:pt idx="4">
                        <c:v>4000</c:v>
                      </c:pt>
                      <c:pt idx="5">
                        <c:v>5000</c:v>
                      </c:pt>
                      <c:pt idx="6">
                        <c:v>6000</c:v>
                      </c:pt>
                      <c:pt idx="7">
                        <c:v>7000</c:v>
                      </c:pt>
                      <c:pt idx="8">
                        <c:v>7600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0FB4-4535-8D92-2A90BB38B80A}"/>
                  </c:ext>
                </c:extLst>
              </c15:ser>
            </c15:filteredScatterSeries>
            <c15:filteredScatterSeries>
              <c15:ser>
                <c:idx val="26"/>
                <c:order val="20"/>
                <c:tx>
                  <c:v>10th3</c:v>
                </c:tx>
                <c:spPr>
                  <a:ln w="12700" cap="rnd">
                    <a:solidFill>
                      <a:srgbClr val="FF0000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Podsumowanie!$AA$25:$AA$33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0</c:v>
                      </c:pt>
                      <c:pt idx="1">
                        <c:v>21.410826311637958</c:v>
                      </c:pt>
                      <c:pt idx="2">
                        <c:v>46.832671971978954</c:v>
                      </c:pt>
                      <c:pt idx="3">
                        <c:v>77.8384044804437</c:v>
                      </c:pt>
                      <c:pt idx="4">
                        <c:v>117.23525747378795</c:v>
                      </c:pt>
                      <c:pt idx="5">
                        <c:v>170.05667961459295</c:v>
                      </c:pt>
                      <c:pt idx="6">
                        <c:v>248.49201424451729</c:v>
                      </c:pt>
                      <c:pt idx="7">
                        <c:v>423.21248943669059</c:v>
                      </c:pt>
                      <c:pt idx="8" formatCode="General">
                        <c:v>500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Podsumowanie!$M$25:$M$33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3000</c:v>
                      </c:pt>
                      <c:pt idx="4">
                        <c:v>4000</c:v>
                      </c:pt>
                      <c:pt idx="5">
                        <c:v>5000</c:v>
                      </c:pt>
                      <c:pt idx="6">
                        <c:v>6000</c:v>
                      </c:pt>
                      <c:pt idx="7">
                        <c:v>7000</c:v>
                      </c:pt>
                      <c:pt idx="8">
                        <c:v>7590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0FB4-4535-8D92-2A90BB38B80A}"/>
                  </c:ext>
                </c:extLst>
              </c15:ser>
            </c15:filteredScatterSeries>
            <c15:filteredScatterSeries>
              <c15:ser>
                <c:idx val="9"/>
                <c:order val="22"/>
                <c:tx>
                  <c:v>ht2</c:v>
                </c:tx>
                <c:spPr>
                  <a:ln w="12700" cap="rnd">
                    <a:solidFill>
                      <a:schemeClr val="tx1"/>
                    </a:solidFill>
                    <a:prstDash val="lg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Podsumowanie!$AC$45:$AC$46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8000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Podsumowanie!$AE$41:$AE$42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7600</c:v>
                      </c:pt>
                      <c:pt idx="1">
                        <c:v>7600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0FB4-4535-8D92-2A90BB38B80A}"/>
                  </c:ext>
                </c:extLst>
              </c15:ser>
            </c15:filteredScatterSeries>
            <c15:filteredScatterSeries>
              <c15:ser>
                <c:idx val="11"/>
                <c:order val="23"/>
                <c:tx>
                  <c:v>ht3</c:v>
                </c:tx>
                <c:spPr>
                  <a:ln w="12700" cap="rnd">
                    <a:solidFill>
                      <a:schemeClr val="tx1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Podsumowanie!$AC$45:$AC$46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8000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Podsumowanie!$AG$41:$AG$42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7590</c:v>
                      </c:pt>
                      <c:pt idx="1">
                        <c:v>7590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0FB4-4535-8D92-2A90BB38B80A}"/>
                  </c:ext>
                </c:extLst>
              </c15:ser>
            </c15:filteredScatterSeries>
            <c15:filteredScatterSeries>
              <c15:ser>
                <c:idx val="10"/>
                <c:order val="25"/>
                <c:tx>
                  <c:v>hp2</c:v>
                </c:tx>
                <c:spPr>
                  <a:ln w="12700" cap="rnd">
                    <a:solidFill>
                      <a:schemeClr val="bg1">
                        <a:lumMod val="50000"/>
                      </a:schemeClr>
                    </a:solidFill>
                    <a:prstDash val="lg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Podsumowanie!$AC$45:$AC$46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8000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Podsumowanie!$AF$41:$AF$42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7154.835</c:v>
                      </c:pt>
                      <c:pt idx="1">
                        <c:v>7154.835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0FB4-4535-8D92-2A90BB38B80A}"/>
                  </c:ext>
                </c:extLst>
              </c15:ser>
            </c15:filteredScatterSeries>
            <c15:filteredScatterSeries>
              <c15:ser>
                <c:idx val="12"/>
                <c:order val="26"/>
                <c:tx>
                  <c:v>hp3</c:v>
                </c:tx>
                <c:spPr>
                  <a:ln w="12700" cap="rnd">
                    <a:solidFill>
                      <a:schemeClr val="bg1">
                        <a:lumMod val="50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Podsumowanie!$AC$45:$AC$46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8000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Podsumowanie!$AH$41:$AH$42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7141.3450000000003</c:v>
                      </c:pt>
                      <c:pt idx="1">
                        <c:v>7141.3450000000003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0FB4-4535-8D92-2A90BB38B80A}"/>
                  </c:ext>
                </c:extLst>
              </c15:ser>
            </c15:filteredScatterSeries>
          </c:ext>
        </c:extLst>
      </c:scatterChart>
      <c:valAx>
        <c:axId val="1494335119"/>
        <c:scaling>
          <c:orientation val="minMax"/>
          <c:max val="4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 [km/h]</a:t>
                </a:r>
              </a:p>
              <a:p>
                <a:pPr>
                  <a:defRPr/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 [m/s]</a:t>
                </a:r>
              </a:p>
              <a:p>
                <a:pPr>
                  <a:defRPr/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 [min]</a:t>
                </a:r>
              </a:p>
              <a:p>
                <a:pPr>
                  <a:defRPr/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γ</a:t>
                </a: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[°]</a:t>
                </a:r>
              </a:p>
            </c:rich>
          </c:tx>
          <c:layout>
            <c:manualLayout>
              <c:xMode val="edge"/>
              <c:yMode val="edge"/>
              <c:x val="0.60819043315394661"/>
              <c:y val="0.672037038118981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41619439"/>
        <c:crosses val="autoZero"/>
        <c:crossBetween val="midCat"/>
        <c:majorUnit val="10"/>
      </c:valAx>
      <c:valAx>
        <c:axId val="1641619439"/>
        <c:scaling>
          <c:orientation val="minMax"/>
          <c:max val="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h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94335119"/>
        <c:crosses val="autoZero"/>
        <c:crossBetween val="midCat"/>
        <c:majorUnit val="5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4532723610392624"/>
          <c:y val="1.596121381372766E-2"/>
          <c:w val="0.14545974790480437"/>
          <c:h val="0.966090070049458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Piper w(V) dla maksymalnej masy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h=0km m. ciągu m=const.</c:v>
          </c:tx>
          <c:spPr>
            <a:ln w="19050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'h=0m'!$G$60:$G$74</c:f>
              <c:numCache>
                <c:formatCode>0.0</c:formatCode>
                <c:ptCount val="15"/>
                <c:pt idx="0">
                  <c:v>36.916857200854587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'h=0m'!$N$60:$N$74</c:f>
              <c:numCache>
                <c:formatCode>0.00</c:formatCode>
                <c:ptCount val="15"/>
                <c:pt idx="0">
                  <c:v>5.074143194174547</c:v>
                </c:pt>
                <c:pt idx="1">
                  <c:v>6.3686652226623472</c:v>
                </c:pt>
                <c:pt idx="2">
                  <c:v>7.0469442031919867</c:v>
                </c:pt>
                <c:pt idx="3">
                  <c:v>7.3490008376809062</c:v>
                </c:pt>
                <c:pt idx="4">
                  <c:v>7.252588625388249</c:v>
                </c:pt>
                <c:pt idx="5">
                  <c:v>6.7882793661349385</c:v>
                </c:pt>
                <c:pt idx="6">
                  <c:v>5.9700110753530797</c:v>
                </c:pt>
                <c:pt idx="7">
                  <c:v>4.5982282747802454</c:v>
                </c:pt>
                <c:pt idx="8">
                  <c:v>3.010988299005688</c:v>
                </c:pt>
                <c:pt idx="9">
                  <c:v>1.0567826607902033</c:v>
                </c:pt>
                <c:pt idx="10">
                  <c:v>-1.634151553938386</c:v>
                </c:pt>
                <c:pt idx="11">
                  <c:v>-4.3968861440250633</c:v>
                </c:pt>
                <c:pt idx="12">
                  <c:v>-7.5482740059649993</c:v>
                </c:pt>
                <c:pt idx="13">
                  <c:v>-11.095948419752782</c:v>
                </c:pt>
                <c:pt idx="14">
                  <c:v>-15.645743799454699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6D-4F2C-8997-0CFB4932B44E}"/>
            </c:ext>
          </c:extLst>
        </c:ser>
        <c:ser>
          <c:idx val="1"/>
          <c:order val="1"/>
          <c:tx>
            <c:v>h=1km m. ciągu, m=const.</c:v>
          </c:tx>
          <c:spPr>
            <a:ln w="19050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'h=1km'!$G$60:$G$74</c:f>
              <c:numCache>
                <c:formatCode>0.0</c:formatCode>
                <c:ptCount val="15"/>
                <c:pt idx="0">
                  <c:v>38.754809603898224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'h=1km'!$N$60:$N$74</c:f>
              <c:numCache>
                <c:formatCode>0.00</c:formatCode>
                <c:ptCount val="15"/>
                <c:pt idx="0">
                  <c:v>4.2066515336841936</c:v>
                </c:pt>
                <c:pt idx="1">
                  <c:v>5.1375223406234083</c:v>
                </c:pt>
                <c:pt idx="2">
                  <c:v>5.8115518116617206</c:v>
                </c:pt>
                <c:pt idx="3">
                  <c:v>6.1299621206488526</c:v>
                </c:pt>
                <c:pt idx="4">
                  <c:v>6.0817602212829351</c:v>
                </c:pt>
                <c:pt idx="5">
                  <c:v>5.6881351433525271</c:v>
                </c:pt>
                <c:pt idx="6">
                  <c:v>4.9690295109756288</c:v>
                </c:pt>
                <c:pt idx="7">
                  <c:v>3.747273821440182</c:v>
                </c:pt>
                <c:pt idx="8">
                  <c:v>2.3247507206438587</c:v>
                </c:pt>
                <c:pt idx="9">
                  <c:v>0.56756946583516843</c:v>
                </c:pt>
                <c:pt idx="10">
                  <c:v>-1.8574315683878564</c:v>
                </c:pt>
                <c:pt idx="11">
                  <c:v>-4.3508339096755417</c:v>
                </c:pt>
                <c:pt idx="12">
                  <c:v>-7.197835470432401</c:v>
                </c:pt>
                <c:pt idx="13">
                  <c:v>-10.405299767325509</c:v>
                </c:pt>
                <c:pt idx="14">
                  <c:v>-14.521432614730577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6D-4F2C-8997-0CFB4932B44E}"/>
            </c:ext>
          </c:extLst>
        </c:ser>
        <c:ser>
          <c:idx val="2"/>
          <c:order val="2"/>
          <c:tx>
            <c:v>h=2km m. ciągu, m=const.</c:v>
          </c:tx>
          <c:spPr>
            <a:ln w="19050" cap="rnd">
              <a:solidFill>
                <a:schemeClr val="accent4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'h=2km'!$G$60:$G$74</c:f>
              <c:numCache>
                <c:formatCode>0.0</c:formatCode>
                <c:ptCount val="15"/>
                <c:pt idx="0">
                  <c:v>40.730481978293845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'h=2km'!$N$60:$N$74</c:f>
              <c:numCache>
                <c:formatCode>0.00</c:formatCode>
                <c:ptCount val="15"/>
                <c:pt idx="0">
                  <c:v>3.3463764338043913</c:v>
                </c:pt>
                <c:pt idx="1">
                  <c:v>3.9417751225830382</c:v>
                </c:pt>
                <c:pt idx="2">
                  <c:v>4.6186742998054608</c:v>
                </c:pt>
                <c:pt idx="3">
                  <c:v>4.9576401389687144</c:v>
                </c:pt>
                <c:pt idx="4">
                  <c:v>4.959020814515025</c:v>
                </c:pt>
                <c:pt idx="5">
                  <c:v>4.6343976762521857</c:v>
                </c:pt>
                <c:pt idx="6">
                  <c:v>4.0101279623824055</c:v>
                </c:pt>
                <c:pt idx="7">
                  <c:v>2.9302497736539621</c:v>
                </c:pt>
                <c:pt idx="8">
                  <c:v>1.6625270687275981</c:v>
                </c:pt>
                <c:pt idx="9">
                  <c:v>8.9841716808967478E-2</c:v>
                </c:pt>
                <c:pt idx="10">
                  <c:v>-2.0867647566428245</c:v>
                </c:pt>
                <c:pt idx="11">
                  <c:v>-4.3290266842730194</c:v>
                </c:pt>
                <c:pt idx="12">
                  <c:v>-6.8925191023776637</c:v>
                </c:pt>
                <c:pt idx="13">
                  <c:v>-9.7833461183031645</c:v>
                </c:pt>
                <c:pt idx="14">
                  <c:v>-13.496148154000203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86D-4F2C-8997-0CFB4932B44E}"/>
            </c:ext>
          </c:extLst>
        </c:ser>
        <c:ser>
          <c:idx val="3"/>
          <c:order val="3"/>
          <c:tx>
            <c:v>h=3km m. ciągu, m=const.</c:v>
          </c:tx>
          <c:spPr>
            <a:ln w="19050" cap="rnd">
              <a:solidFill>
                <a:schemeClr val="accent3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'h=3km'!$G$60:$G$74</c:f>
              <c:numCache>
                <c:formatCode>0.0</c:formatCode>
                <c:ptCount val="15"/>
                <c:pt idx="0">
                  <c:v>42.857826377230474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'h=3km'!$N$60:$N$74</c:f>
              <c:numCache>
                <c:formatCode>0.00</c:formatCode>
                <c:ptCount val="15"/>
                <c:pt idx="0">
                  <c:v>2.4915044603098164</c:v>
                </c:pt>
                <c:pt idx="1">
                  <c:v>2.7727714145220435</c:v>
                </c:pt>
                <c:pt idx="2">
                  <c:v>3.4600305649771124</c:v>
                </c:pt>
                <c:pt idx="3">
                  <c:v>3.8241675631607697</c:v>
                </c:pt>
                <c:pt idx="4">
                  <c:v>3.8770507018109579</c:v>
                </c:pt>
                <c:pt idx="5">
                  <c:v>3.6202537673763624</c:v>
                </c:pt>
                <c:pt idx="6">
                  <c:v>3.0870903235186944</c:v>
                </c:pt>
                <c:pt idx="7">
                  <c:v>2.1417210097294013</c:v>
                </c:pt>
                <c:pt idx="8">
                  <c:v>1.019656054802788</c:v>
                </c:pt>
                <c:pt idx="9">
                  <c:v>-0.38018833082135972</c:v>
                </c:pt>
                <c:pt idx="10">
                  <c:v>-2.3248098451072883</c:v>
                </c:pt>
                <c:pt idx="11">
                  <c:v>-4.3330144183181636</c:v>
                </c:pt>
                <c:pt idx="12">
                  <c:v>-6.6326451216929403</c:v>
                </c:pt>
                <c:pt idx="13">
                  <c:v>-9.2290974323541839</c:v>
                </c:pt>
                <c:pt idx="14">
                  <c:v>-12.567217123574997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86D-4F2C-8997-0CFB4932B44E}"/>
            </c:ext>
          </c:extLst>
        </c:ser>
        <c:ser>
          <c:idx val="4"/>
          <c:order val="4"/>
          <c:tx>
            <c:v>h=4km m. ciągu, m=const.</c:v>
          </c:tx>
          <c:spPr>
            <a:ln w="19050" cap="rnd">
              <a:solidFill>
                <a:schemeClr val="accent5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'h=4km'!$G$60:$G$74</c:f>
              <c:numCache>
                <c:formatCode>0.0</c:formatCode>
                <c:ptCount val="15"/>
                <c:pt idx="0">
                  <c:v>45.15259477332792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'h=4km'!$N$60:$N$74</c:f>
              <c:numCache>
                <c:formatCode>0.00</c:formatCode>
                <c:ptCount val="15"/>
                <c:pt idx="0">
                  <c:v>1.6401328963248125</c:v>
                </c:pt>
                <c:pt idx="1">
                  <c:v>1.6211251453680362</c:v>
                </c:pt>
                <c:pt idx="2">
                  <c:v>2.326647541667386</c:v>
                </c:pt>
                <c:pt idx="3">
                  <c:v>2.7210655369666932</c:v>
                </c:pt>
                <c:pt idx="4">
                  <c:v>2.8279527580866421</c:v>
                </c:pt>
                <c:pt idx="5">
                  <c:v>2.638409580753573</c:v>
                </c:pt>
                <c:pt idx="6">
                  <c:v>2.1932348141835125</c:v>
                </c:pt>
                <c:pt idx="7">
                  <c:v>1.3758130965205426</c:v>
                </c:pt>
                <c:pt idx="8">
                  <c:v>0.39105602969017617</c:v>
                </c:pt>
                <c:pt idx="9">
                  <c:v>-0.84671491006693911</c:v>
                </c:pt>
                <c:pt idx="10">
                  <c:v>-2.5746309243104197</c:v>
                </c:pt>
                <c:pt idx="11">
                  <c:v>-4.3647513501983433</c:v>
                </c:pt>
                <c:pt idx="12">
                  <c:v>-6.4189618324085878</c:v>
                </c:pt>
                <c:pt idx="13">
                  <c:v>-8.7419546039032383</c:v>
                </c:pt>
                <c:pt idx="14">
                  <c:v>-11.732355219010786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86D-4F2C-8997-0CFB4932B44E}"/>
            </c:ext>
          </c:extLst>
        </c:ser>
        <c:ser>
          <c:idx val="6"/>
          <c:order val="5"/>
          <c:tx>
            <c:v>h=5km m. ciągu, m=const.</c:v>
          </c:tx>
          <c:spPr>
            <a:ln w="19050" cap="rnd">
              <a:solidFill>
                <a:schemeClr val="accent6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'h=5km'!$G$58:$G$72</c:f>
              <c:numCache>
                <c:formatCode>0.0</c:formatCode>
                <c:ptCount val="15"/>
                <c:pt idx="0">
                  <c:v>47.632623686327229</c:v>
                </c:pt>
                <c:pt idx="1">
                  <c:v>50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'h=5km'!$N$58:$N$72</c:f>
              <c:numCache>
                <c:formatCode>0.00</c:formatCode>
                <c:ptCount val="15"/>
                <c:pt idx="0">
                  <c:v>1.042953529822173</c:v>
                </c:pt>
                <c:pt idx="1">
                  <c:v>1.2809449221570446</c:v>
                </c:pt>
                <c:pt idx="2">
                  <c:v>1.453185214061151</c:v>
                </c:pt>
                <c:pt idx="3">
                  <c:v>1.8630467589363093</c:v>
                </c:pt>
                <c:pt idx="4">
                  <c:v>1.9940034335407895</c:v>
                </c:pt>
                <c:pt idx="5">
                  <c:v>1.8355436137980645</c:v>
                </c:pt>
                <c:pt idx="6">
                  <c:v>1.4342357481944916</c:v>
                </c:pt>
                <c:pt idx="7">
                  <c:v>0.6861607765856178</c:v>
                </c:pt>
                <c:pt idx="8">
                  <c:v>-0.21831599812630365</c:v>
                </c:pt>
                <c:pt idx="9">
                  <c:v>-1.3551395355757434</c:v>
                </c:pt>
                <c:pt idx="10">
                  <c:v>-2.9396415789768087</c:v>
                </c:pt>
                <c:pt idx="11">
                  <c:v>-4.5774746097400971</c:v>
                </c:pt>
                <c:pt idx="12">
                  <c:v>-6.4523305825465451</c:v>
                </c:pt>
                <c:pt idx="13">
                  <c:v>-8.5670014823681413</c:v>
                </c:pt>
                <c:pt idx="14">
                  <c:v>-11.281484270139487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86D-4F2C-8997-0CFB4932B44E}"/>
            </c:ext>
          </c:extLst>
        </c:ser>
        <c:ser>
          <c:idx val="7"/>
          <c:order val="6"/>
          <c:tx>
            <c:v>h=6km m. ciągu, m=const.</c:v>
          </c:tx>
          <c:spPr>
            <a:ln w="19050" cap="rnd">
              <a:solidFill>
                <a:schemeClr val="tx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'h=6km'!$G$58:$G$72</c:f>
              <c:numCache>
                <c:formatCode>0.0</c:formatCode>
                <c:ptCount val="15"/>
                <c:pt idx="0">
                  <c:v>50.318172548068731</c:v>
                </c:pt>
                <c:pt idx="1">
                  <c:v>51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'h=6km'!$N$58:$N$72</c:f>
              <c:numCache>
                <c:formatCode>0.00</c:formatCode>
                <c:ptCount val="15"/>
                <c:pt idx="0">
                  <c:v>0.15546453161067456</c:v>
                </c:pt>
                <c:pt idx="1">
                  <c:v>0.21945858094517848</c:v>
                </c:pt>
                <c:pt idx="2">
                  <c:v>0.3080408475633335</c:v>
                </c:pt>
                <c:pt idx="3">
                  <c:v>0.76281505985225884</c:v>
                </c:pt>
                <c:pt idx="4">
                  <c:v>0.95924999895355789</c:v>
                </c:pt>
                <c:pt idx="5">
                  <c:v>0.87353161216419495</c:v>
                </c:pt>
                <c:pt idx="6">
                  <c:v>0.56152141498502017</c:v>
                </c:pt>
                <c:pt idx="7">
                  <c:v>-6.2266577377927089E-2</c:v>
                </c:pt>
                <c:pt idx="8">
                  <c:v>-0.83721287321326276</c:v>
                </c:pt>
                <c:pt idx="9">
                  <c:v>-1.8241207136498692</c:v>
                </c:pt>
                <c:pt idx="10">
                  <c:v>-3.2113418617625884</c:v>
                </c:pt>
                <c:pt idx="11">
                  <c:v>-4.6531152363714927</c:v>
                </c:pt>
                <c:pt idx="12">
                  <c:v>-6.3094396887638862</c:v>
                </c:pt>
                <c:pt idx="13">
                  <c:v>-8.1826004199807851</c:v>
                </c:pt>
                <c:pt idx="14">
                  <c:v>-10.592342593335545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86D-4F2C-8997-0CFB4932B44E}"/>
            </c:ext>
          </c:extLst>
        </c:ser>
        <c:ser>
          <c:idx val="8"/>
          <c:order val="7"/>
          <c:tx>
            <c:v>h=7km m. ciągu, m=const.</c:v>
          </c:tx>
          <c:spPr>
            <a:ln w="19050" cap="rnd">
              <a:solidFill>
                <a:schemeClr val="accent2">
                  <a:lumMod val="75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'h=7m'!$G$58:$G$72</c:f>
              <c:numCache>
                <c:formatCode>0.0</c:formatCode>
                <c:ptCount val="15"/>
                <c:pt idx="0">
                  <c:v>53.232327687547958</c:v>
                </c:pt>
                <c:pt idx="1">
                  <c:v>55</c:v>
                </c:pt>
                <c:pt idx="2">
                  <c:v>57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'h=7m'!$N$58:$N$72</c:f>
              <c:numCache>
                <c:formatCode>0.00</c:formatCode>
                <c:ptCount val="15"/>
                <c:pt idx="0">
                  <c:v>-0.73255746998636562</c:v>
                </c:pt>
                <c:pt idx="1">
                  <c:v>-0.59124125045823539</c:v>
                </c:pt>
                <c:pt idx="2">
                  <c:v>-0.45255253180857813</c:v>
                </c:pt>
                <c:pt idx="3">
                  <c:v>-0.33550294342281228</c:v>
                </c:pt>
                <c:pt idx="4">
                  <c:v>-6.9155144831709287E-2</c:v>
                </c:pt>
                <c:pt idx="5">
                  <c:v>-8.1004663111003822E-2</c:v>
                </c:pt>
                <c:pt idx="6">
                  <c:v>-0.30504708847888107</c:v>
                </c:pt>
                <c:pt idx="7">
                  <c:v>-0.80895305796217976</c:v>
                </c:pt>
                <c:pt idx="8">
                  <c:v>-1.4606647727936533</c:v>
                </c:pt>
                <c:pt idx="9">
                  <c:v>-2.3061750740667879</c:v>
                </c:pt>
                <c:pt idx="10">
                  <c:v>-3.5085247277384286</c:v>
                </c:pt>
                <c:pt idx="11">
                  <c:v>-4.7674057760311968</c:v>
                </c:pt>
                <c:pt idx="12">
                  <c:v>-6.2205084661952315</c:v>
                </c:pt>
                <c:pt idx="13">
                  <c:v>-7.8696032456100617</c:v>
                </c:pt>
                <c:pt idx="14">
                  <c:v>-9.9971556303370743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86D-4F2C-8997-0CFB4932B44E}"/>
            </c:ext>
          </c:extLst>
        </c:ser>
        <c:ser>
          <c:idx val="18"/>
          <c:order val="8"/>
          <c:tx>
            <c:v>h=8km m. ciągu, m=const.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'h=8km'!$G$58:$G$72</c:f>
              <c:numCache>
                <c:formatCode>0.0</c:formatCode>
                <c:ptCount val="15"/>
                <c:pt idx="0">
                  <c:v>56.401486852033145</c:v>
                </c:pt>
                <c:pt idx="1">
                  <c:v>57</c:v>
                </c:pt>
                <c:pt idx="2">
                  <c:v>58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'h=8km'!$N$58:$N$72</c:f>
              <c:numCache>
                <c:formatCode>0.00</c:formatCode>
                <c:ptCount val="15"/>
                <c:pt idx="0">
                  <c:v>-1.6235041108540935</c:v>
                </c:pt>
                <c:pt idx="1">
                  <c:v>-1.5792049445023699</c:v>
                </c:pt>
                <c:pt idx="2">
                  <c:v>-1.5094100869209828</c:v>
                </c:pt>
                <c:pt idx="3">
                  <c:v>-1.4448008076331793</c:v>
                </c:pt>
                <c:pt idx="4">
                  <c:v>-1.1031681192012708</c:v>
                </c:pt>
                <c:pt idx="5">
                  <c:v>-1.039141161387106</c:v>
                </c:pt>
                <c:pt idx="6">
                  <c:v>-1.1756358654270802</c:v>
                </c:pt>
                <c:pt idx="7">
                  <c:v>-1.5629878018261354</c:v>
                </c:pt>
                <c:pt idx="8">
                  <c:v>-2.0967713383542042</c:v>
                </c:pt>
                <c:pt idx="9">
                  <c:v>-2.8083630336334529</c:v>
                </c:pt>
                <c:pt idx="10">
                  <c:v>-3.8369805434309971</c:v>
                </c:pt>
                <c:pt idx="11">
                  <c:v>-4.9249526330855939</c:v>
                </c:pt>
                <c:pt idx="12">
                  <c:v>-6.1888783851677704</c:v>
                </c:pt>
                <c:pt idx="13">
                  <c:v>-7.6300027602274394</c:v>
                </c:pt>
                <c:pt idx="14">
                  <c:v>-9.4962618019532439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86D-4F2C-8997-0CFB4932B44E}"/>
            </c:ext>
          </c:extLst>
        </c:ser>
        <c:ser>
          <c:idx val="9"/>
          <c:order val="9"/>
          <c:tx>
            <c:v>h=0km m. mocy</c:v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'h=0m'!$H$41:$H$56</c:f>
              <c:numCache>
                <c:formatCode>0.00</c:formatCode>
                <c:ptCount val="16"/>
                <c:pt idx="0">
                  <c:v>36.916857200854587</c:v>
                </c:pt>
                <c:pt idx="1">
                  <c:v>37.603687192316841</c:v>
                </c:pt>
                <c:pt idx="2">
                  <c:v>38.821273869141265</c:v>
                </c:pt>
                <c:pt idx="3">
                  <c:v>40.136212812175167</c:v>
                </c:pt>
                <c:pt idx="4">
                  <c:v>41.790249902077335</c:v>
                </c:pt>
                <c:pt idx="5">
                  <c:v>43.425605092866448</c:v>
                </c:pt>
                <c:pt idx="6">
                  <c:v>45.353065388139349</c:v>
                </c:pt>
                <c:pt idx="7">
                  <c:v>47.880274913673894</c:v>
                </c:pt>
                <c:pt idx="8">
                  <c:v>50.589298964412684</c:v>
                </c:pt>
                <c:pt idx="9">
                  <c:v>53.677383104531074</c:v>
                </c:pt>
                <c:pt idx="10">
                  <c:v>62.483074450686544</c:v>
                </c:pt>
                <c:pt idx="11">
                  <c:v>68.67648678531765</c:v>
                </c:pt>
                <c:pt idx="12">
                  <c:v>77.380506667722187</c:v>
                </c:pt>
                <c:pt idx="13">
                  <c:v>89.714777176744207</c:v>
                </c:pt>
                <c:pt idx="14">
                  <c:v>109.28537623419732</c:v>
                </c:pt>
                <c:pt idx="15">
                  <c:v>176.88432534751809</c:v>
                </c:pt>
              </c:numCache>
            </c:numRef>
          </c:xVal>
          <c:yVal>
            <c:numRef>
              <c:f>'h=0m'!$N$41:$N$56</c:f>
              <c:numCache>
                <c:formatCode>0.00</c:formatCode>
                <c:ptCount val="16"/>
                <c:pt idx="0">
                  <c:v>4.8733364222289905</c:v>
                </c:pt>
                <c:pt idx="1">
                  <c:v>5.0145519486518815</c:v>
                </c:pt>
                <c:pt idx="2">
                  <c:v>5.2530723101087009</c:v>
                </c:pt>
                <c:pt idx="3">
                  <c:v>5.5025702040339128</c:v>
                </c:pt>
                <c:pt idx="4">
                  <c:v>5.7665834596352461</c:v>
                </c:pt>
                <c:pt idx="5">
                  <c:v>6.0066501076003016</c:v>
                </c:pt>
                <c:pt idx="6">
                  <c:v>6.2600295686707907</c:v>
                </c:pt>
                <c:pt idx="7">
                  <c:v>6.5197149388766213</c:v>
                </c:pt>
                <c:pt idx="8">
                  <c:v>6.8028189568996078</c:v>
                </c:pt>
                <c:pt idx="9">
                  <c:v>7.0581226028528183</c:v>
                </c:pt>
                <c:pt idx="10">
                  <c:v>7.3055667299844318</c:v>
                </c:pt>
                <c:pt idx="11">
                  <c:v>7.1193491092771071</c:v>
                </c:pt>
                <c:pt idx="12">
                  <c:v>6.3470472454013036</c:v>
                </c:pt>
                <c:pt idx="13">
                  <c:v>4.3562418078599547</c:v>
                </c:pt>
                <c:pt idx="14">
                  <c:v>-1.1964730023924679</c:v>
                </c:pt>
                <c:pt idx="15">
                  <c:v>-43.909141927057142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86D-4F2C-8997-0CFB4932B44E}"/>
            </c:ext>
          </c:extLst>
        </c:ser>
        <c:ser>
          <c:idx val="10"/>
          <c:order val="10"/>
          <c:tx>
            <c:v>h=1km m. mocy</c:v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'h=1km'!$H$41:$H$56</c:f>
              <c:numCache>
                <c:formatCode>0.00</c:formatCode>
                <c:ptCount val="16"/>
                <c:pt idx="0">
                  <c:v>38.754809603898224</c:v>
                </c:pt>
                <c:pt idx="1">
                  <c:v>39.475834294720244</c:v>
                </c:pt>
                <c:pt idx="2">
                  <c:v>40.754040063424775</c:v>
                </c:pt>
                <c:pt idx="3">
                  <c:v>42.13444490397687</c:v>
                </c:pt>
                <c:pt idx="4">
                  <c:v>43.870830321299458</c:v>
                </c:pt>
                <c:pt idx="5">
                  <c:v>45.587603737545514</c:v>
                </c:pt>
                <c:pt idx="6">
                  <c:v>47.611025080157674</c:v>
                </c:pt>
                <c:pt idx="7">
                  <c:v>50.264054926614435</c:v>
                </c:pt>
                <c:pt idx="8">
                  <c:v>53.107951164247922</c:v>
                </c:pt>
                <c:pt idx="9">
                  <c:v>56.349779476987806</c:v>
                </c:pt>
                <c:pt idx="10">
                  <c:v>65.593873298253001</c:v>
                </c:pt>
                <c:pt idx="11">
                  <c:v>72.095632495173675</c:v>
                </c:pt>
                <c:pt idx="12">
                  <c:v>81.23299301034028</c:v>
                </c:pt>
                <c:pt idx="13">
                  <c:v>94.18134076863916</c:v>
                </c:pt>
                <c:pt idx="14">
                  <c:v>114.72628683973286</c:v>
                </c:pt>
                <c:pt idx="15">
                  <c:v>185.6907350877735</c:v>
                </c:pt>
              </c:numCache>
            </c:numRef>
          </c:xVal>
          <c:yVal>
            <c:numRef>
              <c:f>'h=1km'!$N$41:$N$56</c:f>
              <c:numCache>
                <c:formatCode>0.00</c:formatCode>
                <c:ptCount val="16"/>
                <c:pt idx="0">
                  <c:v>4.0344607802075236</c:v>
                </c:pt>
                <c:pt idx="1">
                  <c:v>4.1664091482273857</c:v>
                </c:pt>
                <c:pt idx="2">
                  <c:v>4.3882481611487361</c:v>
                </c:pt>
                <c:pt idx="3">
                  <c:v>4.6198091623529836</c:v>
                </c:pt>
                <c:pt idx="4">
                  <c:v>4.8594871164211115</c:v>
                </c:pt>
                <c:pt idx="5">
                  <c:v>5.0752228157604842</c:v>
                </c:pt>
                <c:pt idx="6">
                  <c:v>5.2994373950103473</c:v>
                </c:pt>
                <c:pt idx="7">
                  <c:v>5.5188791501441132</c:v>
                </c:pt>
                <c:pt idx="8">
                  <c:v>5.7610970102994568</c:v>
                </c:pt>
                <c:pt idx="9">
                  <c:v>5.9689700319061192</c:v>
                </c:pt>
                <c:pt idx="10">
                  <c:v>6.0719290754051274</c:v>
                </c:pt>
                <c:pt idx="11">
                  <c:v>5.7790399790567584</c:v>
                </c:pt>
                <c:pt idx="12">
                  <c:v>4.8491331293304647</c:v>
                </c:pt>
                <c:pt idx="13">
                  <c:v>2.625242853374643</c:v>
                </c:pt>
                <c:pt idx="14">
                  <c:v>-3.3346959586081826</c:v>
                </c:pt>
                <c:pt idx="15">
                  <c:v>-47.903172732346938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86D-4F2C-8997-0CFB4932B44E}"/>
            </c:ext>
          </c:extLst>
        </c:ser>
        <c:ser>
          <c:idx val="11"/>
          <c:order val="11"/>
          <c:tx>
            <c:v>h=2km m. mocy</c:v>
          </c:tx>
          <c:spPr>
            <a:ln w="1905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'h=2km'!$H$41:$H$56</c:f>
              <c:numCache>
                <c:formatCode>0.00</c:formatCode>
                <c:ptCount val="16"/>
                <c:pt idx="0">
                  <c:v>40.730481978293845</c:v>
                </c:pt>
                <c:pt idx="1">
                  <c:v>41.488263618188093</c:v>
                </c:pt>
                <c:pt idx="2">
                  <c:v>42.831630739814578</c:v>
                </c:pt>
                <c:pt idx="3">
                  <c:v>44.28240691586889</c:v>
                </c:pt>
                <c:pt idx="4">
                  <c:v>46.107311119256231</c:v>
                </c:pt>
                <c:pt idx="5">
                  <c:v>47.911603525951229</c:v>
                </c:pt>
                <c:pt idx="6">
                  <c:v>50.038176391928353</c:v>
                </c:pt>
                <c:pt idx="7">
                  <c:v>52.826454426407807</c:v>
                </c:pt>
                <c:pt idx="8">
                  <c:v>55.815328985177857</c:v>
                </c:pt>
                <c:pt idx="9">
                  <c:v>59.222421705238411</c:v>
                </c:pt>
                <c:pt idx="10">
                  <c:v>68.937768023307456</c:v>
                </c:pt>
                <c:pt idx="11">
                  <c:v>75.770978881624927</c:v>
                </c:pt>
                <c:pt idx="12">
                  <c:v>85.374150761347749</c:v>
                </c:pt>
                <c:pt idx="13">
                  <c:v>98.982589311514843</c:v>
                </c:pt>
                <c:pt idx="14">
                  <c:v>120.57489138308867</c:v>
                </c:pt>
                <c:pt idx="15">
                  <c:v>195.1570196404198</c:v>
                </c:pt>
              </c:numCache>
            </c:numRef>
          </c:xVal>
          <c:yVal>
            <c:numRef>
              <c:f>'h=2km'!$N$41:$N$56</c:f>
              <c:numCache>
                <c:formatCode>0.00</c:formatCode>
                <c:ptCount val="16"/>
                <c:pt idx="0">
                  <c:v>3.1977464961041502</c:v>
                </c:pt>
                <c:pt idx="1">
                  <c:v>3.3209637116531794</c:v>
                </c:pt>
                <c:pt idx="2">
                  <c:v>3.5270532644939485</c:v>
                </c:pt>
                <c:pt idx="3">
                  <c:v>3.7416903821098071</c:v>
                </c:pt>
                <c:pt idx="4">
                  <c:v>3.9581752650502118</c:v>
                </c:pt>
                <c:pt idx="5">
                  <c:v>4.1506896387089274</c:v>
                </c:pt>
                <c:pt idx="6">
                  <c:v>4.3470108213309251</c:v>
                </c:pt>
                <c:pt idx="7">
                  <c:v>4.5277253672268785</c:v>
                </c:pt>
                <c:pt idx="8">
                  <c:v>4.7308492535736617</c:v>
                </c:pt>
                <c:pt idx="9">
                  <c:v>4.8932681884830949</c:v>
                </c:pt>
                <c:pt idx="10">
                  <c:v>4.8566375827693493</c:v>
                </c:pt>
                <c:pt idx="11">
                  <c:v>4.4600756743198042</c:v>
                </c:pt>
                <c:pt idx="12">
                  <c:v>3.3760670889164399</c:v>
                </c:pt>
                <c:pt idx="13">
                  <c:v>0.92295967777778654</c:v>
                </c:pt>
                <c:pt idx="14">
                  <c:v>-5.4420979416128823</c:v>
                </c:pt>
                <c:pt idx="15">
                  <c:v>-51.912430040397979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286D-4F2C-8997-0CFB4932B44E}"/>
            </c:ext>
          </c:extLst>
        </c:ser>
        <c:ser>
          <c:idx val="12"/>
          <c:order val="12"/>
          <c:tx>
            <c:v>h=3km m. mocy</c:v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'h=3km'!$H$41:$H$56</c:f>
              <c:numCache>
                <c:formatCode>0.00</c:formatCode>
                <c:ptCount val="16"/>
                <c:pt idx="0">
                  <c:v>42.857826377230467</c:v>
                </c:pt>
                <c:pt idx="1">
                  <c:v>43.655186790783837</c:v>
                </c:pt>
                <c:pt idx="2">
                  <c:v>45.068717691062162</c:v>
                </c:pt>
                <c:pt idx="3">
                  <c:v>46.595267597805069</c:v>
                </c:pt>
                <c:pt idx="4">
                  <c:v>48.515486159066711</c:v>
                </c:pt>
                <c:pt idx="5">
                  <c:v>50.414016373884678</c:v>
                </c:pt>
                <c:pt idx="6">
                  <c:v>52.651659687733698</c:v>
                </c:pt>
                <c:pt idx="7">
                  <c:v>55.585568890105762</c:v>
                </c:pt>
                <c:pt idx="8">
                  <c:v>58.730551730509013</c:v>
                </c:pt>
                <c:pt idx="9">
                  <c:v>62.315596177694751</c:v>
                </c:pt>
                <c:pt idx="10">
                  <c:v>72.538372964779313</c:v>
                </c:pt>
                <c:pt idx="11">
                  <c:v>79.728480970887503</c:v>
                </c:pt>
                <c:pt idx="12">
                  <c:v>89.83322447260197</c:v>
                </c:pt>
                <c:pt idx="13">
                  <c:v>104.15242886991516</c:v>
                </c:pt>
                <c:pt idx="14">
                  <c:v>126.87249227995264</c:v>
                </c:pt>
                <c:pt idx="15">
                  <c:v>205.35002921164124</c:v>
                </c:pt>
              </c:numCache>
            </c:numRef>
          </c:xVal>
          <c:yVal>
            <c:numRef>
              <c:f>'h=3km'!$N$41:$N$56</c:f>
              <c:numCache>
                <c:formatCode>0.00</c:formatCode>
                <c:ptCount val="16"/>
                <c:pt idx="0">
                  <c:v>2.3619278267998567</c:v>
                </c:pt>
                <c:pt idx="1">
                  <c:v>2.4769777889066922</c:v>
                </c:pt>
                <c:pt idx="2">
                  <c:v>2.6682972320387282</c:v>
                </c:pt>
                <c:pt idx="3">
                  <c:v>2.8670751870611499</c:v>
                </c:pt>
                <c:pt idx="4">
                  <c:v>3.0615605315082175</c:v>
                </c:pt>
                <c:pt idx="5">
                  <c:v>3.2320114566669282</c:v>
                </c:pt>
                <c:pt idx="6">
                  <c:v>3.4017632222244845</c:v>
                </c:pt>
                <c:pt idx="7">
                  <c:v>3.5453191990239437</c:v>
                </c:pt>
                <c:pt idx="8">
                  <c:v>3.711212234287725</c:v>
                </c:pt>
                <c:pt idx="9">
                  <c:v>3.8302249130353148</c:v>
                </c:pt>
                <c:pt idx="10">
                  <c:v>3.659007659149363</c:v>
                </c:pt>
                <c:pt idx="11">
                  <c:v>3.1617794203825946</c:v>
                </c:pt>
                <c:pt idx="12">
                  <c:v>1.9270713255749095</c:v>
                </c:pt>
                <c:pt idx="13">
                  <c:v>-0.75173853267696777</c:v>
                </c:pt>
                <c:pt idx="14">
                  <c:v>-7.5210831876296078</c:v>
                </c:pt>
                <c:pt idx="15">
                  <c:v>-55.953550086634642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286D-4F2C-8997-0CFB4932B44E}"/>
            </c:ext>
          </c:extLst>
        </c:ser>
        <c:ser>
          <c:idx val="13"/>
          <c:order val="13"/>
          <c:tx>
            <c:v>h=4km m. mocy</c:v>
          </c:tx>
          <c:spPr>
            <a:ln w="1905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'h=4km'!$H$41:$H$56</c:f>
              <c:numCache>
                <c:formatCode>0.00</c:formatCode>
                <c:ptCount val="16"/>
                <c:pt idx="0">
                  <c:v>45.15259477332792</c:v>
                </c:pt>
                <c:pt idx="1">
                  <c:v>45.992648847106054</c:v>
                </c:pt>
                <c:pt idx="2">
                  <c:v>47.481865481147793</c:v>
                </c:pt>
                <c:pt idx="3">
                  <c:v>49.090152582171754</c:v>
                </c:pt>
                <c:pt idx="4">
                  <c:v>51.113186830565958</c:v>
                </c:pt>
                <c:pt idx="5">
                  <c:v>53.113371457291173</c:v>
                </c:pt>
                <c:pt idx="6">
                  <c:v>55.470826567313956</c:v>
                </c:pt>
                <c:pt idx="7">
                  <c:v>58.561828246923731</c:v>
                </c:pt>
                <c:pt idx="8">
                  <c:v>61.875205236971972</c:v>
                </c:pt>
                <c:pt idx="9">
                  <c:v>65.652206378918535</c:v>
                </c:pt>
                <c:pt idx="10">
                  <c:v>76.422348888307297</c:v>
                </c:pt>
                <c:pt idx="11">
                  <c:v>83.99744218209004</c:v>
                </c:pt>
                <c:pt idx="12">
                  <c:v>94.64323146233528</c:v>
                </c:pt>
                <c:pt idx="13">
                  <c:v>109.72913964483324</c:v>
                </c:pt>
                <c:pt idx="14">
                  <c:v>133.66572026719447</c:v>
                </c:pt>
                <c:pt idx="15">
                  <c:v>216.34523818525633</c:v>
                </c:pt>
              </c:numCache>
            </c:numRef>
          </c:xVal>
          <c:yVal>
            <c:numRef>
              <c:f>'h=4km'!$N$41:$N$56</c:f>
              <c:numCache>
                <c:formatCode>0.00</c:formatCode>
                <c:ptCount val="16"/>
                <c:pt idx="0">
                  <c:v>1.5256054664788936</c:v>
                </c:pt>
                <c:pt idx="1">
                  <c:v>1.6330840036951242</c:v>
                </c:pt>
                <c:pt idx="2">
                  <c:v>1.8106669847875492</c:v>
                </c:pt>
                <c:pt idx="3">
                  <c:v>1.9947095523140013</c:v>
                </c:pt>
                <c:pt idx="4">
                  <c:v>2.1684474982268798</c:v>
                </c:pt>
                <c:pt idx="5">
                  <c:v>2.3180478232933615</c:v>
                </c:pt>
                <c:pt idx="6">
                  <c:v>2.462613737301087</c:v>
                </c:pt>
                <c:pt idx="7">
                  <c:v>2.5706387092785086</c:v>
                </c:pt>
                <c:pt idx="8">
                  <c:v>2.7012434043588294</c:v>
                </c:pt>
                <c:pt idx="9">
                  <c:v>2.7789764383237929</c:v>
                </c:pt>
                <c:pt idx="10">
                  <c:v>2.4782858759553812</c:v>
                </c:pt>
                <c:pt idx="11">
                  <c:v>1.8833922759451627</c:v>
                </c:pt>
                <c:pt idx="12">
                  <c:v>0.50124174135354993</c:v>
                </c:pt>
                <c:pt idx="13">
                  <c:v>-2.4002246287274862</c:v>
                </c:pt>
                <c:pt idx="14">
                  <c:v>-9.5746516232945673</c:v>
                </c:pt>
                <c:pt idx="15">
                  <c:v>-60.047340862908527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286D-4F2C-8997-0CFB4932B44E}"/>
            </c:ext>
          </c:extLst>
        </c:ser>
        <c:ser>
          <c:idx val="15"/>
          <c:order val="14"/>
          <c:tx>
            <c:v>h=5km m. mocy</c:v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'h=5km'!$H$40:$H$54</c:f>
              <c:numCache>
                <c:formatCode>0.00</c:formatCode>
                <c:ptCount val="15"/>
                <c:pt idx="0">
                  <c:v>47.632623686327229</c:v>
                </c:pt>
                <c:pt idx="1">
                  <c:v>48.518818151414244</c:v>
                </c:pt>
                <c:pt idx="2">
                  <c:v>50.089830755957429</c:v>
                </c:pt>
                <c:pt idx="3">
                  <c:v>51.78645383259844</c:v>
                </c:pt>
                <c:pt idx="4">
                  <c:v>53.920604251684331</c:v>
                </c:pt>
                <c:pt idx="5">
                  <c:v>56.030650022171436</c:v>
                </c:pt>
                <c:pt idx="6">
                  <c:v>58.517589536430684</c:v>
                </c:pt>
                <c:pt idx="7">
                  <c:v>61.77836603350211</c:v>
                </c:pt>
                <c:pt idx="8">
                  <c:v>65.273731916464214</c:v>
                </c:pt>
                <c:pt idx="9">
                  <c:v>69.258186740385923</c:v>
                </c:pt>
                <c:pt idx="10">
                  <c:v>80.619884728579308</c:v>
                </c:pt>
                <c:pt idx="11">
                  <c:v>88.611043820608174</c:v>
                </c:pt>
                <c:pt idx="12">
                  <c:v>99.8415584161813</c:v>
                </c:pt>
                <c:pt idx="13">
                  <c:v>115.75606767153603</c:v>
                </c:pt>
                <c:pt idx="14">
                  <c:v>141.00737698933125</c:v>
                </c:pt>
              </c:numCache>
            </c:numRef>
          </c:xVal>
          <c:yVal>
            <c:numRef>
              <c:f>'h=5km'!$N$40:$N$54</c:f>
              <c:numCache>
                <c:formatCode>0.00</c:formatCode>
                <c:ptCount val="15"/>
                <c:pt idx="0">
                  <c:v>0.68722839224454224</c:v>
                </c:pt>
                <c:pt idx="1">
                  <c:v>0.78776789667898817</c:v>
                </c:pt>
                <c:pt idx="2">
                  <c:v>0.95271018234724969</c:v>
                </c:pt>
                <c:pt idx="3">
                  <c:v>1.1232085586939804</c:v>
                </c:pt>
                <c:pt idx="4">
                  <c:v>1.2775180890571389</c:v>
                </c:pt>
                <c:pt idx="5">
                  <c:v>1.4075431286126761</c:v>
                </c:pt>
                <c:pt idx="6">
                  <c:v>1.5283741356197171</c:v>
                </c:pt>
                <c:pt idx="7">
                  <c:v>1.602561638520676</c:v>
                </c:pt>
                <c:pt idx="8">
                  <c:v>1.6999087229494738</c:v>
                </c:pt>
                <c:pt idx="9">
                  <c:v>1.7385748065381463</c:v>
                </c:pt>
                <c:pt idx="10">
                  <c:v>1.313632038028083</c:v>
                </c:pt>
                <c:pt idx="11">
                  <c:v>0.62404709721396245</c:v>
                </c:pt>
                <c:pt idx="12">
                  <c:v>-0.90249666812578067</c:v>
                </c:pt>
                <c:pt idx="13">
                  <c:v>-4.0242002581623613</c:v>
                </c:pt>
                <c:pt idx="14">
                  <c:v>-11.606601172487251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286D-4F2C-8997-0CFB4932B44E}"/>
            </c:ext>
          </c:extLst>
        </c:ser>
        <c:ser>
          <c:idx val="16"/>
          <c:order val="15"/>
          <c:tx>
            <c:v>h=6km m. mocy</c:v>
          </c:tx>
          <c:spPr>
            <a:ln w="19050" cap="rnd">
              <a:solidFill>
                <a:schemeClr val="tx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'h=6km'!$H$40:$H$54</c:f>
              <c:numCache>
                <c:formatCode>0.00</c:formatCode>
                <c:ptCount val="15"/>
                <c:pt idx="0">
                  <c:v>50.318172548068731</c:v>
                </c:pt>
                <c:pt idx="1">
                  <c:v>51.254331057812792</c:v>
                </c:pt>
                <c:pt idx="2">
                  <c:v>52.913918063373565</c:v>
                </c:pt>
                <c:pt idx="3">
                  <c:v>54.706197516247016</c:v>
                </c:pt>
                <c:pt idx="4">
                  <c:v>56.960672300971545</c:v>
                </c:pt>
                <c:pt idx="5">
                  <c:v>59.189683406109758</c:v>
                </c:pt>
                <c:pt idx="6">
                  <c:v>61.816837694716106</c:v>
                </c:pt>
                <c:pt idx="7">
                  <c:v>65.261458245135728</c:v>
                </c:pt>
                <c:pt idx="8">
                  <c:v>68.953894437098114</c:v>
                </c:pt>
                <c:pt idx="9">
                  <c:v>73.162994625665476</c:v>
                </c:pt>
                <c:pt idx="10">
                  <c:v>85.165270283914879</c:v>
                </c:pt>
                <c:pt idx="11">
                  <c:v>93.606974538958852</c:v>
                </c:pt>
                <c:pt idx="12">
                  <c:v>105.47067062559417</c:v>
                </c:pt>
                <c:pt idx="13">
                  <c:v>122.28244710891731</c:v>
                </c:pt>
                <c:pt idx="14">
                  <c:v>148.9574366640737</c:v>
                </c:pt>
              </c:numCache>
            </c:numRef>
          </c:xVal>
          <c:yVal>
            <c:numRef>
              <c:f>'h=6km'!$N$40:$N$54</c:f>
              <c:numCache>
                <c:formatCode>0.00</c:formatCode>
                <c:ptCount val="15"/>
                <c:pt idx="0">
                  <c:v>-0.15492758034379783</c:v>
                </c:pt>
                <c:pt idx="1">
                  <c:v>-6.0652847631929095E-2</c:v>
                </c:pt>
                <c:pt idx="2">
                  <c:v>9.2815545195982022E-2</c:v>
                </c:pt>
                <c:pt idx="3">
                  <c:v>0.25103783838864374</c:v>
                </c:pt>
                <c:pt idx="4">
                  <c:v>0.38731398348633689</c:v>
                </c:pt>
                <c:pt idx="5">
                  <c:v>0.49910978079393953</c:v>
                </c:pt>
                <c:pt idx="6">
                  <c:v>0.5977326174903872</c:v>
                </c:pt>
                <c:pt idx="7">
                  <c:v>0.63984930045408328</c:v>
                </c:pt>
                <c:pt idx="8">
                  <c:v>0.70606658399021394</c:v>
                </c:pt>
                <c:pt idx="9">
                  <c:v>0.70797100321051598</c:v>
                </c:pt>
                <c:pt idx="10">
                  <c:v>0.1640937187964325</c:v>
                </c:pt>
                <c:pt idx="11">
                  <c:v>-0.61726875378885315</c:v>
                </c:pt>
                <c:pt idx="12">
                  <c:v>-2.2854532616174477</c:v>
                </c:pt>
                <c:pt idx="13">
                  <c:v>-5.6258175251348606</c:v>
                </c:pt>
                <c:pt idx="14">
                  <c:v>-13.621806363958534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286D-4F2C-8997-0CFB4932B44E}"/>
            </c:ext>
          </c:extLst>
        </c:ser>
        <c:ser>
          <c:idx val="17"/>
          <c:order val="16"/>
          <c:tx>
            <c:v>h=7km m. mocy</c:v>
          </c:tx>
          <c:spPr>
            <a:ln w="19050" cap="rnd">
              <a:solidFill>
                <a:schemeClr val="accent2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'h=7m'!$H$40:$H$54</c:f>
              <c:numCache>
                <c:formatCode>0.00</c:formatCode>
                <c:ptCount val="15"/>
                <c:pt idx="0">
                  <c:v>53.232327687547958</c:v>
                </c:pt>
                <c:pt idx="1">
                  <c:v>54.222703411359795</c:v>
                </c:pt>
                <c:pt idx="2">
                  <c:v>55.978404678563273</c:v>
                </c:pt>
                <c:pt idx="3">
                  <c:v>57.874483218615111</c:v>
                </c:pt>
                <c:pt idx="4">
                  <c:v>60.259524932702092</c:v>
                </c:pt>
                <c:pt idx="5">
                  <c:v>62.617628249243445</c:v>
                </c:pt>
                <c:pt idx="6">
                  <c:v>65.396933039043631</c:v>
                </c:pt>
                <c:pt idx="7">
                  <c:v>69.041047294664324</c:v>
                </c:pt>
                <c:pt idx="8">
                  <c:v>72.947329327226896</c:v>
                </c:pt>
                <c:pt idx="9">
                  <c:v>77.400197727673941</c:v>
                </c:pt>
                <c:pt idx="10">
                  <c:v>90.097579975128696</c:v>
                </c:pt>
                <c:pt idx="11">
                  <c:v>99.028181870827225</c:v>
                </c:pt>
                <c:pt idx="12">
                  <c:v>111.5789587708816</c:v>
                </c:pt>
                <c:pt idx="13">
                  <c:v>129.36438199775154</c:v>
                </c:pt>
                <c:pt idx="14">
                  <c:v>157.58424200370686</c:v>
                </c:pt>
              </c:numCache>
            </c:numRef>
          </c:xVal>
          <c:yVal>
            <c:numRef>
              <c:f>'h=7m'!$N$40:$N$54</c:f>
              <c:numCache>
                <c:formatCode>0.00</c:formatCode>
                <c:ptCount val="15"/>
                <c:pt idx="0">
                  <c:v>-1.0027853832015441</c:v>
                </c:pt>
                <c:pt idx="1">
                  <c:v>-0.91405324470279903</c:v>
                </c:pt>
                <c:pt idx="2">
                  <c:v>-0.77081079765795624</c:v>
                </c:pt>
                <c:pt idx="3">
                  <c:v>-0.62350887813357847</c:v>
                </c:pt>
                <c:pt idx="4">
                  <c:v>-0.50378488400346477</c:v>
                </c:pt>
                <c:pt idx="5">
                  <c:v>-0.40879260908177578</c:v>
                </c:pt>
                <c:pt idx="6">
                  <c:v>-0.33076657243002561</c:v>
                </c:pt>
                <c:pt idx="7">
                  <c:v>-0.31887417028437925</c:v>
                </c:pt>
                <c:pt idx="8">
                  <c:v>-0.28155350510738636</c:v>
                </c:pt>
                <c:pt idx="9">
                  <c:v>-0.31400812990080185</c:v>
                </c:pt>
                <c:pt idx="10">
                  <c:v>-0.97143026562775103</c:v>
                </c:pt>
                <c:pt idx="11">
                  <c:v>-1.841767134890578</c:v>
                </c:pt>
                <c:pt idx="12">
                  <c:v>-3.6492624077656424</c:v>
                </c:pt>
                <c:pt idx="13">
                  <c:v>-7.2078504100479792</c:v>
                </c:pt>
                <c:pt idx="14">
                  <c:v>-15.626604239531673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286D-4F2C-8997-0CFB4932B44E}"/>
            </c:ext>
          </c:extLst>
        </c:ser>
        <c:ser>
          <c:idx val="19"/>
          <c:order val="17"/>
          <c:tx>
            <c:v>h=8km m. mocy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'h=8km'!$H$40:$H$54</c:f>
              <c:numCache>
                <c:formatCode>0.00</c:formatCode>
                <c:ptCount val="15"/>
                <c:pt idx="0">
                  <c:v>56.401486852033145</c:v>
                </c:pt>
                <c:pt idx="1">
                  <c:v>57.45082408359314</c:v>
                </c:pt>
                <c:pt idx="2">
                  <c:v>59.311050119912771</c:v>
                </c:pt>
                <c:pt idx="3">
                  <c:v>61.320010717594307</c:v>
                </c:pt>
                <c:pt idx="4">
                  <c:v>63.847044659604215</c:v>
                </c:pt>
                <c:pt idx="5">
                  <c:v>66.345536440469061</c:v>
                </c:pt>
                <c:pt idx="6">
                  <c:v>69.29030570699085</c:v>
                </c:pt>
                <c:pt idx="7">
                  <c:v>73.151370424695756</c:v>
                </c:pt>
                <c:pt idx="8">
                  <c:v>77.290210942681369</c:v>
                </c:pt>
                <c:pt idx="9">
                  <c:v>82.008178565960719</c:v>
                </c:pt>
                <c:pt idx="10">
                  <c:v>95.461492914500454</c:v>
                </c:pt>
                <c:pt idx="11">
                  <c:v>104.92377358645402</c:v>
                </c:pt>
                <c:pt idx="12">
                  <c:v>118.22175451387464</c:v>
                </c:pt>
                <c:pt idx="13">
                  <c:v>137.0660237364433</c:v>
                </c:pt>
                <c:pt idx="14">
                  <c:v>166.96593854825457</c:v>
                </c:pt>
              </c:numCache>
            </c:numRef>
          </c:xVal>
          <c:yVal>
            <c:numRef>
              <c:f>'h=8km'!$N$40:$N$54</c:f>
              <c:numCache>
                <c:formatCode>0.00</c:formatCode>
                <c:ptCount val="15"/>
                <c:pt idx="0">
                  <c:v>-1.8584975840805762</c:v>
                </c:pt>
                <c:pt idx="1">
                  <c:v>-1.7745310981645279</c:v>
                </c:pt>
                <c:pt idx="2">
                  <c:v>-1.6401741425378504</c:v>
                </c:pt>
                <c:pt idx="3">
                  <c:v>-1.5023373692456958</c:v>
                </c:pt>
                <c:pt idx="4">
                  <c:v>-1.397587090494715</c:v>
                </c:pt>
                <c:pt idx="5">
                  <c:v>-1.317883510947556</c:v>
                </c:pt>
                <c:pt idx="6">
                  <c:v>-1.2587493708537911</c:v>
                </c:pt>
                <c:pt idx="7">
                  <c:v>-1.275149175982049</c:v>
                </c:pt>
                <c:pt idx="8">
                  <c:v>-1.2643798381779372</c:v>
                </c:pt>
                <c:pt idx="9">
                  <c:v>-1.328692101401215</c:v>
                </c:pt>
                <c:pt idx="10">
                  <c:v>-2.0942426951503124</c:v>
                </c:pt>
                <c:pt idx="11">
                  <c:v>-3.0509369430008562</c:v>
                </c:pt>
                <c:pt idx="12">
                  <c:v>-4.9960136151492982</c:v>
                </c:pt>
                <c:pt idx="13">
                  <c:v>-8.7739375337892316</c:v>
                </c:pt>
                <c:pt idx="14">
                  <c:v>-17.62933213315582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286D-4F2C-8997-0CFB4932B44E}"/>
            </c:ext>
          </c:extLst>
        </c:ser>
        <c:ser>
          <c:idx val="20"/>
          <c:order val="18"/>
          <c:tx>
            <c:v>h=0km, m. ciągu, zmienna masa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masa'!$K$4:$K$18</c:f>
              <c:numCache>
                <c:formatCode>0.0</c:formatCode>
                <c:ptCount val="15"/>
                <c:pt idx="0">
                  <c:v>36.916857200854587</c:v>
                </c:pt>
                <c:pt idx="1">
                  <c:v>38.783391060051393</c:v>
                </c:pt>
                <c:pt idx="2">
                  <c:v>44.261591747739743</c:v>
                </c:pt>
                <c:pt idx="3">
                  <c:v>49.7397924354281</c:v>
                </c:pt>
                <c:pt idx="4">
                  <c:v>55.217993123116457</c:v>
                </c:pt>
                <c:pt idx="5">
                  <c:v>60.696193810804814</c:v>
                </c:pt>
                <c:pt idx="6">
                  <c:v>66.174394498493172</c:v>
                </c:pt>
                <c:pt idx="7">
                  <c:v>71.652595186181514</c:v>
                </c:pt>
                <c:pt idx="8">
                  <c:v>77.130795873869886</c:v>
                </c:pt>
                <c:pt idx="9">
                  <c:v>82.608996561558229</c:v>
                </c:pt>
                <c:pt idx="10">
                  <c:v>88.0871972492466</c:v>
                </c:pt>
                <c:pt idx="11">
                  <c:v>93.565397936934943</c:v>
                </c:pt>
                <c:pt idx="12">
                  <c:v>99.043598624623286</c:v>
                </c:pt>
                <c:pt idx="13">
                  <c:v>104.52179931231166</c:v>
                </c:pt>
                <c:pt idx="14">
                  <c:v>110</c:v>
                </c:pt>
              </c:numCache>
            </c:numRef>
          </c:xVal>
          <c:yVal>
            <c:numRef>
              <c:f>'Meotda CIągu, zmienna masa'!$R$4:$R$18</c:f>
              <c:numCache>
                <c:formatCode>0.00</c:formatCode>
                <c:ptCount val="15"/>
                <c:pt idx="0">
                  <c:v>5.0741431973812459</c:v>
                </c:pt>
                <c:pt idx="1">
                  <c:v>5.4807586003817432</c:v>
                </c:pt>
                <c:pt idx="2">
                  <c:v>6.4951448628910082</c:v>
                </c:pt>
                <c:pt idx="3">
                  <c:v>7.2610463770975384</c:v>
                </c:pt>
                <c:pt idx="4">
                  <c:v>7.7908415762983783</c:v>
                </c:pt>
                <c:pt idx="5">
                  <c:v>8.0878713762983363</c:v>
                </c:pt>
                <c:pt idx="6">
                  <c:v>8.1496524867639284</c:v>
                </c:pt>
                <c:pt idx="7">
                  <c:v>7.9696994481296421</c:v>
                </c:pt>
                <c:pt idx="8">
                  <c:v>7.5385775894148388</c:v>
                </c:pt>
                <c:pt idx="9">
                  <c:v>6.8445193298020719</c:v>
                </c:pt>
                <c:pt idx="10">
                  <c:v>5.8737832465786974</c:v>
                </c:pt>
                <c:pt idx="11">
                  <c:v>4.6108552141471089</c:v>
                </c:pt>
                <c:pt idx="12">
                  <c:v>3.0385480844173807</c:v>
                </c:pt>
                <c:pt idx="13">
                  <c:v>1.1380328035091356</c:v>
                </c:pt>
                <c:pt idx="14">
                  <c:v>-1.1111794854972241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286D-4F2C-8997-0CFB4932B44E}"/>
            </c:ext>
          </c:extLst>
        </c:ser>
        <c:ser>
          <c:idx val="22"/>
          <c:order val="19"/>
          <c:tx>
            <c:v>h=1km, m. ciągu, zmienna masa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masa'!$K$22:$K$36</c:f>
              <c:numCache>
                <c:formatCode>0.0</c:formatCode>
                <c:ptCount val="15"/>
                <c:pt idx="0">
                  <c:v>38.731648677140406</c:v>
                </c:pt>
                <c:pt idx="1">
                  <c:v>40.323093421289883</c:v>
                </c:pt>
                <c:pt idx="2">
                  <c:v>45.682855465806043</c:v>
                </c:pt>
                <c:pt idx="3">
                  <c:v>51.042617510322209</c:v>
                </c:pt>
                <c:pt idx="4">
                  <c:v>56.402379554838376</c:v>
                </c:pt>
                <c:pt idx="5">
                  <c:v>61.762141599354536</c:v>
                </c:pt>
                <c:pt idx="6">
                  <c:v>67.121903643870695</c:v>
                </c:pt>
                <c:pt idx="7">
                  <c:v>72.481665688386869</c:v>
                </c:pt>
                <c:pt idx="8">
                  <c:v>77.841427732903028</c:v>
                </c:pt>
                <c:pt idx="9">
                  <c:v>83.201189777419188</c:v>
                </c:pt>
                <c:pt idx="10">
                  <c:v>88.560951821935362</c:v>
                </c:pt>
                <c:pt idx="11">
                  <c:v>93.920713866451521</c:v>
                </c:pt>
                <c:pt idx="12">
                  <c:v>99.280475910967681</c:v>
                </c:pt>
                <c:pt idx="13">
                  <c:v>104.64023795548385</c:v>
                </c:pt>
                <c:pt idx="14">
                  <c:v>110</c:v>
                </c:pt>
              </c:numCache>
            </c:numRef>
          </c:xVal>
          <c:yVal>
            <c:numRef>
              <c:f>'Meotda CIągu, zmienna masa'!$R$22:$R$36</c:f>
              <c:numCache>
                <c:formatCode>0.00</c:formatCode>
                <c:ptCount val="15"/>
                <c:pt idx="0">
                  <c:v>4.2718483718401696</c:v>
                </c:pt>
                <c:pt idx="1">
                  <c:v>4.5871641952025985</c:v>
                </c:pt>
                <c:pt idx="2">
                  <c:v>5.4912238198353212</c:v>
                </c:pt>
                <c:pt idx="3">
                  <c:v>6.1684857563941051</c:v>
                </c:pt>
                <c:pt idx="4">
                  <c:v>6.6311209190070848</c:v>
                </c:pt>
                <c:pt idx="5">
                  <c:v>6.8833291555316807</c:v>
                </c:pt>
                <c:pt idx="6">
                  <c:v>6.9240403030962909</c:v>
                </c:pt>
                <c:pt idx="7">
                  <c:v>6.7485044125863833</c:v>
                </c:pt>
                <c:pt idx="8">
                  <c:v>6.3492396548489998</c:v>
                </c:pt>
                <c:pt idx="9">
                  <c:v>5.7166028894744763</c:v>
                </c:pt>
                <c:pt idx="10">
                  <c:v>4.8391319050591894</c:v>
                </c:pt>
                <c:pt idx="11">
                  <c:v>3.7037445227315229</c:v>
                </c:pt>
                <c:pt idx="12">
                  <c:v>2.2958443039242087</c:v>
                </c:pt>
                <c:pt idx="13">
                  <c:v>0.59936250125148627</c:v>
                </c:pt>
                <c:pt idx="14">
                  <c:v>-1.4032458131265273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286D-4F2C-8997-0CFB4932B44E}"/>
            </c:ext>
          </c:extLst>
        </c:ser>
        <c:ser>
          <c:idx val="24"/>
          <c:order val="20"/>
          <c:tx>
            <c:v>h=2km, m. ciągu, zmienna masa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masa'!$K$40:$K$54</c:f>
              <c:numCache>
                <c:formatCode>0.0</c:formatCode>
                <c:ptCount val="15"/>
                <c:pt idx="0">
                  <c:v>40.680124812202166</c:v>
                </c:pt>
                <c:pt idx="1">
                  <c:v>41.978167521605606</c:v>
                </c:pt>
                <c:pt idx="2">
                  <c:v>47.210616173789788</c:v>
                </c:pt>
                <c:pt idx="3">
                  <c:v>52.443064825973977</c:v>
                </c:pt>
                <c:pt idx="4">
                  <c:v>57.675513478158159</c:v>
                </c:pt>
                <c:pt idx="5">
                  <c:v>62.907962130342341</c:v>
                </c:pt>
                <c:pt idx="6">
                  <c:v>68.14041078252653</c:v>
                </c:pt>
                <c:pt idx="7">
                  <c:v>73.372859434710705</c:v>
                </c:pt>
                <c:pt idx="8">
                  <c:v>78.605308086894894</c:v>
                </c:pt>
                <c:pt idx="9">
                  <c:v>83.837756739079083</c:v>
                </c:pt>
                <c:pt idx="10">
                  <c:v>89.070205391263258</c:v>
                </c:pt>
                <c:pt idx="11">
                  <c:v>94.302654043447447</c:v>
                </c:pt>
                <c:pt idx="12">
                  <c:v>99.535102695631622</c:v>
                </c:pt>
                <c:pt idx="13">
                  <c:v>104.76755134781581</c:v>
                </c:pt>
                <c:pt idx="14">
                  <c:v>110</c:v>
                </c:pt>
              </c:numCache>
            </c:numRef>
          </c:xVal>
          <c:yVal>
            <c:numRef>
              <c:f>'Meotda CIągu, zmienna masa'!$R$40:$R$54</c:f>
              <c:numCache>
                <c:formatCode>0.00</c:formatCode>
                <c:ptCount val="15"/>
                <c:pt idx="0">
                  <c:v>3.4779012865443062</c:v>
                </c:pt>
                <c:pt idx="1">
                  <c:v>3.711891621940155</c:v>
                </c:pt>
                <c:pt idx="2">
                  <c:v>4.5172686145612344</c:v>
                </c:pt>
                <c:pt idx="3">
                  <c:v>5.1164425134146807</c:v>
                </c:pt>
                <c:pt idx="4">
                  <c:v>5.5210723378083779</c:v>
                </c:pt>
                <c:pt idx="5">
                  <c:v>5.7358955522934689</c:v>
                </c:pt>
                <c:pt idx="6">
                  <c:v>5.7609493551499371</c:v>
                </c:pt>
                <c:pt idx="7">
                  <c:v>5.5929290493859272</c:v>
                </c:pt>
                <c:pt idx="8">
                  <c:v>5.2260242354232327</c:v>
                </c:pt>
                <c:pt idx="9">
                  <c:v>4.6524364993636276</c:v>
                </c:pt>
                <c:pt idx="10">
                  <c:v>3.8626988072218165</c:v>
                </c:pt>
                <c:pt idx="11">
                  <c:v>2.8458677258766136</c:v>
                </c:pt>
                <c:pt idx="12">
                  <c:v>1.5896311988522116</c:v>
                </c:pt>
                <c:pt idx="13">
                  <c:v>8.0357957674795824E-2</c:v>
                </c:pt>
                <c:pt idx="14">
                  <c:v>-1.696894431733166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286D-4F2C-8997-0CFB4932B44E}"/>
            </c:ext>
          </c:extLst>
        </c:ser>
        <c:ser>
          <c:idx val="26"/>
          <c:order val="21"/>
          <c:tx>
            <c:v>h=3km, m. ciągu, zmienna masa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masa'!$K$58:$K$72</c:f>
              <c:numCache>
                <c:formatCode>0.0</c:formatCode>
                <c:ptCount val="15"/>
                <c:pt idx="0">
                  <c:v>42.775014365807877</c:v>
                </c:pt>
                <c:pt idx="1">
                  <c:v>45</c:v>
                </c:pt>
                <c:pt idx="2">
                  <c:v>48.141377091306531</c:v>
                </c:pt>
                <c:pt idx="3">
                  <c:v>52.879595667030983</c:v>
                </c:pt>
                <c:pt idx="4">
                  <c:v>57.617814242755443</c:v>
                </c:pt>
                <c:pt idx="5">
                  <c:v>62.356032818479896</c:v>
                </c:pt>
                <c:pt idx="6">
                  <c:v>67.094251394204349</c:v>
                </c:pt>
                <c:pt idx="7">
                  <c:v>71.832469969928809</c:v>
                </c:pt>
                <c:pt idx="8">
                  <c:v>76.570688545653269</c:v>
                </c:pt>
                <c:pt idx="9">
                  <c:v>81.308907121377715</c:v>
                </c:pt>
                <c:pt idx="10">
                  <c:v>86.047125697102175</c:v>
                </c:pt>
                <c:pt idx="11">
                  <c:v>90.78534427282662</c:v>
                </c:pt>
                <c:pt idx="12">
                  <c:v>95.52356284855108</c:v>
                </c:pt>
                <c:pt idx="13">
                  <c:v>100.26178142427554</c:v>
                </c:pt>
                <c:pt idx="14">
                  <c:v>105</c:v>
                </c:pt>
              </c:numCache>
            </c:numRef>
          </c:xVal>
          <c:yVal>
            <c:numRef>
              <c:f>'Meotda CIągu, zmienna masa'!$R$58:$R$72</c:f>
              <c:numCache>
                <c:formatCode>0.00</c:formatCode>
                <c:ptCount val="15"/>
                <c:pt idx="0">
                  <c:v>2.6803102885406731</c:v>
                </c:pt>
                <c:pt idx="1">
                  <c:v>3.0389208923954412</c:v>
                </c:pt>
                <c:pt idx="2">
                  <c:v>3.4808488121982499</c:v>
                </c:pt>
                <c:pt idx="3">
                  <c:v>4.0131449224826357</c:v>
                </c:pt>
                <c:pt idx="4">
                  <c:v>4.3920627522466411</c:v>
                </c:pt>
                <c:pt idx="5">
                  <c:v>4.6224179816746673</c:v>
                </c:pt>
                <c:pt idx="6">
                  <c:v>4.7055622958957031</c:v>
                </c:pt>
                <c:pt idx="7">
                  <c:v>4.6402903588045294</c:v>
                </c:pt>
                <c:pt idx="8">
                  <c:v>4.4234320024272087</c:v>
                </c:pt>
                <c:pt idx="9">
                  <c:v>4.0502389823096383</c:v>
                </c:pt>
                <c:pt idx="10">
                  <c:v>3.5146358490441894</c:v>
                </c:pt>
                <c:pt idx="11">
                  <c:v>2.8093794993230321</c:v>
                </c:pt>
                <c:pt idx="12">
                  <c:v>1.9261557257885784</c:v>
                </c:pt>
                <c:pt idx="13">
                  <c:v>0.85563091769611677</c:v>
                </c:pt>
                <c:pt idx="14">
                  <c:v>-0.41252902083574111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286D-4F2C-8997-0CFB4932B44E}"/>
            </c:ext>
          </c:extLst>
        </c:ser>
        <c:ser>
          <c:idx val="28"/>
          <c:order val="22"/>
          <c:tx>
            <c:v>h=4km, m. ciągu, zmienna masa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masa'!$K$76:$K$90</c:f>
              <c:numCache>
                <c:formatCode>0.0</c:formatCode>
                <c:ptCount val="15"/>
                <c:pt idx="0">
                  <c:v>45.03066252474688</c:v>
                </c:pt>
                <c:pt idx="1">
                  <c:v>47</c:v>
                </c:pt>
                <c:pt idx="2">
                  <c:v>49.915890434164325</c:v>
                </c:pt>
                <c:pt idx="3">
                  <c:v>54.506232897983963</c:v>
                </c:pt>
                <c:pt idx="4">
                  <c:v>59.096575361803602</c:v>
                </c:pt>
                <c:pt idx="5">
                  <c:v>63.68691782562324</c:v>
                </c:pt>
                <c:pt idx="6">
                  <c:v>68.277260289442893</c:v>
                </c:pt>
                <c:pt idx="7">
                  <c:v>72.867602753262531</c:v>
                </c:pt>
                <c:pt idx="8">
                  <c:v>77.45794521708217</c:v>
                </c:pt>
                <c:pt idx="9">
                  <c:v>82.048287680901808</c:v>
                </c:pt>
                <c:pt idx="10">
                  <c:v>86.638630144721446</c:v>
                </c:pt>
                <c:pt idx="11">
                  <c:v>91.228972608541085</c:v>
                </c:pt>
                <c:pt idx="12">
                  <c:v>95.819315072360723</c:v>
                </c:pt>
                <c:pt idx="13">
                  <c:v>100.40965753618036</c:v>
                </c:pt>
                <c:pt idx="14">
                  <c:v>105</c:v>
                </c:pt>
              </c:numCache>
            </c:numRef>
          </c:xVal>
          <c:yVal>
            <c:numRef>
              <c:f>'Meotda CIągu, zmienna masa'!$R$76:$R$90</c:f>
              <c:numCache>
                <c:formatCode>0.00</c:formatCode>
                <c:ptCount val="15"/>
                <c:pt idx="0">
                  <c:v>1.9003407370094718</c:v>
                </c:pt>
                <c:pt idx="1">
                  <c:v>2.1874806010783874</c:v>
                </c:pt>
                <c:pt idx="2">
                  <c:v>2.5607164069071335</c:v>
                </c:pt>
                <c:pt idx="3">
                  <c:v>3.0296126426395982</c:v>
                </c:pt>
                <c:pt idx="4">
                  <c:v>3.3607702197108673</c:v>
                </c:pt>
                <c:pt idx="5">
                  <c:v>3.5590739628957988</c:v>
                </c:pt>
                <c:pt idx="6">
                  <c:v>3.6264663816580627</c:v>
                </c:pt>
                <c:pt idx="7">
                  <c:v>3.5626723949651398</c:v>
                </c:pt>
                <c:pt idx="8">
                  <c:v>3.3656900174586175</c:v>
                </c:pt>
                <c:pt idx="9">
                  <c:v>3.0321203132489947</c:v>
                </c:pt>
                <c:pt idx="10">
                  <c:v>2.5573880651019318</c:v>
                </c:pt>
                <c:pt idx="11">
                  <c:v>1.9358866286077565</c:v>
                </c:pt>
                <c:pt idx="12">
                  <c:v>1.1610693391390785</c:v>
                </c:pt>
                <c:pt idx="13">
                  <c:v>0.22550220322024189</c:v>
                </c:pt>
                <c:pt idx="14">
                  <c:v>-0.87911157786492466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286D-4F2C-8997-0CFB4932B44E}"/>
            </c:ext>
          </c:extLst>
        </c:ser>
        <c:ser>
          <c:idx val="21"/>
          <c:order val="23"/>
          <c:tx>
            <c:v>h=5km, m. ciągu, zmienna masa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masa'!$K$94:$K$108</c:f>
              <c:numCache>
                <c:formatCode>0.0</c:formatCode>
                <c:ptCount val="15"/>
                <c:pt idx="0">
                  <c:v>47.46137408372384</c:v>
                </c:pt>
                <c:pt idx="1">
                  <c:v>50</c:v>
                </c:pt>
                <c:pt idx="2">
                  <c:v>51.119377513104538</c:v>
                </c:pt>
                <c:pt idx="3">
                  <c:v>55.192762720345826</c:v>
                </c:pt>
                <c:pt idx="4">
                  <c:v>59.266147927587113</c:v>
                </c:pt>
                <c:pt idx="5">
                  <c:v>63.3395331348284</c:v>
                </c:pt>
                <c:pt idx="6">
                  <c:v>67.412918342069702</c:v>
                </c:pt>
                <c:pt idx="7">
                  <c:v>71.486303549310975</c:v>
                </c:pt>
                <c:pt idx="8">
                  <c:v>75.559688756552276</c:v>
                </c:pt>
                <c:pt idx="9">
                  <c:v>79.633073963793549</c:v>
                </c:pt>
                <c:pt idx="10">
                  <c:v>83.706459171034851</c:v>
                </c:pt>
                <c:pt idx="11">
                  <c:v>87.779844378276124</c:v>
                </c:pt>
                <c:pt idx="12">
                  <c:v>91.853229585517425</c:v>
                </c:pt>
                <c:pt idx="13">
                  <c:v>95.926614792758713</c:v>
                </c:pt>
                <c:pt idx="14">
                  <c:v>100</c:v>
                </c:pt>
              </c:numCache>
            </c:numRef>
          </c:xVal>
          <c:yVal>
            <c:numRef>
              <c:f>'Meotda CIągu, zmienna masa'!$R$94:$R$108</c:f>
              <c:numCache>
                <c:formatCode>0.00</c:formatCode>
                <c:ptCount val="15"/>
                <c:pt idx="0">
                  <c:v>1.0914269612758247</c:v>
                </c:pt>
                <c:pt idx="1">
                  <c:v>1.427436628048991</c:v>
                </c:pt>
                <c:pt idx="2">
                  <c:v>1.5613957689432398</c:v>
                </c:pt>
                <c:pt idx="3">
                  <c:v>1.9788306485006528</c:v>
                </c:pt>
                <c:pt idx="4">
                  <c:v>2.2909970070137242</c:v>
                </c:pt>
                <c:pt idx="5">
                  <c:v>2.5019893879389641</c:v>
                </c:pt>
                <c:pt idx="6">
                  <c:v>2.6139370165186984</c:v>
                </c:pt>
                <c:pt idx="7">
                  <c:v>2.6274205559949042</c:v>
                </c:pt>
                <c:pt idx="8">
                  <c:v>2.5417729951135457</c:v>
                </c:pt>
                <c:pt idx="9">
                  <c:v>2.355294477783183</c:v>
                </c:pt>
                <c:pt idx="10">
                  <c:v>2.0654030510983086</c:v>
                </c:pt>
                <c:pt idx="11">
                  <c:v>1.6687390326821034</c:v>
                </c:pt>
                <c:pt idx="12">
                  <c:v>1.1612346568807923</c:v>
                </c:pt>
                <c:pt idx="13">
                  <c:v>0.5381575475741962</c:v>
                </c:pt>
                <c:pt idx="14">
                  <c:v>-0.20586596715042865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286D-4F2C-8997-0CFB4932B44E}"/>
            </c:ext>
          </c:extLst>
        </c:ser>
        <c:ser>
          <c:idx val="23"/>
          <c:order val="24"/>
          <c:tx>
            <c:v>h=6km, m. ciągu, zmienna masa</c:v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masa'!$K$112:$K$126</c:f>
              <c:numCache>
                <c:formatCode>0.0</c:formatCode>
                <c:ptCount val="15"/>
                <c:pt idx="0">
                  <c:v>50.08201896169011</c:v>
                </c:pt>
                <c:pt idx="1">
                  <c:v>51.5</c:v>
                </c:pt>
                <c:pt idx="2">
                  <c:v>53.196076101145614</c:v>
                </c:pt>
                <c:pt idx="3">
                  <c:v>57.096403092716812</c:v>
                </c:pt>
                <c:pt idx="4">
                  <c:v>60.996730084288011</c:v>
                </c:pt>
                <c:pt idx="5">
                  <c:v>64.897057075859209</c:v>
                </c:pt>
                <c:pt idx="6">
                  <c:v>68.797384067430414</c:v>
                </c:pt>
                <c:pt idx="7">
                  <c:v>72.697711059001605</c:v>
                </c:pt>
                <c:pt idx="8">
                  <c:v>76.598038050572811</c:v>
                </c:pt>
                <c:pt idx="9">
                  <c:v>80.498365042144002</c:v>
                </c:pt>
                <c:pt idx="10">
                  <c:v>84.398692033715207</c:v>
                </c:pt>
                <c:pt idx="11">
                  <c:v>88.299019025286412</c:v>
                </c:pt>
                <c:pt idx="12">
                  <c:v>92.199346016857604</c:v>
                </c:pt>
                <c:pt idx="13">
                  <c:v>96.099673008428795</c:v>
                </c:pt>
                <c:pt idx="14">
                  <c:v>100</c:v>
                </c:pt>
              </c:numCache>
            </c:numRef>
          </c:xVal>
          <c:yVal>
            <c:numRef>
              <c:f>'Meotda CIągu, zmienna masa'!$R$112:$R$126</c:f>
              <c:numCache>
                <c:formatCode>0.00</c:formatCode>
                <c:ptCount val="15"/>
                <c:pt idx="0">
                  <c:v>0.28245168045669455</c:v>
                </c:pt>
                <c:pt idx="1">
                  <c:v>0.45735933869050649</c:v>
                </c:pt>
                <c:pt idx="2">
                  <c:v>0.64901146619284422</c:v>
                </c:pt>
                <c:pt idx="3">
                  <c:v>1.0201622625721403</c:v>
                </c:pt>
                <c:pt idx="4">
                  <c:v>1.2986953419779301</c:v>
                </c:pt>
                <c:pt idx="5">
                  <c:v>1.488346581762884</c:v>
                </c:pt>
                <c:pt idx="6">
                  <c:v>1.5912821818652918</c:v>
                </c:pt>
                <c:pt idx="7">
                  <c:v>1.6084005091412761</c:v>
                </c:pt>
                <c:pt idx="8">
                  <c:v>1.5395590811524216</c:v>
                </c:pt>
                <c:pt idx="9">
                  <c:v>1.3837417965126706</c:v>
                </c:pt>
                <c:pt idx="10">
                  <c:v>1.1391802541382623</c:v>
                </c:pt>
                <c:pt idx="11">
                  <c:v>0.80344012664825859</c:v>
                </c:pt>
                <c:pt idx="12">
                  <c:v>0.37348077310592198</c:v>
                </c:pt>
                <c:pt idx="13">
                  <c:v>-0.15430588408499882</c:v>
                </c:pt>
                <c:pt idx="14">
                  <c:v>-0.78407286886123684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286D-4F2C-8997-0CFB4932B44E}"/>
            </c:ext>
          </c:extLst>
        </c:ser>
        <c:ser>
          <c:idx val="25"/>
          <c:order val="25"/>
          <c:tx>
            <c:v>h=7km, m. ciągu, zmienna masa</c:v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masa'!$K$130:$K$144</c:f>
              <c:numCache>
                <c:formatCode>0.0</c:formatCode>
                <c:ptCount val="15"/>
                <c:pt idx="0">
                  <c:v>52.897697598007575</c:v>
                </c:pt>
                <c:pt idx="1">
                  <c:v>54</c:v>
                </c:pt>
                <c:pt idx="2">
                  <c:v>54.735267115473484</c:v>
                </c:pt>
                <c:pt idx="3">
                  <c:v>58.090661522517358</c:v>
                </c:pt>
                <c:pt idx="4">
                  <c:v>61.446055929561233</c:v>
                </c:pt>
                <c:pt idx="5">
                  <c:v>64.801450336605114</c:v>
                </c:pt>
                <c:pt idx="6">
                  <c:v>68.156844743648989</c:v>
                </c:pt>
                <c:pt idx="7">
                  <c:v>71.512239150692864</c:v>
                </c:pt>
                <c:pt idx="8">
                  <c:v>74.867633557736738</c:v>
                </c:pt>
                <c:pt idx="9">
                  <c:v>78.223027964780613</c:v>
                </c:pt>
                <c:pt idx="10">
                  <c:v>81.578422371824502</c:v>
                </c:pt>
                <c:pt idx="11">
                  <c:v>84.933816778868362</c:v>
                </c:pt>
                <c:pt idx="12">
                  <c:v>88.289211185912251</c:v>
                </c:pt>
                <c:pt idx="13">
                  <c:v>91.644605592956125</c:v>
                </c:pt>
                <c:pt idx="14">
                  <c:v>95</c:v>
                </c:pt>
              </c:numCache>
            </c:numRef>
          </c:xVal>
          <c:yVal>
            <c:numRef>
              <c:f>'Meotda CIągu, zmienna masa'!$R$130:$R$144</c:f>
              <c:numCache>
                <c:formatCode>0.00</c:formatCode>
                <c:ptCount val="15"/>
                <c:pt idx="0">
                  <c:v>-0.48852951757149193</c:v>
                </c:pt>
                <c:pt idx="1">
                  <c:v>-0.42886150423771474</c:v>
                </c:pt>
                <c:pt idx="2">
                  <c:v>-0.3470613037512687</c:v>
                </c:pt>
                <c:pt idx="3">
                  <c:v>-1.6279145036835464E-2</c:v>
                </c:pt>
                <c:pt idx="4">
                  <c:v>0.24735466618121349</c:v>
                </c:pt>
                <c:pt idx="5">
                  <c:v>0.44650921781757813</c:v>
                </c:pt>
                <c:pt idx="6">
                  <c:v>0.58294554183463942</c:v>
                </c:pt>
                <c:pt idx="7">
                  <c:v>0.65765381147971436</c:v>
                </c:pt>
                <c:pt idx="8">
                  <c:v>0.67096444868411131</c:v>
                </c:pt>
                <c:pt idx="9">
                  <c:v>0.6226354311225053</c:v>
                </c:pt>
                <c:pt idx="10">
                  <c:v>0.51191936221683365</c:v>
                </c:pt>
                <c:pt idx="11">
                  <c:v>0.33761374528059218</c:v>
                </c:pt>
                <c:pt idx="12">
                  <c:v>9.8097484765902992E-2</c:v>
                </c:pt>
                <c:pt idx="13">
                  <c:v>-0.20864394736576014</c:v>
                </c:pt>
                <c:pt idx="14">
                  <c:v>-0.58500277346100304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286D-4F2C-8997-0CFB4932B44E}"/>
            </c:ext>
          </c:extLst>
        </c:ser>
        <c:ser>
          <c:idx val="27"/>
          <c:order val="26"/>
          <c:tx>
            <c:v>h=8km, m. ciągu, zmienna masa</c:v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masa'!$K$148:$K$162</c:f>
              <c:numCache>
                <c:formatCode>0.0</c:formatCode>
                <c:ptCount val="15"/>
                <c:pt idx="0">
                  <c:v>55.8578463757027</c:v>
                </c:pt>
                <c:pt idx="1">
                  <c:v>56.5</c:v>
                </c:pt>
                <c:pt idx="2">
                  <c:v>57.185935005349812</c:v>
                </c:pt>
                <c:pt idx="3">
                  <c:v>60.337107088237325</c:v>
                </c:pt>
                <c:pt idx="4">
                  <c:v>63.488279171124844</c:v>
                </c:pt>
                <c:pt idx="5">
                  <c:v>66.639451254012357</c:v>
                </c:pt>
                <c:pt idx="6">
                  <c:v>69.79062333689987</c:v>
                </c:pt>
                <c:pt idx="7">
                  <c:v>72.941795419787383</c:v>
                </c:pt>
                <c:pt idx="8">
                  <c:v>76.092967502674909</c:v>
                </c:pt>
                <c:pt idx="9">
                  <c:v>79.244139585562422</c:v>
                </c:pt>
                <c:pt idx="10">
                  <c:v>82.395311668449935</c:v>
                </c:pt>
                <c:pt idx="11">
                  <c:v>85.546483751337462</c:v>
                </c:pt>
                <c:pt idx="12">
                  <c:v>88.697655834224975</c:v>
                </c:pt>
                <c:pt idx="13">
                  <c:v>91.848827917112487</c:v>
                </c:pt>
                <c:pt idx="14">
                  <c:v>95</c:v>
                </c:pt>
              </c:numCache>
            </c:numRef>
          </c:xVal>
          <c:yVal>
            <c:numRef>
              <c:f>'Meotda CIągu, zmienna masa'!$R$148:$R$162</c:f>
              <c:numCache>
                <c:formatCode>0.00</c:formatCode>
                <c:ptCount val="15"/>
                <c:pt idx="0">
                  <c:v>-1.3744576832055186</c:v>
                </c:pt>
                <c:pt idx="1">
                  <c:v>-1.3046051829449774</c:v>
                </c:pt>
                <c:pt idx="2">
                  <c:v>-1.2327731938908013</c:v>
                </c:pt>
                <c:pt idx="3">
                  <c:v>-0.93877228196472162</c:v>
                </c:pt>
                <c:pt idx="4">
                  <c:v>-0.7018260795443132</c:v>
                </c:pt>
                <c:pt idx="5">
                  <c:v>-0.51973363003410211</c:v>
                </c:pt>
                <c:pt idx="6">
                  <c:v>-0.39094966703400286</c:v>
                </c:pt>
                <c:pt idx="7">
                  <c:v>-0.31450000547267271</c:v>
                </c:pt>
                <c:pt idx="8">
                  <c:v>-0.28990977993118744</c:v>
                </c:pt>
                <c:pt idx="9">
                  <c:v>-0.31714482707492925</c:v>
                </c:pt>
                <c:pt idx="10">
                  <c:v>-0.39656496107340078</c:v>
                </c:pt>
                <c:pt idx="11">
                  <c:v>-0.52888778857064045</c:v>
                </c:pt>
                <c:pt idx="12">
                  <c:v>-0.71516141697558222</c:v>
                </c:pt>
                <c:pt idx="13">
                  <c:v>-0.95674481940318035</c:v>
                </c:pt>
                <c:pt idx="14">
                  <c:v>-1.2552947168045914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286D-4F2C-8997-0CFB4932B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780144"/>
        <c:axId val="428777192"/>
      </c:scatterChart>
      <c:valAx>
        <c:axId val="428780144"/>
        <c:scaling>
          <c:orientation val="minMax"/>
          <c:max val="110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28777192"/>
        <c:crosses val="autoZero"/>
        <c:crossBetween val="midCat"/>
        <c:majorUnit val="5"/>
      </c:valAx>
      <c:valAx>
        <c:axId val="428777192"/>
        <c:scaling>
          <c:orientation val="minMax"/>
          <c:max val="9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28780144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Piper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γ</a:t>
            </a: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(V) dla maksymalnej masy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7.8499672742418536E-2"/>
          <c:y val="0.11381064162754305"/>
          <c:w val="0.89160716528821804"/>
          <c:h val="0.80317109364273065"/>
        </c:manualLayout>
      </c:layout>
      <c:scatterChart>
        <c:scatterStyle val="smoothMarker"/>
        <c:varyColors val="0"/>
        <c:ser>
          <c:idx val="0"/>
          <c:order val="0"/>
          <c:tx>
            <c:v>h=0km m. ciągu m=const.</c:v>
          </c:tx>
          <c:spPr>
            <a:ln w="19050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'h=0m'!$G$60:$G$74</c:f>
              <c:numCache>
                <c:formatCode>0.0</c:formatCode>
                <c:ptCount val="15"/>
                <c:pt idx="0">
                  <c:v>36.916857200854587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'h=0m'!$M$60:$M$74</c:f>
              <c:numCache>
                <c:formatCode>0.00</c:formatCode>
                <c:ptCount val="15"/>
                <c:pt idx="0">
                  <c:v>7.9001919680476247</c:v>
                </c:pt>
                <c:pt idx="1">
                  <c:v>8.1361527723716964</c:v>
                </c:pt>
                <c:pt idx="2">
                  <c:v>7.7885834989864673</c:v>
                </c:pt>
                <c:pt idx="3">
                  <c:v>7.1553087250634384</c:v>
                </c:pt>
                <c:pt idx="4">
                  <c:v>6.2143067325974535</c:v>
                </c:pt>
                <c:pt idx="5">
                  <c:v>5.2633422192626327</c:v>
                </c:pt>
                <c:pt idx="6">
                  <c:v>4.2267516970062777</c:v>
                </c:pt>
                <c:pt idx="7">
                  <c:v>2.9615328532087619</c:v>
                </c:pt>
                <c:pt idx="8">
                  <c:v>1.7973460335483358</c:v>
                </c:pt>
                <c:pt idx="9">
                  <c:v>0.58786649216323883</c:v>
                </c:pt>
                <c:pt idx="10">
                  <c:v>-0.84354387098860217</c:v>
                </c:pt>
                <c:pt idx="11">
                  <c:v>-2.1354351871107791</c:v>
                </c:pt>
                <c:pt idx="12">
                  <c:v>-3.461980137016512</c:v>
                </c:pt>
                <c:pt idx="13">
                  <c:v>-4.8219857606861103</c:v>
                </c:pt>
                <c:pt idx="14">
                  <c:v>-6.4165115692671382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A7-47B7-93F4-9BEAE32A1B1E}"/>
            </c:ext>
          </c:extLst>
        </c:ser>
        <c:ser>
          <c:idx val="1"/>
          <c:order val="1"/>
          <c:tx>
            <c:v>h=1km m. ciągu, m=const.</c:v>
          </c:tx>
          <c:spPr>
            <a:ln w="19050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'h=1km'!$G$60:$G$74</c:f>
              <c:numCache>
                <c:formatCode>0.0</c:formatCode>
                <c:ptCount val="15"/>
                <c:pt idx="0">
                  <c:v>38.754809603898224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'h=1km'!$M$60:$M$74</c:f>
              <c:numCache>
                <c:formatCode>0.00</c:formatCode>
                <c:ptCount val="15"/>
                <c:pt idx="0">
                  <c:v>6.2314639398420519</c:v>
                </c:pt>
                <c:pt idx="1">
                  <c:v>6.5555906359982865</c:v>
                </c:pt>
                <c:pt idx="2">
                  <c:v>6.4168170883537767</c:v>
                </c:pt>
                <c:pt idx="3">
                  <c:v>5.963659938035125</c:v>
                </c:pt>
                <c:pt idx="4">
                  <c:v>5.2080523327737449</c:v>
                </c:pt>
                <c:pt idx="5">
                  <c:v>4.4084855238443472</c:v>
                </c:pt>
                <c:pt idx="6">
                  <c:v>3.5170777217533802</c:v>
                </c:pt>
                <c:pt idx="7">
                  <c:v>2.4131063098902308</c:v>
                </c:pt>
                <c:pt idx="8">
                  <c:v>1.3876190267065918</c:v>
                </c:pt>
                <c:pt idx="9">
                  <c:v>0.31572329656661624</c:v>
                </c:pt>
                <c:pt idx="10">
                  <c:v>-0.95881042236719682</c:v>
                </c:pt>
                <c:pt idx="11">
                  <c:v>-2.1130588042134901</c:v>
                </c:pt>
                <c:pt idx="12">
                  <c:v>-3.3010707321684829</c:v>
                </c:pt>
                <c:pt idx="13">
                  <c:v>-4.521203966153708</c:v>
                </c:pt>
                <c:pt idx="14">
                  <c:v>-5.9536856045058419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A7-47B7-93F4-9BEAE32A1B1E}"/>
            </c:ext>
          </c:extLst>
        </c:ser>
        <c:ser>
          <c:idx val="2"/>
          <c:order val="2"/>
          <c:tx>
            <c:v>h=2km m. ciągu, m=const.</c:v>
          </c:tx>
          <c:spPr>
            <a:ln w="19050" cap="rnd">
              <a:solidFill>
                <a:schemeClr val="accent4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'h=2km'!$G$60:$G$74</c:f>
              <c:numCache>
                <c:formatCode>0.0</c:formatCode>
                <c:ptCount val="15"/>
                <c:pt idx="0">
                  <c:v>40.730481978293845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'h=2km'!$M$60:$M$74</c:f>
              <c:numCache>
                <c:formatCode>0.00</c:formatCode>
                <c:ptCount val="15"/>
                <c:pt idx="0">
                  <c:v>4.7126770439883821</c:v>
                </c:pt>
                <c:pt idx="1">
                  <c:v>5.0252643675866366</c:v>
                </c:pt>
                <c:pt idx="2">
                  <c:v>5.0957641405095302</c:v>
                </c:pt>
                <c:pt idx="3">
                  <c:v>4.8201218470248977</c:v>
                </c:pt>
                <c:pt idx="4">
                  <c:v>4.2446422159749595</c:v>
                </c:pt>
                <c:pt idx="5">
                  <c:v>3.5906122941904708</c:v>
                </c:pt>
                <c:pt idx="6">
                  <c:v>2.8377453117351106</c:v>
                </c:pt>
                <c:pt idx="7">
                  <c:v>1.88675609046786</c:v>
                </c:pt>
                <c:pt idx="8">
                  <c:v>0.99229735845529943</c:v>
                </c:pt>
                <c:pt idx="9">
                  <c:v>4.9976231554270167E-2</c:v>
                </c:pt>
                <c:pt idx="10">
                  <c:v>-1.0772059218155043</c:v>
                </c:pt>
                <c:pt idx="11">
                  <c:v>-2.1024629744492769</c:v>
                </c:pt>
                <c:pt idx="12">
                  <c:v>-3.1609011734303301</c:v>
                </c:pt>
                <c:pt idx="13">
                  <c:v>-4.2504463168805895</c:v>
                </c:pt>
                <c:pt idx="14">
                  <c:v>-5.5319646895837122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5A7-47B7-93F4-9BEAE32A1B1E}"/>
            </c:ext>
          </c:extLst>
        </c:ser>
        <c:ser>
          <c:idx val="3"/>
          <c:order val="3"/>
          <c:tx>
            <c:v>h=3km m. ciągu, m=const.</c:v>
          </c:tx>
          <c:spPr>
            <a:ln w="19050" cap="rnd">
              <a:solidFill>
                <a:schemeClr val="accent3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'h=3km'!$G$60:$G$74</c:f>
              <c:numCache>
                <c:formatCode>0.0</c:formatCode>
                <c:ptCount val="15"/>
                <c:pt idx="0">
                  <c:v>42.857826377230474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'h=3km'!$M$60:$M$74</c:f>
              <c:numCache>
                <c:formatCode>0.00</c:formatCode>
                <c:ptCount val="15"/>
                <c:pt idx="0">
                  <c:v>3.3327219841690821</c:v>
                </c:pt>
                <c:pt idx="1">
                  <c:v>3.5326400022163273</c:v>
                </c:pt>
                <c:pt idx="2">
                  <c:v>3.8152255224734488</c:v>
                </c:pt>
                <c:pt idx="3">
                  <c:v>3.7163113715017944</c:v>
                </c:pt>
                <c:pt idx="4">
                  <c:v>3.3173552551779646</c:v>
                </c:pt>
                <c:pt idx="5">
                  <c:v>2.8041634146397434</c:v>
                </c:pt>
                <c:pt idx="6">
                  <c:v>2.1841987011359869</c:v>
                </c:pt>
                <c:pt idx="7">
                  <c:v>1.3789148465082257</c:v>
                </c:pt>
                <c:pt idx="8">
                  <c:v>0.6085738231827067</c:v>
                </c:pt>
                <c:pt idx="9">
                  <c:v>-0.21148773049467684</c:v>
                </c:pt>
                <c:pt idx="10">
                  <c:v>-1.2001038974839915</c:v>
                </c:pt>
                <c:pt idx="11">
                  <c:v>-2.1044005539841031</c:v>
                </c:pt>
                <c:pt idx="12">
                  <c:v>-3.0416089883894681</c:v>
                </c:pt>
                <c:pt idx="13">
                  <c:v>-4.0092432378655163</c:v>
                </c:pt>
                <c:pt idx="14">
                  <c:v>-5.1501359896496144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5A7-47B7-93F4-9BEAE32A1B1E}"/>
            </c:ext>
          </c:extLst>
        </c:ser>
        <c:ser>
          <c:idx val="4"/>
          <c:order val="4"/>
          <c:tx>
            <c:v>h=4km m. ciągu, m=const.</c:v>
          </c:tx>
          <c:spPr>
            <a:ln w="19050" cap="rnd">
              <a:solidFill>
                <a:schemeClr val="accent5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'h=4km'!$G$60:$G$74</c:f>
              <c:numCache>
                <c:formatCode>0.0</c:formatCode>
                <c:ptCount val="15"/>
                <c:pt idx="0">
                  <c:v>45.15259477332792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'h=4km'!$M$60:$M$74</c:f>
              <c:numCache>
                <c:formatCode>0.00</c:formatCode>
                <c:ptCount val="15"/>
                <c:pt idx="0">
                  <c:v>2.0816825902543927</c:v>
                </c:pt>
                <c:pt idx="1">
                  <c:v>2.0645273639244981</c:v>
                </c:pt>
                <c:pt idx="2">
                  <c:v>2.5644539196386553</c:v>
                </c:pt>
                <c:pt idx="3">
                  <c:v>2.6434049723145439</c:v>
                </c:pt>
                <c:pt idx="4">
                  <c:v>2.4190732332727296</c:v>
                </c:pt>
                <c:pt idx="5">
                  <c:v>2.0432673012353821</c:v>
                </c:pt>
                <c:pt idx="6">
                  <c:v>1.5515859092182811</c:v>
                </c:pt>
                <c:pt idx="7">
                  <c:v>0.88574633408555936</c:v>
                </c:pt>
                <c:pt idx="8">
                  <c:v>0.23339502103926998</c:v>
                </c:pt>
                <c:pt idx="9">
                  <c:v>-0.47100715739382709</c:v>
                </c:pt>
                <c:pt idx="10">
                  <c:v>-1.3290875337367394</c:v>
                </c:pt>
                <c:pt idx="11">
                  <c:v>-2.1198211341987272</c:v>
                </c:pt>
                <c:pt idx="12">
                  <c:v>-2.9435300224540364</c:v>
                </c:pt>
                <c:pt idx="13">
                  <c:v>-3.79730280089142</c:v>
                </c:pt>
                <c:pt idx="14">
                  <c:v>-4.8071696192744557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5A7-47B7-93F4-9BEAE32A1B1E}"/>
            </c:ext>
          </c:extLst>
        </c:ser>
        <c:ser>
          <c:idx val="6"/>
          <c:order val="5"/>
          <c:tx>
            <c:v>h=5km m. ciągu, m=const.</c:v>
          </c:tx>
          <c:spPr>
            <a:ln w="19050" cap="rnd">
              <a:solidFill>
                <a:schemeClr val="accent6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'h=5km'!$G$58:$G$72</c:f>
              <c:numCache>
                <c:formatCode>0.0</c:formatCode>
                <c:ptCount val="15"/>
                <c:pt idx="0">
                  <c:v>47.632623686327229</c:v>
                </c:pt>
                <c:pt idx="1">
                  <c:v>50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'h=5km'!$M$58:$M$72</c:f>
              <c:numCache>
                <c:formatCode>0.00</c:formatCode>
                <c:ptCount val="15"/>
                <c:pt idx="0">
                  <c:v>1.2546361446251761</c:v>
                </c:pt>
                <c:pt idx="1">
                  <c:v>1.4680153696931695</c:v>
                </c:pt>
                <c:pt idx="2">
                  <c:v>1.6013888632582485</c:v>
                </c:pt>
                <c:pt idx="3">
                  <c:v>1.8095332826202761</c:v>
                </c:pt>
                <c:pt idx="4">
                  <c:v>1.7054455718270169</c:v>
                </c:pt>
                <c:pt idx="5">
                  <c:v>1.4213471583893076</c:v>
                </c:pt>
                <c:pt idx="6">
                  <c:v>1.0145672816481166</c:v>
                </c:pt>
                <c:pt idx="7">
                  <c:v>0.44173602294078756</c:v>
                </c:pt>
                <c:pt idx="8">
                  <c:v>-0.13029787577611993</c:v>
                </c:pt>
                <c:pt idx="9">
                  <c:v>-0.75384481766282152</c:v>
                </c:pt>
                <c:pt idx="10">
                  <c:v>-1.5175563089093058</c:v>
                </c:pt>
                <c:pt idx="11">
                  <c:v>-2.2231847392953306</c:v>
                </c:pt>
                <c:pt idx="12">
                  <c:v>-2.9588454428396456</c:v>
                </c:pt>
                <c:pt idx="13">
                  <c:v>-3.7211990810298645</c:v>
                </c:pt>
                <c:pt idx="14">
                  <c:v>-4.6220216410945714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5A7-47B7-93F4-9BEAE32A1B1E}"/>
            </c:ext>
          </c:extLst>
        </c:ser>
        <c:ser>
          <c:idx val="7"/>
          <c:order val="6"/>
          <c:tx>
            <c:v>h=6km m. ciągu, m=const.</c:v>
          </c:tx>
          <c:spPr>
            <a:ln w="19050" cap="rnd">
              <a:solidFill>
                <a:schemeClr val="tx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'h=6km'!$G$58:$G$72</c:f>
              <c:numCache>
                <c:formatCode>0.0</c:formatCode>
                <c:ptCount val="15"/>
                <c:pt idx="0">
                  <c:v>50.318172548068731</c:v>
                </c:pt>
                <c:pt idx="1">
                  <c:v>51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'h=6km'!$M$58:$M$72</c:f>
              <c:numCache>
                <c:formatCode>0.00</c:formatCode>
                <c:ptCount val="15"/>
                <c:pt idx="0">
                  <c:v>0.17702303652453191</c:v>
                </c:pt>
                <c:pt idx="1">
                  <c:v>0.24655077002951631</c:v>
                </c:pt>
                <c:pt idx="2">
                  <c:v>0.33941430213012813</c:v>
                </c:pt>
                <c:pt idx="3">
                  <c:v>0.74080171572235809</c:v>
                </c:pt>
                <c:pt idx="4">
                  <c:v>0.820341108540941</c:v>
                </c:pt>
                <c:pt idx="5">
                  <c:v>0.67636266337339379</c:v>
                </c:pt>
                <c:pt idx="6">
                  <c:v>0.3971983318772902</c:v>
                </c:pt>
                <c:pt idx="7">
                  <c:v>-4.0085532354185542E-2</c:v>
                </c:pt>
                <c:pt idx="8">
                  <c:v>-0.49968096100202464</c:v>
                </c:pt>
                <c:pt idx="9">
                  <c:v>-1.0147561390152688</c:v>
                </c:pt>
                <c:pt idx="10">
                  <c:v>-1.6578559685805967</c:v>
                </c:pt>
                <c:pt idx="11">
                  <c:v>-2.2599407354143546</c:v>
                </c:pt>
                <c:pt idx="12">
                  <c:v>-2.8932635755803764</c:v>
                </c:pt>
                <c:pt idx="13">
                  <c:v>-3.5540094693847606</c:v>
                </c:pt>
                <c:pt idx="14">
                  <c:v>-4.3391217104033446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5A7-47B7-93F4-9BEAE32A1B1E}"/>
            </c:ext>
          </c:extLst>
        </c:ser>
        <c:ser>
          <c:idx val="8"/>
          <c:order val="7"/>
          <c:tx>
            <c:v>h=7km m. ciągu, m=const.</c:v>
          </c:tx>
          <c:spPr>
            <a:ln w="19050" cap="rnd">
              <a:solidFill>
                <a:schemeClr val="accent2">
                  <a:lumMod val="75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'h=7m'!$G$58:$G$72</c:f>
              <c:numCache>
                <c:formatCode>0.0</c:formatCode>
                <c:ptCount val="15"/>
                <c:pt idx="0">
                  <c:v>53.232327687547958</c:v>
                </c:pt>
                <c:pt idx="1">
                  <c:v>55</c:v>
                </c:pt>
                <c:pt idx="2">
                  <c:v>57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'h=7m'!$M$58:$M$72</c:f>
              <c:numCache>
                <c:formatCode>0.00</c:formatCode>
                <c:ptCount val="15"/>
                <c:pt idx="0">
                  <c:v>-0.78850161176116373</c:v>
                </c:pt>
                <c:pt idx="1">
                  <c:v>-0.61593237815691315</c:v>
                </c:pt>
                <c:pt idx="2">
                  <c:v>-0.45490565792710491</c:v>
                </c:pt>
                <c:pt idx="3">
                  <c:v>-0.32581366564477626</c:v>
                </c:pt>
                <c:pt idx="4">
                  <c:v>-5.913878558244335E-2</c:v>
                </c:pt>
                <c:pt idx="5">
                  <c:v>-6.2719273568256989E-2</c:v>
                </c:pt>
                <c:pt idx="6">
                  <c:v>-0.21577718564579507</c:v>
                </c:pt>
                <c:pt idx="7">
                  <c:v>-0.52078914916654673</c:v>
                </c:pt>
                <c:pt idx="8">
                  <c:v>-0.87180371035594117</c:v>
                </c:pt>
                <c:pt idx="9">
                  <c:v>-1.2829625356561467</c:v>
                </c:pt>
                <c:pt idx="10">
                  <c:v>-1.8113256541888689</c:v>
                </c:pt>
                <c:pt idx="11">
                  <c:v>-2.3154796265732167</c:v>
                </c:pt>
                <c:pt idx="12">
                  <c:v>-2.8524492100048184</c:v>
                </c:pt>
                <c:pt idx="13">
                  <c:v>-3.4178983753905512</c:v>
                </c:pt>
                <c:pt idx="14">
                  <c:v>-4.0948767038930045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5A7-47B7-93F4-9BEAE32A1B1E}"/>
            </c:ext>
          </c:extLst>
        </c:ser>
        <c:ser>
          <c:idx val="18"/>
          <c:order val="8"/>
          <c:tx>
            <c:v>h=8km m. ciągu, m=const.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'h=8km'!$G$58:$G$72</c:f>
              <c:numCache>
                <c:formatCode>0.0</c:formatCode>
                <c:ptCount val="15"/>
                <c:pt idx="0">
                  <c:v>56.401486852033145</c:v>
                </c:pt>
                <c:pt idx="1">
                  <c:v>57</c:v>
                </c:pt>
                <c:pt idx="2">
                  <c:v>58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'h=8km'!$M$58:$M$72</c:f>
              <c:numCache>
                <c:formatCode>0.00</c:formatCode>
                <c:ptCount val="15"/>
                <c:pt idx="0">
                  <c:v>-1.6494739596749375</c:v>
                </c:pt>
                <c:pt idx="1">
                  <c:v>-1.5876027673146014</c:v>
                </c:pt>
                <c:pt idx="2">
                  <c:v>-1.4912515943788673</c:v>
                </c:pt>
                <c:pt idx="3">
                  <c:v>-1.4032078692589351</c:v>
                </c:pt>
                <c:pt idx="4">
                  <c:v>-0.94342885966644874</c:v>
                </c:pt>
                <c:pt idx="5">
                  <c:v>-0.8045994563855885</c:v>
                </c:pt>
                <c:pt idx="6">
                  <c:v>-0.83162146291047845</c:v>
                </c:pt>
                <c:pt idx="7">
                  <c:v>-1.0062607673698325</c:v>
                </c:pt>
                <c:pt idx="8">
                  <c:v>-1.2515177299456735</c:v>
                </c:pt>
                <c:pt idx="9">
                  <c:v>-1.5624008999661185</c:v>
                </c:pt>
                <c:pt idx="10">
                  <c:v>-1.9809603300156629</c:v>
                </c:pt>
                <c:pt idx="11">
                  <c:v>-2.3920422789404623</c:v>
                </c:pt>
                <c:pt idx="12">
                  <c:v>-2.8379331547951128</c:v>
                </c:pt>
                <c:pt idx="13">
                  <c:v>-3.3137179224645061</c:v>
                </c:pt>
                <c:pt idx="14">
                  <c:v>-3.8893844037572518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5A7-47B7-93F4-9BEAE32A1B1E}"/>
            </c:ext>
          </c:extLst>
        </c:ser>
        <c:ser>
          <c:idx val="9"/>
          <c:order val="9"/>
          <c:tx>
            <c:v>h=0km m. mocy</c:v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'h=0m'!$H$41:$H$56</c:f>
              <c:numCache>
                <c:formatCode>0.00</c:formatCode>
                <c:ptCount val="16"/>
                <c:pt idx="0">
                  <c:v>36.916857200854587</c:v>
                </c:pt>
                <c:pt idx="1">
                  <c:v>37.603687192316841</c:v>
                </c:pt>
                <c:pt idx="2">
                  <c:v>38.821273869141265</c:v>
                </c:pt>
                <c:pt idx="3">
                  <c:v>40.136212812175167</c:v>
                </c:pt>
                <c:pt idx="4">
                  <c:v>41.790249902077335</c:v>
                </c:pt>
                <c:pt idx="5">
                  <c:v>43.425605092866448</c:v>
                </c:pt>
                <c:pt idx="6">
                  <c:v>45.353065388139349</c:v>
                </c:pt>
                <c:pt idx="7">
                  <c:v>47.880274913673894</c:v>
                </c:pt>
                <c:pt idx="8">
                  <c:v>50.589298964412684</c:v>
                </c:pt>
                <c:pt idx="9">
                  <c:v>53.677383104531074</c:v>
                </c:pt>
                <c:pt idx="10">
                  <c:v>62.483074450686544</c:v>
                </c:pt>
                <c:pt idx="11">
                  <c:v>68.67648678531765</c:v>
                </c:pt>
                <c:pt idx="12">
                  <c:v>77.380506667722187</c:v>
                </c:pt>
                <c:pt idx="13">
                  <c:v>89.714777176744207</c:v>
                </c:pt>
                <c:pt idx="14">
                  <c:v>109.28537623419732</c:v>
                </c:pt>
                <c:pt idx="15">
                  <c:v>176.88432534751809</c:v>
                </c:pt>
              </c:numCache>
            </c:numRef>
          </c:xVal>
          <c:yVal>
            <c:numRef>
              <c:f>'h=0m'!$O$41:$O$56</c:f>
              <c:numCache>
                <c:formatCode>0.00</c:formatCode>
                <c:ptCount val="16"/>
                <c:pt idx="0">
                  <c:v>7.5856673533380841</c:v>
                </c:pt>
                <c:pt idx="1">
                  <c:v>7.6633733373103246</c:v>
                </c:pt>
                <c:pt idx="2">
                  <c:v>7.776792950734456</c:v>
                </c:pt>
                <c:pt idx="3">
                  <c:v>7.8799195948850231</c:v>
                </c:pt>
                <c:pt idx="4">
                  <c:v>7.9314793205809533</c:v>
                </c:pt>
                <c:pt idx="5">
                  <c:v>7.9506707262198306</c:v>
                </c:pt>
                <c:pt idx="6">
                  <c:v>7.9337978944955641</c:v>
                </c:pt>
                <c:pt idx="7">
                  <c:v>7.826109116695477</c:v>
                </c:pt>
                <c:pt idx="8">
                  <c:v>7.7280604612793029</c:v>
                </c:pt>
                <c:pt idx="9">
                  <c:v>7.5557921086993485</c:v>
                </c:pt>
                <c:pt idx="10">
                  <c:v>6.7144222931404496</c:v>
                </c:pt>
                <c:pt idx="11">
                  <c:v>5.9502578805283584</c:v>
                </c:pt>
                <c:pt idx="12">
                  <c:v>4.704906344187056</c:v>
                </c:pt>
                <c:pt idx="13">
                  <c:v>2.7831808977766022</c:v>
                </c:pt>
                <c:pt idx="14">
                  <c:v>-0.62729548321566464</c:v>
                </c:pt>
                <c:pt idx="15">
                  <c:v>-14.37318054250825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5A7-47B7-93F4-9BEAE32A1B1E}"/>
            </c:ext>
          </c:extLst>
        </c:ser>
        <c:ser>
          <c:idx val="10"/>
          <c:order val="10"/>
          <c:tx>
            <c:v>h=1km m. mocy</c:v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'h=1km'!$H$41:$H$56</c:f>
              <c:numCache>
                <c:formatCode>0.00</c:formatCode>
                <c:ptCount val="16"/>
                <c:pt idx="0">
                  <c:v>38.754809603898224</c:v>
                </c:pt>
                <c:pt idx="1">
                  <c:v>39.475834294720244</c:v>
                </c:pt>
                <c:pt idx="2">
                  <c:v>40.754040063424775</c:v>
                </c:pt>
                <c:pt idx="3">
                  <c:v>42.13444490397687</c:v>
                </c:pt>
                <c:pt idx="4">
                  <c:v>43.870830321299458</c:v>
                </c:pt>
                <c:pt idx="5">
                  <c:v>45.587603737545514</c:v>
                </c:pt>
                <c:pt idx="6">
                  <c:v>47.611025080157674</c:v>
                </c:pt>
                <c:pt idx="7">
                  <c:v>50.264054926614435</c:v>
                </c:pt>
                <c:pt idx="8">
                  <c:v>53.107951164247922</c:v>
                </c:pt>
                <c:pt idx="9">
                  <c:v>56.349779476987806</c:v>
                </c:pt>
                <c:pt idx="10">
                  <c:v>65.593873298253001</c:v>
                </c:pt>
                <c:pt idx="11">
                  <c:v>72.095632495173675</c:v>
                </c:pt>
                <c:pt idx="12">
                  <c:v>81.23299301034028</c:v>
                </c:pt>
                <c:pt idx="13">
                  <c:v>94.18134076863916</c:v>
                </c:pt>
                <c:pt idx="14">
                  <c:v>114.72628683973286</c:v>
                </c:pt>
                <c:pt idx="15">
                  <c:v>185.6907350877735</c:v>
                </c:pt>
              </c:numCache>
            </c:numRef>
          </c:xVal>
          <c:yVal>
            <c:numRef>
              <c:f>'h=1km'!$O$41:$O$56</c:f>
              <c:numCache>
                <c:formatCode>0.00</c:formatCode>
                <c:ptCount val="16"/>
                <c:pt idx="0">
                  <c:v>5.97544269893866</c:v>
                </c:pt>
                <c:pt idx="1">
                  <c:v>6.058468308082344</c:v>
                </c:pt>
                <c:pt idx="2">
                  <c:v>6.1813872379349544</c:v>
                </c:pt>
                <c:pt idx="3">
                  <c:v>6.2948216214950827</c:v>
                </c:pt>
                <c:pt idx="4">
                  <c:v>6.3595932056745754</c:v>
                </c:pt>
                <c:pt idx="5">
                  <c:v>6.3919328657571599</c:v>
                </c:pt>
                <c:pt idx="6">
                  <c:v>6.3906602684041509</c:v>
                </c:pt>
                <c:pt idx="7">
                  <c:v>6.3036557470537025</c:v>
                </c:pt>
                <c:pt idx="8">
                  <c:v>6.2276435455923078</c:v>
                </c:pt>
                <c:pt idx="9">
                  <c:v>6.0805847115584228</c:v>
                </c:pt>
                <c:pt idx="10">
                  <c:v>5.3113906412958709</c:v>
                </c:pt>
                <c:pt idx="11">
                  <c:v>4.5976462556022497</c:v>
                </c:pt>
                <c:pt idx="12">
                  <c:v>3.4222564391754804</c:v>
                </c:pt>
                <c:pt idx="13">
                  <c:v>1.5972890122223959</c:v>
                </c:pt>
                <c:pt idx="14">
                  <c:v>-1.6656245375222345</c:v>
                </c:pt>
                <c:pt idx="15">
                  <c:v>-14.949813629561691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5A7-47B7-93F4-9BEAE32A1B1E}"/>
            </c:ext>
          </c:extLst>
        </c:ser>
        <c:ser>
          <c:idx val="11"/>
          <c:order val="11"/>
          <c:tx>
            <c:v>h=2km m. mocy</c:v>
          </c:tx>
          <c:spPr>
            <a:ln w="1905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'h=2km'!$H$41:$H$56</c:f>
              <c:numCache>
                <c:formatCode>0.00</c:formatCode>
                <c:ptCount val="16"/>
                <c:pt idx="0">
                  <c:v>40.730481978293845</c:v>
                </c:pt>
                <c:pt idx="1">
                  <c:v>41.488263618188093</c:v>
                </c:pt>
                <c:pt idx="2">
                  <c:v>42.831630739814578</c:v>
                </c:pt>
                <c:pt idx="3">
                  <c:v>44.28240691586889</c:v>
                </c:pt>
                <c:pt idx="4">
                  <c:v>46.107311119256231</c:v>
                </c:pt>
                <c:pt idx="5">
                  <c:v>47.911603525951229</c:v>
                </c:pt>
                <c:pt idx="6">
                  <c:v>50.038176391928353</c:v>
                </c:pt>
                <c:pt idx="7">
                  <c:v>52.826454426407807</c:v>
                </c:pt>
                <c:pt idx="8">
                  <c:v>55.815328985177857</c:v>
                </c:pt>
                <c:pt idx="9">
                  <c:v>59.222421705238411</c:v>
                </c:pt>
                <c:pt idx="10">
                  <c:v>68.937768023307456</c:v>
                </c:pt>
                <c:pt idx="11">
                  <c:v>75.770978881624927</c:v>
                </c:pt>
                <c:pt idx="12">
                  <c:v>85.374150761347749</c:v>
                </c:pt>
                <c:pt idx="13">
                  <c:v>98.982589311514843</c:v>
                </c:pt>
                <c:pt idx="14">
                  <c:v>120.57489138308867</c:v>
                </c:pt>
                <c:pt idx="15">
                  <c:v>195.1570196404198</c:v>
                </c:pt>
              </c:numCache>
            </c:numRef>
          </c:xVal>
          <c:yVal>
            <c:numRef>
              <c:f>'h=2km'!$O$41:$O$56</c:f>
              <c:numCache>
                <c:formatCode>0.00</c:formatCode>
                <c:ptCount val="16"/>
                <c:pt idx="0">
                  <c:v>4.502920482617915</c:v>
                </c:pt>
                <c:pt idx="1">
                  <c:v>4.5912017329784218</c:v>
                </c:pt>
                <c:pt idx="2">
                  <c:v>4.7234801249666303</c:v>
                </c:pt>
                <c:pt idx="3">
                  <c:v>4.847048893086396</c:v>
                </c:pt>
                <c:pt idx="4">
                  <c:v>4.9247335922537205</c:v>
                </c:pt>
                <c:pt idx="5">
                  <c:v>4.9698917425641893</c:v>
                </c:pt>
                <c:pt idx="6">
                  <c:v>4.9837892993086435</c:v>
                </c:pt>
                <c:pt idx="7">
                  <c:v>4.9168211715527335</c:v>
                </c:pt>
                <c:pt idx="8">
                  <c:v>4.8621642923600996</c:v>
                </c:pt>
                <c:pt idx="9">
                  <c:v>4.7394820264502027</c:v>
                </c:pt>
                <c:pt idx="10">
                  <c:v>4.0398106557217526</c:v>
                </c:pt>
                <c:pt idx="11">
                  <c:v>3.3745282799009586</c:v>
                </c:pt>
                <c:pt idx="12">
                  <c:v>2.2663164834477563</c:v>
                </c:pt>
                <c:pt idx="13">
                  <c:v>0.53426022597246547</c:v>
                </c:pt>
                <c:pt idx="14">
                  <c:v>-2.5869001695405229</c:v>
                </c:pt>
                <c:pt idx="15">
                  <c:v>-15.426583290377135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15A7-47B7-93F4-9BEAE32A1B1E}"/>
            </c:ext>
          </c:extLst>
        </c:ser>
        <c:ser>
          <c:idx val="12"/>
          <c:order val="12"/>
          <c:tx>
            <c:v>h=3km m. mocy</c:v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'h=3km'!$H$41:$H$56</c:f>
              <c:numCache>
                <c:formatCode>0.00</c:formatCode>
                <c:ptCount val="16"/>
                <c:pt idx="0">
                  <c:v>42.857826377230467</c:v>
                </c:pt>
                <c:pt idx="1">
                  <c:v>43.655186790783837</c:v>
                </c:pt>
                <c:pt idx="2">
                  <c:v>45.068717691062162</c:v>
                </c:pt>
                <c:pt idx="3">
                  <c:v>46.595267597805069</c:v>
                </c:pt>
                <c:pt idx="4">
                  <c:v>48.515486159066711</c:v>
                </c:pt>
                <c:pt idx="5">
                  <c:v>50.414016373884678</c:v>
                </c:pt>
                <c:pt idx="6">
                  <c:v>52.651659687733698</c:v>
                </c:pt>
                <c:pt idx="7">
                  <c:v>55.585568890105762</c:v>
                </c:pt>
                <c:pt idx="8">
                  <c:v>58.730551730509013</c:v>
                </c:pt>
                <c:pt idx="9">
                  <c:v>62.315596177694751</c:v>
                </c:pt>
                <c:pt idx="10">
                  <c:v>72.538372964779313</c:v>
                </c:pt>
                <c:pt idx="11">
                  <c:v>79.728480970887503</c:v>
                </c:pt>
                <c:pt idx="12">
                  <c:v>89.83322447260197</c:v>
                </c:pt>
                <c:pt idx="13">
                  <c:v>104.15242886991516</c:v>
                </c:pt>
                <c:pt idx="14">
                  <c:v>126.87249227995264</c:v>
                </c:pt>
                <c:pt idx="15">
                  <c:v>205.35002921164124</c:v>
                </c:pt>
              </c:numCache>
            </c:numRef>
          </c:xVal>
          <c:yVal>
            <c:numRef>
              <c:f>'h=3km'!$O$41:$O$56</c:f>
              <c:numCache>
                <c:formatCode>0.00</c:formatCode>
                <c:ptCount val="16"/>
                <c:pt idx="0">
                  <c:v>3.1592151177050201</c:v>
                </c:pt>
                <c:pt idx="1">
                  <c:v>3.2526864168837242</c:v>
                </c:pt>
                <c:pt idx="2">
                  <c:v>3.3941863387631273</c:v>
                </c:pt>
                <c:pt idx="3">
                  <c:v>3.5277218431891013</c:v>
                </c:pt>
                <c:pt idx="4">
                  <c:v>3.6180432950685133</c:v>
                </c:pt>
                <c:pt idx="5">
                  <c:v>3.675717854632583</c:v>
                </c:pt>
                <c:pt idx="6">
                  <c:v>3.7043947329108904</c:v>
                </c:pt>
                <c:pt idx="7">
                  <c:v>3.6568808971329361</c:v>
                </c:pt>
                <c:pt idx="8">
                  <c:v>3.6229621150077156</c:v>
                </c:pt>
                <c:pt idx="9">
                  <c:v>3.5239033689115833</c:v>
                </c:pt>
                <c:pt idx="10">
                  <c:v>2.8913621074911595</c:v>
                </c:pt>
                <c:pt idx="11">
                  <c:v>2.2727654041889664</c:v>
                </c:pt>
                <c:pt idx="12">
                  <c:v>1.2291835718014221</c:v>
                </c:pt>
                <c:pt idx="13">
                  <c:v>-0.41354598891861277</c:v>
                </c:pt>
                <c:pt idx="14">
                  <c:v>-3.3985232686641877</c:v>
                </c:pt>
                <c:pt idx="15">
                  <c:v>-15.811829244703006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15A7-47B7-93F4-9BEAE32A1B1E}"/>
            </c:ext>
          </c:extLst>
        </c:ser>
        <c:ser>
          <c:idx val="13"/>
          <c:order val="13"/>
          <c:tx>
            <c:v>h=4km m. mocy</c:v>
          </c:tx>
          <c:spPr>
            <a:ln w="1905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'h=4km'!$H$41:$H$56</c:f>
              <c:numCache>
                <c:formatCode>0.00</c:formatCode>
                <c:ptCount val="16"/>
                <c:pt idx="0">
                  <c:v>45.15259477332792</c:v>
                </c:pt>
                <c:pt idx="1">
                  <c:v>45.992648847106054</c:v>
                </c:pt>
                <c:pt idx="2">
                  <c:v>47.481865481147793</c:v>
                </c:pt>
                <c:pt idx="3">
                  <c:v>49.090152582171754</c:v>
                </c:pt>
                <c:pt idx="4">
                  <c:v>51.113186830565958</c:v>
                </c:pt>
                <c:pt idx="5">
                  <c:v>53.113371457291173</c:v>
                </c:pt>
                <c:pt idx="6">
                  <c:v>55.470826567313956</c:v>
                </c:pt>
                <c:pt idx="7">
                  <c:v>58.561828246923731</c:v>
                </c:pt>
                <c:pt idx="8">
                  <c:v>61.875205236971972</c:v>
                </c:pt>
                <c:pt idx="9">
                  <c:v>65.652206378918535</c:v>
                </c:pt>
                <c:pt idx="10">
                  <c:v>76.422348888307297</c:v>
                </c:pt>
                <c:pt idx="11">
                  <c:v>83.99744218209004</c:v>
                </c:pt>
                <c:pt idx="12">
                  <c:v>94.64323146233528</c:v>
                </c:pt>
                <c:pt idx="13">
                  <c:v>109.72913964483324</c:v>
                </c:pt>
                <c:pt idx="14">
                  <c:v>133.66572026719447</c:v>
                </c:pt>
                <c:pt idx="15">
                  <c:v>216.34523818525633</c:v>
                </c:pt>
              </c:numCache>
            </c:numRef>
          </c:xVal>
          <c:yVal>
            <c:numRef>
              <c:f>'h=4km'!$O$41:$O$56</c:f>
              <c:numCache>
                <c:formatCode>0.00</c:formatCode>
                <c:ptCount val="16"/>
                <c:pt idx="0">
                  <c:v>1.9362651242472615</c:v>
                </c:pt>
                <c:pt idx="1">
                  <c:v>2.0348576602633779</c:v>
                </c:pt>
                <c:pt idx="2">
                  <c:v>2.1854393374678769</c:v>
                </c:pt>
                <c:pt idx="3">
                  <c:v>2.3287748387221781</c:v>
                </c:pt>
                <c:pt idx="4">
                  <c:v>2.4314701753268797</c:v>
                </c:pt>
                <c:pt idx="5">
                  <c:v>2.5013768181649088</c:v>
                </c:pt>
                <c:pt idx="6">
                  <c:v>2.5444683558431396</c:v>
                </c:pt>
                <c:pt idx="7">
                  <c:v>2.5158724482225923</c:v>
                </c:pt>
                <c:pt idx="8">
                  <c:v>2.5021177722312111</c:v>
                </c:pt>
                <c:pt idx="9">
                  <c:v>2.4259840743283032</c:v>
                </c:pt>
                <c:pt idx="10">
                  <c:v>1.8583597949234787</c:v>
                </c:pt>
                <c:pt idx="11">
                  <c:v>1.2847947480511488</c:v>
                </c:pt>
                <c:pt idx="12">
                  <c:v>0.30344663965269353</c:v>
                </c:pt>
                <c:pt idx="13">
                  <c:v>-1.2533927705689123</c:v>
                </c:pt>
                <c:pt idx="14">
                  <c:v>-4.1076900746673068</c:v>
                </c:pt>
                <c:pt idx="15">
                  <c:v>-16.114233807275184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15A7-47B7-93F4-9BEAE32A1B1E}"/>
            </c:ext>
          </c:extLst>
        </c:ser>
        <c:ser>
          <c:idx val="15"/>
          <c:order val="14"/>
          <c:tx>
            <c:v>h=5km m. mocy</c:v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'h=5km'!$H$40:$H$54</c:f>
              <c:numCache>
                <c:formatCode>0.00</c:formatCode>
                <c:ptCount val="15"/>
                <c:pt idx="0">
                  <c:v>47.632623686327229</c:v>
                </c:pt>
                <c:pt idx="1">
                  <c:v>48.518818151414244</c:v>
                </c:pt>
                <c:pt idx="2">
                  <c:v>50.089830755957429</c:v>
                </c:pt>
                <c:pt idx="3">
                  <c:v>51.78645383259844</c:v>
                </c:pt>
                <c:pt idx="4">
                  <c:v>53.920604251684331</c:v>
                </c:pt>
                <c:pt idx="5">
                  <c:v>56.030650022171436</c:v>
                </c:pt>
                <c:pt idx="6">
                  <c:v>58.517589536430684</c:v>
                </c:pt>
                <c:pt idx="7">
                  <c:v>61.77836603350211</c:v>
                </c:pt>
                <c:pt idx="8">
                  <c:v>65.273731916464214</c:v>
                </c:pt>
                <c:pt idx="9">
                  <c:v>69.258186740385923</c:v>
                </c:pt>
                <c:pt idx="10">
                  <c:v>80.619884728579308</c:v>
                </c:pt>
                <c:pt idx="11">
                  <c:v>88.611043820608174</c:v>
                </c:pt>
                <c:pt idx="12">
                  <c:v>99.8415584161813</c:v>
                </c:pt>
                <c:pt idx="13">
                  <c:v>115.75606767153603</c:v>
                </c:pt>
                <c:pt idx="14">
                  <c:v>141.00737698933125</c:v>
                </c:pt>
              </c:numCache>
            </c:numRef>
          </c:xVal>
          <c:yVal>
            <c:numRef>
              <c:f>'h=5km'!$O$40:$O$54</c:f>
              <c:numCache>
                <c:formatCode>0.00</c:formatCode>
                <c:ptCount val="15"/>
                <c:pt idx="0">
                  <c:v>0.82667402223098274</c:v>
                </c:pt>
                <c:pt idx="1">
                  <c:v>0.93031447953654034</c:v>
                </c:pt>
                <c:pt idx="2">
                  <c:v>1.0898332747924584</c:v>
                </c:pt>
                <c:pt idx="3">
                  <c:v>1.2427990703694676</c:v>
                </c:pt>
                <c:pt idx="4">
                  <c:v>1.3576117235691274</c:v>
                </c:pt>
                <c:pt idx="5">
                  <c:v>1.4394758094922735</c:v>
                </c:pt>
                <c:pt idx="6">
                  <c:v>1.4966328466463794</c:v>
                </c:pt>
                <c:pt idx="7">
                  <c:v>1.4864478469164948</c:v>
                </c:pt>
                <c:pt idx="8">
                  <c:v>1.4923094708696523</c:v>
                </c:pt>
                <c:pt idx="9">
                  <c:v>1.4384359208393165</c:v>
                </c:pt>
                <c:pt idx="10">
                  <c:v>0.93362701713487339</c:v>
                </c:pt>
                <c:pt idx="11">
                  <c:v>0.40351133351027146</c:v>
                </c:pt>
                <c:pt idx="12">
                  <c:v>-0.51792014404977382</c:v>
                </c:pt>
                <c:pt idx="13">
                  <c:v>-1.9922597914215834</c:v>
                </c:pt>
                <c:pt idx="14">
                  <c:v>-4.7214728096250616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15A7-47B7-93F4-9BEAE32A1B1E}"/>
            </c:ext>
          </c:extLst>
        </c:ser>
        <c:ser>
          <c:idx val="16"/>
          <c:order val="15"/>
          <c:tx>
            <c:v>h=6km m. mocy</c:v>
          </c:tx>
          <c:spPr>
            <a:ln w="19050" cap="rnd">
              <a:solidFill>
                <a:schemeClr val="tx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'h=6km'!$H$40:$H$54</c:f>
              <c:numCache>
                <c:formatCode>0.00</c:formatCode>
                <c:ptCount val="15"/>
                <c:pt idx="0">
                  <c:v>50.318172548068731</c:v>
                </c:pt>
                <c:pt idx="1">
                  <c:v>51.254331057812792</c:v>
                </c:pt>
                <c:pt idx="2">
                  <c:v>52.913918063373565</c:v>
                </c:pt>
                <c:pt idx="3">
                  <c:v>54.706197516247016</c:v>
                </c:pt>
                <c:pt idx="4">
                  <c:v>56.960672300971545</c:v>
                </c:pt>
                <c:pt idx="5">
                  <c:v>59.189683406109758</c:v>
                </c:pt>
                <c:pt idx="6">
                  <c:v>61.816837694716106</c:v>
                </c:pt>
                <c:pt idx="7">
                  <c:v>65.261458245135728</c:v>
                </c:pt>
                <c:pt idx="8">
                  <c:v>68.953894437098114</c:v>
                </c:pt>
                <c:pt idx="9">
                  <c:v>73.162994625665476</c:v>
                </c:pt>
                <c:pt idx="10">
                  <c:v>85.165270283914879</c:v>
                </c:pt>
                <c:pt idx="11">
                  <c:v>93.606974538958852</c:v>
                </c:pt>
                <c:pt idx="12">
                  <c:v>105.47067062559417</c:v>
                </c:pt>
                <c:pt idx="13">
                  <c:v>122.28244710891731</c:v>
                </c:pt>
                <c:pt idx="14">
                  <c:v>148.9574366640737</c:v>
                </c:pt>
              </c:numCache>
            </c:numRef>
          </c:xVal>
          <c:yVal>
            <c:numRef>
              <c:f>'h=6km'!$O$40:$O$54</c:f>
              <c:numCache>
                <c:formatCode>0.00</c:formatCode>
                <c:ptCount val="15"/>
                <c:pt idx="0">
                  <c:v>-0.17641162346695347</c:v>
                </c:pt>
                <c:pt idx="1">
                  <c:v>-6.7802133480593538E-2</c:v>
                </c:pt>
                <c:pt idx="2">
                  <c:v>0.10050175709203588</c:v>
                </c:pt>
                <c:pt idx="3">
                  <c:v>0.26292193153363858</c:v>
                </c:pt>
                <c:pt idx="4">
                  <c:v>0.38959560540669375</c:v>
                </c:pt>
                <c:pt idx="5">
                  <c:v>0.48314539317133248</c:v>
                </c:pt>
                <c:pt idx="6">
                  <c:v>0.55402526619581927</c:v>
                </c:pt>
                <c:pt idx="7">
                  <c:v>0.56175961729125079</c:v>
                </c:pt>
                <c:pt idx="8">
                  <c:v>0.58670134058159618</c:v>
                </c:pt>
                <c:pt idx="9">
                  <c:v>0.55443853523507902</c:v>
                </c:pt>
                <c:pt idx="10">
                  <c:v>0.11039574368306115</c:v>
                </c:pt>
                <c:pt idx="11">
                  <c:v>-0.37782602112573677</c:v>
                </c:pt>
                <c:pt idx="12">
                  <c:v>-1.2416444801300865</c:v>
                </c:pt>
                <c:pt idx="13">
                  <c:v>-2.6369231801929294</c:v>
                </c:pt>
                <c:pt idx="14">
                  <c:v>-5.2468943529986722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15A7-47B7-93F4-9BEAE32A1B1E}"/>
            </c:ext>
          </c:extLst>
        </c:ser>
        <c:ser>
          <c:idx val="17"/>
          <c:order val="16"/>
          <c:tx>
            <c:v>h=7km m. mocy</c:v>
          </c:tx>
          <c:spPr>
            <a:ln w="19050" cap="rnd">
              <a:solidFill>
                <a:schemeClr val="accent2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'h=7m'!$H$40:$H$54</c:f>
              <c:numCache>
                <c:formatCode>0.00</c:formatCode>
                <c:ptCount val="15"/>
                <c:pt idx="0">
                  <c:v>53.232327687547958</c:v>
                </c:pt>
                <c:pt idx="1">
                  <c:v>54.222703411359795</c:v>
                </c:pt>
                <c:pt idx="2">
                  <c:v>55.978404678563273</c:v>
                </c:pt>
                <c:pt idx="3">
                  <c:v>57.874483218615111</c:v>
                </c:pt>
                <c:pt idx="4">
                  <c:v>60.259524932702092</c:v>
                </c:pt>
                <c:pt idx="5">
                  <c:v>62.617628249243445</c:v>
                </c:pt>
                <c:pt idx="6">
                  <c:v>65.396933039043631</c:v>
                </c:pt>
                <c:pt idx="7">
                  <c:v>69.041047294664324</c:v>
                </c:pt>
                <c:pt idx="8">
                  <c:v>72.947329327226896</c:v>
                </c:pt>
                <c:pt idx="9">
                  <c:v>77.400197727673941</c:v>
                </c:pt>
                <c:pt idx="10">
                  <c:v>90.097579975128696</c:v>
                </c:pt>
                <c:pt idx="11">
                  <c:v>99.028181870827225</c:v>
                </c:pt>
                <c:pt idx="12">
                  <c:v>111.5789587708816</c:v>
                </c:pt>
                <c:pt idx="13">
                  <c:v>129.36438199775154</c:v>
                </c:pt>
                <c:pt idx="14">
                  <c:v>157.58424200370686</c:v>
                </c:pt>
              </c:numCache>
            </c:numRef>
          </c:xVal>
          <c:yVal>
            <c:numRef>
              <c:f>'h=7m'!$O$40:$O$54</c:f>
              <c:numCache>
                <c:formatCode>0.00</c:formatCode>
                <c:ptCount val="15"/>
                <c:pt idx="0">
                  <c:v>-1.0793961379973895</c:v>
                </c:pt>
                <c:pt idx="1">
                  <c:v>-0.9659030369982583</c:v>
                </c:pt>
                <c:pt idx="2">
                  <c:v>-0.78897570451683141</c:v>
                </c:pt>
                <c:pt idx="3">
                  <c:v>-0.61728617397649832</c:v>
                </c:pt>
                <c:pt idx="4">
                  <c:v>-0.47901280209793534</c:v>
                </c:pt>
                <c:pt idx="5">
                  <c:v>-0.37405213562510231</c:v>
                </c:pt>
                <c:pt idx="6">
                  <c:v>-0.28979355034498161</c:v>
                </c:pt>
                <c:pt idx="7">
                  <c:v>-0.26462821502386463</c:v>
                </c:pt>
                <c:pt idx="8">
                  <c:v>-0.22114404669573448</c:v>
                </c:pt>
                <c:pt idx="9">
                  <c:v>-0.23244630449608084</c:v>
                </c:pt>
                <c:pt idx="10">
                  <c:v>-0.61777389341507749</c:v>
                </c:pt>
                <c:pt idx="11">
                  <c:v>-1.0656720762759571</c:v>
                </c:pt>
                <c:pt idx="12">
                  <c:v>-1.8742299617771754</c:v>
                </c:pt>
                <c:pt idx="13">
                  <c:v>-3.1940274305450149</c:v>
                </c:pt>
                <c:pt idx="14">
                  <c:v>-5.6910028636226704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15A7-47B7-93F4-9BEAE32A1B1E}"/>
            </c:ext>
          </c:extLst>
        </c:ser>
        <c:ser>
          <c:idx val="19"/>
          <c:order val="17"/>
          <c:tx>
            <c:v>h=8km m. mocy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'h=8km'!$H$40:$H$54</c:f>
              <c:numCache>
                <c:formatCode>0.00</c:formatCode>
                <c:ptCount val="15"/>
                <c:pt idx="0">
                  <c:v>56.401486852033145</c:v>
                </c:pt>
                <c:pt idx="1">
                  <c:v>57.45082408359314</c:v>
                </c:pt>
                <c:pt idx="2">
                  <c:v>59.311050119912771</c:v>
                </c:pt>
                <c:pt idx="3">
                  <c:v>61.320010717594307</c:v>
                </c:pt>
                <c:pt idx="4">
                  <c:v>63.847044659604215</c:v>
                </c:pt>
                <c:pt idx="5">
                  <c:v>66.345536440469061</c:v>
                </c:pt>
                <c:pt idx="6">
                  <c:v>69.29030570699085</c:v>
                </c:pt>
                <c:pt idx="7">
                  <c:v>73.151370424695756</c:v>
                </c:pt>
                <c:pt idx="8">
                  <c:v>77.290210942681369</c:v>
                </c:pt>
                <c:pt idx="9">
                  <c:v>82.008178565960719</c:v>
                </c:pt>
                <c:pt idx="10">
                  <c:v>95.461492914500454</c:v>
                </c:pt>
                <c:pt idx="11">
                  <c:v>104.92377358645402</c:v>
                </c:pt>
                <c:pt idx="12">
                  <c:v>118.22175451387464</c:v>
                </c:pt>
                <c:pt idx="13">
                  <c:v>137.0660237364433</c:v>
                </c:pt>
                <c:pt idx="14">
                  <c:v>166.96593854825457</c:v>
                </c:pt>
              </c:numCache>
            </c:numRef>
          </c:xVal>
          <c:yVal>
            <c:numRef>
              <c:f>'h=8km'!$O$40:$O$54</c:f>
              <c:numCache>
                <c:formatCode>0.00</c:formatCode>
                <c:ptCount val="15"/>
                <c:pt idx="0">
                  <c:v>-1.888307435274251</c:v>
                </c:pt>
                <c:pt idx="1">
                  <c:v>-1.7700236352782011</c:v>
                </c:pt>
                <c:pt idx="2">
                  <c:v>-1.5846463276913867</c:v>
                </c:pt>
                <c:pt idx="3">
                  <c:v>-1.4038843648990815</c:v>
                </c:pt>
                <c:pt idx="4">
                  <c:v>-1.2542826122262001</c:v>
                </c:pt>
                <c:pt idx="5">
                  <c:v>-1.1381945747072255</c:v>
                </c:pt>
                <c:pt idx="6">
                  <c:v>-1.0409103135539286</c:v>
                </c:pt>
                <c:pt idx="7">
                  <c:v>-0.99881063308684281</c:v>
                </c:pt>
                <c:pt idx="8">
                  <c:v>-0.93733551855323627</c:v>
                </c:pt>
                <c:pt idx="9">
                  <c:v>-0.92834375870759211</c:v>
                </c:pt>
                <c:pt idx="10">
                  <c:v>-1.2570607375169172</c:v>
                </c:pt>
                <c:pt idx="11">
                  <c:v>-1.6662615833778518</c:v>
                </c:pt>
                <c:pt idx="12">
                  <c:v>-2.4220226285382171</c:v>
                </c:pt>
                <c:pt idx="13">
                  <c:v>-3.6701549248192218</c:v>
                </c:pt>
                <c:pt idx="14">
                  <c:v>-6.060952531863947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15A7-47B7-93F4-9BEAE32A1B1E}"/>
            </c:ext>
          </c:extLst>
        </c:ser>
        <c:ser>
          <c:idx val="20"/>
          <c:order val="18"/>
          <c:tx>
            <c:v>h=0km, m. ciągu, zmienna masa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masa'!$K$4:$K$18</c:f>
              <c:numCache>
                <c:formatCode>0.0</c:formatCode>
                <c:ptCount val="15"/>
                <c:pt idx="0">
                  <c:v>36.916857200854587</c:v>
                </c:pt>
                <c:pt idx="1">
                  <c:v>38.783391060051393</c:v>
                </c:pt>
                <c:pt idx="2">
                  <c:v>44.261591747739743</c:v>
                </c:pt>
                <c:pt idx="3">
                  <c:v>49.7397924354281</c:v>
                </c:pt>
                <c:pt idx="4">
                  <c:v>55.217993123116457</c:v>
                </c:pt>
                <c:pt idx="5">
                  <c:v>60.696193810804814</c:v>
                </c:pt>
                <c:pt idx="6">
                  <c:v>66.174394498493172</c:v>
                </c:pt>
                <c:pt idx="7">
                  <c:v>71.652595186181514</c:v>
                </c:pt>
                <c:pt idx="8">
                  <c:v>77.130795873869886</c:v>
                </c:pt>
                <c:pt idx="9">
                  <c:v>82.608996561558229</c:v>
                </c:pt>
                <c:pt idx="10">
                  <c:v>88.0871972492466</c:v>
                </c:pt>
                <c:pt idx="11">
                  <c:v>93.565397936934943</c:v>
                </c:pt>
                <c:pt idx="12">
                  <c:v>99.043598624623286</c:v>
                </c:pt>
                <c:pt idx="13">
                  <c:v>104.52179931231166</c:v>
                </c:pt>
                <c:pt idx="14">
                  <c:v>110</c:v>
                </c:pt>
              </c:numCache>
            </c:numRef>
          </c:xVal>
          <c:yVal>
            <c:numRef>
              <c:f>'Meotda CIągu, zmienna masa'!$Q$4:$Q$18</c:f>
              <c:numCache>
                <c:formatCode>0.00</c:formatCode>
                <c:ptCount val="15"/>
                <c:pt idx="0">
                  <c:v>7.9001919730721797</c:v>
                </c:pt>
                <c:pt idx="1">
                  <c:v>8.124071665626035</c:v>
                </c:pt>
                <c:pt idx="2">
                  <c:v>8.4383120223231316</c:v>
                </c:pt>
                <c:pt idx="3">
                  <c:v>8.3940695825970142</c:v>
                </c:pt>
                <c:pt idx="4">
                  <c:v>8.1110661674836688</c:v>
                </c:pt>
                <c:pt idx="5">
                  <c:v>7.6575366532568898</c:v>
                </c:pt>
                <c:pt idx="6">
                  <c:v>7.0741737692794322</c:v>
                </c:pt>
                <c:pt idx="7">
                  <c:v>6.3860485443153578</c:v>
                </c:pt>
                <c:pt idx="8">
                  <c:v>5.6089052849865295</c:v>
                </c:pt>
                <c:pt idx="9">
                  <c:v>4.7526560985078401</c:v>
                </c:pt>
                <c:pt idx="10">
                  <c:v>3.8234034280757307</c:v>
                </c:pt>
                <c:pt idx="11">
                  <c:v>2.8246509185099251</c:v>
                </c:pt>
                <c:pt idx="12">
                  <c:v>1.7580470093364471</c:v>
                </c:pt>
                <c:pt idx="13">
                  <c:v>0.62384847372491603</c:v>
                </c:pt>
                <c:pt idx="14">
                  <c:v>-0.57879070569382662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15A7-47B7-93F4-9BEAE32A1B1E}"/>
            </c:ext>
          </c:extLst>
        </c:ser>
        <c:ser>
          <c:idx val="22"/>
          <c:order val="19"/>
          <c:tx>
            <c:v>h=1km, m. ciągu, zmienna masa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masa'!$K$22:$K$36</c:f>
              <c:numCache>
                <c:formatCode>0.0</c:formatCode>
                <c:ptCount val="15"/>
                <c:pt idx="0">
                  <c:v>38.731648677140406</c:v>
                </c:pt>
                <c:pt idx="1">
                  <c:v>40.323093421289883</c:v>
                </c:pt>
                <c:pt idx="2">
                  <c:v>45.682855465806043</c:v>
                </c:pt>
                <c:pt idx="3">
                  <c:v>51.042617510322209</c:v>
                </c:pt>
                <c:pt idx="4">
                  <c:v>56.402379554838376</c:v>
                </c:pt>
                <c:pt idx="5">
                  <c:v>61.762141599354536</c:v>
                </c:pt>
                <c:pt idx="6">
                  <c:v>67.121903643870695</c:v>
                </c:pt>
                <c:pt idx="7">
                  <c:v>72.481665688386869</c:v>
                </c:pt>
                <c:pt idx="8">
                  <c:v>77.841427732903028</c:v>
                </c:pt>
                <c:pt idx="9">
                  <c:v>83.201189777419188</c:v>
                </c:pt>
                <c:pt idx="10">
                  <c:v>88.560951821935362</c:v>
                </c:pt>
                <c:pt idx="11">
                  <c:v>93.920713866451521</c:v>
                </c:pt>
                <c:pt idx="12">
                  <c:v>99.280475910967681</c:v>
                </c:pt>
                <c:pt idx="13">
                  <c:v>104.64023795548385</c:v>
                </c:pt>
                <c:pt idx="14">
                  <c:v>110</c:v>
                </c:pt>
              </c:numCache>
            </c:numRef>
          </c:xVal>
          <c:yVal>
            <c:numRef>
              <c:f>'Meotda CIągu, zmienna masa'!$Q$22:$Q$36</c:f>
              <c:numCache>
                <c:formatCode>0.00</c:formatCode>
                <c:ptCount val="15"/>
                <c:pt idx="0">
                  <c:v>6.3322337548153014</c:v>
                </c:pt>
                <c:pt idx="1">
                  <c:v>6.5321219192341573</c:v>
                </c:pt>
                <c:pt idx="2">
                  <c:v>6.9038279575867598</c:v>
                </c:pt>
                <c:pt idx="3">
                  <c:v>6.9411445444130635</c:v>
                </c:pt>
                <c:pt idx="4">
                  <c:v>6.7517717344830643</c:v>
                </c:pt>
                <c:pt idx="5">
                  <c:v>6.3988510288320519</c:v>
                </c:pt>
                <c:pt idx="6">
                  <c:v>5.9209475419917705</c:v>
                </c:pt>
                <c:pt idx="7">
                  <c:v>5.3423394040896097</c:v>
                </c:pt>
                <c:pt idx="8">
                  <c:v>4.6786041697362482</c:v>
                </c:pt>
                <c:pt idx="9">
                  <c:v>3.9397931171746676</c:v>
                </c:pt>
                <c:pt idx="10">
                  <c:v>3.1323058990484491</c:v>
                </c:pt>
                <c:pt idx="11">
                  <c:v>2.2600336014563061</c:v>
                </c:pt>
                <c:pt idx="12">
                  <c:v>1.3250733794195786</c:v>
                </c:pt>
                <c:pt idx="13">
                  <c:v>0.3281828307252681</c:v>
                </c:pt>
                <c:pt idx="14">
                  <c:v>-0.7309294866167646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15A7-47B7-93F4-9BEAE32A1B1E}"/>
            </c:ext>
          </c:extLst>
        </c:ser>
        <c:ser>
          <c:idx val="24"/>
          <c:order val="20"/>
          <c:tx>
            <c:v>h=2km, m. ciągu, zmienna masa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masa'!$K$40:$K$54</c:f>
              <c:numCache>
                <c:formatCode>0.0</c:formatCode>
                <c:ptCount val="15"/>
                <c:pt idx="0">
                  <c:v>40.680124812202166</c:v>
                </c:pt>
                <c:pt idx="1">
                  <c:v>41.978167521605606</c:v>
                </c:pt>
                <c:pt idx="2">
                  <c:v>47.210616173789788</c:v>
                </c:pt>
                <c:pt idx="3">
                  <c:v>52.443064825973977</c:v>
                </c:pt>
                <c:pt idx="4">
                  <c:v>57.675513478158159</c:v>
                </c:pt>
                <c:pt idx="5">
                  <c:v>62.907962130342341</c:v>
                </c:pt>
                <c:pt idx="6">
                  <c:v>68.14041078252653</c:v>
                </c:pt>
                <c:pt idx="7">
                  <c:v>73.372859434710705</c:v>
                </c:pt>
                <c:pt idx="8">
                  <c:v>78.605308086894894</c:v>
                </c:pt>
                <c:pt idx="9">
                  <c:v>83.837756739079083</c:v>
                </c:pt>
                <c:pt idx="10">
                  <c:v>89.070205391263258</c:v>
                </c:pt>
                <c:pt idx="11">
                  <c:v>94.302654043447447</c:v>
                </c:pt>
                <c:pt idx="12">
                  <c:v>99.535102695631622</c:v>
                </c:pt>
                <c:pt idx="13">
                  <c:v>104.76755134781581</c:v>
                </c:pt>
                <c:pt idx="14">
                  <c:v>110</c:v>
                </c:pt>
              </c:numCache>
            </c:numRef>
          </c:xVal>
          <c:yVal>
            <c:numRef>
              <c:f>'Meotda CIągu, zmienna masa'!$Q$40:$Q$54</c:f>
              <c:numCache>
                <c:formatCode>0.00</c:formatCode>
                <c:ptCount val="15"/>
                <c:pt idx="0">
                  <c:v>4.9044248945935633</c:v>
                </c:pt>
                <c:pt idx="1">
                  <c:v>5.0729668132597485</c:v>
                </c:pt>
                <c:pt idx="2">
                  <c:v>5.4906504772605507</c:v>
                </c:pt>
                <c:pt idx="3">
                  <c:v>5.5987882532969619</c:v>
                </c:pt>
                <c:pt idx="4">
                  <c:v>5.4931330739930635</c:v>
                </c:pt>
                <c:pt idx="5">
                  <c:v>5.231447295648989</c:v>
                </c:pt>
                <c:pt idx="6">
                  <c:v>4.8498765732486238</c:v>
                </c:pt>
                <c:pt idx="7">
                  <c:v>4.3716760192670483</c:v>
                </c:pt>
                <c:pt idx="8">
                  <c:v>3.8120855645073433</c:v>
                </c:pt>
                <c:pt idx="9">
                  <c:v>3.1811679021313504</c:v>
                </c:pt>
                <c:pt idx="10">
                  <c:v>2.4855199126969105</c:v>
                </c:pt>
                <c:pt idx="11">
                  <c:v>1.7293359462594429</c:v>
                </c:pt>
                <c:pt idx="12">
                  <c:v>0.91508451199884777</c:v>
                </c:pt>
                <c:pt idx="13">
                  <c:v>4.3946548499698361E-2</c:v>
                </c:pt>
                <c:pt idx="14">
                  <c:v>-0.88389768863700702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15A7-47B7-93F4-9BEAE32A1B1E}"/>
            </c:ext>
          </c:extLst>
        </c:ser>
        <c:ser>
          <c:idx val="26"/>
          <c:order val="21"/>
          <c:tx>
            <c:v>h=3km, m. ciągu, zmienna masa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masa'!$K$58:$K$72</c:f>
              <c:numCache>
                <c:formatCode>0.0</c:formatCode>
                <c:ptCount val="15"/>
                <c:pt idx="0">
                  <c:v>42.775014365807877</c:v>
                </c:pt>
                <c:pt idx="1">
                  <c:v>45</c:v>
                </c:pt>
                <c:pt idx="2">
                  <c:v>48.141377091306531</c:v>
                </c:pt>
                <c:pt idx="3">
                  <c:v>52.879595667030983</c:v>
                </c:pt>
                <c:pt idx="4">
                  <c:v>57.617814242755443</c:v>
                </c:pt>
                <c:pt idx="5">
                  <c:v>62.356032818479896</c:v>
                </c:pt>
                <c:pt idx="6">
                  <c:v>67.094251394204349</c:v>
                </c:pt>
                <c:pt idx="7">
                  <c:v>71.832469969928809</c:v>
                </c:pt>
                <c:pt idx="8">
                  <c:v>76.570688545653269</c:v>
                </c:pt>
                <c:pt idx="9">
                  <c:v>81.308907121377715</c:v>
                </c:pt>
                <c:pt idx="10">
                  <c:v>86.047125697102175</c:v>
                </c:pt>
                <c:pt idx="11">
                  <c:v>90.78534427282662</c:v>
                </c:pt>
                <c:pt idx="12">
                  <c:v>95.52356284855108</c:v>
                </c:pt>
                <c:pt idx="13">
                  <c:v>100.26178142427554</c:v>
                </c:pt>
                <c:pt idx="14">
                  <c:v>105</c:v>
                </c:pt>
              </c:numCache>
            </c:numRef>
          </c:xVal>
          <c:yVal>
            <c:numRef>
              <c:f>'Meotda CIągu, zmienna masa'!$Q$58:$Q$72</c:f>
              <c:numCache>
                <c:formatCode>0.00</c:formatCode>
                <c:ptCount val="15"/>
                <c:pt idx="0">
                  <c:v>3.5925444560525484</c:v>
                </c:pt>
                <c:pt idx="1">
                  <c:v>3.8722212852154132</c:v>
                </c:pt>
                <c:pt idx="2">
                  <c:v>4.1463735406461746</c:v>
                </c:pt>
                <c:pt idx="3">
                  <c:v>4.3524834452468824</c:v>
                </c:pt>
                <c:pt idx="4">
                  <c:v>4.3717556150608026</c:v>
                </c:pt>
                <c:pt idx="5">
                  <c:v>4.2512038195484436</c:v>
                </c:pt>
                <c:pt idx="6">
                  <c:v>4.0216615694060263</c:v>
                </c:pt>
                <c:pt idx="7">
                  <c:v>3.7038168610240225</c:v>
                </c:pt>
                <c:pt idx="8">
                  <c:v>3.3117785784640206</c:v>
                </c:pt>
                <c:pt idx="9">
                  <c:v>2.8552551693875778</c:v>
                </c:pt>
                <c:pt idx="10">
                  <c:v>2.3409246373510215</c:v>
                </c:pt>
                <c:pt idx="11">
                  <c:v>1.7733180519743363</c:v>
                </c:pt>
                <c:pt idx="12">
                  <c:v>1.1554015629560268</c:v>
                </c:pt>
                <c:pt idx="13">
                  <c:v>0.4889663318053396</c:v>
                </c:pt>
                <c:pt idx="14">
                  <c:v>-0.22510697741291616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15A7-47B7-93F4-9BEAE32A1B1E}"/>
            </c:ext>
          </c:extLst>
        </c:ser>
        <c:ser>
          <c:idx val="28"/>
          <c:order val="22"/>
          <c:tx>
            <c:v>h=4km, m. ciągu, zmienna masa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masa'!$K$76:$K$90</c:f>
              <c:numCache>
                <c:formatCode>0.0</c:formatCode>
                <c:ptCount val="15"/>
                <c:pt idx="0">
                  <c:v>45.03066252474688</c:v>
                </c:pt>
                <c:pt idx="1">
                  <c:v>47</c:v>
                </c:pt>
                <c:pt idx="2">
                  <c:v>49.915890434164325</c:v>
                </c:pt>
                <c:pt idx="3">
                  <c:v>54.506232897983963</c:v>
                </c:pt>
                <c:pt idx="4">
                  <c:v>59.096575361803602</c:v>
                </c:pt>
                <c:pt idx="5">
                  <c:v>63.68691782562324</c:v>
                </c:pt>
                <c:pt idx="6">
                  <c:v>68.277260289442893</c:v>
                </c:pt>
                <c:pt idx="7">
                  <c:v>72.867602753262531</c:v>
                </c:pt>
                <c:pt idx="8">
                  <c:v>77.45794521708217</c:v>
                </c:pt>
                <c:pt idx="9">
                  <c:v>82.048287680901808</c:v>
                </c:pt>
                <c:pt idx="10">
                  <c:v>86.638630144721446</c:v>
                </c:pt>
                <c:pt idx="11">
                  <c:v>91.228972608541085</c:v>
                </c:pt>
                <c:pt idx="12">
                  <c:v>95.819315072360723</c:v>
                </c:pt>
                <c:pt idx="13">
                  <c:v>100.40965753618036</c:v>
                </c:pt>
                <c:pt idx="14">
                  <c:v>105</c:v>
                </c:pt>
              </c:numCache>
            </c:numRef>
          </c:xVal>
          <c:yVal>
            <c:numRef>
              <c:f>'Meotda CIągu, zmienna masa'!$Q$76:$Q$90</c:f>
              <c:numCache>
                <c:formatCode>0.00</c:formatCode>
                <c:ptCount val="15"/>
                <c:pt idx="0">
                  <c:v>2.4186596873372022</c:v>
                </c:pt>
                <c:pt idx="1">
                  <c:v>2.6676319000286437</c:v>
                </c:pt>
                <c:pt idx="2">
                  <c:v>2.9406001194085674</c:v>
                </c:pt>
                <c:pt idx="3">
                  <c:v>3.1863057349748707</c:v>
                </c:pt>
                <c:pt idx="4">
                  <c:v>3.2601194148403954</c:v>
                </c:pt>
                <c:pt idx="5">
                  <c:v>3.2035811146274873</c:v>
                </c:pt>
                <c:pt idx="6">
                  <c:v>3.0446306146190061</c:v>
                </c:pt>
                <c:pt idx="7">
                  <c:v>2.8024457788817836</c:v>
                </c:pt>
                <c:pt idx="8">
                  <c:v>2.4903909662119577</c:v>
                </c:pt>
                <c:pt idx="9">
                  <c:v>2.1178658243998085</c:v>
                </c:pt>
                <c:pt idx="10">
                  <c:v>1.6914952275779931</c:v>
                </c:pt>
                <c:pt idx="11">
                  <c:v>1.2159126230329427</c:v>
                </c:pt>
                <c:pt idx="12">
                  <c:v>0.69428591570544751</c:v>
                </c:pt>
                <c:pt idx="13">
                  <c:v>0.12867622192481343</c:v>
                </c:pt>
                <c:pt idx="14">
                  <c:v>-0.47971401544692926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15A7-47B7-93F4-9BEAE32A1B1E}"/>
            </c:ext>
          </c:extLst>
        </c:ser>
        <c:ser>
          <c:idx val="21"/>
          <c:order val="23"/>
          <c:tx>
            <c:v>h=5km, m. ciągu, zmienna masa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masa'!$K$94:$K$108</c:f>
              <c:numCache>
                <c:formatCode>0.0</c:formatCode>
                <c:ptCount val="15"/>
                <c:pt idx="0">
                  <c:v>47.46137408372384</c:v>
                </c:pt>
                <c:pt idx="1">
                  <c:v>50</c:v>
                </c:pt>
                <c:pt idx="2">
                  <c:v>51.119377513104538</c:v>
                </c:pt>
                <c:pt idx="3">
                  <c:v>55.192762720345826</c:v>
                </c:pt>
                <c:pt idx="4">
                  <c:v>59.266147927587113</c:v>
                </c:pt>
                <c:pt idx="5">
                  <c:v>63.3395331348284</c:v>
                </c:pt>
                <c:pt idx="6">
                  <c:v>67.412918342069702</c:v>
                </c:pt>
                <c:pt idx="7">
                  <c:v>71.486303549310975</c:v>
                </c:pt>
                <c:pt idx="8">
                  <c:v>75.559688756552276</c:v>
                </c:pt>
                <c:pt idx="9">
                  <c:v>79.633073963793549</c:v>
                </c:pt>
                <c:pt idx="10">
                  <c:v>83.706459171034851</c:v>
                </c:pt>
                <c:pt idx="11">
                  <c:v>87.779844378276124</c:v>
                </c:pt>
                <c:pt idx="12">
                  <c:v>91.853229585517425</c:v>
                </c:pt>
                <c:pt idx="13">
                  <c:v>95.926614792758713</c:v>
                </c:pt>
                <c:pt idx="14">
                  <c:v>100</c:v>
                </c:pt>
              </c:numCache>
            </c:numRef>
          </c:xVal>
          <c:yVal>
            <c:numRef>
              <c:f>'Meotda CIągu, zmienna masa'!$Q$94:$Q$108</c:f>
              <c:numCache>
                <c:formatCode>0.00</c:formatCode>
                <c:ptCount val="15"/>
                <c:pt idx="0">
                  <c:v>1.3176961815913164</c:v>
                </c:pt>
                <c:pt idx="1">
                  <c:v>1.6359441614944752</c:v>
                </c:pt>
                <c:pt idx="2">
                  <c:v>1.7503206864925775</c:v>
                </c:pt>
                <c:pt idx="3">
                  <c:v>2.0546706363124394</c:v>
                </c:pt>
                <c:pt idx="4">
                  <c:v>2.2153822582340186</c:v>
                </c:pt>
                <c:pt idx="5">
                  <c:v>2.2638426840913022</c:v>
                </c:pt>
                <c:pt idx="6">
                  <c:v>2.2222018770218264</c:v>
                </c:pt>
                <c:pt idx="7">
                  <c:v>2.1063338759620858</c:v>
                </c:pt>
                <c:pt idx="8">
                  <c:v>1.9277520575885403</c:v>
                </c:pt>
                <c:pt idx="9">
                  <c:v>1.6948751236099404</c:v>
                </c:pt>
                <c:pt idx="10">
                  <c:v>1.413880006478609</c:v>
                </c:pt>
                <c:pt idx="11">
                  <c:v>1.089287230969342</c:v>
                </c:pt>
                <c:pt idx="12">
                  <c:v>0.72436883942713215</c:v>
                </c:pt>
                <c:pt idx="13">
                  <c:v>0.32143652728194699</c:v>
                </c:pt>
                <c:pt idx="14">
                  <c:v>-0.11795259394649869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15A7-47B7-93F4-9BEAE32A1B1E}"/>
            </c:ext>
          </c:extLst>
        </c:ser>
        <c:ser>
          <c:idx val="23"/>
          <c:order val="24"/>
          <c:tx>
            <c:v>h=6km, m. ciągu, zmienna masa</c:v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masa'!$K$112:$K$126</c:f>
              <c:numCache>
                <c:formatCode>0.0</c:formatCode>
                <c:ptCount val="15"/>
                <c:pt idx="0">
                  <c:v>50.08201896169011</c:v>
                </c:pt>
                <c:pt idx="1">
                  <c:v>51.5</c:v>
                </c:pt>
                <c:pt idx="2">
                  <c:v>53.196076101145614</c:v>
                </c:pt>
                <c:pt idx="3">
                  <c:v>57.096403092716812</c:v>
                </c:pt>
                <c:pt idx="4">
                  <c:v>60.996730084288011</c:v>
                </c:pt>
                <c:pt idx="5">
                  <c:v>64.897057075859209</c:v>
                </c:pt>
                <c:pt idx="6">
                  <c:v>68.797384067430414</c:v>
                </c:pt>
                <c:pt idx="7">
                  <c:v>72.697711059001605</c:v>
                </c:pt>
                <c:pt idx="8">
                  <c:v>76.598038050572811</c:v>
                </c:pt>
                <c:pt idx="9">
                  <c:v>80.498365042144002</c:v>
                </c:pt>
                <c:pt idx="10">
                  <c:v>84.398692033715207</c:v>
                </c:pt>
                <c:pt idx="11">
                  <c:v>88.299019025286412</c:v>
                </c:pt>
                <c:pt idx="12">
                  <c:v>92.199346016857604</c:v>
                </c:pt>
                <c:pt idx="13">
                  <c:v>96.099673008428795</c:v>
                </c:pt>
                <c:pt idx="14">
                  <c:v>100</c:v>
                </c:pt>
              </c:numCache>
            </c:numRef>
          </c:xVal>
          <c:yVal>
            <c:numRef>
              <c:f>'Meotda CIągu, zmienna masa'!$Q$112:$Q$126</c:f>
              <c:numCache>
                <c:formatCode>0.00</c:formatCode>
                <c:ptCount val="15"/>
                <c:pt idx="0">
                  <c:v>0.32313743203632073</c:v>
                </c:pt>
                <c:pt idx="1">
                  <c:v>0.50883697655870663</c:v>
                </c:pt>
                <c:pt idx="2">
                  <c:v>0.69904668091944699</c:v>
                </c:pt>
                <c:pt idx="3">
                  <c:v>1.023779071071087</c:v>
                </c:pt>
                <c:pt idx="4">
                  <c:v>1.2199897416497345</c:v>
                </c:pt>
                <c:pt idx="5">
                  <c:v>1.3141343935442586</c:v>
                </c:pt>
                <c:pt idx="6">
                  <c:v>1.3253684835287871</c:v>
                </c:pt>
                <c:pt idx="7">
                  <c:v>1.2677439142293867</c:v>
                </c:pt>
                <c:pt idx="8">
                  <c:v>1.1516767289097019</c:v>
                </c:pt>
                <c:pt idx="9">
                  <c:v>0.98494509580318712</c:v>
                </c:pt>
                <c:pt idx="10">
                  <c:v>0.77337931591303</c:v>
                </c:pt>
                <c:pt idx="11">
                  <c:v>0.52134626289628516</c:v>
                </c:pt>
                <c:pt idx="12">
                  <c:v>0.2320941685090222</c:v>
                </c:pt>
                <c:pt idx="13">
                  <c:v>-9.1999061332752111E-2</c:v>
                </c:pt>
                <c:pt idx="14">
                  <c:v>-0.44924526528865066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15A7-47B7-93F4-9BEAE32A1B1E}"/>
            </c:ext>
          </c:extLst>
        </c:ser>
        <c:ser>
          <c:idx val="25"/>
          <c:order val="25"/>
          <c:tx>
            <c:v>h=7km, m. ciągu, zmienna masa</c:v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masa'!$K$130:$K$144</c:f>
              <c:numCache>
                <c:formatCode>0.0</c:formatCode>
                <c:ptCount val="15"/>
                <c:pt idx="0">
                  <c:v>52.897697598007575</c:v>
                </c:pt>
                <c:pt idx="1">
                  <c:v>54</c:v>
                </c:pt>
                <c:pt idx="2">
                  <c:v>54.735267115473484</c:v>
                </c:pt>
                <c:pt idx="3">
                  <c:v>58.090661522517358</c:v>
                </c:pt>
                <c:pt idx="4">
                  <c:v>61.446055929561233</c:v>
                </c:pt>
                <c:pt idx="5">
                  <c:v>64.801450336605114</c:v>
                </c:pt>
                <c:pt idx="6">
                  <c:v>68.156844743648989</c:v>
                </c:pt>
                <c:pt idx="7">
                  <c:v>71.512239150692864</c:v>
                </c:pt>
                <c:pt idx="8">
                  <c:v>74.867633557736738</c:v>
                </c:pt>
                <c:pt idx="9">
                  <c:v>78.223027964780613</c:v>
                </c:pt>
                <c:pt idx="10">
                  <c:v>81.578422371824502</c:v>
                </c:pt>
                <c:pt idx="11">
                  <c:v>84.933816778868362</c:v>
                </c:pt>
                <c:pt idx="12">
                  <c:v>88.289211185912251</c:v>
                </c:pt>
                <c:pt idx="13">
                  <c:v>91.644605592956125</c:v>
                </c:pt>
                <c:pt idx="14">
                  <c:v>95</c:v>
                </c:pt>
              </c:numCache>
            </c:numRef>
          </c:xVal>
          <c:yVal>
            <c:numRef>
              <c:f>'Meotda CIągu, zmienna masa'!$Q$130:$Q$144</c:f>
              <c:numCache>
                <c:formatCode>0.00</c:formatCode>
                <c:ptCount val="15"/>
                <c:pt idx="0">
                  <c:v>-0.52915492937021835</c:v>
                </c:pt>
                <c:pt idx="1">
                  <c:v>-0.45504097226146067</c:v>
                </c:pt>
                <c:pt idx="2">
                  <c:v>-0.36329924441792943</c:v>
                </c:pt>
                <c:pt idx="3">
                  <c:v>-1.6056390002353801E-2</c:v>
                </c:pt>
                <c:pt idx="4">
                  <c:v>0.23064811041878391</c:v>
                </c:pt>
                <c:pt idx="5">
                  <c:v>0.39479511653858812</c:v>
                </c:pt>
                <c:pt idx="6">
                  <c:v>0.49005681819566221</c:v>
                </c:pt>
                <c:pt idx="7">
                  <c:v>0.52692125681476742</c:v>
                </c:pt>
                <c:pt idx="8">
                  <c:v>0.51349219841435534</c:v>
                </c:pt>
                <c:pt idx="9">
                  <c:v>0.45606466566822762</c:v>
                </c:pt>
                <c:pt idx="10">
                  <c:v>0.35954374397476613</c:v>
                </c:pt>
                <c:pt idx="11">
                  <c:v>0.22775255352363771</c:v>
                </c:pt>
                <c:pt idx="12">
                  <c:v>6.3660926843689361E-2</c:v>
                </c:pt>
                <c:pt idx="13">
                  <c:v>-0.13044333438616296</c:v>
                </c:pt>
                <c:pt idx="14">
                  <c:v>-0.3528252816998953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15A7-47B7-93F4-9BEAE32A1B1E}"/>
            </c:ext>
          </c:extLst>
        </c:ser>
        <c:ser>
          <c:idx val="27"/>
          <c:order val="26"/>
          <c:tx>
            <c:v>h=8km, m. ciągu, zmienna masa</c:v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masa'!$K$148:$K$162</c:f>
              <c:numCache>
                <c:formatCode>0.0</c:formatCode>
                <c:ptCount val="15"/>
                <c:pt idx="0">
                  <c:v>55.8578463757027</c:v>
                </c:pt>
                <c:pt idx="1">
                  <c:v>56.5</c:v>
                </c:pt>
                <c:pt idx="2">
                  <c:v>57.185935005349812</c:v>
                </c:pt>
                <c:pt idx="3">
                  <c:v>60.337107088237325</c:v>
                </c:pt>
                <c:pt idx="4">
                  <c:v>63.488279171124844</c:v>
                </c:pt>
                <c:pt idx="5">
                  <c:v>66.639451254012357</c:v>
                </c:pt>
                <c:pt idx="6">
                  <c:v>69.79062333689987</c:v>
                </c:pt>
                <c:pt idx="7">
                  <c:v>72.941795419787383</c:v>
                </c:pt>
                <c:pt idx="8">
                  <c:v>76.092967502674909</c:v>
                </c:pt>
                <c:pt idx="9">
                  <c:v>79.244139585562422</c:v>
                </c:pt>
                <c:pt idx="10">
                  <c:v>82.395311668449935</c:v>
                </c:pt>
                <c:pt idx="11">
                  <c:v>85.546483751337462</c:v>
                </c:pt>
                <c:pt idx="12">
                  <c:v>88.697655834224975</c:v>
                </c:pt>
                <c:pt idx="13">
                  <c:v>91.848827917112487</c:v>
                </c:pt>
                <c:pt idx="14">
                  <c:v>95</c:v>
                </c:pt>
              </c:numCache>
            </c:numRef>
          </c:xVal>
          <c:yVal>
            <c:numRef>
              <c:f>'Meotda CIągu, zmienna masa'!$Q$148:$Q$162</c:f>
              <c:numCache>
                <c:formatCode>0.00</c:formatCode>
                <c:ptCount val="15"/>
                <c:pt idx="0">
                  <c:v>-1.409982277009489</c:v>
                </c:pt>
                <c:pt idx="1">
                  <c:v>-1.3230976054030519</c:v>
                </c:pt>
                <c:pt idx="2">
                  <c:v>-1.2352368277133605</c:v>
                </c:pt>
                <c:pt idx="3">
                  <c:v>-0.89148888022449435</c:v>
                </c:pt>
                <c:pt idx="4">
                  <c:v>-0.63338449016353138</c:v>
                </c:pt>
                <c:pt idx="5">
                  <c:v>-0.4468651048507723</c:v>
                </c:pt>
                <c:pt idx="6">
                  <c:v>-0.32095834659530326</c:v>
                </c:pt>
                <c:pt idx="7">
                  <c:v>-0.2470405163300019</c:v>
                </c:pt>
                <c:pt idx="8">
                  <c:v>-0.2182941152209191</c:v>
                </c:pt>
                <c:pt idx="9">
                  <c:v>-0.22930539329220415</c:v>
                </c:pt>
                <c:pt idx="10">
                  <c:v>-0.27576309665282422</c:v>
                </c:pt>
                <c:pt idx="11">
                  <c:v>-0.35423117164134077</c:v>
                </c:pt>
                <c:pt idx="12">
                  <c:v>-0.46197584892996435</c:v>
                </c:pt>
                <c:pt idx="13">
                  <c:v>-0.59683321857484206</c:v>
                </c:pt>
                <c:pt idx="14">
                  <c:v>-0.75710718362212781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15A7-47B7-93F4-9BEAE32A1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780144"/>
        <c:axId val="428777192"/>
      </c:scatterChart>
      <c:valAx>
        <c:axId val="428780144"/>
        <c:scaling>
          <c:orientation val="minMax"/>
          <c:max val="110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28777192"/>
        <c:crosses val="autoZero"/>
        <c:crossBetween val="midCat"/>
        <c:majorUnit val="5"/>
      </c:valAx>
      <c:valAx>
        <c:axId val="428777192"/>
        <c:scaling>
          <c:orientation val="minMax"/>
          <c:max val="9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γ</a:t>
                </a: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[°]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28780144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ciągu mmax h(w)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3379753454341906"/>
                  <c:y val="-0.672474038661994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(Podsumowanie!$R$36,Podsumowanie!$R$42)</c:f>
              <c:numCache>
                <c:formatCode>0.00</c:formatCode>
                <c:ptCount val="2"/>
                <c:pt idx="0">
                  <c:v>7.3658023049645296</c:v>
                </c:pt>
                <c:pt idx="1">
                  <c:v>0.95234929078014297</c:v>
                </c:pt>
              </c:numCache>
            </c:numRef>
          </c:xVal>
          <c:yVal>
            <c:numRef>
              <c:f>(Podsumowanie!$M$36,Podsumowanie!$M$42)</c:f>
              <c:numCache>
                <c:formatCode>General</c:formatCode>
                <c:ptCount val="2"/>
                <c:pt idx="0">
                  <c:v>0</c:v>
                </c:pt>
                <c:pt idx="1">
                  <c:v>6000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03-4BAE-BDF1-3EA26DE0434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Podsumowanie!$AD$45:$AD$46</c:f>
              <c:numCache>
                <c:formatCode>General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xVal>
          <c:yVal>
            <c:numRef>
              <c:f>Podsumowanie!$AC$45:$AC$46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703-4BAE-BDF1-3EA26DE04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339439"/>
        <c:axId val="1373292671"/>
      </c:scatterChart>
      <c:valAx>
        <c:axId val="1494339439"/>
        <c:scaling>
          <c:orientation val="minMax"/>
          <c:max val="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73292671"/>
        <c:crosses val="autoZero"/>
        <c:crossBetween val="midCat"/>
      </c:valAx>
      <c:valAx>
        <c:axId val="1373292671"/>
        <c:scaling>
          <c:orientation val="minMax"/>
          <c:max val="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h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94339439"/>
        <c:crosses val="autoZero"/>
        <c:crossBetween val="midCat"/>
        <c:majorUnit val="1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mocy mmax h(w)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6.378171478565179E-3"/>
                  <c:y val="-0.713810513269174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(Podsumowanie!$R$47,Podsumowanie!$R$53)</c:f>
              <c:numCache>
                <c:formatCode>0.00</c:formatCode>
                <c:ptCount val="2"/>
                <c:pt idx="0">
                  <c:v>7.3103945035460898</c:v>
                </c:pt>
                <c:pt idx="1">
                  <c:v>0.73071808510638303</c:v>
                </c:pt>
              </c:numCache>
            </c:numRef>
          </c:xVal>
          <c:yVal>
            <c:numRef>
              <c:f>(Podsumowanie!$M$47,Podsumowanie!$M$53)</c:f>
              <c:numCache>
                <c:formatCode>General</c:formatCode>
                <c:ptCount val="2"/>
                <c:pt idx="0">
                  <c:v>0</c:v>
                </c:pt>
                <c:pt idx="1">
                  <c:v>6000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2F9-468C-BCAC-3906E0B0782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Podsumowanie!$AD$45:$AD$46</c:f>
              <c:numCache>
                <c:formatCode>General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xVal>
          <c:yVal>
            <c:numRef>
              <c:f>Podsumowanie!$AC$45:$AC$46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2F9-468C-BCAC-3906E0B07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339439"/>
        <c:axId val="1373292671"/>
      </c:scatterChart>
      <c:valAx>
        <c:axId val="1494339439"/>
        <c:scaling>
          <c:orientation val="minMax"/>
          <c:max val="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73292671"/>
        <c:crosses val="autoZero"/>
        <c:crossBetween val="midCat"/>
      </c:valAx>
      <c:valAx>
        <c:axId val="1373292671"/>
        <c:scaling>
          <c:orientation val="minMax"/>
          <c:max val="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h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94339439"/>
        <c:crosses val="autoZero"/>
        <c:crossBetween val="midCat"/>
        <c:majorUnit val="1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 ofertowy samolotu Piper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5.0553237624689336E-2"/>
          <c:y val="6.6571788151444766E-2"/>
          <c:w val="0.92998460526628424"/>
          <c:h val="0.89368805971469056"/>
        </c:manualLayout>
      </c:layout>
      <c:scatterChart>
        <c:scatterStyle val="smoothMarker"/>
        <c:varyColors val="0"/>
        <c:ser>
          <c:idx val="0"/>
          <c:order val="0"/>
          <c:tx>
            <c:v>Vmin1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Podsumowanie!$O$3:$O$11</c:f>
              <c:numCache>
                <c:formatCode>0.00</c:formatCode>
                <c:ptCount val="9"/>
                <c:pt idx="0">
                  <c:v>132.91411935953411</c:v>
                </c:pt>
                <c:pt idx="1">
                  <c:v>139.46433770014522</c:v>
                </c:pt>
                <c:pt idx="2">
                  <c:v>146.74235807860236</c:v>
                </c:pt>
                <c:pt idx="3">
                  <c:v>154.26297913634136</c:v>
                </c:pt>
                <c:pt idx="4">
                  <c:v>162.26880155264411</c:v>
                </c:pt>
                <c:pt idx="5">
                  <c:v>171.00242600679252</c:v>
                </c:pt>
                <c:pt idx="6">
                  <c:v>180.22125181950503</c:v>
                </c:pt>
                <c:pt idx="7">
                  <c:v>210.06113537117881</c:v>
                </c:pt>
                <c:pt idx="8" formatCode="General">
                  <c:v>275</c:v>
                </c:pt>
              </c:numCache>
            </c:numRef>
          </c:xVal>
          <c:yVal>
            <c:numRef>
              <c:f>Podsumowanie!$M$3:$M$11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09-4736-9410-F594DAA22612}"/>
            </c:ext>
          </c:extLst>
        </c:ser>
        <c:ser>
          <c:idx val="13"/>
          <c:order val="1"/>
          <c:tx>
            <c:v>Vmin2</c:v>
          </c:tx>
          <c:spPr>
            <a:ln w="19050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Podsumowanie!$O$14:$O$22</c:f>
              <c:numCache>
                <c:formatCode>0.00</c:formatCode>
                <c:ptCount val="9"/>
                <c:pt idx="0">
                  <c:v>126.39803439803435</c:v>
                </c:pt>
                <c:pt idx="1">
                  <c:v>132.76658476658449</c:v>
                </c:pt>
                <c:pt idx="2">
                  <c:v>139.84275184275168</c:v>
                </c:pt>
                <c:pt idx="3">
                  <c:v>146.91891891891888</c:v>
                </c:pt>
                <c:pt idx="4">
                  <c:v>155.0565110565108</c:v>
                </c:pt>
                <c:pt idx="5">
                  <c:v>163.54791154791144</c:v>
                </c:pt>
                <c:pt idx="6">
                  <c:v>173.10073710073681</c:v>
                </c:pt>
                <c:pt idx="7">
                  <c:v>183.36117936117927</c:v>
                </c:pt>
                <c:pt idx="8" formatCode="General">
                  <c:v>245</c:v>
                </c:pt>
              </c:numCache>
            </c:numRef>
          </c:xVal>
          <c:yVal>
            <c:numRef>
              <c:f>Podsumowanie!$M$14:$M$22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109-4736-9410-F594DAA22612}"/>
            </c:ext>
          </c:extLst>
        </c:ser>
        <c:ser>
          <c:idx val="20"/>
          <c:order val="2"/>
          <c:tx>
            <c:v>Vmin3</c:v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Podsumowanie!$O$25:$O$33</c:f>
              <c:numCache>
                <c:formatCode>0.00</c:formatCode>
                <c:ptCount val="9"/>
                <c:pt idx="0">
                  <c:v>126.39803439803435</c:v>
                </c:pt>
                <c:pt idx="1">
                  <c:v>132.76658476658449</c:v>
                </c:pt>
                <c:pt idx="2">
                  <c:v>139.84275184275168</c:v>
                </c:pt>
                <c:pt idx="3">
                  <c:v>146.91891891891888</c:v>
                </c:pt>
                <c:pt idx="4">
                  <c:v>154.70270270270242</c:v>
                </c:pt>
                <c:pt idx="5">
                  <c:v>163.54791154791144</c:v>
                </c:pt>
                <c:pt idx="6">
                  <c:v>172.74692874692846</c:v>
                </c:pt>
                <c:pt idx="7">
                  <c:v>187.2530712530712</c:v>
                </c:pt>
                <c:pt idx="8" formatCode="General">
                  <c:v>250</c:v>
                </c:pt>
              </c:numCache>
            </c:numRef>
          </c:xVal>
          <c:yVal>
            <c:numRef>
              <c:f>Podsumowanie!$M$25:$M$33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7590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109-4736-9410-F594DAA22612}"/>
            </c:ext>
          </c:extLst>
        </c:ser>
        <c:ser>
          <c:idx val="1"/>
          <c:order val="3"/>
          <c:tx>
            <c:v>Vmax1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Podsumowanie!$Q$3:$Q$11</c:f>
              <c:numCache>
                <c:formatCode>0.00</c:formatCode>
                <c:ptCount val="9"/>
                <c:pt idx="0">
                  <c:v>386.18922852983883</c:v>
                </c:pt>
                <c:pt idx="1">
                  <c:v>382.55021834060881</c:v>
                </c:pt>
                <c:pt idx="2">
                  <c:v>377.69820475497124</c:v>
                </c:pt>
                <c:pt idx="3">
                  <c:v>372.36098981076839</c:v>
                </c:pt>
                <c:pt idx="4">
                  <c:v>364.84036875303121</c:v>
                </c:pt>
                <c:pt idx="5">
                  <c:v>356.10674429888388</c:v>
                </c:pt>
                <c:pt idx="6">
                  <c:v>341.55070354196965</c:v>
                </c:pt>
                <c:pt idx="7">
                  <c:v>321.4148471615718</c:v>
                </c:pt>
                <c:pt idx="8" formatCode="General">
                  <c:v>275</c:v>
                </c:pt>
              </c:numCache>
            </c:numRef>
          </c:xVal>
          <c:yVal>
            <c:numRef>
              <c:f>Podsumowanie!$M$3:$M$11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109-4736-9410-F594DAA22612}"/>
            </c:ext>
          </c:extLst>
        </c:ser>
        <c:ser>
          <c:idx val="14"/>
          <c:order val="4"/>
          <c:tx>
            <c:v>Vmax2</c:v>
          </c:tx>
          <c:spPr>
            <a:ln w="19050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Podsumowanie!$Q$14:$Q$22</c:f>
              <c:numCache>
                <c:formatCode>0.00</c:formatCode>
                <c:ptCount val="9"/>
                <c:pt idx="0">
                  <c:v>385.03194103193761</c:v>
                </c:pt>
                <c:pt idx="1">
                  <c:v>380.78624078623801</c:v>
                </c:pt>
                <c:pt idx="2">
                  <c:v>375.4791154791144</c:v>
                </c:pt>
                <c:pt idx="3">
                  <c:v>369.46437346437119</c:v>
                </c:pt>
                <c:pt idx="4">
                  <c:v>360.972972972972</c:v>
                </c:pt>
                <c:pt idx="5">
                  <c:v>349.29729729729723</c:v>
                </c:pt>
                <c:pt idx="6">
                  <c:v>333.72972972972968</c:v>
                </c:pt>
                <c:pt idx="7">
                  <c:v>307.19410319410309</c:v>
                </c:pt>
                <c:pt idx="8" formatCode="General">
                  <c:v>245</c:v>
                </c:pt>
              </c:numCache>
            </c:numRef>
          </c:xVal>
          <c:yVal>
            <c:numRef>
              <c:f>Podsumowanie!$M$14:$M$22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109-4736-9410-F594DAA22612}"/>
            </c:ext>
          </c:extLst>
        </c:ser>
        <c:ser>
          <c:idx val="21"/>
          <c:order val="5"/>
          <c:tx>
            <c:v>Vmax3</c:v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Podsumowanie!$Q$25:$Q$33</c:f>
              <c:numCache>
                <c:formatCode>0.00</c:formatCode>
                <c:ptCount val="9"/>
                <c:pt idx="0">
                  <c:v>382.62857142857041</c:v>
                </c:pt>
                <c:pt idx="1">
                  <c:v>380.078624078622</c:v>
                </c:pt>
                <c:pt idx="2">
                  <c:v>377.95577395577038</c:v>
                </c:pt>
                <c:pt idx="3">
                  <c:v>368.40294840294717</c:v>
                </c:pt>
                <c:pt idx="4">
                  <c:v>359.91154791154764</c:v>
                </c:pt>
                <c:pt idx="5">
                  <c:v>346.82063882063869</c:v>
                </c:pt>
                <c:pt idx="6">
                  <c:v>331.96068796068789</c:v>
                </c:pt>
                <c:pt idx="7">
                  <c:v>305.07125307125295</c:v>
                </c:pt>
                <c:pt idx="8" formatCode="General">
                  <c:v>250</c:v>
                </c:pt>
              </c:numCache>
            </c:numRef>
          </c:xVal>
          <c:yVal>
            <c:numRef>
              <c:f>Podsumowanie!$M$25:$M$33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7590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109-4736-9410-F594DAA22612}"/>
            </c:ext>
          </c:extLst>
        </c:ser>
        <c:ser>
          <c:idx val="2"/>
          <c:order val="6"/>
          <c:tx>
            <c:v>Vw1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Podsumowanie!$U$3:$U$11</c:f>
              <c:numCache>
                <c:formatCode>0.00</c:formatCode>
                <c:ptCount val="9"/>
                <c:pt idx="0">
                  <c:v>234.80640465793275</c:v>
                </c:pt>
                <c:pt idx="1">
                  <c:v>240.14361960213481</c:v>
                </c:pt>
                <c:pt idx="2">
                  <c:v>245.96603590490031</c:v>
                </c:pt>
                <c:pt idx="3">
                  <c:v>251.30325084910237</c:v>
                </c:pt>
                <c:pt idx="4">
                  <c:v>256.88306647258594</c:v>
                </c:pt>
                <c:pt idx="5">
                  <c:v>261.24987869966014</c:v>
                </c:pt>
                <c:pt idx="6">
                  <c:v>266.10189228529811</c:v>
                </c:pt>
                <c:pt idx="7">
                  <c:v>272.16690926734589</c:v>
                </c:pt>
                <c:pt idx="8" formatCode="General">
                  <c:v>275</c:v>
                </c:pt>
              </c:numCache>
            </c:numRef>
          </c:xVal>
          <c:yVal>
            <c:numRef>
              <c:f>Podsumowanie!$M$3:$M$11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109-4736-9410-F594DAA22612}"/>
            </c:ext>
          </c:extLst>
        </c:ser>
        <c:ser>
          <c:idx val="15"/>
          <c:order val="7"/>
          <c:tx>
            <c:v>Vw2</c:v>
          </c:tx>
          <c:spPr>
            <a:ln w="19050" cap="rnd">
              <a:solidFill>
                <a:schemeClr val="accent3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Podsumowanie!$U$14:$U$22</c:f>
              <c:numCache>
                <c:formatCode>0.00</c:formatCode>
                <c:ptCount val="9"/>
                <c:pt idx="0">
                  <c:v>216.61916461916437</c:v>
                </c:pt>
                <c:pt idx="1">
                  <c:v>220.15724815724795</c:v>
                </c:pt>
                <c:pt idx="2">
                  <c:v>225.11056511056501</c:v>
                </c:pt>
                <c:pt idx="3">
                  <c:v>228.29484029484024</c:v>
                </c:pt>
                <c:pt idx="4">
                  <c:v>232.54054054054055</c:v>
                </c:pt>
                <c:pt idx="5">
                  <c:v>235.72481572481547</c:v>
                </c:pt>
                <c:pt idx="6">
                  <c:v>239.97051597051578</c:v>
                </c:pt>
                <c:pt idx="7">
                  <c:v>243.50859950859936</c:v>
                </c:pt>
                <c:pt idx="8" formatCode="General">
                  <c:v>245</c:v>
                </c:pt>
              </c:numCache>
            </c:numRef>
          </c:xVal>
          <c:yVal>
            <c:numRef>
              <c:f>Podsumowanie!$M$14:$M$22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109-4736-9410-F594DAA22612}"/>
            </c:ext>
          </c:extLst>
        </c:ser>
        <c:ser>
          <c:idx val="22"/>
          <c:order val="8"/>
          <c:tx>
            <c:v>Vw3</c:v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Podsumowanie!$U$25:$U$33</c:f>
              <c:numCache>
                <c:formatCode>0.00</c:formatCode>
                <c:ptCount val="9"/>
                <c:pt idx="0">
                  <c:v>222.98771498771484</c:v>
                </c:pt>
                <c:pt idx="1">
                  <c:v>226.52579852579842</c:v>
                </c:pt>
                <c:pt idx="2">
                  <c:v>231.83292383292383</c:v>
                </c:pt>
                <c:pt idx="3">
                  <c:v>235.72481572481547</c:v>
                </c:pt>
                <c:pt idx="4">
                  <c:v>239.26289926289905</c:v>
                </c:pt>
                <c:pt idx="5">
                  <c:v>244.21621621621608</c:v>
                </c:pt>
                <c:pt idx="6">
                  <c:v>247.40049140049135</c:v>
                </c:pt>
                <c:pt idx="7">
                  <c:v>251.29238329238328</c:v>
                </c:pt>
                <c:pt idx="8" formatCode="General">
                  <c:v>250</c:v>
                </c:pt>
              </c:numCache>
            </c:numRef>
          </c:xVal>
          <c:yVal>
            <c:numRef>
              <c:f>Podsumowanie!$M$25:$M$33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7590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109-4736-9410-F594DAA22612}"/>
            </c:ext>
          </c:extLst>
        </c:ser>
        <c:ser>
          <c:idx val="3"/>
          <c:order val="9"/>
          <c:tx>
            <c:v>Vy1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Podsumowanie!$Y$3:$Y$11</c:f>
              <c:numCache>
                <c:formatCode>0.00</c:formatCode>
                <c:ptCount val="9"/>
                <c:pt idx="0">
                  <c:v>166.30315361139347</c:v>
                </c:pt>
                <c:pt idx="1">
                  <c:v>185.05391658189191</c:v>
                </c:pt>
                <c:pt idx="2">
                  <c:v>201.75381485249221</c:v>
                </c:pt>
                <c:pt idx="3">
                  <c:v>216.69582909460823</c:v>
                </c:pt>
                <c:pt idx="4">
                  <c:v>229.87995930824005</c:v>
                </c:pt>
                <c:pt idx="5">
                  <c:v>243.06408952187186</c:v>
                </c:pt>
                <c:pt idx="6">
                  <c:v>254.78331637843334</c:v>
                </c:pt>
                <c:pt idx="7">
                  <c:v>264.45167853509668</c:v>
                </c:pt>
                <c:pt idx="8" formatCode="General">
                  <c:v>275</c:v>
                </c:pt>
              </c:numCache>
            </c:numRef>
          </c:xVal>
          <c:yVal>
            <c:numRef>
              <c:f>Podsumowanie!$M$3:$M$11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109-4736-9410-F594DAA22612}"/>
            </c:ext>
          </c:extLst>
        </c:ser>
        <c:ser>
          <c:idx val="16"/>
          <c:order val="10"/>
          <c:tx>
            <c:v>Vy2</c:v>
          </c:tx>
          <c:spPr>
            <a:ln w="19050" cap="rnd">
              <a:solidFill>
                <a:schemeClr val="accent4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Podsumowanie!$Y$14:$Y$22</c:f>
              <c:numCache>
                <c:formatCode>0.00</c:formatCode>
                <c:ptCount val="9"/>
                <c:pt idx="0">
                  <c:v>155.01330108827065</c:v>
                </c:pt>
                <c:pt idx="1">
                  <c:v>165.80894800483657</c:v>
                </c:pt>
                <c:pt idx="2">
                  <c:v>174.51511487303509</c:v>
                </c:pt>
                <c:pt idx="3">
                  <c:v>184.96251511487282</c:v>
                </c:pt>
                <c:pt idx="4">
                  <c:v>194.01692865779916</c:v>
                </c:pt>
                <c:pt idx="5">
                  <c:v>208.99153567110025</c:v>
                </c:pt>
                <c:pt idx="6">
                  <c:v>220.48367593712183</c:v>
                </c:pt>
                <c:pt idx="7">
                  <c:v>234</c:v>
                </c:pt>
                <c:pt idx="8" formatCode="General">
                  <c:v>245</c:v>
                </c:pt>
              </c:numCache>
            </c:numRef>
          </c:xVal>
          <c:yVal>
            <c:numRef>
              <c:f>Podsumowanie!$M$14:$M$22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109-4736-9410-F594DAA22612}"/>
            </c:ext>
          </c:extLst>
        </c:ser>
        <c:ser>
          <c:idx val="23"/>
          <c:order val="11"/>
          <c:tx>
            <c:v>Vy3</c:v>
          </c:tx>
          <c:spPr>
            <a:ln w="1905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Podsumowanie!$Y$25:$Y$33</c:f>
              <c:numCache>
                <c:formatCode>0.00</c:formatCode>
                <c:ptCount val="9"/>
                <c:pt idx="0">
                  <c:v>149.09310761789592</c:v>
                </c:pt>
                <c:pt idx="1">
                  <c:v>157.10278113663841</c:v>
                </c:pt>
                <c:pt idx="2">
                  <c:v>167.20193470374826</c:v>
                </c:pt>
                <c:pt idx="3">
                  <c:v>177.99758162031421</c:v>
                </c:pt>
                <c:pt idx="4">
                  <c:v>189.837968561064</c:v>
                </c:pt>
                <c:pt idx="5">
                  <c:v>200.63361547762992</c:v>
                </c:pt>
                <c:pt idx="6">
                  <c:v>214.91172914147495</c:v>
                </c:pt>
                <c:pt idx="7">
                  <c:v>230.9310761789599</c:v>
                </c:pt>
                <c:pt idx="8" formatCode="General">
                  <c:v>250</c:v>
                </c:pt>
              </c:numCache>
            </c:numRef>
          </c:xVal>
          <c:yVal>
            <c:numRef>
              <c:f>Podsumowanie!$M$25:$M$33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7590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A109-4736-9410-F594DAA22612}"/>
            </c:ext>
          </c:extLst>
        </c:ser>
        <c:ser>
          <c:idx val="4"/>
          <c:order val="12"/>
          <c:tx>
            <c:v>10wmax1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Podsumowanie!$S$3:$S$11</c:f>
              <c:numCache>
                <c:formatCode>0.00</c:formatCode>
                <c:ptCount val="9"/>
                <c:pt idx="0">
                  <c:v>81.692154255319096</c:v>
                </c:pt>
                <c:pt idx="1">
                  <c:v>69.363918439716301</c:v>
                </c:pt>
                <c:pt idx="2">
                  <c:v>57.589760638297804</c:v>
                </c:pt>
                <c:pt idx="3">
                  <c:v>46.923758865248203</c:v>
                </c:pt>
                <c:pt idx="4">
                  <c:v>35.980718085106304</c:v>
                </c:pt>
                <c:pt idx="5">
                  <c:v>26.1458333333333</c:v>
                </c:pt>
                <c:pt idx="6">
                  <c:v>16.033909574467998</c:v>
                </c:pt>
                <c:pt idx="7">
                  <c:v>7.39051094890511</c:v>
                </c:pt>
                <c:pt idx="8" formatCode="General">
                  <c:v>0</c:v>
                </c:pt>
              </c:numCache>
            </c:numRef>
          </c:xVal>
          <c:yVal>
            <c:numRef>
              <c:f>Podsumowanie!$M$3:$M$11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A109-4736-9410-F594DAA22612}"/>
            </c:ext>
          </c:extLst>
        </c:ser>
        <c:ser>
          <c:idx val="17"/>
          <c:order val="13"/>
          <c:tx>
            <c:v>10wmax2</c:v>
          </c:tx>
          <c:spPr>
            <a:ln w="19050" cap="rnd">
              <a:solidFill>
                <a:schemeClr val="accent5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Podsumowanie!$S$14:$S$22</c:f>
              <c:numCache>
                <c:formatCode>0.00</c:formatCode>
                <c:ptCount val="9"/>
                <c:pt idx="0">
                  <c:v>85.237226277372201</c:v>
                </c:pt>
                <c:pt idx="1">
                  <c:v>72.755474452554708</c:v>
                </c:pt>
                <c:pt idx="2">
                  <c:v>60.930656934306498</c:v>
                </c:pt>
                <c:pt idx="3">
                  <c:v>49.598540145985403</c:v>
                </c:pt>
                <c:pt idx="4">
                  <c:v>38.5948905109489</c:v>
                </c:pt>
                <c:pt idx="5">
                  <c:v>27.919708029197</c:v>
                </c:pt>
                <c:pt idx="6">
                  <c:v>17.737226277372201</c:v>
                </c:pt>
                <c:pt idx="7">
                  <c:v>6.6145833333333206</c:v>
                </c:pt>
                <c:pt idx="8" formatCode="General">
                  <c:v>0</c:v>
                </c:pt>
              </c:numCache>
            </c:numRef>
          </c:xVal>
          <c:yVal>
            <c:numRef>
              <c:f>Podsumowanie!$M$14:$M$22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A109-4736-9410-F594DAA22612}"/>
            </c:ext>
          </c:extLst>
        </c:ser>
        <c:ser>
          <c:idx val="24"/>
          <c:order val="14"/>
          <c:tx>
            <c:v>10wmax3</c:v>
          </c:tx>
          <c:spPr>
            <a:ln w="1905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Podsumowanie!$S$25:$S$33</c:f>
              <c:numCache>
                <c:formatCode>0.00</c:formatCode>
                <c:ptCount val="9"/>
                <c:pt idx="0">
                  <c:v>84.580291970802904</c:v>
                </c:pt>
                <c:pt idx="1">
                  <c:v>72.098540145985396</c:v>
                </c:pt>
                <c:pt idx="2">
                  <c:v>60.109489051094904</c:v>
                </c:pt>
                <c:pt idx="3">
                  <c:v>48.613138686131393</c:v>
                </c:pt>
                <c:pt idx="4">
                  <c:v>37.445255474452502</c:v>
                </c:pt>
                <c:pt idx="5">
                  <c:v>27.262773722627699</c:v>
                </c:pt>
                <c:pt idx="6">
                  <c:v>17.408759124087602</c:v>
                </c:pt>
                <c:pt idx="7">
                  <c:v>6.5693430656934302</c:v>
                </c:pt>
                <c:pt idx="8" formatCode="General">
                  <c:v>0</c:v>
                </c:pt>
              </c:numCache>
            </c:numRef>
          </c:xVal>
          <c:yVal>
            <c:numRef>
              <c:f>Podsumowanie!$M$25:$M$33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7590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A109-4736-9410-F594DAA22612}"/>
            </c:ext>
          </c:extLst>
        </c:ser>
        <c:ser>
          <c:idx val="5"/>
          <c:order val="15"/>
          <c:tx>
            <c:v>10ymax1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Podsumowanie!$W$3:$W$11</c:f>
              <c:numCache>
                <c:formatCode>0.00</c:formatCode>
                <c:ptCount val="9"/>
                <c:pt idx="0">
                  <c:v>84.556976802361405</c:v>
                </c:pt>
                <c:pt idx="1">
                  <c:v>69.628270766972904</c:v>
                </c:pt>
                <c:pt idx="2">
                  <c:v>55.520404249286997</c:v>
                </c:pt>
                <c:pt idx="3">
                  <c:v>43.380751463402405</c:v>
                </c:pt>
                <c:pt idx="4">
                  <c:v>32.225705851941996</c:v>
                </c:pt>
                <c:pt idx="5">
                  <c:v>22.546070076547199</c:v>
                </c:pt>
                <c:pt idx="6">
                  <c:v>13.195137001150702</c:v>
                </c:pt>
                <c:pt idx="7">
                  <c:v>5.4847155746043397</c:v>
                </c:pt>
                <c:pt idx="8" formatCode="General">
                  <c:v>0</c:v>
                </c:pt>
              </c:numCache>
            </c:numRef>
          </c:xVal>
          <c:yVal>
            <c:numRef>
              <c:f>Podsumowanie!$M$3:$M$11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A109-4736-9410-F594DAA22612}"/>
            </c:ext>
          </c:extLst>
        </c:ser>
        <c:ser>
          <c:idx val="18"/>
          <c:order val="16"/>
          <c:tx>
            <c:v>10ymax2</c:v>
          </c:tx>
          <c:spPr>
            <a:ln w="19050" cap="rnd">
              <a:solidFill>
                <a:schemeClr val="accent6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Podsumowanie!$W$14:$W$22</c:f>
              <c:numCache>
                <c:formatCode>0.00</c:formatCode>
                <c:ptCount val="9"/>
                <c:pt idx="0">
                  <c:v>97.178130511463792</c:v>
                </c:pt>
                <c:pt idx="1">
                  <c:v>80.599647266313909</c:v>
                </c:pt>
                <c:pt idx="2">
                  <c:v>65.255731922398496</c:v>
                </c:pt>
                <c:pt idx="3">
                  <c:v>50.793650793650698</c:v>
                </c:pt>
                <c:pt idx="4">
                  <c:v>38.4479717813051</c:v>
                </c:pt>
                <c:pt idx="5">
                  <c:v>26.455026455026399</c:v>
                </c:pt>
                <c:pt idx="6">
                  <c:v>16.049382716049301</c:v>
                </c:pt>
                <c:pt idx="7">
                  <c:v>6.5255731922398494</c:v>
                </c:pt>
                <c:pt idx="8" formatCode="General">
                  <c:v>0</c:v>
                </c:pt>
              </c:numCache>
            </c:numRef>
          </c:xVal>
          <c:yVal>
            <c:numRef>
              <c:f>Podsumowanie!$M$14:$M$22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A109-4736-9410-F594DAA22612}"/>
            </c:ext>
          </c:extLst>
        </c:ser>
        <c:ser>
          <c:idx val="25"/>
          <c:order val="17"/>
          <c:tx>
            <c:v>10ymax3</c:v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Podsumowanie!$W$25:$W$33</c:f>
              <c:numCache>
                <c:formatCode>0.00</c:formatCode>
                <c:ptCount val="9"/>
                <c:pt idx="0">
                  <c:v>95.414462081128704</c:v>
                </c:pt>
                <c:pt idx="1">
                  <c:v>78.835978835978807</c:v>
                </c:pt>
                <c:pt idx="2">
                  <c:v>63.668430335097</c:v>
                </c:pt>
                <c:pt idx="3">
                  <c:v>49.735449735449706</c:v>
                </c:pt>
                <c:pt idx="4">
                  <c:v>37.389770723104</c:v>
                </c:pt>
                <c:pt idx="5">
                  <c:v>25.573192239858898</c:v>
                </c:pt>
                <c:pt idx="6">
                  <c:v>14.991181657848301</c:v>
                </c:pt>
                <c:pt idx="7">
                  <c:v>5.2910052910052796</c:v>
                </c:pt>
                <c:pt idx="8" formatCode="General">
                  <c:v>0</c:v>
                </c:pt>
              </c:numCache>
            </c:numRef>
          </c:xVal>
          <c:yVal>
            <c:numRef>
              <c:f>Podsumowanie!$M$25:$M$33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7590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A109-4736-9410-F594DAA22612}"/>
            </c:ext>
          </c:extLst>
        </c:ser>
        <c:ser>
          <c:idx val="6"/>
          <c:order val="18"/>
          <c:tx>
            <c:v>10th1</c:v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Podsumowanie!$AA$3:$AA$11</c:f>
              <c:numCache>
                <c:formatCode>0.00</c:formatCode>
                <c:ptCount val="9"/>
                <c:pt idx="0">
                  <c:v>0</c:v>
                </c:pt>
                <c:pt idx="1">
                  <c:v>22.214829052289236</c:v>
                </c:pt>
                <c:pt idx="2">
                  <c:v>48.698925005995164</c:v>
                </c:pt>
                <c:pt idx="3">
                  <c:v>80.92839465410907</c:v>
                </c:pt>
                <c:pt idx="4">
                  <c:v>121.84825253921929</c:v>
                </c:pt>
                <c:pt idx="5">
                  <c:v>176.88131564237668</c:v>
                </c:pt>
                <c:pt idx="6">
                  <c:v>260.72700965119213</c:v>
                </c:pt>
                <c:pt idx="7">
                  <c:v>425.45739534593872</c:v>
                </c:pt>
                <c:pt idx="8" formatCode="General">
                  <c:v>500</c:v>
                </c:pt>
              </c:numCache>
            </c:numRef>
          </c:xVal>
          <c:yVal>
            <c:numRef>
              <c:f>Podsumowanie!$M$3:$M$11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A109-4736-9410-F594DAA22612}"/>
            </c:ext>
          </c:extLst>
        </c:ser>
        <c:ser>
          <c:idx val="19"/>
          <c:order val="19"/>
          <c:tx>
            <c:v>10th2</c:v>
          </c:tx>
          <c:spPr>
            <a:ln w="1270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Podsumowanie!$AA$14:$AA$22</c:f>
              <c:numCache>
                <c:formatCode>0.00</c:formatCode>
                <c:ptCount val="9"/>
                <c:pt idx="0">
                  <c:v>0</c:v>
                </c:pt>
                <c:pt idx="1">
                  <c:v>21.230527795940542</c:v>
                </c:pt>
                <c:pt idx="2">
                  <c:v>46.361169136812329</c:v>
                </c:pt>
                <c:pt idx="3">
                  <c:v>76.839488444320708</c:v>
                </c:pt>
                <c:pt idx="4">
                  <c:v>115.23286279655092</c:v>
                </c:pt>
                <c:pt idx="5">
                  <c:v>166.67216192045589</c:v>
                </c:pt>
                <c:pt idx="6">
                  <c:v>243.50182382637075</c:v>
                </c:pt>
                <c:pt idx="7">
                  <c:v>416.46824314741281</c:v>
                </c:pt>
                <c:pt idx="8" formatCode="General">
                  <c:v>500</c:v>
                </c:pt>
              </c:numCache>
            </c:numRef>
          </c:xVal>
          <c:yVal>
            <c:numRef>
              <c:f>Podsumowanie!$M$14:$M$22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A109-4736-9410-F594DAA22612}"/>
            </c:ext>
          </c:extLst>
        </c:ser>
        <c:ser>
          <c:idx val="26"/>
          <c:order val="20"/>
          <c:tx>
            <c:v>10th3</c:v>
          </c:tx>
          <c:spPr>
            <a:ln w="127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Podsumowanie!$AA$25:$AA$33</c:f>
              <c:numCache>
                <c:formatCode>0.00</c:formatCode>
                <c:ptCount val="9"/>
                <c:pt idx="0">
                  <c:v>0</c:v>
                </c:pt>
                <c:pt idx="1">
                  <c:v>21.410826311637958</c:v>
                </c:pt>
                <c:pt idx="2">
                  <c:v>46.832671971978954</c:v>
                </c:pt>
                <c:pt idx="3">
                  <c:v>77.8384044804437</c:v>
                </c:pt>
                <c:pt idx="4">
                  <c:v>117.23525747378795</c:v>
                </c:pt>
                <c:pt idx="5">
                  <c:v>170.05667961459295</c:v>
                </c:pt>
                <c:pt idx="6">
                  <c:v>248.49201424451729</c:v>
                </c:pt>
                <c:pt idx="7">
                  <c:v>423.21248943669059</c:v>
                </c:pt>
                <c:pt idx="8" formatCode="General">
                  <c:v>500</c:v>
                </c:pt>
              </c:numCache>
            </c:numRef>
          </c:xVal>
          <c:yVal>
            <c:numRef>
              <c:f>Podsumowanie!$M$25:$M$33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7590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A109-4736-9410-F594DAA22612}"/>
            </c:ext>
          </c:extLst>
        </c:ser>
        <c:ser>
          <c:idx val="7"/>
          <c:order val="21"/>
          <c:tx>
            <c:v>ht1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Podsumowanie!$AC$45:$AC$46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xVal>
          <c:yVal>
            <c:numRef>
              <c:f>Podsumowanie!$AC$41:$AC$42</c:f>
              <c:numCache>
                <c:formatCode>General</c:formatCode>
                <c:ptCount val="2"/>
                <c:pt idx="0">
                  <c:v>7700</c:v>
                </c:pt>
                <c:pt idx="1">
                  <c:v>7700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A109-4736-9410-F594DAA22612}"/>
            </c:ext>
          </c:extLst>
        </c:ser>
        <c:ser>
          <c:idx val="9"/>
          <c:order val="22"/>
          <c:tx>
            <c:v>ht2</c:v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Podsumowanie!$AC$45:$AC$46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xVal>
          <c:yVal>
            <c:numRef>
              <c:f>Podsumowanie!$AE$41:$AE$42</c:f>
              <c:numCache>
                <c:formatCode>General</c:formatCode>
                <c:ptCount val="2"/>
                <c:pt idx="0">
                  <c:v>7600</c:v>
                </c:pt>
                <c:pt idx="1">
                  <c:v>7600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A109-4736-9410-F594DAA22612}"/>
            </c:ext>
          </c:extLst>
        </c:ser>
        <c:ser>
          <c:idx val="11"/>
          <c:order val="23"/>
          <c:tx>
            <c:v>ht3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Podsumowanie!$AC$45:$AC$46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xVal>
          <c:yVal>
            <c:numRef>
              <c:f>Podsumowanie!$AG$41:$AG$42</c:f>
              <c:numCache>
                <c:formatCode>General</c:formatCode>
                <c:ptCount val="2"/>
                <c:pt idx="0">
                  <c:v>7590</c:v>
                </c:pt>
                <c:pt idx="1">
                  <c:v>7590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A109-4736-9410-F594DAA22612}"/>
            </c:ext>
          </c:extLst>
        </c:ser>
        <c:ser>
          <c:idx val="8"/>
          <c:order val="24"/>
          <c:tx>
            <c:v>hp1</c:v>
          </c:tx>
          <c:spPr>
            <a:ln w="12700" cap="rnd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Podsumowanie!$AC$45:$AC$46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xVal>
          <c:yVal>
            <c:numRef>
              <c:f>Podsumowanie!$AD$41:$AD$42</c:f>
              <c:numCache>
                <c:formatCode>General</c:formatCode>
                <c:ptCount val="2"/>
                <c:pt idx="0">
                  <c:v>7228.9449999999997</c:v>
                </c:pt>
                <c:pt idx="1">
                  <c:v>7228.9449999999997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A109-4736-9410-F594DAA22612}"/>
            </c:ext>
          </c:extLst>
        </c:ser>
        <c:ser>
          <c:idx val="10"/>
          <c:order val="25"/>
          <c:tx>
            <c:v>hp2</c:v>
          </c:tx>
          <c:spPr>
            <a:ln w="12700" cap="rnd">
              <a:solidFill>
                <a:schemeClr val="bg1">
                  <a:lumMod val="5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Podsumowanie!$AC$45:$AC$46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xVal>
          <c:yVal>
            <c:numRef>
              <c:f>Podsumowanie!$AF$41:$AF$42</c:f>
              <c:numCache>
                <c:formatCode>General</c:formatCode>
                <c:ptCount val="2"/>
                <c:pt idx="0">
                  <c:v>7154.835</c:v>
                </c:pt>
                <c:pt idx="1">
                  <c:v>7154.835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A109-4736-9410-F594DAA22612}"/>
            </c:ext>
          </c:extLst>
        </c:ser>
        <c:ser>
          <c:idx val="12"/>
          <c:order val="26"/>
          <c:tx>
            <c:v>hp3</c:v>
          </c:tx>
          <c:spPr>
            <a:ln w="1270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Podsumowanie!$AC$45:$AC$46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xVal>
          <c:yVal>
            <c:numRef>
              <c:f>Podsumowanie!$AH$41:$AH$42</c:f>
              <c:numCache>
                <c:formatCode>General</c:formatCode>
                <c:ptCount val="2"/>
                <c:pt idx="0">
                  <c:v>7141.3450000000003</c:v>
                </c:pt>
                <c:pt idx="1">
                  <c:v>7141.3450000000003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A109-4736-9410-F594DAA22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335119"/>
        <c:axId val="1641619439"/>
      </c:scatterChart>
      <c:valAx>
        <c:axId val="1494335119"/>
        <c:scaling>
          <c:orientation val="minMax"/>
          <c:max val="4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 [km/h]</a:t>
                </a:r>
              </a:p>
              <a:p>
                <a:pPr>
                  <a:defRPr/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 [m/s]</a:t>
                </a:r>
              </a:p>
              <a:p>
                <a:pPr>
                  <a:defRPr/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 [min]</a:t>
                </a:r>
              </a:p>
              <a:p>
                <a:pPr>
                  <a:defRPr/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γ</a:t>
                </a: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[°]</a:t>
                </a:r>
              </a:p>
            </c:rich>
          </c:tx>
          <c:layout>
            <c:manualLayout>
              <c:xMode val="edge"/>
              <c:yMode val="edge"/>
              <c:x val="0.87766080234047483"/>
              <c:y val="0.843290387331961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41619439"/>
        <c:crosses val="autoZero"/>
        <c:crossBetween val="midCat"/>
        <c:majorUnit val="10"/>
      </c:valAx>
      <c:valAx>
        <c:axId val="1641619439"/>
        <c:scaling>
          <c:orientation val="minMax"/>
          <c:max val="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h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94335119"/>
        <c:crosses val="autoZero"/>
        <c:crossBetween val="midCat"/>
        <c:majorUnit val="5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Wykres ofertowy samolotu Piper w otoczeniu pułapu mmax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5.0553237624689336E-2"/>
          <c:y val="6.6571788151444766E-2"/>
          <c:w val="0.85026377588115487"/>
          <c:h val="0.82525398493297142"/>
        </c:manualLayout>
      </c:layout>
      <c:scatterChart>
        <c:scatterStyle val="smoothMarker"/>
        <c:varyColors val="0"/>
        <c:ser>
          <c:idx val="0"/>
          <c:order val="0"/>
          <c:tx>
            <c:v>Vmin1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Podsumowanie!$O$3:$O$11</c:f>
              <c:numCache>
                <c:formatCode>0.00</c:formatCode>
                <c:ptCount val="9"/>
                <c:pt idx="0">
                  <c:v>132.91411935953411</c:v>
                </c:pt>
                <c:pt idx="1">
                  <c:v>139.46433770014522</c:v>
                </c:pt>
                <c:pt idx="2">
                  <c:v>146.74235807860236</c:v>
                </c:pt>
                <c:pt idx="3">
                  <c:v>154.26297913634136</c:v>
                </c:pt>
                <c:pt idx="4">
                  <c:v>162.26880155264411</c:v>
                </c:pt>
                <c:pt idx="5">
                  <c:v>171.00242600679252</c:v>
                </c:pt>
                <c:pt idx="6">
                  <c:v>180.22125181950503</c:v>
                </c:pt>
                <c:pt idx="7">
                  <c:v>210.06113537117881</c:v>
                </c:pt>
                <c:pt idx="8" formatCode="General">
                  <c:v>275</c:v>
                </c:pt>
              </c:numCache>
            </c:numRef>
          </c:xVal>
          <c:yVal>
            <c:numRef>
              <c:f>Podsumowanie!$M$3:$M$11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C0-4BE2-A6FE-341DD1F0E71C}"/>
            </c:ext>
          </c:extLst>
        </c:ser>
        <c:ser>
          <c:idx val="13"/>
          <c:order val="1"/>
          <c:tx>
            <c:v>Vmin2</c:v>
          </c:tx>
          <c:spPr>
            <a:ln w="19050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Podsumowanie!$O$36:$O$43</c:f>
              <c:numCache>
                <c:formatCode>0.00</c:formatCode>
                <c:ptCount val="8"/>
                <c:pt idx="0">
                  <c:v>132.91411935953411</c:v>
                </c:pt>
                <c:pt idx="1">
                  <c:v>139.70693837942713</c:v>
                </c:pt>
                <c:pt idx="2">
                  <c:v>146.98495875788424</c:v>
                </c:pt>
                <c:pt idx="3">
                  <c:v>154.50557981562326</c:v>
                </c:pt>
                <c:pt idx="4">
                  <c:v>162.26880155264411</c:v>
                </c:pt>
                <c:pt idx="5">
                  <c:v>171.73022804463852</c:v>
                </c:pt>
                <c:pt idx="6">
                  <c:v>181.19165453663257</c:v>
                </c:pt>
                <c:pt idx="7" formatCode="General">
                  <c:v>250</c:v>
                </c:pt>
              </c:numCache>
            </c:numRef>
          </c:xVal>
          <c:yVal>
            <c:numRef>
              <c:f>Podsumowanie!$M$36:$M$43</c:f>
              <c:numCache>
                <c:formatCode>General</c:formatCode>
                <c:ptCount val="8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6890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C0-4BE2-A6FE-341DD1F0E71C}"/>
            </c:ext>
          </c:extLst>
        </c:ser>
        <c:ser>
          <c:idx val="20"/>
          <c:order val="2"/>
          <c:tx>
            <c:v>Vmin3</c:v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Podsumowanie!$O$47:$O$54</c:f>
              <c:numCache>
                <c:formatCode>0.00</c:formatCode>
                <c:ptCount val="8"/>
                <c:pt idx="0">
                  <c:v>132.91411935953411</c:v>
                </c:pt>
                <c:pt idx="1">
                  <c:v>139.70693837942713</c:v>
                </c:pt>
                <c:pt idx="2">
                  <c:v>146.74235807860236</c:v>
                </c:pt>
                <c:pt idx="3">
                  <c:v>154.50557981562326</c:v>
                </c:pt>
                <c:pt idx="4">
                  <c:v>162.51140223192598</c:v>
                </c:pt>
                <c:pt idx="5">
                  <c:v>171.9728287239204</c:v>
                </c:pt>
                <c:pt idx="6">
                  <c:v>186.77147016011617</c:v>
                </c:pt>
                <c:pt idx="7" formatCode="General">
                  <c:v>255</c:v>
                </c:pt>
              </c:numCache>
            </c:numRef>
          </c:xVal>
          <c:yVal>
            <c:numRef>
              <c:f>Podsumowanie!$M$47:$M$54</c:f>
              <c:numCache>
                <c:formatCode>General</c:formatCode>
                <c:ptCount val="8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6670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9C0-4BE2-A6FE-341DD1F0E71C}"/>
            </c:ext>
          </c:extLst>
        </c:ser>
        <c:ser>
          <c:idx val="1"/>
          <c:order val="3"/>
          <c:tx>
            <c:v>Vmax1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Podsumowanie!$Q$3:$Q$11</c:f>
              <c:numCache>
                <c:formatCode>0.00</c:formatCode>
                <c:ptCount val="9"/>
                <c:pt idx="0">
                  <c:v>386.18922852983883</c:v>
                </c:pt>
                <c:pt idx="1">
                  <c:v>382.55021834060881</c:v>
                </c:pt>
                <c:pt idx="2">
                  <c:v>377.69820475497124</c:v>
                </c:pt>
                <c:pt idx="3">
                  <c:v>372.36098981076839</c:v>
                </c:pt>
                <c:pt idx="4">
                  <c:v>364.84036875303121</c:v>
                </c:pt>
                <c:pt idx="5">
                  <c:v>356.10674429888388</c:v>
                </c:pt>
                <c:pt idx="6">
                  <c:v>341.55070354196965</c:v>
                </c:pt>
                <c:pt idx="7">
                  <c:v>321.4148471615718</c:v>
                </c:pt>
                <c:pt idx="8" formatCode="General">
                  <c:v>275</c:v>
                </c:pt>
              </c:numCache>
            </c:numRef>
          </c:xVal>
          <c:yVal>
            <c:numRef>
              <c:f>Podsumowanie!$M$3:$M$11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C0-4BE2-A6FE-341DD1F0E71C}"/>
            </c:ext>
          </c:extLst>
        </c:ser>
        <c:ser>
          <c:idx val="14"/>
          <c:order val="4"/>
          <c:tx>
            <c:v>Vmax2</c:v>
          </c:tx>
          <c:spPr>
            <a:ln w="19050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Podsumowanie!$Q$36:$Q$43</c:f>
              <c:numCache>
                <c:formatCode>0.00</c:formatCode>
                <c:ptCount val="8"/>
                <c:pt idx="0">
                  <c:v>382.30761766132804</c:v>
                </c:pt>
                <c:pt idx="1">
                  <c:v>377.69820475497124</c:v>
                </c:pt>
                <c:pt idx="2">
                  <c:v>371.63318777292238</c:v>
                </c:pt>
                <c:pt idx="3">
                  <c:v>363.86996603590444</c:v>
                </c:pt>
                <c:pt idx="4">
                  <c:v>353.43813682678285</c:v>
                </c:pt>
                <c:pt idx="5">
                  <c:v>339.60989810771463</c:v>
                </c:pt>
                <c:pt idx="6">
                  <c:v>317.7758369723436</c:v>
                </c:pt>
                <c:pt idx="7" formatCode="General">
                  <c:v>250</c:v>
                </c:pt>
              </c:numCache>
            </c:numRef>
          </c:xVal>
          <c:yVal>
            <c:numRef>
              <c:f>Podsumowanie!$M$36:$M$43</c:f>
              <c:numCache>
                <c:formatCode>General</c:formatCode>
                <c:ptCount val="8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6890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9C0-4BE2-A6FE-341DD1F0E71C}"/>
            </c:ext>
          </c:extLst>
        </c:ser>
        <c:ser>
          <c:idx val="21"/>
          <c:order val="5"/>
          <c:tx>
            <c:v>Vmax3</c:v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Podsumowanie!$Q$47:$Q$54</c:f>
              <c:numCache>
                <c:formatCode>0.00</c:formatCode>
                <c:ptCount val="8"/>
                <c:pt idx="0">
                  <c:v>383.76322173702005</c:v>
                </c:pt>
                <c:pt idx="1">
                  <c:v>380.3668122270708</c:v>
                </c:pt>
                <c:pt idx="2">
                  <c:v>371.63318777292238</c:v>
                </c:pt>
                <c:pt idx="3">
                  <c:v>363.38476467733921</c:v>
                </c:pt>
                <c:pt idx="4">
                  <c:v>351.49733139252783</c:v>
                </c:pt>
                <c:pt idx="5">
                  <c:v>337.6690926734592</c:v>
                </c:pt>
                <c:pt idx="6">
                  <c:v>314.3794274623969</c:v>
                </c:pt>
                <c:pt idx="7" formatCode="General">
                  <c:v>255</c:v>
                </c:pt>
              </c:numCache>
            </c:numRef>
          </c:xVal>
          <c:yVal>
            <c:numRef>
              <c:f>Podsumowanie!$M$47:$M$54</c:f>
              <c:numCache>
                <c:formatCode>General</c:formatCode>
                <c:ptCount val="8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6670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9C0-4BE2-A6FE-341DD1F0E71C}"/>
            </c:ext>
          </c:extLst>
        </c:ser>
        <c:ser>
          <c:idx val="2"/>
          <c:order val="6"/>
          <c:tx>
            <c:v>Vw1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Podsumowanie!$U$3:$U$11</c:f>
              <c:numCache>
                <c:formatCode>0.00</c:formatCode>
                <c:ptCount val="9"/>
                <c:pt idx="0">
                  <c:v>234.80640465793275</c:v>
                </c:pt>
                <c:pt idx="1">
                  <c:v>240.14361960213481</c:v>
                </c:pt>
                <c:pt idx="2">
                  <c:v>245.96603590490031</c:v>
                </c:pt>
                <c:pt idx="3">
                  <c:v>251.30325084910237</c:v>
                </c:pt>
                <c:pt idx="4">
                  <c:v>256.88306647258594</c:v>
                </c:pt>
                <c:pt idx="5">
                  <c:v>261.24987869966014</c:v>
                </c:pt>
                <c:pt idx="6">
                  <c:v>266.10189228529811</c:v>
                </c:pt>
                <c:pt idx="7">
                  <c:v>272.16690926734589</c:v>
                </c:pt>
                <c:pt idx="8" formatCode="General">
                  <c:v>275</c:v>
                </c:pt>
              </c:numCache>
            </c:numRef>
          </c:xVal>
          <c:yVal>
            <c:numRef>
              <c:f>Podsumowanie!$M$3:$M$11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9C0-4BE2-A6FE-341DD1F0E71C}"/>
            </c:ext>
          </c:extLst>
        </c:ser>
        <c:ser>
          <c:idx val="15"/>
          <c:order val="7"/>
          <c:tx>
            <c:v>Vw2</c:v>
          </c:tx>
          <c:spPr>
            <a:ln w="19050" cap="rnd">
              <a:solidFill>
                <a:schemeClr val="accent3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Podsumowanie!$U$36:$U$43</c:f>
              <c:numCache>
                <c:formatCode>0.00</c:formatCode>
                <c:ptCount val="8"/>
                <c:pt idx="0">
                  <c:v>218.55215914604534</c:v>
                </c:pt>
                <c:pt idx="1">
                  <c:v>224.37457544881116</c:v>
                </c:pt>
                <c:pt idx="2">
                  <c:v>229.95439107229478</c:v>
                </c:pt>
                <c:pt idx="3">
                  <c:v>235.29160601649684</c:v>
                </c:pt>
                <c:pt idx="4">
                  <c:v>239.65841824357105</c:v>
                </c:pt>
                <c:pt idx="5">
                  <c:v>243.54002911208147</c:v>
                </c:pt>
                <c:pt idx="6">
                  <c:v>248.63464337700131</c:v>
                </c:pt>
                <c:pt idx="7" formatCode="General">
                  <c:v>250</c:v>
                </c:pt>
              </c:numCache>
            </c:numRef>
          </c:xVal>
          <c:yVal>
            <c:numRef>
              <c:f>Podsumowanie!$M$36:$M$43</c:f>
              <c:numCache>
                <c:formatCode>General</c:formatCode>
                <c:ptCount val="8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6890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9C0-4BE2-A6FE-341DD1F0E71C}"/>
            </c:ext>
          </c:extLst>
        </c:ser>
        <c:ser>
          <c:idx val="22"/>
          <c:order val="8"/>
          <c:tx>
            <c:v>Vw3</c:v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Podsumowanie!$U$47:$U$54</c:f>
              <c:numCache>
                <c:formatCode>0.00</c:formatCode>
                <c:ptCount val="8"/>
                <c:pt idx="0">
                  <c:v>231.16739446870454</c:v>
                </c:pt>
                <c:pt idx="1">
                  <c:v>235.77680737506057</c:v>
                </c:pt>
                <c:pt idx="2">
                  <c:v>240.62882096069853</c:v>
                </c:pt>
                <c:pt idx="3">
                  <c:v>245.96603590490031</c:v>
                </c:pt>
                <c:pt idx="4">
                  <c:v>251.06065016982015</c:v>
                </c:pt>
                <c:pt idx="5">
                  <c:v>254.94226103833091</c:v>
                </c:pt>
                <c:pt idx="6">
                  <c:v>259.06647258612327</c:v>
                </c:pt>
                <c:pt idx="7" formatCode="General">
                  <c:v>255</c:v>
                </c:pt>
              </c:numCache>
            </c:numRef>
          </c:xVal>
          <c:yVal>
            <c:numRef>
              <c:f>Podsumowanie!$M$47:$M$54</c:f>
              <c:numCache>
                <c:formatCode>General</c:formatCode>
                <c:ptCount val="8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6670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9C0-4BE2-A6FE-341DD1F0E71C}"/>
            </c:ext>
          </c:extLst>
        </c:ser>
        <c:ser>
          <c:idx val="3"/>
          <c:order val="9"/>
          <c:tx>
            <c:v>Vy1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Podsumowanie!$Y$3:$Y$11</c:f>
              <c:numCache>
                <c:formatCode>0.00</c:formatCode>
                <c:ptCount val="9"/>
                <c:pt idx="0">
                  <c:v>166.30315361139347</c:v>
                </c:pt>
                <c:pt idx="1">
                  <c:v>185.05391658189191</c:v>
                </c:pt>
                <c:pt idx="2">
                  <c:v>201.75381485249221</c:v>
                </c:pt>
                <c:pt idx="3">
                  <c:v>216.69582909460823</c:v>
                </c:pt>
                <c:pt idx="4">
                  <c:v>229.87995930824005</c:v>
                </c:pt>
                <c:pt idx="5">
                  <c:v>243.06408952187186</c:v>
                </c:pt>
                <c:pt idx="6">
                  <c:v>254.78331637843334</c:v>
                </c:pt>
                <c:pt idx="7">
                  <c:v>264.45167853509668</c:v>
                </c:pt>
                <c:pt idx="8" formatCode="General">
                  <c:v>275</c:v>
                </c:pt>
              </c:numCache>
            </c:numRef>
          </c:xVal>
          <c:yVal>
            <c:numRef>
              <c:f>Podsumowanie!$M$3:$M$11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7700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9C0-4BE2-A6FE-341DD1F0E71C}"/>
            </c:ext>
          </c:extLst>
        </c:ser>
        <c:ser>
          <c:idx val="16"/>
          <c:order val="10"/>
          <c:tx>
            <c:v>Vy2</c:v>
          </c:tx>
          <c:spPr>
            <a:ln w="19050" cap="rnd">
              <a:solidFill>
                <a:schemeClr val="accent4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Podsumowanie!$Y$36:$Y$43</c:f>
              <c:numCache>
                <c:formatCode>0.00</c:formatCode>
                <c:ptCount val="8"/>
                <c:pt idx="0">
                  <c:v>161.9084435401829</c:v>
                </c:pt>
                <c:pt idx="1">
                  <c:v>172.16276703967441</c:v>
                </c:pt>
                <c:pt idx="2">
                  <c:v>181.83112919633771</c:v>
                </c:pt>
                <c:pt idx="3">
                  <c:v>194.42929806714133</c:v>
                </c:pt>
                <c:pt idx="4">
                  <c:v>205.85554425228889</c:v>
                </c:pt>
                <c:pt idx="5">
                  <c:v>217.28179043743609</c:v>
                </c:pt>
                <c:pt idx="6">
                  <c:v>231.0518819938961</c:v>
                </c:pt>
                <c:pt idx="7" formatCode="General">
                  <c:v>250</c:v>
                </c:pt>
              </c:numCache>
            </c:numRef>
          </c:xVal>
          <c:yVal>
            <c:numRef>
              <c:f>Podsumowanie!$M$36:$M$43</c:f>
              <c:numCache>
                <c:formatCode>General</c:formatCode>
                <c:ptCount val="8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6890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9C0-4BE2-A6FE-341DD1F0E71C}"/>
            </c:ext>
          </c:extLst>
        </c:ser>
        <c:ser>
          <c:idx val="23"/>
          <c:order val="11"/>
          <c:tx>
            <c:v>Vy3</c:v>
          </c:tx>
          <c:spPr>
            <a:ln w="1905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Podsumowanie!$Y$47:$Y$54</c:f>
              <c:numCache>
                <c:formatCode>0.00</c:formatCode>
                <c:ptCount val="8"/>
                <c:pt idx="0">
                  <c:v>156.92777212614445</c:v>
                </c:pt>
                <c:pt idx="1">
                  <c:v>168.06103763987772</c:v>
                </c:pt>
                <c:pt idx="2">
                  <c:v>176.85045778229895</c:v>
                </c:pt>
                <c:pt idx="3">
                  <c:v>189.15564598168859</c:v>
                </c:pt>
                <c:pt idx="4">
                  <c:v>202.63275686673433</c:v>
                </c:pt>
                <c:pt idx="5">
                  <c:v>216.69582909460823</c:v>
                </c:pt>
                <c:pt idx="6">
                  <c:v>231.34486266530999</c:v>
                </c:pt>
                <c:pt idx="7" formatCode="General">
                  <c:v>255</c:v>
                </c:pt>
              </c:numCache>
            </c:numRef>
          </c:xVal>
          <c:yVal>
            <c:numRef>
              <c:f>Podsumowanie!$M$47:$M$54</c:f>
              <c:numCache>
                <c:formatCode>General</c:formatCode>
                <c:ptCount val="8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6670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59C0-4BE2-A6FE-341DD1F0E71C}"/>
            </c:ext>
          </c:extLst>
        </c:ser>
        <c:ser>
          <c:idx val="7"/>
          <c:order val="21"/>
          <c:tx>
            <c:v>ht1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Podsumowanie!$AC$45:$AC$46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xVal>
          <c:yVal>
            <c:numRef>
              <c:f>Podsumowanie!$AC$41:$AC$42</c:f>
              <c:numCache>
                <c:formatCode>General</c:formatCode>
                <c:ptCount val="2"/>
                <c:pt idx="0">
                  <c:v>7700</c:v>
                </c:pt>
                <c:pt idx="1">
                  <c:v>7700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59C0-4BE2-A6FE-341DD1F0E71C}"/>
            </c:ext>
          </c:extLst>
        </c:ser>
        <c:ser>
          <c:idx val="9"/>
          <c:order val="22"/>
          <c:tx>
            <c:v>ht2</c:v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Podsumowanie!$AC$45:$AC$46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xVal>
          <c:yVal>
            <c:numRef>
              <c:f>Podsumowanie!$AI$41:$AI$42</c:f>
              <c:numCache>
                <c:formatCode>General</c:formatCode>
                <c:ptCount val="2"/>
                <c:pt idx="0">
                  <c:v>6890</c:v>
                </c:pt>
                <c:pt idx="1">
                  <c:v>6890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59C0-4BE2-A6FE-341DD1F0E71C}"/>
            </c:ext>
          </c:extLst>
        </c:ser>
        <c:ser>
          <c:idx val="11"/>
          <c:order val="23"/>
          <c:tx>
            <c:v>ht3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Podsumowanie!$AC$45:$AC$46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xVal>
          <c:yVal>
            <c:numRef>
              <c:f>Podsumowanie!$AK$41:$AK$42</c:f>
              <c:numCache>
                <c:formatCode>General</c:formatCode>
                <c:ptCount val="2"/>
                <c:pt idx="0">
                  <c:v>6670</c:v>
                </c:pt>
                <c:pt idx="1">
                  <c:v>6670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59C0-4BE2-A6FE-341DD1F0E71C}"/>
            </c:ext>
          </c:extLst>
        </c:ser>
        <c:ser>
          <c:idx val="8"/>
          <c:order val="24"/>
          <c:tx>
            <c:v>hp1</c:v>
          </c:tx>
          <c:spPr>
            <a:ln w="12700" cap="rnd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Podsumowanie!$AC$45:$AC$46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xVal>
          <c:yVal>
            <c:numRef>
              <c:f>Podsumowanie!$AD$41:$AD$42</c:f>
              <c:numCache>
                <c:formatCode>General</c:formatCode>
                <c:ptCount val="2"/>
                <c:pt idx="0">
                  <c:v>7228.9449999999997</c:v>
                </c:pt>
                <c:pt idx="1">
                  <c:v>7228.9449999999997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59C0-4BE2-A6FE-341DD1F0E71C}"/>
            </c:ext>
          </c:extLst>
        </c:ser>
        <c:ser>
          <c:idx val="10"/>
          <c:order val="25"/>
          <c:tx>
            <c:v>hp2</c:v>
          </c:tx>
          <c:spPr>
            <a:ln w="12700" cap="rnd">
              <a:solidFill>
                <a:schemeClr val="bg1">
                  <a:lumMod val="5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Podsumowanie!$AC$45:$AC$46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xVal>
          <c:yVal>
            <c:numRef>
              <c:f>Podsumowanie!$AJ$41:$AJ$42</c:f>
              <c:numCache>
                <c:formatCode>General</c:formatCode>
                <c:ptCount val="2"/>
                <c:pt idx="0">
                  <c:v>6422.2349999999997</c:v>
                </c:pt>
                <c:pt idx="1">
                  <c:v>6422.2349999999997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59C0-4BE2-A6FE-341DD1F0E71C}"/>
            </c:ext>
          </c:extLst>
        </c:ser>
        <c:ser>
          <c:idx val="12"/>
          <c:order val="26"/>
          <c:tx>
            <c:v>hp3</c:v>
          </c:tx>
          <c:spPr>
            <a:ln w="1270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Podsumowanie!$AC$45:$AC$46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xVal>
          <c:yVal>
            <c:numRef>
              <c:f>Podsumowanie!$AL$41:$AL$42</c:f>
              <c:numCache>
                <c:formatCode>General</c:formatCode>
                <c:ptCount val="2"/>
                <c:pt idx="0">
                  <c:v>6214.05</c:v>
                </c:pt>
                <c:pt idx="1">
                  <c:v>6214.05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59C0-4BE2-A6FE-341DD1F0E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335119"/>
        <c:axId val="1641619439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12"/>
                <c:tx>
                  <c:v>10wmax1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Podsumowanie!$S$3:$S$11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81.692154255319096</c:v>
                      </c:pt>
                      <c:pt idx="1">
                        <c:v>69.363918439716301</c:v>
                      </c:pt>
                      <c:pt idx="2">
                        <c:v>57.589760638297804</c:v>
                      </c:pt>
                      <c:pt idx="3">
                        <c:v>46.923758865248203</c:v>
                      </c:pt>
                      <c:pt idx="4">
                        <c:v>35.980718085106304</c:v>
                      </c:pt>
                      <c:pt idx="5">
                        <c:v>26.1458333333333</c:v>
                      </c:pt>
                      <c:pt idx="6">
                        <c:v>16.033909574467998</c:v>
                      </c:pt>
                      <c:pt idx="7">
                        <c:v>7.39051094890511</c:v>
                      </c:pt>
                      <c:pt idx="8" formatCode="General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Podsumowanie!$M$3:$M$11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3000</c:v>
                      </c:pt>
                      <c:pt idx="4">
                        <c:v>4000</c:v>
                      </c:pt>
                      <c:pt idx="5">
                        <c:v>5000</c:v>
                      </c:pt>
                      <c:pt idx="6">
                        <c:v>6000</c:v>
                      </c:pt>
                      <c:pt idx="7">
                        <c:v>7000</c:v>
                      </c:pt>
                      <c:pt idx="8">
                        <c:v>7700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C-59C0-4BE2-A6FE-341DD1F0E71C}"/>
                  </c:ext>
                </c:extLst>
              </c15:ser>
            </c15:filteredScatterSeries>
            <c15:filteredScatterSeries>
              <c15:ser>
                <c:idx val="17"/>
                <c:order val="13"/>
                <c:tx>
                  <c:v>10wmax2</c:v>
                </c:tx>
                <c:spPr>
                  <a:ln w="19050" cap="rnd">
                    <a:solidFill>
                      <a:schemeClr val="accent5"/>
                    </a:solidFill>
                    <a:prstDash val="lg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Podsumowanie!$S$36:$S$43</c15:sqref>
                        </c15:formulaRef>
                      </c:ext>
                    </c:extLst>
                    <c:numCache>
                      <c:formatCode>0.00</c:formatCode>
                      <c:ptCount val="8"/>
                      <c:pt idx="0">
                        <c:v>73.658023049645294</c:v>
                      </c:pt>
                      <c:pt idx="1">
                        <c:v>61.606826241134698</c:v>
                      </c:pt>
                      <c:pt idx="2">
                        <c:v>50.1097074468085</c:v>
                      </c:pt>
                      <c:pt idx="3">
                        <c:v>38.889627659574401</c:v>
                      </c:pt>
                      <c:pt idx="4">
                        <c:v>28.777703900709199</c:v>
                      </c:pt>
                      <c:pt idx="5">
                        <c:v>19.912455673758799</c:v>
                      </c:pt>
                      <c:pt idx="6">
                        <c:v>9.5234929078014297</c:v>
                      </c:pt>
                      <c:pt idx="7" formatCode="General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Podsumowanie!$M$36:$M$43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3000</c:v>
                      </c:pt>
                      <c:pt idx="4">
                        <c:v>4000</c:v>
                      </c:pt>
                      <c:pt idx="5">
                        <c:v>5000</c:v>
                      </c:pt>
                      <c:pt idx="6">
                        <c:v>6000</c:v>
                      </c:pt>
                      <c:pt idx="7">
                        <c:v>6890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59C0-4BE2-A6FE-341DD1F0E71C}"/>
                  </c:ext>
                </c:extLst>
              </c15:ser>
            </c15:filteredScatterSeries>
            <c15:filteredScatterSeries>
              <c15:ser>
                <c:idx val="24"/>
                <c:order val="14"/>
                <c:tx>
                  <c:v>10wmax3</c:v>
                </c:tx>
                <c:spPr>
                  <a:ln w="19050" cap="rnd">
                    <a:solidFill>
                      <a:schemeClr val="accent5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Podsumowanie!$S$47:$S$54</c15:sqref>
                        </c15:formulaRef>
                      </c:ext>
                    </c:extLst>
                    <c:numCache>
                      <c:formatCode>0.00</c:formatCode>
                      <c:ptCount val="8"/>
                      <c:pt idx="0">
                        <c:v>73.103945035460896</c:v>
                      </c:pt>
                      <c:pt idx="1">
                        <c:v>60.637189716312001</c:v>
                      </c:pt>
                      <c:pt idx="2">
                        <c:v>49.001551418439703</c:v>
                      </c:pt>
                      <c:pt idx="3">
                        <c:v>37.781471631205598</c:v>
                      </c:pt>
                      <c:pt idx="4">
                        <c:v>27.2539893617021</c:v>
                      </c:pt>
                      <c:pt idx="5">
                        <c:v>17.142065602836801</c:v>
                      </c:pt>
                      <c:pt idx="6">
                        <c:v>7.3071808510638299</c:v>
                      </c:pt>
                      <c:pt idx="7" formatCode="General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Podsumowanie!$M$47:$M$54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3000</c:v>
                      </c:pt>
                      <c:pt idx="4">
                        <c:v>4000</c:v>
                      </c:pt>
                      <c:pt idx="5">
                        <c:v>5000</c:v>
                      </c:pt>
                      <c:pt idx="6">
                        <c:v>6000</c:v>
                      </c:pt>
                      <c:pt idx="7">
                        <c:v>6670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59C0-4BE2-A6FE-341DD1F0E71C}"/>
                  </c:ext>
                </c:extLst>
              </c15:ser>
            </c15:filteredScatterSeries>
            <c15:filteredScatterSeries>
              <c15:ser>
                <c:idx val="5"/>
                <c:order val="15"/>
                <c:tx>
                  <c:v>10ymax1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Podsumowanie!$W$3:$W$11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84.556976802361405</c:v>
                      </c:pt>
                      <c:pt idx="1">
                        <c:v>69.628270766972904</c:v>
                      </c:pt>
                      <c:pt idx="2">
                        <c:v>55.520404249286997</c:v>
                      </c:pt>
                      <c:pt idx="3">
                        <c:v>43.380751463402405</c:v>
                      </c:pt>
                      <c:pt idx="4">
                        <c:v>32.225705851941996</c:v>
                      </c:pt>
                      <c:pt idx="5">
                        <c:v>22.546070076547199</c:v>
                      </c:pt>
                      <c:pt idx="6">
                        <c:v>13.195137001150702</c:v>
                      </c:pt>
                      <c:pt idx="7">
                        <c:v>5.4847155746043397</c:v>
                      </c:pt>
                      <c:pt idx="8" formatCode="General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Podsumowanie!$M$3:$M$11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3000</c:v>
                      </c:pt>
                      <c:pt idx="4">
                        <c:v>4000</c:v>
                      </c:pt>
                      <c:pt idx="5">
                        <c:v>5000</c:v>
                      </c:pt>
                      <c:pt idx="6">
                        <c:v>6000</c:v>
                      </c:pt>
                      <c:pt idx="7">
                        <c:v>7000</c:v>
                      </c:pt>
                      <c:pt idx="8">
                        <c:v>7700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59C0-4BE2-A6FE-341DD1F0E71C}"/>
                  </c:ext>
                </c:extLst>
              </c15:ser>
            </c15:filteredScatterSeries>
            <c15:filteredScatterSeries>
              <c15:ser>
                <c:idx val="18"/>
                <c:order val="16"/>
                <c:tx>
                  <c:v>10ymax2</c:v>
                </c:tx>
                <c:spPr>
                  <a:ln w="19050" cap="rnd">
                    <a:solidFill>
                      <a:schemeClr val="accent6"/>
                    </a:solidFill>
                    <a:prstDash val="lg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Podsumowanie!$W$36:$W$43</c15:sqref>
                        </c15:formulaRef>
                      </c:ext>
                    </c:extLst>
                    <c:numCache>
                      <c:formatCode>0.00</c:formatCode>
                      <c:ptCount val="8"/>
                      <c:pt idx="0">
                        <c:v>81.444724246618705</c:v>
                      </c:pt>
                      <c:pt idx="1">
                        <c:v>65.701182395810704</c:v>
                      </c:pt>
                      <c:pt idx="2">
                        <c:v>51.269449493854502</c:v>
                      </c:pt>
                      <c:pt idx="3">
                        <c:v>38.3114587328852</c:v>
                      </c:pt>
                      <c:pt idx="4">
                        <c:v>26.665610459783501</c:v>
                      </c:pt>
                      <c:pt idx="5">
                        <c:v>18.4623851375014</c:v>
                      </c:pt>
                      <c:pt idx="6">
                        <c:v>8.2906125444023697</c:v>
                      </c:pt>
                      <c:pt idx="7" formatCode="General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Podsumowanie!$M$36:$M$43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3000</c:v>
                      </c:pt>
                      <c:pt idx="4">
                        <c:v>4000</c:v>
                      </c:pt>
                      <c:pt idx="5">
                        <c:v>5000</c:v>
                      </c:pt>
                      <c:pt idx="6">
                        <c:v>6000</c:v>
                      </c:pt>
                      <c:pt idx="7">
                        <c:v>6890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59C0-4BE2-A6FE-341DD1F0E71C}"/>
                  </c:ext>
                </c:extLst>
              </c15:ser>
            </c15:filteredScatterSeries>
            <c15:filteredScatterSeries>
              <c15:ser>
                <c:idx val="25"/>
                <c:order val="17"/>
                <c:tx>
                  <c:v>10ymax3</c:v>
                </c:tx>
                <c:spPr>
                  <a:ln w="19050" cap="rnd">
                    <a:solidFill>
                      <a:schemeClr val="accent6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Podsumowanie!$W$47:$W$54</c15:sqref>
                        </c15:formulaRef>
                      </c:ext>
                    </c:extLst>
                    <c:numCache>
                      <c:formatCode>0.00</c:formatCode>
                      <c:ptCount val="8"/>
                      <c:pt idx="0">
                        <c:v>79.644280639727796</c:v>
                      </c:pt>
                      <c:pt idx="1">
                        <c:v>63.900238480396197</c:v>
                      </c:pt>
                      <c:pt idx="2">
                        <c:v>50.124743591881604</c:v>
                      </c:pt>
                      <c:pt idx="3">
                        <c:v>37.330854026649696</c:v>
                      </c:pt>
                      <c:pt idx="4">
                        <c:v>25.519903940763399</c:v>
                      </c:pt>
                      <c:pt idx="5">
                        <c:v>15.511899004386001</c:v>
                      </c:pt>
                      <c:pt idx="6">
                        <c:v>5.99536380768141</c:v>
                      </c:pt>
                      <c:pt idx="7" formatCode="General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Podsumowanie!$M$47:$M$54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3000</c:v>
                      </c:pt>
                      <c:pt idx="4">
                        <c:v>4000</c:v>
                      </c:pt>
                      <c:pt idx="5">
                        <c:v>5000</c:v>
                      </c:pt>
                      <c:pt idx="6">
                        <c:v>6000</c:v>
                      </c:pt>
                      <c:pt idx="7">
                        <c:v>6670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59C0-4BE2-A6FE-341DD1F0E71C}"/>
                  </c:ext>
                </c:extLst>
              </c15:ser>
            </c15:filteredScatterSeries>
            <c15:filteredScatterSeries>
              <c15:ser>
                <c:idx val="6"/>
                <c:order val="18"/>
                <c:tx>
                  <c:v>10th1</c:v>
                </c:tx>
                <c:spPr>
                  <a:ln w="1270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Podsumowanie!$AA$3:$AA$11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0</c:v>
                      </c:pt>
                      <c:pt idx="1">
                        <c:v>22.214829052289236</c:v>
                      </c:pt>
                      <c:pt idx="2">
                        <c:v>48.698925005995164</c:v>
                      </c:pt>
                      <c:pt idx="3">
                        <c:v>80.92839465410907</c:v>
                      </c:pt>
                      <c:pt idx="4">
                        <c:v>121.84825253921929</c:v>
                      </c:pt>
                      <c:pt idx="5">
                        <c:v>176.88131564237668</c:v>
                      </c:pt>
                      <c:pt idx="6">
                        <c:v>260.72700965119213</c:v>
                      </c:pt>
                      <c:pt idx="7">
                        <c:v>425.45739534593872</c:v>
                      </c:pt>
                      <c:pt idx="8" formatCode="General">
                        <c:v>500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Podsumowanie!$M$3:$M$11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3000</c:v>
                      </c:pt>
                      <c:pt idx="4">
                        <c:v>4000</c:v>
                      </c:pt>
                      <c:pt idx="5">
                        <c:v>5000</c:v>
                      </c:pt>
                      <c:pt idx="6">
                        <c:v>6000</c:v>
                      </c:pt>
                      <c:pt idx="7">
                        <c:v>7000</c:v>
                      </c:pt>
                      <c:pt idx="8">
                        <c:v>7700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59C0-4BE2-A6FE-341DD1F0E71C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v>10th2</c:v>
                </c:tx>
                <c:spPr>
                  <a:ln w="12700" cap="rnd">
                    <a:solidFill>
                      <a:srgbClr val="FF0000"/>
                    </a:solidFill>
                    <a:prstDash val="lg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Podsumowanie!$AA$36:$AA$43</c15:sqref>
                        </c15:formulaRef>
                      </c:ext>
                    </c:extLst>
                    <c:numCache>
                      <c:formatCode>0.00</c:formatCode>
                      <c:ptCount val="8"/>
                      <c:pt idx="0">
                        <c:v>0</c:v>
                      </c:pt>
                      <c:pt idx="1">
                        <c:v>24.840184225337406</c:v>
                      </c:pt>
                      <c:pt idx="2">
                        <c:v>54.99700137097885</c:v>
                      </c:pt>
                      <c:pt idx="3">
                        <c:v>93.055343309779403</c:v>
                      </c:pt>
                      <c:pt idx="4">
                        <c:v>143.4411109645971</c:v>
                      </c:pt>
                      <c:pt idx="5">
                        <c:v>214.24856678462606</c:v>
                      </c:pt>
                      <c:pt idx="6">
                        <c:v>343.60132831470054</c:v>
                      </c:pt>
                      <c:pt idx="7" formatCode="General">
                        <c:v>500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Podsumowanie!$M$36:$M$43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3000</c:v>
                      </c:pt>
                      <c:pt idx="4">
                        <c:v>4000</c:v>
                      </c:pt>
                      <c:pt idx="5">
                        <c:v>5000</c:v>
                      </c:pt>
                      <c:pt idx="6">
                        <c:v>6000</c:v>
                      </c:pt>
                      <c:pt idx="7">
                        <c:v>6890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59C0-4BE2-A6FE-341DD1F0E71C}"/>
                  </c:ext>
                </c:extLst>
              </c15:ser>
            </c15:filteredScatterSeries>
            <c15:filteredScatterSeries>
              <c15:ser>
                <c:idx val="26"/>
                <c:order val="20"/>
                <c:tx>
                  <c:v>10th3</c:v>
                </c:tx>
                <c:spPr>
                  <a:ln w="12700" cap="rnd">
                    <a:solidFill>
                      <a:srgbClr val="FF0000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Podsumowanie!$AA$47:$AA$54</c15:sqref>
                        </c15:formulaRef>
                      </c:ext>
                    </c:extLst>
                    <c:numCache>
                      <c:formatCode>0.00</c:formatCode>
                      <c:ptCount val="8"/>
                      <c:pt idx="0">
                        <c:v>0</c:v>
                      </c:pt>
                      <c:pt idx="1">
                        <c:v>25.142234816324521</c:v>
                      </c:pt>
                      <c:pt idx="2">
                        <c:v>55.89144030058312</c:v>
                      </c:pt>
                      <c:pt idx="3">
                        <c:v>94.954371438325325</c:v>
                      </c:pt>
                      <c:pt idx="4">
                        <c:v>147.58760168997446</c:v>
                      </c:pt>
                      <c:pt idx="5">
                        <c:v>226.77752082316488</c:v>
                      </c:pt>
                      <c:pt idx="6">
                        <c:v>389.43394602399286</c:v>
                      </c:pt>
                      <c:pt idx="7" formatCode="General">
                        <c:v>500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Podsumowanie!$M$47:$M$54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3000</c:v>
                      </c:pt>
                      <c:pt idx="4">
                        <c:v>4000</c:v>
                      </c:pt>
                      <c:pt idx="5">
                        <c:v>5000</c:v>
                      </c:pt>
                      <c:pt idx="6">
                        <c:v>6000</c:v>
                      </c:pt>
                      <c:pt idx="7">
                        <c:v>6670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59C0-4BE2-A6FE-341DD1F0E71C}"/>
                  </c:ext>
                </c:extLst>
              </c15:ser>
            </c15:filteredScatterSeries>
          </c:ext>
        </c:extLst>
      </c:scatterChart>
      <c:valAx>
        <c:axId val="1494335119"/>
        <c:scaling>
          <c:orientation val="minMax"/>
          <c:max val="340"/>
          <c:min val="18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 [km/h]</a:t>
                </a:r>
              </a:p>
            </c:rich>
          </c:tx>
          <c:layout>
            <c:manualLayout>
              <c:xMode val="edge"/>
              <c:yMode val="edge"/>
              <c:x val="0.48248565552082906"/>
              <c:y val="0.936290623873938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41619439"/>
        <c:crosses val="autoZero"/>
        <c:crossBetween val="midCat"/>
        <c:majorUnit val="10"/>
      </c:valAx>
      <c:valAx>
        <c:axId val="1641619439"/>
        <c:scaling>
          <c:orientation val="minMax"/>
          <c:max val="7800"/>
          <c:min val="6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h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94335119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90958539784933778"/>
          <c:y val="1.596121381372766E-2"/>
          <c:w val="8.1201636475728131E-2"/>
          <c:h val="0.966090070049458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647062554680665"/>
          <c:y val="0.15809889173060529"/>
          <c:w val="0.79494531933508306"/>
          <c:h val="0.60658550993146321"/>
        </c:manualLayout>
      </c:layout>
      <c:scatterChart>
        <c:scatterStyle val="smoothMarker"/>
        <c:varyColors val="0"/>
        <c:ser>
          <c:idx val="0"/>
          <c:order val="0"/>
          <c:tx>
            <c:v>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'h=0m'!$G$3:$G$17</c:f>
              <c:numCache>
                <c:formatCode>0.0</c:formatCode>
                <c:ptCount val="15"/>
                <c:pt idx="0">
                  <c:v>35.157432011792558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'h=0m'!$N$3:$N$17</c:f>
              <c:numCache>
                <c:formatCode>0.00</c:formatCode>
                <c:ptCount val="15"/>
                <c:pt idx="0">
                  <c:v>5.853598521505921</c:v>
                </c:pt>
                <c:pt idx="1">
                  <c:v>7.5393584722415596</c:v>
                </c:pt>
                <c:pt idx="2">
                  <c:v>8.2180914572090096</c:v>
                </c:pt>
                <c:pt idx="3">
                  <c:v>8.4981840115175018</c:v>
                </c:pt>
                <c:pt idx="4">
                  <c:v>8.3448243339694983</c:v>
                </c:pt>
                <c:pt idx="5">
                  <c:v>7.8000301606534412</c:v>
                </c:pt>
                <c:pt idx="6">
                  <c:v>6.8706350779642307</c:v>
                </c:pt>
                <c:pt idx="7">
                  <c:v>5.3322891074386494</c:v>
                </c:pt>
                <c:pt idx="8">
                  <c:v>3.5631363069663022</c:v>
                </c:pt>
                <c:pt idx="9">
                  <c:v>1.3919689160718394</c:v>
                </c:pt>
                <c:pt idx="10">
                  <c:v>-1.5913238596835</c:v>
                </c:pt>
                <c:pt idx="11">
                  <c:v>-4.6499346551321752</c:v>
                </c:pt>
                <c:pt idx="12">
                  <c:v>-8.1356855189698116</c:v>
                </c:pt>
                <c:pt idx="13">
                  <c:v>-12.057210433612738</c:v>
                </c:pt>
                <c:pt idx="14">
                  <c:v>-17.083867338790231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84-4725-9342-F485A081161F}"/>
            </c:ext>
          </c:extLst>
        </c:ser>
        <c:ser>
          <c:idx val="1"/>
          <c:order val="1"/>
          <c:tx>
            <c:v>metoda mocy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'h=0m'!$H$22:$H$36</c:f>
              <c:numCache>
                <c:formatCode>0.00</c:formatCode>
                <c:ptCount val="15"/>
                <c:pt idx="0">
                  <c:v>35.157432011792558</c:v>
                </c:pt>
                <c:pt idx="1">
                  <c:v>35.811528285403178</c:v>
                </c:pt>
                <c:pt idx="2">
                  <c:v>36.971085844054947</c:v>
                </c:pt>
                <c:pt idx="3">
                  <c:v>38.223355944888525</c:v>
                </c:pt>
                <c:pt idx="4">
                  <c:v>39.798563070913126</c:v>
                </c:pt>
                <c:pt idx="5">
                  <c:v>41.355978660828761</c:v>
                </c:pt>
                <c:pt idx="6">
                  <c:v>43.191577880930247</c:v>
                </c:pt>
                <c:pt idx="7">
                  <c:v>45.598342806506814</c:v>
                </c:pt>
                <c:pt idx="8">
                  <c:v>48.17825713572428</c:v>
                </c:pt>
                <c:pt idx="9">
                  <c:v>51.119165881347236</c:v>
                </c:pt>
                <c:pt idx="10">
                  <c:v>59.505185664529769</c:v>
                </c:pt>
                <c:pt idx="11">
                  <c:v>65.403425373590096</c:v>
                </c:pt>
                <c:pt idx="12">
                  <c:v>73.692619266233933</c:v>
                </c:pt>
                <c:pt idx="13">
                  <c:v>85.439049209516369</c:v>
                </c:pt>
                <c:pt idx="14">
                  <c:v>104.07693059928242</c:v>
                </c:pt>
              </c:numCache>
            </c:numRef>
          </c:xVal>
          <c:yVal>
            <c:numRef>
              <c:f>'h=0m'!$N$22:$N$36</c:f>
              <c:numCache>
                <c:formatCode>0.00</c:formatCode>
                <c:ptCount val="15"/>
                <c:pt idx="0">
                  <c:v>5.6225247486882726</c:v>
                </c:pt>
                <c:pt idx="1">
                  <c:v>5.7722876914477412</c:v>
                </c:pt>
                <c:pt idx="2">
                  <c:v>6.0262562622225726</c:v>
                </c:pt>
                <c:pt idx="3">
                  <c:v>6.2924387621882465</c:v>
                </c:pt>
                <c:pt idx="4">
                  <c:v>6.5792469171273948</c:v>
                </c:pt>
                <c:pt idx="5">
                  <c:v>6.8422290704987665</c:v>
                </c:pt>
                <c:pt idx="6">
                  <c:v>7.1232334668273705</c:v>
                </c:pt>
                <c:pt idx="7">
                  <c:v>7.4212967285721225</c:v>
                </c:pt>
                <c:pt idx="8">
                  <c:v>7.7436761419440225</c:v>
                </c:pt>
                <c:pt idx="9">
                  <c:v>8.0448967363464465</c:v>
                </c:pt>
                <c:pt idx="10">
                  <c:v>8.4340838988079287</c:v>
                </c:pt>
                <c:pt idx="11">
                  <c:v>8.3540039767182446</c:v>
                </c:pt>
                <c:pt idx="12">
                  <c:v>7.7402279985224043</c:v>
                </c:pt>
                <c:pt idx="13">
                  <c:v>5.9868268243534128</c:v>
                </c:pt>
                <c:pt idx="14">
                  <c:v>0.8527985787127913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84-4725-9342-F485A081161F}"/>
            </c:ext>
          </c:extLst>
        </c:ser>
        <c:ser>
          <c:idx val="2"/>
          <c:order val="2"/>
          <c:tx>
            <c:v>metoda ciągu 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'Meotda CIągu, zmienna masa'!$K$4:$K$18</c:f>
              <c:numCache>
                <c:formatCode>0.0</c:formatCode>
                <c:ptCount val="15"/>
                <c:pt idx="0">
                  <c:v>36.916857200854587</c:v>
                </c:pt>
                <c:pt idx="1">
                  <c:v>38.783391060051393</c:v>
                </c:pt>
                <c:pt idx="2">
                  <c:v>44.261591747739743</c:v>
                </c:pt>
                <c:pt idx="3">
                  <c:v>49.7397924354281</c:v>
                </c:pt>
                <c:pt idx="4">
                  <c:v>55.217993123116457</c:v>
                </c:pt>
                <c:pt idx="5">
                  <c:v>60.696193810804814</c:v>
                </c:pt>
                <c:pt idx="6">
                  <c:v>66.174394498493172</c:v>
                </c:pt>
                <c:pt idx="7">
                  <c:v>71.652595186181514</c:v>
                </c:pt>
                <c:pt idx="8">
                  <c:v>77.130795873869886</c:v>
                </c:pt>
                <c:pt idx="9">
                  <c:v>82.608996561558229</c:v>
                </c:pt>
                <c:pt idx="10">
                  <c:v>88.0871972492466</c:v>
                </c:pt>
                <c:pt idx="11">
                  <c:v>93.565397936934943</c:v>
                </c:pt>
                <c:pt idx="12">
                  <c:v>99.043598624623286</c:v>
                </c:pt>
                <c:pt idx="13">
                  <c:v>104.52179931231166</c:v>
                </c:pt>
                <c:pt idx="14">
                  <c:v>110</c:v>
                </c:pt>
              </c:numCache>
            </c:numRef>
          </c:xVal>
          <c:yVal>
            <c:numRef>
              <c:f>'Meotda CIągu, zmienna masa'!$R$4:$R$18</c:f>
              <c:numCache>
                <c:formatCode>0.00</c:formatCode>
                <c:ptCount val="15"/>
                <c:pt idx="0">
                  <c:v>5.0741431973812459</c:v>
                </c:pt>
                <c:pt idx="1">
                  <c:v>5.4807586003817432</c:v>
                </c:pt>
                <c:pt idx="2">
                  <c:v>6.4951448628910082</c:v>
                </c:pt>
                <c:pt idx="3">
                  <c:v>7.2610463770975384</c:v>
                </c:pt>
                <c:pt idx="4">
                  <c:v>7.7908415762983783</c:v>
                </c:pt>
                <c:pt idx="5">
                  <c:v>8.0878713762983363</c:v>
                </c:pt>
                <c:pt idx="6">
                  <c:v>8.1496524867639284</c:v>
                </c:pt>
                <c:pt idx="7">
                  <c:v>7.9696994481296421</c:v>
                </c:pt>
                <c:pt idx="8">
                  <c:v>7.5385775894148388</c:v>
                </c:pt>
                <c:pt idx="9">
                  <c:v>6.8445193298020719</c:v>
                </c:pt>
                <c:pt idx="10">
                  <c:v>5.8737832465786974</c:v>
                </c:pt>
                <c:pt idx="11">
                  <c:v>4.6108552141471089</c:v>
                </c:pt>
                <c:pt idx="12">
                  <c:v>3.0385480844173807</c:v>
                </c:pt>
                <c:pt idx="13">
                  <c:v>1.1380328035091356</c:v>
                </c:pt>
                <c:pt idx="14">
                  <c:v>-1.1111794854972241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084-4725-9342-F485A0811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805743"/>
        <c:axId val="1798274655"/>
      </c:scatterChart>
      <c:valAx>
        <c:axId val="1857805743"/>
        <c:scaling>
          <c:orientation val="minMax"/>
          <c:max val="85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98274655"/>
        <c:crosses val="autoZero"/>
        <c:crossBetween val="midCat"/>
        <c:majorUnit val="5"/>
      </c:valAx>
      <c:valAx>
        <c:axId val="1798274655"/>
        <c:scaling>
          <c:orientation val="minMax"/>
          <c:max val="3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7805743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0891614592401991E-2"/>
          <c:y val="0.88435567996455688"/>
          <c:w val="0.97008712363043081"/>
          <c:h val="0.115644426025694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>
                <a:latin typeface="Calibri Light" panose="020F0302020204030204" pitchFamily="34" charset="0"/>
                <a:cs typeface="Calibri Light" panose="020F0302020204030204" pitchFamily="34" charset="0"/>
              </a:rPr>
              <a:t>γ</a:t>
            </a:r>
            <a:r>
              <a:rPr lang="pl-PL">
                <a:latin typeface="Calibri Light" panose="020F0302020204030204" pitchFamily="34" charset="0"/>
                <a:cs typeface="Calibri Light" panose="020F0302020204030204" pitchFamily="34" charset="0"/>
              </a:rPr>
              <a:t>(V)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5203958880139984"/>
          <c:y val="0.17171296296296296"/>
          <c:w val="0.78616754155730528"/>
          <c:h val="0.65604148439778365"/>
        </c:manualLayout>
      </c:layout>
      <c:scatterChart>
        <c:scatterStyle val="smoothMarker"/>
        <c:varyColors val="0"/>
        <c:ser>
          <c:idx val="0"/>
          <c:order val="0"/>
          <c:tx>
            <c:v>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'h=0m'!$G$3:$G$17</c:f>
              <c:numCache>
                <c:formatCode>0.0</c:formatCode>
                <c:ptCount val="15"/>
                <c:pt idx="0">
                  <c:v>35.157432011792558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'h=0m'!$M$3:$M$17</c:f>
              <c:numCache>
                <c:formatCode>0.00</c:formatCode>
                <c:ptCount val="15"/>
                <c:pt idx="0">
                  <c:v>9.5841953472820176</c:v>
                </c:pt>
                <c:pt idx="1">
                  <c:v>9.6448956623915105</c:v>
                </c:pt>
                <c:pt idx="2">
                  <c:v>9.0931618671122241</c:v>
                </c:pt>
                <c:pt idx="3">
                  <c:v>8.2815189678457362</c:v>
                </c:pt>
                <c:pt idx="4">
                  <c:v>7.1547474792448513</c:v>
                </c:pt>
                <c:pt idx="5">
                  <c:v>6.0505476784594547</c:v>
                </c:pt>
                <c:pt idx="6">
                  <c:v>4.8658269361088191</c:v>
                </c:pt>
                <c:pt idx="7">
                  <c:v>3.4348397580482977</c:v>
                </c:pt>
                <c:pt idx="8">
                  <c:v>2.1270789028708372</c:v>
                </c:pt>
                <c:pt idx="9">
                  <c:v>0.77433370826113224</c:v>
                </c:pt>
                <c:pt idx="10">
                  <c:v>-0.82143481528782425</c:v>
                </c:pt>
                <c:pt idx="11">
                  <c:v>-2.2583951791902956</c:v>
                </c:pt>
                <c:pt idx="12">
                  <c:v>-3.7317614169694586</c:v>
                </c:pt>
                <c:pt idx="13">
                  <c:v>-5.2408450214472646</c:v>
                </c:pt>
                <c:pt idx="14">
                  <c:v>-7.0091369959915291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FD-4CE5-B8EF-15D386F7590F}"/>
            </c:ext>
          </c:extLst>
        </c:ser>
        <c:ser>
          <c:idx val="1"/>
          <c:order val="1"/>
          <c:tx>
            <c:v>metoda mocy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'h=0m'!$H$22:$H$36</c:f>
              <c:numCache>
                <c:formatCode>0.00</c:formatCode>
                <c:ptCount val="15"/>
                <c:pt idx="0">
                  <c:v>35.157432011792558</c:v>
                </c:pt>
                <c:pt idx="1">
                  <c:v>35.811528285403178</c:v>
                </c:pt>
                <c:pt idx="2">
                  <c:v>36.971085844054947</c:v>
                </c:pt>
                <c:pt idx="3">
                  <c:v>38.223355944888525</c:v>
                </c:pt>
                <c:pt idx="4">
                  <c:v>39.798563070913126</c:v>
                </c:pt>
                <c:pt idx="5">
                  <c:v>41.355978660828761</c:v>
                </c:pt>
                <c:pt idx="6">
                  <c:v>43.191577880930247</c:v>
                </c:pt>
                <c:pt idx="7">
                  <c:v>45.598342806506814</c:v>
                </c:pt>
                <c:pt idx="8">
                  <c:v>48.17825713572428</c:v>
                </c:pt>
                <c:pt idx="9">
                  <c:v>51.119165881347236</c:v>
                </c:pt>
                <c:pt idx="10">
                  <c:v>59.505185664529769</c:v>
                </c:pt>
                <c:pt idx="11">
                  <c:v>65.403425373590096</c:v>
                </c:pt>
                <c:pt idx="12">
                  <c:v>73.692619266233933</c:v>
                </c:pt>
                <c:pt idx="13">
                  <c:v>85.439049209516369</c:v>
                </c:pt>
                <c:pt idx="14">
                  <c:v>104.07693059928242</c:v>
                </c:pt>
              </c:numCache>
            </c:numRef>
          </c:xVal>
          <c:yVal>
            <c:numRef>
              <c:f>'h=0m'!$O$22:$O$36</c:f>
              <c:numCache>
                <c:formatCode>0.00</c:formatCode>
                <c:ptCount val="15"/>
                <c:pt idx="0">
                  <c:v>9.2024974721161357</c:v>
                </c:pt>
                <c:pt idx="1">
                  <c:v>9.2756950872416848</c:v>
                </c:pt>
                <c:pt idx="2">
                  <c:v>9.3810217917284628</c:v>
                </c:pt>
                <c:pt idx="3">
                  <c:v>9.4753272397941526</c:v>
                </c:pt>
                <c:pt idx="4">
                  <c:v>9.5154572523679448</c:v>
                </c:pt>
                <c:pt idx="5">
                  <c:v>9.523211671641528</c:v>
                </c:pt>
                <c:pt idx="6">
                  <c:v>9.4926926417636821</c:v>
                </c:pt>
                <c:pt idx="7">
                  <c:v>9.3667642154018544</c:v>
                </c:pt>
                <c:pt idx="8">
                  <c:v>9.2492523320277122</c:v>
                </c:pt>
                <c:pt idx="9">
                  <c:v>9.0545849722729308</c:v>
                </c:pt>
                <c:pt idx="10">
                  <c:v>8.1483689046408152</c:v>
                </c:pt>
                <c:pt idx="11">
                  <c:v>7.3384589151338373</c:v>
                </c:pt>
                <c:pt idx="12">
                  <c:v>6.0291234364437098</c:v>
                </c:pt>
                <c:pt idx="13">
                  <c:v>4.0180835221810476</c:v>
                </c:pt>
                <c:pt idx="14">
                  <c:v>0.46948258213021554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BFD-4CE5-B8EF-15D386F7590F}"/>
            </c:ext>
          </c:extLst>
        </c:ser>
        <c:ser>
          <c:idx val="2"/>
          <c:order val="2"/>
          <c:tx>
            <c:v>metoda ciągu 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'Meotda CIągu, zmienna masa'!$K$4:$K$18</c:f>
              <c:numCache>
                <c:formatCode>0.0</c:formatCode>
                <c:ptCount val="15"/>
                <c:pt idx="0">
                  <c:v>36.916857200854587</c:v>
                </c:pt>
                <c:pt idx="1">
                  <c:v>38.783391060051393</c:v>
                </c:pt>
                <c:pt idx="2">
                  <c:v>44.261591747739743</c:v>
                </c:pt>
                <c:pt idx="3">
                  <c:v>49.7397924354281</c:v>
                </c:pt>
                <c:pt idx="4">
                  <c:v>55.217993123116457</c:v>
                </c:pt>
                <c:pt idx="5">
                  <c:v>60.696193810804814</c:v>
                </c:pt>
                <c:pt idx="6">
                  <c:v>66.174394498493172</c:v>
                </c:pt>
                <c:pt idx="7">
                  <c:v>71.652595186181514</c:v>
                </c:pt>
                <c:pt idx="8">
                  <c:v>77.130795873869886</c:v>
                </c:pt>
                <c:pt idx="9">
                  <c:v>82.608996561558229</c:v>
                </c:pt>
                <c:pt idx="10">
                  <c:v>88.0871972492466</c:v>
                </c:pt>
                <c:pt idx="11">
                  <c:v>93.565397936934943</c:v>
                </c:pt>
                <c:pt idx="12">
                  <c:v>99.043598624623286</c:v>
                </c:pt>
                <c:pt idx="13">
                  <c:v>104.52179931231166</c:v>
                </c:pt>
                <c:pt idx="14">
                  <c:v>110</c:v>
                </c:pt>
              </c:numCache>
            </c:numRef>
          </c:xVal>
          <c:yVal>
            <c:numRef>
              <c:f>'Meotda CIągu, zmienna masa'!$Q$4:$Q$18</c:f>
              <c:numCache>
                <c:formatCode>0.00</c:formatCode>
                <c:ptCount val="15"/>
                <c:pt idx="0">
                  <c:v>7.9001919730721797</c:v>
                </c:pt>
                <c:pt idx="1">
                  <c:v>8.124071665626035</c:v>
                </c:pt>
                <c:pt idx="2">
                  <c:v>8.4383120223231316</c:v>
                </c:pt>
                <c:pt idx="3">
                  <c:v>8.3940695825970142</c:v>
                </c:pt>
                <c:pt idx="4">
                  <c:v>8.1110661674836688</c:v>
                </c:pt>
                <c:pt idx="5">
                  <c:v>7.6575366532568898</c:v>
                </c:pt>
                <c:pt idx="6">
                  <c:v>7.0741737692794322</c:v>
                </c:pt>
                <c:pt idx="7">
                  <c:v>6.3860485443153578</c:v>
                </c:pt>
                <c:pt idx="8">
                  <c:v>5.6089052849865295</c:v>
                </c:pt>
                <c:pt idx="9">
                  <c:v>4.7526560985078401</c:v>
                </c:pt>
                <c:pt idx="10">
                  <c:v>3.8234034280757307</c:v>
                </c:pt>
                <c:pt idx="11">
                  <c:v>2.8246509185099251</c:v>
                </c:pt>
                <c:pt idx="12">
                  <c:v>1.7580470093364471</c:v>
                </c:pt>
                <c:pt idx="13">
                  <c:v>0.62384847372491603</c:v>
                </c:pt>
                <c:pt idx="14">
                  <c:v>-0.57879070569382662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BFD-4CE5-B8EF-15D386F75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32463"/>
        <c:axId val="39114431"/>
      </c:scatterChart>
      <c:valAx>
        <c:axId val="37832463"/>
        <c:scaling>
          <c:orientation val="minMax"/>
          <c:max val="90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9114431"/>
        <c:crosses val="autoZero"/>
        <c:crossBetween val="midCat"/>
        <c:majorUnit val="5"/>
      </c:valAx>
      <c:valAx>
        <c:axId val="39114431"/>
        <c:scaling>
          <c:orientation val="minMax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γ</a:t>
                </a:r>
                <a:r>
                  <a:rPr lang="pl-PL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 [°]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7832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3.1429352580927383E-2"/>
          <c:y val="0.86652704870224551"/>
          <c:w val="0.34555827220863894"/>
          <c:h val="0.133472979339121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α</a:t>
            </a:r>
            <a:r>
              <a:rPr lang="pl-PL"/>
              <a:t>(V), </a:t>
            </a:r>
            <a:r>
              <a:rPr lang="el-GR"/>
              <a:t>γ</a:t>
            </a:r>
            <a:r>
              <a:rPr lang="pl-PL"/>
              <a:t>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α 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'h=0m'!$G$3:$G$17</c:f>
              <c:numCache>
                <c:formatCode>0.0</c:formatCode>
                <c:ptCount val="15"/>
                <c:pt idx="0">
                  <c:v>35.157432011792558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'h=0m'!$L$3:$L$17</c:f>
              <c:numCache>
                <c:formatCode>0.00</c:formatCode>
                <c:ptCount val="15"/>
                <c:pt idx="0">
                  <c:v>11.327448024114711</c:v>
                </c:pt>
                <c:pt idx="1">
                  <c:v>5.9971157790449272</c:v>
                </c:pt>
                <c:pt idx="2">
                  <c:v>3.8246265954977665</c:v>
                </c:pt>
                <c:pt idx="3">
                  <c:v>2.3527362538731715</c:v>
                </c:pt>
                <c:pt idx="4">
                  <c:v>1.1869397429926716</c:v>
                </c:pt>
                <c:pt idx="5">
                  <c:v>0.45359556962900255</c:v>
                </c:pt>
                <c:pt idx="6">
                  <c:v>-0.10241884788100056</c:v>
                </c:pt>
                <c:pt idx="7">
                  <c:v>-0.58781924778605643</c:v>
                </c:pt>
                <c:pt idx="8">
                  <c:v>-0.91910979436096396</c:v>
                </c:pt>
                <c:pt idx="9">
                  <c:v>-1.1867581911411853</c:v>
                </c:pt>
                <c:pt idx="10">
                  <c:v>-1.4343084805967903</c:v>
                </c:pt>
                <c:pt idx="11">
                  <c:v>-1.6119936210067842</c:v>
                </c:pt>
                <c:pt idx="12">
                  <c:v>-1.7615241378399347</c:v>
                </c:pt>
                <c:pt idx="13">
                  <c:v>-1.8886440530111479</c:v>
                </c:pt>
                <c:pt idx="14">
                  <c:v>-2.0120170302031677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64-4B7B-898F-59AC84066869}"/>
            </c:ext>
          </c:extLst>
        </c:ser>
        <c:ser>
          <c:idx val="1"/>
          <c:order val="1"/>
          <c:tx>
            <c:v>γ metoda ciągu, m=const.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'h=0m'!$G$3:$G$17</c:f>
              <c:numCache>
                <c:formatCode>0.0</c:formatCode>
                <c:ptCount val="15"/>
                <c:pt idx="0">
                  <c:v>35.157432011792558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'h=0m'!$M$3:$M$17</c:f>
              <c:numCache>
                <c:formatCode>0.00</c:formatCode>
                <c:ptCount val="15"/>
                <c:pt idx="0">
                  <c:v>9.5841953472820176</c:v>
                </c:pt>
                <c:pt idx="1">
                  <c:v>9.6448956623915105</c:v>
                </c:pt>
                <c:pt idx="2">
                  <c:v>9.0931618671122241</c:v>
                </c:pt>
                <c:pt idx="3">
                  <c:v>8.2815189678457362</c:v>
                </c:pt>
                <c:pt idx="4">
                  <c:v>7.1547474792448513</c:v>
                </c:pt>
                <c:pt idx="5">
                  <c:v>6.0505476784594547</c:v>
                </c:pt>
                <c:pt idx="6">
                  <c:v>4.8658269361088191</c:v>
                </c:pt>
                <c:pt idx="7">
                  <c:v>3.4348397580482977</c:v>
                </c:pt>
                <c:pt idx="8">
                  <c:v>2.1270789028708372</c:v>
                </c:pt>
                <c:pt idx="9">
                  <c:v>0.77433370826113224</c:v>
                </c:pt>
                <c:pt idx="10">
                  <c:v>-0.82143481528782425</c:v>
                </c:pt>
                <c:pt idx="11">
                  <c:v>-2.2583951791902956</c:v>
                </c:pt>
                <c:pt idx="12">
                  <c:v>-3.7317614169694586</c:v>
                </c:pt>
                <c:pt idx="13">
                  <c:v>-5.2408450214472646</c:v>
                </c:pt>
                <c:pt idx="14">
                  <c:v>-7.0091369959915291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164-4B7B-898F-59AC84066869}"/>
            </c:ext>
          </c:extLst>
        </c:ser>
        <c:ser>
          <c:idx val="2"/>
          <c:order val="2"/>
          <c:tx>
            <c:v>α metoda mocy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'h=0m'!$H$22:$H$37</c:f>
              <c:numCache>
                <c:formatCode>0.00</c:formatCode>
                <c:ptCount val="16"/>
                <c:pt idx="0">
                  <c:v>35.157432011792558</c:v>
                </c:pt>
                <c:pt idx="1">
                  <c:v>35.811528285403178</c:v>
                </c:pt>
                <c:pt idx="2">
                  <c:v>36.971085844054947</c:v>
                </c:pt>
                <c:pt idx="3">
                  <c:v>38.223355944888525</c:v>
                </c:pt>
                <c:pt idx="4">
                  <c:v>39.798563070913126</c:v>
                </c:pt>
                <c:pt idx="5">
                  <c:v>41.355978660828761</c:v>
                </c:pt>
                <c:pt idx="6">
                  <c:v>43.191577880930247</c:v>
                </c:pt>
                <c:pt idx="7">
                  <c:v>45.598342806506814</c:v>
                </c:pt>
                <c:pt idx="8">
                  <c:v>48.17825713572428</c:v>
                </c:pt>
                <c:pt idx="9">
                  <c:v>51.119165881347236</c:v>
                </c:pt>
                <c:pt idx="10">
                  <c:v>59.505185664529769</c:v>
                </c:pt>
                <c:pt idx="11">
                  <c:v>65.403425373590096</c:v>
                </c:pt>
                <c:pt idx="12">
                  <c:v>73.692619266233933</c:v>
                </c:pt>
                <c:pt idx="13">
                  <c:v>85.439049209516369</c:v>
                </c:pt>
                <c:pt idx="14">
                  <c:v>104.07693059928242</c:v>
                </c:pt>
                <c:pt idx="15">
                  <c:v>168.45417280572855</c:v>
                </c:pt>
              </c:numCache>
            </c:numRef>
          </c:xVal>
          <c:yVal>
            <c:numRef>
              <c:f>'h=0m'!$P$22:$P$37</c:f>
              <c:numCache>
                <c:formatCode>0.00</c:formatCode>
                <c:ptCount val="16"/>
                <c:pt idx="0">
                  <c:v>15.276999999999999</c:v>
                </c:pt>
                <c:pt idx="1">
                  <c:v>12.122999999999999</c:v>
                </c:pt>
                <c:pt idx="2">
                  <c:v>11.015000000000001</c:v>
                </c:pt>
                <c:pt idx="3">
                  <c:v>9.5779999999999994</c:v>
                </c:pt>
                <c:pt idx="4">
                  <c:v>8.4719999999999995</c:v>
                </c:pt>
                <c:pt idx="5">
                  <c:v>7.694</c:v>
                </c:pt>
                <c:pt idx="6">
                  <c:v>7.048</c:v>
                </c:pt>
                <c:pt idx="7">
                  <c:v>6.0739999999999998</c:v>
                </c:pt>
                <c:pt idx="8">
                  <c:v>5.0990000000000002</c:v>
                </c:pt>
                <c:pt idx="9">
                  <c:v>3.86</c:v>
                </c:pt>
                <c:pt idx="10">
                  <c:v>2.0419999999999998</c:v>
                </c:pt>
                <c:pt idx="11">
                  <c:v>1.198</c:v>
                </c:pt>
                <c:pt idx="12">
                  <c:v>0.42</c:v>
                </c:pt>
                <c:pt idx="13">
                  <c:v>-0.29199999999999998</c:v>
                </c:pt>
                <c:pt idx="14">
                  <c:v>-1.071</c:v>
                </c:pt>
                <c:pt idx="15">
                  <c:v>-2.044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164-4B7B-898F-59AC84066869}"/>
            </c:ext>
          </c:extLst>
        </c:ser>
        <c:ser>
          <c:idx val="3"/>
          <c:order val="3"/>
          <c:tx>
            <c:v>γ metoda mocy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'h=0m'!$H$22:$H$36</c:f>
              <c:numCache>
                <c:formatCode>0.00</c:formatCode>
                <c:ptCount val="15"/>
                <c:pt idx="0">
                  <c:v>35.157432011792558</c:v>
                </c:pt>
                <c:pt idx="1">
                  <c:v>35.811528285403178</c:v>
                </c:pt>
                <c:pt idx="2">
                  <c:v>36.971085844054947</c:v>
                </c:pt>
                <c:pt idx="3">
                  <c:v>38.223355944888525</c:v>
                </c:pt>
                <c:pt idx="4">
                  <c:v>39.798563070913126</c:v>
                </c:pt>
                <c:pt idx="5">
                  <c:v>41.355978660828761</c:v>
                </c:pt>
                <c:pt idx="6">
                  <c:v>43.191577880930247</c:v>
                </c:pt>
                <c:pt idx="7">
                  <c:v>45.598342806506814</c:v>
                </c:pt>
                <c:pt idx="8">
                  <c:v>48.17825713572428</c:v>
                </c:pt>
                <c:pt idx="9">
                  <c:v>51.119165881347236</c:v>
                </c:pt>
                <c:pt idx="10">
                  <c:v>59.505185664529769</c:v>
                </c:pt>
                <c:pt idx="11">
                  <c:v>65.403425373590096</c:v>
                </c:pt>
                <c:pt idx="12">
                  <c:v>73.692619266233933</c:v>
                </c:pt>
                <c:pt idx="13">
                  <c:v>85.439049209516369</c:v>
                </c:pt>
                <c:pt idx="14">
                  <c:v>104.07693059928242</c:v>
                </c:pt>
              </c:numCache>
            </c:numRef>
          </c:xVal>
          <c:yVal>
            <c:numRef>
              <c:f>'h=0m'!$O$22:$O$37</c:f>
              <c:numCache>
                <c:formatCode>0.00</c:formatCode>
                <c:ptCount val="16"/>
                <c:pt idx="0">
                  <c:v>9.2024974721161357</c:v>
                </c:pt>
                <c:pt idx="1">
                  <c:v>9.2756950872416848</c:v>
                </c:pt>
                <c:pt idx="2">
                  <c:v>9.3810217917284628</c:v>
                </c:pt>
                <c:pt idx="3">
                  <c:v>9.4753272397941526</c:v>
                </c:pt>
                <c:pt idx="4">
                  <c:v>9.5154572523679448</c:v>
                </c:pt>
                <c:pt idx="5">
                  <c:v>9.523211671641528</c:v>
                </c:pt>
                <c:pt idx="6">
                  <c:v>9.4926926417636821</c:v>
                </c:pt>
                <c:pt idx="7">
                  <c:v>9.3667642154018544</c:v>
                </c:pt>
                <c:pt idx="8">
                  <c:v>9.2492523320277122</c:v>
                </c:pt>
                <c:pt idx="9">
                  <c:v>9.0545849722729308</c:v>
                </c:pt>
                <c:pt idx="10">
                  <c:v>8.1483689046408152</c:v>
                </c:pt>
                <c:pt idx="11">
                  <c:v>7.3384589151338373</c:v>
                </c:pt>
                <c:pt idx="12">
                  <c:v>6.0291234364437098</c:v>
                </c:pt>
                <c:pt idx="13">
                  <c:v>4.0180835221810476</c:v>
                </c:pt>
                <c:pt idx="14">
                  <c:v>0.46948258213021554</c:v>
                </c:pt>
                <c:pt idx="15">
                  <c:v>-13.726640734674382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164-4B7B-898F-59AC84066869}"/>
            </c:ext>
          </c:extLst>
        </c:ser>
        <c:ser>
          <c:idx val="4"/>
          <c:order val="4"/>
          <c:tx>
            <c:v>alfa metoda ciągu 2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masa'!$K$4:$K$18</c:f>
              <c:numCache>
                <c:formatCode>0.0</c:formatCode>
                <c:ptCount val="15"/>
                <c:pt idx="0">
                  <c:v>36.916857200854587</c:v>
                </c:pt>
                <c:pt idx="1">
                  <c:v>38.783391060051393</c:v>
                </c:pt>
                <c:pt idx="2">
                  <c:v>44.261591747739743</c:v>
                </c:pt>
                <c:pt idx="3">
                  <c:v>49.7397924354281</c:v>
                </c:pt>
                <c:pt idx="4">
                  <c:v>55.217993123116457</c:v>
                </c:pt>
                <c:pt idx="5">
                  <c:v>60.696193810804814</c:v>
                </c:pt>
                <c:pt idx="6">
                  <c:v>66.174394498493172</c:v>
                </c:pt>
                <c:pt idx="7">
                  <c:v>71.652595186181514</c:v>
                </c:pt>
                <c:pt idx="8">
                  <c:v>77.130795873869886</c:v>
                </c:pt>
                <c:pt idx="9">
                  <c:v>82.608996561558229</c:v>
                </c:pt>
                <c:pt idx="10">
                  <c:v>88.0871972492466</c:v>
                </c:pt>
                <c:pt idx="11">
                  <c:v>93.565397936934943</c:v>
                </c:pt>
                <c:pt idx="12">
                  <c:v>99.043598624623286</c:v>
                </c:pt>
                <c:pt idx="13">
                  <c:v>104.52179931231166</c:v>
                </c:pt>
                <c:pt idx="14">
                  <c:v>110</c:v>
                </c:pt>
              </c:numCache>
            </c:numRef>
          </c:xVal>
          <c:yVal>
            <c:numRef>
              <c:f>'Meotda CIągu, zmienna masa'!$P$4:$P$18</c:f>
              <c:numCache>
                <c:formatCode>0.00</c:formatCode>
                <c:ptCount val="15"/>
                <c:pt idx="0">
                  <c:v>11.463338447091243</c:v>
                </c:pt>
                <c:pt idx="1">
                  <c:v>10.117926947148067</c:v>
                </c:pt>
                <c:pt idx="2">
                  <c:v>7.0650102410456634</c:v>
                </c:pt>
                <c:pt idx="3">
                  <c:v>4.9356514297729221</c:v>
                </c:pt>
                <c:pt idx="4">
                  <c:v>3.3965785926130869</c:v>
                </c:pt>
                <c:pt idx="5">
                  <c:v>2.2508079563901826</c:v>
                </c:pt>
                <c:pt idx="6">
                  <c:v>1.3764254730932111</c:v>
                </c:pt>
                <c:pt idx="7">
                  <c:v>0.69495239296234101</c:v>
                </c:pt>
                <c:pt idx="8">
                  <c:v>0.1541356744914518</c:v>
                </c:pt>
                <c:pt idx="9">
                  <c:v>-0.28184649366329523</c:v>
                </c:pt>
                <c:pt idx="10">
                  <c:v>-0.63818397891416523</c:v>
                </c:pt>
                <c:pt idx="11">
                  <c:v>-0.93298995893454484</c:v>
                </c:pt>
                <c:pt idx="12">
                  <c:v>-1.1795484172280448</c:v>
                </c:pt>
                <c:pt idx="13">
                  <c:v>-1.3877741523908131</c:v>
                </c:pt>
                <c:pt idx="14">
                  <c:v>-1.5651845402953586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164-4B7B-898F-59AC84066869}"/>
            </c:ext>
          </c:extLst>
        </c:ser>
        <c:ser>
          <c:idx val="5"/>
          <c:order val="5"/>
          <c:tx>
            <c:v>gamma metoda ciągu 2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masa'!$K$4:$K$18</c:f>
              <c:numCache>
                <c:formatCode>0.0</c:formatCode>
                <c:ptCount val="15"/>
                <c:pt idx="0">
                  <c:v>36.916857200854587</c:v>
                </c:pt>
                <c:pt idx="1">
                  <c:v>38.783391060051393</c:v>
                </c:pt>
                <c:pt idx="2">
                  <c:v>44.261591747739743</c:v>
                </c:pt>
                <c:pt idx="3">
                  <c:v>49.7397924354281</c:v>
                </c:pt>
                <c:pt idx="4">
                  <c:v>55.217993123116457</c:v>
                </c:pt>
                <c:pt idx="5">
                  <c:v>60.696193810804814</c:v>
                </c:pt>
                <c:pt idx="6">
                  <c:v>66.174394498493172</c:v>
                </c:pt>
                <c:pt idx="7">
                  <c:v>71.652595186181514</c:v>
                </c:pt>
                <c:pt idx="8">
                  <c:v>77.130795873869886</c:v>
                </c:pt>
                <c:pt idx="9">
                  <c:v>82.608996561558229</c:v>
                </c:pt>
                <c:pt idx="10">
                  <c:v>88.0871972492466</c:v>
                </c:pt>
                <c:pt idx="11">
                  <c:v>93.565397936934943</c:v>
                </c:pt>
                <c:pt idx="12">
                  <c:v>99.043598624623286</c:v>
                </c:pt>
                <c:pt idx="13">
                  <c:v>104.52179931231166</c:v>
                </c:pt>
                <c:pt idx="14">
                  <c:v>110</c:v>
                </c:pt>
              </c:numCache>
            </c:numRef>
          </c:xVal>
          <c:yVal>
            <c:numRef>
              <c:f>'Meotda CIągu, zmienna masa'!$Q$4:$Q$18</c:f>
              <c:numCache>
                <c:formatCode>0.00</c:formatCode>
                <c:ptCount val="15"/>
                <c:pt idx="0">
                  <c:v>7.9001919730721797</c:v>
                </c:pt>
                <c:pt idx="1">
                  <c:v>8.124071665626035</c:v>
                </c:pt>
                <c:pt idx="2">
                  <c:v>8.4383120223231316</c:v>
                </c:pt>
                <c:pt idx="3">
                  <c:v>8.3940695825970142</c:v>
                </c:pt>
                <c:pt idx="4">
                  <c:v>8.1110661674836688</c:v>
                </c:pt>
                <c:pt idx="5">
                  <c:v>7.6575366532568898</c:v>
                </c:pt>
                <c:pt idx="6">
                  <c:v>7.0741737692794322</c:v>
                </c:pt>
                <c:pt idx="7">
                  <c:v>6.3860485443153578</c:v>
                </c:pt>
                <c:pt idx="8">
                  <c:v>5.6089052849865295</c:v>
                </c:pt>
                <c:pt idx="9">
                  <c:v>4.7526560985078401</c:v>
                </c:pt>
                <c:pt idx="10">
                  <c:v>3.8234034280757307</c:v>
                </c:pt>
                <c:pt idx="11">
                  <c:v>2.8246509185099251</c:v>
                </c:pt>
                <c:pt idx="12">
                  <c:v>1.7580470093364471</c:v>
                </c:pt>
                <c:pt idx="13">
                  <c:v>0.62384847372491603</c:v>
                </c:pt>
                <c:pt idx="14">
                  <c:v>-0.57879070569382662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164-4B7B-898F-59AC84066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809103"/>
        <c:axId val="1803560847"/>
      </c:scatterChart>
      <c:valAx>
        <c:axId val="1857809103"/>
        <c:scaling>
          <c:orientation val="minMax"/>
          <c:max val="140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03560847"/>
        <c:crosses val="autoZero"/>
        <c:crossBetween val="midCat"/>
        <c:majorUnit val="10"/>
      </c:valAx>
      <c:valAx>
        <c:axId val="1803560847"/>
        <c:scaling>
          <c:orientation val="minMax"/>
          <c:max val="10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α</a:t>
                </a:r>
                <a:r>
                  <a:rPr lang="pl-PL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, </a:t>
                </a:r>
                <a:r>
                  <a:rPr lang="el-GR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γ</a:t>
                </a:r>
                <a:r>
                  <a:rPr lang="pl-PL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 [°]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7809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h=0km m. ciągu m=const.</c:v>
          </c:tx>
          <c:spPr>
            <a:ln w="19050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'h=0m'!$G$3:$G$17</c:f>
              <c:numCache>
                <c:formatCode>0.0</c:formatCode>
                <c:ptCount val="15"/>
                <c:pt idx="0">
                  <c:v>35.157432011792558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'h=0m'!$N$3:$N$17</c:f>
              <c:numCache>
                <c:formatCode>0.00</c:formatCode>
                <c:ptCount val="15"/>
                <c:pt idx="0">
                  <c:v>5.853598521505921</c:v>
                </c:pt>
                <c:pt idx="1">
                  <c:v>7.5393584722415596</c:v>
                </c:pt>
                <c:pt idx="2">
                  <c:v>8.2180914572090096</c:v>
                </c:pt>
                <c:pt idx="3">
                  <c:v>8.4981840115175018</c:v>
                </c:pt>
                <c:pt idx="4">
                  <c:v>8.3448243339694983</c:v>
                </c:pt>
                <c:pt idx="5">
                  <c:v>7.8000301606534412</c:v>
                </c:pt>
                <c:pt idx="6">
                  <c:v>6.8706350779642307</c:v>
                </c:pt>
                <c:pt idx="7">
                  <c:v>5.3322891074386494</c:v>
                </c:pt>
                <c:pt idx="8">
                  <c:v>3.5631363069663022</c:v>
                </c:pt>
                <c:pt idx="9">
                  <c:v>1.3919689160718394</c:v>
                </c:pt>
                <c:pt idx="10">
                  <c:v>-1.5913238596835</c:v>
                </c:pt>
                <c:pt idx="11">
                  <c:v>-4.6499346551321752</c:v>
                </c:pt>
                <c:pt idx="12">
                  <c:v>-8.1356855189698116</c:v>
                </c:pt>
                <c:pt idx="13">
                  <c:v>-12.057210433612738</c:v>
                </c:pt>
                <c:pt idx="14">
                  <c:v>-17.083867338790231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6B-4EAC-B155-4EACD09AA4EB}"/>
            </c:ext>
          </c:extLst>
        </c:ser>
        <c:ser>
          <c:idx val="1"/>
          <c:order val="1"/>
          <c:tx>
            <c:v>h=1km m. ciągu, m=const.</c:v>
          </c:tx>
          <c:spPr>
            <a:ln w="19050" cap="rnd">
              <a:solidFill>
                <a:schemeClr val="accent2">
                  <a:alpha val="96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'h=1km'!$G$3:$G$17</c:f>
              <c:numCache>
                <c:formatCode>0.0</c:formatCode>
                <c:ptCount val="15"/>
                <c:pt idx="0">
                  <c:v>36.907789207676011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'h=1km'!$N$3:$N$17</c:f>
              <c:numCache>
                <c:formatCode>0.00</c:formatCode>
                <c:ptCount val="15"/>
                <c:pt idx="0">
                  <c:v>5.0144834704004841</c:v>
                </c:pt>
                <c:pt idx="1">
                  <c:v>6.2968550256903066</c:v>
                </c:pt>
                <c:pt idx="2">
                  <c:v>6.9626273208930325</c:v>
                </c:pt>
                <c:pt idx="3">
                  <c:v>7.2517967197267517</c:v>
                </c:pt>
                <c:pt idx="4">
                  <c:v>7.1402310358052059</c:v>
                </c:pt>
                <c:pt idx="5">
                  <c:v>6.6623246939410636</c:v>
                </c:pt>
                <c:pt idx="6">
                  <c:v>5.8301754327705559</c:v>
                </c:pt>
                <c:pt idx="7">
                  <c:v>4.4422186919605595</c:v>
                </c:pt>
                <c:pt idx="8">
                  <c:v>2.8405870065141618</c:v>
                </c:pt>
                <c:pt idx="9">
                  <c:v>0.87179535339264358</c:v>
                </c:pt>
                <c:pt idx="10">
                  <c:v>-1.8360104608558871</c:v>
                </c:pt>
                <c:pt idx="11">
                  <c:v>-4.6136515572512673</c:v>
                </c:pt>
                <c:pt idx="12">
                  <c:v>-7.7800579393180911</c:v>
                </c:pt>
                <c:pt idx="13">
                  <c:v>-11.342831041453154</c:v>
                </c:pt>
                <c:pt idx="14">
                  <c:v>-15.909944556616242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06B-4EAC-B155-4EACD09AA4EB}"/>
            </c:ext>
          </c:extLst>
        </c:ser>
        <c:ser>
          <c:idx val="2"/>
          <c:order val="2"/>
          <c:tx>
            <c:v>h=2km m. ciągu, m=const.</c:v>
          </c:tx>
          <c:spPr>
            <a:ln w="19050" cap="rnd">
              <a:solidFill>
                <a:schemeClr val="accent4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'h=2km'!$G$3:$G$17</c:f>
              <c:numCache>
                <c:formatCode>0.0</c:formatCode>
                <c:ptCount val="15"/>
                <c:pt idx="0">
                  <c:v>38.789302761294081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'h=2km'!$N$3:$N$17</c:f>
              <c:numCache>
                <c:formatCode>0.00</c:formatCode>
                <c:ptCount val="15"/>
                <c:pt idx="0">
                  <c:v>4.1859485238708256</c:v>
                </c:pt>
                <c:pt idx="1">
                  <c:v>5.1008068210570512</c:v>
                </c:pt>
                <c:pt idx="2">
                  <c:v>5.7614329371791042</c:v>
                </c:pt>
                <c:pt idx="3">
                  <c:v>6.0643033956694072</c:v>
                </c:pt>
                <c:pt idx="4">
                  <c:v>5.9959714388832346</c:v>
                </c:pt>
                <c:pt idx="5">
                  <c:v>5.5828633849034937</c:v>
                </c:pt>
                <c:pt idx="6">
                  <c:v>4.8427108560280248</c:v>
                </c:pt>
                <c:pt idx="7">
                  <c:v>3.5952030797707413</c:v>
                </c:pt>
                <c:pt idx="8">
                  <c:v>2.1488508136410673</c:v>
                </c:pt>
                <c:pt idx="9">
                  <c:v>0.36680616953771022</c:v>
                </c:pt>
                <c:pt idx="10">
                  <c:v>-2.0876767746311389</c:v>
                </c:pt>
                <c:pt idx="11">
                  <c:v>-4.6076167249617823</c:v>
                </c:pt>
                <c:pt idx="12">
                  <c:v>-7.481682136354995</c:v>
                </c:pt>
                <c:pt idx="13">
                  <c:v>-10.716559712791103</c:v>
                </c:pt>
                <c:pt idx="14">
                  <c:v>-14.864261151954656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06B-4EAC-B155-4EACD09AA4EB}"/>
            </c:ext>
          </c:extLst>
        </c:ser>
        <c:ser>
          <c:idx val="3"/>
          <c:order val="3"/>
          <c:tx>
            <c:v>h=3km m. ciągu, m=const.</c:v>
          </c:tx>
          <c:spPr>
            <a:ln w="19050" cap="rnd">
              <a:solidFill>
                <a:schemeClr val="accent3">
                  <a:alpha val="97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'h=3km'!$G$3:$G$17</c:f>
              <c:numCache>
                <c:formatCode>0.0</c:formatCode>
                <c:ptCount val="15"/>
                <c:pt idx="0">
                  <c:v>40.815259783159711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'h=3km'!$N$3:$N$17</c:f>
              <c:numCache>
                <c:formatCode>0.00</c:formatCode>
                <c:ptCount val="15"/>
                <c:pt idx="0">
                  <c:v>3.3553473760019381</c:v>
                </c:pt>
                <c:pt idx="1">
                  <c:v>3.9303213933488417</c:v>
                </c:pt>
                <c:pt idx="2">
                  <c:v>4.5920455417216868</c:v>
                </c:pt>
                <c:pt idx="3">
                  <c:v>4.9122477734625996</c:v>
                </c:pt>
                <c:pt idx="4">
                  <c:v>4.8884276835339815</c:v>
                </c:pt>
                <c:pt idx="5">
                  <c:v>4.5389740485897088</c:v>
                </c:pt>
                <c:pt idx="6">
                  <c:v>3.8877593552800054</c:v>
                </c:pt>
                <c:pt idx="7">
                  <c:v>2.7750508959304754</c:v>
                </c:pt>
                <c:pt idx="8">
                  <c:v>1.477306019618247</c:v>
                </c:pt>
                <c:pt idx="9">
                  <c:v>-0.12616437041624659</c:v>
                </c:pt>
                <c:pt idx="10">
                  <c:v>-2.3383441719051747</c:v>
                </c:pt>
                <c:pt idx="11">
                  <c:v>-4.6115970938161945</c:v>
                </c:pt>
                <c:pt idx="12">
                  <c:v>-7.205515612576078</c:v>
                </c:pt>
                <c:pt idx="13">
                  <c:v>-10.125781719771982</c:v>
                </c:pt>
                <c:pt idx="14">
                  <c:v>-13.870474641733701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06B-4EAC-B155-4EACD09AA4EB}"/>
            </c:ext>
          </c:extLst>
        </c:ser>
        <c:ser>
          <c:idx val="4"/>
          <c:order val="4"/>
          <c:tx>
            <c:v>h=4km m. ciągu, m=const.</c:v>
          </c:tx>
          <c:spPr>
            <a:ln w="19050" cap="rnd">
              <a:solidFill>
                <a:schemeClr val="accent5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'h=4km'!$G$3:$G$17</c:f>
              <c:numCache>
                <c:formatCode>0.0</c:formatCode>
                <c:ptCount val="15"/>
                <c:pt idx="0">
                  <c:v>43.00066152062773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'h=4km'!$N$3:$N$17</c:f>
              <c:numCache>
                <c:formatCode>0.00</c:formatCode>
                <c:ptCount val="15"/>
                <c:pt idx="0">
                  <c:v>2.5468480498700123</c:v>
                </c:pt>
                <c:pt idx="1">
                  <c:v>2.8033627475714549</c:v>
                </c:pt>
                <c:pt idx="2">
                  <c:v>3.4691459268760747</c:v>
                </c:pt>
                <c:pt idx="3">
                  <c:v>3.8060086159079836</c:v>
                </c:pt>
                <c:pt idx="4">
                  <c:v>3.8221741440907335</c:v>
                </c:pt>
                <c:pt idx="5">
                  <c:v>3.5297242415150278</c:v>
                </c:pt>
                <c:pt idx="6">
                  <c:v>2.9588087675609729</c:v>
                </c:pt>
                <c:pt idx="7">
                  <c:v>1.969210624356913</c:v>
                </c:pt>
                <c:pt idx="8">
                  <c:v>0.8087534218699175</c:v>
                </c:pt>
                <c:pt idx="9">
                  <c:v>-0.62801786403329729</c:v>
                </c:pt>
                <c:pt idx="10">
                  <c:v>-2.611606936615118</c:v>
                </c:pt>
                <c:pt idx="11">
                  <c:v>-4.6498225107408473</c:v>
                </c:pt>
                <c:pt idx="12">
                  <c:v>-6.9744884263573068</c:v>
                </c:pt>
                <c:pt idx="13">
                  <c:v>-9.589874960820433</c:v>
                </c:pt>
                <c:pt idx="14">
                  <c:v>-12.940738266895075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06B-4EAC-B155-4EACD09AA4EB}"/>
            </c:ext>
          </c:extLst>
        </c:ser>
        <c:ser>
          <c:idx val="6"/>
          <c:order val="5"/>
          <c:tx>
            <c:v>h=5km m. ciągu, m=const.</c:v>
          </c:tx>
          <c:spPr>
            <a:ln w="19050" cap="rnd">
              <a:solidFill>
                <a:schemeClr val="accent6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'h=5km'!$G$3:$G$17</c:f>
              <c:numCache>
                <c:formatCode>0.0</c:formatCode>
                <c:ptCount val="15"/>
                <c:pt idx="0">
                  <c:v>45.362494420478008</c:v>
                </c:pt>
                <c:pt idx="1">
                  <c:v>50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'h=5km'!$N$3:$N$17</c:f>
              <c:numCache>
                <c:formatCode>0.00</c:formatCode>
                <c:ptCount val="15"/>
                <c:pt idx="0">
                  <c:v>1.7063127985974098</c:v>
                </c:pt>
                <c:pt idx="1">
                  <c:v>2.1850399362672865</c:v>
                </c:pt>
                <c:pt idx="2">
                  <c:v>2.3461234807419946</c:v>
                </c:pt>
                <c:pt idx="3">
                  <c:v>2.7116108717985514</c:v>
                </c:pt>
                <c:pt idx="4">
                  <c:v>2.7784875954278729</c:v>
                </c:pt>
                <c:pt idx="5">
                  <c:v>2.5493689899198047</c:v>
                </c:pt>
                <c:pt idx="6">
                  <c:v>2.0617486225537891</c:v>
                </c:pt>
                <c:pt idx="7">
                  <c:v>1.1939477967130097</c:v>
                </c:pt>
                <c:pt idx="8">
                  <c:v>0.16490596383433528</c:v>
                </c:pt>
                <c:pt idx="9">
                  <c:v>-1.1160202307890776</c:v>
                </c:pt>
                <c:pt idx="10">
                  <c:v>-2.8902526071967083</c:v>
                </c:pt>
                <c:pt idx="11">
                  <c:v>-4.716876971218344</c:v>
                </c:pt>
                <c:pt idx="12">
                  <c:v>-6.802523047682369</c:v>
                </c:pt>
                <c:pt idx="13">
                  <c:v>-9.1506372017469015</c:v>
                </c:pt>
                <c:pt idx="14">
                  <c:v>-12.16043968367234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06B-4EAC-B155-4EACD09AA4EB}"/>
            </c:ext>
          </c:extLst>
        </c:ser>
        <c:ser>
          <c:idx val="7"/>
          <c:order val="6"/>
          <c:tx>
            <c:v>h=6km m. ciągu, m=const.</c:v>
          </c:tx>
          <c:spPr>
            <a:ln w="19050" cap="rnd">
              <a:solidFill>
                <a:schemeClr val="tx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'h=6km'!$G$3:$G$17</c:f>
              <c:numCache>
                <c:formatCode>0.0</c:formatCode>
                <c:ptCount val="15"/>
                <c:pt idx="0">
                  <c:v>47.92005236771405</c:v>
                </c:pt>
                <c:pt idx="1">
                  <c:v>51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'h=6km'!$N$3:$N$17</c:f>
              <c:numCache>
                <c:formatCode>0.00</c:formatCode>
                <c:ptCount val="15"/>
                <c:pt idx="0">
                  <c:v>0.86660463251923536</c:v>
                </c:pt>
                <c:pt idx="1">
                  <c:v>1.1574452692112311</c:v>
                </c:pt>
                <c:pt idx="2">
                  <c:v>1.238551216890236</c:v>
                </c:pt>
                <c:pt idx="3">
                  <c:v>1.6362192311249206</c:v>
                </c:pt>
                <c:pt idx="4">
                  <c:v>1.7546873181252427</c:v>
                </c:pt>
                <c:pt idx="5">
                  <c:v>1.5872837618447613</c:v>
                </c:pt>
                <c:pt idx="6">
                  <c:v>1.1794551061626435</c:v>
                </c:pt>
                <c:pt idx="7">
                  <c:v>0.42754203833600424</c:v>
                </c:pt>
                <c:pt idx="8">
                  <c:v>-0.47660852497897299</c:v>
                </c:pt>
                <c:pt idx="9">
                  <c:v>-1.6092054840159591</c:v>
                </c:pt>
                <c:pt idx="10">
                  <c:v>-3.1835708096650794</c:v>
                </c:pt>
                <c:pt idx="11">
                  <c:v>-4.8074266702383417</c:v>
                </c:pt>
                <c:pt idx="12">
                  <c:v>-6.6631190533163736</c:v>
                </c:pt>
                <c:pt idx="13">
                  <c:v>-8.7530535399447675</c:v>
                </c:pt>
                <c:pt idx="14">
                  <c:v>-11.431934605222663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06B-4EAC-B155-4EACD09AA4EB}"/>
            </c:ext>
          </c:extLst>
        </c:ser>
        <c:ser>
          <c:idx val="8"/>
          <c:order val="7"/>
          <c:tx>
            <c:v>h=7km m. ciągu, m=const.</c:v>
          </c:tx>
          <c:spPr>
            <a:ln w="19050" cap="rnd">
              <a:solidFill>
                <a:schemeClr val="accent2">
                  <a:lumMod val="75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'h=7m'!$G$3:$G$17</c:f>
              <c:numCache>
                <c:formatCode>0.0</c:formatCode>
                <c:ptCount val="15"/>
                <c:pt idx="0">
                  <c:v>50.695321417043772</c:v>
                </c:pt>
                <c:pt idx="1">
                  <c:v>55</c:v>
                </c:pt>
                <c:pt idx="2">
                  <c:v>57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'h=7m'!$N$3:$N$17</c:f>
              <c:numCache>
                <c:formatCode>0.00</c:formatCode>
                <c:ptCount val="15"/>
                <c:pt idx="0">
                  <c:v>-1.2080979455590618E-2</c:v>
                </c:pt>
                <c:pt idx="1">
                  <c:v>0.32581668949246273</c:v>
                </c:pt>
                <c:pt idx="2">
                  <c:v>0.44569663612379573</c:v>
                </c:pt>
                <c:pt idx="3">
                  <c:v>0.54326113321693659</c:v>
                </c:pt>
                <c:pt idx="4">
                  <c:v>0.72390304106038128</c:v>
                </c:pt>
                <c:pt idx="5">
                  <c:v>0.62531310223120329</c:v>
                </c:pt>
                <c:pt idx="6">
                  <c:v>0.30216165978839743</c:v>
                </c:pt>
                <c:pt idx="7">
                  <c:v>-0.33128306460738227</c:v>
                </c:pt>
                <c:pt idx="8">
                  <c:v>-1.1112100250859827</c:v>
                </c:pt>
                <c:pt idx="9">
                  <c:v>-2.0991611773064514</c:v>
                </c:pt>
                <c:pt idx="10">
                  <c:v>-3.4819301835844296</c:v>
                </c:pt>
                <c:pt idx="11">
                  <c:v>-4.914173288295081</c:v>
                </c:pt>
                <c:pt idx="12">
                  <c:v>-6.555057141563176</c:v>
                </c:pt>
                <c:pt idx="13">
                  <c:v>-8.4062686023530837</c:v>
                </c:pt>
                <c:pt idx="14">
                  <c:v>-10.782181158603946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06B-4EAC-B155-4EACD09AA4EB}"/>
            </c:ext>
          </c:extLst>
        </c:ser>
        <c:ser>
          <c:idx val="18"/>
          <c:order val="8"/>
          <c:tx>
            <c:v>h=8km m. ciągu, m=const.</c:v>
          </c:tx>
          <c:spPr>
            <a:ln w="19050" cap="rnd">
              <a:solidFill>
                <a:schemeClr val="bg1">
                  <a:lumMod val="50000"/>
                  <a:alpha val="98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'h=8km'!$G$3:$G$17</c:f>
              <c:numCache>
                <c:formatCode>0.0</c:formatCode>
                <c:ptCount val="15"/>
                <c:pt idx="0">
                  <c:v>53.713441222143487</c:v>
                </c:pt>
                <c:pt idx="1">
                  <c:v>57</c:v>
                </c:pt>
                <c:pt idx="2">
                  <c:v>58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'h=8km'!$N$3:$N$17</c:f>
              <c:numCache>
                <c:formatCode>0.00</c:formatCode>
                <c:ptCount val="15"/>
                <c:pt idx="0">
                  <c:v>-0.88450954987868369</c:v>
                </c:pt>
                <c:pt idx="1">
                  <c:v>-0.6525613569122658</c:v>
                </c:pt>
                <c:pt idx="2">
                  <c:v>-0.59385880778817413</c:v>
                </c:pt>
                <c:pt idx="3">
                  <c:v>-0.54050041454131947</c:v>
                </c:pt>
                <c:pt idx="4">
                  <c:v>-0.29513496410028683</c:v>
                </c:pt>
                <c:pt idx="5">
                  <c:v>-0.32558946508774994</c:v>
                </c:pt>
                <c:pt idx="6">
                  <c:v>-0.56718840712064045</c:v>
                </c:pt>
                <c:pt idx="7">
                  <c:v>-1.0883938951674577</c:v>
                </c:pt>
                <c:pt idx="8">
                  <c:v>-1.7515986903921066</c:v>
                </c:pt>
                <c:pt idx="9">
                  <c:v>-2.6040924195714834</c:v>
                </c:pt>
                <c:pt idx="10">
                  <c:v>-3.8075923298818024</c:v>
                </c:pt>
                <c:pt idx="11">
                  <c:v>-5.0603696851460587</c:v>
                </c:pt>
                <c:pt idx="12">
                  <c:v>-6.4996955842840043</c:v>
                </c:pt>
                <c:pt idx="13">
                  <c:v>-8.1263630138361904</c:v>
                </c:pt>
                <c:pt idx="14">
                  <c:v>-10.216441226450161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06B-4EAC-B155-4EACD09AA4EB}"/>
            </c:ext>
          </c:extLst>
        </c:ser>
        <c:ser>
          <c:idx val="9"/>
          <c:order val="9"/>
          <c:tx>
            <c:v>h=0km m. mocy</c:v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'h=0m'!$H$22:$H$37</c:f>
              <c:numCache>
                <c:formatCode>0.00</c:formatCode>
                <c:ptCount val="16"/>
                <c:pt idx="0">
                  <c:v>35.157432011792558</c:v>
                </c:pt>
                <c:pt idx="1">
                  <c:v>35.811528285403178</c:v>
                </c:pt>
                <c:pt idx="2">
                  <c:v>36.971085844054947</c:v>
                </c:pt>
                <c:pt idx="3">
                  <c:v>38.223355944888525</c:v>
                </c:pt>
                <c:pt idx="4">
                  <c:v>39.798563070913126</c:v>
                </c:pt>
                <c:pt idx="5">
                  <c:v>41.355978660828761</c:v>
                </c:pt>
                <c:pt idx="6">
                  <c:v>43.191577880930247</c:v>
                </c:pt>
                <c:pt idx="7">
                  <c:v>45.598342806506814</c:v>
                </c:pt>
                <c:pt idx="8">
                  <c:v>48.17825713572428</c:v>
                </c:pt>
                <c:pt idx="9">
                  <c:v>51.119165881347236</c:v>
                </c:pt>
                <c:pt idx="10">
                  <c:v>59.505185664529769</c:v>
                </c:pt>
                <c:pt idx="11">
                  <c:v>65.403425373590096</c:v>
                </c:pt>
                <c:pt idx="12">
                  <c:v>73.692619266233933</c:v>
                </c:pt>
                <c:pt idx="13">
                  <c:v>85.439049209516369</c:v>
                </c:pt>
                <c:pt idx="14">
                  <c:v>104.07693059928242</c:v>
                </c:pt>
                <c:pt idx="15">
                  <c:v>168.45417280572855</c:v>
                </c:pt>
              </c:numCache>
            </c:numRef>
          </c:xVal>
          <c:yVal>
            <c:numRef>
              <c:f>'h=0m'!$N$22:$N$37</c:f>
              <c:numCache>
                <c:formatCode>0.00</c:formatCode>
                <c:ptCount val="16"/>
                <c:pt idx="0">
                  <c:v>5.6225247486882726</c:v>
                </c:pt>
                <c:pt idx="1">
                  <c:v>5.7722876914477412</c:v>
                </c:pt>
                <c:pt idx="2">
                  <c:v>6.0262562622225726</c:v>
                </c:pt>
                <c:pt idx="3">
                  <c:v>6.2924387621882465</c:v>
                </c:pt>
                <c:pt idx="4">
                  <c:v>6.5792469171273948</c:v>
                </c:pt>
                <c:pt idx="5">
                  <c:v>6.8422290704987665</c:v>
                </c:pt>
                <c:pt idx="6">
                  <c:v>7.1232334668273705</c:v>
                </c:pt>
                <c:pt idx="7">
                  <c:v>7.4212967285721225</c:v>
                </c:pt>
                <c:pt idx="8">
                  <c:v>7.7436761419440225</c:v>
                </c:pt>
                <c:pt idx="9">
                  <c:v>8.0448967363464465</c:v>
                </c:pt>
                <c:pt idx="10">
                  <c:v>8.4340838988079287</c:v>
                </c:pt>
                <c:pt idx="11">
                  <c:v>8.3540039767182446</c:v>
                </c:pt>
                <c:pt idx="12">
                  <c:v>7.7402279985224043</c:v>
                </c:pt>
                <c:pt idx="13">
                  <c:v>5.9868268243534128</c:v>
                </c:pt>
                <c:pt idx="14">
                  <c:v>0.8527985787127913</c:v>
                </c:pt>
                <c:pt idx="15">
                  <c:v>-39.972467118355112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06B-4EAC-B155-4EACD09AA4EB}"/>
            </c:ext>
          </c:extLst>
        </c:ser>
        <c:ser>
          <c:idx val="10"/>
          <c:order val="10"/>
          <c:tx>
            <c:v>h=1km m. mocy</c:v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'h=1km'!$H$22:$H$37</c:f>
              <c:numCache>
                <c:formatCode>0.00</c:formatCode>
                <c:ptCount val="16"/>
                <c:pt idx="0">
                  <c:v>36.907789207676011</c:v>
                </c:pt>
                <c:pt idx="1">
                  <c:v>37.59445049112383</c:v>
                </c:pt>
                <c:pt idx="2">
                  <c:v>38.811738088651779</c:v>
                </c:pt>
                <c:pt idx="3">
                  <c:v>40.126354039473725</c:v>
                </c:pt>
                <c:pt idx="4">
                  <c:v>41.779984843516651</c:v>
                </c:pt>
                <c:pt idx="5">
                  <c:v>43.414938337334817</c:v>
                </c:pt>
                <c:pt idx="6">
                  <c:v>45.341925185024834</c:v>
                </c:pt>
                <c:pt idx="7">
                  <c:v>47.868513944858393</c:v>
                </c:pt>
                <c:pt idx="8">
                  <c:v>50.576872570274581</c:v>
                </c:pt>
                <c:pt idx="9">
                  <c:v>53.664198175456868</c:v>
                </c:pt>
                <c:pt idx="10">
                  <c:v>62.467726554471739</c:v>
                </c:pt>
                <c:pt idx="11">
                  <c:v>68.65961758352428</c:v>
                </c:pt>
                <c:pt idx="12">
                  <c:v>77.361499472640546</c:v>
                </c:pt>
                <c:pt idx="13">
                  <c:v>89.692740279534092</c:v>
                </c:pt>
                <c:pt idx="14">
                  <c:v>109.25853215478887</c:v>
                </c:pt>
                <c:pt idx="15">
                  <c:v>176.84087674497533</c:v>
                </c:pt>
              </c:numCache>
            </c:numRef>
          </c:xVal>
          <c:yVal>
            <c:numRef>
              <c:f>'h=1km'!$N$22:$N$37</c:f>
              <c:numCache>
                <c:formatCode>0.00</c:formatCode>
                <c:ptCount val="16"/>
                <c:pt idx="0">
                  <c:v>4.8158650055092362</c:v>
                </c:pt>
                <c:pt idx="1">
                  <c:v>4.9558969904283572</c:v>
                </c:pt>
                <c:pt idx="2">
                  <c:v>5.1923143260459614</c:v>
                </c:pt>
                <c:pt idx="3">
                  <c:v>5.4395320067651287</c:v>
                </c:pt>
                <c:pt idx="4">
                  <c:v>5.7006733111228938</c:v>
                </c:pt>
                <c:pt idx="5">
                  <c:v>5.9378884939370291</c:v>
                </c:pt>
                <c:pt idx="6">
                  <c:v>6.1878931356045248</c:v>
                </c:pt>
                <c:pt idx="7">
                  <c:v>6.4431375209015957</c:v>
                </c:pt>
                <c:pt idx="8">
                  <c:v>6.7214387443712864</c:v>
                </c:pt>
                <c:pt idx="9">
                  <c:v>6.9712344368811703</c:v>
                </c:pt>
                <c:pt idx="10">
                  <c:v>7.2028229893692854</c:v>
                </c:pt>
                <c:pt idx="11">
                  <c:v>7.0053298758400464</c:v>
                </c:pt>
                <c:pt idx="12">
                  <c:v>6.2170574686053071</c:v>
                </c:pt>
                <c:pt idx="13">
                  <c:v>4.2034473462658761</c:v>
                </c:pt>
                <c:pt idx="14">
                  <c:v>-1.3854279023255964</c:v>
                </c:pt>
                <c:pt idx="15">
                  <c:v>-44.213715315741673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06B-4EAC-B155-4EACD09AA4EB}"/>
            </c:ext>
          </c:extLst>
        </c:ser>
        <c:ser>
          <c:idx val="11"/>
          <c:order val="11"/>
          <c:tx>
            <c:v>h=2km m. mocy</c:v>
          </c:tx>
          <c:spPr>
            <a:ln w="1905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'h=2km'!$H$22:$H$37</c:f>
              <c:numCache>
                <c:formatCode>0.00</c:formatCode>
                <c:ptCount val="16"/>
                <c:pt idx="0">
                  <c:v>38.789302761294081</c:v>
                </c:pt>
                <c:pt idx="1">
                  <c:v>39.510969189706891</c:v>
                </c:pt>
                <c:pt idx="2">
                  <c:v>40.79031260695659</c:v>
                </c:pt>
                <c:pt idx="3">
                  <c:v>42.171946056858644</c:v>
                </c:pt>
                <c:pt idx="4">
                  <c:v>43.909876918891499</c:v>
                </c:pt>
                <c:pt idx="5">
                  <c:v>45.628178324470092</c:v>
                </c:pt>
                <c:pt idx="6">
                  <c:v>47.653400583963595</c:v>
                </c:pt>
                <c:pt idx="7">
                  <c:v>50.308791721238322</c:v>
                </c:pt>
                <c:pt idx="8">
                  <c:v>53.155219127558865</c:v>
                </c:pt>
                <c:pt idx="9">
                  <c:v>56.399932782670049</c:v>
                </c:pt>
                <c:pt idx="10">
                  <c:v>65.65225417585259</c:v>
                </c:pt>
                <c:pt idx="11">
                  <c:v>72.159800169447564</c:v>
                </c:pt>
                <c:pt idx="12">
                  <c:v>81.305293260097159</c:v>
                </c:pt>
                <c:pt idx="13">
                  <c:v>94.265165507918979</c:v>
                </c:pt>
                <c:pt idx="14">
                  <c:v>114.82839731091957</c:v>
                </c:pt>
                <c:pt idx="15">
                  <c:v>185.85600643906642</c:v>
                </c:pt>
              </c:numCache>
            </c:numRef>
          </c:xVal>
          <c:yVal>
            <c:numRef>
              <c:f>'h=2km'!$N$22:$N$37</c:f>
              <c:numCache>
                <c:formatCode>0.00</c:formatCode>
                <c:ptCount val="16"/>
                <c:pt idx="0">
                  <c:v>4.0143902840627375</c:v>
                </c:pt>
                <c:pt idx="1">
                  <c:v>4.1451798103898687</c:v>
                </c:pt>
                <c:pt idx="2">
                  <c:v>4.364886128495451</c:v>
                </c:pt>
                <c:pt idx="3">
                  <c:v>4.5940405915715665</c:v>
                </c:pt>
                <c:pt idx="4">
                  <c:v>4.8305053398312019</c:v>
                </c:pt>
                <c:pt idx="5">
                  <c:v>5.0428937668622886</c:v>
                </c:pt>
                <c:pt idx="6">
                  <c:v>5.2629460582871745</c:v>
                </c:pt>
                <c:pt idx="7">
                  <c:v>5.4765576268685301</c:v>
                </c:pt>
                <c:pt idx="8">
                  <c:v>5.7121544190309104</c:v>
                </c:pt>
                <c:pt idx="9">
                  <c:v>5.9119549260120428</c:v>
                </c:pt>
                <c:pt idx="10">
                  <c:v>5.9888699588758865</c:v>
                </c:pt>
                <c:pt idx="11">
                  <c:v>5.675180624998009</c:v>
                </c:pt>
                <c:pt idx="12">
                  <c:v>4.7128242143779344</c:v>
                </c:pt>
                <c:pt idx="13">
                  <c:v>2.4372140361073575</c:v>
                </c:pt>
                <c:pt idx="14">
                  <c:v>-3.6167114207555038</c:v>
                </c:pt>
                <c:pt idx="15">
                  <c:v>-48.574648468700246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506B-4EAC-B155-4EACD09AA4EB}"/>
            </c:ext>
          </c:extLst>
        </c:ser>
        <c:ser>
          <c:idx val="12"/>
          <c:order val="12"/>
          <c:tx>
            <c:v>h=3km m. mocy</c:v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'h=3km'!$H$22:$H$37</c:f>
              <c:numCache>
                <c:formatCode>0.00</c:formatCode>
                <c:ptCount val="16"/>
                <c:pt idx="0">
                  <c:v>40.815259783159711</c:v>
                </c:pt>
                <c:pt idx="1">
                  <c:v>41.574618695427802</c:v>
                </c:pt>
                <c:pt idx="2">
                  <c:v>42.920781946885526</c:v>
                </c:pt>
                <c:pt idx="3">
                  <c:v>44.374577817615268</c:v>
                </c:pt>
                <c:pt idx="4">
                  <c:v>46.203280438427093</c:v>
                </c:pt>
                <c:pt idx="5">
                  <c:v>48.011328360454733</c:v>
                </c:pt>
                <c:pt idx="6">
                  <c:v>50.142327547229172</c:v>
                </c:pt>
                <c:pt idx="7">
                  <c:v>52.936409198057795</c:v>
                </c:pt>
                <c:pt idx="8">
                  <c:v>55.931504901577547</c:v>
                </c:pt>
                <c:pt idx="9">
                  <c:v>59.34568925983514</c:v>
                </c:pt>
                <c:pt idx="10">
                  <c:v>69.081257428821559</c:v>
                </c:pt>
                <c:pt idx="11">
                  <c:v>75.928691163682998</c:v>
                </c:pt>
                <c:pt idx="12">
                  <c:v>85.551851410647487</c:v>
                </c:pt>
                <c:pt idx="13">
                  <c:v>99.188615025775746</c:v>
                </c:pt>
                <c:pt idx="14">
                  <c:v>120.82586004628411</c:v>
                </c:pt>
                <c:pt idx="15">
                  <c:v>195.56322607171359</c:v>
                </c:pt>
              </c:numCache>
            </c:numRef>
          </c:xVal>
          <c:yVal>
            <c:numRef>
              <c:f>'h=3km'!$N$22:$N$37</c:f>
              <c:numCache>
                <c:formatCode>0.00</c:formatCode>
                <c:ptCount val="16"/>
                <c:pt idx="0">
                  <c:v>3.206352000409165</c:v>
                </c:pt>
                <c:pt idx="1">
                  <c:v>3.3281451274932841</c:v>
                </c:pt>
                <c:pt idx="2">
                  <c:v>3.5315532067470516</c:v>
                </c:pt>
                <c:pt idx="3">
                  <c:v>3.7430922466116754</c:v>
                </c:pt>
                <c:pt idx="4">
                  <c:v>3.9553001445879254</c:v>
                </c:pt>
                <c:pt idx="5">
                  <c:v>4.1432531115119371</c:v>
                </c:pt>
                <c:pt idx="6">
                  <c:v>4.3337760482729406</c:v>
                </c:pt>
                <c:pt idx="7">
                  <c:v>4.5061583845658877</c:v>
                </c:pt>
                <c:pt idx="8">
                  <c:v>4.6996776960564475</c:v>
                </c:pt>
                <c:pt idx="9">
                  <c:v>4.8501682542417397</c:v>
                </c:pt>
                <c:pt idx="10">
                  <c:v>4.7739822749684357</c:v>
                </c:pt>
                <c:pt idx="11">
                  <c:v>4.3452630970387807</c:v>
                </c:pt>
                <c:pt idx="12">
                  <c:v>3.2107728985618391</c:v>
                </c:pt>
                <c:pt idx="13">
                  <c:v>0.67763040453575596</c:v>
                </c:pt>
                <c:pt idx="14">
                  <c:v>-5.8289625699613774</c:v>
                </c:pt>
                <c:pt idx="15">
                  <c:v>-52.778464886880244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506B-4EAC-B155-4EACD09AA4EB}"/>
            </c:ext>
          </c:extLst>
        </c:ser>
        <c:ser>
          <c:idx val="13"/>
          <c:order val="13"/>
          <c:tx>
            <c:v>h=4km m. mocy</c:v>
          </c:tx>
          <c:spPr>
            <a:ln w="1905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'h=4km'!$H$22:$H$37</c:f>
              <c:numCache>
                <c:formatCode>0.00</c:formatCode>
                <c:ptCount val="16"/>
                <c:pt idx="0">
                  <c:v>43.00066152062773</c:v>
                </c:pt>
                <c:pt idx="1">
                  <c:v>43.80067935054204</c:v>
                </c:pt>
                <c:pt idx="2">
                  <c:v>45.218921219758926</c:v>
                </c:pt>
                <c:pt idx="3">
                  <c:v>46.750558761439585</c:v>
                </c:pt>
                <c:pt idx="4">
                  <c:v>48.677176963484172</c:v>
                </c:pt>
                <c:pt idx="5">
                  <c:v>50.582034536882823</c:v>
                </c:pt>
                <c:pt idx="6">
                  <c:v>52.827135394210416</c:v>
                </c:pt>
                <c:pt idx="7">
                  <c:v>55.770822631939353</c:v>
                </c:pt>
                <c:pt idx="8">
                  <c:v>58.926286966925112</c:v>
                </c:pt>
                <c:pt idx="9">
                  <c:v>62.523279531432344</c:v>
                </c:pt>
                <c:pt idx="10">
                  <c:v>72.780126450199489</c:v>
                </c:pt>
                <c:pt idx="11">
                  <c:v>79.994197409982817</c:v>
                </c:pt>
                <c:pt idx="12">
                  <c:v>90.132617665958122</c:v>
                </c:pt>
                <c:pt idx="13">
                  <c:v>104.49954463313341</c:v>
                </c:pt>
                <c:pt idx="14">
                  <c:v>127.29532871753742</c:v>
                </c:pt>
                <c:pt idx="15">
                  <c:v>206.03441298348505</c:v>
                </c:pt>
              </c:numCache>
            </c:numRef>
          </c:xVal>
          <c:yVal>
            <c:numRef>
              <c:f>'h=4km'!$N$22:$N$37</c:f>
              <c:numCache>
                <c:formatCode>0.00</c:formatCode>
                <c:ptCount val="16"/>
                <c:pt idx="0">
                  <c:v>2.4157032551744484</c:v>
                </c:pt>
                <c:pt idx="1">
                  <c:v>2.5284638570106295</c:v>
                </c:pt>
                <c:pt idx="2">
                  <c:v>2.7154399127004156</c:v>
                </c:pt>
                <c:pt idx="3">
                  <c:v>2.9091612118710377</c:v>
                </c:pt>
                <c:pt idx="4">
                  <c:v>3.0966164136366352</c:v>
                </c:pt>
                <c:pt idx="5">
                  <c:v>3.2595336116289175</c:v>
                </c:pt>
                <c:pt idx="6">
                  <c:v>3.4196802556292556</c:v>
                </c:pt>
                <c:pt idx="7">
                  <c:v>3.5494157143348692</c:v>
                </c:pt>
                <c:pt idx="8">
                  <c:v>3.6994035482426293</c:v>
                </c:pt>
                <c:pt idx="9">
                  <c:v>3.7987475399571329</c:v>
                </c:pt>
                <c:pt idx="10">
                  <c:v>3.5633672269565779</c:v>
                </c:pt>
                <c:pt idx="11">
                  <c:v>3.015477872494094</c:v>
                </c:pt>
                <c:pt idx="12">
                  <c:v>1.7043384051496751</c:v>
                </c:pt>
                <c:pt idx="13">
                  <c:v>-1.0869789176610916</c:v>
                </c:pt>
                <c:pt idx="14">
                  <c:v>-8.0250784555558585</c:v>
                </c:pt>
                <c:pt idx="15">
                  <c:v>-56.471515093494119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506B-4EAC-B155-4EACD09AA4EB}"/>
            </c:ext>
          </c:extLst>
        </c:ser>
        <c:ser>
          <c:idx val="15"/>
          <c:order val="14"/>
          <c:tx>
            <c:v>h=5km m. mocy</c:v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'h=5km'!$H$22:$H$36</c:f>
              <c:numCache>
                <c:formatCode>0.00</c:formatCode>
                <c:ptCount val="15"/>
                <c:pt idx="0">
                  <c:v>45.362494420478008</c:v>
                </c:pt>
                <c:pt idx="1">
                  <c:v>46.206453630927868</c:v>
                </c:pt>
                <c:pt idx="2">
                  <c:v>47.70259314609271</c:v>
                </c:pt>
                <c:pt idx="3">
                  <c:v>49.31835664790195</c:v>
                </c:pt>
                <c:pt idx="4">
                  <c:v>51.350795320937586</c:v>
                </c:pt>
                <c:pt idx="5">
                  <c:v>53.360278151885439</c:v>
                </c:pt>
                <c:pt idx="6">
                  <c:v>55.728692299771943</c:v>
                </c:pt>
                <c:pt idx="7">
                  <c:v>58.834063035360614</c:v>
                </c:pt>
                <c:pt idx="8">
                  <c:v>62.16284283148407</c:v>
                </c:pt>
                <c:pt idx="9">
                  <c:v>65.957402016572118</c:v>
                </c:pt>
                <c:pt idx="10">
                  <c:v>76.777611396399351</c:v>
                </c:pt>
                <c:pt idx="11">
                  <c:v>84.387918821672784</c:v>
                </c:pt>
                <c:pt idx="12">
                  <c:v>95.083196894860606</c:v>
                </c:pt>
                <c:pt idx="13">
                  <c:v>110.23923453105532</c:v>
                </c:pt>
                <c:pt idx="14">
                  <c:v>134.28708848891003</c:v>
                </c:pt>
              </c:numCache>
            </c:numRef>
          </c:xVal>
          <c:yVal>
            <c:numRef>
              <c:f>'h=5km'!$N$22:$N$36</c:f>
              <c:numCache>
                <c:formatCode>0.00</c:formatCode>
                <c:ptCount val="15"/>
                <c:pt idx="0">
                  <c:v>1.5900449990575927</c:v>
                </c:pt>
                <c:pt idx="1">
                  <c:v>1.6946084157666674</c:v>
                </c:pt>
                <c:pt idx="2">
                  <c:v>1.8666568715465812</c:v>
                </c:pt>
                <c:pt idx="3">
                  <c:v>2.0442576586409795</c:v>
                </c:pt>
                <c:pt idx="4">
                  <c:v>2.209013686441351</c:v>
                </c:pt>
                <c:pt idx="5">
                  <c:v>2.348988208140883</c:v>
                </c:pt>
                <c:pt idx="6">
                  <c:v>2.4812796129133226</c:v>
                </c:pt>
                <c:pt idx="7">
                  <c:v>2.5716232150818872</c:v>
                </c:pt>
                <c:pt idx="8">
                  <c:v>2.6819287714822124</c:v>
                </c:pt>
                <c:pt idx="9">
                  <c:v>2.7345650619361339</c:v>
                </c:pt>
                <c:pt idx="10">
                  <c:v>2.3519958086617199</c:v>
                </c:pt>
                <c:pt idx="11">
                  <c:v>1.6925249785808696</c:v>
                </c:pt>
                <c:pt idx="12">
                  <c:v>0.21308719081579644</c:v>
                </c:pt>
                <c:pt idx="13">
                  <c:v>-2.8310929062495092</c:v>
                </c:pt>
                <c:pt idx="14">
                  <c:v>-10.218033040724196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506B-4EAC-B155-4EACD09AA4EB}"/>
            </c:ext>
          </c:extLst>
        </c:ser>
        <c:ser>
          <c:idx val="16"/>
          <c:order val="15"/>
          <c:tx>
            <c:v>h=6km m. mocy</c:v>
          </c:tx>
          <c:spPr>
            <a:ln w="19050" cap="rnd">
              <a:solidFill>
                <a:schemeClr val="tx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'h=6km'!$H$22:$H$36</c:f>
              <c:numCache>
                <c:formatCode>0.00</c:formatCode>
                <c:ptCount val="15"/>
                <c:pt idx="0">
                  <c:v>47.92005236771405</c:v>
                </c:pt>
                <c:pt idx="1">
                  <c:v>48.811594380066772</c:v>
                </c:pt>
                <c:pt idx="2">
                  <c:v>50.392086917614265</c:v>
                </c:pt>
                <c:pt idx="3">
                  <c:v>52.098947896264214</c:v>
                </c:pt>
                <c:pt idx="4">
                  <c:v>54.245976380704612</c:v>
                </c:pt>
                <c:pt idx="5">
                  <c:v>56.368754762300249</c:v>
                </c:pt>
                <c:pt idx="6">
                  <c:v>58.870701170783491</c:v>
                </c:pt>
                <c:pt idx="7">
                  <c:v>62.151154112617277</c:v>
                </c:pt>
                <c:pt idx="8">
                  <c:v>65.667612018838909</c:v>
                </c:pt>
                <c:pt idx="9">
                  <c:v>69.676110166588984</c:v>
                </c:pt>
                <c:pt idx="10">
                  <c:v>81.106367843884669</c:v>
                </c:pt>
                <c:pt idx="11">
                  <c:v>89.145747842989749</c:v>
                </c:pt>
                <c:pt idx="12">
                  <c:v>100.44403053008682</c:v>
                </c:pt>
                <c:pt idx="13">
                  <c:v>116.45457242139939</c:v>
                </c:pt>
                <c:pt idx="14">
                  <c:v>141.85825525924881</c:v>
                </c:pt>
              </c:numCache>
            </c:numRef>
          </c:xVal>
          <c:yVal>
            <c:numRef>
              <c:f>'h=6km'!$N$22:$N$36</c:f>
              <c:numCache>
                <c:formatCode>0.00</c:formatCode>
                <c:ptCount val="15"/>
                <c:pt idx="0">
                  <c:v>0.76170377662359556</c:v>
                </c:pt>
                <c:pt idx="1">
                  <c:v>0.85822482091205332</c:v>
                </c:pt>
                <c:pt idx="2">
                  <c:v>1.0155773134039954</c:v>
                </c:pt>
                <c:pt idx="3">
                  <c:v>1.1772964062692854</c:v>
                </c:pt>
                <c:pt idx="4">
                  <c:v>1.3194418901363134</c:v>
                </c:pt>
                <c:pt idx="5">
                  <c:v>1.4365146305492102</c:v>
                </c:pt>
                <c:pt idx="6">
                  <c:v>1.5409346335658338</c:v>
                </c:pt>
                <c:pt idx="7">
                  <c:v>1.5916515503975177</c:v>
                </c:pt>
                <c:pt idx="8">
                  <c:v>1.6622924278346352</c:v>
                </c:pt>
                <c:pt idx="9">
                  <c:v>1.6682341545317509</c:v>
                </c:pt>
                <c:pt idx="10">
                  <c:v>1.1384501010150296</c:v>
                </c:pt>
                <c:pt idx="11">
                  <c:v>0.36815007866653449</c:v>
                </c:pt>
                <c:pt idx="12">
                  <c:v>-1.2766221990044877</c:v>
                </c:pt>
                <c:pt idx="13">
                  <c:v>-4.5629794324881772</c:v>
                </c:pt>
                <c:pt idx="14">
                  <c:v>-12.360260744866896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506B-4EAC-B155-4EACD09AA4EB}"/>
            </c:ext>
          </c:extLst>
        </c:ser>
        <c:ser>
          <c:idx val="17"/>
          <c:order val="16"/>
          <c:tx>
            <c:v>h=7km m. mocy</c:v>
          </c:tx>
          <c:spPr>
            <a:ln w="19050" cap="rnd">
              <a:solidFill>
                <a:schemeClr val="accent2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'h=7m'!$H$22:$H$36</c:f>
              <c:numCache>
                <c:formatCode>0.00</c:formatCode>
                <c:ptCount val="15"/>
                <c:pt idx="0">
                  <c:v>50.695321417043772</c:v>
                </c:pt>
                <c:pt idx="1">
                  <c:v>51.638496698368591</c:v>
                </c:pt>
                <c:pt idx="2">
                  <c:v>53.310522775748105</c:v>
                </c:pt>
                <c:pt idx="3">
                  <c:v>55.116235867688886</c:v>
                </c:pt>
                <c:pt idx="4">
                  <c:v>57.387608575611623</c:v>
                </c:pt>
                <c:pt idx="5">
                  <c:v>59.633326746500941</c:v>
                </c:pt>
                <c:pt idx="6">
                  <c:v>62.280172296104972</c:v>
                </c:pt>
                <c:pt idx="7">
                  <c:v>65.750611247290209</c:v>
                </c:pt>
                <c:pt idx="8">
                  <c:v>69.470723288017382</c:v>
                </c:pt>
                <c:pt idx="9">
                  <c:v>73.711371867456933</c:v>
                </c:pt>
                <c:pt idx="10">
                  <c:v>85.803607960682612</c:v>
                </c:pt>
                <c:pt idx="11">
                  <c:v>94.308585165652786</c:v>
                </c:pt>
                <c:pt idx="12">
                  <c:v>106.26120299436177</c:v>
                </c:pt>
                <c:pt idx="13">
                  <c:v>123.19898847533064</c:v>
                </c:pt>
                <c:pt idx="14">
                  <c:v>150.07391458682832</c:v>
                </c:pt>
              </c:numCache>
            </c:numRef>
          </c:xVal>
          <c:yVal>
            <c:numRef>
              <c:f>'h=7m'!$N$22:$N$36</c:f>
              <c:numCache>
                <c:formatCode>0.00</c:formatCode>
                <c:ptCount val="15"/>
                <c:pt idx="0">
                  <c:v>-0.10817714555693456</c:v>
                </c:pt>
                <c:pt idx="1">
                  <c:v>-1.8816428485769667E-2</c:v>
                </c:pt>
                <c:pt idx="2">
                  <c:v>0.12543152140003824</c:v>
                </c:pt>
                <c:pt idx="3">
                  <c:v>0.27307694727450699</c:v>
                </c:pt>
                <c:pt idx="4">
                  <c:v>0.39478894240245688</c:v>
                </c:pt>
                <c:pt idx="5">
                  <c:v>0.49119740342552998</c:v>
                </c:pt>
                <c:pt idx="6">
                  <c:v>0.57046549940266378</c:v>
                </c:pt>
                <c:pt idx="7">
                  <c:v>0.58509595502165457</c:v>
                </c:pt>
                <c:pt idx="8">
                  <c:v>0.62037443228073441</c:v>
                </c:pt>
                <c:pt idx="9">
                  <c:v>0.58469307771549084</c:v>
                </c:pt>
                <c:pt idx="10">
                  <c:v>-7.7787754830135572E-2</c:v>
                </c:pt>
                <c:pt idx="11">
                  <c:v>-0.94872065727596844</c:v>
                </c:pt>
                <c:pt idx="12">
                  <c:v>-2.745395057322245</c:v>
                </c:pt>
                <c:pt idx="13">
                  <c:v>-6.2578608413277177</c:v>
                </c:pt>
                <c:pt idx="14">
                  <c:v>-14.455376981244491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506B-4EAC-B155-4EACD09AA4EB}"/>
            </c:ext>
          </c:extLst>
        </c:ser>
        <c:ser>
          <c:idx val="19"/>
          <c:order val="17"/>
          <c:tx>
            <c:v>h=8km m. mocy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'h=8km'!$H$22:$H$36</c:f>
              <c:numCache>
                <c:formatCode>0.00</c:formatCode>
                <c:ptCount val="15"/>
                <c:pt idx="0">
                  <c:v>53.713441222143487</c:v>
                </c:pt>
                <c:pt idx="1">
                  <c:v>54.712767957225346</c:v>
                </c:pt>
                <c:pt idx="2">
                  <c:v>56.484337244465749</c:v>
                </c:pt>
                <c:pt idx="3">
                  <c:v>58.397552533705586</c:v>
                </c:pt>
                <c:pt idx="4">
                  <c:v>60.804150243915025</c:v>
                </c:pt>
                <c:pt idx="5">
                  <c:v>63.183566087464804</c:v>
                </c:pt>
                <c:pt idx="6">
                  <c:v>65.987990221265662</c:v>
                </c:pt>
                <c:pt idx="7">
                  <c:v>69.665039964890596</c:v>
                </c:pt>
                <c:pt idx="8">
                  <c:v>73.606626956628432</c:v>
                </c:pt>
                <c:pt idx="9">
                  <c:v>78.099740361348111</c:v>
                </c:pt>
                <c:pt idx="10">
                  <c:v>90.91188149158252</c:v>
                </c:pt>
                <c:pt idx="11">
                  <c:v>99.923198126439644</c:v>
                </c:pt>
                <c:pt idx="12">
                  <c:v>112.58740889081324</c:v>
                </c:pt>
                <c:pt idx="13">
                  <c:v>130.53357669160414</c:v>
                </c:pt>
                <c:pt idx="14">
                  <c:v>159.00848766344899</c:v>
                </c:pt>
              </c:numCache>
            </c:numRef>
          </c:xVal>
          <c:yVal>
            <c:numRef>
              <c:f>'h=8km'!$N$22:$N$36</c:f>
              <c:numCache>
                <c:formatCode>0.00</c:formatCode>
                <c:ptCount val="15"/>
                <c:pt idx="0">
                  <c:v>-0.97487434831338682</c:v>
                </c:pt>
                <c:pt idx="1">
                  <c:v>-0.89229803818598896</c:v>
                </c:pt>
                <c:pt idx="2">
                  <c:v>-0.76054184307072892</c:v>
                </c:pt>
                <c:pt idx="3">
                  <c:v>-0.62632383760068822</c:v>
                </c:pt>
                <c:pt idx="4">
                  <c:v>-0.52449875990776029</c:v>
                </c:pt>
                <c:pt idx="5">
                  <c:v>-0.44827776164106165</c:v>
                </c:pt>
                <c:pt idx="6">
                  <c:v>-0.39368903213517742</c:v>
                </c:pt>
                <c:pt idx="7">
                  <c:v>-0.41481092657221691</c:v>
                </c:pt>
                <c:pt idx="8">
                  <c:v>-0.41423515492575858</c:v>
                </c:pt>
                <c:pt idx="9">
                  <c:v>-0.49084750994207627</c:v>
                </c:pt>
                <c:pt idx="10">
                  <c:v>-1.2845348170173034</c:v>
                </c:pt>
                <c:pt idx="11">
                  <c:v>-2.2545698759507062</c:v>
                </c:pt>
                <c:pt idx="12">
                  <c:v>-4.1994999730743388</c:v>
                </c:pt>
                <c:pt idx="13">
                  <c:v>-7.9270836566541627</c:v>
                </c:pt>
                <c:pt idx="14">
                  <c:v>-16.487744084257571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506B-4EAC-B155-4EACD09AA4EB}"/>
            </c:ext>
          </c:extLst>
        </c:ser>
        <c:ser>
          <c:idx val="20"/>
          <c:order val="18"/>
          <c:tx>
            <c:v>h=0km, m. ciągu, zmienna masa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masa'!$K$4:$K$18</c:f>
              <c:numCache>
                <c:formatCode>0.0</c:formatCode>
                <c:ptCount val="15"/>
                <c:pt idx="0">
                  <c:v>36.916857200854587</c:v>
                </c:pt>
                <c:pt idx="1">
                  <c:v>38.783391060051393</c:v>
                </c:pt>
                <c:pt idx="2">
                  <c:v>44.261591747739743</c:v>
                </c:pt>
                <c:pt idx="3">
                  <c:v>49.7397924354281</c:v>
                </c:pt>
                <c:pt idx="4">
                  <c:v>55.217993123116457</c:v>
                </c:pt>
                <c:pt idx="5">
                  <c:v>60.696193810804814</c:v>
                </c:pt>
                <c:pt idx="6">
                  <c:v>66.174394498493172</c:v>
                </c:pt>
                <c:pt idx="7">
                  <c:v>71.652595186181514</c:v>
                </c:pt>
                <c:pt idx="8">
                  <c:v>77.130795873869886</c:v>
                </c:pt>
                <c:pt idx="9">
                  <c:v>82.608996561558229</c:v>
                </c:pt>
                <c:pt idx="10">
                  <c:v>88.0871972492466</c:v>
                </c:pt>
                <c:pt idx="11">
                  <c:v>93.565397936934943</c:v>
                </c:pt>
                <c:pt idx="12">
                  <c:v>99.043598624623286</c:v>
                </c:pt>
                <c:pt idx="13">
                  <c:v>104.52179931231166</c:v>
                </c:pt>
                <c:pt idx="14">
                  <c:v>110</c:v>
                </c:pt>
              </c:numCache>
            </c:numRef>
          </c:xVal>
          <c:yVal>
            <c:numRef>
              <c:f>'Meotda CIągu, zmienna masa'!$R$4:$R$18</c:f>
              <c:numCache>
                <c:formatCode>0.00</c:formatCode>
                <c:ptCount val="15"/>
                <c:pt idx="0">
                  <c:v>5.0741431973812459</c:v>
                </c:pt>
                <c:pt idx="1">
                  <c:v>5.4807586003817432</c:v>
                </c:pt>
                <c:pt idx="2">
                  <c:v>6.4951448628910082</c:v>
                </c:pt>
                <c:pt idx="3">
                  <c:v>7.2610463770975384</c:v>
                </c:pt>
                <c:pt idx="4">
                  <c:v>7.7908415762983783</c:v>
                </c:pt>
                <c:pt idx="5">
                  <c:v>8.0878713762983363</c:v>
                </c:pt>
                <c:pt idx="6">
                  <c:v>8.1496524867639284</c:v>
                </c:pt>
                <c:pt idx="7">
                  <c:v>7.9696994481296421</c:v>
                </c:pt>
                <c:pt idx="8">
                  <c:v>7.5385775894148388</c:v>
                </c:pt>
                <c:pt idx="9">
                  <c:v>6.8445193298020719</c:v>
                </c:pt>
                <c:pt idx="10">
                  <c:v>5.8737832465786974</c:v>
                </c:pt>
                <c:pt idx="11">
                  <c:v>4.6108552141471089</c:v>
                </c:pt>
                <c:pt idx="12">
                  <c:v>3.0385480844173807</c:v>
                </c:pt>
                <c:pt idx="13">
                  <c:v>1.1380328035091356</c:v>
                </c:pt>
                <c:pt idx="14">
                  <c:v>-1.1111794854972241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506B-4EAC-B155-4EACD09AA4EB}"/>
            </c:ext>
          </c:extLst>
        </c:ser>
        <c:ser>
          <c:idx val="22"/>
          <c:order val="19"/>
          <c:tx>
            <c:v>h=1km, m. ciągu, zmienna masa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masa'!$K$22:$K$36</c:f>
              <c:numCache>
                <c:formatCode>0.0</c:formatCode>
                <c:ptCount val="15"/>
                <c:pt idx="0">
                  <c:v>38.731648677140406</c:v>
                </c:pt>
                <c:pt idx="1">
                  <c:v>40.323093421289883</c:v>
                </c:pt>
                <c:pt idx="2">
                  <c:v>45.682855465806043</c:v>
                </c:pt>
                <c:pt idx="3">
                  <c:v>51.042617510322209</c:v>
                </c:pt>
                <c:pt idx="4">
                  <c:v>56.402379554838376</c:v>
                </c:pt>
                <c:pt idx="5">
                  <c:v>61.762141599354536</c:v>
                </c:pt>
                <c:pt idx="6">
                  <c:v>67.121903643870695</c:v>
                </c:pt>
                <c:pt idx="7">
                  <c:v>72.481665688386869</c:v>
                </c:pt>
                <c:pt idx="8">
                  <c:v>77.841427732903028</c:v>
                </c:pt>
                <c:pt idx="9">
                  <c:v>83.201189777419188</c:v>
                </c:pt>
                <c:pt idx="10">
                  <c:v>88.560951821935362</c:v>
                </c:pt>
                <c:pt idx="11">
                  <c:v>93.920713866451521</c:v>
                </c:pt>
                <c:pt idx="12">
                  <c:v>99.280475910967681</c:v>
                </c:pt>
                <c:pt idx="13">
                  <c:v>104.64023795548385</c:v>
                </c:pt>
                <c:pt idx="14">
                  <c:v>110</c:v>
                </c:pt>
              </c:numCache>
            </c:numRef>
          </c:xVal>
          <c:yVal>
            <c:numRef>
              <c:f>'Meotda CIągu, zmienna masa'!$R$22:$R$36</c:f>
              <c:numCache>
                <c:formatCode>0.00</c:formatCode>
                <c:ptCount val="15"/>
                <c:pt idx="0">
                  <c:v>4.2718483718401696</c:v>
                </c:pt>
                <c:pt idx="1">
                  <c:v>4.5871641952025985</c:v>
                </c:pt>
                <c:pt idx="2">
                  <c:v>5.4912238198353212</c:v>
                </c:pt>
                <c:pt idx="3">
                  <c:v>6.1684857563941051</c:v>
                </c:pt>
                <c:pt idx="4">
                  <c:v>6.6311209190070848</c:v>
                </c:pt>
                <c:pt idx="5">
                  <c:v>6.8833291555316807</c:v>
                </c:pt>
                <c:pt idx="6">
                  <c:v>6.9240403030962909</c:v>
                </c:pt>
                <c:pt idx="7">
                  <c:v>6.7485044125863833</c:v>
                </c:pt>
                <c:pt idx="8">
                  <c:v>6.3492396548489998</c:v>
                </c:pt>
                <c:pt idx="9">
                  <c:v>5.7166028894744763</c:v>
                </c:pt>
                <c:pt idx="10">
                  <c:v>4.8391319050591894</c:v>
                </c:pt>
                <c:pt idx="11">
                  <c:v>3.7037445227315229</c:v>
                </c:pt>
                <c:pt idx="12">
                  <c:v>2.2958443039242087</c:v>
                </c:pt>
                <c:pt idx="13">
                  <c:v>0.59936250125148627</c:v>
                </c:pt>
                <c:pt idx="14">
                  <c:v>-1.4032458131265273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506B-4EAC-B155-4EACD09AA4EB}"/>
            </c:ext>
          </c:extLst>
        </c:ser>
        <c:ser>
          <c:idx val="24"/>
          <c:order val="20"/>
          <c:tx>
            <c:v>h=2km, m. ciągu, zmienna masa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masa'!$K$40:$K$54</c:f>
              <c:numCache>
                <c:formatCode>0.0</c:formatCode>
                <c:ptCount val="15"/>
                <c:pt idx="0">
                  <c:v>40.680124812202166</c:v>
                </c:pt>
                <c:pt idx="1">
                  <c:v>41.978167521605606</c:v>
                </c:pt>
                <c:pt idx="2">
                  <c:v>47.210616173789788</c:v>
                </c:pt>
                <c:pt idx="3">
                  <c:v>52.443064825973977</c:v>
                </c:pt>
                <c:pt idx="4">
                  <c:v>57.675513478158159</c:v>
                </c:pt>
                <c:pt idx="5">
                  <c:v>62.907962130342341</c:v>
                </c:pt>
                <c:pt idx="6">
                  <c:v>68.14041078252653</c:v>
                </c:pt>
                <c:pt idx="7">
                  <c:v>73.372859434710705</c:v>
                </c:pt>
                <c:pt idx="8">
                  <c:v>78.605308086894894</c:v>
                </c:pt>
                <c:pt idx="9">
                  <c:v>83.837756739079083</c:v>
                </c:pt>
                <c:pt idx="10">
                  <c:v>89.070205391263258</c:v>
                </c:pt>
                <c:pt idx="11">
                  <c:v>94.302654043447447</c:v>
                </c:pt>
                <c:pt idx="12">
                  <c:v>99.535102695631622</c:v>
                </c:pt>
                <c:pt idx="13">
                  <c:v>104.76755134781581</c:v>
                </c:pt>
                <c:pt idx="14">
                  <c:v>110</c:v>
                </c:pt>
              </c:numCache>
            </c:numRef>
          </c:xVal>
          <c:yVal>
            <c:numRef>
              <c:f>'Meotda CIągu, zmienna masa'!$R$40:$R$54</c:f>
              <c:numCache>
                <c:formatCode>0.00</c:formatCode>
                <c:ptCount val="15"/>
                <c:pt idx="0">
                  <c:v>3.4779012865443062</c:v>
                </c:pt>
                <c:pt idx="1">
                  <c:v>3.711891621940155</c:v>
                </c:pt>
                <c:pt idx="2">
                  <c:v>4.5172686145612344</c:v>
                </c:pt>
                <c:pt idx="3">
                  <c:v>5.1164425134146807</c:v>
                </c:pt>
                <c:pt idx="4">
                  <c:v>5.5210723378083779</c:v>
                </c:pt>
                <c:pt idx="5">
                  <c:v>5.7358955522934689</c:v>
                </c:pt>
                <c:pt idx="6">
                  <c:v>5.7609493551499371</c:v>
                </c:pt>
                <c:pt idx="7">
                  <c:v>5.5929290493859272</c:v>
                </c:pt>
                <c:pt idx="8">
                  <c:v>5.2260242354232327</c:v>
                </c:pt>
                <c:pt idx="9">
                  <c:v>4.6524364993636276</c:v>
                </c:pt>
                <c:pt idx="10">
                  <c:v>3.8626988072218165</c:v>
                </c:pt>
                <c:pt idx="11">
                  <c:v>2.8458677258766136</c:v>
                </c:pt>
                <c:pt idx="12">
                  <c:v>1.5896311988522116</c:v>
                </c:pt>
                <c:pt idx="13">
                  <c:v>8.0357957674795824E-2</c:v>
                </c:pt>
                <c:pt idx="14">
                  <c:v>-1.696894431733166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506B-4EAC-B155-4EACD09AA4EB}"/>
            </c:ext>
          </c:extLst>
        </c:ser>
        <c:ser>
          <c:idx val="26"/>
          <c:order val="21"/>
          <c:tx>
            <c:v>h=3km, m. ciągu, zmienna masa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masa'!$K$58:$K$72</c:f>
              <c:numCache>
                <c:formatCode>0.0</c:formatCode>
                <c:ptCount val="15"/>
                <c:pt idx="0">
                  <c:v>42.775014365807877</c:v>
                </c:pt>
                <c:pt idx="1">
                  <c:v>45</c:v>
                </c:pt>
                <c:pt idx="2">
                  <c:v>48.141377091306531</c:v>
                </c:pt>
                <c:pt idx="3">
                  <c:v>52.879595667030983</c:v>
                </c:pt>
                <c:pt idx="4">
                  <c:v>57.617814242755443</c:v>
                </c:pt>
                <c:pt idx="5">
                  <c:v>62.356032818479896</c:v>
                </c:pt>
                <c:pt idx="6">
                  <c:v>67.094251394204349</c:v>
                </c:pt>
                <c:pt idx="7">
                  <c:v>71.832469969928809</c:v>
                </c:pt>
                <c:pt idx="8">
                  <c:v>76.570688545653269</c:v>
                </c:pt>
                <c:pt idx="9">
                  <c:v>81.308907121377715</c:v>
                </c:pt>
                <c:pt idx="10">
                  <c:v>86.047125697102175</c:v>
                </c:pt>
                <c:pt idx="11">
                  <c:v>90.78534427282662</c:v>
                </c:pt>
                <c:pt idx="12">
                  <c:v>95.52356284855108</c:v>
                </c:pt>
                <c:pt idx="13">
                  <c:v>100.26178142427554</c:v>
                </c:pt>
                <c:pt idx="14">
                  <c:v>105</c:v>
                </c:pt>
              </c:numCache>
            </c:numRef>
          </c:xVal>
          <c:yVal>
            <c:numRef>
              <c:f>'Meotda CIągu, zmienna masa'!$R$58:$R$72</c:f>
              <c:numCache>
                <c:formatCode>0.00</c:formatCode>
                <c:ptCount val="15"/>
                <c:pt idx="0">
                  <c:v>2.6803102885406731</c:v>
                </c:pt>
                <c:pt idx="1">
                  <c:v>3.0389208923954412</c:v>
                </c:pt>
                <c:pt idx="2">
                  <c:v>3.4808488121982499</c:v>
                </c:pt>
                <c:pt idx="3">
                  <c:v>4.0131449224826357</c:v>
                </c:pt>
                <c:pt idx="4">
                  <c:v>4.3920627522466411</c:v>
                </c:pt>
                <c:pt idx="5">
                  <c:v>4.6224179816746673</c:v>
                </c:pt>
                <c:pt idx="6">
                  <c:v>4.7055622958957031</c:v>
                </c:pt>
                <c:pt idx="7">
                  <c:v>4.6402903588045294</c:v>
                </c:pt>
                <c:pt idx="8">
                  <c:v>4.4234320024272087</c:v>
                </c:pt>
                <c:pt idx="9">
                  <c:v>4.0502389823096383</c:v>
                </c:pt>
                <c:pt idx="10">
                  <c:v>3.5146358490441894</c:v>
                </c:pt>
                <c:pt idx="11">
                  <c:v>2.8093794993230321</c:v>
                </c:pt>
                <c:pt idx="12">
                  <c:v>1.9261557257885784</c:v>
                </c:pt>
                <c:pt idx="13">
                  <c:v>0.85563091769611677</c:v>
                </c:pt>
                <c:pt idx="14">
                  <c:v>-0.41252902083574111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506B-4EAC-B155-4EACD09AA4EB}"/>
            </c:ext>
          </c:extLst>
        </c:ser>
        <c:ser>
          <c:idx val="28"/>
          <c:order val="22"/>
          <c:tx>
            <c:v>h=4km, m. ciągu, zmienna masa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masa'!$K$76:$K$90</c:f>
              <c:numCache>
                <c:formatCode>0.0</c:formatCode>
                <c:ptCount val="15"/>
                <c:pt idx="0">
                  <c:v>45.03066252474688</c:v>
                </c:pt>
                <c:pt idx="1">
                  <c:v>47</c:v>
                </c:pt>
                <c:pt idx="2">
                  <c:v>49.915890434164325</c:v>
                </c:pt>
                <c:pt idx="3">
                  <c:v>54.506232897983963</c:v>
                </c:pt>
                <c:pt idx="4">
                  <c:v>59.096575361803602</c:v>
                </c:pt>
                <c:pt idx="5">
                  <c:v>63.68691782562324</c:v>
                </c:pt>
                <c:pt idx="6">
                  <c:v>68.277260289442893</c:v>
                </c:pt>
                <c:pt idx="7">
                  <c:v>72.867602753262531</c:v>
                </c:pt>
                <c:pt idx="8">
                  <c:v>77.45794521708217</c:v>
                </c:pt>
                <c:pt idx="9">
                  <c:v>82.048287680901808</c:v>
                </c:pt>
                <c:pt idx="10">
                  <c:v>86.638630144721446</c:v>
                </c:pt>
                <c:pt idx="11">
                  <c:v>91.228972608541085</c:v>
                </c:pt>
                <c:pt idx="12">
                  <c:v>95.819315072360723</c:v>
                </c:pt>
                <c:pt idx="13">
                  <c:v>100.40965753618036</c:v>
                </c:pt>
                <c:pt idx="14">
                  <c:v>105</c:v>
                </c:pt>
              </c:numCache>
            </c:numRef>
          </c:xVal>
          <c:yVal>
            <c:numRef>
              <c:f>'Meotda CIągu, zmienna masa'!$R$76:$R$90</c:f>
              <c:numCache>
                <c:formatCode>0.00</c:formatCode>
                <c:ptCount val="15"/>
                <c:pt idx="0">
                  <c:v>1.9003407370094718</c:v>
                </c:pt>
                <c:pt idx="1">
                  <c:v>2.1874806010783874</c:v>
                </c:pt>
                <c:pt idx="2">
                  <c:v>2.5607164069071335</c:v>
                </c:pt>
                <c:pt idx="3">
                  <c:v>3.0296126426395982</c:v>
                </c:pt>
                <c:pt idx="4">
                  <c:v>3.3607702197108673</c:v>
                </c:pt>
                <c:pt idx="5">
                  <c:v>3.5590739628957988</c:v>
                </c:pt>
                <c:pt idx="6">
                  <c:v>3.6264663816580627</c:v>
                </c:pt>
                <c:pt idx="7">
                  <c:v>3.5626723949651398</c:v>
                </c:pt>
                <c:pt idx="8">
                  <c:v>3.3656900174586175</c:v>
                </c:pt>
                <c:pt idx="9">
                  <c:v>3.0321203132489947</c:v>
                </c:pt>
                <c:pt idx="10">
                  <c:v>2.5573880651019318</c:v>
                </c:pt>
                <c:pt idx="11">
                  <c:v>1.9358866286077565</c:v>
                </c:pt>
                <c:pt idx="12">
                  <c:v>1.1610693391390785</c:v>
                </c:pt>
                <c:pt idx="13">
                  <c:v>0.22550220322024189</c:v>
                </c:pt>
                <c:pt idx="14">
                  <c:v>-0.87911157786492466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506B-4EAC-B155-4EACD09AA4EB}"/>
            </c:ext>
          </c:extLst>
        </c:ser>
        <c:ser>
          <c:idx val="21"/>
          <c:order val="23"/>
          <c:tx>
            <c:v>h=5km, m. ciągu, zmienna masa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masa'!$K$94:$K$108</c:f>
              <c:numCache>
                <c:formatCode>0.0</c:formatCode>
                <c:ptCount val="15"/>
                <c:pt idx="0">
                  <c:v>47.46137408372384</c:v>
                </c:pt>
                <c:pt idx="1">
                  <c:v>50</c:v>
                </c:pt>
                <c:pt idx="2">
                  <c:v>51.119377513104538</c:v>
                </c:pt>
                <c:pt idx="3">
                  <c:v>55.192762720345826</c:v>
                </c:pt>
                <c:pt idx="4">
                  <c:v>59.266147927587113</c:v>
                </c:pt>
                <c:pt idx="5">
                  <c:v>63.3395331348284</c:v>
                </c:pt>
                <c:pt idx="6">
                  <c:v>67.412918342069702</c:v>
                </c:pt>
                <c:pt idx="7">
                  <c:v>71.486303549310975</c:v>
                </c:pt>
                <c:pt idx="8">
                  <c:v>75.559688756552276</c:v>
                </c:pt>
                <c:pt idx="9">
                  <c:v>79.633073963793549</c:v>
                </c:pt>
                <c:pt idx="10">
                  <c:v>83.706459171034851</c:v>
                </c:pt>
                <c:pt idx="11">
                  <c:v>87.779844378276124</c:v>
                </c:pt>
                <c:pt idx="12">
                  <c:v>91.853229585517425</c:v>
                </c:pt>
                <c:pt idx="13">
                  <c:v>95.926614792758713</c:v>
                </c:pt>
                <c:pt idx="14">
                  <c:v>100</c:v>
                </c:pt>
              </c:numCache>
            </c:numRef>
          </c:xVal>
          <c:yVal>
            <c:numRef>
              <c:f>'Meotda CIągu, zmienna masa'!$R$94:$R$108</c:f>
              <c:numCache>
                <c:formatCode>0.00</c:formatCode>
                <c:ptCount val="15"/>
                <c:pt idx="0">
                  <c:v>1.0914269612758247</c:v>
                </c:pt>
                <c:pt idx="1">
                  <c:v>1.427436628048991</c:v>
                </c:pt>
                <c:pt idx="2">
                  <c:v>1.5613957689432398</c:v>
                </c:pt>
                <c:pt idx="3">
                  <c:v>1.9788306485006528</c:v>
                </c:pt>
                <c:pt idx="4">
                  <c:v>2.2909970070137242</c:v>
                </c:pt>
                <c:pt idx="5">
                  <c:v>2.5019893879389641</c:v>
                </c:pt>
                <c:pt idx="6">
                  <c:v>2.6139370165186984</c:v>
                </c:pt>
                <c:pt idx="7">
                  <c:v>2.6274205559949042</c:v>
                </c:pt>
                <c:pt idx="8">
                  <c:v>2.5417729951135457</c:v>
                </c:pt>
                <c:pt idx="9">
                  <c:v>2.355294477783183</c:v>
                </c:pt>
                <c:pt idx="10">
                  <c:v>2.0654030510983086</c:v>
                </c:pt>
                <c:pt idx="11">
                  <c:v>1.6687390326821034</c:v>
                </c:pt>
                <c:pt idx="12">
                  <c:v>1.1612346568807923</c:v>
                </c:pt>
                <c:pt idx="13">
                  <c:v>0.5381575475741962</c:v>
                </c:pt>
                <c:pt idx="14">
                  <c:v>-0.20586596715042865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506B-4EAC-B155-4EACD09AA4EB}"/>
            </c:ext>
          </c:extLst>
        </c:ser>
        <c:ser>
          <c:idx val="23"/>
          <c:order val="24"/>
          <c:tx>
            <c:v>h=6km, m. ciągu, zmienna masa</c:v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masa'!$K$112:$K$126</c:f>
              <c:numCache>
                <c:formatCode>0.0</c:formatCode>
                <c:ptCount val="15"/>
                <c:pt idx="0">
                  <c:v>50.08201896169011</c:v>
                </c:pt>
                <c:pt idx="1">
                  <c:v>51.5</c:v>
                </c:pt>
                <c:pt idx="2">
                  <c:v>53.196076101145614</c:v>
                </c:pt>
                <c:pt idx="3">
                  <c:v>57.096403092716812</c:v>
                </c:pt>
                <c:pt idx="4">
                  <c:v>60.996730084288011</c:v>
                </c:pt>
                <c:pt idx="5">
                  <c:v>64.897057075859209</c:v>
                </c:pt>
                <c:pt idx="6">
                  <c:v>68.797384067430414</c:v>
                </c:pt>
                <c:pt idx="7">
                  <c:v>72.697711059001605</c:v>
                </c:pt>
                <c:pt idx="8">
                  <c:v>76.598038050572811</c:v>
                </c:pt>
                <c:pt idx="9">
                  <c:v>80.498365042144002</c:v>
                </c:pt>
                <c:pt idx="10">
                  <c:v>84.398692033715207</c:v>
                </c:pt>
                <c:pt idx="11">
                  <c:v>88.299019025286412</c:v>
                </c:pt>
                <c:pt idx="12">
                  <c:v>92.199346016857604</c:v>
                </c:pt>
                <c:pt idx="13">
                  <c:v>96.099673008428795</c:v>
                </c:pt>
                <c:pt idx="14">
                  <c:v>100</c:v>
                </c:pt>
              </c:numCache>
            </c:numRef>
          </c:xVal>
          <c:yVal>
            <c:numRef>
              <c:f>'Meotda CIągu, zmienna masa'!$R$112:$R$126</c:f>
              <c:numCache>
                <c:formatCode>0.00</c:formatCode>
                <c:ptCount val="15"/>
                <c:pt idx="0">
                  <c:v>0.28245168045669455</c:v>
                </c:pt>
                <c:pt idx="1">
                  <c:v>0.45735933869050649</c:v>
                </c:pt>
                <c:pt idx="2">
                  <c:v>0.64901146619284422</c:v>
                </c:pt>
                <c:pt idx="3">
                  <c:v>1.0201622625721403</c:v>
                </c:pt>
                <c:pt idx="4">
                  <c:v>1.2986953419779301</c:v>
                </c:pt>
                <c:pt idx="5">
                  <c:v>1.488346581762884</c:v>
                </c:pt>
                <c:pt idx="6">
                  <c:v>1.5912821818652918</c:v>
                </c:pt>
                <c:pt idx="7">
                  <c:v>1.6084005091412761</c:v>
                </c:pt>
                <c:pt idx="8">
                  <c:v>1.5395590811524216</c:v>
                </c:pt>
                <c:pt idx="9">
                  <c:v>1.3837417965126706</c:v>
                </c:pt>
                <c:pt idx="10">
                  <c:v>1.1391802541382623</c:v>
                </c:pt>
                <c:pt idx="11">
                  <c:v>0.80344012664825859</c:v>
                </c:pt>
                <c:pt idx="12">
                  <c:v>0.37348077310592198</c:v>
                </c:pt>
                <c:pt idx="13">
                  <c:v>-0.15430588408499882</c:v>
                </c:pt>
                <c:pt idx="14">
                  <c:v>-0.78407286886123684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506B-4EAC-B155-4EACD09AA4EB}"/>
            </c:ext>
          </c:extLst>
        </c:ser>
        <c:ser>
          <c:idx val="25"/>
          <c:order val="25"/>
          <c:tx>
            <c:v>h=7km, m. ciągu, zmienna masa</c:v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masa'!$K$130:$K$144</c:f>
              <c:numCache>
                <c:formatCode>0.0</c:formatCode>
                <c:ptCount val="15"/>
                <c:pt idx="0">
                  <c:v>52.897697598007575</c:v>
                </c:pt>
                <c:pt idx="1">
                  <c:v>54</c:v>
                </c:pt>
                <c:pt idx="2">
                  <c:v>54.735267115473484</c:v>
                </c:pt>
                <c:pt idx="3">
                  <c:v>58.090661522517358</c:v>
                </c:pt>
                <c:pt idx="4">
                  <c:v>61.446055929561233</c:v>
                </c:pt>
                <c:pt idx="5">
                  <c:v>64.801450336605114</c:v>
                </c:pt>
                <c:pt idx="6">
                  <c:v>68.156844743648989</c:v>
                </c:pt>
                <c:pt idx="7">
                  <c:v>71.512239150692864</c:v>
                </c:pt>
                <c:pt idx="8">
                  <c:v>74.867633557736738</c:v>
                </c:pt>
                <c:pt idx="9">
                  <c:v>78.223027964780613</c:v>
                </c:pt>
                <c:pt idx="10">
                  <c:v>81.578422371824502</c:v>
                </c:pt>
                <c:pt idx="11">
                  <c:v>84.933816778868362</c:v>
                </c:pt>
                <c:pt idx="12">
                  <c:v>88.289211185912251</c:v>
                </c:pt>
                <c:pt idx="13">
                  <c:v>91.644605592956125</c:v>
                </c:pt>
                <c:pt idx="14">
                  <c:v>95</c:v>
                </c:pt>
              </c:numCache>
            </c:numRef>
          </c:xVal>
          <c:yVal>
            <c:numRef>
              <c:f>'Meotda CIągu, zmienna masa'!$R$130:$R$144</c:f>
              <c:numCache>
                <c:formatCode>0.00</c:formatCode>
                <c:ptCount val="15"/>
                <c:pt idx="0">
                  <c:v>-0.48852951757149193</c:v>
                </c:pt>
                <c:pt idx="1">
                  <c:v>-0.42886150423771474</c:v>
                </c:pt>
                <c:pt idx="2">
                  <c:v>-0.3470613037512687</c:v>
                </c:pt>
                <c:pt idx="3">
                  <c:v>-1.6279145036835464E-2</c:v>
                </c:pt>
                <c:pt idx="4">
                  <c:v>0.24735466618121349</c:v>
                </c:pt>
                <c:pt idx="5">
                  <c:v>0.44650921781757813</c:v>
                </c:pt>
                <c:pt idx="6">
                  <c:v>0.58294554183463942</c:v>
                </c:pt>
                <c:pt idx="7">
                  <c:v>0.65765381147971436</c:v>
                </c:pt>
                <c:pt idx="8">
                  <c:v>0.67096444868411131</c:v>
                </c:pt>
                <c:pt idx="9">
                  <c:v>0.6226354311225053</c:v>
                </c:pt>
                <c:pt idx="10">
                  <c:v>0.51191936221683365</c:v>
                </c:pt>
                <c:pt idx="11">
                  <c:v>0.33761374528059218</c:v>
                </c:pt>
                <c:pt idx="12">
                  <c:v>9.8097484765902992E-2</c:v>
                </c:pt>
                <c:pt idx="13">
                  <c:v>-0.20864394736576014</c:v>
                </c:pt>
                <c:pt idx="14">
                  <c:v>-0.58500277346100304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506B-4EAC-B155-4EACD09AA4EB}"/>
            </c:ext>
          </c:extLst>
        </c:ser>
        <c:ser>
          <c:idx val="27"/>
          <c:order val="26"/>
          <c:tx>
            <c:v>h=8km, m. ciągu, zmienna masa</c:v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'Meotda CIągu, zmienna masa'!$K$148:$K$162</c:f>
              <c:numCache>
                <c:formatCode>0.0</c:formatCode>
                <c:ptCount val="15"/>
                <c:pt idx="0">
                  <c:v>55.8578463757027</c:v>
                </c:pt>
                <c:pt idx="1">
                  <c:v>56.5</c:v>
                </c:pt>
                <c:pt idx="2">
                  <c:v>57.185935005349812</c:v>
                </c:pt>
                <c:pt idx="3">
                  <c:v>60.337107088237325</c:v>
                </c:pt>
                <c:pt idx="4">
                  <c:v>63.488279171124844</c:v>
                </c:pt>
                <c:pt idx="5">
                  <c:v>66.639451254012357</c:v>
                </c:pt>
                <c:pt idx="6">
                  <c:v>69.79062333689987</c:v>
                </c:pt>
                <c:pt idx="7">
                  <c:v>72.941795419787383</c:v>
                </c:pt>
                <c:pt idx="8">
                  <c:v>76.092967502674909</c:v>
                </c:pt>
                <c:pt idx="9">
                  <c:v>79.244139585562422</c:v>
                </c:pt>
                <c:pt idx="10">
                  <c:v>82.395311668449935</c:v>
                </c:pt>
                <c:pt idx="11">
                  <c:v>85.546483751337462</c:v>
                </c:pt>
                <c:pt idx="12">
                  <c:v>88.697655834224975</c:v>
                </c:pt>
                <c:pt idx="13">
                  <c:v>91.848827917112487</c:v>
                </c:pt>
                <c:pt idx="14">
                  <c:v>95</c:v>
                </c:pt>
              </c:numCache>
            </c:numRef>
          </c:xVal>
          <c:yVal>
            <c:numRef>
              <c:f>'Meotda CIągu, zmienna masa'!$R$148:$R$162</c:f>
              <c:numCache>
                <c:formatCode>0.00</c:formatCode>
                <c:ptCount val="15"/>
                <c:pt idx="0">
                  <c:v>-1.3744576832055186</c:v>
                </c:pt>
                <c:pt idx="1">
                  <c:v>-1.3046051829449774</c:v>
                </c:pt>
                <c:pt idx="2">
                  <c:v>-1.2327731938908013</c:v>
                </c:pt>
                <c:pt idx="3">
                  <c:v>-0.93877228196472162</c:v>
                </c:pt>
                <c:pt idx="4">
                  <c:v>-0.7018260795443132</c:v>
                </c:pt>
                <c:pt idx="5">
                  <c:v>-0.51973363003410211</c:v>
                </c:pt>
                <c:pt idx="6">
                  <c:v>-0.39094966703400286</c:v>
                </c:pt>
                <c:pt idx="7">
                  <c:v>-0.31450000547267271</c:v>
                </c:pt>
                <c:pt idx="8">
                  <c:v>-0.28990977993118744</c:v>
                </c:pt>
                <c:pt idx="9">
                  <c:v>-0.31714482707492925</c:v>
                </c:pt>
                <c:pt idx="10">
                  <c:v>-0.39656496107340078</c:v>
                </c:pt>
                <c:pt idx="11">
                  <c:v>-0.52888778857064045</c:v>
                </c:pt>
                <c:pt idx="12">
                  <c:v>-0.71516141697558222</c:v>
                </c:pt>
                <c:pt idx="13">
                  <c:v>-0.95674481940318035</c:v>
                </c:pt>
                <c:pt idx="14">
                  <c:v>-1.2552947168045914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506B-4EAC-B155-4EACD09AA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780144"/>
        <c:axId val="428777192"/>
      </c:scatterChart>
      <c:valAx>
        <c:axId val="428780144"/>
        <c:scaling>
          <c:orientation val="minMax"/>
          <c:max val="110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28777192"/>
        <c:crosses val="autoZero"/>
        <c:crossBetween val="midCat"/>
        <c:majorUnit val="20"/>
      </c:valAx>
      <c:valAx>
        <c:axId val="428777192"/>
        <c:scaling>
          <c:orientation val="minMax"/>
          <c:max val="10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28780144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388888888888893"/>
          <c:y val="1.2744650710051967E-2"/>
          <c:w val="0.36944444444444446"/>
          <c:h val="0.971999443778136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0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α</a:t>
            </a:r>
            <a:r>
              <a:rPr lang="pl-PL"/>
              <a:t>(V), </a:t>
            </a:r>
            <a:r>
              <a:rPr lang="el-GR"/>
              <a:t>γ</a:t>
            </a:r>
            <a:r>
              <a:rPr lang="pl-PL"/>
              <a:t>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α 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'h=0m'!$G$3:$G$17</c:f>
              <c:numCache>
                <c:formatCode>0.0</c:formatCode>
                <c:ptCount val="15"/>
                <c:pt idx="0">
                  <c:v>35.157432011792558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'h=0m'!$L$3:$L$17</c:f>
              <c:numCache>
                <c:formatCode>0.00</c:formatCode>
                <c:ptCount val="15"/>
                <c:pt idx="0">
                  <c:v>11.327448024114711</c:v>
                </c:pt>
                <c:pt idx="1">
                  <c:v>5.9971157790449272</c:v>
                </c:pt>
                <c:pt idx="2">
                  <c:v>3.8246265954977665</c:v>
                </c:pt>
                <c:pt idx="3">
                  <c:v>2.3527362538731715</c:v>
                </c:pt>
                <c:pt idx="4">
                  <c:v>1.1869397429926716</c:v>
                </c:pt>
                <c:pt idx="5">
                  <c:v>0.45359556962900255</c:v>
                </c:pt>
                <c:pt idx="6">
                  <c:v>-0.10241884788100056</c:v>
                </c:pt>
                <c:pt idx="7">
                  <c:v>-0.58781924778605643</c:v>
                </c:pt>
                <c:pt idx="8">
                  <c:v>-0.91910979436096396</c:v>
                </c:pt>
                <c:pt idx="9">
                  <c:v>-1.1867581911411853</c:v>
                </c:pt>
                <c:pt idx="10">
                  <c:v>-1.4343084805967903</c:v>
                </c:pt>
                <c:pt idx="11">
                  <c:v>-1.6119936210067842</c:v>
                </c:pt>
                <c:pt idx="12">
                  <c:v>-1.7615241378399347</c:v>
                </c:pt>
                <c:pt idx="13">
                  <c:v>-1.8886440530111479</c:v>
                </c:pt>
                <c:pt idx="14">
                  <c:v>-2.0120170302031677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27-490A-9C5D-753DF6A24356}"/>
            </c:ext>
          </c:extLst>
        </c:ser>
        <c:ser>
          <c:idx val="1"/>
          <c:order val="1"/>
          <c:tx>
            <c:v>γ metoda ciągu, m=const.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'h=0m'!$G$3:$G$17</c:f>
              <c:numCache>
                <c:formatCode>0.0</c:formatCode>
                <c:ptCount val="15"/>
                <c:pt idx="0">
                  <c:v>35.157432011792558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'h=0m'!$M$3:$M$17</c:f>
              <c:numCache>
                <c:formatCode>0.00</c:formatCode>
                <c:ptCount val="15"/>
                <c:pt idx="0">
                  <c:v>9.5841953472820176</c:v>
                </c:pt>
                <c:pt idx="1">
                  <c:v>9.6448956623915105</c:v>
                </c:pt>
                <c:pt idx="2">
                  <c:v>9.0931618671122241</c:v>
                </c:pt>
                <c:pt idx="3">
                  <c:v>8.2815189678457362</c:v>
                </c:pt>
                <c:pt idx="4">
                  <c:v>7.1547474792448513</c:v>
                </c:pt>
                <c:pt idx="5">
                  <c:v>6.0505476784594547</c:v>
                </c:pt>
                <c:pt idx="6">
                  <c:v>4.8658269361088191</c:v>
                </c:pt>
                <c:pt idx="7">
                  <c:v>3.4348397580482977</c:v>
                </c:pt>
                <c:pt idx="8">
                  <c:v>2.1270789028708372</c:v>
                </c:pt>
                <c:pt idx="9">
                  <c:v>0.77433370826113224</c:v>
                </c:pt>
                <c:pt idx="10">
                  <c:v>-0.82143481528782425</c:v>
                </c:pt>
                <c:pt idx="11">
                  <c:v>-2.2583951791902956</c:v>
                </c:pt>
                <c:pt idx="12">
                  <c:v>-3.7317614169694586</c:v>
                </c:pt>
                <c:pt idx="13">
                  <c:v>-5.2408450214472646</c:v>
                </c:pt>
                <c:pt idx="14">
                  <c:v>-7.0091369959915291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127-490A-9C5D-753DF6A24356}"/>
            </c:ext>
          </c:extLst>
        </c:ser>
        <c:ser>
          <c:idx val="2"/>
          <c:order val="2"/>
          <c:tx>
            <c:v>α metoda mocy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'h=0m'!$H$22:$H$37</c:f>
              <c:numCache>
                <c:formatCode>0.00</c:formatCode>
                <c:ptCount val="16"/>
                <c:pt idx="0">
                  <c:v>35.157432011792558</c:v>
                </c:pt>
                <c:pt idx="1">
                  <c:v>35.811528285403178</c:v>
                </c:pt>
                <c:pt idx="2">
                  <c:v>36.971085844054947</c:v>
                </c:pt>
                <c:pt idx="3">
                  <c:v>38.223355944888525</c:v>
                </c:pt>
                <c:pt idx="4">
                  <c:v>39.798563070913126</c:v>
                </c:pt>
                <c:pt idx="5">
                  <c:v>41.355978660828761</c:v>
                </c:pt>
                <c:pt idx="6">
                  <c:v>43.191577880930247</c:v>
                </c:pt>
                <c:pt idx="7">
                  <c:v>45.598342806506814</c:v>
                </c:pt>
                <c:pt idx="8">
                  <c:v>48.17825713572428</c:v>
                </c:pt>
                <c:pt idx="9">
                  <c:v>51.119165881347236</c:v>
                </c:pt>
                <c:pt idx="10">
                  <c:v>59.505185664529769</c:v>
                </c:pt>
                <c:pt idx="11">
                  <c:v>65.403425373590096</c:v>
                </c:pt>
                <c:pt idx="12">
                  <c:v>73.692619266233933</c:v>
                </c:pt>
                <c:pt idx="13">
                  <c:v>85.439049209516369</c:v>
                </c:pt>
                <c:pt idx="14">
                  <c:v>104.07693059928242</c:v>
                </c:pt>
                <c:pt idx="15">
                  <c:v>168.45417280572855</c:v>
                </c:pt>
              </c:numCache>
            </c:numRef>
          </c:xVal>
          <c:yVal>
            <c:numRef>
              <c:f>'h=0m'!$P$22:$P$37</c:f>
              <c:numCache>
                <c:formatCode>0.00</c:formatCode>
                <c:ptCount val="16"/>
                <c:pt idx="0">
                  <c:v>15.276999999999999</c:v>
                </c:pt>
                <c:pt idx="1">
                  <c:v>12.122999999999999</c:v>
                </c:pt>
                <c:pt idx="2">
                  <c:v>11.015000000000001</c:v>
                </c:pt>
                <c:pt idx="3">
                  <c:v>9.5779999999999994</c:v>
                </c:pt>
                <c:pt idx="4">
                  <c:v>8.4719999999999995</c:v>
                </c:pt>
                <c:pt idx="5">
                  <c:v>7.694</c:v>
                </c:pt>
                <c:pt idx="6">
                  <c:v>7.048</c:v>
                </c:pt>
                <c:pt idx="7">
                  <c:v>6.0739999999999998</c:v>
                </c:pt>
                <c:pt idx="8">
                  <c:v>5.0990000000000002</c:v>
                </c:pt>
                <c:pt idx="9">
                  <c:v>3.86</c:v>
                </c:pt>
                <c:pt idx="10">
                  <c:v>2.0419999999999998</c:v>
                </c:pt>
                <c:pt idx="11">
                  <c:v>1.198</c:v>
                </c:pt>
                <c:pt idx="12">
                  <c:v>0.42</c:v>
                </c:pt>
                <c:pt idx="13">
                  <c:v>-0.29199999999999998</c:v>
                </c:pt>
                <c:pt idx="14">
                  <c:v>-1.071</c:v>
                </c:pt>
                <c:pt idx="15">
                  <c:v>-2.044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127-490A-9C5D-753DF6A24356}"/>
            </c:ext>
          </c:extLst>
        </c:ser>
        <c:ser>
          <c:idx val="3"/>
          <c:order val="3"/>
          <c:tx>
            <c:v>γ metoda mocy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'h=0m'!$H$22:$H$36</c:f>
              <c:numCache>
                <c:formatCode>0.00</c:formatCode>
                <c:ptCount val="15"/>
                <c:pt idx="0">
                  <c:v>35.157432011792558</c:v>
                </c:pt>
                <c:pt idx="1">
                  <c:v>35.811528285403178</c:v>
                </c:pt>
                <c:pt idx="2">
                  <c:v>36.971085844054947</c:v>
                </c:pt>
                <c:pt idx="3">
                  <c:v>38.223355944888525</c:v>
                </c:pt>
                <c:pt idx="4">
                  <c:v>39.798563070913126</c:v>
                </c:pt>
                <c:pt idx="5">
                  <c:v>41.355978660828761</c:v>
                </c:pt>
                <c:pt idx="6">
                  <c:v>43.191577880930247</c:v>
                </c:pt>
                <c:pt idx="7">
                  <c:v>45.598342806506814</c:v>
                </c:pt>
                <c:pt idx="8">
                  <c:v>48.17825713572428</c:v>
                </c:pt>
                <c:pt idx="9">
                  <c:v>51.119165881347236</c:v>
                </c:pt>
                <c:pt idx="10">
                  <c:v>59.505185664529769</c:v>
                </c:pt>
                <c:pt idx="11">
                  <c:v>65.403425373590096</c:v>
                </c:pt>
                <c:pt idx="12">
                  <c:v>73.692619266233933</c:v>
                </c:pt>
                <c:pt idx="13">
                  <c:v>85.439049209516369</c:v>
                </c:pt>
                <c:pt idx="14">
                  <c:v>104.07693059928242</c:v>
                </c:pt>
              </c:numCache>
            </c:numRef>
          </c:xVal>
          <c:yVal>
            <c:numRef>
              <c:f>'h=0m'!$O$22:$O$37</c:f>
              <c:numCache>
                <c:formatCode>0.00</c:formatCode>
                <c:ptCount val="16"/>
                <c:pt idx="0">
                  <c:v>9.2024974721161357</c:v>
                </c:pt>
                <c:pt idx="1">
                  <c:v>9.2756950872416848</c:v>
                </c:pt>
                <c:pt idx="2">
                  <c:v>9.3810217917284628</c:v>
                </c:pt>
                <c:pt idx="3">
                  <c:v>9.4753272397941526</c:v>
                </c:pt>
                <c:pt idx="4">
                  <c:v>9.5154572523679448</c:v>
                </c:pt>
                <c:pt idx="5">
                  <c:v>9.523211671641528</c:v>
                </c:pt>
                <c:pt idx="6">
                  <c:v>9.4926926417636821</c:v>
                </c:pt>
                <c:pt idx="7">
                  <c:v>9.3667642154018544</c:v>
                </c:pt>
                <c:pt idx="8">
                  <c:v>9.2492523320277122</c:v>
                </c:pt>
                <c:pt idx="9">
                  <c:v>9.0545849722729308</c:v>
                </c:pt>
                <c:pt idx="10">
                  <c:v>8.1483689046408152</c:v>
                </c:pt>
                <c:pt idx="11">
                  <c:v>7.3384589151338373</c:v>
                </c:pt>
                <c:pt idx="12">
                  <c:v>6.0291234364437098</c:v>
                </c:pt>
                <c:pt idx="13">
                  <c:v>4.0180835221810476</c:v>
                </c:pt>
                <c:pt idx="14">
                  <c:v>0.46948258213021554</c:v>
                </c:pt>
                <c:pt idx="15">
                  <c:v>-13.726640734674382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127-490A-9C5D-753DF6A24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809103"/>
        <c:axId val="1803560847"/>
      </c:scatterChart>
      <c:valAx>
        <c:axId val="1857809103"/>
        <c:scaling>
          <c:orientation val="minMax"/>
          <c:max val="140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03560847"/>
        <c:crosses val="autoZero"/>
        <c:crossBetween val="midCat"/>
        <c:majorUnit val="10"/>
      </c:valAx>
      <c:valAx>
        <c:axId val="1803560847"/>
        <c:scaling>
          <c:orientation val="minMax"/>
          <c:max val="8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α</a:t>
                </a:r>
                <a:r>
                  <a:rPr lang="pl-PL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, </a:t>
                </a:r>
                <a:r>
                  <a:rPr lang="el-GR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γ</a:t>
                </a:r>
                <a:r>
                  <a:rPr lang="pl-PL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 [°]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7809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647062554680665"/>
          <c:y val="0.15809889173060529"/>
          <c:w val="0.79494531933508306"/>
          <c:h val="0.60658550993146321"/>
        </c:manualLayout>
      </c:layout>
      <c:scatterChart>
        <c:scatterStyle val="smoothMarker"/>
        <c:varyColors val="0"/>
        <c:ser>
          <c:idx val="0"/>
          <c:order val="0"/>
          <c:tx>
            <c:v>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'h=0m'!$G$3:$G$17</c:f>
              <c:numCache>
                <c:formatCode>0.0</c:formatCode>
                <c:ptCount val="15"/>
                <c:pt idx="0">
                  <c:v>35.157432011792558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'h=0m'!$N$3:$N$17</c:f>
              <c:numCache>
                <c:formatCode>0.00</c:formatCode>
                <c:ptCount val="15"/>
                <c:pt idx="0">
                  <c:v>5.853598521505921</c:v>
                </c:pt>
                <c:pt idx="1">
                  <c:v>7.5393584722415596</c:v>
                </c:pt>
                <c:pt idx="2">
                  <c:v>8.2180914572090096</c:v>
                </c:pt>
                <c:pt idx="3">
                  <c:v>8.4981840115175018</c:v>
                </c:pt>
                <c:pt idx="4">
                  <c:v>8.3448243339694983</c:v>
                </c:pt>
                <c:pt idx="5">
                  <c:v>7.8000301606534412</c:v>
                </c:pt>
                <c:pt idx="6">
                  <c:v>6.8706350779642307</c:v>
                </c:pt>
                <c:pt idx="7">
                  <c:v>5.3322891074386494</c:v>
                </c:pt>
                <c:pt idx="8">
                  <c:v>3.5631363069663022</c:v>
                </c:pt>
                <c:pt idx="9">
                  <c:v>1.3919689160718394</c:v>
                </c:pt>
                <c:pt idx="10">
                  <c:v>-1.5913238596835</c:v>
                </c:pt>
                <c:pt idx="11">
                  <c:v>-4.6499346551321752</c:v>
                </c:pt>
                <c:pt idx="12">
                  <c:v>-8.1356855189698116</c:v>
                </c:pt>
                <c:pt idx="13">
                  <c:v>-12.057210433612738</c:v>
                </c:pt>
                <c:pt idx="14">
                  <c:v>-17.083867338790231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D7-457C-ADD2-DA8445E2EC67}"/>
            </c:ext>
          </c:extLst>
        </c:ser>
        <c:ser>
          <c:idx val="1"/>
          <c:order val="1"/>
          <c:tx>
            <c:v>metoda mocy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'h=0m'!$H$22:$H$36</c:f>
              <c:numCache>
                <c:formatCode>0.00</c:formatCode>
                <c:ptCount val="15"/>
                <c:pt idx="0">
                  <c:v>35.157432011792558</c:v>
                </c:pt>
                <c:pt idx="1">
                  <c:v>35.811528285403178</c:v>
                </c:pt>
                <c:pt idx="2">
                  <c:v>36.971085844054947</c:v>
                </c:pt>
                <c:pt idx="3">
                  <c:v>38.223355944888525</c:v>
                </c:pt>
                <c:pt idx="4">
                  <c:v>39.798563070913126</c:v>
                </c:pt>
                <c:pt idx="5">
                  <c:v>41.355978660828761</c:v>
                </c:pt>
                <c:pt idx="6">
                  <c:v>43.191577880930247</c:v>
                </c:pt>
                <c:pt idx="7">
                  <c:v>45.598342806506814</c:v>
                </c:pt>
                <c:pt idx="8">
                  <c:v>48.17825713572428</c:v>
                </c:pt>
                <c:pt idx="9">
                  <c:v>51.119165881347236</c:v>
                </c:pt>
                <c:pt idx="10">
                  <c:v>59.505185664529769</c:v>
                </c:pt>
                <c:pt idx="11">
                  <c:v>65.403425373590096</c:v>
                </c:pt>
                <c:pt idx="12">
                  <c:v>73.692619266233933</c:v>
                </c:pt>
                <c:pt idx="13">
                  <c:v>85.439049209516369</c:v>
                </c:pt>
                <c:pt idx="14">
                  <c:v>104.07693059928242</c:v>
                </c:pt>
              </c:numCache>
            </c:numRef>
          </c:xVal>
          <c:yVal>
            <c:numRef>
              <c:f>'h=0m'!$N$22:$N$36</c:f>
              <c:numCache>
                <c:formatCode>0.00</c:formatCode>
                <c:ptCount val="15"/>
                <c:pt idx="0">
                  <c:v>5.6225247486882726</c:v>
                </c:pt>
                <c:pt idx="1">
                  <c:v>5.7722876914477412</c:v>
                </c:pt>
                <c:pt idx="2">
                  <c:v>6.0262562622225726</c:v>
                </c:pt>
                <c:pt idx="3">
                  <c:v>6.2924387621882465</c:v>
                </c:pt>
                <c:pt idx="4">
                  <c:v>6.5792469171273948</c:v>
                </c:pt>
                <c:pt idx="5">
                  <c:v>6.8422290704987665</c:v>
                </c:pt>
                <c:pt idx="6">
                  <c:v>7.1232334668273705</c:v>
                </c:pt>
                <c:pt idx="7">
                  <c:v>7.4212967285721225</c:v>
                </c:pt>
                <c:pt idx="8">
                  <c:v>7.7436761419440225</c:v>
                </c:pt>
                <c:pt idx="9">
                  <c:v>8.0448967363464465</c:v>
                </c:pt>
                <c:pt idx="10">
                  <c:v>8.4340838988079287</c:v>
                </c:pt>
                <c:pt idx="11">
                  <c:v>8.3540039767182446</c:v>
                </c:pt>
                <c:pt idx="12">
                  <c:v>7.7402279985224043</c:v>
                </c:pt>
                <c:pt idx="13">
                  <c:v>5.9868268243534128</c:v>
                </c:pt>
                <c:pt idx="14">
                  <c:v>0.8527985787127913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8D7-457C-ADD2-DA8445E2E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805743"/>
        <c:axId val="1798274655"/>
      </c:scatterChart>
      <c:valAx>
        <c:axId val="1857805743"/>
        <c:scaling>
          <c:orientation val="minMax"/>
          <c:max val="85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98274655"/>
        <c:crosses val="autoZero"/>
        <c:crossBetween val="midCat"/>
        <c:majorUnit val="5"/>
      </c:valAx>
      <c:valAx>
        <c:axId val="1798274655"/>
        <c:scaling>
          <c:orientation val="minMax"/>
          <c:max val="3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7805743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365157480314961E-2"/>
          <c:y val="0.88435567996455688"/>
          <c:w val="0.92968175853018353"/>
          <c:h val="9.69745789448953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>
                <a:latin typeface="Calibri" panose="020F0502020204030204" pitchFamily="34" charset="0"/>
                <a:cs typeface="Calibri" panose="020F0502020204030204" pitchFamily="34" charset="0"/>
              </a:rPr>
              <a:t>η</a:t>
            </a:r>
            <a:r>
              <a:rPr lang="pl-PL"/>
              <a:t>(J)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-0.36417497812773403"/>
                  <c:y val="-0.108170020414114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'[1]projekt 5'!$K$17:$K$24</c:f>
              <c:numCache>
                <c:formatCode>General</c:formatCode>
                <c:ptCount val="8"/>
                <c:pt idx="0">
                  <c:v>0</c:v>
                </c:pt>
                <c:pt idx="1">
                  <c:v>0.25299145299145298</c:v>
                </c:pt>
                <c:pt idx="2">
                  <c:v>0.50598290598290596</c:v>
                </c:pt>
                <c:pt idx="3">
                  <c:v>0.75897435897435905</c:v>
                </c:pt>
                <c:pt idx="4">
                  <c:v>1.0119658119658119</c:v>
                </c:pt>
                <c:pt idx="5">
                  <c:v>1.2649572649572651</c:v>
                </c:pt>
                <c:pt idx="6">
                  <c:v>1.5179487179487181</c:v>
                </c:pt>
                <c:pt idx="7">
                  <c:v>1.7709401709401711</c:v>
                </c:pt>
              </c:numCache>
            </c:numRef>
          </c:xVal>
          <c:yVal>
            <c:numRef>
              <c:f>'[1]projekt 5'!$M$17:$M$24</c:f>
              <c:numCache>
                <c:formatCode>General</c:formatCode>
                <c:ptCount val="8"/>
                <c:pt idx="0">
                  <c:v>0</c:v>
                </c:pt>
                <c:pt idx="1">
                  <c:v>0.34200000000000003</c:v>
                </c:pt>
                <c:pt idx="2">
                  <c:v>0.59</c:v>
                </c:pt>
                <c:pt idx="3">
                  <c:v>0.754</c:v>
                </c:pt>
                <c:pt idx="4">
                  <c:v>0.81599999999999995</c:v>
                </c:pt>
                <c:pt idx="5">
                  <c:v>0.84799999999999998</c:v>
                </c:pt>
                <c:pt idx="6">
                  <c:v>0.84599999999999997</c:v>
                </c:pt>
                <c:pt idx="7">
                  <c:v>0.81399999999999995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3C-4DF0-AE7F-6D6BE122C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7040047"/>
        <c:axId val="279865567"/>
      </c:scatterChart>
      <c:valAx>
        <c:axId val="1417040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79865567"/>
        <c:crosses val="autoZero"/>
        <c:crossBetween val="midCat"/>
      </c:valAx>
      <c:valAx>
        <c:axId val="27986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17040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>
                <a:latin typeface="Calibri Light" panose="020F0302020204030204" pitchFamily="34" charset="0"/>
                <a:cs typeface="Calibri Light" panose="020F0302020204030204" pitchFamily="34" charset="0"/>
              </a:rPr>
              <a:t>γ</a:t>
            </a:r>
            <a:r>
              <a:rPr lang="pl-PL">
                <a:latin typeface="Calibri Light" panose="020F0302020204030204" pitchFamily="34" charset="0"/>
                <a:cs typeface="Calibri Light" panose="020F0302020204030204" pitchFamily="34" charset="0"/>
              </a:rPr>
              <a:t>(V)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5203958880139984"/>
          <c:y val="0.17171296296296296"/>
          <c:w val="0.78616754155730528"/>
          <c:h val="0.65604148439778365"/>
        </c:manualLayout>
      </c:layout>
      <c:scatterChart>
        <c:scatterStyle val="smoothMarker"/>
        <c:varyColors val="0"/>
        <c:ser>
          <c:idx val="0"/>
          <c:order val="0"/>
          <c:tx>
            <c:v>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'h=0m'!$G$3:$G$17</c:f>
              <c:numCache>
                <c:formatCode>0.0</c:formatCode>
                <c:ptCount val="15"/>
                <c:pt idx="0">
                  <c:v>35.157432011792558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'h=0m'!$M$3:$M$17</c:f>
              <c:numCache>
                <c:formatCode>0.00</c:formatCode>
                <c:ptCount val="15"/>
                <c:pt idx="0">
                  <c:v>9.5841953472820176</c:v>
                </c:pt>
                <c:pt idx="1">
                  <c:v>9.6448956623915105</c:v>
                </c:pt>
                <c:pt idx="2">
                  <c:v>9.0931618671122241</c:v>
                </c:pt>
                <c:pt idx="3">
                  <c:v>8.2815189678457362</c:v>
                </c:pt>
                <c:pt idx="4">
                  <c:v>7.1547474792448513</c:v>
                </c:pt>
                <c:pt idx="5">
                  <c:v>6.0505476784594547</c:v>
                </c:pt>
                <c:pt idx="6">
                  <c:v>4.8658269361088191</c:v>
                </c:pt>
                <c:pt idx="7">
                  <c:v>3.4348397580482977</c:v>
                </c:pt>
                <c:pt idx="8">
                  <c:v>2.1270789028708372</c:v>
                </c:pt>
                <c:pt idx="9">
                  <c:v>0.77433370826113224</c:v>
                </c:pt>
                <c:pt idx="10">
                  <c:v>-0.82143481528782425</c:v>
                </c:pt>
                <c:pt idx="11">
                  <c:v>-2.2583951791902956</c:v>
                </c:pt>
                <c:pt idx="12">
                  <c:v>-3.7317614169694586</c:v>
                </c:pt>
                <c:pt idx="13">
                  <c:v>-5.2408450214472646</c:v>
                </c:pt>
                <c:pt idx="14">
                  <c:v>-7.0091369959915291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2C-459B-9EA7-0CF3E14CC41A}"/>
            </c:ext>
          </c:extLst>
        </c:ser>
        <c:ser>
          <c:idx val="1"/>
          <c:order val="1"/>
          <c:tx>
            <c:v>metoda mocy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'h=0m'!$H$22:$H$36</c:f>
              <c:numCache>
                <c:formatCode>0.00</c:formatCode>
                <c:ptCount val="15"/>
                <c:pt idx="0">
                  <c:v>35.157432011792558</c:v>
                </c:pt>
                <c:pt idx="1">
                  <c:v>35.811528285403178</c:v>
                </c:pt>
                <c:pt idx="2">
                  <c:v>36.971085844054947</c:v>
                </c:pt>
                <c:pt idx="3">
                  <c:v>38.223355944888525</c:v>
                </c:pt>
                <c:pt idx="4">
                  <c:v>39.798563070913126</c:v>
                </c:pt>
                <c:pt idx="5">
                  <c:v>41.355978660828761</c:v>
                </c:pt>
                <c:pt idx="6">
                  <c:v>43.191577880930247</c:v>
                </c:pt>
                <c:pt idx="7">
                  <c:v>45.598342806506814</c:v>
                </c:pt>
                <c:pt idx="8">
                  <c:v>48.17825713572428</c:v>
                </c:pt>
                <c:pt idx="9">
                  <c:v>51.119165881347236</c:v>
                </c:pt>
                <c:pt idx="10">
                  <c:v>59.505185664529769</c:v>
                </c:pt>
                <c:pt idx="11">
                  <c:v>65.403425373590096</c:v>
                </c:pt>
                <c:pt idx="12">
                  <c:v>73.692619266233933</c:v>
                </c:pt>
                <c:pt idx="13">
                  <c:v>85.439049209516369</c:v>
                </c:pt>
                <c:pt idx="14">
                  <c:v>104.07693059928242</c:v>
                </c:pt>
              </c:numCache>
            </c:numRef>
          </c:xVal>
          <c:yVal>
            <c:numRef>
              <c:f>'h=0m'!$O$22:$O$36</c:f>
              <c:numCache>
                <c:formatCode>0.00</c:formatCode>
                <c:ptCount val="15"/>
                <c:pt idx="0">
                  <c:v>9.2024974721161357</c:v>
                </c:pt>
                <c:pt idx="1">
                  <c:v>9.2756950872416848</c:v>
                </c:pt>
                <c:pt idx="2">
                  <c:v>9.3810217917284628</c:v>
                </c:pt>
                <c:pt idx="3">
                  <c:v>9.4753272397941526</c:v>
                </c:pt>
                <c:pt idx="4">
                  <c:v>9.5154572523679448</c:v>
                </c:pt>
                <c:pt idx="5">
                  <c:v>9.523211671641528</c:v>
                </c:pt>
                <c:pt idx="6">
                  <c:v>9.4926926417636821</c:v>
                </c:pt>
                <c:pt idx="7">
                  <c:v>9.3667642154018544</c:v>
                </c:pt>
                <c:pt idx="8">
                  <c:v>9.2492523320277122</c:v>
                </c:pt>
                <c:pt idx="9">
                  <c:v>9.0545849722729308</c:v>
                </c:pt>
                <c:pt idx="10">
                  <c:v>8.1483689046408152</c:v>
                </c:pt>
                <c:pt idx="11">
                  <c:v>7.3384589151338373</c:v>
                </c:pt>
                <c:pt idx="12">
                  <c:v>6.0291234364437098</c:v>
                </c:pt>
                <c:pt idx="13">
                  <c:v>4.0180835221810476</c:v>
                </c:pt>
                <c:pt idx="14">
                  <c:v>0.46948258213021554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2C-459B-9EA7-0CF3E14CC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32463"/>
        <c:axId val="39114431"/>
      </c:scatterChart>
      <c:valAx>
        <c:axId val="37832463"/>
        <c:scaling>
          <c:orientation val="minMax"/>
          <c:max val="90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9114431"/>
        <c:crosses val="autoZero"/>
        <c:crossBetween val="midCat"/>
        <c:majorUnit val="5"/>
      </c:valAx>
      <c:valAx>
        <c:axId val="39114431"/>
        <c:scaling>
          <c:orientation val="minMax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γ</a:t>
                </a:r>
                <a:r>
                  <a:rPr lang="pl-PL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 [°]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7832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3.1429352580927383E-2"/>
          <c:y val="0.86652704870224551"/>
          <c:w val="0.91579286964129469"/>
          <c:h val="0.10532516768737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α</a:t>
            </a:r>
            <a:r>
              <a:rPr lang="pl-PL"/>
              <a:t>(V), </a:t>
            </a:r>
            <a:r>
              <a:rPr lang="el-GR"/>
              <a:t>γ</a:t>
            </a:r>
            <a:r>
              <a:rPr lang="pl-PL"/>
              <a:t>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α 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'h=1km'!$G$3:$G$17</c:f>
              <c:numCache>
                <c:formatCode>0.0</c:formatCode>
                <c:ptCount val="15"/>
                <c:pt idx="0">
                  <c:v>36.907789207676011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'h=1km'!$L$3:$L$17</c:f>
              <c:numCache>
                <c:formatCode>0.00</c:formatCode>
                <c:ptCount val="15"/>
                <c:pt idx="0">
                  <c:v>11.470446428771652</c:v>
                </c:pt>
                <c:pt idx="1">
                  <c:v>6.9411942129838664</c:v>
                </c:pt>
                <c:pt idx="2">
                  <c:v>4.5345853561000755</c:v>
                </c:pt>
                <c:pt idx="3">
                  <c:v>2.9049144676779743</c:v>
                </c:pt>
                <c:pt idx="4">
                  <c:v>1.6149936693880742</c:v>
                </c:pt>
                <c:pt idx="5">
                  <c:v>0.8041553703177946</c:v>
                </c:pt>
                <c:pt idx="6">
                  <c:v>0.18981889937432789</c:v>
                </c:pt>
                <c:pt idx="7">
                  <c:v>-0.34607750435042434</c:v>
                </c:pt>
                <c:pt idx="8">
                  <c:v>-0.71153174478765002</c:v>
                </c:pt>
                <c:pt idx="9">
                  <c:v>-1.006546791041331</c:v>
                </c:pt>
                <c:pt idx="10">
                  <c:v>-1.2791678687439665</c:v>
                </c:pt>
                <c:pt idx="11">
                  <c:v>-1.4746654095945204</c:v>
                </c:pt>
                <c:pt idx="12">
                  <c:v>-1.6390354518317762</c:v>
                </c:pt>
                <c:pt idx="13">
                  <c:v>-1.7786358044537718</c:v>
                </c:pt>
                <c:pt idx="14">
                  <c:v>-1.9139724140288632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BD0-4A81-B0B3-DF6EA08D0932}"/>
            </c:ext>
          </c:extLst>
        </c:ser>
        <c:ser>
          <c:idx val="1"/>
          <c:order val="1"/>
          <c:tx>
            <c:v>γ metoda ciągu, m=const.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'h=1km'!$G$3:$G$17</c:f>
              <c:numCache>
                <c:formatCode>0.0</c:formatCode>
                <c:ptCount val="15"/>
                <c:pt idx="0">
                  <c:v>36.907789207676011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'h=1km'!$M$3:$M$17</c:f>
              <c:numCache>
                <c:formatCode>0.00</c:formatCode>
                <c:ptCount val="15"/>
                <c:pt idx="0">
                  <c:v>7.8086520932075212</c:v>
                </c:pt>
                <c:pt idx="1">
                  <c:v>8.0438021331875849</c:v>
                </c:pt>
                <c:pt idx="2">
                  <c:v>7.6948250439592556</c:v>
                </c:pt>
                <c:pt idx="3">
                  <c:v>7.0601813131027349</c:v>
                </c:pt>
                <c:pt idx="4">
                  <c:v>6.1176638166125406</c:v>
                </c:pt>
                <c:pt idx="5">
                  <c:v>5.1654143622227551</c:v>
                </c:pt>
                <c:pt idx="6">
                  <c:v>4.1275747466445347</c:v>
                </c:pt>
                <c:pt idx="7">
                  <c:v>2.8609683255829514</c:v>
                </c:pt>
                <c:pt idx="8">
                  <c:v>1.6955979750588339</c:v>
                </c:pt>
                <c:pt idx="9">
                  <c:v>0.48495913370670007</c:v>
                </c:pt>
                <c:pt idx="10">
                  <c:v>-0.94775178316647879</c:v>
                </c:pt>
                <c:pt idx="11">
                  <c:v>-2.2407640626348706</c:v>
                </c:pt>
                <c:pt idx="12">
                  <c:v>-3.5684223453623476</c:v>
                </c:pt>
                <c:pt idx="13">
                  <c:v>-4.9295365740018262</c:v>
                </c:pt>
                <c:pt idx="14">
                  <c:v>-6.5253304820357316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BD0-4A81-B0B3-DF6EA08D0932}"/>
            </c:ext>
          </c:extLst>
        </c:ser>
        <c:ser>
          <c:idx val="2"/>
          <c:order val="2"/>
          <c:tx>
            <c:v>α metoda mocy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'h=1km'!$H$22:$H$37</c:f>
              <c:numCache>
                <c:formatCode>0.00</c:formatCode>
                <c:ptCount val="16"/>
                <c:pt idx="0">
                  <c:v>36.907789207676011</c:v>
                </c:pt>
                <c:pt idx="1">
                  <c:v>37.59445049112383</c:v>
                </c:pt>
                <c:pt idx="2">
                  <c:v>38.811738088651779</c:v>
                </c:pt>
                <c:pt idx="3">
                  <c:v>40.126354039473725</c:v>
                </c:pt>
                <c:pt idx="4">
                  <c:v>41.779984843516651</c:v>
                </c:pt>
                <c:pt idx="5">
                  <c:v>43.414938337334817</c:v>
                </c:pt>
                <c:pt idx="6">
                  <c:v>45.341925185024834</c:v>
                </c:pt>
                <c:pt idx="7">
                  <c:v>47.868513944858393</c:v>
                </c:pt>
                <c:pt idx="8">
                  <c:v>50.576872570274581</c:v>
                </c:pt>
                <c:pt idx="9">
                  <c:v>53.664198175456868</c:v>
                </c:pt>
                <c:pt idx="10">
                  <c:v>62.467726554471739</c:v>
                </c:pt>
                <c:pt idx="11">
                  <c:v>68.65961758352428</c:v>
                </c:pt>
                <c:pt idx="12">
                  <c:v>77.361499472640546</c:v>
                </c:pt>
                <c:pt idx="13">
                  <c:v>89.692740279534092</c:v>
                </c:pt>
                <c:pt idx="14">
                  <c:v>109.25853215478887</c:v>
                </c:pt>
                <c:pt idx="15">
                  <c:v>176.84087674497533</c:v>
                </c:pt>
              </c:numCache>
            </c:numRef>
          </c:xVal>
          <c:yVal>
            <c:numRef>
              <c:f>'h=1km'!$P$22:$P$37</c:f>
              <c:numCache>
                <c:formatCode>0.00</c:formatCode>
                <c:ptCount val="16"/>
                <c:pt idx="0">
                  <c:v>15.276999999999999</c:v>
                </c:pt>
                <c:pt idx="1">
                  <c:v>12.122999999999999</c:v>
                </c:pt>
                <c:pt idx="2">
                  <c:v>11.015000000000001</c:v>
                </c:pt>
                <c:pt idx="3">
                  <c:v>9.5779999999999994</c:v>
                </c:pt>
                <c:pt idx="4">
                  <c:v>8.4719999999999995</c:v>
                </c:pt>
                <c:pt idx="5">
                  <c:v>7.694</c:v>
                </c:pt>
                <c:pt idx="6">
                  <c:v>7.048</c:v>
                </c:pt>
                <c:pt idx="7">
                  <c:v>6.0739999999999998</c:v>
                </c:pt>
                <c:pt idx="8">
                  <c:v>5.0990000000000002</c:v>
                </c:pt>
                <c:pt idx="9">
                  <c:v>3.86</c:v>
                </c:pt>
                <c:pt idx="10">
                  <c:v>2.0419999999999998</c:v>
                </c:pt>
                <c:pt idx="11">
                  <c:v>1.198</c:v>
                </c:pt>
                <c:pt idx="12">
                  <c:v>0.42</c:v>
                </c:pt>
                <c:pt idx="13">
                  <c:v>-0.29199999999999998</c:v>
                </c:pt>
                <c:pt idx="14">
                  <c:v>-1.071</c:v>
                </c:pt>
                <c:pt idx="15">
                  <c:v>-2.044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BD0-4A81-B0B3-DF6EA08D0932}"/>
            </c:ext>
          </c:extLst>
        </c:ser>
        <c:ser>
          <c:idx val="3"/>
          <c:order val="3"/>
          <c:tx>
            <c:v>γ metoda mocy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'h=1km'!$H$22:$H$36</c:f>
              <c:numCache>
                <c:formatCode>0.00</c:formatCode>
                <c:ptCount val="15"/>
                <c:pt idx="0">
                  <c:v>36.907789207676011</c:v>
                </c:pt>
                <c:pt idx="1">
                  <c:v>37.59445049112383</c:v>
                </c:pt>
                <c:pt idx="2">
                  <c:v>38.811738088651779</c:v>
                </c:pt>
                <c:pt idx="3">
                  <c:v>40.126354039473725</c:v>
                </c:pt>
                <c:pt idx="4">
                  <c:v>41.779984843516651</c:v>
                </c:pt>
                <c:pt idx="5">
                  <c:v>43.414938337334817</c:v>
                </c:pt>
                <c:pt idx="6">
                  <c:v>45.341925185024834</c:v>
                </c:pt>
                <c:pt idx="7">
                  <c:v>47.868513944858393</c:v>
                </c:pt>
                <c:pt idx="8">
                  <c:v>50.576872570274581</c:v>
                </c:pt>
                <c:pt idx="9">
                  <c:v>53.664198175456868</c:v>
                </c:pt>
                <c:pt idx="10">
                  <c:v>62.467726554471739</c:v>
                </c:pt>
                <c:pt idx="11">
                  <c:v>68.65961758352428</c:v>
                </c:pt>
                <c:pt idx="12">
                  <c:v>77.361499472640546</c:v>
                </c:pt>
                <c:pt idx="13">
                  <c:v>89.692740279534092</c:v>
                </c:pt>
                <c:pt idx="14">
                  <c:v>109.25853215478887</c:v>
                </c:pt>
              </c:numCache>
            </c:numRef>
          </c:xVal>
          <c:yVal>
            <c:numRef>
              <c:f>'h=1km'!$O$22:$O$37</c:f>
              <c:numCache>
                <c:formatCode>0.00</c:formatCode>
                <c:ptCount val="16"/>
                <c:pt idx="0">
                  <c:v>7.4975445473756759</c:v>
                </c:pt>
                <c:pt idx="1">
                  <c:v>7.5750779859674466</c:v>
                </c:pt>
                <c:pt idx="2">
                  <c:v>7.6881983015579367</c:v>
                </c:pt>
                <c:pt idx="3">
                  <c:v>7.7910081888875995</c:v>
                </c:pt>
                <c:pt idx="4">
                  <c:v>7.842190079150634</c:v>
                </c:pt>
                <c:pt idx="5">
                  <c:v>7.8610193621748925</c:v>
                </c:pt>
                <c:pt idx="6">
                  <c:v>7.8437342777643169</c:v>
                </c:pt>
                <c:pt idx="7">
                  <c:v>7.7355334051058104</c:v>
                </c:pt>
                <c:pt idx="8">
                  <c:v>7.6369443776203827</c:v>
                </c:pt>
                <c:pt idx="9">
                  <c:v>7.4640884234409475</c:v>
                </c:pt>
                <c:pt idx="10">
                  <c:v>6.621200463585172</c:v>
                </c:pt>
                <c:pt idx="11">
                  <c:v>5.8560697797058268</c:v>
                </c:pt>
                <c:pt idx="12">
                  <c:v>4.6094723644488829</c:v>
                </c:pt>
                <c:pt idx="13">
                  <c:v>2.6861487257374472</c:v>
                </c:pt>
                <c:pt idx="14">
                  <c:v>-0.72654553773970276</c:v>
                </c:pt>
                <c:pt idx="15">
                  <c:v>-14.47868207043896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BD0-4A81-B0B3-DF6EA08D0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809103"/>
        <c:axId val="1803560847"/>
      </c:scatterChart>
      <c:valAx>
        <c:axId val="1857809103"/>
        <c:scaling>
          <c:orientation val="minMax"/>
          <c:max val="140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03560847"/>
        <c:crosses val="autoZero"/>
        <c:crossBetween val="midCat"/>
        <c:majorUnit val="10"/>
      </c:valAx>
      <c:valAx>
        <c:axId val="1803560847"/>
        <c:scaling>
          <c:orientation val="minMax"/>
          <c:max val="5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α</a:t>
                </a:r>
                <a:r>
                  <a:rPr lang="pl-PL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, </a:t>
                </a:r>
                <a:r>
                  <a:rPr lang="el-GR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γ</a:t>
                </a:r>
                <a:r>
                  <a:rPr lang="pl-PL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 [°]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7809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647062554680665"/>
          <c:y val="0.15809889173060529"/>
          <c:w val="0.79494531933508306"/>
          <c:h val="0.60658550993146321"/>
        </c:manualLayout>
      </c:layout>
      <c:scatterChart>
        <c:scatterStyle val="smoothMarker"/>
        <c:varyColors val="0"/>
        <c:ser>
          <c:idx val="0"/>
          <c:order val="0"/>
          <c:tx>
            <c:v>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'h=1km'!$G$3:$G$17</c:f>
              <c:numCache>
                <c:formatCode>0.0</c:formatCode>
                <c:ptCount val="15"/>
                <c:pt idx="0">
                  <c:v>36.907789207676011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'h=1km'!$N$3:$N$17</c:f>
              <c:numCache>
                <c:formatCode>0.00</c:formatCode>
                <c:ptCount val="15"/>
                <c:pt idx="0">
                  <c:v>5.0144834704004841</c:v>
                </c:pt>
                <c:pt idx="1">
                  <c:v>6.2968550256903066</c:v>
                </c:pt>
                <c:pt idx="2">
                  <c:v>6.9626273208930325</c:v>
                </c:pt>
                <c:pt idx="3">
                  <c:v>7.2517967197267517</c:v>
                </c:pt>
                <c:pt idx="4">
                  <c:v>7.1402310358052059</c:v>
                </c:pt>
                <c:pt idx="5">
                  <c:v>6.6623246939410636</c:v>
                </c:pt>
                <c:pt idx="6">
                  <c:v>5.8301754327705559</c:v>
                </c:pt>
                <c:pt idx="7">
                  <c:v>4.4422186919605595</c:v>
                </c:pt>
                <c:pt idx="8">
                  <c:v>2.8405870065141618</c:v>
                </c:pt>
                <c:pt idx="9">
                  <c:v>0.87179535339264358</c:v>
                </c:pt>
                <c:pt idx="10">
                  <c:v>-1.8360104608558871</c:v>
                </c:pt>
                <c:pt idx="11">
                  <c:v>-4.6136515572512673</c:v>
                </c:pt>
                <c:pt idx="12">
                  <c:v>-7.7800579393180911</c:v>
                </c:pt>
                <c:pt idx="13">
                  <c:v>-11.342831041453154</c:v>
                </c:pt>
                <c:pt idx="14">
                  <c:v>-15.909944556616242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D3-4550-8B2E-7713C3FC8EB6}"/>
            </c:ext>
          </c:extLst>
        </c:ser>
        <c:ser>
          <c:idx val="1"/>
          <c:order val="1"/>
          <c:tx>
            <c:v>metoda mocy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'h=1km'!$H$22:$H$37</c:f>
              <c:numCache>
                <c:formatCode>0.00</c:formatCode>
                <c:ptCount val="16"/>
                <c:pt idx="0">
                  <c:v>36.907789207676011</c:v>
                </c:pt>
                <c:pt idx="1">
                  <c:v>37.59445049112383</c:v>
                </c:pt>
                <c:pt idx="2">
                  <c:v>38.811738088651779</c:v>
                </c:pt>
                <c:pt idx="3">
                  <c:v>40.126354039473725</c:v>
                </c:pt>
                <c:pt idx="4">
                  <c:v>41.779984843516651</c:v>
                </c:pt>
                <c:pt idx="5">
                  <c:v>43.414938337334817</c:v>
                </c:pt>
                <c:pt idx="6">
                  <c:v>45.341925185024834</c:v>
                </c:pt>
                <c:pt idx="7">
                  <c:v>47.868513944858393</c:v>
                </c:pt>
                <c:pt idx="8">
                  <c:v>50.576872570274581</c:v>
                </c:pt>
                <c:pt idx="9">
                  <c:v>53.664198175456868</c:v>
                </c:pt>
                <c:pt idx="10">
                  <c:v>62.467726554471739</c:v>
                </c:pt>
                <c:pt idx="11">
                  <c:v>68.65961758352428</c:v>
                </c:pt>
                <c:pt idx="12">
                  <c:v>77.361499472640546</c:v>
                </c:pt>
                <c:pt idx="13">
                  <c:v>89.692740279534092</c:v>
                </c:pt>
                <c:pt idx="14">
                  <c:v>109.25853215478887</c:v>
                </c:pt>
                <c:pt idx="15">
                  <c:v>176.84087674497533</c:v>
                </c:pt>
              </c:numCache>
            </c:numRef>
          </c:xVal>
          <c:yVal>
            <c:numRef>
              <c:f>'h=1km'!$N$22:$N$36</c:f>
              <c:numCache>
                <c:formatCode>0.00</c:formatCode>
                <c:ptCount val="15"/>
                <c:pt idx="0">
                  <c:v>4.8158650055092362</c:v>
                </c:pt>
                <c:pt idx="1">
                  <c:v>4.9558969904283572</c:v>
                </c:pt>
                <c:pt idx="2">
                  <c:v>5.1923143260459614</c:v>
                </c:pt>
                <c:pt idx="3">
                  <c:v>5.4395320067651287</c:v>
                </c:pt>
                <c:pt idx="4">
                  <c:v>5.7006733111228938</c:v>
                </c:pt>
                <c:pt idx="5">
                  <c:v>5.9378884939370291</c:v>
                </c:pt>
                <c:pt idx="6">
                  <c:v>6.1878931356045248</c:v>
                </c:pt>
                <c:pt idx="7">
                  <c:v>6.4431375209015957</c:v>
                </c:pt>
                <c:pt idx="8">
                  <c:v>6.7214387443712864</c:v>
                </c:pt>
                <c:pt idx="9">
                  <c:v>6.9712344368811703</c:v>
                </c:pt>
                <c:pt idx="10">
                  <c:v>7.2028229893692854</c:v>
                </c:pt>
                <c:pt idx="11">
                  <c:v>7.0053298758400464</c:v>
                </c:pt>
                <c:pt idx="12">
                  <c:v>6.2170574686053071</c:v>
                </c:pt>
                <c:pt idx="13">
                  <c:v>4.2034473462658761</c:v>
                </c:pt>
                <c:pt idx="14">
                  <c:v>-1.3854279023255964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D3-4550-8B2E-7713C3FC8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805743"/>
        <c:axId val="1798274655"/>
      </c:scatterChart>
      <c:valAx>
        <c:axId val="1857805743"/>
        <c:scaling>
          <c:orientation val="minMax"/>
          <c:max val="85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98274655"/>
        <c:crosses val="autoZero"/>
        <c:crossBetween val="midCat"/>
        <c:majorUnit val="5"/>
      </c:valAx>
      <c:valAx>
        <c:axId val="1798274655"/>
        <c:scaling>
          <c:orientation val="minMax"/>
          <c:max val="3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7805743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365157480314961E-2"/>
          <c:y val="0.88435567996455688"/>
          <c:w val="0.92968175853018353"/>
          <c:h val="9.69745789448953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>
                <a:latin typeface="Calibri Light" panose="020F0302020204030204" pitchFamily="34" charset="0"/>
                <a:cs typeface="Calibri Light" panose="020F0302020204030204" pitchFamily="34" charset="0"/>
              </a:rPr>
              <a:t>γ</a:t>
            </a:r>
            <a:r>
              <a:rPr lang="pl-PL">
                <a:latin typeface="Calibri Light" panose="020F0302020204030204" pitchFamily="34" charset="0"/>
                <a:cs typeface="Calibri Light" panose="020F0302020204030204" pitchFamily="34" charset="0"/>
              </a:rPr>
              <a:t>(V)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5203958880139984"/>
          <c:y val="0.17171296296296296"/>
          <c:w val="0.78616754155730528"/>
          <c:h val="0.65604148439778365"/>
        </c:manualLayout>
      </c:layout>
      <c:scatterChart>
        <c:scatterStyle val="smoothMarker"/>
        <c:varyColors val="0"/>
        <c:ser>
          <c:idx val="0"/>
          <c:order val="0"/>
          <c:tx>
            <c:v>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'h=1km'!$G$3:$G$17</c:f>
              <c:numCache>
                <c:formatCode>0.0</c:formatCode>
                <c:ptCount val="15"/>
                <c:pt idx="0">
                  <c:v>36.907789207676011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'h=1km'!$M$3:$M$17</c:f>
              <c:numCache>
                <c:formatCode>0.00</c:formatCode>
                <c:ptCount val="15"/>
                <c:pt idx="0">
                  <c:v>7.8086520932075212</c:v>
                </c:pt>
                <c:pt idx="1">
                  <c:v>8.0438021331875849</c:v>
                </c:pt>
                <c:pt idx="2">
                  <c:v>7.6948250439592556</c:v>
                </c:pt>
                <c:pt idx="3">
                  <c:v>7.0601813131027349</c:v>
                </c:pt>
                <c:pt idx="4">
                  <c:v>6.1176638166125406</c:v>
                </c:pt>
                <c:pt idx="5">
                  <c:v>5.1654143622227551</c:v>
                </c:pt>
                <c:pt idx="6">
                  <c:v>4.1275747466445347</c:v>
                </c:pt>
                <c:pt idx="7">
                  <c:v>2.8609683255829514</c:v>
                </c:pt>
                <c:pt idx="8">
                  <c:v>1.6955979750588339</c:v>
                </c:pt>
                <c:pt idx="9">
                  <c:v>0.48495913370670007</c:v>
                </c:pt>
                <c:pt idx="10">
                  <c:v>-0.94775178316647879</c:v>
                </c:pt>
                <c:pt idx="11">
                  <c:v>-2.2407640626348706</c:v>
                </c:pt>
                <c:pt idx="12">
                  <c:v>-3.5684223453623476</c:v>
                </c:pt>
                <c:pt idx="13">
                  <c:v>-4.9295365740018262</c:v>
                </c:pt>
                <c:pt idx="14">
                  <c:v>-6.5253304820357316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63-414F-9815-2F8E7A4A6419}"/>
            </c:ext>
          </c:extLst>
        </c:ser>
        <c:ser>
          <c:idx val="1"/>
          <c:order val="1"/>
          <c:tx>
            <c:v>metoda mocy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'h=1km'!$H$22:$H$36</c:f>
              <c:numCache>
                <c:formatCode>0.00</c:formatCode>
                <c:ptCount val="15"/>
                <c:pt idx="0">
                  <c:v>36.907789207676011</c:v>
                </c:pt>
                <c:pt idx="1">
                  <c:v>37.59445049112383</c:v>
                </c:pt>
                <c:pt idx="2">
                  <c:v>38.811738088651779</c:v>
                </c:pt>
                <c:pt idx="3">
                  <c:v>40.126354039473725</c:v>
                </c:pt>
                <c:pt idx="4">
                  <c:v>41.779984843516651</c:v>
                </c:pt>
                <c:pt idx="5">
                  <c:v>43.414938337334817</c:v>
                </c:pt>
                <c:pt idx="6">
                  <c:v>45.341925185024834</c:v>
                </c:pt>
                <c:pt idx="7">
                  <c:v>47.868513944858393</c:v>
                </c:pt>
                <c:pt idx="8">
                  <c:v>50.576872570274581</c:v>
                </c:pt>
                <c:pt idx="9">
                  <c:v>53.664198175456868</c:v>
                </c:pt>
                <c:pt idx="10">
                  <c:v>62.467726554471739</c:v>
                </c:pt>
                <c:pt idx="11">
                  <c:v>68.65961758352428</c:v>
                </c:pt>
                <c:pt idx="12">
                  <c:v>77.361499472640546</c:v>
                </c:pt>
                <c:pt idx="13">
                  <c:v>89.692740279534092</c:v>
                </c:pt>
                <c:pt idx="14">
                  <c:v>109.25853215478887</c:v>
                </c:pt>
              </c:numCache>
            </c:numRef>
          </c:xVal>
          <c:yVal>
            <c:numRef>
              <c:f>'h=1km'!$O$22:$O$36</c:f>
              <c:numCache>
                <c:formatCode>0.00</c:formatCode>
                <c:ptCount val="15"/>
                <c:pt idx="0">
                  <c:v>7.4975445473756759</c:v>
                </c:pt>
                <c:pt idx="1">
                  <c:v>7.5750779859674466</c:v>
                </c:pt>
                <c:pt idx="2">
                  <c:v>7.6881983015579367</c:v>
                </c:pt>
                <c:pt idx="3">
                  <c:v>7.7910081888875995</c:v>
                </c:pt>
                <c:pt idx="4">
                  <c:v>7.842190079150634</c:v>
                </c:pt>
                <c:pt idx="5">
                  <c:v>7.8610193621748925</c:v>
                </c:pt>
                <c:pt idx="6">
                  <c:v>7.8437342777643169</c:v>
                </c:pt>
                <c:pt idx="7">
                  <c:v>7.7355334051058104</c:v>
                </c:pt>
                <c:pt idx="8">
                  <c:v>7.6369443776203827</c:v>
                </c:pt>
                <c:pt idx="9">
                  <c:v>7.4640884234409475</c:v>
                </c:pt>
                <c:pt idx="10">
                  <c:v>6.621200463585172</c:v>
                </c:pt>
                <c:pt idx="11">
                  <c:v>5.8560697797058268</c:v>
                </c:pt>
                <c:pt idx="12">
                  <c:v>4.6094723644488829</c:v>
                </c:pt>
                <c:pt idx="13">
                  <c:v>2.6861487257374472</c:v>
                </c:pt>
                <c:pt idx="14">
                  <c:v>-0.72654553773970276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D63-414F-9815-2F8E7A4A6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32463"/>
        <c:axId val="39114431"/>
      </c:scatterChart>
      <c:valAx>
        <c:axId val="37832463"/>
        <c:scaling>
          <c:orientation val="minMax"/>
          <c:max val="90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9114431"/>
        <c:crosses val="autoZero"/>
        <c:crossBetween val="midCat"/>
        <c:majorUnit val="5"/>
      </c:valAx>
      <c:valAx>
        <c:axId val="39114431"/>
        <c:scaling>
          <c:orientation val="minMax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γ</a:t>
                </a:r>
                <a:r>
                  <a:rPr lang="pl-PL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 [°]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7832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3.1429352580927383E-2"/>
          <c:y val="0.86652704870224551"/>
          <c:w val="0.91579286964129469"/>
          <c:h val="0.10532516768737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'[1]projekt 5'!$K$28:$K$35</c:f>
              <c:numCache>
                <c:formatCode>General</c:formatCode>
                <c:ptCount val="8"/>
                <c:pt idx="0">
                  <c:v>0</c:v>
                </c:pt>
                <c:pt idx="1">
                  <c:v>0.25299145299145298</c:v>
                </c:pt>
                <c:pt idx="2">
                  <c:v>0.50598290598290596</c:v>
                </c:pt>
                <c:pt idx="3">
                  <c:v>0.75897435897435905</c:v>
                </c:pt>
                <c:pt idx="4">
                  <c:v>1.0119658119658119</c:v>
                </c:pt>
                <c:pt idx="5">
                  <c:v>1.2649572649572651</c:v>
                </c:pt>
                <c:pt idx="6">
                  <c:v>1.5179487179487181</c:v>
                </c:pt>
                <c:pt idx="7">
                  <c:v>1.7709401709401711</c:v>
                </c:pt>
              </c:numCache>
            </c:numRef>
          </c:xVal>
          <c:yVal>
            <c:numRef>
              <c:f>'[1]projekt 5'!$M$28:$M$35</c:f>
              <c:numCache>
                <c:formatCode>General</c:formatCode>
                <c:ptCount val="8"/>
                <c:pt idx="0">
                  <c:v>0</c:v>
                </c:pt>
                <c:pt idx="1">
                  <c:v>0.34399999999999997</c:v>
                </c:pt>
                <c:pt idx="2">
                  <c:v>0.59299999999999997</c:v>
                </c:pt>
                <c:pt idx="3">
                  <c:v>0.75800000000000001</c:v>
                </c:pt>
                <c:pt idx="4">
                  <c:v>0.81799999999999995</c:v>
                </c:pt>
                <c:pt idx="5">
                  <c:v>0.84899999999999998</c:v>
                </c:pt>
                <c:pt idx="6">
                  <c:v>0.84099999999999997</c:v>
                </c:pt>
                <c:pt idx="7">
                  <c:v>0.80900000000000005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AB-4A00-8271-89DA307B6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749231"/>
        <c:axId val="2131806895"/>
      </c:scatterChart>
      <c:valAx>
        <c:axId val="88749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31806895"/>
        <c:crosses val="autoZero"/>
        <c:crossBetween val="midCat"/>
      </c:valAx>
      <c:valAx>
        <c:axId val="213180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8749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α</a:t>
            </a:r>
            <a:r>
              <a:rPr lang="pl-PL"/>
              <a:t>(V), </a:t>
            </a:r>
            <a:r>
              <a:rPr lang="el-GR"/>
              <a:t>γ</a:t>
            </a:r>
            <a:r>
              <a:rPr lang="pl-PL"/>
              <a:t>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α 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'h=2km'!$G$3:$G$17</c:f>
              <c:numCache>
                <c:formatCode>0.0</c:formatCode>
                <c:ptCount val="15"/>
                <c:pt idx="0">
                  <c:v>38.789302761294081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'h=2km'!$L$3:$L$17</c:f>
              <c:numCache>
                <c:formatCode>0.00</c:formatCode>
                <c:ptCount val="15"/>
                <c:pt idx="0">
                  <c:v>11.590920896447662</c:v>
                </c:pt>
                <c:pt idx="1">
                  <c:v>8.0012805524463424</c:v>
                </c:pt>
                <c:pt idx="2">
                  <c:v>5.3327594011274808</c:v>
                </c:pt>
                <c:pt idx="3">
                  <c:v>3.5263090220758113</c:v>
                </c:pt>
                <c:pt idx="4">
                  <c:v>2.0971480665093463</c:v>
                </c:pt>
                <c:pt idx="5">
                  <c:v>1.1992869583040027</c:v>
                </c:pt>
                <c:pt idx="6">
                  <c:v>0.5193984626760898</c:v>
                </c:pt>
                <c:pt idx="7">
                  <c:v>-7.3306339871345619E-2</c:v>
                </c:pt>
                <c:pt idx="8">
                  <c:v>-0.47723117090819661</c:v>
                </c:pt>
                <c:pt idx="9">
                  <c:v>-0.80309052659811508</c:v>
                </c:pt>
                <c:pt idx="10">
                  <c:v>-1.1039966238049357</c:v>
                </c:pt>
                <c:pt idx="11">
                  <c:v>-1.3196118796964853</c:v>
                </c:pt>
                <c:pt idx="12">
                  <c:v>-1.5007601234454884</c:v>
                </c:pt>
                <c:pt idx="13">
                  <c:v>-1.6544880347986595</c:v>
                </c:pt>
                <c:pt idx="14">
                  <c:v>-1.8033861389634878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52-42A9-B139-91A1BBA7B00A}"/>
            </c:ext>
          </c:extLst>
        </c:ser>
        <c:ser>
          <c:idx val="1"/>
          <c:order val="1"/>
          <c:tx>
            <c:v>γ metoda ciągu, m=const.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'h=2km'!$G$3:$G$17</c:f>
              <c:numCache>
                <c:formatCode>0.0</c:formatCode>
                <c:ptCount val="15"/>
                <c:pt idx="0">
                  <c:v>38.789302761294081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'h=2km'!$M$3:$M$17</c:f>
              <c:numCache>
                <c:formatCode>0.00</c:formatCode>
                <c:ptCount val="15"/>
                <c:pt idx="0">
                  <c:v>6.1951397219791637</c:v>
                </c:pt>
                <c:pt idx="1">
                  <c:v>6.5085375309250608</c:v>
                </c:pt>
                <c:pt idx="2">
                  <c:v>6.3612488887133933</c:v>
                </c:pt>
                <c:pt idx="3">
                  <c:v>5.8995545452841425</c:v>
                </c:pt>
                <c:pt idx="4">
                  <c:v>5.1343892928331769</c:v>
                </c:pt>
                <c:pt idx="5">
                  <c:v>4.3267396443970769</c:v>
                </c:pt>
                <c:pt idx="6">
                  <c:v>3.4275612056533702</c:v>
                </c:pt>
                <c:pt idx="7">
                  <c:v>2.3151238936331948</c:v>
                </c:pt>
                <c:pt idx="8">
                  <c:v>1.2826079795425605</c:v>
                </c:pt>
                <c:pt idx="9">
                  <c:v>0.2040435906506447</c:v>
                </c:pt>
                <c:pt idx="10">
                  <c:v>-1.0776767688624453</c:v>
                </c:pt>
                <c:pt idx="11">
                  <c:v>-2.2378315654404011</c:v>
                </c:pt>
                <c:pt idx="12">
                  <c:v>-3.43140136013379</c:v>
                </c:pt>
                <c:pt idx="13">
                  <c:v>-4.6567436587536299</c:v>
                </c:pt>
                <c:pt idx="14">
                  <c:v>-6.0947692470153871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F52-42A9-B139-91A1BBA7B00A}"/>
            </c:ext>
          </c:extLst>
        </c:ser>
        <c:ser>
          <c:idx val="2"/>
          <c:order val="2"/>
          <c:tx>
            <c:v>α metoda mocy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'h=2km'!$H$22:$H$37</c:f>
              <c:numCache>
                <c:formatCode>0.00</c:formatCode>
                <c:ptCount val="16"/>
                <c:pt idx="0">
                  <c:v>38.789302761294081</c:v>
                </c:pt>
                <c:pt idx="1">
                  <c:v>39.510969189706891</c:v>
                </c:pt>
                <c:pt idx="2">
                  <c:v>40.79031260695659</c:v>
                </c:pt>
                <c:pt idx="3">
                  <c:v>42.171946056858644</c:v>
                </c:pt>
                <c:pt idx="4">
                  <c:v>43.909876918891499</c:v>
                </c:pt>
                <c:pt idx="5">
                  <c:v>45.628178324470092</c:v>
                </c:pt>
                <c:pt idx="6">
                  <c:v>47.653400583963595</c:v>
                </c:pt>
                <c:pt idx="7">
                  <c:v>50.308791721238322</c:v>
                </c:pt>
                <c:pt idx="8">
                  <c:v>53.155219127558865</c:v>
                </c:pt>
                <c:pt idx="9">
                  <c:v>56.399932782670049</c:v>
                </c:pt>
                <c:pt idx="10">
                  <c:v>65.65225417585259</c:v>
                </c:pt>
                <c:pt idx="11">
                  <c:v>72.159800169447564</c:v>
                </c:pt>
                <c:pt idx="12">
                  <c:v>81.305293260097159</c:v>
                </c:pt>
                <c:pt idx="13">
                  <c:v>94.265165507918979</c:v>
                </c:pt>
                <c:pt idx="14">
                  <c:v>114.82839731091957</c:v>
                </c:pt>
                <c:pt idx="15">
                  <c:v>185.85600643906642</c:v>
                </c:pt>
              </c:numCache>
            </c:numRef>
          </c:xVal>
          <c:yVal>
            <c:numRef>
              <c:f>'h=2km'!$P$22:$P$37</c:f>
              <c:numCache>
                <c:formatCode>0.00</c:formatCode>
                <c:ptCount val="16"/>
                <c:pt idx="0">
                  <c:v>15.276999999999999</c:v>
                </c:pt>
                <c:pt idx="1">
                  <c:v>12.122999999999999</c:v>
                </c:pt>
                <c:pt idx="2">
                  <c:v>11.015000000000001</c:v>
                </c:pt>
                <c:pt idx="3">
                  <c:v>9.5779999999999994</c:v>
                </c:pt>
                <c:pt idx="4">
                  <c:v>8.4719999999999995</c:v>
                </c:pt>
                <c:pt idx="5">
                  <c:v>7.694</c:v>
                </c:pt>
                <c:pt idx="6">
                  <c:v>7.048</c:v>
                </c:pt>
                <c:pt idx="7">
                  <c:v>6.0739999999999998</c:v>
                </c:pt>
                <c:pt idx="8">
                  <c:v>5.0990000000000002</c:v>
                </c:pt>
                <c:pt idx="9">
                  <c:v>3.86</c:v>
                </c:pt>
                <c:pt idx="10">
                  <c:v>2.0419999999999998</c:v>
                </c:pt>
                <c:pt idx="11">
                  <c:v>1.198</c:v>
                </c:pt>
                <c:pt idx="12">
                  <c:v>0.42</c:v>
                </c:pt>
                <c:pt idx="13">
                  <c:v>-0.29199999999999998</c:v>
                </c:pt>
                <c:pt idx="14">
                  <c:v>-1.071</c:v>
                </c:pt>
                <c:pt idx="15">
                  <c:v>-2.044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F52-42A9-B139-91A1BBA7B00A}"/>
            </c:ext>
          </c:extLst>
        </c:ser>
        <c:ser>
          <c:idx val="3"/>
          <c:order val="3"/>
          <c:tx>
            <c:v>γ metoda mocy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'h=2km'!$H$22:$H$36</c:f>
              <c:numCache>
                <c:formatCode>0.00</c:formatCode>
                <c:ptCount val="15"/>
                <c:pt idx="0">
                  <c:v>38.789302761294081</c:v>
                </c:pt>
                <c:pt idx="1">
                  <c:v>39.510969189706891</c:v>
                </c:pt>
                <c:pt idx="2">
                  <c:v>40.79031260695659</c:v>
                </c:pt>
                <c:pt idx="3">
                  <c:v>42.171946056858644</c:v>
                </c:pt>
                <c:pt idx="4">
                  <c:v>43.909876918891499</c:v>
                </c:pt>
                <c:pt idx="5">
                  <c:v>45.628178324470092</c:v>
                </c:pt>
                <c:pt idx="6">
                  <c:v>47.653400583963595</c:v>
                </c:pt>
                <c:pt idx="7">
                  <c:v>50.308791721238322</c:v>
                </c:pt>
                <c:pt idx="8">
                  <c:v>53.155219127558865</c:v>
                </c:pt>
                <c:pt idx="9">
                  <c:v>56.399932782670049</c:v>
                </c:pt>
                <c:pt idx="10">
                  <c:v>65.65225417585259</c:v>
                </c:pt>
                <c:pt idx="11">
                  <c:v>72.159800169447564</c:v>
                </c:pt>
                <c:pt idx="12">
                  <c:v>81.305293260097159</c:v>
                </c:pt>
                <c:pt idx="13">
                  <c:v>94.265165507918979</c:v>
                </c:pt>
                <c:pt idx="14">
                  <c:v>114.82839731091957</c:v>
                </c:pt>
              </c:numCache>
            </c:numRef>
          </c:xVal>
          <c:yVal>
            <c:numRef>
              <c:f>'h=2km'!$O$22:$O$37</c:f>
              <c:numCache>
                <c:formatCode>0.00</c:formatCode>
                <c:ptCount val="16"/>
                <c:pt idx="0">
                  <c:v>5.9403027074842401</c:v>
                </c:pt>
                <c:pt idx="1">
                  <c:v>6.0221038356143346</c:v>
                </c:pt>
                <c:pt idx="2">
                  <c:v>6.1428632575305508</c:v>
                </c:pt>
                <c:pt idx="3">
                  <c:v>6.2539808257095766</c:v>
                </c:pt>
                <c:pt idx="4">
                  <c:v>6.315865480453172</c:v>
                </c:pt>
                <c:pt idx="5">
                  <c:v>6.3453774298567698</c:v>
                </c:pt>
                <c:pt idx="6">
                  <c:v>6.3408066697531575</c:v>
                </c:pt>
                <c:pt idx="7">
                  <c:v>6.2495379365748507</c:v>
                </c:pt>
                <c:pt idx="8">
                  <c:v>6.1690188257981022</c:v>
                </c:pt>
                <c:pt idx="9">
                  <c:v>6.0169125160677108</c:v>
                </c:pt>
                <c:pt idx="10">
                  <c:v>5.2338591885178651</c:v>
                </c:pt>
                <c:pt idx="11">
                  <c:v>4.5108224482908401</c:v>
                </c:pt>
                <c:pt idx="12">
                  <c:v>3.3229862934452847</c:v>
                </c:pt>
                <c:pt idx="13">
                  <c:v>1.4815402893607115</c:v>
                </c:pt>
                <c:pt idx="14">
                  <c:v>-1.8049244125415036</c:v>
                </c:pt>
                <c:pt idx="15">
                  <c:v>-15.150558699186597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F52-42A9-B139-91A1BBA7B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809103"/>
        <c:axId val="1803560847"/>
      </c:scatterChart>
      <c:valAx>
        <c:axId val="1857809103"/>
        <c:scaling>
          <c:orientation val="minMax"/>
          <c:max val="140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03560847"/>
        <c:crosses val="autoZero"/>
        <c:crossBetween val="midCat"/>
        <c:majorUnit val="10"/>
      </c:valAx>
      <c:valAx>
        <c:axId val="1803560847"/>
        <c:scaling>
          <c:orientation val="minMax"/>
          <c:max val="3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α</a:t>
                </a:r>
                <a:r>
                  <a:rPr lang="pl-PL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, </a:t>
                </a:r>
                <a:r>
                  <a:rPr lang="el-GR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γ</a:t>
                </a:r>
                <a:r>
                  <a:rPr lang="pl-PL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 [°]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7809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647062554680665"/>
          <c:y val="0.15809889173060529"/>
          <c:w val="0.79494531933508306"/>
          <c:h val="0.60658550993146321"/>
        </c:manualLayout>
      </c:layout>
      <c:scatterChart>
        <c:scatterStyle val="smoothMarker"/>
        <c:varyColors val="0"/>
        <c:ser>
          <c:idx val="0"/>
          <c:order val="0"/>
          <c:tx>
            <c:v>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'h=2km'!$G$3:$G$17</c:f>
              <c:numCache>
                <c:formatCode>0.0</c:formatCode>
                <c:ptCount val="15"/>
                <c:pt idx="0">
                  <c:v>38.789302761294081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'h=2km'!$N$3:$N$17</c:f>
              <c:numCache>
                <c:formatCode>0.00</c:formatCode>
                <c:ptCount val="15"/>
                <c:pt idx="0">
                  <c:v>4.1859485238708256</c:v>
                </c:pt>
                <c:pt idx="1">
                  <c:v>5.1008068210570512</c:v>
                </c:pt>
                <c:pt idx="2">
                  <c:v>5.7614329371791042</c:v>
                </c:pt>
                <c:pt idx="3">
                  <c:v>6.0643033956694072</c:v>
                </c:pt>
                <c:pt idx="4">
                  <c:v>5.9959714388832346</c:v>
                </c:pt>
                <c:pt idx="5">
                  <c:v>5.5828633849034937</c:v>
                </c:pt>
                <c:pt idx="6">
                  <c:v>4.8427108560280248</c:v>
                </c:pt>
                <c:pt idx="7">
                  <c:v>3.5952030797707413</c:v>
                </c:pt>
                <c:pt idx="8">
                  <c:v>2.1488508136410673</c:v>
                </c:pt>
                <c:pt idx="9">
                  <c:v>0.36680616953771022</c:v>
                </c:pt>
                <c:pt idx="10">
                  <c:v>-2.0876767746311389</c:v>
                </c:pt>
                <c:pt idx="11">
                  <c:v>-4.6076167249617823</c:v>
                </c:pt>
                <c:pt idx="12">
                  <c:v>-7.481682136354995</c:v>
                </c:pt>
                <c:pt idx="13">
                  <c:v>-10.716559712791103</c:v>
                </c:pt>
                <c:pt idx="14">
                  <c:v>-14.864261151954656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0D-4150-B9DE-A7390FA38A0D}"/>
            </c:ext>
          </c:extLst>
        </c:ser>
        <c:ser>
          <c:idx val="1"/>
          <c:order val="1"/>
          <c:tx>
            <c:v>metoda mocy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'h=2km'!$H$22:$H$36</c:f>
              <c:numCache>
                <c:formatCode>0.00</c:formatCode>
                <c:ptCount val="15"/>
                <c:pt idx="0">
                  <c:v>38.789302761294081</c:v>
                </c:pt>
                <c:pt idx="1">
                  <c:v>39.510969189706891</c:v>
                </c:pt>
                <c:pt idx="2">
                  <c:v>40.79031260695659</c:v>
                </c:pt>
                <c:pt idx="3">
                  <c:v>42.171946056858644</c:v>
                </c:pt>
                <c:pt idx="4">
                  <c:v>43.909876918891499</c:v>
                </c:pt>
                <c:pt idx="5">
                  <c:v>45.628178324470092</c:v>
                </c:pt>
                <c:pt idx="6">
                  <c:v>47.653400583963595</c:v>
                </c:pt>
                <c:pt idx="7">
                  <c:v>50.308791721238322</c:v>
                </c:pt>
                <c:pt idx="8">
                  <c:v>53.155219127558865</c:v>
                </c:pt>
                <c:pt idx="9">
                  <c:v>56.399932782670049</c:v>
                </c:pt>
                <c:pt idx="10">
                  <c:v>65.65225417585259</c:v>
                </c:pt>
                <c:pt idx="11">
                  <c:v>72.159800169447564</c:v>
                </c:pt>
                <c:pt idx="12">
                  <c:v>81.305293260097159</c:v>
                </c:pt>
                <c:pt idx="13">
                  <c:v>94.265165507918979</c:v>
                </c:pt>
                <c:pt idx="14">
                  <c:v>114.82839731091957</c:v>
                </c:pt>
              </c:numCache>
            </c:numRef>
          </c:xVal>
          <c:yVal>
            <c:numRef>
              <c:f>'h=2km'!$N$22:$N$36</c:f>
              <c:numCache>
                <c:formatCode>0.00</c:formatCode>
                <c:ptCount val="15"/>
                <c:pt idx="0">
                  <c:v>4.0143902840627375</c:v>
                </c:pt>
                <c:pt idx="1">
                  <c:v>4.1451798103898687</c:v>
                </c:pt>
                <c:pt idx="2">
                  <c:v>4.364886128495451</c:v>
                </c:pt>
                <c:pt idx="3">
                  <c:v>4.5940405915715665</c:v>
                </c:pt>
                <c:pt idx="4">
                  <c:v>4.8305053398312019</c:v>
                </c:pt>
                <c:pt idx="5">
                  <c:v>5.0428937668622886</c:v>
                </c:pt>
                <c:pt idx="6">
                  <c:v>5.2629460582871745</c:v>
                </c:pt>
                <c:pt idx="7">
                  <c:v>5.4765576268685301</c:v>
                </c:pt>
                <c:pt idx="8">
                  <c:v>5.7121544190309104</c:v>
                </c:pt>
                <c:pt idx="9">
                  <c:v>5.9119549260120428</c:v>
                </c:pt>
                <c:pt idx="10">
                  <c:v>5.9888699588758865</c:v>
                </c:pt>
                <c:pt idx="11">
                  <c:v>5.675180624998009</c:v>
                </c:pt>
                <c:pt idx="12">
                  <c:v>4.7128242143779344</c:v>
                </c:pt>
                <c:pt idx="13">
                  <c:v>2.4372140361073575</c:v>
                </c:pt>
                <c:pt idx="14">
                  <c:v>-3.6167114207555038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F0D-4150-B9DE-A7390FA38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805743"/>
        <c:axId val="1798274655"/>
      </c:scatterChart>
      <c:valAx>
        <c:axId val="1857805743"/>
        <c:scaling>
          <c:orientation val="minMax"/>
          <c:max val="85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98274655"/>
        <c:crosses val="autoZero"/>
        <c:crossBetween val="midCat"/>
        <c:majorUnit val="5"/>
      </c:valAx>
      <c:valAx>
        <c:axId val="1798274655"/>
        <c:scaling>
          <c:orientation val="minMax"/>
          <c:max val="2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7805743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365157480314961E-2"/>
          <c:y val="0.88435567996455688"/>
          <c:w val="0.92968175853018353"/>
          <c:h val="9.69745789448953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>
                <a:latin typeface="Calibri Light" panose="020F0302020204030204" pitchFamily="34" charset="0"/>
                <a:cs typeface="Calibri Light" panose="020F0302020204030204" pitchFamily="34" charset="0"/>
              </a:rPr>
              <a:t>γ</a:t>
            </a:r>
            <a:r>
              <a:rPr lang="pl-PL">
                <a:latin typeface="Calibri Light" panose="020F0302020204030204" pitchFamily="34" charset="0"/>
                <a:cs typeface="Calibri Light" panose="020F0302020204030204" pitchFamily="34" charset="0"/>
              </a:rPr>
              <a:t>(V)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5203958880139984"/>
          <c:y val="0.17171296296296296"/>
          <c:w val="0.78616754155730528"/>
          <c:h val="0.65604148439778365"/>
        </c:manualLayout>
      </c:layout>
      <c:scatterChart>
        <c:scatterStyle val="smoothMarker"/>
        <c:varyColors val="0"/>
        <c:ser>
          <c:idx val="0"/>
          <c:order val="0"/>
          <c:tx>
            <c:v>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'h=2km'!$G$3:$G$17</c:f>
              <c:numCache>
                <c:formatCode>0.0</c:formatCode>
                <c:ptCount val="15"/>
                <c:pt idx="0">
                  <c:v>38.789302761294081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'h=2km'!$M$3:$M$17</c:f>
              <c:numCache>
                <c:formatCode>0.00</c:formatCode>
                <c:ptCount val="15"/>
                <c:pt idx="0">
                  <c:v>6.1951397219791637</c:v>
                </c:pt>
                <c:pt idx="1">
                  <c:v>6.5085375309250608</c:v>
                </c:pt>
                <c:pt idx="2">
                  <c:v>6.3612488887133933</c:v>
                </c:pt>
                <c:pt idx="3">
                  <c:v>5.8995545452841425</c:v>
                </c:pt>
                <c:pt idx="4">
                  <c:v>5.1343892928331769</c:v>
                </c:pt>
                <c:pt idx="5">
                  <c:v>4.3267396443970769</c:v>
                </c:pt>
                <c:pt idx="6">
                  <c:v>3.4275612056533702</c:v>
                </c:pt>
                <c:pt idx="7">
                  <c:v>2.3151238936331948</c:v>
                </c:pt>
                <c:pt idx="8">
                  <c:v>1.2826079795425605</c:v>
                </c:pt>
                <c:pt idx="9">
                  <c:v>0.2040435906506447</c:v>
                </c:pt>
                <c:pt idx="10">
                  <c:v>-1.0776767688624453</c:v>
                </c:pt>
                <c:pt idx="11">
                  <c:v>-2.2378315654404011</c:v>
                </c:pt>
                <c:pt idx="12">
                  <c:v>-3.43140136013379</c:v>
                </c:pt>
                <c:pt idx="13">
                  <c:v>-4.6567436587536299</c:v>
                </c:pt>
                <c:pt idx="14">
                  <c:v>-6.0947692470153871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8F-4FC7-8BEB-D8FA32E1C098}"/>
            </c:ext>
          </c:extLst>
        </c:ser>
        <c:ser>
          <c:idx val="1"/>
          <c:order val="1"/>
          <c:tx>
            <c:v>metoda mocy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'h=2km'!$H$22:$H$36</c:f>
              <c:numCache>
                <c:formatCode>0.00</c:formatCode>
                <c:ptCount val="15"/>
                <c:pt idx="0">
                  <c:v>38.789302761294081</c:v>
                </c:pt>
                <c:pt idx="1">
                  <c:v>39.510969189706891</c:v>
                </c:pt>
                <c:pt idx="2">
                  <c:v>40.79031260695659</c:v>
                </c:pt>
                <c:pt idx="3">
                  <c:v>42.171946056858644</c:v>
                </c:pt>
                <c:pt idx="4">
                  <c:v>43.909876918891499</c:v>
                </c:pt>
                <c:pt idx="5">
                  <c:v>45.628178324470092</c:v>
                </c:pt>
                <c:pt idx="6">
                  <c:v>47.653400583963595</c:v>
                </c:pt>
                <c:pt idx="7">
                  <c:v>50.308791721238322</c:v>
                </c:pt>
                <c:pt idx="8">
                  <c:v>53.155219127558865</c:v>
                </c:pt>
                <c:pt idx="9">
                  <c:v>56.399932782670049</c:v>
                </c:pt>
                <c:pt idx="10">
                  <c:v>65.65225417585259</c:v>
                </c:pt>
                <c:pt idx="11">
                  <c:v>72.159800169447564</c:v>
                </c:pt>
                <c:pt idx="12">
                  <c:v>81.305293260097159</c:v>
                </c:pt>
                <c:pt idx="13">
                  <c:v>94.265165507918979</c:v>
                </c:pt>
                <c:pt idx="14">
                  <c:v>114.82839731091957</c:v>
                </c:pt>
              </c:numCache>
            </c:numRef>
          </c:xVal>
          <c:yVal>
            <c:numRef>
              <c:f>'h=2km'!$O$22:$O$36</c:f>
              <c:numCache>
                <c:formatCode>0.00</c:formatCode>
                <c:ptCount val="15"/>
                <c:pt idx="0">
                  <c:v>5.9403027074842401</c:v>
                </c:pt>
                <c:pt idx="1">
                  <c:v>6.0221038356143346</c:v>
                </c:pt>
                <c:pt idx="2">
                  <c:v>6.1428632575305508</c:v>
                </c:pt>
                <c:pt idx="3">
                  <c:v>6.2539808257095766</c:v>
                </c:pt>
                <c:pt idx="4">
                  <c:v>6.315865480453172</c:v>
                </c:pt>
                <c:pt idx="5">
                  <c:v>6.3453774298567698</c:v>
                </c:pt>
                <c:pt idx="6">
                  <c:v>6.3408066697531575</c:v>
                </c:pt>
                <c:pt idx="7">
                  <c:v>6.2495379365748507</c:v>
                </c:pt>
                <c:pt idx="8">
                  <c:v>6.1690188257981022</c:v>
                </c:pt>
                <c:pt idx="9">
                  <c:v>6.0169125160677108</c:v>
                </c:pt>
                <c:pt idx="10">
                  <c:v>5.2338591885178651</c:v>
                </c:pt>
                <c:pt idx="11">
                  <c:v>4.5108224482908401</c:v>
                </c:pt>
                <c:pt idx="12">
                  <c:v>3.3229862934452847</c:v>
                </c:pt>
                <c:pt idx="13">
                  <c:v>1.4815402893607115</c:v>
                </c:pt>
                <c:pt idx="14">
                  <c:v>-1.8049244125415036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F8F-4FC7-8BEB-D8FA32E1C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32463"/>
        <c:axId val="39114431"/>
      </c:scatterChart>
      <c:valAx>
        <c:axId val="37832463"/>
        <c:scaling>
          <c:orientation val="minMax"/>
          <c:max val="90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9114431"/>
        <c:crosses val="autoZero"/>
        <c:crossBetween val="midCat"/>
        <c:majorUnit val="5"/>
      </c:valAx>
      <c:valAx>
        <c:axId val="39114431"/>
        <c:scaling>
          <c:orientation val="minMax"/>
          <c:max val="2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γ</a:t>
                </a:r>
                <a:r>
                  <a:rPr lang="pl-PL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 [°]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7832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3.1429352580927383E-2"/>
          <c:y val="0.86652704870224551"/>
          <c:w val="0.91579286964129469"/>
          <c:h val="0.10532516768737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-0.20028608923884517"/>
                  <c:y val="-8.70698454359871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'[1]projekt 5'!$K$39:$K$46</c:f>
              <c:numCache>
                <c:formatCode>General</c:formatCode>
                <c:ptCount val="8"/>
                <c:pt idx="0">
                  <c:v>0</c:v>
                </c:pt>
                <c:pt idx="1">
                  <c:v>0.25299145299145298</c:v>
                </c:pt>
                <c:pt idx="2">
                  <c:v>0.50598290598290596</c:v>
                </c:pt>
                <c:pt idx="3">
                  <c:v>0.75897435897435905</c:v>
                </c:pt>
                <c:pt idx="4">
                  <c:v>1.0119658119658119</c:v>
                </c:pt>
                <c:pt idx="5">
                  <c:v>1.2649572649572651</c:v>
                </c:pt>
                <c:pt idx="6">
                  <c:v>1.5179487179487181</c:v>
                </c:pt>
                <c:pt idx="7">
                  <c:v>1.7709401709401711</c:v>
                </c:pt>
              </c:numCache>
            </c:numRef>
          </c:xVal>
          <c:yVal>
            <c:numRef>
              <c:f>'[1]projekt 5'!$M$39:$M$46</c:f>
              <c:numCache>
                <c:formatCode>General</c:formatCode>
                <c:ptCount val="8"/>
                <c:pt idx="0">
                  <c:v>0</c:v>
                </c:pt>
                <c:pt idx="1">
                  <c:v>0.34699999999999998</c:v>
                </c:pt>
                <c:pt idx="2">
                  <c:v>0.59699999999999998</c:v>
                </c:pt>
                <c:pt idx="3">
                  <c:v>0.76300000000000001</c:v>
                </c:pt>
                <c:pt idx="4">
                  <c:v>0.82099999999999995</c:v>
                </c:pt>
                <c:pt idx="5">
                  <c:v>0.85</c:v>
                </c:pt>
                <c:pt idx="6">
                  <c:v>0.83499999999999996</c:v>
                </c:pt>
                <c:pt idx="7">
                  <c:v>0.80100000000000005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55-4514-851C-F2C8265CC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738671"/>
        <c:axId val="795924527"/>
      </c:scatterChart>
      <c:valAx>
        <c:axId val="88738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95924527"/>
        <c:crosses val="autoZero"/>
        <c:crossBetween val="midCat"/>
      </c:valAx>
      <c:valAx>
        <c:axId val="79592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8738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α</a:t>
            </a:r>
            <a:r>
              <a:rPr lang="pl-PL"/>
              <a:t>(V), </a:t>
            </a:r>
            <a:r>
              <a:rPr lang="el-GR"/>
              <a:t>γ</a:t>
            </a:r>
            <a:r>
              <a:rPr lang="pl-PL"/>
              <a:t>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α 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'h=3km'!$G$3:$G$17</c:f>
              <c:numCache>
                <c:formatCode>0.0</c:formatCode>
                <c:ptCount val="15"/>
                <c:pt idx="0">
                  <c:v>40.815259783159711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'h=3km'!$L$3:$L$17</c:f>
              <c:numCache>
                <c:formatCode>0.00</c:formatCode>
                <c:ptCount val="15"/>
                <c:pt idx="0">
                  <c:v>11.693246021043887</c:v>
                </c:pt>
                <c:pt idx="1">
                  <c:v>9.1965408670249875</c:v>
                </c:pt>
                <c:pt idx="2">
                  <c:v>6.233642737946246</c:v>
                </c:pt>
                <c:pt idx="3">
                  <c:v>4.2282044127459333</c:v>
                </c:pt>
                <c:pt idx="4">
                  <c:v>2.6421402602401414</c:v>
                </c:pt>
                <c:pt idx="5">
                  <c:v>1.6461331931779546</c:v>
                </c:pt>
                <c:pt idx="6">
                  <c:v>0.89226413370884605</c:v>
                </c:pt>
                <c:pt idx="7">
                  <c:v>0.23540514224280346</c:v>
                </c:pt>
                <c:pt idx="8">
                  <c:v>-0.21199147692420112</c:v>
                </c:pt>
                <c:pt idx="9">
                  <c:v>-0.57272394117731718</c:v>
                </c:pt>
                <c:pt idx="10">
                  <c:v>-0.90562781448003993</c:v>
                </c:pt>
                <c:pt idx="11">
                  <c:v>-1.1440144638330518</c:v>
                </c:pt>
                <c:pt idx="12">
                  <c:v>-1.3441642340766227</c:v>
                </c:pt>
                <c:pt idx="13">
                  <c:v>-1.5139005469030624</c:v>
                </c:pt>
                <c:pt idx="14">
                  <c:v>-1.678175012109608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D2-47BE-A9C5-6231B8A88B19}"/>
            </c:ext>
          </c:extLst>
        </c:ser>
        <c:ser>
          <c:idx val="1"/>
          <c:order val="1"/>
          <c:tx>
            <c:v>γ metoda ciągu, m=const.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'h=3km'!$G$3:$G$17</c:f>
              <c:numCache>
                <c:formatCode>0.0</c:formatCode>
                <c:ptCount val="15"/>
                <c:pt idx="0">
                  <c:v>40.815259783159711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'h=3km'!$M$3:$M$17</c:f>
              <c:numCache>
                <c:formatCode>0.00</c:formatCode>
                <c:ptCount val="15"/>
                <c:pt idx="0">
                  <c:v>4.7155021420850671</c:v>
                </c:pt>
                <c:pt idx="1">
                  <c:v>5.0106249187064318</c:v>
                </c:pt>
                <c:pt idx="2">
                  <c:v>5.0663077074092255</c:v>
                </c:pt>
                <c:pt idx="3">
                  <c:v>4.7758856294232563</c:v>
                </c:pt>
                <c:pt idx="4">
                  <c:v>4.1841100538177205</c:v>
                </c:pt>
                <c:pt idx="5">
                  <c:v>3.5165865625335631</c:v>
                </c:pt>
                <c:pt idx="6">
                  <c:v>2.7510841711383014</c:v>
                </c:pt>
                <c:pt idx="7">
                  <c:v>1.7867918990009153</c:v>
                </c:pt>
                <c:pt idx="8">
                  <c:v>0.88173688595107613</c:v>
                </c:pt>
                <c:pt idx="9">
                  <c:v>-7.0181434537836929E-2</c:v>
                </c:pt>
                <c:pt idx="10">
                  <c:v>-1.2070915635626569</c:v>
                </c:pt>
                <c:pt idx="11">
                  <c:v>-2.2397657395751462</c:v>
                </c:pt>
                <c:pt idx="12">
                  <c:v>-3.304596907104512</c:v>
                </c:pt>
                <c:pt idx="13">
                  <c:v>-4.3995080667678108</c:v>
                </c:pt>
                <c:pt idx="14">
                  <c:v>-5.6858969352714821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7D2-47BE-A9C5-6231B8A88B19}"/>
            </c:ext>
          </c:extLst>
        </c:ser>
        <c:ser>
          <c:idx val="2"/>
          <c:order val="2"/>
          <c:tx>
            <c:v>α metoda mocy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'h=3km'!$H$22:$H$37</c:f>
              <c:numCache>
                <c:formatCode>0.00</c:formatCode>
                <c:ptCount val="16"/>
                <c:pt idx="0">
                  <c:v>40.815259783159711</c:v>
                </c:pt>
                <c:pt idx="1">
                  <c:v>41.574618695427802</c:v>
                </c:pt>
                <c:pt idx="2">
                  <c:v>42.920781946885526</c:v>
                </c:pt>
                <c:pt idx="3">
                  <c:v>44.374577817615268</c:v>
                </c:pt>
                <c:pt idx="4">
                  <c:v>46.203280438427093</c:v>
                </c:pt>
                <c:pt idx="5">
                  <c:v>48.011328360454733</c:v>
                </c:pt>
                <c:pt idx="6">
                  <c:v>50.142327547229172</c:v>
                </c:pt>
                <c:pt idx="7">
                  <c:v>52.936409198057795</c:v>
                </c:pt>
                <c:pt idx="8">
                  <c:v>55.931504901577547</c:v>
                </c:pt>
                <c:pt idx="9">
                  <c:v>59.34568925983514</c:v>
                </c:pt>
                <c:pt idx="10">
                  <c:v>69.081257428821559</c:v>
                </c:pt>
                <c:pt idx="11">
                  <c:v>75.928691163682998</c:v>
                </c:pt>
                <c:pt idx="12">
                  <c:v>85.551851410647487</c:v>
                </c:pt>
                <c:pt idx="13">
                  <c:v>99.188615025775746</c:v>
                </c:pt>
                <c:pt idx="14">
                  <c:v>120.82586004628411</c:v>
                </c:pt>
                <c:pt idx="15">
                  <c:v>195.56322607171359</c:v>
                </c:pt>
              </c:numCache>
            </c:numRef>
          </c:xVal>
          <c:yVal>
            <c:numRef>
              <c:f>'h=3km'!$P$22:$P$37</c:f>
              <c:numCache>
                <c:formatCode>0.00</c:formatCode>
                <c:ptCount val="16"/>
                <c:pt idx="0">
                  <c:v>15.276999999999999</c:v>
                </c:pt>
                <c:pt idx="1">
                  <c:v>12.122999999999999</c:v>
                </c:pt>
                <c:pt idx="2">
                  <c:v>11.015000000000001</c:v>
                </c:pt>
                <c:pt idx="3">
                  <c:v>9.5779999999999994</c:v>
                </c:pt>
                <c:pt idx="4">
                  <c:v>8.4719999999999995</c:v>
                </c:pt>
                <c:pt idx="5">
                  <c:v>7.694</c:v>
                </c:pt>
                <c:pt idx="6">
                  <c:v>7.048</c:v>
                </c:pt>
                <c:pt idx="7">
                  <c:v>6.0739999999999998</c:v>
                </c:pt>
                <c:pt idx="8">
                  <c:v>5.0990000000000002</c:v>
                </c:pt>
                <c:pt idx="9">
                  <c:v>3.86</c:v>
                </c:pt>
                <c:pt idx="10">
                  <c:v>2.0419999999999998</c:v>
                </c:pt>
                <c:pt idx="11">
                  <c:v>1.198</c:v>
                </c:pt>
                <c:pt idx="12">
                  <c:v>0.42</c:v>
                </c:pt>
                <c:pt idx="13">
                  <c:v>-0.29199999999999998</c:v>
                </c:pt>
                <c:pt idx="14">
                  <c:v>-1.071</c:v>
                </c:pt>
                <c:pt idx="15">
                  <c:v>-2.044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7D2-47BE-A9C5-6231B8A88B19}"/>
            </c:ext>
          </c:extLst>
        </c:ser>
        <c:ser>
          <c:idx val="3"/>
          <c:order val="3"/>
          <c:tx>
            <c:v>γ metoda mocy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'h=3km'!$H$22:$H$36</c:f>
              <c:numCache>
                <c:formatCode>0.00</c:formatCode>
                <c:ptCount val="15"/>
                <c:pt idx="0">
                  <c:v>40.815259783159711</c:v>
                </c:pt>
                <c:pt idx="1">
                  <c:v>41.574618695427802</c:v>
                </c:pt>
                <c:pt idx="2">
                  <c:v>42.920781946885526</c:v>
                </c:pt>
                <c:pt idx="3">
                  <c:v>44.374577817615268</c:v>
                </c:pt>
                <c:pt idx="4">
                  <c:v>46.203280438427093</c:v>
                </c:pt>
                <c:pt idx="5">
                  <c:v>48.011328360454733</c:v>
                </c:pt>
                <c:pt idx="6">
                  <c:v>50.142327547229172</c:v>
                </c:pt>
                <c:pt idx="7">
                  <c:v>52.936409198057795</c:v>
                </c:pt>
                <c:pt idx="8">
                  <c:v>55.931504901577547</c:v>
                </c:pt>
                <c:pt idx="9">
                  <c:v>59.34568925983514</c:v>
                </c:pt>
                <c:pt idx="10">
                  <c:v>69.081257428821559</c:v>
                </c:pt>
                <c:pt idx="11">
                  <c:v>75.928691163682998</c:v>
                </c:pt>
                <c:pt idx="12">
                  <c:v>85.551851410647487</c:v>
                </c:pt>
                <c:pt idx="13">
                  <c:v>99.188615025775746</c:v>
                </c:pt>
                <c:pt idx="14">
                  <c:v>120.82586004628411</c:v>
                </c:pt>
              </c:numCache>
            </c:numRef>
          </c:xVal>
          <c:yVal>
            <c:numRef>
              <c:f>'h=3km'!$O$22:$O$37</c:f>
              <c:numCache>
                <c:formatCode>0.00</c:formatCode>
                <c:ptCount val="16"/>
                <c:pt idx="0">
                  <c:v>4.505665786542127</c:v>
                </c:pt>
                <c:pt idx="1">
                  <c:v>4.5915737154179777</c:v>
                </c:pt>
                <c:pt idx="2">
                  <c:v>4.719674188552486</c:v>
                </c:pt>
                <c:pt idx="3">
                  <c:v>4.8387735637261571</c:v>
                </c:pt>
                <c:pt idx="4">
                  <c:v>4.9109006633691532</c:v>
                </c:pt>
                <c:pt idx="5">
                  <c:v>4.9506349437553769</c:v>
                </c:pt>
                <c:pt idx="6">
                  <c:v>4.9582314507404384</c:v>
                </c:pt>
                <c:pt idx="7">
                  <c:v>4.8831548335124291</c:v>
                </c:pt>
                <c:pt idx="8">
                  <c:v>4.8199948304701099</c:v>
                </c:pt>
                <c:pt idx="9">
                  <c:v>4.687863051451612</c:v>
                </c:pt>
                <c:pt idx="10">
                  <c:v>3.9626844202529941</c:v>
                </c:pt>
                <c:pt idx="11">
                  <c:v>3.2807273447941303</c:v>
                </c:pt>
                <c:pt idx="12">
                  <c:v>2.1508236964967726</c:v>
                </c:pt>
                <c:pt idx="13">
                  <c:v>0.39143266855185899</c:v>
                </c:pt>
                <c:pt idx="14">
                  <c:v>-2.7651749083081394</c:v>
                </c:pt>
                <c:pt idx="15">
                  <c:v>-15.657084118342688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7D2-47BE-A9C5-6231B8A88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809103"/>
        <c:axId val="1803560847"/>
      </c:scatterChart>
      <c:valAx>
        <c:axId val="1857809103"/>
        <c:scaling>
          <c:orientation val="minMax"/>
          <c:max val="140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03560847"/>
        <c:crosses val="autoZero"/>
        <c:crossBetween val="midCat"/>
        <c:majorUnit val="10"/>
      </c:valAx>
      <c:valAx>
        <c:axId val="1803560847"/>
        <c:scaling>
          <c:orientation val="minMax"/>
          <c:max val="2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α</a:t>
                </a:r>
                <a:r>
                  <a:rPr lang="pl-PL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, </a:t>
                </a:r>
                <a:r>
                  <a:rPr lang="el-GR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γ</a:t>
                </a:r>
                <a:r>
                  <a:rPr lang="pl-PL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 [°]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7809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647062554680665"/>
          <c:y val="0.15809889173060529"/>
          <c:w val="0.79494531933508306"/>
          <c:h val="0.60658550993146321"/>
        </c:manualLayout>
      </c:layout>
      <c:scatterChart>
        <c:scatterStyle val="smoothMarker"/>
        <c:varyColors val="0"/>
        <c:ser>
          <c:idx val="0"/>
          <c:order val="0"/>
          <c:tx>
            <c:v>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'h=3km'!$G$3:$G$17</c:f>
              <c:numCache>
                <c:formatCode>0.0</c:formatCode>
                <c:ptCount val="15"/>
                <c:pt idx="0">
                  <c:v>40.815259783159711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'h=3km'!$N$3:$N$17</c:f>
              <c:numCache>
                <c:formatCode>0.00</c:formatCode>
                <c:ptCount val="15"/>
                <c:pt idx="0">
                  <c:v>3.3553473760019381</c:v>
                </c:pt>
                <c:pt idx="1">
                  <c:v>3.9303213933488417</c:v>
                </c:pt>
                <c:pt idx="2">
                  <c:v>4.5920455417216868</c:v>
                </c:pt>
                <c:pt idx="3">
                  <c:v>4.9122477734625996</c:v>
                </c:pt>
                <c:pt idx="4">
                  <c:v>4.8884276835339815</c:v>
                </c:pt>
                <c:pt idx="5">
                  <c:v>4.5389740485897088</c:v>
                </c:pt>
                <c:pt idx="6">
                  <c:v>3.8877593552800054</c:v>
                </c:pt>
                <c:pt idx="7">
                  <c:v>2.7750508959304754</c:v>
                </c:pt>
                <c:pt idx="8">
                  <c:v>1.477306019618247</c:v>
                </c:pt>
                <c:pt idx="9">
                  <c:v>-0.12616437041624659</c:v>
                </c:pt>
                <c:pt idx="10">
                  <c:v>-2.3383441719051747</c:v>
                </c:pt>
                <c:pt idx="11">
                  <c:v>-4.6115970938161945</c:v>
                </c:pt>
                <c:pt idx="12">
                  <c:v>-7.205515612576078</c:v>
                </c:pt>
                <c:pt idx="13">
                  <c:v>-10.125781719771982</c:v>
                </c:pt>
                <c:pt idx="14">
                  <c:v>-13.870474641733701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18-4EB1-B71A-D4B6F49915E1}"/>
            </c:ext>
          </c:extLst>
        </c:ser>
        <c:ser>
          <c:idx val="1"/>
          <c:order val="1"/>
          <c:tx>
            <c:v>metoda mocy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'h=3km'!$H$22:$H$36</c:f>
              <c:numCache>
                <c:formatCode>0.00</c:formatCode>
                <c:ptCount val="15"/>
                <c:pt idx="0">
                  <c:v>40.815259783159711</c:v>
                </c:pt>
                <c:pt idx="1">
                  <c:v>41.574618695427802</c:v>
                </c:pt>
                <c:pt idx="2">
                  <c:v>42.920781946885526</c:v>
                </c:pt>
                <c:pt idx="3">
                  <c:v>44.374577817615268</c:v>
                </c:pt>
                <c:pt idx="4">
                  <c:v>46.203280438427093</c:v>
                </c:pt>
                <c:pt idx="5">
                  <c:v>48.011328360454733</c:v>
                </c:pt>
                <c:pt idx="6">
                  <c:v>50.142327547229172</c:v>
                </c:pt>
                <c:pt idx="7">
                  <c:v>52.936409198057795</c:v>
                </c:pt>
                <c:pt idx="8">
                  <c:v>55.931504901577547</c:v>
                </c:pt>
                <c:pt idx="9">
                  <c:v>59.34568925983514</c:v>
                </c:pt>
                <c:pt idx="10">
                  <c:v>69.081257428821559</c:v>
                </c:pt>
                <c:pt idx="11">
                  <c:v>75.928691163682998</c:v>
                </c:pt>
                <c:pt idx="12">
                  <c:v>85.551851410647487</c:v>
                </c:pt>
                <c:pt idx="13">
                  <c:v>99.188615025775746</c:v>
                </c:pt>
                <c:pt idx="14">
                  <c:v>120.82586004628411</c:v>
                </c:pt>
              </c:numCache>
            </c:numRef>
          </c:xVal>
          <c:yVal>
            <c:numRef>
              <c:f>'h=3km'!$N$22:$N$36</c:f>
              <c:numCache>
                <c:formatCode>0.00</c:formatCode>
                <c:ptCount val="15"/>
                <c:pt idx="0">
                  <c:v>3.206352000409165</c:v>
                </c:pt>
                <c:pt idx="1">
                  <c:v>3.3281451274932841</c:v>
                </c:pt>
                <c:pt idx="2">
                  <c:v>3.5315532067470516</c:v>
                </c:pt>
                <c:pt idx="3">
                  <c:v>3.7430922466116754</c:v>
                </c:pt>
                <c:pt idx="4">
                  <c:v>3.9553001445879254</c:v>
                </c:pt>
                <c:pt idx="5">
                  <c:v>4.1432531115119371</c:v>
                </c:pt>
                <c:pt idx="6">
                  <c:v>4.3337760482729406</c:v>
                </c:pt>
                <c:pt idx="7">
                  <c:v>4.5061583845658877</c:v>
                </c:pt>
                <c:pt idx="8">
                  <c:v>4.6996776960564475</c:v>
                </c:pt>
                <c:pt idx="9">
                  <c:v>4.8501682542417397</c:v>
                </c:pt>
                <c:pt idx="10">
                  <c:v>4.7739822749684357</c:v>
                </c:pt>
                <c:pt idx="11">
                  <c:v>4.3452630970387807</c:v>
                </c:pt>
                <c:pt idx="12">
                  <c:v>3.2107728985618391</c:v>
                </c:pt>
                <c:pt idx="13">
                  <c:v>0.67763040453575596</c:v>
                </c:pt>
                <c:pt idx="14">
                  <c:v>-5.8289625699613774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518-4EB1-B71A-D4B6F4991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805743"/>
        <c:axId val="1798274655"/>
      </c:scatterChart>
      <c:valAx>
        <c:axId val="1857805743"/>
        <c:scaling>
          <c:orientation val="minMax"/>
          <c:max val="85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98274655"/>
        <c:crosses val="autoZero"/>
        <c:crossBetween val="midCat"/>
        <c:majorUnit val="5"/>
      </c:valAx>
      <c:valAx>
        <c:axId val="1798274655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7805743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365157480314961E-2"/>
          <c:y val="0.88435567996455688"/>
          <c:w val="0.92968175853018353"/>
          <c:h val="9.69745789448953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>
                <a:latin typeface="Calibri Light" panose="020F0302020204030204" pitchFamily="34" charset="0"/>
                <a:cs typeface="Calibri Light" panose="020F0302020204030204" pitchFamily="34" charset="0"/>
              </a:rPr>
              <a:t>γ</a:t>
            </a:r>
            <a:r>
              <a:rPr lang="pl-PL">
                <a:latin typeface="Calibri Light" panose="020F0302020204030204" pitchFamily="34" charset="0"/>
                <a:cs typeface="Calibri Light" panose="020F0302020204030204" pitchFamily="34" charset="0"/>
              </a:rPr>
              <a:t>(V)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5203958880139984"/>
          <c:y val="0.17171296296296296"/>
          <c:w val="0.78616754155730528"/>
          <c:h val="0.65604148439778365"/>
        </c:manualLayout>
      </c:layout>
      <c:scatterChart>
        <c:scatterStyle val="smoothMarker"/>
        <c:varyColors val="0"/>
        <c:ser>
          <c:idx val="0"/>
          <c:order val="0"/>
          <c:tx>
            <c:v>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'h=3km'!$G$3:$G$17</c:f>
              <c:numCache>
                <c:formatCode>0.0</c:formatCode>
                <c:ptCount val="15"/>
                <c:pt idx="0">
                  <c:v>40.815259783159711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'h=3km'!$M$3:$M$17</c:f>
              <c:numCache>
                <c:formatCode>0.00</c:formatCode>
                <c:ptCount val="15"/>
                <c:pt idx="0">
                  <c:v>4.7155021420850671</c:v>
                </c:pt>
                <c:pt idx="1">
                  <c:v>5.0106249187064318</c:v>
                </c:pt>
                <c:pt idx="2">
                  <c:v>5.0663077074092255</c:v>
                </c:pt>
                <c:pt idx="3">
                  <c:v>4.7758856294232563</c:v>
                </c:pt>
                <c:pt idx="4">
                  <c:v>4.1841100538177205</c:v>
                </c:pt>
                <c:pt idx="5">
                  <c:v>3.5165865625335631</c:v>
                </c:pt>
                <c:pt idx="6">
                  <c:v>2.7510841711383014</c:v>
                </c:pt>
                <c:pt idx="7">
                  <c:v>1.7867918990009153</c:v>
                </c:pt>
                <c:pt idx="8">
                  <c:v>0.88173688595107613</c:v>
                </c:pt>
                <c:pt idx="9">
                  <c:v>-7.0181434537836929E-2</c:v>
                </c:pt>
                <c:pt idx="10">
                  <c:v>-1.2070915635626569</c:v>
                </c:pt>
                <c:pt idx="11">
                  <c:v>-2.2397657395751462</c:v>
                </c:pt>
                <c:pt idx="12">
                  <c:v>-3.304596907104512</c:v>
                </c:pt>
                <c:pt idx="13">
                  <c:v>-4.3995080667678108</c:v>
                </c:pt>
                <c:pt idx="14">
                  <c:v>-5.6858969352714821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91-4B47-92D4-91E97C8759A0}"/>
            </c:ext>
          </c:extLst>
        </c:ser>
        <c:ser>
          <c:idx val="1"/>
          <c:order val="1"/>
          <c:tx>
            <c:v>metoda mocy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'h=3km'!$H$22:$H$36</c:f>
              <c:numCache>
                <c:formatCode>0.00</c:formatCode>
                <c:ptCount val="15"/>
                <c:pt idx="0">
                  <c:v>40.815259783159711</c:v>
                </c:pt>
                <c:pt idx="1">
                  <c:v>41.574618695427802</c:v>
                </c:pt>
                <c:pt idx="2">
                  <c:v>42.920781946885526</c:v>
                </c:pt>
                <c:pt idx="3">
                  <c:v>44.374577817615268</c:v>
                </c:pt>
                <c:pt idx="4">
                  <c:v>46.203280438427093</c:v>
                </c:pt>
                <c:pt idx="5">
                  <c:v>48.011328360454733</c:v>
                </c:pt>
                <c:pt idx="6">
                  <c:v>50.142327547229172</c:v>
                </c:pt>
                <c:pt idx="7">
                  <c:v>52.936409198057795</c:v>
                </c:pt>
                <c:pt idx="8">
                  <c:v>55.931504901577547</c:v>
                </c:pt>
                <c:pt idx="9">
                  <c:v>59.34568925983514</c:v>
                </c:pt>
                <c:pt idx="10">
                  <c:v>69.081257428821559</c:v>
                </c:pt>
                <c:pt idx="11">
                  <c:v>75.928691163682998</c:v>
                </c:pt>
                <c:pt idx="12">
                  <c:v>85.551851410647487</c:v>
                </c:pt>
                <c:pt idx="13">
                  <c:v>99.188615025775746</c:v>
                </c:pt>
                <c:pt idx="14">
                  <c:v>120.82586004628411</c:v>
                </c:pt>
              </c:numCache>
            </c:numRef>
          </c:xVal>
          <c:yVal>
            <c:numRef>
              <c:f>'h=3km'!$O$22:$O$36</c:f>
              <c:numCache>
                <c:formatCode>0.00</c:formatCode>
                <c:ptCount val="15"/>
                <c:pt idx="0">
                  <c:v>4.505665786542127</c:v>
                </c:pt>
                <c:pt idx="1">
                  <c:v>4.5915737154179777</c:v>
                </c:pt>
                <c:pt idx="2">
                  <c:v>4.719674188552486</c:v>
                </c:pt>
                <c:pt idx="3">
                  <c:v>4.8387735637261571</c:v>
                </c:pt>
                <c:pt idx="4">
                  <c:v>4.9109006633691532</c:v>
                </c:pt>
                <c:pt idx="5">
                  <c:v>4.9506349437553769</c:v>
                </c:pt>
                <c:pt idx="6">
                  <c:v>4.9582314507404384</c:v>
                </c:pt>
                <c:pt idx="7">
                  <c:v>4.8831548335124291</c:v>
                </c:pt>
                <c:pt idx="8">
                  <c:v>4.8199948304701099</c:v>
                </c:pt>
                <c:pt idx="9">
                  <c:v>4.687863051451612</c:v>
                </c:pt>
                <c:pt idx="10">
                  <c:v>3.9626844202529941</c:v>
                </c:pt>
                <c:pt idx="11">
                  <c:v>3.2807273447941303</c:v>
                </c:pt>
                <c:pt idx="12">
                  <c:v>2.1508236964967726</c:v>
                </c:pt>
                <c:pt idx="13">
                  <c:v>0.39143266855185899</c:v>
                </c:pt>
                <c:pt idx="14">
                  <c:v>-2.7651749083081394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91-4B47-92D4-91E97C875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32463"/>
        <c:axId val="39114431"/>
      </c:scatterChart>
      <c:valAx>
        <c:axId val="37832463"/>
        <c:scaling>
          <c:orientation val="minMax"/>
          <c:max val="90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9114431"/>
        <c:crosses val="autoZero"/>
        <c:crossBetween val="midCat"/>
        <c:majorUnit val="5"/>
      </c:valAx>
      <c:valAx>
        <c:axId val="39114431"/>
        <c:scaling>
          <c:orientation val="minMax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γ</a:t>
                </a:r>
                <a:r>
                  <a:rPr lang="pl-PL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 [°]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7832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3.1429352580927383E-2"/>
          <c:y val="0.86652704870224551"/>
          <c:w val="0.91579286964129469"/>
          <c:h val="0.10532516768737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'[1]projekt 5'!$K$50:$K$57</c:f>
              <c:numCache>
                <c:formatCode>General</c:formatCode>
                <c:ptCount val="8"/>
                <c:pt idx="0">
                  <c:v>0</c:v>
                </c:pt>
                <c:pt idx="1">
                  <c:v>0.25299145299145298</c:v>
                </c:pt>
                <c:pt idx="2">
                  <c:v>0.50598290598290596</c:v>
                </c:pt>
                <c:pt idx="3">
                  <c:v>0.75897435897435905</c:v>
                </c:pt>
                <c:pt idx="4">
                  <c:v>1.0119658119658119</c:v>
                </c:pt>
                <c:pt idx="5">
                  <c:v>1.2649572649572651</c:v>
                </c:pt>
                <c:pt idx="6">
                  <c:v>1.5179487179487181</c:v>
                </c:pt>
                <c:pt idx="7">
                  <c:v>1.7709401709401711</c:v>
                </c:pt>
              </c:numCache>
            </c:numRef>
          </c:xVal>
          <c:yVal>
            <c:numRef>
              <c:f>'[1]projekt 5'!$M$50:$M$57</c:f>
              <c:numCache>
                <c:formatCode>General</c:formatCode>
                <c:ptCount val="8"/>
                <c:pt idx="0">
                  <c:v>0</c:v>
                </c:pt>
                <c:pt idx="1">
                  <c:v>0.35</c:v>
                </c:pt>
                <c:pt idx="2">
                  <c:v>0.60399999999999998</c:v>
                </c:pt>
                <c:pt idx="3">
                  <c:v>0.76700000000000002</c:v>
                </c:pt>
                <c:pt idx="4">
                  <c:v>0.82299999999999995</c:v>
                </c:pt>
                <c:pt idx="5">
                  <c:v>0.85099999999999998</c:v>
                </c:pt>
                <c:pt idx="6">
                  <c:v>0.83199999999999996</c:v>
                </c:pt>
                <c:pt idx="7">
                  <c:v>0.79500000000000004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AF-4F0D-AF1E-7F099A88C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738671"/>
        <c:axId val="966579199"/>
      </c:scatterChart>
      <c:valAx>
        <c:axId val="88738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66579199"/>
        <c:crosses val="autoZero"/>
        <c:crossBetween val="midCat"/>
      </c:valAx>
      <c:valAx>
        <c:axId val="96657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8738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α</a:t>
            </a:r>
            <a:r>
              <a:rPr lang="pl-PL"/>
              <a:t>(V), </a:t>
            </a:r>
            <a:r>
              <a:rPr lang="el-GR"/>
              <a:t>γ</a:t>
            </a:r>
            <a:r>
              <a:rPr lang="pl-PL"/>
              <a:t>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α 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'h=4km'!$G$3:$G$17</c:f>
              <c:numCache>
                <c:formatCode>0.0</c:formatCode>
                <c:ptCount val="15"/>
                <c:pt idx="0">
                  <c:v>43.00066152062773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'h=4km'!$L$3:$L$17</c:f>
              <c:numCache>
                <c:formatCode>0.00</c:formatCode>
                <c:ptCount val="15"/>
                <c:pt idx="0">
                  <c:v>11.777781290754369</c:v>
                </c:pt>
                <c:pt idx="1">
                  <c:v>10.54704089131641</c:v>
                </c:pt>
                <c:pt idx="2">
                  <c:v>7.2531340348467594</c:v>
                </c:pt>
                <c:pt idx="3">
                  <c:v>5.0233566676366923</c:v>
                </c:pt>
                <c:pt idx="4">
                  <c:v>3.2600715521552859</c:v>
                </c:pt>
                <c:pt idx="5">
                  <c:v>2.1530580677377982</c:v>
                </c:pt>
                <c:pt idx="6">
                  <c:v>1.3154325789054842</c:v>
                </c:pt>
                <c:pt idx="7">
                  <c:v>0.5858803121152476</c:v>
                </c:pt>
                <c:pt idx="8">
                  <c:v>8.9190308680419508E-2</c:v>
                </c:pt>
                <c:pt idx="9">
                  <c:v>-0.31110766571251813</c:v>
                </c:pt>
                <c:pt idx="10">
                  <c:v>-0.68033330312472395</c:v>
                </c:pt>
                <c:pt idx="11">
                  <c:v>-0.9445796538670056</c:v>
                </c:pt>
                <c:pt idx="12">
                  <c:v>-1.1663150146959667</c:v>
                </c:pt>
                <c:pt idx="13">
                  <c:v>-1.3542414597505494</c:v>
                </c:pt>
                <c:pt idx="14">
                  <c:v>-1.5359914455834829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BD-40A8-8A1E-9DC9FE33CA15}"/>
            </c:ext>
          </c:extLst>
        </c:ser>
        <c:ser>
          <c:idx val="1"/>
          <c:order val="1"/>
          <c:tx>
            <c:v>γ metoda ciągu, m=const.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'h=4km'!$G$3:$G$17</c:f>
              <c:numCache>
                <c:formatCode>0.0</c:formatCode>
                <c:ptCount val="15"/>
                <c:pt idx="0">
                  <c:v>43.00066152062773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'h=4km'!$M$3:$M$17</c:f>
              <c:numCache>
                <c:formatCode>0.00</c:formatCode>
                <c:ptCount val="15"/>
                <c:pt idx="0">
                  <c:v>3.3955081169054093</c:v>
                </c:pt>
                <c:pt idx="1">
                  <c:v>3.5716650722539751</c:v>
                </c:pt>
                <c:pt idx="2">
                  <c:v>3.8252915773319751</c:v>
                </c:pt>
                <c:pt idx="3">
                  <c:v>3.6986399641599248</c:v>
                </c:pt>
                <c:pt idx="4">
                  <c:v>3.2703493136080914</c:v>
                </c:pt>
                <c:pt idx="5">
                  <c:v>2.7339874190878701</c:v>
                </c:pt>
                <c:pt idx="6">
                  <c:v>2.0933947944515308</c:v>
                </c:pt>
                <c:pt idx="7">
                  <c:v>1.2678277046193025</c:v>
                </c:pt>
                <c:pt idx="8">
                  <c:v>0.48269485291158104</c:v>
                </c:pt>
                <c:pt idx="9">
                  <c:v>-0.34934947596558885</c:v>
                </c:pt>
                <c:pt idx="10">
                  <c:v>-1.3481789554156642</c:v>
                </c:pt>
                <c:pt idx="11">
                  <c:v>-2.2583406843186027</c:v>
                </c:pt>
                <c:pt idx="12">
                  <c:v>-3.1985310772221016</c:v>
                </c:pt>
                <c:pt idx="13">
                  <c:v>-4.1662413913920417</c:v>
                </c:pt>
                <c:pt idx="14">
                  <c:v>-5.3036399498526361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2BD-40A8-8A1E-9DC9FE33CA15}"/>
            </c:ext>
          </c:extLst>
        </c:ser>
        <c:ser>
          <c:idx val="2"/>
          <c:order val="2"/>
          <c:tx>
            <c:v>α metoda mocy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'h=4km'!$H$22:$H$37</c:f>
              <c:numCache>
                <c:formatCode>0.00</c:formatCode>
                <c:ptCount val="16"/>
                <c:pt idx="0">
                  <c:v>43.00066152062773</c:v>
                </c:pt>
                <c:pt idx="1">
                  <c:v>43.80067935054204</c:v>
                </c:pt>
                <c:pt idx="2">
                  <c:v>45.218921219758926</c:v>
                </c:pt>
                <c:pt idx="3">
                  <c:v>46.750558761439585</c:v>
                </c:pt>
                <c:pt idx="4">
                  <c:v>48.677176963484172</c:v>
                </c:pt>
                <c:pt idx="5">
                  <c:v>50.582034536882823</c:v>
                </c:pt>
                <c:pt idx="6">
                  <c:v>52.827135394210416</c:v>
                </c:pt>
                <c:pt idx="7">
                  <c:v>55.770822631939353</c:v>
                </c:pt>
                <c:pt idx="8">
                  <c:v>58.926286966925112</c:v>
                </c:pt>
                <c:pt idx="9">
                  <c:v>62.523279531432344</c:v>
                </c:pt>
                <c:pt idx="10">
                  <c:v>72.780126450199489</c:v>
                </c:pt>
                <c:pt idx="11">
                  <c:v>79.994197409982817</c:v>
                </c:pt>
                <c:pt idx="12">
                  <c:v>90.132617665958122</c:v>
                </c:pt>
                <c:pt idx="13">
                  <c:v>104.49954463313341</c:v>
                </c:pt>
                <c:pt idx="14">
                  <c:v>127.29532871753742</c:v>
                </c:pt>
                <c:pt idx="15">
                  <c:v>206.03441298348505</c:v>
                </c:pt>
              </c:numCache>
            </c:numRef>
          </c:xVal>
          <c:yVal>
            <c:numRef>
              <c:f>'h=4km'!$P$22:$P$37</c:f>
              <c:numCache>
                <c:formatCode>0.00</c:formatCode>
                <c:ptCount val="16"/>
                <c:pt idx="0">
                  <c:v>15.276999999999999</c:v>
                </c:pt>
                <c:pt idx="1">
                  <c:v>12.122999999999999</c:v>
                </c:pt>
                <c:pt idx="2">
                  <c:v>11.015000000000001</c:v>
                </c:pt>
                <c:pt idx="3">
                  <c:v>9.5779999999999994</c:v>
                </c:pt>
                <c:pt idx="4">
                  <c:v>8.4719999999999995</c:v>
                </c:pt>
                <c:pt idx="5">
                  <c:v>7.694</c:v>
                </c:pt>
                <c:pt idx="6">
                  <c:v>7.048</c:v>
                </c:pt>
                <c:pt idx="7">
                  <c:v>6.0739999999999998</c:v>
                </c:pt>
                <c:pt idx="8">
                  <c:v>5.0990000000000002</c:v>
                </c:pt>
                <c:pt idx="9">
                  <c:v>3.86</c:v>
                </c:pt>
                <c:pt idx="10">
                  <c:v>2.0419999999999998</c:v>
                </c:pt>
                <c:pt idx="11">
                  <c:v>1.198</c:v>
                </c:pt>
                <c:pt idx="12">
                  <c:v>0.42</c:v>
                </c:pt>
                <c:pt idx="13">
                  <c:v>-0.29199999999999998</c:v>
                </c:pt>
                <c:pt idx="14">
                  <c:v>-1.071</c:v>
                </c:pt>
                <c:pt idx="15">
                  <c:v>-2.044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2BD-40A8-8A1E-9DC9FE33CA15}"/>
            </c:ext>
          </c:extLst>
        </c:ser>
        <c:ser>
          <c:idx val="3"/>
          <c:order val="3"/>
          <c:tx>
            <c:v>γ metoda mocy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'h=4km'!$H$22:$H$36</c:f>
              <c:numCache>
                <c:formatCode>0.00</c:formatCode>
                <c:ptCount val="15"/>
                <c:pt idx="0">
                  <c:v>43.00066152062773</c:v>
                </c:pt>
                <c:pt idx="1">
                  <c:v>43.80067935054204</c:v>
                </c:pt>
                <c:pt idx="2">
                  <c:v>45.218921219758926</c:v>
                </c:pt>
                <c:pt idx="3">
                  <c:v>46.750558761439585</c:v>
                </c:pt>
                <c:pt idx="4">
                  <c:v>48.677176963484172</c:v>
                </c:pt>
                <c:pt idx="5">
                  <c:v>50.582034536882823</c:v>
                </c:pt>
                <c:pt idx="6">
                  <c:v>52.827135394210416</c:v>
                </c:pt>
                <c:pt idx="7">
                  <c:v>55.770822631939353</c:v>
                </c:pt>
                <c:pt idx="8">
                  <c:v>58.926286966925112</c:v>
                </c:pt>
                <c:pt idx="9">
                  <c:v>62.523279531432344</c:v>
                </c:pt>
                <c:pt idx="10">
                  <c:v>72.780126450199489</c:v>
                </c:pt>
                <c:pt idx="11">
                  <c:v>79.994197409982817</c:v>
                </c:pt>
                <c:pt idx="12">
                  <c:v>90.132617665958122</c:v>
                </c:pt>
                <c:pt idx="13">
                  <c:v>104.49954463313341</c:v>
                </c:pt>
                <c:pt idx="14">
                  <c:v>127.29532871753742</c:v>
                </c:pt>
              </c:numCache>
            </c:numRef>
          </c:xVal>
          <c:yVal>
            <c:numRef>
              <c:f>'h=4km'!$O$22:$O$37</c:f>
              <c:numCache>
                <c:formatCode>0.00</c:formatCode>
                <c:ptCount val="16"/>
                <c:pt idx="0">
                  <c:v>3.2204738997957039</c:v>
                </c:pt>
                <c:pt idx="1">
                  <c:v>3.3093296881557173</c:v>
                </c:pt>
                <c:pt idx="2">
                  <c:v>3.4427381943867479</c:v>
                </c:pt>
                <c:pt idx="3">
                  <c:v>3.5676668713660744</c:v>
                </c:pt>
                <c:pt idx="4">
                  <c:v>3.6473548823590702</c:v>
                </c:pt>
                <c:pt idx="5">
                  <c:v>3.6947310903012034</c:v>
                </c:pt>
                <c:pt idx="6">
                  <c:v>3.7115460335166985</c:v>
                </c:pt>
                <c:pt idx="7">
                  <c:v>3.6489344771423848</c:v>
                </c:pt>
                <c:pt idx="8">
                  <c:v>3.5994070466027073</c:v>
                </c:pt>
                <c:pt idx="9">
                  <c:v>3.4832839041534216</c:v>
                </c:pt>
                <c:pt idx="10">
                  <c:v>2.8063644635485847</c:v>
                </c:pt>
                <c:pt idx="11">
                  <c:v>2.1603454486491263</c:v>
                </c:pt>
                <c:pt idx="12">
                  <c:v>1.0834836521815148</c:v>
                </c:pt>
                <c:pt idx="13">
                  <c:v>-0.59598754944570509</c:v>
                </c:pt>
                <c:pt idx="14">
                  <c:v>-3.6144943530967866</c:v>
                </c:pt>
                <c:pt idx="15">
                  <c:v>-15.907659259254011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2BD-40A8-8A1E-9DC9FE33C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809103"/>
        <c:axId val="1803560847"/>
      </c:scatterChart>
      <c:valAx>
        <c:axId val="1857809103"/>
        <c:scaling>
          <c:orientation val="minMax"/>
          <c:max val="140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03560847"/>
        <c:crosses val="autoZero"/>
        <c:crossBetween val="midCat"/>
        <c:majorUnit val="10"/>
      </c:valAx>
      <c:valAx>
        <c:axId val="1803560847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α</a:t>
                </a:r>
                <a:r>
                  <a:rPr lang="pl-PL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, </a:t>
                </a:r>
                <a:r>
                  <a:rPr lang="el-GR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γ</a:t>
                </a:r>
                <a:r>
                  <a:rPr lang="pl-PL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 [°]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7809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647062554680665"/>
          <c:y val="0.15809889173060529"/>
          <c:w val="0.79494531933508306"/>
          <c:h val="0.60658550993146321"/>
        </c:manualLayout>
      </c:layout>
      <c:scatterChart>
        <c:scatterStyle val="smoothMarker"/>
        <c:varyColors val="0"/>
        <c:ser>
          <c:idx val="0"/>
          <c:order val="0"/>
          <c:tx>
            <c:v>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'h=4km'!$G$3:$G$17</c:f>
              <c:numCache>
                <c:formatCode>0.0</c:formatCode>
                <c:ptCount val="15"/>
                <c:pt idx="0">
                  <c:v>43.00066152062773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'h=4km'!$N$3:$N$17</c:f>
              <c:numCache>
                <c:formatCode>0.00</c:formatCode>
                <c:ptCount val="15"/>
                <c:pt idx="0">
                  <c:v>2.5468480498700123</c:v>
                </c:pt>
                <c:pt idx="1">
                  <c:v>2.8033627475714549</c:v>
                </c:pt>
                <c:pt idx="2">
                  <c:v>3.4691459268760747</c:v>
                </c:pt>
                <c:pt idx="3">
                  <c:v>3.8060086159079836</c:v>
                </c:pt>
                <c:pt idx="4">
                  <c:v>3.8221741440907335</c:v>
                </c:pt>
                <c:pt idx="5">
                  <c:v>3.5297242415150278</c:v>
                </c:pt>
                <c:pt idx="6">
                  <c:v>2.9588087675609729</c:v>
                </c:pt>
                <c:pt idx="7">
                  <c:v>1.969210624356913</c:v>
                </c:pt>
                <c:pt idx="8">
                  <c:v>0.8087534218699175</c:v>
                </c:pt>
                <c:pt idx="9">
                  <c:v>-0.62801786403329729</c:v>
                </c:pt>
                <c:pt idx="10">
                  <c:v>-2.611606936615118</c:v>
                </c:pt>
                <c:pt idx="11">
                  <c:v>-4.6498225107408473</c:v>
                </c:pt>
                <c:pt idx="12">
                  <c:v>-6.9744884263573068</c:v>
                </c:pt>
                <c:pt idx="13">
                  <c:v>-9.589874960820433</c:v>
                </c:pt>
                <c:pt idx="14">
                  <c:v>-12.940738266895075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3B-4F7A-8656-D62CB898A84C}"/>
            </c:ext>
          </c:extLst>
        </c:ser>
        <c:ser>
          <c:idx val="1"/>
          <c:order val="1"/>
          <c:tx>
            <c:v>metoda mocy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'h=4km'!$H$22:$H$36</c:f>
              <c:numCache>
                <c:formatCode>0.00</c:formatCode>
                <c:ptCount val="15"/>
                <c:pt idx="0">
                  <c:v>43.00066152062773</c:v>
                </c:pt>
                <c:pt idx="1">
                  <c:v>43.80067935054204</c:v>
                </c:pt>
                <c:pt idx="2">
                  <c:v>45.218921219758926</c:v>
                </c:pt>
                <c:pt idx="3">
                  <c:v>46.750558761439585</c:v>
                </c:pt>
                <c:pt idx="4">
                  <c:v>48.677176963484172</c:v>
                </c:pt>
                <c:pt idx="5">
                  <c:v>50.582034536882823</c:v>
                </c:pt>
                <c:pt idx="6">
                  <c:v>52.827135394210416</c:v>
                </c:pt>
                <c:pt idx="7">
                  <c:v>55.770822631939353</c:v>
                </c:pt>
                <c:pt idx="8">
                  <c:v>58.926286966925112</c:v>
                </c:pt>
                <c:pt idx="9">
                  <c:v>62.523279531432344</c:v>
                </c:pt>
                <c:pt idx="10">
                  <c:v>72.780126450199489</c:v>
                </c:pt>
                <c:pt idx="11">
                  <c:v>79.994197409982817</c:v>
                </c:pt>
                <c:pt idx="12">
                  <c:v>90.132617665958122</c:v>
                </c:pt>
                <c:pt idx="13">
                  <c:v>104.49954463313341</c:v>
                </c:pt>
                <c:pt idx="14">
                  <c:v>127.29532871753742</c:v>
                </c:pt>
              </c:numCache>
            </c:numRef>
          </c:xVal>
          <c:yVal>
            <c:numRef>
              <c:f>'h=4km'!$N$22:$N$36</c:f>
              <c:numCache>
                <c:formatCode>0.00</c:formatCode>
                <c:ptCount val="15"/>
                <c:pt idx="0">
                  <c:v>2.4157032551744484</c:v>
                </c:pt>
                <c:pt idx="1">
                  <c:v>2.5284638570106295</c:v>
                </c:pt>
                <c:pt idx="2">
                  <c:v>2.7154399127004156</c:v>
                </c:pt>
                <c:pt idx="3">
                  <c:v>2.9091612118710377</c:v>
                </c:pt>
                <c:pt idx="4">
                  <c:v>3.0966164136366352</c:v>
                </c:pt>
                <c:pt idx="5">
                  <c:v>3.2595336116289175</c:v>
                </c:pt>
                <c:pt idx="6">
                  <c:v>3.4196802556292556</c:v>
                </c:pt>
                <c:pt idx="7">
                  <c:v>3.5494157143348692</c:v>
                </c:pt>
                <c:pt idx="8">
                  <c:v>3.6994035482426293</c:v>
                </c:pt>
                <c:pt idx="9">
                  <c:v>3.7987475399571329</c:v>
                </c:pt>
                <c:pt idx="10">
                  <c:v>3.5633672269565779</c:v>
                </c:pt>
                <c:pt idx="11">
                  <c:v>3.015477872494094</c:v>
                </c:pt>
                <c:pt idx="12">
                  <c:v>1.7043384051496751</c:v>
                </c:pt>
                <c:pt idx="13">
                  <c:v>-1.0869789176610916</c:v>
                </c:pt>
                <c:pt idx="14">
                  <c:v>-8.0250784555558585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3B-4F7A-8656-D62CB898A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805743"/>
        <c:axId val="1798274655"/>
      </c:scatterChart>
      <c:valAx>
        <c:axId val="1857805743"/>
        <c:scaling>
          <c:orientation val="minMax"/>
          <c:max val="85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98274655"/>
        <c:crosses val="autoZero"/>
        <c:crossBetween val="midCat"/>
        <c:majorUnit val="5"/>
      </c:valAx>
      <c:valAx>
        <c:axId val="1798274655"/>
        <c:scaling>
          <c:orientation val="minMax"/>
          <c:max val="0.5"/>
          <c:min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7805743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365157480314961E-2"/>
          <c:y val="0.88435567996455688"/>
          <c:w val="0.92968175853018353"/>
          <c:h val="9.69745789448953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>
                <a:latin typeface="Calibri Light" panose="020F0302020204030204" pitchFamily="34" charset="0"/>
                <a:cs typeface="Calibri Light" panose="020F0302020204030204" pitchFamily="34" charset="0"/>
              </a:rPr>
              <a:t>γ</a:t>
            </a:r>
            <a:r>
              <a:rPr lang="pl-PL">
                <a:latin typeface="Calibri Light" panose="020F0302020204030204" pitchFamily="34" charset="0"/>
                <a:cs typeface="Calibri Light" panose="020F0302020204030204" pitchFamily="34" charset="0"/>
              </a:rPr>
              <a:t>(V)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5203958880139984"/>
          <c:y val="0.17171296296296296"/>
          <c:w val="0.78616754155730528"/>
          <c:h val="0.65604148439778365"/>
        </c:manualLayout>
      </c:layout>
      <c:scatterChart>
        <c:scatterStyle val="smoothMarker"/>
        <c:varyColors val="0"/>
        <c:ser>
          <c:idx val="0"/>
          <c:order val="0"/>
          <c:tx>
            <c:v>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'h=4km'!$G$3:$G$17</c:f>
              <c:numCache>
                <c:formatCode>0.0</c:formatCode>
                <c:ptCount val="15"/>
                <c:pt idx="0">
                  <c:v>43.00066152062773</c:v>
                </c:pt>
                <c:pt idx="1">
                  <c:v>45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'h=4km'!$M$3:$M$17</c:f>
              <c:numCache>
                <c:formatCode>0.00</c:formatCode>
                <c:ptCount val="15"/>
                <c:pt idx="0">
                  <c:v>3.3955081169054093</c:v>
                </c:pt>
                <c:pt idx="1">
                  <c:v>3.5716650722539751</c:v>
                </c:pt>
                <c:pt idx="2">
                  <c:v>3.8252915773319751</c:v>
                </c:pt>
                <c:pt idx="3">
                  <c:v>3.6986399641599248</c:v>
                </c:pt>
                <c:pt idx="4">
                  <c:v>3.2703493136080914</c:v>
                </c:pt>
                <c:pt idx="5">
                  <c:v>2.7339874190878701</c:v>
                </c:pt>
                <c:pt idx="6">
                  <c:v>2.0933947944515308</c:v>
                </c:pt>
                <c:pt idx="7">
                  <c:v>1.2678277046193025</c:v>
                </c:pt>
                <c:pt idx="8">
                  <c:v>0.48269485291158104</c:v>
                </c:pt>
                <c:pt idx="9">
                  <c:v>-0.34934947596558885</c:v>
                </c:pt>
                <c:pt idx="10">
                  <c:v>-1.3481789554156642</c:v>
                </c:pt>
                <c:pt idx="11">
                  <c:v>-2.2583406843186027</c:v>
                </c:pt>
                <c:pt idx="12">
                  <c:v>-3.1985310772221016</c:v>
                </c:pt>
                <c:pt idx="13">
                  <c:v>-4.1662413913920417</c:v>
                </c:pt>
                <c:pt idx="14">
                  <c:v>-5.3036399498526361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2C-48B3-B2A2-D50A913F03CD}"/>
            </c:ext>
          </c:extLst>
        </c:ser>
        <c:ser>
          <c:idx val="1"/>
          <c:order val="1"/>
          <c:tx>
            <c:v>metoda mocy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'h=4km'!$H$22:$H$36</c:f>
              <c:numCache>
                <c:formatCode>0.00</c:formatCode>
                <c:ptCount val="15"/>
                <c:pt idx="0">
                  <c:v>43.00066152062773</c:v>
                </c:pt>
                <c:pt idx="1">
                  <c:v>43.80067935054204</c:v>
                </c:pt>
                <c:pt idx="2">
                  <c:v>45.218921219758926</c:v>
                </c:pt>
                <c:pt idx="3">
                  <c:v>46.750558761439585</c:v>
                </c:pt>
                <c:pt idx="4">
                  <c:v>48.677176963484172</c:v>
                </c:pt>
                <c:pt idx="5">
                  <c:v>50.582034536882823</c:v>
                </c:pt>
                <c:pt idx="6">
                  <c:v>52.827135394210416</c:v>
                </c:pt>
                <c:pt idx="7">
                  <c:v>55.770822631939353</c:v>
                </c:pt>
                <c:pt idx="8">
                  <c:v>58.926286966925112</c:v>
                </c:pt>
                <c:pt idx="9">
                  <c:v>62.523279531432344</c:v>
                </c:pt>
                <c:pt idx="10">
                  <c:v>72.780126450199489</c:v>
                </c:pt>
                <c:pt idx="11">
                  <c:v>79.994197409982817</c:v>
                </c:pt>
                <c:pt idx="12">
                  <c:v>90.132617665958122</c:v>
                </c:pt>
                <c:pt idx="13">
                  <c:v>104.49954463313341</c:v>
                </c:pt>
                <c:pt idx="14">
                  <c:v>127.29532871753742</c:v>
                </c:pt>
              </c:numCache>
            </c:numRef>
          </c:xVal>
          <c:yVal>
            <c:numRef>
              <c:f>'h=4km'!$O$22:$O$36</c:f>
              <c:numCache>
                <c:formatCode>0.00</c:formatCode>
                <c:ptCount val="15"/>
                <c:pt idx="0">
                  <c:v>3.2204738997957039</c:v>
                </c:pt>
                <c:pt idx="1">
                  <c:v>3.3093296881557173</c:v>
                </c:pt>
                <c:pt idx="2">
                  <c:v>3.4427381943867479</c:v>
                </c:pt>
                <c:pt idx="3">
                  <c:v>3.5676668713660744</c:v>
                </c:pt>
                <c:pt idx="4">
                  <c:v>3.6473548823590702</c:v>
                </c:pt>
                <c:pt idx="5">
                  <c:v>3.6947310903012034</c:v>
                </c:pt>
                <c:pt idx="6">
                  <c:v>3.7115460335166985</c:v>
                </c:pt>
                <c:pt idx="7">
                  <c:v>3.6489344771423848</c:v>
                </c:pt>
                <c:pt idx="8">
                  <c:v>3.5994070466027073</c:v>
                </c:pt>
                <c:pt idx="9">
                  <c:v>3.4832839041534216</c:v>
                </c:pt>
                <c:pt idx="10">
                  <c:v>2.8063644635485847</c:v>
                </c:pt>
                <c:pt idx="11">
                  <c:v>2.1603454486491263</c:v>
                </c:pt>
                <c:pt idx="12">
                  <c:v>1.0834836521815148</c:v>
                </c:pt>
                <c:pt idx="13">
                  <c:v>-0.59598754944570509</c:v>
                </c:pt>
                <c:pt idx="14">
                  <c:v>-3.6144943530967866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42C-48B3-B2A2-D50A913F0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32463"/>
        <c:axId val="39114431"/>
      </c:scatterChart>
      <c:valAx>
        <c:axId val="37832463"/>
        <c:scaling>
          <c:orientation val="minMax"/>
          <c:max val="90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9114431"/>
        <c:crosses val="autoZero"/>
        <c:crossBetween val="midCat"/>
        <c:majorUnit val="5"/>
      </c:valAx>
      <c:valAx>
        <c:axId val="39114431"/>
        <c:scaling>
          <c:orientation val="minMax"/>
          <c:min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γ</a:t>
                </a:r>
                <a:r>
                  <a:rPr lang="pl-PL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 [°]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7832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3.1429352580927383E-2"/>
          <c:y val="0.86652704870224551"/>
          <c:w val="0.91579286964129469"/>
          <c:h val="0.10532516768737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-0.32806386701662293"/>
                  <c:y val="-0.114162656751239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'[1]projekt 5'!$K$61:$K$68</c:f>
              <c:numCache>
                <c:formatCode>General</c:formatCode>
                <c:ptCount val="8"/>
                <c:pt idx="0">
                  <c:v>0</c:v>
                </c:pt>
                <c:pt idx="1">
                  <c:v>0.25299145299145298</c:v>
                </c:pt>
                <c:pt idx="2">
                  <c:v>0.50598290598290596</c:v>
                </c:pt>
                <c:pt idx="3">
                  <c:v>0.75897435897435905</c:v>
                </c:pt>
                <c:pt idx="4">
                  <c:v>1.0119658119658119</c:v>
                </c:pt>
                <c:pt idx="5">
                  <c:v>1.2649572649572651</c:v>
                </c:pt>
                <c:pt idx="6">
                  <c:v>1.5179487179487181</c:v>
                </c:pt>
                <c:pt idx="7">
                  <c:v>1.7709401709401711</c:v>
                </c:pt>
              </c:numCache>
            </c:numRef>
          </c:xVal>
          <c:yVal>
            <c:numRef>
              <c:f>'[1]projekt 5'!$M$61:$M$68</c:f>
              <c:numCache>
                <c:formatCode>General</c:formatCode>
                <c:ptCount val="8"/>
                <c:pt idx="0">
                  <c:v>0</c:v>
                </c:pt>
                <c:pt idx="1">
                  <c:v>0.35499999999999998</c:v>
                </c:pt>
                <c:pt idx="2">
                  <c:v>0.61</c:v>
                </c:pt>
                <c:pt idx="3">
                  <c:v>0.77400000000000002</c:v>
                </c:pt>
                <c:pt idx="4">
                  <c:v>0.82499999999999996</c:v>
                </c:pt>
                <c:pt idx="5">
                  <c:v>0.85199999999999998</c:v>
                </c:pt>
                <c:pt idx="6">
                  <c:v>0.82099999999999995</c:v>
                </c:pt>
                <c:pt idx="7">
                  <c:v>0.79200000000000004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7D-44A4-B44D-699B6F38C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730511"/>
        <c:axId val="966574239"/>
      </c:scatterChart>
      <c:valAx>
        <c:axId val="88730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66574239"/>
        <c:crosses val="autoZero"/>
        <c:crossBetween val="midCat"/>
      </c:valAx>
      <c:valAx>
        <c:axId val="96657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8730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α</a:t>
            </a:r>
            <a:r>
              <a:rPr lang="pl-PL"/>
              <a:t>(V), </a:t>
            </a:r>
            <a:r>
              <a:rPr lang="el-GR"/>
              <a:t>γ</a:t>
            </a:r>
            <a:r>
              <a:rPr lang="pl-PL"/>
              <a:t>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α 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'h=5km'!$G$3:$G$17</c:f>
              <c:numCache>
                <c:formatCode>0.0</c:formatCode>
                <c:ptCount val="15"/>
                <c:pt idx="0">
                  <c:v>45.362494420478008</c:v>
                </c:pt>
                <c:pt idx="1">
                  <c:v>50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'h=5km'!$L$3:$L$17</c:f>
              <c:numCache>
                <c:formatCode>0.00</c:formatCode>
                <c:ptCount val="15"/>
                <c:pt idx="0">
                  <c:v>11.851253066075381</c:v>
                </c:pt>
                <c:pt idx="1">
                  <c:v>9.3121541462445538</c:v>
                </c:pt>
                <c:pt idx="2">
                  <c:v>8.4122125985145662</c:v>
                </c:pt>
                <c:pt idx="3">
                  <c:v>5.9277482219725908</c:v>
                </c:pt>
                <c:pt idx="4">
                  <c:v>3.9631801036274901</c:v>
                </c:pt>
                <c:pt idx="5">
                  <c:v>2.7300488974199095</c:v>
                </c:pt>
                <c:pt idx="6">
                  <c:v>1.7972380836036854</c:v>
                </c:pt>
                <c:pt idx="7">
                  <c:v>0.98504355466834292</c:v>
                </c:pt>
                <c:pt idx="8">
                  <c:v>0.43228829087569892</c:v>
                </c:pt>
                <c:pt idx="9">
                  <c:v>-1.3034421837478794E-2</c:v>
                </c:pt>
                <c:pt idx="10">
                  <c:v>-0.42362223483995276</c:v>
                </c:pt>
                <c:pt idx="11">
                  <c:v>-0.71734209136393035</c:v>
                </c:pt>
                <c:pt idx="12">
                  <c:v>-0.96370313871356339</c:v>
                </c:pt>
                <c:pt idx="13">
                  <c:v>-1.1724051463131897</c:v>
                </c:pt>
                <c:pt idx="14">
                  <c:v>-1.3741431434161246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0F-4A96-956B-E0EF88C0C81F}"/>
            </c:ext>
          </c:extLst>
        </c:ser>
        <c:ser>
          <c:idx val="1"/>
          <c:order val="1"/>
          <c:tx>
            <c:v>γ metoda ciągu, m=const.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'h=5km'!$G$3:$G$17</c:f>
              <c:numCache>
                <c:formatCode>0.0</c:formatCode>
                <c:ptCount val="15"/>
                <c:pt idx="0">
                  <c:v>45.362494420478008</c:v>
                </c:pt>
                <c:pt idx="1">
                  <c:v>50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'h=5km'!$M$3:$M$17</c:f>
              <c:numCache>
                <c:formatCode>0.00</c:formatCode>
                <c:ptCount val="15"/>
                <c:pt idx="0">
                  <c:v>2.1556925431565483</c:v>
                </c:pt>
                <c:pt idx="1">
                  <c:v>2.5046689794699857</c:v>
                </c:pt>
                <c:pt idx="2">
                  <c:v>2.5859350191743031</c:v>
                </c:pt>
                <c:pt idx="3">
                  <c:v>2.6342136596798955</c:v>
                </c:pt>
                <c:pt idx="4">
                  <c:v>2.3767354872946713</c:v>
                </c:pt>
                <c:pt idx="5">
                  <c:v>1.9742836875456553</c:v>
                </c:pt>
                <c:pt idx="6">
                  <c:v>1.458546346081748</c:v>
                </c:pt>
                <c:pt idx="7">
                  <c:v>0.76865417679971082</c:v>
                </c:pt>
                <c:pt idx="8">
                  <c:v>9.8421045738329327E-2</c:v>
                </c:pt>
                <c:pt idx="9">
                  <c:v>-0.62082039128495536</c:v>
                </c:pt>
                <c:pt idx="10">
                  <c:v>-1.492054003371873</c:v>
                </c:pt>
                <c:pt idx="11">
                  <c:v>-2.290925152272266</c:v>
                </c:pt>
                <c:pt idx="12">
                  <c:v>-3.1195879854109241</c:v>
                </c:pt>
                <c:pt idx="13">
                  <c:v>-3.9751040367667545</c:v>
                </c:pt>
                <c:pt idx="14">
                  <c:v>-4.9830069853283616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0F-4A96-956B-E0EF88C0C81F}"/>
            </c:ext>
          </c:extLst>
        </c:ser>
        <c:ser>
          <c:idx val="2"/>
          <c:order val="2"/>
          <c:tx>
            <c:v>α metoda mocy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'h=5km'!$H$22:$H$37</c:f>
              <c:numCache>
                <c:formatCode>0.00</c:formatCode>
                <c:ptCount val="16"/>
                <c:pt idx="0">
                  <c:v>45.362494420478008</c:v>
                </c:pt>
                <c:pt idx="1">
                  <c:v>46.206453630927868</c:v>
                </c:pt>
                <c:pt idx="2">
                  <c:v>47.70259314609271</c:v>
                </c:pt>
                <c:pt idx="3">
                  <c:v>49.31835664790195</c:v>
                </c:pt>
                <c:pt idx="4">
                  <c:v>51.350795320937586</c:v>
                </c:pt>
                <c:pt idx="5">
                  <c:v>53.360278151885439</c:v>
                </c:pt>
                <c:pt idx="6">
                  <c:v>55.728692299771943</c:v>
                </c:pt>
                <c:pt idx="7">
                  <c:v>58.834063035360614</c:v>
                </c:pt>
                <c:pt idx="8">
                  <c:v>62.16284283148407</c:v>
                </c:pt>
                <c:pt idx="9">
                  <c:v>65.957402016572118</c:v>
                </c:pt>
                <c:pt idx="10">
                  <c:v>76.777611396399351</c:v>
                </c:pt>
                <c:pt idx="11">
                  <c:v>84.387918821672784</c:v>
                </c:pt>
                <c:pt idx="12">
                  <c:v>95.083196894860606</c:v>
                </c:pt>
                <c:pt idx="13">
                  <c:v>110.23923453105532</c:v>
                </c:pt>
                <c:pt idx="14">
                  <c:v>134.28708848891003</c:v>
                </c:pt>
              </c:numCache>
            </c:numRef>
          </c:xVal>
          <c:yVal>
            <c:numRef>
              <c:f>'h=5km'!$P$22:$P$37</c:f>
              <c:numCache>
                <c:formatCode>0.00</c:formatCode>
                <c:ptCount val="16"/>
                <c:pt idx="0">
                  <c:v>15.276999999999999</c:v>
                </c:pt>
                <c:pt idx="1">
                  <c:v>12.122999999999999</c:v>
                </c:pt>
                <c:pt idx="2">
                  <c:v>11.015000000000001</c:v>
                </c:pt>
                <c:pt idx="3">
                  <c:v>9.5779999999999994</c:v>
                </c:pt>
                <c:pt idx="4">
                  <c:v>8.4719999999999995</c:v>
                </c:pt>
                <c:pt idx="5">
                  <c:v>7.694</c:v>
                </c:pt>
                <c:pt idx="6">
                  <c:v>7.048</c:v>
                </c:pt>
                <c:pt idx="7">
                  <c:v>6.0739999999999998</c:v>
                </c:pt>
                <c:pt idx="8">
                  <c:v>5.0990000000000002</c:v>
                </c:pt>
                <c:pt idx="9">
                  <c:v>3.86</c:v>
                </c:pt>
                <c:pt idx="10">
                  <c:v>2.0419999999999998</c:v>
                </c:pt>
                <c:pt idx="11">
                  <c:v>1.198</c:v>
                </c:pt>
                <c:pt idx="12">
                  <c:v>0.42</c:v>
                </c:pt>
                <c:pt idx="13">
                  <c:v>-0.29199999999999998</c:v>
                </c:pt>
                <c:pt idx="14">
                  <c:v>-1.071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00F-4A96-956B-E0EF88C0C81F}"/>
            </c:ext>
          </c:extLst>
        </c:ser>
        <c:ser>
          <c:idx val="3"/>
          <c:order val="3"/>
          <c:tx>
            <c:v>γ metoda mocy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'h=5km'!$H$22:$H$36</c:f>
              <c:numCache>
                <c:formatCode>0.00</c:formatCode>
                <c:ptCount val="15"/>
                <c:pt idx="0">
                  <c:v>45.362494420478008</c:v>
                </c:pt>
                <c:pt idx="1">
                  <c:v>46.206453630927868</c:v>
                </c:pt>
                <c:pt idx="2">
                  <c:v>47.70259314609271</c:v>
                </c:pt>
                <c:pt idx="3">
                  <c:v>49.31835664790195</c:v>
                </c:pt>
                <c:pt idx="4">
                  <c:v>51.350795320937586</c:v>
                </c:pt>
                <c:pt idx="5">
                  <c:v>53.360278151885439</c:v>
                </c:pt>
                <c:pt idx="6">
                  <c:v>55.728692299771943</c:v>
                </c:pt>
                <c:pt idx="7">
                  <c:v>58.834063035360614</c:v>
                </c:pt>
                <c:pt idx="8">
                  <c:v>62.16284283148407</c:v>
                </c:pt>
                <c:pt idx="9">
                  <c:v>65.957402016572118</c:v>
                </c:pt>
                <c:pt idx="10">
                  <c:v>76.777611396399351</c:v>
                </c:pt>
                <c:pt idx="11">
                  <c:v>84.387918821672784</c:v>
                </c:pt>
                <c:pt idx="12">
                  <c:v>95.083196894860606</c:v>
                </c:pt>
                <c:pt idx="13">
                  <c:v>110.23923453105532</c:v>
                </c:pt>
                <c:pt idx="14">
                  <c:v>134.28708848891003</c:v>
                </c:pt>
              </c:numCache>
            </c:numRef>
          </c:xVal>
          <c:yVal>
            <c:numRef>
              <c:f>'h=5km'!$O$22:$O$37</c:f>
              <c:numCache>
                <c:formatCode>0.00</c:formatCode>
                <c:ptCount val="16"/>
                <c:pt idx="0">
                  <c:v>2.008741684507501</c:v>
                </c:pt>
                <c:pt idx="1">
                  <c:v>2.1017775977472759</c:v>
                </c:pt>
                <c:pt idx="2">
                  <c:v>2.2426217773314288</c:v>
                </c:pt>
                <c:pt idx="3">
                  <c:v>2.3756043357204852</c:v>
                </c:pt>
                <c:pt idx="4">
                  <c:v>2.4655164442192148</c:v>
                </c:pt>
                <c:pt idx="5">
                  <c:v>2.523049389413647</c:v>
                </c:pt>
                <c:pt idx="6">
                  <c:v>2.5518966601342874</c:v>
                </c:pt>
                <c:pt idx="7">
                  <c:v>2.5051833426550152</c:v>
                </c:pt>
                <c:pt idx="8">
                  <c:v>2.4727136536112662</c:v>
                </c:pt>
                <c:pt idx="9">
                  <c:v>2.3761390325830818</c:v>
                </c:pt>
                <c:pt idx="10">
                  <c:v>1.7554664292093718</c:v>
                </c:pt>
                <c:pt idx="11">
                  <c:v>1.1492289662106281</c:v>
                </c:pt>
                <c:pt idx="12">
                  <c:v>0.12840341217401002</c:v>
                </c:pt>
                <c:pt idx="13">
                  <c:v>-1.4715950390365511</c:v>
                </c:pt>
                <c:pt idx="14">
                  <c:v>-4.3639086597843955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00F-4A96-956B-E0EF88C0C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809103"/>
        <c:axId val="1803560847"/>
      </c:scatterChart>
      <c:valAx>
        <c:axId val="1857809103"/>
        <c:scaling>
          <c:orientation val="minMax"/>
          <c:max val="140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03560847"/>
        <c:crosses val="autoZero"/>
        <c:crossBetween val="midCat"/>
        <c:majorUnit val="10"/>
      </c:valAx>
      <c:valAx>
        <c:axId val="1803560847"/>
        <c:scaling>
          <c:orientation val="minMax"/>
          <c:max val="6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α</a:t>
                </a:r>
                <a:r>
                  <a:rPr lang="pl-PL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, </a:t>
                </a:r>
                <a:r>
                  <a:rPr lang="el-GR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γ</a:t>
                </a:r>
                <a:r>
                  <a:rPr lang="pl-PL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 [°]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7809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647062554680665"/>
          <c:y val="0.15809889173060529"/>
          <c:w val="0.79494531933508306"/>
          <c:h val="0.60658550993146321"/>
        </c:manualLayout>
      </c:layout>
      <c:scatterChart>
        <c:scatterStyle val="smoothMarker"/>
        <c:varyColors val="0"/>
        <c:ser>
          <c:idx val="0"/>
          <c:order val="0"/>
          <c:tx>
            <c:v>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'h=5km'!$G$3:$G$17</c:f>
              <c:numCache>
                <c:formatCode>0.0</c:formatCode>
                <c:ptCount val="15"/>
                <c:pt idx="0">
                  <c:v>45.362494420478008</c:v>
                </c:pt>
                <c:pt idx="1">
                  <c:v>50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'h=5km'!$N$3:$N$17</c:f>
              <c:numCache>
                <c:formatCode>0.00</c:formatCode>
                <c:ptCount val="15"/>
                <c:pt idx="0">
                  <c:v>1.7063127985974098</c:v>
                </c:pt>
                <c:pt idx="1">
                  <c:v>2.1850399362672865</c:v>
                </c:pt>
                <c:pt idx="2">
                  <c:v>2.3461234807419946</c:v>
                </c:pt>
                <c:pt idx="3">
                  <c:v>2.7116108717985514</c:v>
                </c:pt>
                <c:pt idx="4">
                  <c:v>2.7784875954278729</c:v>
                </c:pt>
                <c:pt idx="5">
                  <c:v>2.5493689899198047</c:v>
                </c:pt>
                <c:pt idx="6">
                  <c:v>2.0617486225537891</c:v>
                </c:pt>
                <c:pt idx="7">
                  <c:v>1.1939477967130097</c:v>
                </c:pt>
                <c:pt idx="8">
                  <c:v>0.16490596383433528</c:v>
                </c:pt>
                <c:pt idx="9">
                  <c:v>-1.1160202307890776</c:v>
                </c:pt>
                <c:pt idx="10">
                  <c:v>-2.8902526071967083</c:v>
                </c:pt>
                <c:pt idx="11">
                  <c:v>-4.716876971218344</c:v>
                </c:pt>
                <c:pt idx="12">
                  <c:v>-6.802523047682369</c:v>
                </c:pt>
                <c:pt idx="13">
                  <c:v>-9.1506372017469015</c:v>
                </c:pt>
                <c:pt idx="14">
                  <c:v>-12.16043968367234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9A-47E6-9A23-0A2EA3F4BDCF}"/>
            </c:ext>
          </c:extLst>
        </c:ser>
        <c:ser>
          <c:idx val="1"/>
          <c:order val="1"/>
          <c:tx>
            <c:v>metoda mocy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'h=5km'!$H$22:$H$36</c:f>
              <c:numCache>
                <c:formatCode>0.00</c:formatCode>
                <c:ptCount val="15"/>
                <c:pt idx="0">
                  <c:v>45.362494420478008</c:v>
                </c:pt>
                <c:pt idx="1">
                  <c:v>46.206453630927868</c:v>
                </c:pt>
                <c:pt idx="2">
                  <c:v>47.70259314609271</c:v>
                </c:pt>
                <c:pt idx="3">
                  <c:v>49.31835664790195</c:v>
                </c:pt>
                <c:pt idx="4">
                  <c:v>51.350795320937586</c:v>
                </c:pt>
                <c:pt idx="5">
                  <c:v>53.360278151885439</c:v>
                </c:pt>
                <c:pt idx="6">
                  <c:v>55.728692299771943</c:v>
                </c:pt>
                <c:pt idx="7">
                  <c:v>58.834063035360614</c:v>
                </c:pt>
                <c:pt idx="8">
                  <c:v>62.16284283148407</c:v>
                </c:pt>
                <c:pt idx="9">
                  <c:v>65.957402016572118</c:v>
                </c:pt>
                <c:pt idx="10">
                  <c:v>76.777611396399351</c:v>
                </c:pt>
                <c:pt idx="11">
                  <c:v>84.387918821672784</c:v>
                </c:pt>
                <c:pt idx="12">
                  <c:v>95.083196894860606</c:v>
                </c:pt>
                <c:pt idx="13">
                  <c:v>110.23923453105532</c:v>
                </c:pt>
                <c:pt idx="14">
                  <c:v>134.28708848891003</c:v>
                </c:pt>
              </c:numCache>
            </c:numRef>
          </c:xVal>
          <c:yVal>
            <c:numRef>
              <c:f>'h=5km'!$N$22:$N$36</c:f>
              <c:numCache>
                <c:formatCode>0.00</c:formatCode>
                <c:ptCount val="15"/>
                <c:pt idx="0">
                  <c:v>1.5900449990575927</c:v>
                </c:pt>
                <c:pt idx="1">
                  <c:v>1.6946084157666674</c:v>
                </c:pt>
                <c:pt idx="2">
                  <c:v>1.8666568715465812</c:v>
                </c:pt>
                <c:pt idx="3">
                  <c:v>2.0442576586409795</c:v>
                </c:pt>
                <c:pt idx="4">
                  <c:v>2.209013686441351</c:v>
                </c:pt>
                <c:pt idx="5">
                  <c:v>2.348988208140883</c:v>
                </c:pt>
                <c:pt idx="6">
                  <c:v>2.4812796129133226</c:v>
                </c:pt>
                <c:pt idx="7">
                  <c:v>2.5716232150818872</c:v>
                </c:pt>
                <c:pt idx="8">
                  <c:v>2.6819287714822124</c:v>
                </c:pt>
                <c:pt idx="9">
                  <c:v>2.7345650619361339</c:v>
                </c:pt>
                <c:pt idx="10">
                  <c:v>2.3519958086617199</c:v>
                </c:pt>
                <c:pt idx="11">
                  <c:v>1.6925249785808696</c:v>
                </c:pt>
                <c:pt idx="12">
                  <c:v>0.21308719081579644</c:v>
                </c:pt>
                <c:pt idx="13">
                  <c:v>-2.8310929062495092</c:v>
                </c:pt>
                <c:pt idx="14">
                  <c:v>-10.218033040724196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9A-47E6-9A23-0A2EA3F4B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805743"/>
        <c:axId val="1798274655"/>
      </c:scatterChart>
      <c:valAx>
        <c:axId val="1857805743"/>
        <c:scaling>
          <c:orientation val="minMax"/>
          <c:max val="85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98274655"/>
        <c:crosses val="autoZero"/>
        <c:crossBetween val="midCat"/>
        <c:majorUnit val="5"/>
      </c:valAx>
      <c:valAx>
        <c:axId val="1798274655"/>
        <c:scaling>
          <c:orientation val="minMax"/>
          <c:max val="3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7805743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365157480314961E-2"/>
          <c:y val="0.88435567996455688"/>
          <c:w val="0.92968175853018353"/>
          <c:h val="9.69745789448953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>
                <a:latin typeface="Calibri Light" panose="020F0302020204030204" pitchFamily="34" charset="0"/>
                <a:cs typeface="Calibri Light" panose="020F0302020204030204" pitchFamily="34" charset="0"/>
              </a:rPr>
              <a:t>γ</a:t>
            </a:r>
            <a:r>
              <a:rPr lang="pl-PL">
                <a:latin typeface="Calibri Light" panose="020F0302020204030204" pitchFamily="34" charset="0"/>
                <a:cs typeface="Calibri Light" panose="020F0302020204030204" pitchFamily="34" charset="0"/>
              </a:rPr>
              <a:t>(V)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5203958880139984"/>
          <c:y val="0.17171296296296296"/>
          <c:w val="0.78616754155730528"/>
          <c:h val="0.65604148439778365"/>
        </c:manualLayout>
      </c:layout>
      <c:scatterChart>
        <c:scatterStyle val="smoothMarker"/>
        <c:varyColors val="0"/>
        <c:ser>
          <c:idx val="0"/>
          <c:order val="0"/>
          <c:tx>
            <c:v>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'h=5km'!$G$3:$G$17</c:f>
              <c:numCache>
                <c:formatCode>0.0</c:formatCode>
                <c:ptCount val="15"/>
                <c:pt idx="0">
                  <c:v>45.362494420478008</c:v>
                </c:pt>
                <c:pt idx="1">
                  <c:v>50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'h=5km'!$M$3:$M$17</c:f>
              <c:numCache>
                <c:formatCode>0.00</c:formatCode>
                <c:ptCount val="15"/>
                <c:pt idx="0">
                  <c:v>2.1556925431565483</c:v>
                </c:pt>
                <c:pt idx="1">
                  <c:v>2.5046689794699857</c:v>
                </c:pt>
                <c:pt idx="2">
                  <c:v>2.5859350191743031</c:v>
                </c:pt>
                <c:pt idx="3">
                  <c:v>2.6342136596798955</c:v>
                </c:pt>
                <c:pt idx="4">
                  <c:v>2.3767354872946713</c:v>
                </c:pt>
                <c:pt idx="5">
                  <c:v>1.9742836875456553</c:v>
                </c:pt>
                <c:pt idx="6">
                  <c:v>1.458546346081748</c:v>
                </c:pt>
                <c:pt idx="7">
                  <c:v>0.76865417679971082</c:v>
                </c:pt>
                <c:pt idx="8">
                  <c:v>9.8421045738329327E-2</c:v>
                </c:pt>
                <c:pt idx="9">
                  <c:v>-0.62082039128495536</c:v>
                </c:pt>
                <c:pt idx="10">
                  <c:v>-1.492054003371873</c:v>
                </c:pt>
                <c:pt idx="11">
                  <c:v>-2.290925152272266</c:v>
                </c:pt>
                <c:pt idx="12">
                  <c:v>-3.1195879854109241</c:v>
                </c:pt>
                <c:pt idx="13">
                  <c:v>-3.9751040367667545</c:v>
                </c:pt>
                <c:pt idx="14">
                  <c:v>-4.9830069853283616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49-4099-93A8-91ECADAD1A9E}"/>
            </c:ext>
          </c:extLst>
        </c:ser>
        <c:ser>
          <c:idx val="1"/>
          <c:order val="1"/>
          <c:tx>
            <c:v>metoda mocy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'h=5km'!$H$22:$H$36</c:f>
              <c:numCache>
                <c:formatCode>0.00</c:formatCode>
                <c:ptCount val="15"/>
                <c:pt idx="0">
                  <c:v>45.362494420478008</c:v>
                </c:pt>
                <c:pt idx="1">
                  <c:v>46.206453630927868</c:v>
                </c:pt>
                <c:pt idx="2">
                  <c:v>47.70259314609271</c:v>
                </c:pt>
                <c:pt idx="3">
                  <c:v>49.31835664790195</c:v>
                </c:pt>
                <c:pt idx="4">
                  <c:v>51.350795320937586</c:v>
                </c:pt>
                <c:pt idx="5">
                  <c:v>53.360278151885439</c:v>
                </c:pt>
                <c:pt idx="6">
                  <c:v>55.728692299771943</c:v>
                </c:pt>
                <c:pt idx="7">
                  <c:v>58.834063035360614</c:v>
                </c:pt>
                <c:pt idx="8">
                  <c:v>62.16284283148407</c:v>
                </c:pt>
                <c:pt idx="9">
                  <c:v>65.957402016572118</c:v>
                </c:pt>
                <c:pt idx="10">
                  <c:v>76.777611396399351</c:v>
                </c:pt>
                <c:pt idx="11">
                  <c:v>84.387918821672784</c:v>
                </c:pt>
                <c:pt idx="12">
                  <c:v>95.083196894860606</c:v>
                </c:pt>
                <c:pt idx="13">
                  <c:v>110.23923453105532</c:v>
                </c:pt>
                <c:pt idx="14">
                  <c:v>134.28708848891003</c:v>
                </c:pt>
              </c:numCache>
            </c:numRef>
          </c:xVal>
          <c:yVal>
            <c:numRef>
              <c:f>'h=5km'!$O$22:$O$36</c:f>
              <c:numCache>
                <c:formatCode>0.00</c:formatCode>
                <c:ptCount val="15"/>
                <c:pt idx="0">
                  <c:v>2.008741684507501</c:v>
                </c:pt>
                <c:pt idx="1">
                  <c:v>2.1017775977472759</c:v>
                </c:pt>
                <c:pt idx="2">
                  <c:v>2.2426217773314288</c:v>
                </c:pt>
                <c:pt idx="3">
                  <c:v>2.3756043357204852</c:v>
                </c:pt>
                <c:pt idx="4">
                  <c:v>2.4655164442192148</c:v>
                </c:pt>
                <c:pt idx="5">
                  <c:v>2.523049389413647</c:v>
                </c:pt>
                <c:pt idx="6">
                  <c:v>2.5518966601342874</c:v>
                </c:pt>
                <c:pt idx="7">
                  <c:v>2.5051833426550152</c:v>
                </c:pt>
                <c:pt idx="8">
                  <c:v>2.4727136536112662</c:v>
                </c:pt>
                <c:pt idx="9">
                  <c:v>2.3761390325830818</c:v>
                </c:pt>
                <c:pt idx="10">
                  <c:v>1.7554664292093718</c:v>
                </c:pt>
                <c:pt idx="11">
                  <c:v>1.1492289662106281</c:v>
                </c:pt>
                <c:pt idx="12">
                  <c:v>0.12840341217401002</c:v>
                </c:pt>
                <c:pt idx="13">
                  <c:v>-1.4715950390365511</c:v>
                </c:pt>
                <c:pt idx="14">
                  <c:v>-4.3639086597843955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49-4099-93A8-91ECADAD1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32463"/>
        <c:axId val="39114431"/>
      </c:scatterChart>
      <c:valAx>
        <c:axId val="37832463"/>
        <c:scaling>
          <c:orientation val="minMax"/>
          <c:max val="90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9114431"/>
        <c:crosses val="autoZero"/>
        <c:crossBetween val="midCat"/>
        <c:majorUnit val="5"/>
      </c:valAx>
      <c:valAx>
        <c:axId val="39114431"/>
        <c:scaling>
          <c:orientation val="minMax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γ</a:t>
                </a:r>
                <a:r>
                  <a:rPr lang="pl-PL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 [°]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7832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3.1429352580927383E-2"/>
          <c:y val="0.86652704870224551"/>
          <c:w val="0.91579286964129469"/>
          <c:h val="0.10532516768737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-0.32961942257217847"/>
                  <c:y val="-0.101166520851560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'[1]projekt 5'!$R$17:$R$24</c:f>
              <c:numCache>
                <c:formatCode>General</c:formatCode>
                <c:ptCount val="8"/>
                <c:pt idx="0">
                  <c:v>0</c:v>
                </c:pt>
                <c:pt idx="1">
                  <c:v>0.25299145299145298</c:v>
                </c:pt>
                <c:pt idx="2">
                  <c:v>0.50598290598290596</c:v>
                </c:pt>
                <c:pt idx="3">
                  <c:v>0.75897435897435905</c:v>
                </c:pt>
                <c:pt idx="4">
                  <c:v>1.0119658119658119</c:v>
                </c:pt>
                <c:pt idx="5">
                  <c:v>1.2649572649572651</c:v>
                </c:pt>
                <c:pt idx="6">
                  <c:v>1.5179487179487181</c:v>
                </c:pt>
                <c:pt idx="7">
                  <c:v>1.7709401709401711</c:v>
                </c:pt>
              </c:numCache>
            </c:numRef>
          </c:xVal>
          <c:yVal>
            <c:numRef>
              <c:f>'[1]projekt 5'!$T$17:$T$24</c:f>
              <c:numCache>
                <c:formatCode>General</c:formatCode>
                <c:ptCount val="8"/>
                <c:pt idx="0">
                  <c:v>0</c:v>
                </c:pt>
                <c:pt idx="1">
                  <c:v>0.35899999999999999</c:v>
                </c:pt>
                <c:pt idx="2">
                  <c:v>0.61599999999999999</c:v>
                </c:pt>
                <c:pt idx="3">
                  <c:v>0.78100000000000003</c:v>
                </c:pt>
                <c:pt idx="4">
                  <c:v>0.82699999999999996</c:v>
                </c:pt>
                <c:pt idx="5">
                  <c:v>0.85299999999999998</c:v>
                </c:pt>
                <c:pt idx="6">
                  <c:v>0.81200000000000006</c:v>
                </c:pt>
                <c:pt idx="7">
                  <c:v>0.78200000000000003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E7-4603-9272-CE0C416F6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761231"/>
        <c:axId val="1676950639"/>
      </c:scatterChart>
      <c:valAx>
        <c:axId val="88761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76950639"/>
        <c:crosses val="autoZero"/>
        <c:crossBetween val="midCat"/>
      </c:valAx>
      <c:valAx>
        <c:axId val="167695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8761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α</a:t>
            </a:r>
            <a:r>
              <a:rPr lang="pl-PL"/>
              <a:t>(V), </a:t>
            </a:r>
            <a:r>
              <a:rPr lang="el-GR"/>
              <a:t>γ</a:t>
            </a:r>
            <a:r>
              <a:rPr lang="pl-PL"/>
              <a:t>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α 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'h=6km'!$G$3:$G$17</c:f>
              <c:numCache>
                <c:formatCode>0.0</c:formatCode>
                <c:ptCount val="15"/>
                <c:pt idx="0">
                  <c:v>47.92005236771405</c:v>
                </c:pt>
                <c:pt idx="1">
                  <c:v>51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'h=6km'!$L$3:$L$17</c:f>
              <c:numCache>
                <c:formatCode>0.00</c:formatCode>
                <c:ptCount val="15"/>
                <c:pt idx="0">
                  <c:v>11.912558565521321</c:v>
                </c:pt>
                <c:pt idx="1">
                  <c:v>10.221705498523841</c:v>
                </c:pt>
                <c:pt idx="2">
                  <c:v>9.7335465184839496</c:v>
                </c:pt>
                <c:pt idx="3">
                  <c:v>6.9596370182389169</c:v>
                </c:pt>
                <c:pt idx="4">
                  <c:v>4.7659331194928178</c:v>
                </c:pt>
                <c:pt idx="5">
                  <c:v>3.389075391964429</c:v>
                </c:pt>
                <c:pt idx="6">
                  <c:v>2.3477105270882563</c:v>
                </c:pt>
                <c:pt idx="7">
                  <c:v>1.4412104628286548</c:v>
                </c:pt>
                <c:pt idx="8">
                  <c:v>0.82444609104664657</c:v>
                </c:pt>
                <c:pt idx="9">
                  <c:v>0.32769933997950168</c:v>
                </c:pt>
                <c:pt idx="10">
                  <c:v>-0.13014628410692475</c:v>
                </c:pt>
                <c:pt idx="11">
                  <c:v>-0.45755147013539499</c:v>
                </c:pt>
                <c:pt idx="12">
                  <c:v>-0.73206474296291291</c:v>
                </c:pt>
                <c:pt idx="13">
                  <c:v>-0.96452320854211615</c:v>
                </c:pt>
                <c:pt idx="14">
                  <c:v>-1.1891224351114233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84-4695-A538-2C0B96825B02}"/>
            </c:ext>
          </c:extLst>
        </c:ser>
        <c:ser>
          <c:idx val="1"/>
          <c:order val="1"/>
          <c:tx>
            <c:v>γ metoda ciągu, m=const.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'h=6km'!$G$3:$G$17</c:f>
              <c:numCache>
                <c:formatCode>0.0</c:formatCode>
                <c:ptCount val="15"/>
                <c:pt idx="0">
                  <c:v>47.92005236771405</c:v>
                </c:pt>
                <c:pt idx="1">
                  <c:v>51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'h=6km'!$M$3:$M$17</c:f>
              <c:numCache>
                <c:formatCode>0.00</c:formatCode>
                <c:ptCount val="15"/>
                <c:pt idx="0">
                  <c:v>1.0362153700521985</c:v>
                </c:pt>
                <c:pt idx="1">
                  <c:v>1.3004396695731559</c:v>
                </c:pt>
                <c:pt idx="2">
                  <c:v>1.3648167097353179</c:v>
                </c:pt>
                <c:pt idx="3">
                  <c:v>1.5891606329757579</c:v>
                </c:pt>
                <c:pt idx="4">
                  <c:v>1.5007115509508593</c:v>
                </c:pt>
                <c:pt idx="5">
                  <c:v>1.2290761584127374</c:v>
                </c:pt>
                <c:pt idx="6">
                  <c:v>0.83432330861856985</c:v>
                </c:pt>
                <c:pt idx="7">
                  <c:v>0.27524099526675422</c:v>
                </c:pt>
                <c:pt idx="8">
                  <c:v>-0.28445592856469232</c:v>
                </c:pt>
                <c:pt idx="9">
                  <c:v>-0.89518867845215133</c:v>
                </c:pt>
                <c:pt idx="10">
                  <c:v>-1.6435152059529161</c:v>
                </c:pt>
                <c:pt idx="11">
                  <c:v>-2.3349280831312824</c:v>
                </c:pt>
                <c:pt idx="12">
                  <c:v>-3.0555970058866935</c:v>
                </c:pt>
                <c:pt idx="13">
                  <c:v>-3.8021310066409542</c:v>
                </c:pt>
                <c:pt idx="14">
                  <c:v>-4.6837978715374238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884-4695-A538-2C0B96825B02}"/>
            </c:ext>
          </c:extLst>
        </c:ser>
        <c:ser>
          <c:idx val="2"/>
          <c:order val="2"/>
          <c:tx>
            <c:v>α metoda mocy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'h=6km'!$H$22:$H$37</c:f>
              <c:numCache>
                <c:formatCode>0.00</c:formatCode>
                <c:ptCount val="16"/>
                <c:pt idx="0">
                  <c:v>47.92005236771405</c:v>
                </c:pt>
                <c:pt idx="1">
                  <c:v>48.811594380066772</c:v>
                </c:pt>
                <c:pt idx="2">
                  <c:v>50.392086917614265</c:v>
                </c:pt>
                <c:pt idx="3">
                  <c:v>52.098947896264214</c:v>
                </c:pt>
                <c:pt idx="4">
                  <c:v>54.245976380704612</c:v>
                </c:pt>
                <c:pt idx="5">
                  <c:v>56.368754762300249</c:v>
                </c:pt>
                <c:pt idx="6">
                  <c:v>58.870701170783491</c:v>
                </c:pt>
                <c:pt idx="7">
                  <c:v>62.151154112617277</c:v>
                </c:pt>
                <c:pt idx="8">
                  <c:v>65.667612018838909</c:v>
                </c:pt>
                <c:pt idx="9">
                  <c:v>69.676110166588984</c:v>
                </c:pt>
                <c:pt idx="10">
                  <c:v>81.106367843884669</c:v>
                </c:pt>
                <c:pt idx="11">
                  <c:v>89.145747842989749</c:v>
                </c:pt>
                <c:pt idx="12">
                  <c:v>100.44403053008682</c:v>
                </c:pt>
                <c:pt idx="13">
                  <c:v>116.45457242139939</c:v>
                </c:pt>
                <c:pt idx="14">
                  <c:v>141.85825525924881</c:v>
                </c:pt>
              </c:numCache>
            </c:numRef>
          </c:xVal>
          <c:yVal>
            <c:numRef>
              <c:f>'h=6km'!$P$22:$P$37</c:f>
              <c:numCache>
                <c:formatCode>0.00</c:formatCode>
                <c:ptCount val="16"/>
                <c:pt idx="0">
                  <c:v>15.276999999999999</c:v>
                </c:pt>
                <c:pt idx="1">
                  <c:v>12.122999999999999</c:v>
                </c:pt>
                <c:pt idx="2">
                  <c:v>11.015000000000001</c:v>
                </c:pt>
                <c:pt idx="3">
                  <c:v>9.5779999999999994</c:v>
                </c:pt>
                <c:pt idx="4">
                  <c:v>8.4719999999999995</c:v>
                </c:pt>
                <c:pt idx="5">
                  <c:v>7.694</c:v>
                </c:pt>
                <c:pt idx="6">
                  <c:v>7.048</c:v>
                </c:pt>
                <c:pt idx="7">
                  <c:v>6.0739999999999998</c:v>
                </c:pt>
                <c:pt idx="8">
                  <c:v>5.0990000000000002</c:v>
                </c:pt>
                <c:pt idx="9">
                  <c:v>3.86</c:v>
                </c:pt>
                <c:pt idx="10">
                  <c:v>2.0419999999999998</c:v>
                </c:pt>
                <c:pt idx="11">
                  <c:v>1.198</c:v>
                </c:pt>
                <c:pt idx="12">
                  <c:v>0.42</c:v>
                </c:pt>
                <c:pt idx="13">
                  <c:v>-0.29199999999999998</c:v>
                </c:pt>
                <c:pt idx="14">
                  <c:v>-1.071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884-4695-A538-2C0B96825B02}"/>
            </c:ext>
          </c:extLst>
        </c:ser>
        <c:ser>
          <c:idx val="3"/>
          <c:order val="3"/>
          <c:tx>
            <c:v>γ metoda mocy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'h=6km'!$H$22:$H$36</c:f>
              <c:numCache>
                <c:formatCode>0.00</c:formatCode>
                <c:ptCount val="15"/>
                <c:pt idx="0">
                  <c:v>47.92005236771405</c:v>
                </c:pt>
                <c:pt idx="1">
                  <c:v>48.811594380066772</c:v>
                </c:pt>
                <c:pt idx="2">
                  <c:v>50.392086917614265</c:v>
                </c:pt>
                <c:pt idx="3">
                  <c:v>52.098947896264214</c:v>
                </c:pt>
                <c:pt idx="4">
                  <c:v>54.245976380704612</c:v>
                </c:pt>
                <c:pt idx="5">
                  <c:v>56.368754762300249</c:v>
                </c:pt>
                <c:pt idx="6">
                  <c:v>58.870701170783491</c:v>
                </c:pt>
                <c:pt idx="7">
                  <c:v>62.151154112617277</c:v>
                </c:pt>
                <c:pt idx="8">
                  <c:v>65.667612018838909</c:v>
                </c:pt>
                <c:pt idx="9">
                  <c:v>69.676110166588984</c:v>
                </c:pt>
                <c:pt idx="10">
                  <c:v>81.106367843884669</c:v>
                </c:pt>
                <c:pt idx="11">
                  <c:v>89.145747842989749</c:v>
                </c:pt>
                <c:pt idx="12">
                  <c:v>100.44403053008682</c:v>
                </c:pt>
                <c:pt idx="13">
                  <c:v>116.45457242139939</c:v>
                </c:pt>
                <c:pt idx="14">
                  <c:v>141.85825525924881</c:v>
                </c:pt>
              </c:numCache>
            </c:numRef>
          </c:xVal>
          <c:yVal>
            <c:numRef>
              <c:f>'h=6km'!$O$22:$O$37</c:f>
              <c:numCache>
                <c:formatCode>0.00</c:formatCode>
                <c:ptCount val="16"/>
                <c:pt idx="0">
                  <c:v>0.91077216069467448</c:v>
                </c:pt>
                <c:pt idx="1">
                  <c:v>1.0074490422532985</c:v>
                </c:pt>
                <c:pt idx="2">
                  <c:v>1.1547891167849704</c:v>
                </c:pt>
                <c:pt idx="3">
                  <c:v>1.2948410695237993</c:v>
                </c:pt>
                <c:pt idx="4">
                  <c:v>1.3937606611900448</c:v>
                </c:pt>
                <c:pt idx="5">
                  <c:v>1.4602972409599635</c:v>
                </c:pt>
                <c:pt idx="6">
                  <c:v>1.4998825200474319</c:v>
                </c:pt>
                <c:pt idx="7">
                  <c:v>1.4674689270672967</c:v>
                </c:pt>
                <c:pt idx="8">
                  <c:v>1.4505250317884131</c:v>
                </c:pt>
                <c:pt idx="9">
                  <c:v>1.3719467204099727</c:v>
                </c:pt>
                <c:pt idx="10">
                  <c:v>0.8042590220661926</c:v>
                </c:pt>
                <c:pt idx="11">
                  <c:v>0.23661819215754284</c:v>
                </c:pt>
                <c:pt idx="12">
                  <c:v>-0.72823674125396731</c:v>
                </c:pt>
                <c:pt idx="13">
                  <c:v>-2.2455658105506595</c:v>
                </c:pt>
                <c:pt idx="14">
                  <c:v>-4.9985806231732282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884-4695-A538-2C0B96825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809103"/>
        <c:axId val="1803560847"/>
      </c:scatterChart>
      <c:valAx>
        <c:axId val="1857809103"/>
        <c:scaling>
          <c:orientation val="minMax"/>
          <c:max val="140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03560847"/>
        <c:crosses val="autoZero"/>
        <c:crossBetween val="midCat"/>
        <c:majorUnit val="10"/>
      </c:valAx>
      <c:valAx>
        <c:axId val="1803560847"/>
        <c:scaling>
          <c:orientation val="minMax"/>
          <c:max val="4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α</a:t>
                </a:r>
                <a:r>
                  <a:rPr lang="pl-PL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, </a:t>
                </a:r>
                <a:r>
                  <a:rPr lang="el-GR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γ</a:t>
                </a:r>
                <a:r>
                  <a:rPr lang="pl-PL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 [°]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7809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647062554680665"/>
          <c:y val="0.15809889173060529"/>
          <c:w val="0.79494531933508306"/>
          <c:h val="0.60658550993146321"/>
        </c:manualLayout>
      </c:layout>
      <c:scatterChart>
        <c:scatterStyle val="smoothMarker"/>
        <c:varyColors val="0"/>
        <c:ser>
          <c:idx val="0"/>
          <c:order val="0"/>
          <c:tx>
            <c:v>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'h=6km'!$G$3:$G$17</c:f>
              <c:numCache>
                <c:formatCode>0.0</c:formatCode>
                <c:ptCount val="15"/>
                <c:pt idx="0">
                  <c:v>47.92005236771405</c:v>
                </c:pt>
                <c:pt idx="1">
                  <c:v>51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'h=6km'!$N$3:$N$17</c:f>
              <c:numCache>
                <c:formatCode>0.00</c:formatCode>
                <c:ptCount val="15"/>
                <c:pt idx="0">
                  <c:v>0.86660463251923536</c:v>
                </c:pt>
                <c:pt idx="1">
                  <c:v>1.1574452692112311</c:v>
                </c:pt>
                <c:pt idx="2">
                  <c:v>1.238551216890236</c:v>
                </c:pt>
                <c:pt idx="3">
                  <c:v>1.6362192311249206</c:v>
                </c:pt>
                <c:pt idx="4">
                  <c:v>1.7546873181252427</c:v>
                </c:pt>
                <c:pt idx="5">
                  <c:v>1.5872837618447613</c:v>
                </c:pt>
                <c:pt idx="6">
                  <c:v>1.1794551061626435</c:v>
                </c:pt>
                <c:pt idx="7">
                  <c:v>0.42754203833600424</c:v>
                </c:pt>
                <c:pt idx="8">
                  <c:v>-0.47660852497897299</c:v>
                </c:pt>
                <c:pt idx="9">
                  <c:v>-1.6092054840159591</c:v>
                </c:pt>
                <c:pt idx="10">
                  <c:v>-3.1835708096650794</c:v>
                </c:pt>
                <c:pt idx="11">
                  <c:v>-4.8074266702383417</c:v>
                </c:pt>
                <c:pt idx="12">
                  <c:v>-6.6631190533163736</c:v>
                </c:pt>
                <c:pt idx="13">
                  <c:v>-8.7530535399447675</c:v>
                </c:pt>
                <c:pt idx="14">
                  <c:v>-11.431934605222663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20-419D-A89B-EEBB43D934A9}"/>
            </c:ext>
          </c:extLst>
        </c:ser>
        <c:ser>
          <c:idx val="1"/>
          <c:order val="1"/>
          <c:tx>
            <c:v>metoda mocy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'h=6km'!$H$22:$H$36</c:f>
              <c:numCache>
                <c:formatCode>0.00</c:formatCode>
                <c:ptCount val="15"/>
                <c:pt idx="0">
                  <c:v>47.92005236771405</c:v>
                </c:pt>
                <c:pt idx="1">
                  <c:v>48.811594380066772</c:v>
                </c:pt>
                <c:pt idx="2">
                  <c:v>50.392086917614265</c:v>
                </c:pt>
                <c:pt idx="3">
                  <c:v>52.098947896264214</c:v>
                </c:pt>
                <c:pt idx="4">
                  <c:v>54.245976380704612</c:v>
                </c:pt>
                <c:pt idx="5">
                  <c:v>56.368754762300249</c:v>
                </c:pt>
                <c:pt idx="6">
                  <c:v>58.870701170783491</c:v>
                </c:pt>
                <c:pt idx="7">
                  <c:v>62.151154112617277</c:v>
                </c:pt>
                <c:pt idx="8">
                  <c:v>65.667612018838909</c:v>
                </c:pt>
                <c:pt idx="9">
                  <c:v>69.676110166588984</c:v>
                </c:pt>
                <c:pt idx="10">
                  <c:v>81.106367843884669</c:v>
                </c:pt>
                <c:pt idx="11">
                  <c:v>89.145747842989749</c:v>
                </c:pt>
                <c:pt idx="12">
                  <c:v>100.44403053008682</c:v>
                </c:pt>
                <c:pt idx="13">
                  <c:v>116.45457242139939</c:v>
                </c:pt>
                <c:pt idx="14">
                  <c:v>141.85825525924881</c:v>
                </c:pt>
              </c:numCache>
            </c:numRef>
          </c:xVal>
          <c:yVal>
            <c:numRef>
              <c:f>'h=6km'!$N$22:$N$36</c:f>
              <c:numCache>
                <c:formatCode>0.00</c:formatCode>
                <c:ptCount val="15"/>
                <c:pt idx="0">
                  <c:v>0.76170377662359556</c:v>
                </c:pt>
                <c:pt idx="1">
                  <c:v>0.85822482091205332</c:v>
                </c:pt>
                <c:pt idx="2">
                  <c:v>1.0155773134039954</c:v>
                </c:pt>
                <c:pt idx="3">
                  <c:v>1.1772964062692854</c:v>
                </c:pt>
                <c:pt idx="4">
                  <c:v>1.3194418901363134</c:v>
                </c:pt>
                <c:pt idx="5">
                  <c:v>1.4365146305492102</c:v>
                </c:pt>
                <c:pt idx="6">
                  <c:v>1.5409346335658338</c:v>
                </c:pt>
                <c:pt idx="7">
                  <c:v>1.5916515503975177</c:v>
                </c:pt>
                <c:pt idx="8">
                  <c:v>1.6622924278346352</c:v>
                </c:pt>
                <c:pt idx="9">
                  <c:v>1.6682341545317509</c:v>
                </c:pt>
                <c:pt idx="10">
                  <c:v>1.1384501010150296</c:v>
                </c:pt>
                <c:pt idx="11">
                  <c:v>0.36815007866653449</c:v>
                </c:pt>
                <c:pt idx="12">
                  <c:v>-1.2766221990044877</c:v>
                </c:pt>
                <c:pt idx="13">
                  <c:v>-4.5629794324881772</c:v>
                </c:pt>
                <c:pt idx="14">
                  <c:v>-12.360260744866896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20-419D-A89B-EEBB43D93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805743"/>
        <c:axId val="1798274655"/>
      </c:scatterChart>
      <c:valAx>
        <c:axId val="1857805743"/>
        <c:scaling>
          <c:orientation val="minMax"/>
          <c:max val="85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98274655"/>
        <c:crosses val="autoZero"/>
        <c:crossBetween val="midCat"/>
        <c:majorUnit val="5"/>
      </c:valAx>
      <c:valAx>
        <c:axId val="1798274655"/>
        <c:scaling>
          <c:orientation val="minMax"/>
          <c:max val="2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7805743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365157480314961E-2"/>
          <c:y val="0.88435567996455688"/>
          <c:w val="0.92968175853018353"/>
          <c:h val="9.69745789448953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>
                <a:latin typeface="Calibri Light" panose="020F0302020204030204" pitchFamily="34" charset="0"/>
                <a:cs typeface="Calibri Light" panose="020F0302020204030204" pitchFamily="34" charset="0"/>
              </a:rPr>
              <a:t>γ</a:t>
            </a:r>
            <a:r>
              <a:rPr lang="pl-PL">
                <a:latin typeface="Calibri Light" panose="020F0302020204030204" pitchFamily="34" charset="0"/>
                <a:cs typeface="Calibri Light" panose="020F0302020204030204" pitchFamily="34" charset="0"/>
              </a:rPr>
              <a:t>(V)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5203958880139984"/>
          <c:y val="0.17171296296296296"/>
          <c:w val="0.78616754155730528"/>
          <c:h val="0.65604148439778365"/>
        </c:manualLayout>
      </c:layout>
      <c:scatterChart>
        <c:scatterStyle val="smoothMarker"/>
        <c:varyColors val="0"/>
        <c:ser>
          <c:idx val="0"/>
          <c:order val="0"/>
          <c:tx>
            <c:v>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'h=6km'!$G$3:$G$17</c:f>
              <c:numCache>
                <c:formatCode>0.0</c:formatCode>
                <c:ptCount val="15"/>
                <c:pt idx="0">
                  <c:v>47.92005236771405</c:v>
                </c:pt>
                <c:pt idx="1">
                  <c:v>51</c:v>
                </c:pt>
                <c:pt idx="2">
                  <c:v>52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'h=6km'!$M$3:$M$17</c:f>
              <c:numCache>
                <c:formatCode>0.00</c:formatCode>
                <c:ptCount val="15"/>
                <c:pt idx="0">
                  <c:v>1.0362153700521985</c:v>
                </c:pt>
                <c:pt idx="1">
                  <c:v>1.3004396695731559</c:v>
                </c:pt>
                <c:pt idx="2">
                  <c:v>1.3648167097353179</c:v>
                </c:pt>
                <c:pt idx="3">
                  <c:v>1.5891606329757579</c:v>
                </c:pt>
                <c:pt idx="4">
                  <c:v>1.5007115509508593</c:v>
                </c:pt>
                <c:pt idx="5">
                  <c:v>1.2290761584127374</c:v>
                </c:pt>
                <c:pt idx="6">
                  <c:v>0.83432330861856985</c:v>
                </c:pt>
                <c:pt idx="7">
                  <c:v>0.27524099526675422</c:v>
                </c:pt>
                <c:pt idx="8">
                  <c:v>-0.28445592856469232</c:v>
                </c:pt>
                <c:pt idx="9">
                  <c:v>-0.89518867845215133</c:v>
                </c:pt>
                <c:pt idx="10">
                  <c:v>-1.6435152059529161</c:v>
                </c:pt>
                <c:pt idx="11">
                  <c:v>-2.3349280831312824</c:v>
                </c:pt>
                <c:pt idx="12">
                  <c:v>-3.0555970058866935</c:v>
                </c:pt>
                <c:pt idx="13">
                  <c:v>-3.8021310066409542</c:v>
                </c:pt>
                <c:pt idx="14">
                  <c:v>-4.6837978715374238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306-4567-B5A7-E6B0A58493AB}"/>
            </c:ext>
          </c:extLst>
        </c:ser>
        <c:ser>
          <c:idx val="1"/>
          <c:order val="1"/>
          <c:tx>
            <c:v>metoda mocy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'h=6km'!$H$22:$H$36</c:f>
              <c:numCache>
                <c:formatCode>0.00</c:formatCode>
                <c:ptCount val="15"/>
                <c:pt idx="0">
                  <c:v>47.92005236771405</c:v>
                </c:pt>
                <c:pt idx="1">
                  <c:v>48.811594380066772</c:v>
                </c:pt>
                <c:pt idx="2">
                  <c:v>50.392086917614265</c:v>
                </c:pt>
                <c:pt idx="3">
                  <c:v>52.098947896264214</c:v>
                </c:pt>
                <c:pt idx="4">
                  <c:v>54.245976380704612</c:v>
                </c:pt>
                <c:pt idx="5">
                  <c:v>56.368754762300249</c:v>
                </c:pt>
                <c:pt idx="6">
                  <c:v>58.870701170783491</c:v>
                </c:pt>
                <c:pt idx="7">
                  <c:v>62.151154112617277</c:v>
                </c:pt>
                <c:pt idx="8">
                  <c:v>65.667612018838909</c:v>
                </c:pt>
                <c:pt idx="9">
                  <c:v>69.676110166588984</c:v>
                </c:pt>
                <c:pt idx="10">
                  <c:v>81.106367843884669</c:v>
                </c:pt>
                <c:pt idx="11">
                  <c:v>89.145747842989749</c:v>
                </c:pt>
                <c:pt idx="12">
                  <c:v>100.44403053008682</c:v>
                </c:pt>
                <c:pt idx="13">
                  <c:v>116.45457242139939</c:v>
                </c:pt>
                <c:pt idx="14">
                  <c:v>141.85825525924881</c:v>
                </c:pt>
              </c:numCache>
            </c:numRef>
          </c:xVal>
          <c:yVal>
            <c:numRef>
              <c:f>'h=6km'!$O$22:$O$36</c:f>
              <c:numCache>
                <c:formatCode>0.00</c:formatCode>
                <c:ptCount val="15"/>
                <c:pt idx="0">
                  <c:v>0.91077216069467448</c:v>
                </c:pt>
                <c:pt idx="1">
                  <c:v>1.0074490422532985</c:v>
                </c:pt>
                <c:pt idx="2">
                  <c:v>1.1547891167849704</c:v>
                </c:pt>
                <c:pt idx="3">
                  <c:v>1.2948410695237993</c:v>
                </c:pt>
                <c:pt idx="4">
                  <c:v>1.3937606611900448</c:v>
                </c:pt>
                <c:pt idx="5">
                  <c:v>1.4602972409599635</c:v>
                </c:pt>
                <c:pt idx="6">
                  <c:v>1.4998825200474319</c:v>
                </c:pt>
                <c:pt idx="7">
                  <c:v>1.4674689270672967</c:v>
                </c:pt>
                <c:pt idx="8">
                  <c:v>1.4505250317884131</c:v>
                </c:pt>
                <c:pt idx="9">
                  <c:v>1.3719467204099727</c:v>
                </c:pt>
                <c:pt idx="10">
                  <c:v>0.8042590220661926</c:v>
                </c:pt>
                <c:pt idx="11">
                  <c:v>0.23661819215754284</c:v>
                </c:pt>
                <c:pt idx="12">
                  <c:v>-0.72823674125396731</c:v>
                </c:pt>
                <c:pt idx="13">
                  <c:v>-2.2455658105506595</c:v>
                </c:pt>
                <c:pt idx="14">
                  <c:v>-4.9985806231732282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306-4567-B5A7-E6B0A5849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32463"/>
        <c:axId val="39114431"/>
      </c:scatterChart>
      <c:valAx>
        <c:axId val="37832463"/>
        <c:scaling>
          <c:orientation val="minMax"/>
          <c:max val="90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9114431"/>
        <c:crosses val="autoZero"/>
        <c:crossBetween val="midCat"/>
        <c:majorUnit val="5"/>
      </c:valAx>
      <c:valAx>
        <c:axId val="39114431"/>
        <c:scaling>
          <c:orientation val="minMax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γ</a:t>
                </a:r>
                <a:r>
                  <a:rPr lang="pl-PL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 [°]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7832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3.1429352580927383E-2"/>
          <c:y val="0.86652704870224551"/>
          <c:w val="0.91579286964129469"/>
          <c:h val="0.10532516768737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-0.34195275590551183"/>
                  <c:y val="-0.140417395742198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'[1]projekt 5'!$R$28:$R$35</c:f>
              <c:numCache>
                <c:formatCode>General</c:formatCode>
                <c:ptCount val="8"/>
                <c:pt idx="0">
                  <c:v>0</c:v>
                </c:pt>
                <c:pt idx="1">
                  <c:v>0.25299145299145298</c:v>
                </c:pt>
                <c:pt idx="2">
                  <c:v>0.50598290598290596</c:v>
                </c:pt>
                <c:pt idx="3">
                  <c:v>0.75897435897435905</c:v>
                </c:pt>
                <c:pt idx="4">
                  <c:v>1.0119658119658119</c:v>
                </c:pt>
                <c:pt idx="5">
                  <c:v>1.2649572649572651</c:v>
                </c:pt>
                <c:pt idx="6">
                  <c:v>1.5179487179487181</c:v>
                </c:pt>
                <c:pt idx="7">
                  <c:v>1.7709401709401711</c:v>
                </c:pt>
              </c:numCache>
            </c:numRef>
          </c:xVal>
          <c:yVal>
            <c:numRef>
              <c:f>'[1]projekt 5'!$T$28:$T$35</c:f>
              <c:numCache>
                <c:formatCode>General</c:formatCode>
                <c:ptCount val="8"/>
                <c:pt idx="0">
                  <c:v>0</c:v>
                </c:pt>
                <c:pt idx="1">
                  <c:v>0.36399999999999999</c:v>
                </c:pt>
                <c:pt idx="2">
                  <c:v>0.625</c:v>
                </c:pt>
                <c:pt idx="3">
                  <c:v>0.78800000000000003</c:v>
                </c:pt>
                <c:pt idx="4">
                  <c:v>0.82899999999999996</c:v>
                </c:pt>
                <c:pt idx="5">
                  <c:v>0.85399999999999998</c:v>
                </c:pt>
                <c:pt idx="6">
                  <c:v>0.80100000000000005</c:v>
                </c:pt>
                <c:pt idx="7">
                  <c:v>0.77500000000000002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7A-486D-B521-7F8F646A8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477439"/>
        <c:axId val="1671182959"/>
      </c:scatterChart>
      <c:valAx>
        <c:axId val="2127477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71182959"/>
        <c:crosses val="autoZero"/>
        <c:crossBetween val="midCat"/>
      </c:valAx>
      <c:valAx>
        <c:axId val="167118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27477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α</a:t>
            </a:r>
            <a:r>
              <a:rPr lang="pl-PL"/>
              <a:t>(V), </a:t>
            </a:r>
            <a:r>
              <a:rPr lang="el-GR"/>
              <a:t>γ</a:t>
            </a:r>
            <a:r>
              <a:rPr lang="pl-PL"/>
              <a:t>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α 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'h=7m'!$G$3:$G$17</c:f>
              <c:numCache>
                <c:formatCode>0.0</c:formatCode>
                <c:ptCount val="15"/>
                <c:pt idx="0">
                  <c:v>50.695321417043772</c:v>
                </c:pt>
                <c:pt idx="1">
                  <c:v>55</c:v>
                </c:pt>
                <c:pt idx="2">
                  <c:v>57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'h=7m'!$L$3:$L$17</c:f>
              <c:numCache>
                <c:formatCode>0.00</c:formatCode>
                <c:ptCount val="15"/>
                <c:pt idx="0">
                  <c:v>11.965628802424165</c:v>
                </c:pt>
                <c:pt idx="1">
                  <c:v>9.7760679221788855</c:v>
                </c:pt>
                <c:pt idx="2">
                  <c:v>8.9174500794956302</c:v>
                </c:pt>
                <c:pt idx="3">
                  <c:v>8.1418656650439996</c:v>
                </c:pt>
                <c:pt idx="4">
                  <c:v>5.6859613593382594</c:v>
                </c:pt>
                <c:pt idx="5">
                  <c:v>4.1445623713466198</c:v>
                </c:pt>
                <c:pt idx="6">
                  <c:v>2.9788878334545066</c:v>
                </c:pt>
                <c:pt idx="7">
                  <c:v>1.9643666540239892</c:v>
                </c:pt>
                <c:pt idx="8">
                  <c:v>1.2742637044371559</c:v>
                </c:pt>
                <c:pt idx="9">
                  <c:v>0.71858060506553179</c:v>
                </c:pt>
                <c:pt idx="10">
                  <c:v>0.20655367596752991</c:v>
                </c:pt>
                <c:pt idx="11">
                  <c:v>-0.15948880060250051</c:v>
                </c:pt>
                <c:pt idx="12">
                  <c:v>-0.46630836075958559</c:v>
                </c:pt>
                <c:pt idx="13">
                  <c:v>-0.72604396970227736</c:v>
                </c:pt>
                <c:pt idx="14">
                  <c:v>-0.97691072298738058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D1-44DF-9860-E6C821380341}"/>
            </c:ext>
          </c:extLst>
        </c:ser>
        <c:ser>
          <c:idx val="1"/>
          <c:order val="1"/>
          <c:tx>
            <c:v>γ metoda ciągu, m=const.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'h=7m'!$G$3:$G$17</c:f>
              <c:numCache>
                <c:formatCode>0.0</c:formatCode>
                <c:ptCount val="15"/>
                <c:pt idx="0">
                  <c:v>50.695321417043772</c:v>
                </c:pt>
                <c:pt idx="1">
                  <c:v>55</c:v>
                </c:pt>
                <c:pt idx="2">
                  <c:v>57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'h=7m'!$M$3:$M$17</c:f>
              <c:numCache>
                <c:formatCode>0.00</c:formatCode>
                <c:ptCount val="15"/>
                <c:pt idx="0">
                  <c:v>-1.3653905772622307E-2</c:v>
                </c:pt>
                <c:pt idx="1">
                  <c:v>0.33941873436949471</c:v>
                </c:pt>
                <c:pt idx="2">
                  <c:v>0.44801397227495049</c:v>
                </c:pt>
                <c:pt idx="3">
                  <c:v>0.52757644003610171</c:v>
                </c:pt>
                <c:pt idx="4">
                  <c:v>0.6190656127198193</c:v>
                </c:pt>
                <c:pt idx="5">
                  <c:v>0.4841652436407764</c:v>
                </c:pt>
                <c:pt idx="6">
                  <c:v>0.21373614802377205</c:v>
                </c:pt>
                <c:pt idx="7">
                  <c:v>-0.21327151975519851</c:v>
                </c:pt>
                <c:pt idx="8">
                  <c:v>-0.6632194417350854</c:v>
                </c:pt>
                <c:pt idx="9">
                  <c:v>-1.1677806164405178</c:v>
                </c:pt>
                <c:pt idx="10">
                  <c:v>-1.7975913197128399</c:v>
                </c:pt>
                <c:pt idx="11">
                  <c:v>-2.3868037330437688</c:v>
                </c:pt>
                <c:pt idx="12">
                  <c:v>-3.0059956932456142</c:v>
                </c:pt>
                <c:pt idx="13">
                  <c:v>-3.6512868914252841</c:v>
                </c:pt>
                <c:pt idx="14">
                  <c:v>-4.417041574223588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AD1-44DF-9860-E6C821380341}"/>
            </c:ext>
          </c:extLst>
        </c:ser>
        <c:ser>
          <c:idx val="2"/>
          <c:order val="2"/>
          <c:tx>
            <c:v>α metoda mocy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'h=7m'!$H$22:$H$37</c:f>
              <c:numCache>
                <c:formatCode>0.00</c:formatCode>
                <c:ptCount val="16"/>
                <c:pt idx="0">
                  <c:v>50.695321417043772</c:v>
                </c:pt>
                <c:pt idx="1">
                  <c:v>51.638496698368591</c:v>
                </c:pt>
                <c:pt idx="2">
                  <c:v>53.310522775748105</c:v>
                </c:pt>
                <c:pt idx="3">
                  <c:v>55.116235867688886</c:v>
                </c:pt>
                <c:pt idx="4">
                  <c:v>57.387608575611623</c:v>
                </c:pt>
                <c:pt idx="5">
                  <c:v>59.633326746500941</c:v>
                </c:pt>
                <c:pt idx="6">
                  <c:v>62.280172296104972</c:v>
                </c:pt>
                <c:pt idx="7">
                  <c:v>65.750611247290209</c:v>
                </c:pt>
                <c:pt idx="8">
                  <c:v>69.470723288017382</c:v>
                </c:pt>
                <c:pt idx="9">
                  <c:v>73.711371867456933</c:v>
                </c:pt>
                <c:pt idx="10">
                  <c:v>85.803607960682612</c:v>
                </c:pt>
                <c:pt idx="11">
                  <c:v>94.308585165652786</c:v>
                </c:pt>
                <c:pt idx="12">
                  <c:v>106.26120299436177</c:v>
                </c:pt>
                <c:pt idx="13">
                  <c:v>123.19898847533064</c:v>
                </c:pt>
                <c:pt idx="14">
                  <c:v>150.07391458682832</c:v>
                </c:pt>
              </c:numCache>
            </c:numRef>
          </c:xVal>
          <c:yVal>
            <c:numRef>
              <c:f>'h=7m'!$P$22:$P$37</c:f>
              <c:numCache>
                <c:formatCode>0.00</c:formatCode>
                <c:ptCount val="16"/>
                <c:pt idx="0">
                  <c:v>15.276999999999999</c:v>
                </c:pt>
                <c:pt idx="1">
                  <c:v>12.122999999999999</c:v>
                </c:pt>
                <c:pt idx="2">
                  <c:v>11.015000000000001</c:v>
                </c:pt>
                <c:pt idx="3">
                  <c:v>9.5779999999999994</c:v>
                </c:pt>
                <c:pt idx="4">
                  <c:v>8.4719999999999995</c:v>
                </c:pt>
                <c:pt idx="5">
                  <c:v>7.694</c:v>
                </c:pt>
                <c:pt idx="6">
                  <c:v>7.048</c:v>
                </c:pt>
                <c:pt idx="7">
                  <c:v>6.0739999999999998</c:v>
                </c:pt>
                <c:pt idx="8">
                  <c:v>5.0990000000000002</c:v>
                </c:pt>
                <c:pt idx="9">
                  <c:v>3.86</c:v>
                </c:pt>
                <c:pt idx="10">
                  <c:v>2.0419999999999998</c:v>
                </c:pt>
                <c:pt idx="11">
                  <c:v>1.198</c:v>
                </c:pt>
                <c:pt idx="12">
                  <c:v>0.42</c:v>
                </c:pt>
                <c:pt idx="13">
                  <c:v>-0.29199999999999998</c:v>
                </c:pt>
                <c:pt idx="14">
                  <c:v>-1.071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AD1-44DF-9860-E6C821380341}"/>
            </c:ext>
          </c:extLst>
        </c:ser>
        <c:ser>
          <c:idx val="3"/>
          <c:order val="3"/>
          <c:tx>
            <c:v>γ metoda mocy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'h=7m'!$H$22:$H$36</c:f>
              <c:numCache>
                <c:formatCode>0.00</c:formatCode>
                <c:ptCount val="15"/>
                <c:pt idx="0">
                  <c:v>50.695321417043772</c:v>
                </c:pt>
                <c:pt idx="1">
                  <c:v>51.638496698368591</c:v>
                </c:pt>
                <c:pt idx="2">
                  <c:v>53.310522775748105</c:v>
                </c:pt>
                <c:pt idx="3">
                  <c:v>55.116235867688886</c:v>
                </c:pt>
                <c:pt idx="4">
                  <c:v>57.387608575611623</c:v>
                </c:pt>
                <c:pt idx="5">
                  <c:v>59.633326746500941</c:v>
                </c:pt>
                <c:pt idx="6">
                  <c:v>62.280172296104972</c:v>
                </c:pt>
                <c:pt idx="7">
                  <c:v>65.750611247290209</c:v>
                </c:pt>
                <c:pt idx="8">
                  <c:v>69.470723288017382</c:v>
                </c:pt>
                <c:pt idx="9">
                  <c:v>73.711371867456933</c:v>
                </c:pt>
                <c:pt idx="10">
                  <c:v>85.803607960682612</c:v>
                </c:pt>
                <c:pt idx="11">
                  <c:v>94.308585165652786</c:v>
                </c:pt>
                <c:pt idx="12">
                  <c:v>106.26120299436177</c:v>
                </c:pt>
                <c:pt idx="13">
                  <c:v>123.19898847533064</c:v>
                </c:pt>
                <c:pt idx="14">
                  <c:v>150.07391458682832</c:v>
                </c:pt>
              </c:numCache>
            </c:numRef>
          </c:xVal>
          <c:yVal>
            <c:numRef>
              <c:f>'h=7m'!$O$22:$O$37</c:f>
              <c:numCache>
                <c:formatCode>0.00</c:formatCode>
                <c:ptCount val="16"/>
                <c:pt idx="0">
                  <c:v>-0.12226174744871586</c:v>
                </c:pt>
                <c:pt idx="1">
                  <c:v>-2.0877872721583278E-2</c:v>
                </c:pt>
                <c:pt idx="2">
                  <c:v>0.13480834647165468</c:v>
                </c:pt>
                <c:pt idx="3">
                  <c:v>0.283876798341196</c:v>
                </c:pt>
                <c:pt idx="4">
                  <c:v>0.39416032794880979</c:v>
                </c:pt>
                <c:pt idx="5">
                  <c:v>0.47194845423185755</c:v>
                </c:pt>
                <c:pt idx="6">
                  <c:v>0.52481747130472411</c:v>
                </c:pt>
                <c:pt idx="7">
                  <c:v>0.50986554575547305</c:v>
                </c:pt>
                <c:pt idx="8">
                  <c:v>0.51165883185548067</c:v>
                </c:pt>
                <c:pt idx="9">
                  <c:v>0.45448614143759414</c:v>
                </c:pt>
                <c:pt idx="10">
                  <c:v>-5.194316143581456E-2</c:v>
                </c:pt>
                <c:pt idx="11">
                  <c:v>-0.57639085948415325</c:v>
                </c:pt>
                <c:pt idx="12">
                  <c:v>-1.4804750053886464</c:v>
                </c:pt>
                <c:pt idx="13">
                  <c:v>-2.9115772874117587</c:v>
                </c:pt>
                <c:pt idx="14">
                  <c:v>-5.5273974604702296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AD1-44DF-9860-E6C821380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809103"/>
        <c:axId val="1803560847"/>
      </c:scatterChart>
      <c:valAx>
        <c:axId val="1857809103"/>
        <c:scaling>
          <c:orientation val="minMax"/>
          <c:max val="140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03560847"/>
        <c:crosses val="autoZero"/>
        <c:crossBetween val="midCat"/>
        <c:majorUnit val="10"/>
      </c:valAx>
      <c:valAx>
        <c:axId val="1803560847"/>
        <c:scaling>
          <c:orientation val="minMax"/>
          <c:max val="3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α</a:t>
                </a:r>
                <a:r>
                  <a:rPr lang="pl-PL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, </a:t>
                </a:r>
                <a:r>
                  <a:rPr lang="el-GR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γ</a:t>
                </a:r>
                <a:r>
                  <a:rPr lang="pl-PL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 [°]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7809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647062554680665"/>
          <c:y val="0.15809889173060529"/>
          <c:w val="0.79494531933508306"/>
          <c:h val="0.60658550993146321"/>
        </c:manualLayout>
      </c:layout>
      <c:scatterChart>
        <c:scatterStyle val="smoothMarker"/>
        <c:varyColors val="0"/>
        <c:ser>
          <c:idx val="0"/>
          <c:order val="0"/>
          <c:tx>
            <c:v>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'h=7m'!$G$3:$G$17</c:f>
              <c:numCache>
                <c:formatCode>0.0</c:formatCode>
                <c:ptCount val="15"/>
                <c:pt idx="0">
                  <c:v>50.695321417043772</c:v>
                </c:pt>
                <c:pt idx="1">
                  <c:v>55</c:v>
                </c:pt>
                <c:pt idx="2">
                  <c:v>57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'h=7m'!$N$3:$N$17</c:f>
              <c:numCache>
                <c:formatCode>0.00</c:formatCode>
                <c:ptCount val="15"/>
                <c:pt idx="0">
                  <c:v>-1.2080979455590618E-2</c:v>
                </c:pt>
                <c:pt idx="1">
                  <c:v>0.32581668949246273</c:v>
                </c:pt>
                <c:pt idx="2">
                  <c:v>0.44569663612379573</c:v>
                </c:pt>
                <c:pt idx="3">
                  <c:v>0.54326113321693659</c:v>
                </c:pt>
                <c:pt idx="4">
                  <c:v>0.72390304106038128</c:v>
                </c:pt>
                <c:pt idx="5">
                  <c:v>0.62531310223120329</c:v>
                </c:pt>
                <c:pt idx="6">
                  <c:v>0.30216165978839743</c:v>
                </c:pt>
                <c:pt idx="7">
                  <c:v>-0.33128306460738227</c:v>
                </c:pt>
                <c:pt idx="8">
                  <c:v>-1.1112100250859827</c:v>
                </c:pt>
                <c:pt idx="9">
                  <c:v>-2.0991611773064514</c:v>
                </c:pt>
                <c:pt idx="10">
                  <c:v>-3.4819301835844296</c:v>
                </c:pt>
                <c:pt idx="11">
                  <c:v>-4.914173288295081</c:v>
                </c:pt>
                <c:pt idx="12">
                  <c:v>-6.555057141563176</c:v>
                </c:pt>
                <c:pt idx="13">
                  <c:v>-8.4062686023530837</c:v>
                </c:pt>
                <c:pt idx="14">
                  <c:v>-10.782181158603946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E8-4094-BE38-869D8163D741}"/>
            </c:ext>
          </c:extLst>
        </c:ser>
        <c:ser>
          <c:idx val="1"/>
          <c:order val="1"/>
          <c:tx>
            <c:v>metoda mocy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'h=7m'!$H$22:$H$36</c:f>
              <c:numCache>
                <c:formatCode>0.00</c:formatCode>
                <c:ptCount val="15"/>
                <c:pt idx="0">
                  <c:v>50.695321417043772</c:v>
                </c:pt>
                <c:pt idx="1">
                  <c:v>51.638496698368591</c:v>
                </c:pt>
                <c:pt idx="2">
                  <c:v>53.310522775748105</c:v>
                </c:pt>
                <c:pt idx="3">
                  <c:v>55.116235867688886</c:v>
                </c:pt>
                <c:pt idx="4">
                  <c:v>57.387608575611623</c:v>
                </c:pt>
                <c:pt idx="5">
                  <c:v>59.633326746500941</c:v>
                </c:pt>
                <c:pt idx="6">
                  <c:v>62.280172296104972</c:v>
                </c:pt>
                <c:pt idx="7">
                  <c:v>65.750611247290209</c:v>
                </c:pt>
                <c:pt idx="8">
                  <c:v>69.470723288017382</c:v>
                </c:pt>
                <c:pt idx="9">
                  <c:v>73.711371867456933</c:v>
                </c:pt>
                <c:pt idx="10">
                  <c:v>85.803607960682612</c:v>
                </c:pt>
                <c:pt idx="11">
                  <c:v>94.308585165652786</c:v>
                </c:pt>
                <c:pt idx="12">
                  <c:v>106.26120299436177</c:v>
                </c:pt>
                <c:pt idx="13">
                  <c:v>123.19898847533064</c:v>
                </c:pt>
                <c:pt idx="14">
                  <c:v>150.07391458682832</c:v>
                </c:pt>
              </c:numCache>
            </c:numRef>
          </c:xVal>
          <c:yVal>
            <c:numRef>
              <c:f>'h=7m'!$N$22:$N$36</c:f>
              <c:numCache>
                <c:formatCode>0.00</c:formatCode>
                <c:ptCount val="15"/>
                <c:pt idx="0">
                  <c:v>-0.10817714555693456</c:v>
                </c:pt>
                <c:pt idx="1">
                  <c:v>-1.8816428485769667E-2</c:v>
                </c:pt>
                <c:pt idx="2">
                  <c:v>0.12543152140003824</c:v>
                </c:pt>
                <c:pt idx="3">
                  <c:v>0.27307694727450699</c:v>
                </c:pt>
                <c:pt idx="4">
                  <c:v>0.39478894240245688</c:v>
                </c:pt>
                <c:pt idx="5">
                  <c:v>0.49119740342552998</c:v>
                </c:pt>
                <c:pt idx="6">
                  <c:v>0.57046549940266378</c:v>
                </c:pt>
                <c:pt idx="7">
                  <c:v>0.58509595502165457</c:v>
                </c:pt>
                <c:pt idx="8">
                  <c:v>0.62037443228073441</c:v>
                </c:pt>
                <c:pt idx="9">
                  <c:v>0.58469307771549084</c:v>
                </c:pt>
                <c:pt idx="10">
                  <c:v>-7.7787754830135572E-2</c:v>
                </c:pt>
                <c:pt idx="11">
                  <c:v>-0.94872065727596844</c:v>
                </c:pt>
                <c:pt idx="12">
                  <c:v>-2.745395057322245</c:v>
                </c:pt>
                <c:pt idx="13">
                  <c:v>-6.2578608413277177</c:v>
                </c:pt>
                <c:pt idx="14">
                  <c:v>-14.455376981244491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9E8-4094-BE38-869D8163D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805743"/>
        <c:axId val="1798274655"/>
      </c:scatterChart>
      <c:valAx>
        <c:axId val="1857805743"/>
        <c:scaling>
          <c:orientation val="minMax"/>
          <c:max val="85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98274655"/>
        <c:crosses val="autoZero"/>
        <c:crossBetween val="midCat"/>
        <c:majorUnit val="5"/>
      </c:valAx>
      <c:valAx>
        <c:axId val="1798274655"/>
        <c:scaling>
          <c:orientation val="minMax"/>
          <c:max val="1.5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7805743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365157480314961E-2"/>
          <c:y val="0.88435567996455688"/>
          <c:w val="0.92968175853018353"/>
          <c:h val="9.69745789448953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>
                <a:latin typeface="Calibri Light" panose="020F0302020204030204" pitchFamily="34" charset="0"/>
                <a:cs typeface="Calibri Light" panose="020F0302020204030204" pitchFamily="34" charset="0"/>
              </a:rPr>
              <a:t>γ</a:t>
            </a:r>
            <a:r>
              <a:rPr lang="pl-PL">
                <a:latin typeface="Calibri Light" panose="020F0302020204030204" pitchFamily="34" charset="0"/>
                <a:cs typeface="Calibri Light" panose="020F0302020204030204" pitchFamily="34" charset="0"/>
              </a:rPr>
              <a:t>(V)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5203958880139984"/>
          <c:y val="0.17171296296296296"/>
          <c:w val="0.78616754155730528"/>
          <c:h val="0.65604148439778365"/>
        </c:manualLayout>
      </c:layout>
      <c:scatterChart>
        <c:scatterStyle val="smoothMarker"/>
        <c:varyColors val="0"/>
        <c:ser>
          <c:idx val="0"/>
          <c:order val="0"/>
          <c:tx>
            <c:v>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'h=7m'!$G$3:$G$17</c:f>
              <c:numCache>
                <c:formatCode>0.0</c:formatCode>
                <c:ptCount val="15"/>
                <c:pt idx="0">
                  <c:v>50.695321417043772</c:v>
                </c:pt>
                <c:pt idx="1">
                  <c:v>55</c:v>
                </c:pt>
                <c:pt idx="2">
                  <c:v>57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'h=7m'!$M$3:$M$17</c:f>
              <c:numCache>
                <c:formatCode>0.00</c:formatCode>
                <c:ptCount val="15"/>
                <c:pt idx="0">
                  <c:v>-1.3653905772622307E-2</c:v>
                </c:pt>
                <c:pt idx="1">
                  <c:v>0.33941873436949471</c:v>
                </c:pt>
                <c:pt idx="2">
                  <c:v>0.44801397227495049</c:v>
                </c:pt>
                <c:pt idx="3">
                  <c:v>0.52757644003610171</c:v>
                </c:pt>
                <c:pt idx="4">
                  <c:v>0.6190656127198193</c:v>
                </c:pt>
                <c:pt idx="5">
                  <c:v>0.4841652436407764</c:v>
                </c:pt>
                <c:pt idx="6">
                  <c:v>0.21373614802377205</c:v>
                </c:pt>
                <c:pt idx="7">
                  <c:v>-0.21327151975519851</c:v>
                </c:pt>
                <c:pt idx="8">
                  <c:v>-0.6632194417350854</c:v>
                </c:pt>
                <c:pt idx="9">
                  <c:v>-1.1677806164405178</c:v>
                </c:pt>
                <c:pt idx="10">
                  <c:v>-1.7975913197128399</c:v>
                </c:pt>
                <c:pt idx="11">
                  <c:v>-2.3868037330437688</c:v>
                </c:pt>
                <c:pt idx="12">
                  <c:v>-3.0059956932456142</c:v>
                </c:pt>
                <c:pt idx="13">
                  <c:v>-3.6512868914252841</c:v>
                </c:pt>
                <c:pt idx="14">
                  <c:v>-4.417041574223588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45-4725-85CD-8A8F31E98A8A}"/>
            </c:ext>
          </c:extLst>
        </c:ser>
        <c:ser>
          <c:idx val="1"/>
          <c:order val="1"/>
          <c:tx>
            <c:v>metoda mocy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'h=7m'!$H$22:$H$36</c:f>
              <c:numCache>
                <c:formatCode>0.00</c:formatCode>
                <c:ptCount val="15"/>
                <c:pt idx="0">
                  <c:v>50.695321417043772</c:v>
                </c:pt>
                <c:pt idx="1">
                  <c:v>51.638496698368591</c:v>
                </c:pt>
                <c:pt idx="2">
                  <c:v>53.310522775748105</c:v>
                </c:pt>
                <c:pt idx="3">
                  <c:v>55.116235867688886</c:v>
                </c:pt>
                <c:pt idx="4">
                  <c:v>57.387608575611623</c:v>
                </c:pt>
                <c:pt idx="5">
                  <c:v>59.633326746500941</c:v>
                </c:pt>
                <c:pt idx="6">
                  <c:v>62.280172296104972</c:v>
                </c:pt>
                <c:pt idx="7">
                  <c:v>65.750611247290209</c:v>
                </c:pt>
                <c:pt idx="8">
                  <c:v>69.470723288017382</c:v>
                </c:pt>
                <c:pt idx="9">
                  <c:v>73.711371867456933</c:v>
                </c:pt>
                <c:pt idx="10">
                  <c:v>85.803607960682612</c:v>
                </c:pt>
                <c:pt idx="11">
                  <c:v>94.308585165652786</c:v>
                </c:pt>
                <c:pt idx="12">
                  <c:v>106.26120299436177</c:v>
                </c:pt>
                <c:pt idx="13">
                  <c:v>123.19898847533064</c:v>
                </c:pt>
                <c:pt idx="14">
                  <c:v>150.07391458682832</c:v>
                </c:pt>
              </c:numCache>
            </c:numRef>
          </c:xVal>
          <c:yVal>
            <c:numRef>
              <c:f>'h=7m'!$O$22:$O$36</c:f>
              <c:numCache>
                <c:formatCode>0.00</c:formatCode>
                <c:ptCount val="15"/>
                <c:pt idx="0">
                  <c:v>-0.12226174744871586</c:v>
                </c:pt>
                <c:pt idx="1">
                  <c:v>-2.0877872721583278E-2</c:v>
                </c:pt>
                <c:pt idx="2">
                  <c:v>0.13480834647165468</c:v>
                </c:pt>
                <c:pt idx="3">
                  <c:v>0.283876798341196</c:v>
                </c:pt>
                <c:pt idx="4">
                  <c:v>0.39416032794880979</c:v>
                </c:pt>
                <c:pt idx="5">
                  <c:v>0.47194845423185755</c:v>
                </c:pt>
                <c:pt idx="6">
                  <c:v>0.52481747130472411</c:v>
                </c:pt>
                <c:pt idx="7">
                  <c:v>0.50986554575547305</c:v>
                </c:pt>
                <c:pt idx="8">
                  <c:v>0.51165883185548067</c:v>
                </c:pt>
                <c:pt idx="9">
                  <c:v>0.45448614143759414</c:v>
                </c:pt>
                <c:pt idx="10">
                  <c:v>-5.194316143581456E-2</c:v>
                </c:pt>
                <c:pt idx="11">
                  <c:v>-0.57639085948415325</c:v>
                </c:pt>
                <c:pt idx="12">
                  <c:v>-1.4804750053886464</c:v>
                </c:pt>
                <c:pt idx="13">
                  <c:v>-2.9115772874117587</c:v>
                </c:pt>
                <c:pt idx="14">
                  <c:v>-5.5273974604702296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45-4725-85CD-8A8F31E98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32463"/>
        <c:axId val="39114431"/>
      </c:scatterChart>
      <c:valAx>
        <c:axId val="37832463"/>
        <c:scaling>
          <c:orientation val="minMax"/>
          <c:max val="90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9114431"/>
        <c:crosses val="autoZero"/>
        <c:crossBetween val="midCat"/>
        <c:majorUnit val="5"/>
      </c:valAx>
      <c:valAx>
        <c:axId val="39114431"/>
        <c:scaling>
          <c:orientation val="minMax"/>
          <c:max val="1.5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γ</a:t>
                </a:r>
                <a:r>
                  <a:rPr lang="pl-PL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 [°]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7832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3.1429352580927383E-2"/>
          <c:y val="0.86652704870224551"/>
          <c:w val="0.91579286964129469"/>
          <c:h val="0.10532516768737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-0.37250831146106739"/>
                  <c:y val="-0.165555191017789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'[1]projekt 5'!$R$39:$R$46</c:f>
              <c:numCache>
                <c:formatCode>General</c:formatCode>
                <c:ptCount val="8"/>
                <c:pt idx="0">
                  <c:v>0</c:v>
                </c:pt>
                <c:pt idx="1">
                  <c:v>0.25299145299145298</c:v>
                </c:pt>
                <c:pt idx="2">
                  <c:v>0.50598290598290596</c:v>
                </c:pt>
                <c:pt idx="3">
                  <c:v>0.75897435897435905</c:v>
                </c:pt>
                <c:pt idx="4">
                  <c:v>1.0119658119658119</c:v>
                </c:pt>
                <c:pt idx="5">
                  <c:v>1.2649572649572651</c:v>
                </c:pt>
                <c:pt idx="6">
                  <c:v>1.5179487179487181</c:v>
                </c:pt>
                <c:pt idx="7">
                  <c:v>1.7709401709401711</c:v>
                </c:pt>
              </c:numCache>
            </c:numRef>
          </c:xVal>
          <c:yVal>
            <c:numRef>
              <c:f>'[1]projekt 5'!$T$39:$T$46</c:f>
              <c:numCache>
                <c:formatCode>General</c:formatCode>
                <c:ptCount val="8"/>
                <c:pt idx="0">
                  <c:v>0</c:v>
                </c:pt>
                <c:pt idx="1">
                  <c:v>0.36699999999999999</c:v>
                </c:pt>
                <c:pt idx="2">
                  <c:v>0.63100000000000001</c:v>
                </c:pt>
                <c:pt idx="3">
                  <c:v>0.79400000000000004</c:v>
                </c:pt>
                <c:pt idx="4">
                  <c:v>0.83</c:v>
                </c:pt>
                <c:pt idx="5">
                  <c:v>0.85499999999999998</c:v>
                </c:pt>
                <c:pt idx="6">
                  <c:v>0.79200000000000004</c:v>
                </c:pt>
                <c:pt idx="7">
                  <c:v>0.76800000000000002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12-4662-A30D-C97E9D0B6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737231"/>
        <c:axId val="1671242975"/>
      </c:scatterChart>
      <c:valAx>
        <c:axId val="88737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71242975"/>
        <c:crosses val="autoZero"/>
        <c:crossBetween val="midCat"/>
      </c:valAx>
      <c:valAx>
        <c:axId val="167124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8737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α</a:t>
            </a:r>
            <a:r>
              <a:rPr lang="pl-PL"/>
              <a:t>(V), </a:t>
            </a:r>
            <a:r>
              <a:rPr lang="el-GR"/>
              <a:t>γ</a:t>
            </a:r>
            <a:r>
              <a:rPr lang="pl-PL"/>
              <a:t>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α 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'h=8km'!$G$3:$G$17</c:f>
              <c:numCache>
                <c:formatCode>0.0</c:formatCode>
                <c:ptCount val="15"/>
                <c:pt idx="0">
                  <c:v>53.713441222143487</c:v>
                </c:pt>
                <c:pt idx="1">
                  <c:v>57</c:v>
                </c:pt>
                <c:pt idx="2">
                  <c:v>58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'h=8km'!$L$3:$L$17</c:f>
              <c:numCache>
                <c:formatCode>0.00</c:formatCode>
                <c:ptCount val="15"/>
                <c:pt idx="0">
                  <c:v>12.008998320377565</c:v>
                </c:pt>
                <c:pt idx="1">
                  <c:v>10.37062164516303</c:v>
                </c:pt>
                <c:pt idx="2">
                  <c:v>9.9246072430928844</c:v>
                </c:pt>
                <c:pt idx="3">
                  <c:v>9.5003325501889631</c:v>
                </c:pt>
                <c:pt idx="4">
                  <c:v>6.7439626599307942</c:v>
                </c:pt>
                <c:pt idx="5">
                  <c:v>5.0137324697299448</c:v>
                </c:pt>
                <c:pt idx="6">
                  <c:v>3.7052673434052714</c:v>
                </c:pt>
                <c:pt idx="7">
                  <c:v>2.5665782693015493</c:v>
                </c:pt>
                <c:pt idx="8">
                  <c:v>1.7921278889898438</c:v>
                </c:pt>
                <c:pt idx="9">
                  <c:v>1.1686333272767346</c:v>
                </c:pt>
                <c:pt idx="10">
                  <c:v>0.59424240663341188</c:v>
                </c:pt>
                <c:pt idx="11">
                  <c:v>0.18371243217978145</c:v>
                </c:pt>
                <c:pt idx="12">
                  <c:v>-0.16031563341861066</c:v>
                </c:pt>
                <c:pt idx="13">
                  <c:v>-0.45147580667964932</c:v>
                </c:pt>
                <c:pt idx="14">
                  <c:v>-0.73261207245888338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2A-4718-AC1E-315CEA1C625A}"/>
            </c:ext>
          </c:extLst>
        </c:ser>
        <c:ser>
          <c:idx val="1"/>
          <c:order val="1"/>
          <c:tx>
            <c:v>γ metoda ciągu, m=const.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'h=8km'!$G$3:$G$17</c:f>
              <c:numCache>
                <c:formatCode>0.0</c:formatCode>
                <c:ptCount val="15"/>
                <c:pt idx="0">
                  <c:v>53.713441222143487</c:v>
                </c:pt>
                <c:pt idx="1">
                  <c:v>57</c:v>
                </c:pt>
                <c:pt idx="2">
                  <c:v>58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'h=8km'!$M$3:$M$17</c:f>
              <c:numCache>
                <c:formatCode>0.00</c:formatCode>
                <c:ptCount val="15"/>
                <c:pt idx="0">
                  <c:v>-0.94354324880833074</c:v>
                </c:pt>
                <c:pt idx="1">
                  <c:v>-0.65596190203781191</c:v>
                </c:pt>
                <c:pt idx="2">
                  <c:v>-0.58665858377538649</c:v>
                </c:pt>
                <c:pt idx="3">
                  <c:v>-0.52489535189386682</c:v>
                </c:pt>
                <c:pt idx="4">
                  <c:v>-0.25238869428547489</c:v>
                </c:pt>
                <c:pt idx="5">
                  <c:v>-0.2520940863950068</c:v>
                </c:pt>
                <c:pt idx="6">
                  <c:v>-0.40120700611470755</c:v>
                </c:pt>
                <c:pt idx="7">
                  <c:v>-0.70069585503966403</c:v>
                </c:pt>
                <c:pt idx="8">
                  <c:v>-1.0454664752532259</c:v>
                </c:pt>
                <c:pt idx="9">
                  <c:v>-1.4487320862286495</c:v>
                </c:pt>
                <c:pt idx="10">
                  <c:v>-1.9657817731731073</c:v>
                </c:pt>
                <c:pt idx="11">
                  <c:v>-2.4578539757836633</c:v>
                </c:pt>
                <c:pt idx="12">
                  <c:v>-2.9805851557052141</c:v>
                </c:pt>
                <c:pt idx="13">
                  <c:v>-3.5295524079341196</c:v>
                </c:pt>
                <c:pt idx="14">
                  <c:v>-4.1848553370811068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2A-4718-AC1E-315CEA1C625A}"/>
            </c:ext>
          </c:extLst>
        </c:ser>
        <c:ser>
          <c:idx val="2"/>
          <c:order val="2"/>
          <c:tx>
            <c:v>α metoda mocy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'h=8km'!$H$22:$H$37</c:f>
              <c:numCache>
                <c:formatCode>0.00</c:formatCode>
                <c:ptCount val="16"/>
                <c:pt idx="0">
                  <c:v>53.713441222143487</c:v>
                </c:pt>
                <c:pt idx="1">
                  <c:v>54.712767957225346</c:v>
                </c:pt>
                <c:pt idx="2">
                  <c:v>56.484337244465749</c:v>
                </c:pt>
                <c:pt idx="3">
                  <c:v>58.397552533705586</c:v>
                </c:pt>
                <c:pt idx="4">
                  <c:v>60.804150243915025</c:v>
                </c:pt>
                <c:pt idx="5">
                  <c:v>63.183566087464804</c:v>
                </c:pt>
                <c:pt idx="6">
                  <c:v>65.987990221265662</c:v>
                </c:pt>
                <c:pt idx="7">
                  <c:v>69.665039964890596</c:v>
                </c:pt>
                <c:pt idx="8">
                  <c:v>73.606626956628432</c:v>
                </c:pt>
                <c:pt idx="9">
                  <c:v>78.099740361348111</c:v>
                </c:pt>
                <c:pt idx="10">
                  <c:v>90.91188149158252</c:v>
                </c:pt>
                <c:pt idx="11">
                  <c:v>99.923198126439644</c:v>
                </c:pt>
                <c:pt idx="12">
                  <c:v>112.58740889081324</c:v>
                </c:pt>
                <c:pt idx="13">
                  <c:v>130.53357669160414</c:v>
                </c:pt>
                <c:pt idx="14">
                  <c:v>159.00848766344899</c:v>
                </c:pt>
              </c:numCache>
            </c:numRef>
          </c:xVal>
          <c:yVal>
            <c:numRef>
              <c:f>'h=8km'!$P$22:$P$37</c:f>
              <c:numCache>
                <c:formatCode>0.00</c:formatCode>
                <c:ptCount val="16"/>
                <c:pt idx="0">
                  <c:v>15.276999999999999</c:v>
                </c:pt>
                <c:pt idx="1">
                  <c:v>12.122999999999999</c:v>
                </c:pt>
                <c:pt idx="2">
                  <c:v>11.015000000000001</c:v>
                </c:pt>
                <c:pt idx="3">
                  <c:v>9.5779999999999994</c:v>
                </c:pt>
                <c:pt idx="4">
                  <c:v>8.4719999999999995</c:v>
                </c:pt>
                <c:pt idx="5">
                  <c:v>7.694</c:v>
                </c:pt>
                <c:pt idx="6">
                  <c:v>7.048</c:v>
                </c:pt>
                <c:pt idx="7">
                  <c:v>6.0739999999999998</c:v>
                </c:pt>
                <c:pt idx="8">
                  <c:v>5.0990000000000002</c:v>
                </c:pt>
                <c:pt idx="9">
                  <c:v>3.86</c:v>
                </c:pt>
                <c:pt idx="10">
                  <c:v>2.0419999999999998</c:v>
                </c:pt>
                <c:pt idx="11">
                  <c:v>1.198</c:v>
                </c:pt>
                <c:pt idx="12">
                  <c:v>0.42</c:v>
                </c:pt>
                <c:pt idx="13">
                  <c:v>-0.29199999999999998</c:v>
                </c:pt>
                <c:pt idx="14">
                  <c:v>-1.071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A2A-4718-AC1E-315CEA1C625A}"/>
            </c:ext>
          </c:extLst>
        </c:ser>
        <c:ser>
          <c:idx val="3"/>
          <c:order val="3"/>
          <c:tx>
            <c:v>γ metoda mocy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'h=8km'!$H$22:$H$36</c:f>
              <c:numCache>
                <c:formatCode>0.00</c:formatCode>
                <c:ptCount val="15"/>
                <c:pt idx="0">
                  <c:v>53.713441222143487</c:v>
                </c:pt>
                <c:pt idx="1">
                  <c:v>54.712767957225346</c:v>
                </c:pt>
                <c:pt idx="2">
                  <c:v>56.484337244465749</c:v>
                </c:pt>
                <c:pt idx="3">
                  <c:v>58.397552533705586</c:v>
                </c:pt>
                <c:pt idx="4">
                  <c:v>60.804150243915025</c:v>
                </c:pt>
                <c:pt idx="5">
                  <c:v>63.183566087464804</c:v>
                </c:pt>
                <c:pt idx="6">
                  <c:v>65.987990221265662</c:v>
                </c:pt>
                <c:pt idx="7">
                  <c:v>69.665039964890596</c:v>
                </c:pt>
                <c:pt idx="8">
                  <c:v>73.606626956628432</c:v>
                </c:pt>
                <c:pt idx="9">
                  <c:v>78.099740361348111</c:v>
                </c:pt>
                <c:pt idx="10">
                  <c:v>90.91188149158252</c:v>
                </c:pt>
                <c:pt idx="11">
                  <c:v>99.923198126439644</c:v>
                </c:pt>
                <c:pt idx="12">
                  <c:v>112.58740889081324</c:v>
                </c:pt>
                <c:pt idx="13">
                  <c:v>130.53357669160414</c:v>
                </c:pt>
                <c:pt idx="14">
                  <c:v>159.00848766344899</c:v>
                </c:pt>
              </c:numCache>
            </c:numRef>
          </c:xVal>
          <c:yVal>
            <c:numRef>
              <c:f>'h=8km'!$O$22:$O$37</c:f>
              <c:numCache>
                <c:formatCode>0.00</c:formatCode>
                <c:ptCount val="16"/>
                <c:pt idx="0">
                  <c:v>-1.039949246535669</c:v>
                </c:pt>
                <c:pt idx="1">
                  <c:v>-0.93446521113053227</c:v>
                </c:pt>
                <c:pt idx="2">
                  <c:v>-0.7714909420507805</c:v>
                </c:pt>
                <c:pt idx="3">
                  <c:v>-0.61451891331865993</c:v>
                </c:pt>
                <c:pt idx="4">
                  <c:v>-0.49424155878198162</c:v>
                </c:pt>
                <c:pt idx="5">
                  <c:v>-0.40650822461974934</c:v>
                </c:pt>
                <c:pt idx="6">
                  <c:v>-0.34183271414139776</c:v>
                </c:pt>
                <c:pt idx="7">
                  <c:v>-0.34116187750917992</c:v>
                </c:pt>
                <c:pt idx="8">
                  <c:v>-0.32244449128204189</c:v>
                </c:pt>
                <c:pt idx="9">
                  <c:v>-0.36009947949061405</c:v>
                </c:pt>
                <c:pt idx="10">
                  <c:v>-0.80958474895080568</c:v>
                </c:pt>
                <c:pt idx="11">
                  <c:v>-1.2928759680412365</c:v>
                </c:pt>
                <c:pt idx="12">
                  <c:v>-2.1376231628924032</c:v>
                </c:pt>
                <c:pt idx="13">
                  <c:v>-3.4816181570801925</c:v>
                </c:pt>
                <c:pt idx="14">
                  <c:v>-5.9517528990113941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A2A-4718-AC1E-315CEA1C6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809103"/>
        <c:axId val="1803560847"/>
      </c:scatterChart>
      <c:valAx>
        <c:axId val="1857809103"/>
        <c:scaling>
          <c:orientation val="minMax"/>
          <c:max val="140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03560847"/>
        <c:crosses val="autoZero"/>
        <c:crossBetween val="midCat"/>
        <c:majorUnit val="10"/>
      </c:valAx>
      <c:valAx>
        <c:axId val="1803560847"/>
        <c:scaling>
          <c:orientation val="minMax"/>
          <c:max val="2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α</a:t>
                </a:r>
                <a:r>
                  <a:rPr lang="pl-PL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, </a:t>
                </a:r>
                <a:r>
                  <a:rPr lang="el-GR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γ</a:t>
                </a:r>
                <a:r>
                  <a:rPr lang="pl-PL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 [°]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7809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647062554680665"/>
          <c:y val="0.15809889173060529"/>
          <c:w val="0.79494531933508306"/>
          <c:h val="0.60658550993146321"/>
        </c:manualLayout>
      </c:layout>
      <c:scatterChart>
        <c:scatterStyle val="smoothMarker"/>
        <c:varyColors val="0"/>
        <c:ser>
          <c:idx val="0"/>
          <c:order val="0"/>
          <c:tx>
            <c:v>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'h=8km'!$G$3:$G$17</c:f>
              <c:numCache>
                <c:formatCode>0.0</c:formatCode>
                <c:ptCount val="15"/>
                <c:pt idx="0">
                  <c:v>53.713441222143487</c:v>
                </c:pt>
                <c:pt idx="1">
                  <c:v>57</c:v>
                </c:pt>
                <c:pt idx="2">
                  <c:v>58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'h=8km'!$N$3:$N$17</c:f>
              <c:numCache>
                <c:formatCode>0.00</c:formatCode>
                <c:ptCount val="15"/>
                <c:pt idx="0">
                  <c:v>-0.88450954987868369</c:v>
                </c:pt>
                <c:pt idx="1">
                  <c:v>-0.6525613569122658</c:v>
                </c:pt>
                <c:pt idx="2">
                  <c:v>-0.59385880778817413</c:v>
                </c:pt>
                <c:pt idx="3">
                  <c:v>-0.54050041454131947</c:v>
                </c:pt>
                <c:pt idx="4">
                  <c:v>-0.29513496410028683</c:v>
                </c:pt>
                <c:pt idx="5">
                  <c:v>-0.32558946508774994</c:v>
                </c:pt>
                <c:pt idx="6">
                  <c:v>-0.56718840712064045</c:v>
                </c:pt>
                <c:pt idx="7">
                  <c:v>-1.0883938951674577</c:v>
                </c:pt>
                <c:pt idx="8">
                  <c:v>-1.7515986903921066</c:v>
                </c:pt>
                <c:pt idx="9">
                  <c:v>-2.6040924195714834</c:v>
                </c:pt>
                <c:pt idx="10">
                  <c:v>-3.8075923298818024</c:v>
                </c:pt>
                <c:pt idx="11">
                  <c:v>-5.0603696851460587</c:v>
                </c:pt>
                <c:pt idx="12">
                  <c:v>-6.4996955842840043</c:v>
                </c:pt>
                <c:pt idx="13">
                  <c:v>-8.1263630138361904</c:v>
                </c:pt>
                <c:pt idx="14">
                  <c:v>-10.216441226450161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D3-480D-ABA6-A4E2832301F5}"/>
            </c:ext>
          </c:extLst>
        </c:ser>
        <c:ser>
          <c:idx val="1"/>
          <c:order val="1"/>
          <c:tx>
            <c:v>metoda mocy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'h=8km'!$H$22:$H$36</c:f>
              <c:numCache>
                <c:formatCode>0.00</c:formatCode>
                <c:ptCount val="15"/>
                <c:pt idx="0">
                  <c:v>53.713441222143487</c:v>
                </c:pt>
                <c:pt idx="1">
                  <c:v>54.712767957225346</c:v>
                </c:pt>
                <c:pt idx="2">
                  <c:v>56.484337244465749</c:v>
                </c:pt>
                <c:pt idx="3">
                  <c:v>58.397552533705586</c:v>
                </c:pt>
                <c:pt idx="4">
                  <c:v>60.804150243915025</c:v>
                </c:pt>
                <c:pt idx="5">
                  <c:v>63.183566087464804</c:v>
                </c:pt>
                <c:pt idx="6">
                  <c:v>65.987990221265662</c:v>
                </c:pt>
                <c:pt idx="7">
                  <c:v>69.665039964890596</c:v>
                </c:pt>
                <c:pt idx="8">
                  <c:v>73.606626956628432</c:v>
                </c:pt>
                <c:pt idx="9">
                  <c:v>78.099740361348111</c:v>
                </c:pt>
                <c:pt idx="10">
                  <c:v>90.91188149158252</c:v>
                </c:pt>
                <c:pt idx="11">
                  <c:v>99.923198126439644</c:v>
                </c:pt>
                <c:pt idx="12">
                  <c:v>112.58740889081324</c:v>
                </c:pt>
                <c:pt idx="13">
                  <c:v>130.53357669160414</c:v>
                </c:pt>
                <c:pt idx="14">
                  <c:v>159.00848766344899</c:v>
                </c:pt>
              </c:numCache>
            </c:numRef>
          </c:xVal>
          <c:yVal>
            <c:numRef>
              <c:f>'h=8km'!$N$22:$N$36</c:f>
              <c:numCache>
                <c:formatCode>0.00</c:formatCode>
                <c:ptCount val="15"/>
                <c:pt idx="0">
                  <c:v>-0.97487434831338682</c:v>
                </c:pt>
                <c:pt idx="1">
                  <c:v>-0.89229803818598896</c:v>
                </c:pt>
                <c:pt idx="2">
                  <c:v>-0.76054184307072892</c:v>
                </c:pt>
                <c:pt idx="3">
                  <c:v>-0.62632383760068822</c:v>
                </c:pt>
                <c:pt idx="4">
                  <c:v>-0.52449875990776029</c:v>
                </c:pt>
                <c:pt idx="5">
                  <c:v>-0.44827776164106165</c:v>
                </c:pt>
                <c:pt idx="6">
                  <c:v>-0.39368903213517742</c:v>
                </c:pt>
                <c:pt idx="7">
                  <c:v>-0.41481092657221691</c:v>
                </c:pt>
                <c:pt idx="8">
                  <c:v>-0.41423515492575858</c:v>
                </c:pt>
                <c:pt idx="9">
                  <c:v>-0.49084750994207627</c:v>
                </c:pt>
                <c:pt idx="10">
                  <c:v>-1.2845348170173034</c:v>
                </c:pt>
                <c:pt idx="11">
                  <c:v>-2.2545698759507062</c:v>
                </c:pt>
                <c:pt idx="12">
                  <c:v>-4.1994999730743388</c:v>
                </c:pt>
                <c:pt idx="13">
                  <c:v>-7.9270836566541627</c:v>
                </c:pt>
                <c:pt idx="14">
                  <c:v>-16.487744084257571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DD3-480D-ABA6-A4E283230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805743"/>
        <c:axId val="1798274655"/>
      </c:scatterChart>
      <c:valAx>
        <c:axId val="1857805743"/>
        <c:scaling>
          <c:orientation val="minMax"/>
          <c:max val="85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98274655"/>
        <c:crosses val="autoZero"/>
        <c:crossBetween val="midCat"/>
        <c:majorUnit val="5"/>
      </c:valAx>
      <c:valAx>
        <c:axId val="1798274655"/>
        <c:scaling>
          <c:orientation val="minMax"/>
          <c:max val="0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7805743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365157480314961E-2"/>
          <c:y val="0.88435567996455688"/>
          <c:w val="0.92968175853018353"/>
          <c:h val="9.69745789448953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>
                <a:latin typeface="Calibri Light" panose="020F0302020204030204" pitchFamily="34" charset="0"/>
                <a:cs typeface="Calibri Light" panose="020F0302020204030204" pitchFamily="34" charset="0"/>
              </a:rPr>
              <a:t>γ</a:t>
            </a:r>
            <a:r>
              <a:rPr lang="pl-PL">
                <a:latin typeface="Calibri Light" panose="020F0302020204030204" pitchFamily="34" charset="0"/>
                <a:cs typeface="Calibri Light" panose="020F0302020204030204" pitchFamily="34" charset="0"/>
              </a:rPr>
              <a:t>(V)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5203958880139984"/>
          <c:y val="0.17171296296296296"/>
          <c:w val="0.78616754155730528"/>
          <c:h val="0.65604148439778365"/>
        </c:manualLayout>
      </c:layout>
      <c:scatterChart>
        <c:scatterStyle val="smoothMarker"/>
        <c:varyColors val="0"/>
        <c:ser>
          <c:idx val="0"/>
          <c:order val="0"/>
          <c:tx>
            <c:v>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'h=8km'!$G$3:$G$17</c:f>
              <c:numCache>
                <c:formatCode>0.0</c:formatCode>
                <c:ptCount val="15"/>
                <c:pt idx="0">
                  <c:v>53.713441222143487</c:v>
                </c:pt>
                <c:pt idx="1">
                  <c:v>57</c:v>
                </c:pt>
                <c:pt idx="2">
                  <c:v>58</c:v>
                </c:pt>
                <c:pt idx="3">
                  <c:v>59</c:v>
                </c:pt>
                <c:pt idx="4">
                  <c:v>67</c:v>
                </c:pt>
                <c:pt idx="5">
                  <c:v>74</c:v>
                </c:pt>
                <c:pt idx="6">
                  <c:v>81</c:v>
                </c:pt>
                <c:pt idx="7">
                  <c:v>89</c:v>
                </c:pt>
                <c:pt idx="8">
                  <c:v>96</c:v>
                </c:pt>
                <c:pt idx="9">
                  <c:v>103</c:v>
                </c:pt>
                <c:pt idx="10">
                  <c:v>111</c:v>
                </c:pt>
                <c:pt idx="11">
                  <c:v>118</c:v>
                </c:pt>
                <c:pt idx="12">
                  <c:v>125</c:v>
                </c:pt>
                <c:pt idx="13">
                  <c:v>132</c:v>
                </c:pt>
                <c:pt idx="14">
                  <c:v>140</c:v>
                </c:pt>
              </c:numCache>
            </c:numRef>
          </c:xVal>
          <c:yVal>
            <c:numRef>
              <c:f>'h=8km'!$M$3:$M$17</c:f>
              <c:numCache>
                <c:formatCode>0.00</c:formatCode>
                <c:ptCount val="15"/>
                <c:pt idx="0">
                  <c:v>-0.94354324880833074</c:v>
                </c:pt>
                <c:pt idx="1">
                  <c:v>-0.65596190203781191</c:v>
                </c:pt>
                <c:pt idx="2">
                  <c:v>-0.58665858377538649</c:v>
                </c:pt>
                <c:pt idx="3">
                  <c:v>-0.52489535189386682</c:v>
                </c:pt>
                <c:pt idx="4">
                  <c:v>-0.25238869428547489</c:v>
                </c:pt>
                <c:pt idx="5">
                  <c:v>-0.2520940863950068</c:v>
                </c:pt>
                <c:pt idx="6">
                  <c:v>-0.40120700611470755</c:v>
                </c:pt>
                <c:pt idx="7">
                  <c:v>-0.70069585503966403</c:v>
                </c:pt>
                <c:pt idx="8">
                  <c:v>-1.0454664752532259</c:v>
                </c:pt>
                <c:pt idx="9">
                  <c:v>-1.4487320862286495</c:v>
                </c:pt>
                <c:pt idx="10">
                  <c:v>-1.9657817731731073</c:v>
                </c:pt>
                <c:pt idx="11">
                  <c:v>-2.4578539757836633</c:v>
                </c:pt>
                <c:pt idx="12">
                  <c:v>-2.9805851557052141</c:v>
                </c:pt>
                <c:pt idx="13">
                  <c:v>-3.5295524079341196</c:v>
                </c:pt>
                <c:pt idx="14">
                  <c:v>-4.1848553370811068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E6-4827-9DA6-7193CE82C404}"/>
            </c:ext>
          </c:extLst>
        </c:ser>
        <c:ser>
          <c:idx val="1"/>
          <c:order val="1"/>
          <c:tx>
            <c:v>metoda mocy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'h=8km'!$H$22:$H$36</c:f>
              <c:numCache>
                <c:formatCode>0.00</c:formatCode>
                <c:ptCount val="15"/>
                <c:pt idx="0">
                  <c:v>53.713441222143487</c:v>
                </c:pt>
                <c:pt idx="1">
                  <c:v>54.712767957225346</c:v>
                </c:pt>
                <c:pt idx="2">
                  <c:v>56.484337244465749</c:v>
                </c:pt>
                <c:pt idx="3">
                  <c:v>58.397552533705586</c:v>
                </c:pt>
                <c:pt idx="4">
                  <c:v>60.804150243915025</c:v>
                </c:pt>
                <c:pt idx="5">
                  <c:v>63.183566087464804</c:v>
                </c:pt>
                <c:pt idx="6">
                  <c:v>65.987990221265662</c:v>
                </c:pt>
                <c:pt idx="7">
                  <c:v>69.665039964890596</c:v>
                </c:pt>
                <c:pt idx="8">
                  <c:v>73.606626956628432</c:v>
                </c:pt>
                <c:pt idx="9">
                  <c:v>78.099740361348111</c:v>
                </c:pt>
                <c:pt idx="10">
                  <c:v>90.91188149158252</c:v>
                </c:pt>
                <c:pt idx="11">
                  <c:v>99.923198126439644</c:v>
                </c:pt>
                <c:pt idx="12">
                  <c:v>112.58740889081324</c:v>
                </c:pt>
                <c:pt idx="13">
                  <c:v>130.53357669160414</c:v>
                </c:pt>
                <c:pt idx="14">
                  <c:v>159.00848766344899</c:v>
                </c:pt>
              </c:numCache>
            </c:numRef>
          </c:xVal>
          <c:yVal>
            <c:numRef>
              <c:f>'h=8km'!$O$22:$O$36</c:f>
              <c:numCache>
                <c:formatCode>0.00</c:formatCode>
                <c:ptCount val="15"/>
                <c:pt idx="0">
                  <c:v>-1.039949246535669</c:v>
                </c:pt>
                <c:pt idx="1">
                  <c:v>-0.93446521113053227</c:v>
                </c:pt>
                <c:pt idx="2">
                  <c:v>-0.7714909420507805</c:v>
                </c:pt>
                <c:pt idx="3">
                  <c:v>-0.61451891331865993</c:v>
                </c:pt>
                <c:pt idx="4">
                  <c:v>-0.49424155878198162</c:v>
                </c:pt>
                <c:pt idx="5">
                  <c:v>-0.40650822461974934</c:v>
                </c:pt>
                <c:pt idx="6">
                  <c:v>-0.34183271414139776</c:v>
                </c:pt>
                <c:pt idx="7">
                  <c:v>-0.34116187750917992</c:v>
                </c:pt>
                <c:pt idx="8">
                  <c:v>-0.32244449128204189</c:v>
                </c:pt>
                <c:pt idx="9">
                  <c:v>-0.36009947949061405</c:v>
                </c:pt>
                <c:pt idx="10">
                  <c:v>-0.80958474895080568</c:v>
                </c:pt>
                <c:pt idx="11">
                  <c:v>-1.2928759680412365</c:v>
                </c:pt>
                <c:pt idx="12">
                  <c:v>-2.1376231628924032</c:v>
                </c:pt>
                <c:pt idx="13">
                  <c:v>-3.4816181570801925</c:v>
                </c:pt>
                <c:pt idx="14">
                  <c:v>-5.9517528990113941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4E6-4827-9DA6-7193CE82C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32463"/>
        <c:axId val="39114431"/>
      </c:scatterChart>
      <c:valAx>
        <c:axId val="37832463"/>
        <c:scaling>
          <c:orientation val="minMax"/>
          <c:max val="90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9114431"/>
        <c:crosses val="autoZero"/>
        <c:crossBetween val="midCat"/>
        <c:majorUnit val="5"/>
      </c:valAx>
      <c:valAx>
        <c:axId val="39114431"/>
        <c:scaling>
          <c:orientation val="minMax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γ</a:t>
                </a:r>
                <a:r>
                  <a:rPr lang="pl-PL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 [°]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7832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3.1429352580927383E-2"/>
          <c:y val="0.86652704870224551"/>
          <c:w val="0.91579286964129469"/>
          <c:h val="0.10532516768737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-0.41417497812773402"/>
                  <c:y val="-0.16092556138815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'[1]projekt 5'!$R$50:$R$57</c:f>
              <c:numCache>
                <c:formatCode>General</c:formatCode>
                <c:ptCount val="8"/>
                <c:pt idx="0">
                  <c:v>0</c:v>
                </c:pt>
                <c:pt idx="1">
                  <c:v>0.25299145299145298</c:v>
                </c:pt>
                <c:pt idx="2">
                  <c:v>0.50598290598290596</c:v>
                </c:pt>
                <c:pt idx="3">
                  <c:v>0.75897435897435905</c:v>
                </c:pt>
                <c:pt idx="4">
                  <c:v>1.0119658119658119</c:v>
                </c:pt>
                <c:pt idx="5">
                  <c:v>1.2649572649572651</c:v>
                </c:pt>
                <c:pt idx="6">
                  <c:v>1.5179487179487181</c:v>
                </c:pt>
                <c:pt idx="7">
                  <c:v>1.7709401709401711</c:v>
                </c:pt>
              </c:numCache>
            </c:numRef>
          </c:xVal>
          <c:yVal>
            <c:numRef>
              <c:f>'[1]projekt 5'!$T$50:$T$57</c:f>
              <c:numCache>
                <c:formatCode>General</c:formatCode>
                <c:ptCount val="8"/>
                <c:pt idx="0">
                  <c:v>0</c:v>
                </c:pt>
                <c:pt idx="1">
                  <c:v>0.373</c:v>
                </c:pt>
                <c:pt idx="2">
                  <c:v>0.64</c:v>
                </c:pt>
                <c:pt idx="3">
                  <c:v>0.80500000000000005</c:v>
                </c:pt>
                <c:pt idx="4">
                  <c:v>0.83099999999999996</c:v>
                </c:pt>
                <c:pt idx="5">
                  <c:v>0.85599999999999998</c:v>
                </c:pt>
                <c:pt idx="6">
                  <c:v>0.78100000000000003</c:v>
                </c:pt>
                <c:pt idx="7">
                  <c:v>0.76100000000000001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35-4D95-B659-B5A6566CA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2935711"/>
        <c:axId val="954464607"/>
      </c:scatterChart>
      <c:valAx>
        <c:axId val="1072935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54464607"/>
        <c:crosses val="autoZero"/>
        <c:crossBetween val="midCat"/>
      </c:valAx>
      <c:valAx>
        <c:axId val="95446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72935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chart" Target="../charts/chart1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4" Type="http://schemas.openxmlformats.org/officeDocument/2006/relationships/chart" Target="../charts/chart2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Relationship Id="rId4" Type="http://schemas.openxmlformats.org/officeDocument/2006/relationships/chart" Target="../charts/chart2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4" Type="http://schemas.openxmlformats.org/officeDocument/2006/relationships/chart" Target="../charts/chart3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Relationship Id="rId4" Type="http://schemas.openxmlformats.org/officeDocument/2006/relationships/chart" Target="../charts/chart3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4" Type="http://schemas.openxmlformats.org/officeDocument/2006/relationships/chart" Target="../charts/chart3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Relationship Id="rId4" Type="http://schemas.openxmlformats.org/officeDocument/2006/relationships/chart" Target="../charts/chart43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6.xml"/><Relationship Id="rId2" Type="http://schemas.openxmlformats.org/officeDocument/2006/relationships/chart" Target="../charts/chart45.xml"/><Relationship Id="rId1" Type="http://schemas.openxmlformats.org/officeDocument/2006/relationships/chart" Target="../charts/chart44.xml"/><Relationship Id="rId4" Type="http://schemas.openxmlformats.org/officeDocument/2006/relationships/chart" Target="../charts/chart47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0.xml"/><Relationship Id="rId2" Type="http://schemas.openxmlformats.org/officeDocument/2006/relationships/chart" Target="../charts/chart49.xml"/><Relationship Id="rId1" Type="http://schemas.openxmlformats.org/officeDocument/2006/relationships/chart" Target="../charts/chart48.xml"/><Relationship Id="rId4" Type="http://schemas.openxmlformats.org/officeDocument/2006/relationships/chart" Target="../charts/chart51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4.xml"/><Relationship Id="rId2" Type="http://schemas.openxmlformats.org/officeDocument/2006/relationships/chart" Target="../charts/chart53.xml"/><Relationship Id="rId1" Type="http://schemas.openxmlformats.org/officeDocument/2006/relationships/chart" Target="../charts/chart52.xml"/><Relationship Id="rId4" Type="http://schemas.openxmlformats.org/officeDocument/2006/relationships/chart" Target="../charts/chart5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</xdr:colOff>
      <xdr:row>0</xdr:row>
      <xdr:rowOff>30480</xdr:rowOff>
    </xdr:from>
    <xdr:to>
      <xdr:col>11</xdr:col>
      <xdr:colOff>261258</xdr:colOff>
      <xdr:row>23</xdr:row>
      <xdr:rowOff>7620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C091ED1B-065C-4B4F-B063-0B4DA22395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350520</xdr:colOff>
      <xdr:row>22</xdr:row>
      <xdr:rowOff>190500</xdr:rowOff>
    </xdr:from>
    <xdr:to>
      <xdr:col>11</xdr:col>
      <xdr:colOff>0</xdr:colOff>
      <xdr:row>40</xdr:row>
      <xdr:rowOff>38100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0501D5E9-8CE3-4CEF-8A52-7F5D54895B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23750</xdr:colOff>
      <xdr:row>56</xdr:row>
      <xdr:rowOff>69273</xdr:rowOff>
    </xdr:from>
    <xdr:to>
      <xdr:col>17</xdr:col>
      <xdr:colOff>241465</xdr:colOff>
      <xdr:row>71</xdr:row>
      <xdr:rowOff>69274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3B2580B3-17C3-4535-9E68-2E94B95E86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55418</xdr:colOff>
      <xdr:row>83</xdr:row>
      <xdr:rowOff>83127</xdr:rowOff>
    </xdr:from>
    <xdr:to>
      <xdr:col>29</xdr:col>
      <xdr:colOff>327560</xdr:colOff>
      <xdr:row>122</xdr:row>
      <xdr:rowOff>70857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CB7BC496-7116-435B-B84B-284CC6849A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308759</xdr:colOff>
      <xdr:row>56</xdr:row>
      <xdr:rowOff>72243</xdr:rowOff>
    </xdr:from>
    <xdr:to>
      <xdr:col>23</xdr:col>
      <xdr:colOff>308759</xdr:colOff>
      <xdr:row>71</xdr:row>
      <xdr:rowOff>72244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5EEEAD1A-BDA3-4201-B0EA-B72B118BCE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391885</xdr:colOff>
      <xdr:row>56</xdr:row>
      <xdr:rowOff>68285</xdr:rowOff>
    </xdr:from>
    <xdr:to>
      <xdr:col>29</xdr:col>
      <xdr:colOff>522514</xdr:colOff>
      <xdr:row>71</xdr:row>
      <xdr:rowOff>68286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2B94117F-00FC-4F7C-9CF8-68F944A87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29</xdr:col>
      <xdr:colOff>308757</xdr:colOff>
      <xdr:row>122</xdr:row>
      <xdr:rowOff>52450</xdr:rowOff>
    </xdr:from>
    <xdr:to>
      <xdr:col>39</xdr:col>
      <xdr:colOff>472043</xdr:colOff>
      <xdr:row>161</xdr:row>
      <xdr:rowOff>70856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A08046A8-15CB-46A7-B78D-123564CA1A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235527</xdr:colOff>
      <xdr:row>100</xdr:row>
      <xdr:rowOff>152399</xdr:rowOff>
    </xdr:from>
    <xdr:to>
      <xdr:col>10</xdr:col>
      <xdr:colOff>131025</xdr:colOff>
      <xdr:row>124</xdr:row>
      <xdr:rowOff>162197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D38A39F1-57B1-4A36-9198-AA680FD11D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872837</xdr:colOff>
      <xdr:row>126</xdr:row>
      <xdr:rowOff>69273</xdr:rowOff>
    </xdr:from>
    <xdr:to>
      <xdr:col>9</xdr:col>
      <xdr:colOff>526473</xdr:colOff>
      <xdr:row>145</xdr:row>
      <xdr:rowOff>138545</xdr:rowOff>
    </xdr:to>
    <xdr:graphicFrame macro="">
      <xdr:nvGraphicFramePr>
        <xdr:cNvPr id="10" name="Wykres 9">
          <a:extLst>
            <a:ext uri="{FF2B5EF4-FFF2-40B4-BE49-F238E27FC236}">
              <a16:creationId xmlns:a16="http://schemas.microsoft.com/office/drawing/2014/main" id="{C6F9B0D1-8FEC-4925-BE3E-35E8DBE310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38</xdr:col>
      <xdr:colOff>532708</xdr:colOff>
      <xdr:row>3</xdr:row>
      <xdr:rowOff>129541</xdr:rowOff>
    </xdr:from>
    <xdr:to>
      <xdr:col>49</xdr:col>
      <xdr:colOff>428206</xdr:colOff>
      <xdr:row>26</xdr:row>
      <xdr:rowOff>100976</xdr:rowOff>
    </xdr:to>
    <xdr:graphicFrame macro="">
      <xdr:nvGraphicFramePr>
        <xdr:cNvPr id="11" name="Wykres 10">
          <a:extLst>
            <a:ext uri="{FF2B5EF4-FFF2-40B4-BE49-F238E27FC236}">
              <a16:creationId xmlns:a16="http://schemas.microsoft.com/office/drawing/2014/main" id="{0549B490-7921-4260-9261-9A2DC154E8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39</xdr:col>
      <xdr:colOff>13855</xdr:colOff>
      <xdr:row>27</xdr:row>
      <xdr:rowOff>83126</xdr:rowOff>
    </xdr:from>
    <xdr:to>
      <xdr:col>48</xdr:col>
      <xdr:colOff>577735</xdr:colOff>
      <xdr:row>44</xdr:row>
      <xdr:rowOff>173589</xdr:rowOff>
    </xdr:to>
    <xdr:graphicFrame macro="">
      <xdr:nvGraphicFramePr>
        <xdr:cNvPr id="12" name="Wykres 11">
          <a:extLst>
            <a:ext uri="{FF2B5EF4-FFF2-40B4-BE49-F238E27FC236}">
              <a16:creationId xmlns:a16="http://schemas.microsoft.com/office/drawing/2014/main" id="{181514CA-3936-41CD-8329-591DB33792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181098</xdr:colOff>
      <xdr:row>68</xdr:row>
      <xdr:rowOff>83127</xdr:rowOff>
    </xdr:from>
    <xdr:to>
      <xdr:col>23</xdr:col>
      <xdr:colOff>181098</xdr:colOff>
      <xdr:row>83</xdr:row>
      <xdr:rowOff>77192</xdr:rowOff>
    </xdr:to>
    <xdr:graphicFrame macro="">
      <xdr:nvGraphicFramePr>
        <xdr:cNvPr id="13" name="Wykres 12">
          <a:extLst>
            <a:ext uri="{FF2B5EF4-FFF2-40B4-BE49-F238E27FC236}">
              <a16:creationId xmlns:a16="http://schemas.microsoft.com/office/drawing/2014/main" id="{BF6FDF11-C59A-4C65-9791-8B5521F0EE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23</xdr:col>
      <xdr:colOff>294904</xdr:colOff>
      <xdr:row>68</xdr:row>
      <xdr:rowOff>96979</xdr:rowOff>
    </xdr:from>
    <xdr:to>
      <xdr:col>29</xdr:col>
      <xdr:colOff>425533</xdr:colOff>
      <xdr:row>83</xdr:row>
      <xdr:rowOff>91044</xdr:rowOff>
    </xdr:to>
    <xdr:graphicFrame macro="">
      <xdr:nvGraphicFramePr>
        <xdr:cNvPr id="14" name="Wykres 13">
          <a:extLst>
            <a:ext uri="{FF2B5EF4-FFF2-40B4-BE49-F238E27FC236}">
              <a16:creationId xmlns:a16="http://schemas.microsoft.com/office/drawing/2014/main" id="{2A883C3D-3731-4E3F-9E75-82F5739D49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587828</xdr:colOff>
      <xdr:row>122</xdr:row>
      <xdr:rowOff>76200</xdr:rowOff>
    </xdr:from>
    <xdr:to>
      <xdr:col>29</xdr:col>
      <xdr:colOff>250370</xdr:colOff>
      <xdr:row>161</xdr:row>
      <xdr:rowOff>96587</xdr:rowOff>
    </xdr:to>
    <xdr:graphicFrame macro="">
      <xdr:nvGraphicFramePr>
        <xdr:cNvPr id="15" name="Wykres 14">
          <a:extLst>
            <a:ext uri="{FF2B5EF4-FFF2-40B4-BE49-F238E27FC236}">
              <a16:creationId xmlns:a16="http://schemas.microsoft.com/office/drawing/2014/main" id="{8FAAEEF4-8875-483A-9D17-BA451A99CF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29</xdr:col>
      <xdr:colOff>359229</xdr:colOff>
      <xdr:row>83</xdr:row>
      <xdr:rowOff>87085</xdr:rowOff>
    </xdr:from>
    <xdr:to>
      <xdr:col>52</xdr:col>
      <xdr:colOff>326570</xdr:colOff>
      <xdr:row>122</xdr:row>
      <xdr:rowOff>74815</xdr:rowOff>
    </xdr:to>
    <xdr:graphicFrame macro="">
      <xdr:nvGraphicFramePr>
        <xdr:cNvPr id="16" name="Wykres 15">
          <a:extLst>
            <a:ext uri="{FF2B5EF4-FFF2-40B4-BE49-F238E27FC236}">
              <a16:creationId xmlns:a16="http://schemas.microsoft.com/office/drawing/2014/main" id="{D634FEA6-93DD-4DDD-8A11-A36475975A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129540</xdr:colOff>
      <xdr:row>0</xdr:row>
      <xdr:rowOff>198120</xdr:rowOff>
    </xdr:from>
    <xdr:to>
      <xdr:col>32</xdr:col>
      <xdr:colOff>182880</xdr:colOff>
      <xdr:row>9</xdr:row>
      <xdr:rowOff>220980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413DD6A4-8F9E-4CC5-AE86-58C8A3F1C5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144780</xdr:colOff>
      <xdr:row>10</xdr:row>
      <xdr:rowOff>0</xdr:rowOff>
    </xdr:from>
    <xdr:to>
      <xdr:col>32</xdr:col>
      <xdr:colOff>213360</xdr:colOff>
      <xdr:row>18</xdr:row>
      <xdr:rowOff>7620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060121EF-5B5D-4A40-AAAF-BAB2A4D3C7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297180</xdr:colOff>
      <xdr:row>1</xdr:row>
      <xdr:rowOff>114300</xdr:rowOff>
    </xdr:from>
    <xdr:to>
      <xdr:col>41</xdr:col>
      <xdr:colOff>68580</xdr:colOff>
      <xdr:row>17</xdr:row>
      <xdr:rowOff>91440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FD20B9AA-52BF-45E6-99F0-F2BC51772A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286871</xdr:colOff>
      <xdr:row>18</xdr:row>
      <xdr:rowOff>80683</xdr:rowOff>
    </xdr:from>
    <xdr:to>
      <xdr:col>35</xdr:col>
      <xdr:colOff>487169</xdr:colOff>
      <xdr:row>40</xdr:row>
      <xdr:rowOff>123137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9E2BDA69-DDDA-42E5-B3EC-2FF04FC709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350520</xdr:colOff>
      <xdr:row>17</xdr:row>
      <xdr:rowOff>156210</xdr:rowOff>
    </xdr:from>
    <xdr:to>
      <xdr:col>24</xdr:col>
      <xdr:colOff>45720</xdr:colOff>
      <xdr:row>32</xdr:row>
      <xdr:rowOff>49530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7EAF61F6-1C87-5DA8-4735-3E072D20D2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121920</xdr:colOff>
      <xdr:row>0</xdr:row>
      <xdr:rowOff>49530</xdr:rowOff>
    </xdr:from>
    <xdr:to>
      <xdr:col>21</xdr:col>
      <xdr:colOff>426720</xdr:colOff>
      <xdr:row>15</xdr:row>
      <xdr:rowOff>34290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4BFF5090-BDC7-F8BA-9DF6-4B9CED6606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160020</xdr:colOff>
      <xdr:row>17</xdr:row>
      <xdr:rowOff>45720</xdr:rowOff>
    </xdr:from>
    <xdr:to>
      <xdr:col>31</xdr:col>
      <xdr:colOff>464820</xdr:colOff>
      <xdr:row>30</xdr:row>
      <xdr:rowOff>190500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5341BD31-3775-4DB4-A55E-A2E339F36C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457200</xdr:colOff>
      <xdr:row>0</xdr:row>
      <xdr:rowOff>49530</xdr:rowOff>
    </xdr:from>
    <xdr:to>
      <xdr:col>29</xdr:col>
      <xdr:colOff>152400</xdr:colOff>
      <xdr:row>15</xdr:row>
      <xdr:rowOff>22860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F462A437-DF98-5397-E519-79DCFF104D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350520</xdr:colOff>
      <xdr:row>17</xdr:row>
      <xdr:rowOff>156210</xdr:rowOff>
    </xdr:from>
    <xdr:to>
      <xdr:col>24</xdr:col>
      <xdr:colOff>45720</xdr:colOff>
      <xdr:row>32</xdr:row>
      <xdr:rowOff>49530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5A899858-8244-4C7F-B5C7-3371AFA0B0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121920</xdr:colOff>
      <xdr:row>0</xdr:row>
      <xdr:rowOff>49530</xdr:rowOff>
    </xdr:from>
    <xdr:to>
      <xdr:col>21</xdr:col>
      <xdr:colOff>426720</xdr:colOff>
      <xdr:row>15</xdr:row>
      <xdr:rowOff>34290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ECD5DAAA-6F24-4F30-A25D-A0B393F9AC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457200</xdr:colOff>
      <xdr:row>0</xdr:row>
      <xdr:rowOff>49530</xdr:rowOff>
    </xdr:from>
    <xdr:to>
      <xdr:col>29</xdr:col>
      <xdr:colOff>152400</xdr:colOff>
      <xdr:row>15</xdr:row>
      <xdr:rowOff>22860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FD608762-C766-4822-9A5D-CEF18CA270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68580</xdr:colOff>
      <xdr:row>17</xdr:row>
      <xdr:rowOff>160020</xdr:rowOff>
    </xdr:from>
    <xdr:to>
      <xdr:col>31</xdr:col>
      <xdr:colOff>373380</xdr:colOff>
      <xdr:row>31</xdr:row>
      <xdr:rowOff>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1E2A28AB-4C5E-4C27-BB52-35150971F3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350520</xdr:colOff>
      <xdr:row>17</xdr:row>
      <xdr:rowOff>156210</xdr:rowOff>
    </xdr:from>
    <xdr:to>
      <xdr:col>24</xdr:col>
      <xdr:colOff>45720</xdr:colOff>
      <xdr:row>32</xdr:row>
      <xdr:rowOff>49530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C1D2426-4B83-40BF-89DD-CAABE7737C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121920</xdr:colOff>
      <xdr:row>0</xdr:row>
      <xdr:rowOff>49530</xdr:rowOff>
    </xdr:from>
    <xdr:to>
      <xdr:col>21</xdr:col>
      <xdr:colOff>426720</xdr:colOff>
      <xdr:row>15</xdr:row>
      <xdr:rowOff>34290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DF55B934-97F0-4A32-9A66-80069F90DC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457200</xdr:colOff>
      <xdr:row>0</xdr:row>
      <xdr:rowOff>49530</xdr:rowOff>
    </xdr:from>
    <xdr:to>
      <xdr:col>29</xdr:col>
      <xdr:colOff>152400</xdr:colOff>
      <xdr:row>15</xdr:row>
      <xdr:rowOff>22860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A0700B89-C3B2-4C25-BC59-9CDD785A17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114300</xdr:colOff>
      <xdr:row>17</xdr:row>
      <xdr:rowOff>175260</xdr:rowOff>
    </xdr:from>
    <xdr:to>
      <xdr:col>31</xdr:col>
      <xdr:colOff>419100</xdr:colOff>
      <xdr:row>31</xdr:row>
      <xdr:rowOff>15240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0C175190-E3CD-4F37-9718-D3A71A24F9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350520</xdr:colOff>
      <xdr:row>17</xdr:row>
      <xdr:rowOff>156210</xdr:rowOff>
    </xdr:from>
    <xdr:to>
      <xdr:col>24</xdr:col>
      <xdr:colOff>45720</xdr:colOff>
      <xdr:row>32</xdr:row>
      <xdr:rowOff>49530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8FAFB36D-D639-4FB0-9DFA-3AB940520E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121920</xdr:colOff>
      <xdr:row>0</xdr:row>
      <xdr:rowOff>49530</xdr:rowOff>
    </xdr:from>
    <xdr:to>
      <xdr:col>21</xdr:col>
      <xdr:colOff>426720</xdr:colOff>
      <xdr:row>15</xdr:row>
      <xdr:rowOff>34290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61C263F8-B45C-4284-9CC9-352576441B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457200</xdr:colOff>
      <xdr:row>0</xdr:row>
      <xdr:rowOff>49530</xdr:rowOff>
    </xdr:from>
    <xdr:to>
      <xdr:col>29</xdr:col>
      <xdr:colOff>152400</xdr:colOff>
      <xdr:row>15</xdr:row>
      <xdr:rowOff>22860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1E5E49C0-2960-4C99-935C-EFEFC9CF18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60960</xdr:colOff>
      <xdr:row>17</xdr:row>
      <xdr:rowOff>152400</xdr:rowOff>
    </xdr:from>
    <xdr:to>
      <xdr:col>31</xdr:col>
      <xdr:colOff>365760</xdr:colOff>
      <xdr:row>30</xdr:row>
      <xdr:rowOff>190500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E242D9C2-9370-4C44-A836-6E8E479DC8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350520</xdr:colOff>
      <xdr:row>17</xdr:row>
      <xdr:rowOff>156210</xdr:rowOff>
    </xdr:from>
    <xdr:to>
      <xdr:col>24</xdr:col>
      <xdr:colOff>45720</xdr:colOff>
      <xdr:row>32</xdr:row>
      <xdr:rowOff>49530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71199B5-914E-42AC-9DD5-83C4F1CF4F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121920</xdr:colOff>
      <xdr:row>0</xdr:row>
      <xdr:rowOff>49530</xdr:rowOff>
    </xdr:from>
    <xdr:to>
      <xdr:col>21</xdr:col>
      <xdr:colOff>426720</xdr:colOff>
      <xdr:row>15</xdr:row>
      <xdr:rowOff>34290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BDB10595-5E9A-4EF0-914D-8A44CF538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457200</xdr:colOff>
      <xdr:row>0</xdr:row>
      <xdr:rowOff>49530</xdr:rowOff>
    </xdr:from>
    <xdr:to>
      <xdr:col>29</xdr:col>
      <xdr:colOff>152400</xdr:colOff>
      <xdr:row>15</xdr:row>
      <xdr:rowOff>22860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CFBAAD79-B65E-42D5-BF93-52B169BFCD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441960</xdr:colOff>
      <xdr:row>17</xdr:row>
      <xdr:rowOff>152400</xdr:rowOff>
    </xdr:from>
    <xdr:to>
      <xdr:col>31</xdr:col>
      <xdr:colOff>137160</xdr:colOff>
      <xdr:row>30</xdr:row>
      <xdr:rowOff>190500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B8F02F06-816F-45B5-8044-03FE2D715F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350520</xdr:colOff>
      <xdr:row>17</xdr:row>
      <xdr:rowOff>156210</xdr:rowOff>
    </xdr:from>
    <xdr:to>
      <xdr:col>24</xdr:col>
      <xdr:colOff>45720</xdr:colOff>
      <xdr:row>32</xdr:row>
      <xdr:rowOff>49530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8D2F054B-1A5A-47F0-8D64-10ED4060A6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121920</xdr:colOff>
      <xdr:row>0</xdr:row>
      <xdr:rowOff>49530</xdr:rowOff>
    </xdr:from>
    <xdr:to>
      <xdr:col>21</xdr:col>
      <xdr:colOff>426720</xdr:colOff>
      <xdr:row>15</xdr:row>
      <xdr:rowOff>34290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DB62D0B6-2140-474F-B530-F3DF802D03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457200</xdr:colOff>
      <xdr:row>0</xdr:row>
      <xdr:rowOff>49530</xdr:rowOff>
    </xdr:from>
    <xdr:to>
      <xdr:col>29</xdr:col>
      <xdr:colOff>152400</xdr:colOff>
      <xdr:row>15</xdr:row>
      <xdr:rowOff>22860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18482A7B-70ED-433F-82B2-1FFFAC0ED4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152400</xdr:colOff>
      <xdr:row>17</xdr:row>
      <xdr:rowOff>99060</xdr:rowOff>
    </xdr:from>
    <xdr:to>
      <xdr:col>31</xdr:col>
      <xdr:colOff>457200</xdr:colOff>
      <xdr:row>30</xdr:row>
      <xdr:rowOff>137160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5664B44E-36BF-4952-A83B-78189ADAEF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350520</xdr:colOff>
      <xdr:row>17</xdr:row>
      <xdr:rowOff>156210</xdr:rowOff>
    </xdr:from>
    <xdr:to>
      <xdr:col>24</xdr:col>
      <xdr:colOff>45720</xdr:colOff>
      <xdr:row>32</xdr:row>
      <xdr:rowOff>49530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67683693-9305-4F72-8B79-F1D2D112BB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121920</xdr:colOff>
      <xdr:row>0</xdr:row>
      <xdr:rowOff>49530</xdr:rowOff>
    </xdr:from>
    <xdr:to>
      <xdr:col>21</xdr:col>
      <xdr:colOff>426720</xdr:colOff>
      <xdr:row>15</xdr:row>
      <xdr:rowOff>34290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45728AE6-64C5-465C-B048-D03C47E4B0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457200</xdr:colOff>
      <xdr:row>0</xdr:row>
      <xdr:rowOff>49530</xdr:rowOff>
    </xdr:from>
    <xdr:to>
      <xdr:col>29</xdr:col>
      <xdr:colOff>152400</xdr:colOff>
      <xdr:row>15</xdr:row>
      <xdr:rowOff>22860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CB6C18A3-B2FE-4B6D-873A-D3BEC4D857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60960</xdr:colOff>
      <xdr:row>17</xdr:row>
      <xdr:rowOff>129540</xdr:rowOff>
    </xdr:from>
    <xdr:to>
      <xdr:col>31</xdr:col>
      <xdr:colOff>365760</xdr:colOff>
      <xdr:row>30</xdr:row>
      <xdr:rowOff>167640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85FD2B68-021B-4F22-B8A7-6DCB8F2193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350520</xdr:colOff>
      <xdr:row>17</xdr:row>
      <xdr:rowOff>156210</xdr:rowOff>
    </xdr:from>
    <xdr:to>
      <xdr:col>24</xdr:col>
      <xdr:colOff>45720</xdr:colOff>
      <xdr:row>32</xdr:row>
      <xdr:rowOff>49530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5B9773DA-5EC4-47CE-8AB3-0F424C982D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121920</xdr:colOff>
      <xdr:row>0</xdr:row>
      <xdr:rowOff>49530</xdr:rowOff>
    </xdr:from>
    <xdr:to>
      <xdr:col>21</xdr:col>
      <xdr:colOff>426720</xdr:colOff>
      <xdr:row>15</xdr:row>
      <xdr:rowOff>34290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9BF86CF5-3958-4C26-9500-CC29D0DAEA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457200</xdr:colOff>
      <xdr:row>0</xdr:row>
      <xdr:rowOff>49530</xdr:rowOff>
    </xdr:from>
    <xdr:to>
      <xdr:col>29</xdr:col>
      <xdr:colOff>152400</xdr:colOff>
      <xdr:row>15</xdr:row>
      <xdr:rowOff>22860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E6312C9C-1410-432B-909D-5AEE527F61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53340</xdr:colOff>
      <xdr:row>17</xdr:row>
      <xdr:rowOff>129540</xdr:rowOff>
    </xdr:from>
    <xdr:to>
      <xdr:col>31</xdr:col>
      <xdr:colOff>358140</xdr:colOff>
      <xdr:row>30</xdr:row>
      <xdr:rowOff>167640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12734F5D-0DD3-477D-94B3-87C580F214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350520</xdr:colOff>
      <xdr:row>17</xdr:row>
      <xdr:rowOff>156210</xdr:rowOff>
    </xdr:from>
    <xdr:to>
      <xdr:col>24</xdr:col>
      <xdr:colOff>45720</xdr:colOff>
      <xdr:row>32</xdr:row>
      <xdr:rowOff>49530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EAC03AE7-0FF4-4640-A901-7E09F65935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121920</xdr:colOff>
      <xdr:row>0</xdr:row>
      <xdr:rowOff>49530</xdr:rowOff>
    </xdr:from>
    <xdr:to>
      <xdr:col>21</xdr:col>
      <xdr:colOff>426720</xdr:colOff>
      <xdr:row>15</xdr:row>
      <xdr:rowOff>34290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0A0914AA-FBC0-44F7-89E3-E2A8898797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457200</xdr:colOff>
      <xdr:row>0</xdr:row>
      <xdr:rowOff>49530</xdr:rowOff>
    </xdr:from>
    <xdr:to>
      <xdr:col>29</xdr:col>
      <xdr:colOff>152400</xdr:colOff>
      <xdr:row>15</xdr:row>
      <xdr:rowOff>22860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25481B2D-C076-4000-84CF-E53F8A6C53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0</xdr:colOff>
      <xdr:row>17</xdr:row>
      <xdr:rowOff>167640</xdr:rowOff>
    </xdr:from>
    <xdr:to>
      <xdr:col>31</xdr:col>
      <xdr:colOff>304800</xdr:colOff>
      <xdr:row>31</xdr:row>
      <xdr:rowOff>7620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DBEB0D69-E2D2-4817-9119-AC11C75CF0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ebastian\Desktop\OBRONA\praca\Praca\Piper\Piper%20obliczenia.xlsx" TargetMode="External"/><Relationship Id="rId1" Type="http://schemas.openxmlformats.org/officeDocument/2006/relationships/externalLinkPath" Target="Piper%20obliczen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kusz1"/>
      <sheetName val="projekty 2 i 3"/>
      <sheetName val="projekt 4"/>
      <sheetName val="projekt 5"/>
    </sheetNames>
    <sheetDataSet>
      <sheetData sheetId="0"/>
      <sheetData sheetId="1"/>
      <sheetData sheetId="2"/>
      <sheetData sheetId="3">
        <row r="17">
          <cell r="K17">
            <v>0</v>
          </cell>
          <cell r="M17">
            <v>0</v>
          </cell>
          <cell r="R17">
            <v>0</v>
          </cell>
          <cell r="T17">
            <v>0</v>
          </cell>
        </row>
        <row r="18">
          <cell r="K18">
            <v>0.25299145299145298</v>
          </cell>
          <cell r="M18">
            <v>0.34200000000000003</v>
          </cell>
          <cell r="R18">
            <v>0.25299145299145298</v>
          </cell>
          <cell r="T18">
            <v>0.35899999999999999</v>
          </cell>
        </row>
        <row r="19">
          <cell r="K19">
            <v>0.50598290598290596</v>
          </cell>
          <cell r="M19">
            <v>0.59</v>
          </cell>
          <cell r="R19">
            <v>0.50598290598290596</v>
          </cell>
          <cell r="T19">
            <v>0.61599999999999999</v>
          </cell>
        </row>
        <row r="20">
          <cell r="K20">
            <v>0.75897435897435905</v>
          </cell>
          <cell r="M20">
            <v>0.754</v>
          </cell>
          <cell r="R20">
            <v>0.75897435897435905</v>
          </cell>
          <cell r="T20">
            <v>0.78100000000000003</v>
          </cell>
        </row>
        <row r="21">
          <cell r="K21">
            <v>1.0119658119658119</v>
          </cell>
          <cell r="M21">
            <v>0.81599999999999995</v>
          </cell>
          <cell r="R21">
            <v>1.0119658119658119</v>
          </cell>
          <cell r="T21">
            <v>0.82699999999999996</v>
          </cell>
        </row>
        <row r="22">
          <cell r="K22">
            <v>1.2649572649572651</v>
          </cell>
          <cell r="M22">
            <v>0.84799999999999998</v>
          </cell>
          <cell r="R22">
            <v>1.2649572649572651</v>
          </cell>
          <cell r="T22">
            <v>0.85299999999999998</v>
          </cell>
        </row>
        <row r="23">
          <cell r="K23">
            <v>1.5179487179487181</v>
          </cell>
          <cell r="M23">
            <v>0.84599999999999997</v>
          </cell>
          <cell r="R23">
            <v>1.5179487179487181</v>
          </cell>
          <cell r="T23">
            <v>0.81200000000000006</v>
          </cell>
        </row>
        <row r="24">
          <cell r="K24">
            <v>1.7709401709401711</v>
          </cell>
          <cell r="M24">
            <v>0.81399999999999995</v>
          </cell>
          <cell r="R24">
            <v>1.7709401709401711</v>
          </cell>
          <cell r="T24">
            <v>0.78200000000000003</v>
          </cell>
        </row>
        <row r="28">
          <cell r="K28">
            <v>0</v>
          </cell>
          <cell r="M28">
            <v>0</v>
          </cell>
          <cell r="R28">
            <v>0</v>
          </cell>
          <cell r="T28">
            <v>0</v>
          </cell>
        </row>
        <row r="29">
          <cell r="K29">
            <v>0.25299145299145298</v>
          </cell>
          <cell r="M29">
            <v>0.34399999999999997</v>
          </cell>
          <cell r="R29">
            <v>0.25299145299145298</v>
          </cell>
          <cell r="T29">
            <v>0.36399999999999999</v>
          </cell>
        </row>
        <row r="30">
          <cell r="K30">
            <v>0.50598290598290596</v>
          </cell>
          <cell r="M30">
            <v>0.59299999999999997</v>
          </cell>
          <cell r="R30">
            <v>0.50598290598290596</v>
          </cell>
          <cell r="T30">
            <v>0.625</v>
          </cell>
        </row>
        <row r="31">
          <cell r="K31">
            <v>0.75897435897435905</v>
          </cell>
          <cell r="M31">
            <v>0.75800000000000001</v>
          </cell>
          <cell r="R31">
            <v>0.75897435897435905</v>
          </cell>
          <cell r="T31">
            <v>0.78800000000000003</v>
          </cell>
        </row>
        <row r="32">
          <cell r="K32">
            <v>1.0119658119658119</v>
          </cell>
          <cell r="M32">
            <v>0.81799999999999995</v>
          </cell>
          <cell r="R32">
            <v>1.0119658119658119</v>
          </cell>
          <cell r="T32">
            <v>0.82899999999999996</v>
          </cell>
        </row>
        <row r="33">
          <cell r="K33">
            <v>1.2649572649572651</v>
          </cell>
          <cell r="M33">
            <v>0.84899999999999998</v>
          </cell>
          <cell r="R33">
            <v>1.2649572649572651</v>
          </cell>
          <cell r="T33">
            <v>0.85399999999999998</v>
          </cell>
        </row>
        <row r="34">
          <cell r="K34">
            <v>1.5179487179487181</v>
          </cell>
          <cell r="M34">
            <v>0.84099999999999997</v>
          </cell>
          <cell r="R34">
            <v>1.5179487179487181</v>
          </cell>
          <cell r="T34">
            <v>0.80100000000000005</v>
          </cell>
        </row>
        <row r="35">
          <cell r="K35">
            <v>1.7709401709401711</v>
          </cell>
          <cell r="M35">
            <v>0.80900000000000005</v>
          </cell>
          <cell r="R35">
            <v>1.7709401709401711</v>
          </cell>
          <cell r="T35">
            <v>0.77500000000000002</v>
          </cell>
        </row>
        <row r="39">
          <cell r="K39">
            <v>0</v>
          </cell>
          <cell r="M39">
            <v>0</v>
          </cell>
          <cell r="R39">
            <v>0</v>
          </cell>
          <cell r="T39">
            <v>0</v>
          </cell>
        </row>
        <row r="40">
          <cell r="K40">
            <v>0.25299145299145298</v>
          </cell>
          <cell r="M40">
            <v>0.34699999999999998</v>
          </cell>
          <cell r="R40">
            <v>0.25299145299145298</v>
          </cell>
          <cell r="T40">
            <v>0.36699999999999999</v>
          </cell>
        </row>
        <row r="41">
          <cell r="K41">
            <v>0.50598290598290596</v>
          </cell>
          <cell r="M41">
            <v>0.59699999999999998</v>
          </cell>
          <cell r="R41">
            <v>0.50598290598290596</v>
          </cell>
          <cell r="T41">
            <v>0.63100000000000001</v>
          </cell>
        </row>
        <row r="42">
          <cell r="K42">
            <v>0.75897435897435905</v>
          </cell>
          <cell r="M42">
            <v>0.76300000000000001</v>
          </cell>
          <cell r="R42">
            <v>0.75897435897435905</v>
          </cell>
          <cell r="T42">
            <v>0.79400000000000004</v>
          </cell>
        </row>
        <row r="43">
          <cell r="K43">
            <v>1.0119658119658119</v>
          </cell>
          <cell r="M43">
            <v>0.82099999999999995</v>
          </cell>
          <cell r="R43">
            <v>1.0119658119658119</v>
          </cell>
          <cell r="T43">
            <v>0.83</v>
          </cell>
        </row>
        <row r="44">
          <cell r="K44">
            <v>1.2649572649572651</v>
          </cell>
          <cell r="M44">
            <v>0.85</v>
          </cell>
          <cell r="R44">
            <v>1.2649572649572651</v>
          </cell>
          <cell r="T44">
            <v>0.85499999999999998</v>
          </cell>
        </row>
        <row r="45">
          <cell r="K45">
            <v>1.5179487179487181</v>
          </cell>
          <cell r="M45">
            <v>0.83499999999999996</v>
          </cell>
          <cell r="R45">
            <v>1.5179487179487181</v>
          </cell>
          <cell r="T45">
            <v>0.79200000000000004</v>
          </cell>
        </row>
        <row r="46">
          <cell r="K46">
            <v>1.7709401709401711</v>
          </cell>
          <cell r="M46">
            <v>0.80100000000000005</v>
          </cell>
          <cell r="R46">
            <v>1.7709401709401711</v>
          </cell>
          <cell r="T46">
            <v>0.76800000000000002</v>
          </cell>
        </row>
        <row r="50">
          <cell r="K50">
            <v>0</v>
          </cell>
          <cell r="M50">
            <v>0</v>
          </cell>
          <cell r="R50">
            <v>0</v>
          </cell>
          <cell r="T50">
            <v>0</v>
          </cell>
        </row>
        <row r="51">
          <cell r="K51">
            <v>0.25299145299145298</v>
          </cell>
          <cell r="M51">
            <v>0.35</v>
          </cell>
          <cell r="R51">
            <v>0.25299145299145298</v>
          </cell>
          <cell r="T51">
            <v>0.373</v>
          </cell>
        </row>
        <row r="52">
          <cell r="K52">
            <v>0.50598290598290596</v>
          </cell>
          <cell r="M52">
            <v>0.60399999999999998</v>
          </cell>
          <cell r="R52">
            <v>0.50598290598290596</v>
          </cell>
          <cell r="T52">
            <v>0.64</v>
          </cell>
        </row>
        <row r="53">
          <cell r="K53">
            <v>0.75897435897435905</v>
          </cell>
          <cell r="M53">
            <v>0.76700000000000002</v>
          </cell>
          <cell r="R53">
            <v>0.75897435897435905</v>
          </cell>
          <cell r="T53">
            <v>0.80500000000000005</v>
          </cell>
        </row>
        <row r="54">
          <cell r="K54">
            <v>1.0119658119658119</v>
          </cell>
          <cell r="M54">
            <v>0.82299999999999995</v>
          </cell>
          <cell r="R54">
            <v>1.0119658119658119</v>
          </cell>
          <cell r="T54">
            <v>0.83099999999999996</v>
          </cell>
        </row>
        <row r="55">
          <cell r="K55">
            <v>1.2649572649572651</v>
          </cell>
          <cell r="M55">
            <v>0.85099999999999998</v>
          </cell>
          <cell r="R55">
            <v>1.2649572649572651</v>
          </cell>
          <cell r="T55">
            <v>0.85599999999999998</v>
          </cell>
        </row>
        <row r="56">
          <cell r="K56">
            <v>1.5179487179487181</v>
          </cell>
          <cell r="M56">
            <v>0.83199999999999996</v>
          </cell>
          <cell r="R56">
            <v>1.5179487179487181</v>
          </cell>
          <cell r="T56">
            <v>0.78100000000000003</v>
          </cell>
        </row>
        <row r="57">
          <cell r="K57">
            <v>1.7709401709401711</v>
          </cell>
          <cell r="M57">
            <v>0.79500000000000004</v>
          </cell>
          <cell r="R57">
            <v>1.7709401709401711</v>
          </cell>
          <cell r="T57">
            <v>0.76100000000000001</v>
          </cell>
        </row>
        <row r="61">
          <cell r="K61">
            <v>0</v>
          </cell>
          <cell r="M61">
            <v>0</v>
          </cell>
        </row>
        <row r="62">
          <cell r="K62">
            <v>0.25299145299145298</v>
          </cell>
          <cell r="M62">
            <v>0.35499999999999998</v>
          </cell>
        </row>
        <row r="63">
          <cell r="K63">
            <v>0.50598290598290596</v>
          </cell>
          <cell r="M63">
            <v>0.61</v>
          </cell>
        </row>
        <row r="64">
          <cell r="K64">
            <v>0.75897435897435905</v>
          </cell>
          <cell r="M64">
            <v>0.77400000000000002</v>
          </cell>
        </row>
        <row r="65">
          <cell r="K65">
            <v>1.0119658119658119</v>
          </cell>
          <cell r="M65">
            <v>0.82499999999999996</v>
          </cell>
        </row>
        <row r="66">
          <cell r="K66">
            <v>1.2649572649572651</v>
          </cell>
          <cell r="M66">
            <v>0.85199999999999998</v>
          </cell>
        </row>
        <row r="67">
          <cell r="K67">
            <v>1.5179487179487181</v>
          </cell>
          <cell r="M67">
            <v>0.82099999999999995</v>
          </cell>
        </row>
        <row r="68">
          <cell r="K68">
            <v>1.7709401709401711</v>
          </cell>
          <cell r="M68">
            <v>0.79200000000000004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2 Piper" connectionId="2" xr16:uid="{A5C59C27-556C-494B-BCC5-669C518F64B4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 Piper" connectionId="1" xr16:uid="{4D8CB906-FF0F-4DA2-B882-7816769BF11B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18"/>
  <sheetViews>
    <sheetView tabSelected="1" topLeftCell="A104" zoomScale="90" zoomScaleNormal="90" workbookViewId="0">
      <selection activeCell="B119" sqref="B119"/>
    </sheetView>
  </sheetViews>
  <sheetFormatPr defaultRowHeight="14.4" x14ac:dyDescent="0.3"/>
  <cols>
    <col min="1" max="1" width="13.33203125" style="1" customWidth="1"/>
    <col min="2" max="3" width="13.33203125" style="2" customWidth="1"/>
    <col min="4" max="8" width="13.33203125" customWidth="1"/>
    <col min="13" max="27" width="12.109375" customWidth="1"/>
    <col min="29" max="30" width="13.33203125" style="2" bestFit="1" customWidth="1"/>
    <col min="31" max="34" width="8.88671875" style="2"/>
    <col min="35" max="35" width="12.44140625" bestFit="1" customWidth="1"/>
    <col min="36" max="36" width="13" bestFit="1" customWidth="1"/>
  </cols>
  <sheetData>
    <row r="1" spans="1:38" ht="15" thickBot="1" x14ac:dyDescent="0.35">
      <c r="A1" s="7" t="s">
        <v>4</v>
      </c>
      <c r="B1" s="7">
        <v>9.81</v>
      </c>
      <c r="C1" s="7" t="s">
        <v>51</v>
      </c>
      <c r="AC1" s="2" t="s">
        <v>121</v>
      </c>
      <c r="AD1" s="2" t="s">
        <v>122</v>
      </c>
      <c r="AE1" s="64" t="s">
        <v>121</v>
      </c>
      <c r="AF1" s="65" t="s">
        <v>181</v>
      </c>
      <c r="AG1" s="2" t="s">
        <v>123</v>
      </c>
      <c r="AH1" s="2" t="s">
        <v>181</v>
      </c>
      <c r="AI1" s="122" t="s">
        <v>121</v>
      </c>
      <c r="AJ1" s="123" t="s">
        <v>180</v>
      </c>
      <c r="AK1" s="124" t="s">
        <v>123</v>
      </c>
      <c r="AL1" s="124" t="s">
        <v>180</v>
      </c>
    </row>
    <row r="2" spans="1:38" ht="15.6" x14ac:dyDescent="0.35">
      <c r="A2" s="5" t="s">
        <v>46</v>
      </c>
      <c r="B2" s="7">
        <v>1.2255</v>
      </c>
      <c r="C2" s="7" t="s">
        <v>38</v>
      </c>
      <c r="M2" s="59" t="s">
        <v>8</v>
      </c>
      <c r="N2" s="60" t="s">
        <v>108</v>
      </c>
      <c r="O2" s="60" t="s">
        <v>109</v>
      </c>
      <c r="P2" s="60" t="s">
        <v>110</v>
      </c>
      <c r="Q2" s="60" t="s">
        <v>111</v>
      </c>
      <c r="R2" s="60" t="s">
        <v>112</v>
      </c>
      <c r="S2" s="60" t="s">
        <v>113</v>
      </c>
      <c r="T2" s="60" t="s">
        <v>114</v>
      </c>
      <c r="U2" s="60" t="s">
        <v>115</v>
      </c>
      <c r="V2" s="61" t="s">
        <v>116</v>
      </c>
      <c r="W2" s="61" t="s">
        <v>117</v>
      </c>
      <c r="X2" s="61" t="s">
        <v>118</v>
      </c>
      <c r="Y2" s="61" t="s">
        <v>119</v>
      </c>
      <c r="Z2" s="61" t="s">
        <v>120</v>
      </c>
      <c r="AA2" s="62" t="s">
        <v>152</v>
      </c>
      <c r="AC2" s="66" t="s">
        <v>124</v>
      </c>
      <c r="AD2" s="67"/>
      <c r="AE2" s="68"/>
      <c r="AF2" s="69"/>
      <c r="AG2" s="67"/>
      <c r="AH2" s="67"/>
      <c r="AI2" s="114"/>
      <c r="AJ2" s="115"/>
    </row>
    <row r="3" spans="1:38" x14ac:dyDescent="0.3">
      <c r="A3" s="4" t="s">
        <v>5</v>
      </c>
      <c r="B3" s="4">
        <v>21.3</v>
      </c>
      <c r="C3" s="4" t="s">
        <v>36</v>
      </c>
      <c r="M3" s="63">
        <v>0</v>
      </c>
      <c r="N3" s="70">
        <f>AC3</f>
        <v>36.920588710981697</v>
      </c>
      <c r="O3" s="70">
        <f>N3*3.6</f>
        <v>132.91411935953411</v>
      </c>
      <c r="P3" s="70">
        <f>AC12</f>
        <v>107.274785702733</v>
      </c>
      <c r="Q3" s="70">
        <f>P3*3.6</f>
        <v>386.18922852983883</v>
      </c>
      <c r="R3" s="70">
        <f>AD21</f>
        <v>8.1692154255319096</v>
      </c>
      <c r="S3" s="70">
        <f>10*R3</f>
        <v>81.692154255319096</v>
      </c>
      <c r="T3" s="70">
        <f>AC21</f>
        <v>65.224001293870202</v>
      </c>
      <c r="U3" s="70">
        <f>T3*3.6</f>
        <v>234.80640465793275</v>
      </c>
      <c r="V3" s="70">
        <f>AD30</f>
        <v>8.4556976802361401</v>
      </c>
      <c r="W3" s="70">
        <f>10*V3</f>
        <v>84.556976802361405</v>
      </c>
      <c r="X3" s="70">
        <f>AC30</f>
        <v>46.195320447609298</v>
      </c>
      <c r="Y3" s="70">
        <f>X3*3.6</f>
        <v>166.30315361139347</v>
      </c>
      <c r="Z3" s="70">
        <f>1/R3</f>
        <v>0.12241077605501982</v>
      </c>
      <c r="AA3" s="71">
        <v>0</v>
      </c>
      <c r="AC3">
        <v>36.920588710981697</v>
      </c>
      <c r="AD3">
        <v>5.0663785460992896</v>
      </c>
      <c r="AE3" s="114">
        <v>35.110565110565098</v>
      </c>
      <c r="AF3" s="115">
        <v>5.9288321167883202</v>
      </c>
      <c r="AG3">
        <v>35.110565110565098</v>
      </c>
      <c r="AH3">
        <v>5.6332116788321098</v>
      </c>
      <c r="AI3" s="114">
        <v>36.920588710981697</v>
      </c>
      <c r="AJ3" s="115">
        <v>5.0663785460992896</v>
      </c>
      <c r="AK3">
        <v>36.920588710981697</v>
      </c>
      <c r="AL3">
        <v>4.8585992907801403</v>
      </c>
    </row>
    <row r="4" spans="1:38" ht="15.6" x14ac:dyDescent="0.3">
      <c r="A4" s="4" t="s">
        <v>42</v>
      </c>
      <c r="B4" s="4">
        <v>2948</v>
      </c>
      <c r="C4" s="4" t="s">
        <v>0</v>
      </c>
      <c r="M4" s="63">
        <v>1000</v>
      </c>
      <c r="N4" s="70">
        <f t="shared" ref="N4:N9" si="0">AC4</f>
        <v>38.740093805595897</v>
      </c>
      <c r="O4" s="70">
        <f t="shared" ref="O4:O10" si="1">N4*3.6</f>
        <v>139.46433770014522</v>
      </c>
      <c r="P4" s="70">
        <f t="shared" ref="P4:P9" si="2">AC13</f>
        <v>106.263949539058</v>
      </c>
      <c r="Q4" s="70">
        <f t="shared" ref="Q4:Q10" si="3">P4*3.6</f>
        <v>382.55021834060881</v>
      </c>
      <c r="R4" s="70">
        <f t="shared" ref="R4:R9" si="4">AD22</f>
        <v>6.9363918439716299</v>
      </c>
      <c r="S4" s="70">
        <f t="shared" ref="S4:S10" si="5">10*R4</f>
        <v>69.363918439716301</v>
      </c>
      <c r="T4" s="70">
        <f t="shared" ref="T4:T9" si="6">AC22</f>
        <v>66.706561000592998</v>
      </c>
      <c r="U4" s="70">
        <f t="shared" ref="U4:U10" si="7">T4*3.6</f>
        <v>240.14361960213481</v>
      </c>
      <c r="V4" s="70">
        <f t="shared" ref="V4:V9" si="8">AD31</f>
        <v>6.9628270766972902</v>
      </c>
      <c r="W4" s="70">
        <f t="shared" ref="W4:W10" si="9">10*V4</f>
        <v>69.628270766972904</v>
      </c>
      <c r="X4" s="70">
        <f t="shared" ref="X4:X9" si="10">AC31</f>
        <v>51.403865717192197</v>
      </c>
      <c r="Y4" s="70">
        <f t="shared" ref="Y4:Y10" si="11">X4*3.6</f>
        <v>185.05391658189191</v>
      </c>
      <c r="Z4" s="70">
        <f t="shared" ref="Z4:Z9" si="12">1/R4</f>
        <v>0.14416717257245107</v>
      </c>
      <c r="AA4" s="71">
        <f>(Z4+Z3)/2*(M4-M3)/6</f>
        <v>22.214829052289236</v>
      </c>
      <c r="AC4">
        <v>38.740093805595897</v>
      </c>
      <c r="AD4">
        <v>4.2768173758865196</v>
      </c>
      <c r="AE4" s="114">
        <v>36.879606879606797</v>
      </c>
      <c r="AF4" s="115">
        <v>5.0255474452554703</v>
      </c>
      <c r="AG4">
        <v>36.879606879606797</v>
      </c>
      <c r="AH4">
        <v>4.8284671532846701</v>
      </c>
      <c r="AI4" s="114">
        <v>38.807482883174202</v>
      </c>
      <c r="AJ4" s="115">
        <v>4.1937056737588598</v>
      </c>
      <c r="AK4">
        <v>38.807482883174202</v>
      </c>
      <c r="AL4">
        <v>4.0136303191489304</v>
      </c>
    </row>
    <row r="5" spans="1:38" ht="15.6" x14ac:dyDescent="0.3">
      <c r="A5" s="4" t="s">
        <v>48</v>
      </c>
      <c r="B5" s="4">
        <v>550</v>
      </c>
      <c r="C5" s="4" t="s">
        <v>0</v>
      </c>
      <c r="M5" s="63">
        <v>2000</v>
      </c>
      <c r="N5" s="70">
        <f t="shared" si="0"/>
        <v>40.761766132945098</v>
      </c>
      <c r="O5" s="70">
        <f t="shared" si="1"/>
        <v>146.74235807860236</v>
      </c>
      <c r="P5" s="70">
        <f t="shared" si="2"/>
        <v>104.916167987492</v>
      </c>
      <c r="Q5" s="70">
        <f t="shared" si="3"/>
        <v>377.69820475497124</v>
      </c>
      <c r="R5" s="70">
        <f t="shared" si="4"/>
        <v>5.7589760638297802</v>
      </c>
      <c r="S5" s="70">
        <f t="shared" si="5"/>
        <v>57.589760638297804</v>
      </c>
      <c r="T5" s="70">
        <f t="shared" si="6"/>
        <v>68.323898862472305</v>
      </c>
      <c r="U5" s="70">
        <f t="shared" si="7"/>
        <v>245.96603590490031</v>
      </c>
      <c r="V5" s="70">
        <f t="shared" si="8"/>
        <v>5.5520404249287001</v>
      </c>
      <c r="W5" s="70">
        <f t="shared" si="9"/>
        <v>55.520404249286997</v>
      </c>
      <c r="X5" s="70">
        <f t="shared" si="10"/>
        <v>56.042726347914503</v>
      </c>
      <c r="Y5" s="70">
        <f t="shared" si="11"/>
        <v>201.75381485249221</v>
      </c>
      <c r="Z5" s="70">
        <f t="shared" si="12"/>
        <v>0.17364197887202007</v>
      </c>
      <c r="AA5" s="71">
        <f>(Z5+Z4)/2*(M5-M4)/6+AA4</f>
        <v>48.698925005995164</v>
      </c>
      <c r="AC5">
        <v>40.761766132945098</v>
      </c>
      <c r="AD5">
        <v>3.47340425531914</v>
      </c>
      <c r="AE5" s="114">
        <v>38.845208845208802</v>
      </c>
      <c r="AF5" s="115">
        <v>4.2043795620437896</v>
      </c>
      <c r="AG5">
        <v>38.845208845208802</v>
      </c>
      <c r="AH5">
        <v>4.0237226277372198</v>
      </c>
      <c r="AI5" s="114">
        <v>40.829155210523403</v>
      </c>
      <c r="AJ5" s="115">
        <v>3.33488475177304</v>
      </c>
      <c r="AK5">
        <v>40.761766132945098</v>
      </c>
      <c r="AL5">
        <v>3.1825132978723398</v>
      </c>
    </row>
    <row r="6" spans="1:38" ht="15.6" x14ac:dyDescent="0.3">
      <c r="A6" s="4" t="s">
        <v>55</v>
      </c>
      <c r="B6" s="4">
        <v>1863</v>
      </c>
      <c r="C6" s="4" t="s">
        <v>0</v>
      </c>
      <c r="M6" s="63">
        <v>3000</v>
      </c>
      <c r="N6" s="70">
        <f t="shared" si="0"/>
        <v>42.850827537872597</v>
      </c>
      <c r="O6" s="70">
        <f t="shared" si="1"/>
        <v>154.26297913634136</v>
      </c>
      <c r="P6" s="70">
        <f t="shared" si="2"/>
        <v>103.43360828076899</v>
      </c>
      <c r="Q6" s="70">
        <f t="shared" si="3"/>
        <v>372.36098981076839</v>
      </c>
      <c r="R6" s="70">
        <f t="shared" si="4"/>
        <v>4.69237588652482</v>
      </c>
      <c r="S6" s="70">
        <f t="shared" si="5"/>
        <v>46.923758865248203</v>
      </c>
      <c r="T6" s="70">
        <f t="shared" si="6"/>
        <v>69.806458569195101</v>
      </c>
      <c r="U6" s="70">
        <f t="shared" si="7"/>
        <v>251.30325084910237</v>
      </c>
      <c r="V6" s="70">
        <f t="shared" si="8"/>
        <v>4.3380751463402403</v>
      </c>
      <c r="W6" s="70">
        <f t="shared" si="9"/>
        <v>43.380751463402405</v>
      </c>
      <c r="X6" s="70">
        <f t="shared" si="10"/>
        <v>60.193285859613397</v>
      </c>
      <c r="Y6" s="70">
        <f t="shared" si="11"/>
        <v>216.69582909460823</v>
      </c>
      <c r="Z6" s="70">
        <f t="shared" si="12"/>
        <v>0.21311165690534681</v>
      </c>
      <c r="AA6" s="71">
        <f t="shared" ref="AA6:AA10" si="13">(Z6+Z5)/2*(M6-M5)/6+AA5</f>
        <v>80.92839465410907</v>
      </c>
      <c r="AC6">
        <v>42.850827537872597</v>
      </c>
      <c r="AD6">
        <v>2.6838430851063801</v>
      </c>
      <c r="AE6" s="114">
        <v>40.8108108108108</v>
      </c>
      <c r="AF6" s="115">
        <v>3.36678832116788</v>
      </c>
      <c r="AG6">
        <v>40.8108108108108</v>
      </c>
      <c r="AH6">
        <v>3.2189781021897801</v>
      </c>
      <c r="AI6" s="114">
        <v>42.918216615450902</v>
      </c>
      <c r="AJ6" s="115">
        <v>2.4760638297872299</v>
      </c>
      <c r="AK6">
        <v>42.918216615450902</v>
      </c>
      <c r="AL6">
        <v>2.3513962765957399</v>
      </c>
    </row>
    <row r="7" spans="1:38" ht="15.6" x14ac:dyDescent="0.3">
      <c r="A7" s="7" t="s">
        <v>50</v>
      </c>
      <c r="B7" s="7">
        <f>(B4+B6)/2</f>
        <v>2405.5</v>
      </c>
      <c r="C7" s="7" t="s">
        <v>0</v>
      </c>
      <c r="M7" s="63">
        <v>4000</v>
      </c>
      <c r="N7" s="70">
        <f t="shared" si="0"/>
        <v>45.074667097956699</v>
      </c>
      <c r="O7" s="70">
        <f t="shared" si="1"/>
        <v>162.26880155264411</v>
      </c>
      <c r="P7" s="70">
        <f t="shared" si="2"/>
        <v>101.344546875842</v>
      </c>
      <c r="Q7" s="70">
        <f t="shared" si="3"/>
        <v>364.84036875303121</v>
      </c>
      <c r="R7" s="70">
        <f t="shared" si="4"/>
        <v>3.59807180851063</v>
      </c>
      <c r="S7" s="70">
        <f t="shared" si="5"/>
        <v>35.980718085106304</v>
      </c>
      <c r="T7" s="70">
        <f t="shared" si="6"/>
        <v>71.356407353496095</v>
      </c>
      <c r="U7" s="70">
        <f t="shared" si="7"/>
        <v>256.88306647258594</v>
      </c>
      <c r="V7" s="70">
        <f t="shared" si="8"/>
        <v>3.2225705851941999</v>
      </c>
      <c r="W7" s="70">
        <f t="shared" si="9"/>
        <v>32.225705851941996</v>
      </c>
      <c r="X7" s="70">
        <f t="shared" si="10"/>
        <v>63.855544252288901</v>
      </c>
      <c r="Y7" s="70">
        <f t="shared" si="11"/>
        <v>229.87995930824005</v>
      </c>
      <c r="Z7" s="70">
        <f t="shared" si="12"/>
        <v>0.27792663771597587</v>
      </c>
      <c r="AA7" s="71">
        <f t="shared" si="13"/>
        <v>121.84825253921929</v>
      </c>
      <c r="AC7">
        <v>45.074667097956699</v>
      </c>
      <c r="AD7">
        <v>1.8942819148936101</v>
      </c>
      <c r="AE7" s="114">
        <v>43.071253071252997</v>
      </c>
      <c r="AF7" s="115">
        <v>2.5620437956204301</v>
      </c>
      <c r="AG7">
        <v>42.972972972972897</v>
      </c>
      <c r="AH7">
        <v>2.4306569343065698</v>
      </c>
      <c r="AI7" s="114">
        <v>45.074667097956699</v>
      </c>
      <c r="AJ7" s="115">
        <v>1.6172429078014099</v>
      </c>
      <c r="AK7">
        <v>45.142056175534996</v>
      </c>
      <c r="AL7">
        <v>1.50642730496453</v>
      </c>
    </row>
    <row r="8" spans="1:38" x14ac:dyDescent="0.3">
      <c r="A8" s="7" t="s">
        <v>13</v>
      </c>
      <c r="B8" s="7">
        <f>(B7+B5/2)*B1</f>
        <v>26295.705000000002</v>
      </c>
      <c r="C8" s="7" t="s">
        <v>39</v>
      </c>
      <c r="M8" s="63">
        <v>5000</v>
      </c>
      <c r="N8" s="70">
        <f t="shared" si="0"/>
        <v>47.500673890775701</v>
      </c>
      <c r="O8" s="70">
        <f t="shared" si="1"/>
        <v>171.00242600679252</v>
      </c>
      <c r="P8" s="70">
        <f t="shared" si="2"/>
        <v>98.918540083023302</v>
      </c>
      <c r="Q8" s="70">
        <f t="shared" si="3"/>
        <v>356.10674429888388</v>
      </c>
      <c r="R8" s="70">
        <f t="shared" si="4"/>
        <v>2.6145833333333299</v>
      </c>
      <c r="S8" s="70">
        <f t="shared" si="5"/>
        <v>26.1458333333333</v>
      </c>
      <c r="T8" s="70">
        <f t="shared" si="6"/>
        <v>72.5694107499056</v>
      </c>
      <c r="U8" s="70">
        <f t="shared" si="7"/>
        <v>261.24987869966014</v>
      </c>
      <c r="V8" s="70">
        <f t="shared" si="8"/>
        <v>2.25460700765472</v>
      </c>
      <c r="W8" s="70">
        <f t="shared" si="9"/>
        <v>22.546070076547199</v>
      </c>
      <c r="X8" s="70">
        <f t="shared" si="10"/>
        <v>67.517802644964405</v>
      </c>
      <c r="Y8" s="70">
        <f t="shared" si="11"/>
        <v>243.06408952187186</v>
      </c>
      <c r="Z8" s="70">
        <f t="shared" si="12"/>
        <v>0.38247011952191284</v>
      </c>
      <c r="AA8" s="71">
        <f t="shared" si="13"/>
        <v>176.88131564237668</v>
      </c>
      <c r="AC8">
        <v>47.500673890775701</v>
      </c>
      <c r="AD8">
        <v>1.0908687943262401</v>
      </c>
      <c r="AE8" s="114">
        <v>45.4299754299754</v>
      </c>
      <c r="AF8" s="115">
        <v>1.7080291970802901</v>
      </c>
      <c r="AG8">
        <v>45.4299754299754</v>
      </c>
      <c r="AH8">
        <v>1.59306569343065</v>
      </c>
      <c r="AI8" s="114">
        <v>47.702841123510701</v>
      </c>
      <c r="AJ8" s="115">
        <v>1.0216090425531901</v>
      </c>
      <c r="AK8">
        <v>47.770230201088999</v>
      </c>
      <c r="AL8">
        <v>0.68916223404255195</v>
      </c>
    </row>
    <row r="9" spans="1:38" ht="15.6" x14ac:dyDescent="0.3">
      <c r="A9" s="4" t="s">
        <v>56</v>
      </c>
      <c r="B9" s="4">
        <f>223000*2</f>
        <v>446000</v>
      </c>
      <c r="C9" s="4" t="s">
        <v>35</v>
      </c>
      <c r="M9" s="63">
        <v>6000</v>
      </c>
      <c r="N9" s="70">
        <f t="shared" si="0"/>
        <v>50.061458838751399</v>
      </c>
      <c r="O9" s="70">
        <f t="shared" si="1"/>
        <v>180.22125181950503</v>
      </c>
      <c r="P9" s="70">
        <f t="shared" si="2"/>
        <v>94.875195428324901</v>
      </c>
      <c r="Q9" s="70">
        <f t="shared" si="3"/>
        <v>341.55070354196965</v>
      </c>
      <c r="R9" s="70">
        <f t="shared" si="4"/>
        <v>1.6033909574467999</v>
      </c>
      <c r="S9" s="70">
        <f t="shared" si="5"/>
        <v>16.033909574467998</v>
      </c>
      <c r="T9" s="70">
        <f t="shared" si="6"/>
        <v>73.917192301471701</v>
      </c>
      <c r="U9" s="70">
        <f t="shared" si="7"/>
        <v>266.10189228529811</v>
      </c>
      <c r="V9" s="70">
        <f t="shared" si="8"/>
        <v>1.3195137001150701</v>
      </c>
      <c r="W9" s="70">
        <f t="shared" si="9"/>
        <v>13.195137001150702</v>
      </c>
      <c r="X9" s="70">
        <f t="shared" si="10"/>
        <v>70.773143438453701</v>
      </c>
      <c r="Y9" s="70">
        <f t="shared" si="11"/>
        <v>254.78331637843334</v>
      </c>
      <c r="Z9" s="70">
        <f t="shared" si="12"/>
        <v>0.62367820858387235</v>
      </c>
      <c r="AA9" s="71">
        <f t="shared" si="13"/>
        <v>260.72700965119213</v>
      </c>
      <c r="AC9">
        <v>50.061458838751399</v>
      </c>
      <c r="AD9">
        <v>0.27360372340425498</v>
      </c>
      <c r="AE9" s="114">
        <v>48.083538083538002</v>
      </c>
      <c r="AF9" s="115">
        <v>0.886861313868614</v>
      </c>
      <c r="AG9">
        <v>47.985257985257903</v>
      </c>
      <c r="AH9">
        <v>0.77189781021897896</v>
      </c>
      <c r="AI9" s="114">
        <v>50.331015149064598</v>
      </c>
      <c r="AJ9" s="115">
        <v>0.14893617021276501</v>
      </c>
      <c r="AK9">
        <v>51.880963933365599</v>
      </c>
      <c r="AL9">
        <v>-3.4352836879438702E-3</v>
      </c>
    </row>
    <row r="10" spans="1:38" ht="16.2" thickBot="1" x14ac:dyDescent="0.35">
      <c r="A10" s="4" t="s">
        <v>57</v>
      </c>
      <c r="B10" s="4">
        <v>1</v>
      </c>
      <c r="C10" s="4" t="s">
        <v>35</v>
      </c>
      <c r="M10" s="63">
        <v>7000</v>
      </c>
      <c r="N10" s="70">
        <f t="shared" ref="N10" si="14">AC10</f>
        <v>58.350315380883004</v>
      </c>
      <c r="O10" s="70">
        <f t="shared" si="1"/>
        <v>210.06113537117881</v>
      </c>
      <c r="P10" s="70">
        <f t="shared" ref="P10" si="15">AC19</f>
        <v>89.281901989325505</v>
      </c>
      <c r="Q10" s="70">
        <f t="shared" si="3"/>
        <v>321.4148471615718</v>
      </c>
      <c r="R10" s="70">
        <f t="shared" ref="R10" si="16">AD28</f>
        <v>0.73905109489051102</v>
      </c>
      <c r="S10" s="70">
        <f t="shared" si="5"/>
        <v>7.39051094890511</v>
      </c>
      <c r="T10" s="70">
        <f t="shared" ref="T10" si="17">AC28</f>
        <v>75.601919240929405</v>
      </c>
      <c r="U10" s="70">
        <f t="shared" si="7"/>
        <v>272.16690926734589</v>
      </c>
      <c r="V10" s="70">
        <f t="shared" ref="V10" si="18">AD37</f>
        <v>0.54847155746043397</v>
      </c>
      <c r="W10" s="70">
        <f t="shared" si="9"/>
        <v>5.4847155746043397</v>
      </c>
      <c r="X10" s="70">
        <f t="shared" ref="X10" si="19">AC37</f>
        <v>73.458799593082404</v>
      </c>
      <c r="Y10" s="70">
        <f t="shared" si="11"/>
        <v>264.45167853509668</v>
      </c>
      <c r="Z10" s="70">
        <f t="shared" ref="Z10" si="20">1/R10</f>
        <v>1.3530864197530863</v>
      </c>
      <c r="AA10" s="71">
        <f t="shared" si="13"/>
        <v>425.45739534593872</v>
      </c>
      <c r="AC10">
        <v>58.350315380883004</v>
      </c>
      <c r="AD10">
        <v>-3.4352836879438702E-3</v>
      </c>
      <c r="AE10" s="114">
        <v>50.933660933660903</v>
      </c>
      <c r="AF10" s="115">
        <v>1.6423357664233799E-2</v>
      </c>
      <c r="AG10">
        <v>52.014742014741998</v>
      </c>
      <c r="AH10">
        <v>1.6423357664233799E-2</v>
      </c>
      <c r="AI10" s="114"/>
      <c r="AJ10" s="115"/>
    </row>
    <row r="11" spans="1:38" ht="15.6" x14ac:dyDescent="0.3">
      <c r="A11" s="4" t="s">
        <v>58</v>
      </c>
      <c r="B11" s="4">
        <v>42.92</v>
      </c>
      <c r="C11" s="4" t="s">
        <v>37</v>
      </c>
      <c r="M11" s="2">
        <f>AC41</f>
        <v>7700</v>
      </c>
      <c r="N11" s="2"/>
      <c r="O11" s="2">
        <v>275</v>
      </c>
      <c r="P11" s="2"/>
      <c r="Q11" s="2">
        <f>O11</f>
        <v>275</v>
      </c>
      <c r="R11" s="2"/>
      <c r="S11" s="2">
        <v>0</v>
      </c>
      <c r="T11" s="2"/>
      <c r="U11" s="2">
        <f>O11</f>
        <v>275</v>
      </c>
      <c r="V11" s="2"/>
      <c r="W11" s="2">
        <f>S11</f>
        <v>0</v>
      </c>
      <c r="Y11" s="2">
        <f>O11</f>
        <v>275</v>
      </c>
      <c r="Z11" s="2"/>
      <c r="AA11" s="2">
        <v>500</v>
      </c>
      <c r="AC11" s="125" t="s">
        <v>125</v>
      </c>
      <c r="AD11" s="67"/>
      <c r="AE11" s="68"/>
      <c r="AF11" s="69"/>
      <c r="AG11" s="67"/>
      <c r="AH11" s="67"/>
      <c r="AI11" s="116"/>
      <c r="AJ11" s="117"/>
      <c r="AK11" s="118"/>
      <c r="AL11" s="118"/>
    </row>
    <row r="12" spans="1:38" ht="15" thickBot="1" x14ac:dyDescent="0.35">
      <c r="A12" s="4" t="s">
        <v>18</v>
      </c>
      <c r="B12" s="4">
        <v>1.84</v>
      </c>
      <c r="C12" s="4" t="s">
        <v>3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C12">
        <v>107.274785702733</v>
      </c>
      <c r="AD12">
        <v>-1.7287234042553799E-2</v>
      </c>
      <c r="AE12" s="114">
        <v>106.953316953316</v>
      </c>
      <c r="AF12" s="115">
        <v>1.6423357664233799E-2</v>
      </c>
      <c r="AG12">
        <v>106.28571428571399</v>
      </c>
      <c r="AH12">
        <v>0</v>
      </c>
      <c r="AI12" s="114">
        <v>106.19656046148</v>
      </c>
      <c r="AJ12" s="115">
        <v>-3.4352836879438702E-3</v>
      </c>
      <c r="AK12">
        <v>106.60089492695001</v>
      </c>
      <c r="AL12">
        <v>-3.4352836879438702E-3</v>
      </c>
    </row>
    <row r="13" spans="1:38" ht="15.6" x14ac:dyDescent="0.3">
      <c r="A13" s="4" t="s">
        <v>59</v>
      </c>
      <c r="B13" s="4">
        <v>5.8840000000000003</v>
      </c>
      <c r="C13" s="4" t="s">
        <v>7</v>
      </c>
      <c r="M13" s="59" t="s">
        <v>8</v>
      </c>
      <c r="N13" s="60" t="s">
        <v>108</v>
      </c>
      <c r="O13" s="60" t="s">
        <v>109</v>
      </c>
      <c r="P13" s="60" t="s">
        <v>110</v>
      </c>
      <c r="Q13" s="60" t="s">
        <v>111</v>
      </c>
      <c r="R13" s="60" t="s">
        <v>112</v>
      </c>
      <c r="S13" s="60" t="s">
        <v>113</v>
      </c>
      <c r="T13" s="60" t="s">
        <v>114</v>
      </c>
      <c r="U13" s="60" t="s">
        <v>115</v>
      </c>
      <c r="V13" s="61" t="s">
        <v>116</v>
      </c>
      <c r="W13" s="61" t="s">
        <v>117</v>
      </c>
      <c r="X13" s="61" t="s">
        <v>118</v>
      </c>
      <c r="Y13" s="61" t="s">
        <v>119</v>
      </c>
      <c r="Z13" s="61" t="s">
        <v>120</v>
      </c>
      <c r="AA13" s="62" t="s">
        <v>152</v>
      </c>
      <c r="AC13">
        <v>106.263949539058</v>
      </c>
      <c r="AD13">
        <v>-3.4352836879438702E-3</v>
      </c>
      <c r="AE13" s="114">
        <v>105.773955773955</v>
      </c>
      <c r="AF13" s="115">
        <v>1.6423357664233799E-2</v>
      </c>
      <c r="AG13">
        <v>105.577395577395</v>
      </c>
      <c r="AH13">
        <v>1.6423357664233799E-2</v>
      </c>
      <c r="AI13" s="114">
        <v>104.916167987492</v>
      </c>
      <c r="AJ13" s="115">
        <v>-1.7287234042553799E-2</v>
      </c>
      <c r="AK13">
        <v>105.657447840853</v>
      </c>
      <c r="AL13">
        <v>-3.4352836879438702E-3</v>
      </c>
    </row>
    <row r="14" spans="1:38" ht="15.6" x14ac:dyDescent="0.3">
      <c r="A14" s="4" t="s">
        <v>60</v>
      </c>
      <c r="B14" s="4">
        <v>2.214E-2</v>
      </c>
      <c r="C14" s="4" t="s">
        <v>7</v>
      </c>
      <c r="M14" s="63">
        <v>0</v>
      </c>
      <c r="N14" s="70">
        <f>AE3</f>
        <v>35.110565110565098</v>
      </c>
      <c r="O14" s="70">
        <f>N14*3.6</f>
        <v>126.39803439803435</v>
      </c>
      <c r="P14" s="70">
        <f>AE12</f>
        <v>106.953316953316</v>
      </c>
      <c r="Q14" s="70">
        <f>P14*3.6</f>
        <v>385.03194103193761</v>
      </c>
      <c r="R14" s="70">
        <f>AF21</f>
        <v>8.5237226277372198</v>
      </c>
      <c r="S14" s="70">
        <f>10*R14</f>
        <v>85.237226277372201</v>
      </c>
      <c r="T14" s="70">
        <f>AE21</f>
        <v>60.171990171990103</v>
      </c>
      <c r="U14" s="70">
        <f>T14*3.6</f>
        <v>216.61916461916437</v>
      </c>
      <c r="V14" s="70">
        <f>AF30</f>
        <v>9.7178130511463792</v>
      </c>
      <c r="W14" s="70">
        <f>10*V14</f>
        <v>97.178130511463792</v>
      </c>
      <c r="X14" s="70">
        <f>AE30</f>
        <v>43.0592503022974</v>
      </c>
      <c r="Y14" s="70">
        <f>X14*3.6</f>
        <v>155.01330108827065</v>
      </c>
      <c r="Z14" s="70">
        <f>1/R14</f>
        <v>0.11731963177049891</v>
      </c>
      <c r="AA14" s="71">
        <v>0</v>
      </c>
      <c r="AC14">
        <v>104.916167987492</v>
      </c>
      <c r="AD14">
        <v>-3.4352836879438702E-3</v>
      </c>
      <c r="AE14" s="114">
        <v>104.299754299754</v>
      </c>
      <c r="AF14" s="115">
        <v>1.6423357664233799E-2</v>
      </c>
      <c r="AG14">
        <v>104.987714987714</v>
      </c>
      <c r="AH14">
        <v>1.6423357664233799E-2</v>
      </c>
      <c r="AI14" s="114">
        <v>103.231441048034</v>
      </c>
      <c r="AJ14" s="115">
        <v>-1.7287234042553799E-2</v>
      </c>
      <c r="AK14">
        <v>103.231441048034</v>
      </c>
      <c r="AL14">
        <v>-1.7287234042553799E-2</v>
      </c>
    </row>
    <row r="15" spans="1:38" ht="15.6" x14ac:dyDescent="0.35">
      <c r="A15" s="1" t="s">
        <v>93</v>
      </c>
      <c r="B15" s="2">
        <v>1.63</v>
      </c>
      <c r="C15" s="2" t="s">
        <v>7</v>
      </c>
      <c r="M15" s="63">
        <v>1000</v>
      </c>
      <c r="N15" s="70">
        <f t="shared" ref="N15:N20" si="21">AE4</f>
        <v>36.879606879606797</v>
      </c>
      <c r="O15" s="70">
        <f t="shared" ref="O15:O21" si="22">N15*3.6</f>
        <v>132.76658476658449</v>
      </c>
      <c r="P15" s="70">
        <f t="shared" ref="P15:P20" si="23">AE13</f>
        <v>105.773955773955</v>
      </c>
      <c r="Q15" s="70">
        <f t="shared" ref="Q15:Q21" si="24">P15*3.6</f>
        <v>380.78624078623801</v>
      </c>
      <c r="R15" s="70">
        <f t="shared" ref="R15:R20" si="25">AF22</f>
        <v>7.2755474452554703</v>
      </c>
      <c r="S15" s="70">
        <f t="shared" ref="S15:S21" si="26">10*R15</f>
        <v>72.755474452554708</v>
      </c>
      <c r="T15" s="70">
        <f t="shared" ref="T15:T20" si="27">AE22</f>
        <v>61.154791154791099</v>
      </c>
      <c r="U15" s="70">
        <f t="shared" ref="U15:U21" si="28">T15*3.6</f>
        <v>220.15724815724795</v>
      </c>
      <c r="V15" s="70">
        <f t="shared" ref="V15:V20" si="29">AF31</f>
        <v>8.0599647266313905</v>
      </c>
      <c r="W15" s="70">
        <f t="shared" ref="W15:W21" si="30">10*V15</f>
        <v>80.599647266313909</v>
      </c>
      <c r="X15" s="70">
        <f t="shared" ref="X15:X20" si="31">AE31</f>
        <v>46.058041112454603</v>
      </c>
      <c r="Y15" s="70">
        <f t="shared" ref="Y15:Y21" si="32">X15*3.6</f>
        <v>165.80894800483657</v>
      </c>
      <c r="Z15" s="70">
        <f t="shared" ref="Z15:Z20" si="33">1/R15</f>
        <v>0.13744670178078763</v>
      </c>
      <c r="AA15" s="71">
        <f>(Z15+Z14)/2*(M15-M14)/6</f>
        <v>21.230527795940542</v>
      </c>
      <c r="AC15">
        <v>103.43360828076899</v>
      </c>
      <c r="AD15">
        <v>-3.4352836879438702E-3</v>
      </c>
      <c r="AE15" s="114">
        <v>102.62899262899199</v>
      </c>
      <c r="AF15" s="115">
        <v>1.6423357664233799E-2</v>
      </c>
      <c r="AG15">
        <v>102.33415233415199</v>
      </c>
      <c r="AH15">
        <v>1.6423357664233799E-2</v>
      </c>
      <c r="AI15" s="114">
        <v>101.07499056552901</v>
      </c>
      <c r="AJ15" s="115">
        <v>-3.4352836879438702E-3</v>
      </c>
      <c r="AK15">
        <v>100.940212410372</v>
      </c>
      <c r="AL15">
        <v>-3.4352836879438702E-3</v>
      </c>
    </row>
    <row r="16" spans="1:38" ht="15.6" x14ac:dyDescent="0.3">
      <c r="A16" s="4" t="s">
        <v>61</v>
      </c>
      <c r="B16" s="4">
        <v>6.1340000000000003</v>
      </c>
      <c r="C16" s="4" t="s">
        <v>34</v>
      </c>
      <c r="M16" s="63">
        <v>2000</v>
      </c>
      <c r="N16" s="70">
        <f t="shared" si="21"/>
        <v>38.845208845208802</v>
      </c>
      <c r="O16" s="70">
        <f t="shared" si="22"/>
        <v>139.84275184275168</v>
      </c>
      <c r="P16" s="70">
        <f t="shared" si="23"/>
        <v>104.299754299754</v>
      </c>
      <c r="Q16" s="70">
        <f t="shared" si="24"/>
        <v>375.4791154791144</v>
      </c>
      <c r="R16" s="70">
        <f t="shared" si="25"/>
        <v>6.09306569343065</v>
      </c>
      <c r="S16" s="70">
        <f t="shared" si="26"/>
        <v>60.930656934306498</v>
      </c>
      <c r="T16" s="70">
        <f t="shared" si="27"/>
        <v>62.530712530712499</v>
      </c>
      <c r="U16" s="70">
        <f t="shared" si="28"/>
        <v>225.11056511056501</v>
      </c>
      <c r="V16" s="70">
        <f t="shared" si="29"/>
        <v>6.5255731922398503</v>
      </c>
      <c r="W16" s="70">
        <f t="shared" si="30"/>
        <v>65.255731922398496</v>
      </c>
      <c r="X16" s="70">
        <f t="shared" si="31"/>
        <v>48.476420798065298</v>
      </c>
      <c r="Y16" s="70">
        <f t="shared" si="32"/>
        <v>174.51511487303509</v>
      </c>
      <c r="Z16" s="70">
        <f t="shared" si="33"/>
        <v>0.16412099430967375</v>
      </c>
      <c r="AA16" s="71">
        <f>(Z16+Z15)/2*(M16-M15)/6+AA15</f>
        <v>46.361169136812329</v>
      </c>
      <c r="AC16">
        <v>101.344546875842</v>
      </c>
      <c r="AD16">
        <v>-3.4352836879438702E-3</v>
      </c>
      <c r="AE16" s="114">
        <v>100.27027027027</v>
      </c>
      <c r="AF16" s="115">
        <v>1.6423357664233799E-2</v>
      </c>
      <c r="AG16">
        <v>99.975429975429904</v>
      </c>
      <c r="AH16">
        <v>1.6423357664233799E-2</v>
      </c>
      <c r="AI16" s="114">
        <v>98.177260229661897</v>
      </c>
      <c r="AJ16" s="115">
        <v>-3.4352836879438702E-3</v>
      </c>
      <c r="AK16">
        <v>97.638147609035499</v>
      </c>
      <c r="AL16">
        <v>-3.4352836879438702E-3</v>
      </c>
    </row>
    <row r="17" spans="1:38" x14ac:dyDescent="0.3">
      <c r="A17" s="4" t="s">
        <v>14</v>
      </c>
      <c r="B17" s="4">
        <v>0.12</v>
      </c>
      <c r="C17" s="4" t="s">
        <v>7</v>
      </c>
      <c r="M17" s="63">
        <v>3000</v>
      </c>
      <c r="N17" s="70">
        <f t="shared" si="21"/>
        <v>40.8108108108108</v>
      </c>
      <c r="O17" s="70">
        <f t="shared" si="22"/>
        <v>146.91891891891888</v>
      </c>
      <c r="P17" s="70">
        <f t="shared" si="23"/>
        <v>102.62899262899199</v>
      </c>
      <c r="Q17" s="70">
        <f t="shared" si="24"/>
        <v>369.46437346437119</v>
      </c>
      <c r="R17" s="70">
        <f t="shared" si="25"/>
        <v>4.9598540145985401</v>
      </c>
      <c r="S17" s="70">
        <f t="shared" si="26"/>
        <v>49.598540145985403</v>
      </c>
      <c r="T17" s="70">
        <f t="shared" si="27"/>
        <v>63.415233415233402</v>
      </c>
      <c r="U17" s="70">
        <f t="shared" si="28"/>
        <v>228.29484029484024</v>
      </c>
      <c r="V17" s="70">
        <f t="shared" si="29"/>
        <v>5.0793650793650702</v>
      </c>
      <c r="W17" s="70">
        <f t="shared" si="30"/>
        <v>50.793650793650698</v>
      </c>
      <c r="X17" s="70">
        <f t="shared" si="31"/>
        <v>51.378476420798002</v>
      </c>
      <c r="Y17" s="70">
        <f t="shared" si="32"/>
        <v>184.96251511487282</v>
      </c>
      <c r="Z17" s="70">
        <f t="shared" si="33"/>
        <v>0.2016188373804268</v>
      </c>
      <c r="AA17" s="71">
        <f>(Z17+Z16)/2*(M17-M16)/6+AA16</f>
        <v>76.839488444320708</v>
      </c>
      <c r="AC17">
        <v>98.918540083023302</v>
      </c>
      <c r="AD17">
        <v>-3.4352836879438702E-3</v>
      </c>
      <c r="AE17" s="114">
        <v>97.027027027027003</v>
      </c>
      <c r="AF17" s="115">
        <v>1.6423357664233799E-2</v>
      </c>
      <c r="AG17">
        <v>96.339066339066306</v>
      </c>
      <c r="AH17">
        <v>0</v>
      </c>
      <c r="AI17" s="114">
        <v>94.336082807698503</v>
      </c>
      <c r="AJ17" s="115">
        <v>-1.7287234042553799E-2</v>
      </c>
      <c r="AK17">
        <v>93.796970187072006</v>
      </c>
      <c r="AL17">
        <v>-3.4352836879438702E-3</v>
      </c>
    </row>
    <row r="18" spans="1:38" x14ac:dyDescent="0.3">
      <c r="A18" s="8" t="s">
        <v>30</v>
      </c>
      <c r="B18" s="4">
        <v>1</v>
      </c>
      <c r="C18" s="9" t="s">
        <v>64</v>
      </c>
      <c r="M18" s="63">
        <v>4000</v>
      </c>
      <c r="N18" s="70">
        <f t="shared" si="21"/>
        <v>43.071253071252997</v>
      </c>
      <c r="O18" s="70">
        <f t="shared" si="22"/>
        <v>155.0565110565108</v>
      </c>
      <c r="P18" s="70">
        <f t="shared" si="23"/>
        <v>100.27027027027</v>
      </c>
      <c r="Q18" s="70">
        <f t="shared" si="24"/>
        <v>360.972972972972</v>
      </c>
      <c r="R18" s="70">
        <f t="shared" si="25"/>
        <v>3.85948905109489</v>
      </c>
      <c r="S18" s="70">
        <f t="shared" si="26"/>
        <v>38.5948905109489</v>
      </c>
      <c r="T18" s="70">
        <f t="shared" si="27"/>
        <v>64.594594594594597</v>
      </c>
      <c r="U18" s="70">
        <f t="shared" si="28"/>
        <v>232.54054054054055</v>
      </c>
      <c r="V18" s="70">
        <f t="shared" si="29"/>
        <v>3.8447971781305101</v>
      </c>
      <c r="W18" s="70">
        <f t="shared" si="30"/>
        <v>38.4479717813051</v>
      </c>
      <c r="X18" s="70">
        <f t="shared" si="31"/>
        <v>53.893591293833097</v>
      </c>
      <c r="Y18" s="70">
        <f t="shared" si="32"/>
        <v>194.01692865779916</v>
      </c>
      <c r="Z18" s="70">
        <f t="shared" si="33"/>
        <v>0.25910165484633574</v>
      </c>
      <c r="AA18" s="71">
        <f t="shared" ref="AA18:AA21" si="34">(Z18+Z17)/2*(M18-M17)/6+AA17</f>
        <v>115.23286279655092</v>
      </c>
      <c r="AC18">
        <v>94.875195428324901</v>
      </c>
      <c r="AD18">
        <v>-3.4352836879438702E-3</v>
      </c>
      <c r="AE18" s="114">
        <v>92.702702702702695</v>
      </c>
      <c r="AF18" s="115">
        <v>1.6423357664233799E-2</v>
      </c>
      <c r="AG18">
        <v>92.211302211302197</v>
      </c>
      <c r="AH18">
        <v>1.6423357664233799E-2</v>
      </c>
      <c r="AI18" s="114">
        <v>88.271065825650993</v>
      </c>
      <c r="AJ18" s="115">
        <v>-3.4352836879438702E-3</v>
      </c>
      <c r="AK18">
        <v>87.327618739554694</v>
      </c>
      <c r="AL18">
        <v>-3.4352836879438702E-3</v>
      </c>
    </row>
    <row r="19" spans="1:38" ht="16.2" thickBot="1" x14ac:dyDescent="0.35">
      <c r="A19" s="4" t="s">
        <v>62</v>
      </c>
      <c r="B19" s="4">
        <v>-2.97</v>
      </c>
      <c r="C19" s="9" t="s">
        <v>64</v>
      </c>
      <c r="M19" s="63">
        <v>5000</v>
      </c>
      <c r="N19" s="70">
        <f t="shared" si="21"/>
        <v>45.4299754299754</v>
      </c>
      <c r="O19" s="70">
        <f t="shared" si="22"/>
        <v>163.54791154791144</v>
      </c>
      <c r="P19" s="70">
        <f t="shared" si="23"/>
        <v>97.027027027027003</v>
      </c>
      <c r="Q19" s="70">
        <f t="shared" si="24"/>
        <v>349.29729729729723</v>
      </c>
      <c r="R19" s="70">
        <f t="shared" si="25"/>
        <v>2.7919708029197001</v>
      </c>
      <c r="S19" s="70">
        <f t="shared" si="26"/>
        <v>27.919708029197</v>
      </c>
      <c r="T19" s="70">
        <f t="shared" si="27"/>
        <v>65.479115479115407</v>
      </c>
      <c r="U19" s="70">
        <f t="shared" si="28"/>
        <v>235.72481572481547</v>
      </c>
      <c r="V19" s="70">
        <f t="shared" si="29"/>
        <v>2.6455026455026398</v>
      </c>
      <c r="W19" s="70">
        <f t="shared" si="30"/>
        <v>26.455026455026399</v>
      </c>
      <c r="X19" s="70">
        <f t="shared" si="31"/>
        <v>58.053204353083402</v>
      </c>
      <c r="Y19" s="70">
        <f t="shared" si="32"/>
        <v>208.99153567110025</v>
      </c>
      <c r="Z19" s="70">
        <f t="shared" si="33"/>
        <v>0.35816993464052388</v>
      </c>
      <c r="AA19" s="71">
        <f>(Z19+Z18)/2*(M19-M18)/6+AA18</f>
        <v>166.67216192045589</v>
      </c>
      <c r="AC19" s="119">
        <v>89.281901989325505</v>
      </c>
      <c r="AD19" s="119">
        <v>-3.4352836879438702E-3</v>
      </c>
      <c r="AE19" s="120">
        <v>85.3316953316953</v>
      </c>
      <c r="AF19" s="121">
        <v>1.6423357664233799E-2</v>
      </c>
      <c r="AG19" s="119">
        <v>84.742014742014703</v>
      </c>
      <c r="AH19" s="119">
        <v>1.6423357664233799E-2</v>
      </c>
      <c r="AI19" s="120"/>
      <c r="AJ19" s="121"/>
      <c r="AK19" s="119"/>
      <c r="AL19" s="119"/>
    </row>
    <row r="20" spans="1:38" ht="15.6" x14ac:dyDescent="0.3">
      <c r="A20" s="4" t="s">
        <v>63</v>
      </c>
      <c r="B20" s="4">
        <v>0.84599999999999997</v>
      </c>
      <c r="C20" s="4" t="s">
        <v>7</v>
      </c>
      <c r="M20" s="63">
        <v>6000</v>
      </c>
      <c r="N20" s="70">
        <f t="shared" si="21"/>
        <v>48.083538083538002</v>
      </c>
      <c r="O20" s="70">
        <f t="shared" si="22"/>
        <v>173.10073710073681</v>
      </c>
      <c r="P20" s="70">
        <f t="shared" si="23"/>
        <v>92.702702702702695</v>
      </c>
      <c r="Q20" s="70">
        <f t="shared" si="24"/>
        <v>333.72972972972968</v>
      </c>
      <c r="R20" s="70">
        <f t="shared" si="25"/>
        <v>1.77372262773722</v>
      </c>
      <c r="S20" s="70">
        <f t="shared" si="26"/>
        <v>17.737226277372201</v>
      </c>
      <c r="T20" s="70">
        <f t="shared" si="27"/>
        <v>66.658476658476602</v>
      </c>
      <c r="U20" s="70">
        <f t="shared" si="28"/>
        <v>239.97051597051578</v>
      </c>
      <c r="V20" s="70">
        <f t="shared" si="29"/>
        <v>1.6049382716049301</v>
      </c>
      <c r="W20" s="70">
        <f t="shared" si="30"/>
        <v>16.049382716049301</v>
      </c>
      <c r="X20" s="70">
        <f t="shared" si="31"/>
        <v>61.245465538089398</v>
      </c>
      <c r="Y20" s="70">
        <f t="shared" si="32"/>
        <v>220.48367593712183</v>
      </c>
      <c r="Z20" s="70">
        <f t="shared" si="33"/>
        <v>0.56378600823045466</v>
      </c>
      <c r="AA20" s="71">
        <f t="shared" si="34"/>
        <v>243.50182382637075</v>
      </c>
      <c r="AC20" s="126" t="s">
        <v>126</v>
      </c>
      <c r="AE20" s="64"/>
      <c r="AF20" s="65"/>
      <c r="AI20" s="114"/>
      <c r="AJ20" s="115"/>
    </row>
    <row r="21" spans="1:38" ht="15.6" x14ac:dyDescent="0.3">
      <c r="A21" s="7" t="s">
        <v>53</v>
      </c>
      <c r="B21" s="7">
        <f>B4/(B9/1000)</f>
        <v>6.6098654708520179</v>
      </c>
      <c r="C21" s="7"/>
      <c r="M21" s="63">
        <v>7000</v>
      </c>
      <c r="N21" s="70">
        <f t="shared" ref="N21" si="35">AE10</f>
        <v>50.933660933660903</v>
      </c>
      <c r="O21" s="70">
        <f t="shared" si="22"/>
        <v>183.36117936117927</v>
      </c>
      <c r="P21" s="70">
        <f t="shared" ref="P21" si="36">AE19</f>
        <v>85.3316953316953</v>
      </c>
      <c r="Q21" s="70">
        <f t="shared" si="24"/>
        <v>307.19410319410309</v>
      </c>
      <c r="R21" s="70">
        <f t="shared" ref="R21" si="37">AF28</f>
        <v>0.66145833333333204</v>
      </c>
      <c r="S21" s="70">
        <f t="shared" si="26"/>
        <v>6.6145833333333206</v>
      </c>
      <c r="T21" s="70">
        <f t="shared" ref="T21" si="38">AE28</f>
        <v>67.641277641277597</v>
      </c>
      <c r="U21" s="70">
        <f t="shared" si="28"/>
        <v>243.50859950859936</v>
      </c>
      <c r="V21" s="70">
        <f t="shared" ref="V21" si="39">AF37</f>
        <v>0.65255731922398497</v>
      </c>
      <c r="W21" s="70">
        <f t="shared" si="30"/>
        <v>6.5255731922398494</v>
      </c>
      <c r="X21" s="70">
        <f t="shared" ref="X21" si="40">AE37</f>
        <v>65</v>
      </c>
      <c r="Y21" s="70">
        <f t="shared" si="32"/>
        <v>234</v>
      </c>
      <c r="Z21" s="70">
        <f t="shared" ref="Z21" si="41">1/R21</f>
        <v>1.5118110236220501</v>
      </c>
      <c r="AA21" s="71">
        <f t="shared" si="34"/>
        <v>416.46824314741281</v>
      </c>
      <c r="AC21">
        <v>65.224001293870202</v>
      </c>
      <c r="AD21">
        <v>8.1692154255319096</v>
      </c>
      <c r="AE21" s="114">
        <v>60.171990171990103</v>
      </c>
      <c r="AF21" s="115">
        <v>8.5237226277372198</v>
      </c>
      <c r="AG21">
        <v>61.941031941031902</v>
      </c>
      <c r="AH21">
        <v>8.4580291970802897</v>
      </c>
      <c r="AI21" s="114">
        <v>60.708933096123701</v>
      </c>
      <c r="AJ21" s="115">
        <v>7.3658023049645296</v>
      </c>
      <c r="AK21">
        <v>64.213165130195705</v>
      </c>
      <c r="AL21">
        <v>7.3103945035460898</v>
      </c>
    </row>
    <row r="22" spans="1:38" ht="15.6" x14ac:dyDescent="0.3">
      <c r="A22" s="7" t="s">
        <v>47</v>
      </c>
      <c r="B22" s="7">
        <f>0.022*B24</f>
        <v>18.48</v>
      </c>
      <c r="C22" s="7"/>
      <c r="M22" s="2">
        <f>AE41</f>
        <v>7600</v>
      </c>
      <c r="N22" s="2"/>
      <c r="O22" s="2">
        <v>245</v>
      </c>
      <c r="P22" s="2"/>
      <c r="Q22" s="2">
        <f>O22</f>
        <v>245</v>
      </c>
      <c r="R22" s="2"/>
      <c r="S22" s="2">
        <f>S11</f>
        <v>0</v>
      </c>
      <c r="T22" s="2"/>
      <c r="U22" s="2">
        <f>O22</f>
        <v>245</v>
      </c>
      <c r="V22" s="2"/>
      <c r="W22" s="2">
        <f>W11</f>
        <v>0</v>
      </c>
      <c r="X22" s="2"/>
      <c r="Y22" s="2">
        <f>O22</f>
        <v>245</v>
      </c>
      <c r="Z22" s="2"/>
      <c r="AA22" s="2">
        <f>AA11</f>
        <v>500</v>
      </c>
      <c r="AC22">
        <v>66.706561000592998</v>
      </c>
      <c r="AD22">
        <v>6.9363918439716299</v>
      </c>
      <c r="AE22" s="114">
        <v>61.154791154791099</v>
      </c>
      <c r="AF22" s="115">
        <v>7.2755474452554703</v>
      </c>
      <c r="AG22">
        <v>62.923832923832897</v>
      </c>
      <c r="AH22">
        <v>7.2098540145985401</v>
      </c>
      <c r="AI22" s="114">
        <v>62.3262709580031</v>
      </c>
      <c r="AJ22" s="115">
        <v>6.1606826241134698</v>
      </c>
      <c r="AK22">
        <v>65.493557604183493</v>
      </c>
      <c r="AL22">
        <v>6.0637189716312001</v>
      </c>
    </row>
    <row r="23" spans="1:38" ht="16.2" thickBot="1" x14ac:dyDescent="0.35">
      <c r="A23" s="7" t="s">
        <v>54</v>
      </c>
      <c r="B23" s="7">
        <f>B22/B10</f>
        <v>18.48</v>
      </c>
      <c r="C23" s="7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C23">
        <v>68.323898862472305</v>
      </c>
      <c r="AD23">
        <v>5.7589760638297802</v>
      </c>
      <c r="AE23" s="114">
        <v>62.530712530712499</v>
      </c>
      <c r="AF23" s="115">
        <v>6.09306569343065</v>
      </c>
      <c r="AG23">
        <v>64.398034398034397</v>
      </c>
      <c r="AH23">
        <v>6.0109489051094904</v>
      </c>
      <c r="AI23" s="114">
        <v>63.876219742304102</v>
      </c>
      <c r="AJ23" s="115">
        <v>5.0109707446808498</v>
      </c>
      <c r="AK23">
        <v>66.841339155749594</v>
      </c>
      <c r="AL23">
        <v>4.9001551418439702</v>
      </c>
    </row>
    <row r="24" spans="1:38" ht="15.6" x14ac:dyDescent="0.35">
      <c r="A24" s="10" t="s">
        <v>65</v>
      </c>
      <c r="B24" s="4">
        <v>840</v>
      </c>
      <c r="C24" s="4" t="s">
        <v>38</v>
      </c>
      <c r="M24" s="59" t="s">
        <v>8</v>
      </c>
      <c r="N24" s="60" t="s">
        <v>108</v>
      </c>
      <c r="O24" s="60" t="s">
        <v>109</v>
      </c>
      <c r="P24" s="60" t="s">
        <v>110</v>
      </c>
      <c r="Q24" s="60" t="s">
        <v>111</v>
      </c>
      <c r="R24" s="60" t="s">
        <v>112</v>
      </c>
      <c r="S24" s="60" t="s">
        <v>113</v>
      </c>
      <c r="T24" s="60" t="s">
        <v>114</v>
      </c>
      <c r="U24" s="60" t="s">
        <v>115</v>
      </c>
      <c r="V24" s="61" t="s">
        <v>116</v>
      </c>
      <c r="W24" s="61" t="s">
        <v>117</v>
      </c>
      <c r="X24" s="61" t="s">
        <v>118</v>
      </c>
      <c r="Y24" s="61" t="s">
        <v>119</v>
      </c>
      <c r="Z24" s="61" t="s">
        <v>120</v>
      </c>
      <c r="AA24" s="62" t="s">
        <v>152</v>
      </c>
      <c r="AC24">
        <v>69.806458569195101</v>
      </c>
      <c r="AD24">
        <v>4.69237588652482</v>
      </c>
      <c r="AE24" s="114">
        <v>63.415233415233402</v>
      </c>
      <c r="AF24" s="115">
        <v>4.9598540145985401</v>
      </c>
      <c r="AG24">
        <v>65.479115479115407</v>
      </c>
      <c r="AH24">
        <v>4.8613138686131396</v>
      </c>
      <c r="AI24" s="114">
        <v>65.358779449026898</v>
      </c>
      <c r="AJ24" s="115">
        <v>3.8889627659574399</v>
      </c>
      <c r="AK24">
        <v>68.323898862472305</v>
      </c>
      <c r="AL24">
        <v>3.7781471631205599</v>
      </c>
    </row>
    <row r="25" spans="1:38" ht="15.6" x14ac:dyDescent="0.3">
      <c r="A25" s="7" t="s">
        <v>45</v>
      </c>
      <c r="B25" s="7">
        <v>45.4</v>
      </c>
      <c r="C25" s="7" t="s">
        <v>52</v>
      </c>
      <c r="M25" s="63">
        <v>0</v>
      </c>
      <c r="N25" s="70">
        <f>AG3</f>
        <v>35.110565110565098</v>
      </c>
      <c r="O25" s="70">
        <f>N25*3.6</f>
        <v>126.39803439803435</v>
      </c>
      <c r="P25" s="70">
        <f>AG12</f>
        <v>106.28571428571399</v>
      </c>
      <c r="Q25" s="70">
        <f>P25*3.6</f>
        <v>382.62857142857041</v>
      </c>
      <c r="R25" s="70">
        <f>AH21</f>
        <v>8.4580291970802897</v>
      </c>
      <c r="S25" s="70">
        <f>10*R25</f>
        <v>84.580291970802904</v>
      </c>
      <c r="T25" s="70">
        <f>AG21</f>
        <v>61.941031941031902</v>
      </c>
      <c r="U25" s="70">
        <f>T25*3.6</f>
        <v>222.98771498771484</v>
      </c>
      <c r="V25" s="70">
        <f>AH30</f>
        <v>9.5414462081128697</v>
      </c>
      <c r="W25" s="70">
        <f>10*V25</f>
        <v>95.414462081128704</v>
      </c>
      <c r="X25" s="70">
        <f>AG30</f>
        <v>41.414752116082198</v>
      </c>
      <c r="Y25" s="70">
        <f>X25*3.6</f>
        <v>149.09310761789592</v>
      </c>
      <c r="Z25" s="70">
        <f>1/R25</f>
        <v>0.11823085221143477</v>
      </c>
      <c r="AA25" s="71">
        <v>0</v>
      </c>
      <c r="AC25">
        <v>71.356407353496095</v>
      </c>
      <c r="AD25">
        <v>3.59807180851063</v>
      </c>
      <c r="AE25" s="114">
        <v>64.594594594594597</v>
      </c>
      <c r="AF25" s="115">
        <v>3.85948905109489</v>
      </c>
      <c r="AG25">
        <v>66.461916461916402</v>
      </c>
      <c r="AH25">
        <v>3.7445255474452499</v>
      </c>
      <c r="AI25" s="114">
        <v>66.571782845436402</v>
      </c>
      <c r="AJ25" s="115">
        <v>2.8777703900709199</v>
      </c>
      <c r="AK25">
        <v>69.739069491616704</v>
      </c>
      <c r="AL25">
        <v>2.72539893617021</v>
      </c>
    </row>
    <row r="26" spans="1:38" x14ac:dyDescent="0.3">
      <c r="A26" s="7" t="s">
        <v>49</v>
      </c>
      <c r="B26" s="7">
        <v>1.25</v>
      </c>
      <c r="C26" s="7" t="s">
        <v>6</v>
      </c>
      <c r="M26" s="63">
        <v>1000</v>
      </c>
      <c r="N26" s="70">
        <f t="shared" ref="N26:N31" si="42">AG4</f>
        <v>36.879606879606797</v>
      </c>
      <c r="O26" s="70">
        <f t="shared" ref="O26:O32" si="43">N26*3.6</f>
        <v>132.76658476658449</v>
      </c>
      <c r="P26" s="70">
        <f t="shared" ref="P26:P31" si="44">AG13</f>
        <v>105.577395577395</v>
      </c>
      <c r="Q26" s="70">
        <f t="shared" ref="Q26:Q32" si="45">P26*3.6</f>
        <v>380.078624078622</v>
      </c>
      <c r="R26" s="70">
        <f t="shared" ref="R26:R31" si="46">AH22</f>
        <v>7.2098540145985401</v>
      </c>
      <c r="S26" s="70">
        <f t="shared" ref="S26:S32" si="47">10*R26</f>
        <v>72.098540145985396</v>
      </c>
      <c r="T26" s="70">
        <f t="shared" ref="T26:T31" si="48">AG22</f>
        <v>62.923832923832897</v>
      </c>
      <c r="U26" s="70">
        <f t="shared" ref="U26:U32" si="49">T26*3.6</f>
        <v>226.52579852579842</v>
      </c>
      <c r="V26" s="70">
        <f t="shared" ref="V26:V31" si="50">AH31</f>
        <v>7.8835978835978802</v>
      </c>
      <c r="W26" s="70">
        <f t="shared" ref="W26:W32" si="51">10*V26</f>
        <v>78.835978835978807</v>
      </c>
      <c r="X26" s="70">
        <f t="shared" ref="X26:X31" si="52">AG31</f>
        <v>43.639661426844</v>
      </c>
      <c r="Y26" s="70">
        <f t="shared" ref="Y26:Y32" si="53">X26*3.6</f>
        <v>157.10278113663841</v>
      </c>
      <c r="Z26" s="70">
        <f t="shared" ref="Z26:Z31" si="54">1/R26</f>
        <v>0.1386990635282207</v>
      </c>
      <c r="AA26" s="71">
        <f>(Z26+Z25)/2*(M26-M25)/6</f>
        <v>21.410826311637958</v>
      </c>
      <c r="AC26">
        <v>72.5694107499056</v>
      </c>
      <c r="AD26">
        <v>2.6145833333333299</v>
      </c>
      <c r="AE26" s="114">
        <v>65.479115479115407</v>
      </c>
      <c r="AF26" s="115">
        <v>2.7919708029197001</v>
      </c>
      <c r="AG26">
        <v>67.837837837837796</v>
      </c>
      <c r="AH26">
        <v>2.72627737226277</v>
      </c>
      <c r="AI26" s="114">
        <v>67.650008086689297</v>
      </c>
      <c r="AJ26" s="115">
        <v>1.99124556737588</v>
      </c>
      <c r="AK26">
        <v>70.817294732869698</v>
      </c>
      <c r="AL26">
        <v>1.71420656028368</v>
      </c>
    </row>
    <row r="27" spans="1:38" ht="15.6" x14ac:dyDescent="0.3">
      <c r="A27" s="7" t="s">
        <v>43</v>
      </c>
      <c r="B27" s="7">
        <v>4550</v>
      </c>
      <c r="C27" s="7" t="s">
        <v>3</v>
      </c>
      <c r="M27" s="63">
        <v>2000</v>
      </c>
      <c r="N27" s="70">
        <f t="shared" si="42"/>
        <v>38.845208845208802</v>
      </c>
      <c r="O27" s="70">
        <f t="shared" si="43"/>
        <v>139.84275184275168</v>
      </c>
      <c r="P27" s="70">
        <f t="shared" si="44"/>
        <v>104.987714987714</v>
      </c>
      <c r="Q27" s="70">
        <f t="shared" si="45"/>
        <v>377.95577395577038</v>
      </c>
      <c r="R27" s="70">
        <f t="shared" si="46"/>
        <v>6.0109489051094904</v>
      </c>
      <c r="S27" s="70">
        <f t="shared" si="47"/>
        <v>60.109489051094904</v>
      </c>
      <c r="T27" s="70">
        <f t="shared" si="48"/>
        <v>64.398034398034397</v>
      </c>
      <c r="U27" s="70">
        <f t="shared" si="49"/>
        <v>231.83292383292383</v>
      </c>
      <c r="V27" s="70">
        <f t="shared" si="50"/>
        <v>6.3668430335097002</v>
      </c>
      <c r="W27" s="70">
        <f t="shared" si="51"/>
        <v>63.668430335097</v>
      </c>
      <c r="X27" s="70">
        <f t="shared" si="52"/>
        <v>46.444981862152297</v>
      </c>
      <c r="Y27" s="70">
        <f t="shared" si="53"/>
        <v>167.20193470374826</v>
      </c>
      <c r="Z27" s="70">
        <f t="shared" si="54"/>
        <v>0.16636308439587125</v>
      </c>
      <c r="AA27" s="71">
        <f>(Z27+Z26)/2*(M27-M26)/6+AA26</f>
        <v>46.832671971978954</v>
      </c>
      <c r="AC27">
        <v>73.917192301471701</v>
      </c>
      <c r="AD27">
        <v>1.6033909574467999</v>
      </c>
      <c r="AE27" s="114">
        <v>66.658476658476602</v>
      </c>
      <c r="AF27" s="115">
        <v>1.77372262773722</v>
      </c>
      <c r="AG27">
        <v>68.722358722358706</v>
      </c>
      <c r="AH27">
        <v>1.7408759124087601</v>
      </c>
      <c r="AI27" s="114">
        <v>69.065178715833696</v>
      </c>
      <c r="AJ27" s="115">
        <v>0.95234929078014297</v>
      </c>
      <c r="AK27">
        <v>71.962909051700905</v>
      </c>
      <c r="AL27">
        <v>0.73071808510638303</v>
      </c>
    </row>
    <row r="28" spans="1:38" ht="16.2" thickBot="1" x14ac:dyDescent="0.35">
      <c r="A28" s="7" t="s">
        <v>44</v>
      </c>
      <c r="B28" s="7">
        <v>3700</v>
      </c>
      <c r="C28" s="7" t="s">
        <v>3</v>
      </c>
      <c r="M28" s="63">
        <v>3000</v>
      </c>
      <c r="N28" s="70">
        <f t="shared" si="42"/>
        <v>40.8108108108108</v>
      </c>
      <c r="O28" s="70">
        <f t="shared" si="43"/>
        <v>146.91891891891888</v>
      </c>
      <c r="P28" s="70">
        <f t="shared" si="44"/>
        <v>102.33415233415199</v>
      </c>
      <c r="Q28" s="70">
        <f t="shared" si="45"/>
        <v>368.40294840294717</v>
      </c>
      <c r="R28" s="70">
        <f t="shared" si="46"/>
        <v>4.8613138686131396</v>
      </c>
      <c r="S28" s="70">
        <f t="shared" si="47"/>
        <v>48.613138686131393</v>
      </c>
      <c r="T28" s="70">
        <f t="shared" si="48"/>
        <v>65.479115479115407</v>
      </c>
      <c r="U28" s="70">
        <f t="shared" si="49"/>
        <v>235.72481572481547</v>
      </c>
      <c r="V28" s="70">
        <f t="shared" si="50"/>
        <v>4.9735449735449704</v>
      </c>
      <c r="W28" s="70">
        <f t="shared" si="51"/>
        <v>49.735449735449706</v>
      </c>
      <c r="X28" s="70">
        <f t="shared" si="52"/>
        <v>49.4437726723095</v>
      </c>
      <c r="Y28" s="70">
        <f t="shared" si="53"/>
        <v>177.99758162031421</v>
      </c>
      <c r="Z28" s="70">
        <f t="shared" si="54"/>
        <v>0.20570570570570568</v>
      </c>
      <c r="AA28" s="71">
        <f t="shared" ref="AA28:AA32" si="55">(Z28+Z27)/2*(M28-M27)/6+AA27</f>
        <v>77.8384044804437</v>
      </c>
      <c r="AC28">
        <v>75.601919240929405</v>
      </c>
      <c r="AD28" s="115">
        <v>0.73905109489051102</v>
      </c>
      <c r="AE28" s="114">
        <v>67.641277641277597</v>
      </c>
      <c r="AF28">
        <v>0.66145833333333204</v>
      </c>
      <c r="AG28" s="120">
        <v>69.803439803439801</v>
      </c>
      <c r="AH28">
        <v>0.65693430656934304</v>
      </c>
      <c r="AI28" s="114"/>
      <c r="AJ28" s="115"/>
    </row>
    <row r="29" spans="1:38" x14ac:dyDescent="0.3">
      <c r="A29" s="6" t="s">
        <v>30</v>
      </c>
      <c r="B29" s="7">
        <f>RADIANS(B18)</f>
        <v>1.7453292519943295E-2</v>
      </c>
      <c r="C29" s="7" t="s">
        <v>40</v>
      </c>
      <c r="M29" s="63">
        <v>4000</v>
      </c>
      <c r="N29" s="70">
        <f t="shared" si="42"/>
        <v>42.972972972972897</v>
      </c>
      <c r="O29" s="70">
        <f t="shared" si="43"/>
        <v>154.70270270270242</v>
      </c>
      <c r="P29" s="70">
        <f t="shared" si="44"/>
        <v>99.975429975429904</v>
      </c>
      <c r="Q29" s="70">
        <f t="shared" si="45"/>
        <v>359.91154791154764</v>
      </c>
      <c r="R29" s="70">
        <f t="shared" si="46"/>
        <v>3.7445255474452499</v>
      </c>
      <c r="S29" s="70">
        <f t="shared" si="47"/>
        <v>37.445255474452502</v>
      </c>
      <c r="T29" s="70">
        <f t="shared" si="48"/>
        <v>66.461916461916402</v>
      </c>
      <c r="U29" s="70">
        <f t="shared" si="49"/>
        <v>239.26289926289905</v>
      </c>
      <c r="V29" s="70">
        <f t="shared" si="50"/>
        <v>3.7389770723104001</v>
      </c>
      <c r="W29" s="70">
        <f t="shared" si="51"/>
        <v>37.389770723104</v>
      </c>
      <c r="X29" s="70">
        <f t="shared" si="52"/>
        <v>52.732769044740003</v>
      </c>
      <c r="Y29" s="70">
        <f t="shared" si="53"/>
        <v>189.837968561064</v>
      </c>
      <c r="Z29" s="70">
        <f t="shared" si="54"/>
        <v>0.26705653021442533</v>
      </c>
      <c r="AA29" s="71">
        <f t="shared" si="55"/>
        <v>117.23525747378795</v>
      </c>
      <c r="AC29" s="125" t="s">
        <v>127</v>
      </c>
      <c r="AD29" s="69"/>
      <c r="AE29" s="68"/>
      <c r="AF29" s="69"/>
      <c r="AG29" s="67"/>
      <c r="AH29" s="67"/>
      <c r="AI29" s="116"/>
      <c r="AJ29" s="117"/>
      <c r="AK29" s="118"/>
      <c r="AL29" s="118"/>
    </row>
    <row r="30" spans="1:38" ht="15.6" x14ac:dyDescent="0.3">
      <c r="A30" s="7" t="s">
        <v>31</v>
      </c>
      <c r="B30" s="7">
        <f>RADIANS(B19)</f>
        <v>-5.1836278784231589E-2</v>
      </c>
      <c r="C30" s="7" t="s">
        <v>40</v>
      </c>
      <c r="M30" s="63">
        <v>5000</v>
      </c>
      <c r="N30" s="70">
        <f t="shared" si="42"/>
        <v>45.4299754299754</v>
      </c>
      <c r="O30" s="70">
        <f t="shared" si="43"/>
        <v>163.54791154791144</v>
      </c>
      <c r="P30" s="70">
        <f t="shared" si="44"/>
        <v>96.339066339066306</v>
      </c>
      <c r="Q30" s="70">
        <f t="shared" si="45"/>
        <v>346.82063882063869</v>
      </c>
      <c r="R30" s="70">
        <f t="shared" si="46"/>
        <v>2.72627737226277</v>
      </c>
      <c r="S30" s="70">
        <f t="shared" si="47"/>
        <v>27.262773722627699</v>
      </c>
      <c r="T30" s="70">
        <f t="shared" si="48"/>
        <v>67.837837837837796</v>
      </c>
      <c r="U30" s="70">
        <f t="shared" si="49"/>
        <v>244.21621621621608</v>
      </c>
      <c r="V30" s="70">
        <f t="shared" si="50"/>
        <v>2.55731922398589</v>
      </c>
      <c r="W30" s="70">
        <f t="shared" si="51"/>
        <v>25.573192239858898</v>
      </c>
      <c r="X30" s="70">
        <f t="shared" si="52"/>
        <v>55.731559854897199</v>
      </c>
      <c r="Y30" s="70">
        <f t="shared" si="53"/>
        <v>200.63361547762992</v>
      </c>
      <c r="Z30" s="70">
        <f t="shared" si="54"/>
        <v>0.36680053547523478</v>
      </c>
      <c r="AA30" s="71">
        <f t="shared" si="55"/>
        <v>170.05667961459295</v>
      </c>
      <c r="AC30">
        <v>46.195320447609298</v>
      </c>
      <c r="AD30">
        <v>8.4556976802361401</v>
      </c>
      <c r="AE30" s="114">
        <v>43.0592503022974</v>
      </c>
      <c r="AF30" s="115">
        <v>9.7178130511463792</v>
      </c>
      <c r="AG30">
        <v>41.414752116082198</v>
      </c>
      <c r="AH30">
        <v>9.5414462081128697</v>
      </c>
      <c r="AI30" s="114">
        <v>44.974567650050801</v>
      </c>
      <c r="AJ30" s="115">
        <v>8.1444724246618705</v>
      </c>
      <c r="AK30">
        <v>43.591047812817898</v>
      </c>
      <c r="AL30">
        <v>7.9644280639727798</v>
      </c>
    </row>
    <row r="31" spans="1:38" x14ac:dyDescent="0.3">
      <c r="A31" s="1" t="s">
        <v>140</v>
      </c>
      <c r="B31" s="2">
        <f>Podsumowanie!B1*(Podsumowanie!B7+Podsumowanie!B5)</f>
        <v>28993.455000000002</v>
      </c>
      <c r="C31" s="2" t="s">
        <v>39</v>
      </c>
      <c r="M31" s="63">
        <v>6000</v>
      </c>
      <c r="N31" s="70">
        <f t="shared" si="42"/>
        <v>47.985257985257903</v>
      </c>
      <c r="O31" s="70">
        <f t="shared" si="43"/>
        <v>172.74692874692846</v>
      </c>
      <c r="P31" s="70">
        <f t="shared" si="44"/>
        <v>92.211302211302197</v>
      </c>
      <c r="Q31" s="70">
        <f t="shared" si="45"/>
        <v>331.96068796068789</v>
      </c>
      <c r="R31" s="70">
        <f t="shared" si="46"/>
        <v>1.7408759124087601</v>
      </c>
      <c r="S31" s="70">
        <f t="shared" si="47"/>
        <v>17.408759124087602</v>
      </c>
      <c r="T31" s="70">
        <f t="shared" si="48"/>
        <v>68.722358722358706</v>
      </c>
      <c r="U31" s="70">
        <f t="shared" si="49"/>
        <v>247.40049140049135</v>
      </c>
      <c r="V31" s="70">
        <f t="shared" si="50"/>
        <v>1.49911816578483</v>
      </c>
      <c r="W31" s="70">
        <f t="shared" si="51"/>
        <v>14.991181657848301</v>
      </c>
      <c r="X31" s="70">
        <f t="shared" si="52"/>
        <v>59.697702539298596</v>
      </c>
      <c r="Y31" s="70">
        <f t="shared" si="53"/>
        <v>214.91172914147495</v>
      </c>
      <c r="Z31" s="70">
        <f t="shared" si="54"/>
        <v>0.57442348008385713</v>
      </c>
      <c r="AA31" s="71">
        <f t="shared" si="55"/>
        <v>248.49201424451729</v>
      </c>
      <c r="AC31">
        <v>51.403865717192197</v>
      </c>
      <c r="AD31">
        <v>6.9628270766972902</v>
      </c>
      <c r="AE31" s="114">
        <v>46.058041112454603</v>
      </c>
      <c r="AF31" s="115">
        <v>8.0599647266313905</v>
      </c>
      <c r="AG31">
        <v>43.639661426844</v>
      </c>
      <c r="AH31">
        <v>7.8835978835978802</v>
      </c>
      <c r="AI31" s="114">
        <v>47.822990844354003</v>
      </c>
      <c r="AJ31" s="115">
        <v>6.5701182395810704</v>
      </c>
      <c r="AK31">
        <v>46.683621566632702</v>
      </c>
      <c r="AL31">
        <v>6.3900238480396201</v>
      </c>
    </row>
    <row r="32" spans="1:38" x14ac:dyDescent="0.3">
      <c r="A32" s="1" t="s">
        <v>144</v>
      </c>
      <c r="B32" s="2">
        <v>0.31</v>
      </c>
      <c r="C32" s="2" t="s">
        <v>146</v>
      </c>
      <c r="M32" s="63">
        <v>7000</v>
      </c>
      <c r="N32" s="70">
        <f t="shared" ref="N32" si="56">AG10</f>
        <v>52.014742014741998</v>
      </c>
      <c r="O32" s="70">
        <f t="shared" si="43"/>
        <v>187.2530712530712</v>
      </c>
      <c r="P32" s="70">
        <f t="shared" ref="P32" si="57">AG19</f>
        <v>84.742014742014703</v>
      </c>
      <c r="Q32" s="70">
        <f t="shared" si="45"/>
        <v>305.07125307125295</v>
      </c>
      <c r="R32" s="70">
        <f t="shared" ref="R32" si="58">AH28</f>
        <v>0.65693430656934304</v>
      </c>
      <c r="S32" s="70">
        <f t="shared" si="47"/>
        <v>6.5693430656934302</v>
      </c>
      <c r="T32" s="70">
        <f t="shared" ref="T32" si="59">AG28</f>
        <v>69.803439803439801</v>
      </c>
      <c r="U32" s="70">
        <f t="shared" si="49"/>
        <v>251.29238329238328</v>
      </c>
      <c r="V32" s="70">
        <f t="shared" ref="V32" si="60">AH37</f>
        <v>0.52910052910052796</v>
      </c>
      <c r="W32" s="70">
        <f t="shared" si="51"/>
        <v>5.2910052910052796</v>
      </c>
      <c r="X32" s="70">
        <f t="shared" ref="X32" si="61">AG37</f>
        <v>64.147521160822194</v>
      </c>
      <c r="Y32" s="70">
        <f t="shared" si="53"/>
        <v>230.9310761789599</v>
      </c>
      <c r="Z32" s="70">
        <f t="shared" ref="Z32" si="62">1/R32</f>
        <v>1.5222222222222224</v>
      </c>
      <c r="AA32" s="71">
        <f t="shared" si="55"/>
        <v>423.21248943669059</v>
      </c>
      <c r="AC32">
        <v>56.042726347914503</v>
      </c>
      <c r="AD32">
        <v>5.5520404249287001</v>
      </c>
      <c r="AE32" s="114">
        <v>48.476420798065298</v>
      </c>
      <c r="AF32" s="115">
        <v>6.5255731922398503</v>
      </c>
      <c r="AG32">
        <v>46.444981862152297</v>
      </c>
      <c r="AH32">
        <v>6.3668430335097002</v>
      </c>
      <c r="AI32" s="114">
        <v>50.508646998982698</v>
      </c>
      <c r="AJ32" s="115">
        <v>5.1269449493854502</v>
      </c>
      <c r="AK32">
        <v>49.125127161749703</v>
      </c>
      <c r="AL32">
        <v>5.0124743591881602</v>
      </c>
    </row>
    <row r="33" spans="1:38" x14ac:dyDescent="0.3">
      <c r="A33" s="1" t="s">
        <v>148</v>
      </c>
      <c r="B33" s="2">
        <v>-1.173</v>
      </c>
      <c r="M33" s="2">
        <f>AG41</f>
        <v>7590</v>
      </c>
      <c r="N33" s="2"/>
      <c r="O33" s="2">
        <v>250</v>
      </c>
      <c r="P33" s="2"/>
      <c r="Q33" s="2">
        <f>O33</f>
        <v>250</v>
      </c>
      <c r="R33" s="2"/>
      <c r="S33" s="2">
        <f>S22</f>
        <v>0</v>
      </c>
      <c r="T33" s="2"/>
      <c r="U33" s="2">
        <f>O33</f>
        <v>250</v>
      </c>
      <c r="V33" s="2"/>
      <c r="W33" s="2">
        <f>W22</f>
        <v>0</v>
      </c>
      <c r="X33" s="2"/>
      <c r="Y33" s="2">
        <f>O33</f>
        <v>250</v>
      </c>
      <c r="Z33" s="2"/>
      <c r="AA33" s="2">
        <f>AA11</f>
        <v>500</v>
      </c>
      <c r="AC33">
        <v>60.193285859613397</v>
      </c>
      <c r="AD33">
        <v>4.3380751463402403</v>
      </c>
      <c r="AE33" s="114">
        <v>51.378476420798002</v>
      </c>
      <c r="AF33" s="115">
        <v>5.0793650793650702</v>
      </c>
      <c r="AG33">
        <v>49.4437726723095</v>
      </c>
      <c r="AH33">
        <v>4.9735449735449704</v>
      </c>
      <c r="AI33" s="114">
        <v>54.008138351983703</v>
      </c>
      <c r="AJ33" s="115">
        <v>3.83114587328852</v>
      </c>
      <c r="AK33">
        <v>52.543234994913497</v>
      </c>
      <c r="AL33">
        <v>3.7330854026649698</v>
      </c>
    </row>
    <row r="34" spans="1:38" ht="15" thickBot="1" x14ac:dyDescent="0.35">
      <c r="AC34">
        <v>63.855544252288901</v>
      </c>
      <c r="AD34">
        <v>3.2225705851941999</v>
      </c>
      <c r="AE34" s="114">
        <v>53.893591293833097</v>
      </c>
      <c r="AF34" s="115">
        <v>3.8447971781305101</v>
      </c>
      <c r="AG34">
        <v>52.732769044740003</v>
      </c>
      <c r="AH34">
        <v>3.7389770723104001</v>
      </c>
      <c r="AI34" s="114">
        <v>57.182095625635803</v>
      </c>
      <c r="AJ34" s="115">
        <v>2.6665610459783502</v>
      </c>
      <c r="AK34">
        <v>56.286876907426198</v>
      </c>
      <c r="AL34">
        <v>2.55199039407634</v>
      </c>
    </row>
    <row r="35" spans="1:38" ht="15.6" x14ac:dyDescent="0.3">
      <c r="M35" s="59" t="s">
        <v>8</v>
      </c>
      <c r="N35" s="60" t="s">
        <v>108</v>
      </c>
      <c r="O35" s="60" t="s">
        <v>109</v>
      </c>
      <c r="P35" s="60" t="s">
        <v>110</v>
      </c>
      <c r="Q35" s="60" t="s">
        <v>111</v>
      </c>
      <c r="R35" s="60" t="s">
        <v>112</v>
      </c>
      <c r="S35" s="60" t="s">
        <v>113</v>
      </c>
      <c r="T35" s="60" t="s">
        <v>114</v>
      </c>
      <c r="U35" s="60" t="s">
        <v>115</v>
      </c>
      <c r="V35" s="61" t="s">
        <v>116</v>
      </c>
      <c r="W35" s="61" t="s">
        <v>117</v>
      </c>
      <c r="X35" s="61" t="s">
        <v>118</v>
      </c>
      <c r="Y35" s="61" t="s">
        <v>119</v>
      </c>
      <c r="Z35" s="61" t="s">
        <v>120</v>
      </c>
      <c r="AA35" s="62" t="s">
        <v>152</v>
      </c>
      <c r="AC35">
        <v>67.517802644964405</v>
      </c>
      <c r="AD35">
        <v>2.25460700765472</v>
      </c>
      <c r="AE35" s="114">
        <v>58.053204353083402</v>
      </c>
      <c r="AF35" s="115">
        <v>2.6455026455026398</v>
      </c>
      <c r="AG35">
        <v>55.731559854897199</v>
      </c>
      <c r="AH35">
        <v>2.55731922398589</v>
      </c>
      <c r="AI35" s="114">
        <v>60.356052899287803</v>
      </c>
      <c r="AJ35" s="115">
        <v>1.84623851375014</v>
      </c>
      <c r="AK35">
        <v>60.193285859613397</v>
      </c>
      <c r="AL35">
        <v>1.5511899004386001</v>
      </c>
    </row>
    <row r="36" spans="1:38" x14ac:dyDescent="0.3">
      <c r="M36" s="63">
        <v>0</v>
      </c>
      <c r="N36" s="70">
        <f>AI3</f>
        <v>36.920588710981697</v>
      </c>
      <c r="O36" s="70">
        <f>N36*3.6</f>
        <v>132.91411935953411</v>
      </c>
      <c r="P36" s="70">
        <f>AI12</f>
        <v>106.19656046148</v>
      </c>
      <c r="Q36" s="70">
        <f>P36*3.6</f>
        <v>382.30761766132804</v>
      </c>
      <c r="R36" s="70">
        <f>AJ21</f>
        <v>7.3658023049645296</v>
      </c>
      <c r="S36" s="70">
        <f>10*R36</f>
        <v>73.658023049645294</v>
      </c>
      <c r="T36" s="70">
        <f>AI21</f>
        <v>60.708933096123701</v>
      </c>
      <c r="U36" s="70">
        <f>T36*3.6</f>
        <v>218.55215914604534</v>
      </c>
      <c r="V36" s="70">
        <f>AJ30</f>
        <v>8.1444724246618705</v>
      </c>
      <c r="W36" s="70">
        <f>10*V36</f>
        <v>81.444724246618705</v>
      </c>
      <c r="X36" s="70">
        <f>AI30</f>
        <v>44.974567650050801</v>
      </c>
      <c r="Y36" s="70">
        <f>X36*3.6</f>
        <v>161.9084435401829</v>
      </c>
      <c r="Z36" s="70">
        <f>1/R36</f>
        <v>0.135762535919</v>
      </c>
      <c r="AA36" s="71">
        <v>0</v>
      </c>
      <c r="AC36">
        <v>70.773143438453701</v>
      </c>
      <c r="AD36">
        <v>1.3195137001150701</v>
      </c>
      <c r="AE36" s="114">
        <v>61.245465538089398</v>
      </c>
      <c r="AF36" s="115">
        <v>1.6049382716049301</v>
      </c>
      <c r="AG36">
        <v>59.697702539298596</v>
      </c>
      <c r="AH36">
        <v>1.49911816578483</v>
      </c>
      <c r="AI36" s="114">
        <v>64.181078331637806</v>
      </c>
      <c r="AJ36" s="115">
        <v>0.82906125444023704</v>
      </c>
      <c r="AK36">
        <v>64.262461851474995</v>
      </c>
      <c r="AL36">
        <v>0.59953638076814098</v>
      </c>
    </row>
    <row r="37" spans="1:38" ht="15" thickBot="1" x14ac:dyDescent="0.35">
      <c r="A37" s="3"/>
      <c r="M37" s="63">
        <v>1000</v>
      </c>
      <c r="N37" s="70">
        <f t="shared" ref="N37:N42" si="63">AI4</f>
        <v>38.807482883174202</v>
      </c>
      <c r="O37" s="70">
        <f t="shared" ref="O37:O42" si="64">N37*3.6</f>
        <v>139.70693837942713</v>
      </c>
      <c r="P37" s="70">
        <f t="shared" ref="P37:P42" si="65">AI13</f>
        <v>104.916167987492</v>
      </c>
      <c r="Q37" s="70">
        <f t="shared" ref="Q37:Q42" si="66">P37*3.6</f>
        <v>377.69820475497124</v>
      </c>
      <c r="R37" s="70">
        <f t="shared" ref="R37:R42" si="67">AJ22</f>
        <v>6.1606826241134698</v>
      </c>
      <c r="S37" s="70">
        <f t="shared" ref="S37:S42" si="68">10*R37</f>
        <v>61.606826241134698</v>
      </c>
      <c r="T37" s="70">
        <f t="shared" ref="T37:T42" si="69">AI22</f>
        <v>62.3262709580031</v>
      </c>
      <c r="U37" s="70">
        <f t="shared" ref="U37:U42" si="70">T37*3.6</f>
        <v>224.37457544881116</v>
      </c>
      <c r="V37" s="70">
        <f t="shared" ref="V37:V42" si="71">AJ31</f>
        <v>6.5701182395810704</v>
      </c>
      <c r="W37" s="70">
        <f t="shared" ref="W37:W42" si="72">10*V37</f>
        <v>65.701182395810704</v>
      </c>
      <c r="X37" s="70">
        <f t="shared" ref="X37:X42" si="73">AI31</f>
        <v>47.822990844354003</v>
      </c>
      <c r="Y37" s="70">
        <f t="shared" ref="Y37:Y42" si="74">X37*3.6</f>
        <v>172.16276703967441</v>
      </c>
      <c r="Z37" s="70">
        <f t="shared" ref="Z37:Z42" si="75">1/R37</f>
        <v>0.16231967478504888</v>
      </c>
      <c r="AA37" s="71">
        <f>(Z37+Z36)/2*(M37-M36)/6</f>
        <v>24.840184225337406</v>
      </c>
      <c r="AC37" s="119">
        <v>73.458799593082404</v>
      </c>
      <c r="AD37" s="119">
        <v>0.54847155746043397</v>
      </c>
      <c r="AE37" s="120">
        <v>65</v>
      </c>
      <c r="AF37" s="121">
        <v>0.65255731922398497</v>
      </c>
      <c r="AG37" s="119">
        <v>64.147521160822194</v>
      </c>
      <c r="AH37" s="119">
        <v>0.52910052910052796</v>
      </c>
      <c r="AI37" s="120"/>
      <c r="AJ37" s="121"/>
      <c r="AK37" s="119"/>
      <c r="AL37" s="119"/>
    </row>
    <row r="38" spans="1:38" x14ac:dyDescent="0.3">
      <c r="A38" s="2"/>
      <c r="M38" s="63">
        <v>2000</v>
      </c>
      <c r="N38" s="70">
        <f t="shared" si="63"/>
        <v>40.829155210523403</v>
      </c>
      <c r="O38" s="70">
        <f t="shared" si="64"/>
        <v>146.98495875788424</v>
      </c>
      <c r="P38" s="70">
        <f t="shared" si="65"/>
        <v>103.231441048034</v>
      </c>
      <c r="Q38" s="70">
        <f t="shared" si="66"/>
        <v>371.63318777292238</v>
      </c>
      <c r="R38" s="70">
        <f t="shared" si="67"/>
        <v>5.0109707446808498</v>
      </c>
      <c r="S38" s="70">
        <f t="shared" si="68"/>
        <v>50.1097074468085</v>
      </c>
      <c r="T38" s="70">
        <f t="shared" si="69"/>
        <v>63.876219742304102</v>
      </c>
      <c r="U38" s="70">
        <f t="shared" si="70"/>
        <v>229.95439107229478</v>
      </c>
      <c r="V38" s="70">
        <f t="shared" si="71"/>
        <v>5.1269449493854502</v>
      </c>
      <c r="W38" s="70">
        <f t="shared" si="72"/>
        <v>51.269449493854502</v>
      </c>
      <c r="X38" s="70">
        <f t="shared" si="73"/>
        <v>50.508646998982698</v>
      </c>
      <c r="Y38" s="70">
        <f t="shared" si="74"/>
        <v>181.83112919633771</v>
      </c>
      <c r="Z38" s="70">
        <f t="shared" si="75"/>
        <v>0.19956213096264849</v>
      </c>
      <c r="AA38" s="71">
        <f>(Z38+Z37)/2*(M38-M37)/6+AA37</f>
        <v>54.99700137097885</v>
      </c>
      <c r="AE38" s="64"/>
      <c r="AF38" s="65"/>
      <c r="AI38" s="114"/>
      <c r="AJ38" s="115"/>
    </row>
    <row r="39" spans="1:38" x14ac:dyDescent="0.3">
      <c r="M39" s="63">
        <v>3000</v>
      </c>
      <c r="N39" s="70">
        <f t="shared" si="63"/>
        <v>42.918216615450902</v>
      </c>
      <c r="O39" s="70">
        <f t="shared" si="64"/>
        <v>154.50557981562326</v>
      </c>
      <c r="P39" s="70">
        <f t="shared" si="65"/>
        <v>101.07499056552901</v>
      </c>
      <c r="Q39" s="70">
        <f t="shared" si="66"/>
        <v>363.86996603590444</v>
      </c>
      <c r="R39" s="70">
        <f t="shared" si="67"/>
        <v>3.8889627659574399</v>
      </c>
      <c r="S39" s="70">
        <f t="shared" si="68"/>
        <v>38.889627659574401</v>
      </c>
      <c r="T39" s="70">
        <f t="shared" si="69"/>
        <v>65.358779449026898</v>
      </c>
      <c r="U39" s="70">
        <f t="shared" si="70"/>
        <v>235.29160601649684</v>
      </c>
      <c r="V39" s="70">
        <f t="shared" si="71"/>
        <v>3.83114587328852</v>
      </c>
      <c r="W39" s="70">
        <f t="shared" si="72"/>
        <v>38.3114587328852</v>
      </c>
      <c r="X39" s="70">
        <f t="shared" si="73"/>
        <v>54.008138351983703</v>
      </c>
      <c r="Y39" s="70">
        <f t="shared" si="74"/>
        <v>194.42929806714133</v>
      </c>
      <c r="Z39" s="70">
        <f t="shared" si="75"/>
        <v>0.25713797230295821</v>
      </c>
      <c r="AA39" s="71">
        <f>(Z39+Z38)/2*(M39-M38)/6+AA38</f>
        <v>93.055343309779403</v>
      </c>
      <c r="AE39" s="64"/>
      <c r="AF39" s="65"/>
      <c r="AI39" s="114"/>
      <c r="AJ39" s="115"/>
    </row>
    <row r="40" spans="1:38" x14ac:dyDescent="0.3">
      <c r="M40" s="63">
        <v>4000</v>
      </c>
      <c r="N40" s="70">
        <f t="shared" si="63"/>
        <v>45.074667097956699</v>
      </c>
      <c r="O40" s="70">
        <f t="shared" si="64"/>
        <v>162.26880155264411</v>
      </c>
      <c r="P40" s="70">
        <f t="shared" si="65"/>
        <v>98.177260229661897</v>
      </c>
      <c r="Q40" s="70">
        <f t="shared" si="66"/>
        <v>353.43813682678285</v>
      </c>
      <c r="R40" s="70">
        <f t="shared" si="67"/>
        <v>2.8777703900709199</v>
      </c>
      <c r="S40" s="70">
        <f t="shared" si="68"/>
        <v>28.777703900709199</v>
      </c>
      <c r="T40" s="70">
        <f t="shared" si="69"/>
        <v>66.571782845436402</v>
      </c>
      <c r="U40" s="70">
        <f t="shared" si="70"/>
        <v>239.65841824357105</v>
      </c>
      <c r="V40" s="70">
        <f t="shared" si="71"/>
        <v>2.6665610459783502</v>
      </c>
      <c r="W40" s="70">
        <f t="shared" si="72"/>
        <v>26.665610459783501</v>
      </c>
      <c r="X40" s="70">
        <f t="shared" si="73"/>
        <v>57.182095625635803</v>
      </c>
      <c r="Y40" s="70">
        <f t="shared" si="74"/>
        <v>205.85554425228889</v>
      </c>
      <c r="Z40" s="70">
        <f t="shared" si="75"/>
        <v>0.34749123955485411</v>
      </c>
      <c r="AA40" s="71">
        <f t="shared" ref="AA40:AA42" si="76">(Z40+Z39)/2*(M40-M39)/6+AA39</f>
        <v>143.4411109645971</v>
      </c>
      <c r="AC40" s="2" t="s">
        <v>129</v>
      </c>
      <c r="AD40" s="2" t="s">
        <v>130</v>
      </c>
      <c r="AE40" s="64" t="s">
        <v>131</v>
      </c>
      <c r="AF40" s="65" t="s">
        <v>132</v>
      </c>
      <c r="AG40" s="2" t="s">
        <v>133</v>
      </c>
      <c r="AH40" s="2" t="s">
        <v>134</v>
      </c>
      <c r="AI40" s="64" t="s">
        <v>176</v>
      </c>
      <c r="AJ40" s="65" t="s">
        <v>177</v>
      </c>
      <c r="AK40" s="2" t="s">
        <v>178</v>
      </c>
      <c r="AL40" s="2" t="s">
        <v>179</v>
      </c>
    </row>
    <row r="41" spans="1:38" x14ac:dyDescent="0.3">
      <c r="A41" s="2"/>
      <c r="M41" s="63">
        <v>5000</v>
      </c>
      <c r="N41" s="70">
        <f t="shared" si="63"/>
        <v>47.702841123510701</v>
      </c>
      <c r="O41" s="70">
        <f t="shared" si="64"/>
        <v>171.73022804463852</v>
      </c>
      <c r="P41" s="70">
        <f t="shared" si="65"/>
        <v>94.336082807698503</v>
      </c>
      <c r="Q41" s="70">
        <f t="shared" si="66"/>
        <v>339.60989810771463</v>
      </c>
      <c r="R41" s="70">
        <f t="shared" si="67"/>
        <v>1.99124556737588</v>
      </c>
      <c r="S41" s="70">
        <f t="shared" si="68"/>
        <v>19.912455673758799</v>
      </c>
      <c r="T41" s="70">
        <f t="shared" si="69"/>
        <v>67.650008086689297</v>
      </c>
      <c r="U41" s="70">
        <f t="shared" si="70"/>
        <v>243.54002911208147</v>
      </c>
      <c r="V41" s="70">
        <f t="shared" si="71"/>
        <v>1.84623851375014</v>
      </c>
      <c r="W41" s="70">
        <f t="shared" si="72"/>
        <v>18.4623851375014</v>
      </c>
      <c r="X41" s="70">
        <f t="shared" si="73"/>
        <v>60.356052899287803</v>
      </c>
      <c r="Y41" s="70">
        <f t="shared" si="74"/>
        <v>217.28179043743609</v>
      </c>
      <c r="Z41" s="70">
        <f t="shared" si="75"/>
        <v>0.50219823028549337</v>
      </c>
      <c r="AA41" s="71">
        <f t="shared" si="76"/>
        <v>214.24856678462606</v>
      </c>
      <c r="AC41" s="2">
        <v>7700</v>
      </c>
      <c r="AD41" s="2">
        <f>-942.11*AD$45+AC41</f>
        <v>7228.9449999999997</v>
      </c>
      <c r="AE41" s="64">
        <v>7600</v>
      </c>
      <c r="AF41" s="65">
        <f>-890.33*AD$45+AE41</f>
        <v>7154.835</v>
      </c>
      <c r="AG41" s="2">
        <v>7590</v>
      </c>
      <c r="AH41" s="2">
        <f>-897.31*AD$45+AG41</f>
        <v>7141.3450000000003</v>
      </c>
      <c r="AI41" s="64">
        <v>6890</v>
      </c>
      <c r="AJ41" s="65">
        <f>-935.53*AD45+AI41</f>
        <v>6422.2349999999997</v>
      </c>
      <c r="AK41" s="2">
        <v>6670</v>
      </c>
      <c r="AL41" s="2">
        <f>-911.9*AD45+AK41</f>
        <v>6214.05</v>
      </c>
    </row>
    <row r="42" spans="1:38" x14ac:dyDescent="0.3">
      <c r="A42" s="2"/>
      <c r="M42" s="63">
        <v>6000</v>
      </c>
      <c r="N42" s="70">
        <f t="shared" si="63"/>
        <v>50.331015149064598</v>
      </c>
      <c r="O42" s="70">
        <f t="shared" si="64"/>
        <v>181.19165453663257</v>
      </c>
      <c r="P42" s="70">
        <f t="shared" si="65"/>
        <v>88.271065825650993</v>
      </c>
      <c r="Q42" s="70">
        <f t="shared" si="66"/>
        <v>317.7758369723436</v>
      </c>
      <c r="R42" s="70">
        <f t="shared" si="67"/>
        <v>0.95234929078014297</v>
      </c>
      <c r="S42" s="70">
        <f t="shared" si="68"/>
        <v>9.5234929078014297</v>
      </c>
      <c r="T42" s="70">
        <f t="shared" si="69"/>
        <v>69.065178715833696</v>
      </c>
      <c r="U42" s="70">
        <f t="shared" si="70"/>
        <v>248.63464337700131</v>
      </c>
      <c r="V42" s="70">
        <f t="shared" si="71"/>
        <v>0.82906125444023704</v>
      </c>
      <c r="W42" s="70">
        <f t="shared" si="72"/>
        <v>8.2906125444023697</v>
      </c>
      <c r="X42" s="70">
        <f t="shared" si="73"/>
        <v>64.181078331637806</v>
      </c>
      <c r="Y42" s="70">
        <f t="shared" si="74"/>
        <v>231.0518819938961</v>
      </c>
      <c r="Z42" s="70">
        <f t="shared" si="75"/>
        <v>1.0500349080754001</v>
      </c>
      <c r="AA42" s="71">
        <f t="shared" si="76"/>
        <v>343.60132831470054</v>
      </c>
      <c r="AC42" s="2">
        <f t="shared" ref="AC42:AI42" si="77">AC41</f>
        <v>7700</v>
      </c>
      <c r="AD42" s="2">
        <f t="shared" si="77"/>
        <v>7228.9449999999997</v>
      </c>
      <c r="AE42" s="64">
        <f t="shared" si="77"/>
        <v>7600</v>
      </c>
      <c r="AF42" s="65">
        <f t="shared" si="77"/>
        <v>7154.835</v>
      </c>
      <c r="AG42" s="2">
        <f t="shared" si="77"/>
        <v>7590</v>
      </c>
      <c r="AH42" s="2">
        <f t="shared" si="77"/>
        <v>7141.3450000000003</v>
      </c>
      <c r="AI42" s="64">
        <f t="shared" si="77"/>
        <v>6890</v>
      </c>
      <c r="AJ42" s="65">
        <f t="shared" ref="AJ42:AL42" si="78">AJ41</f>
        <v>6422.2349999999997</v>
      </c>
      <c r="AK42" s="2">
        <f t="shared" si="78"/>
        <v>6670</v>
      </c>
      <c r="AL42" s="2">
        <f t="shared" si="78"/>
        <v>6214.05</v>
      </c>
    </row>
    <row r="43" spans="1:38" x14ac:dyDescent="0.3">
      <c r="M43" s="2">
        <f>AI41</f>
        <v>6890</v>
      </c>
      <c r="N43" s="2"/>
      <c r="O43" s="2">
        <v>250</v>
      </c>
      <c r="P43" s="2"/>
      <c r="Q43" s="2">
        <f>O43</f>
        <v>250</v>
      </c>
      <c r="R43" s="2"/>
      <c r="S43" s="2">
        <f>S33</f>
        <v>0</v>
      </c>
      <c r="T43" s="2"/>
      <c r="U43" s="2">
        <f>O43</f>
        <v>250</v>
      </c>
      <c r="V43" s="2"/>
      <c r="W43" s="2">
        <f>W33</f>
        <v>0</v>
      </c>
      <c r="X43" s="2"/>
      <c r="Y43" s="2">
        <f>O43</f>
        <v>250</v>
      </c>
      <c r="Z43" s="2"/>
      <c r="AA43" s="2">
        <f>AA22</f>
        <v>500</v>
      </c>
    </row>
    <row r="44" spans="1:38" x14ac:dyDescent="0.3">
      <c r="AC44" s="2" t="s">
        <v>6</v>
      </c>
      <c r="AD44" s="2" t="s">
        <v>128</v>
      </c>
    </row>
    <row r="45" spans="1:38" ht="15" thickBot="1" x14ac:dyDescent="0.35">
      <c r="AC45" s="2">
        <v>0</v>
      </c>
      <c r="AD45" s="2">
        <v>0.5</v>
      </c>
    </row>
    <row r="46" spans="1:38" ht="16.2" thickBot="1" x14ac:dyDescent="0.35">
      <c r="M46" s="59" t="s">
        <v>8</v>
      </c>
      <c r="N46" s="60" t="s">
        <v>108</v>
      </c>
      <c r="O46" s="60" t="s">
        <v>109</v>
      </c>
      <c r="P46" s="60" t="s">
        <v>110</v>
      </c>
      <c r="Q46" s="60" t="s">
        <v>111</v>
      </c>
      <c r="R46" s="60" t="s">
        <v>112</v>
      </c>
      <c r="S46" s="60" t="s">
        <v>113</v>
      </c>
      <c r="T46" s="60" t="s">
        <v>114</v>
      </c>
      <c r="U46" s="60" t="s">
        <v>115</v>
      </c>
      <c r="V46" s="61" t="s">
        <v>116</v>
      </c>
      <c r="W46" s="61" t="s">
        <v>117</v>
      </c>
      <c r="X46" s="61" t="s">
        <v>118</v>
      </c>
      <c r="Y46" s="61" t="s">
        <v>119</v>
      </c>
      <c r="Z46" s="61" t="s">
        <v>120</v>
      </c>
      <c r="AA46" s="62" t="s">
        <v>152</v>
      </c>
      <c r="AC46" s="2">
        <v>8000</v>
      </c>
      <c r="AD46" s="2">
        <v>0.5</v>
      </c>
    </row>
    <row r="47" spans="1:38" x14ac:dyDescent="0.3">
      <c r="A47" s="72" t="str">
        <f>M2</f>
        <v>h [m]</v>
      </c>
      <c r="B47" s="73" t="str">
        <f>N2</f>
        <v>Vmin [m/s]</v>
      </c>
      <c r="C47" s="73" t="str">
        <f>P2</f>
        <v>Vmax [m/s]</v>
      </c>
      <c r="D47" s="73" t="str">
        <f>R2</f>
        <v>wmax [m/s]</v>
      </c>
      <c r="E47" s="73" t="str">
        <f>T2</f>
        <v>Vw [m/s]</v>
      </c>
      <c r="F47" s="73" t="str">
        <f>V2</f>
        <v>γmax [°]</v>
      </c>
      <c r="G47" s="73" t="str">
        <f>X2</f>
        <v>Vγ [m/s]</v>
      </c>
      <c r="H47" s="74" t="str">
        <f>AA2</f>
        <v>10th [min]</v>
      </c>
      <c r="M47" s="63">
        <v>0</v>
      </c>
      <c r="N47" s="70">
        <f>AK3</f>
        <v>36.920588710981697</v>
      </c>
      <c r="O47" s="70">
        <f>N47*3.6</f>
        <v>132.91411935953411</v>
      </c>
      <c r="P47" s="70">
        <f>AK12</f>
        <v>106.60089492695001</v>
      </c>
      <c r="Q47" s="70">
        <f>P47*3.6</f>
        <v>383.76322173702005</v>
      </c>
      <c r="R47" s="70">
        <f>AL21</f>
        <v>7.3103945035460898</v>
      </c>
      <c r="S47" s="70">
        <f>10*R47</f>
        <v>73.103945035460896</v>
      </c>
      <c r="T47" s="70">
        <f>AK21</f>
        <v>64.213165130195705</v>
      </c>
      <c r="U47" s="70">
        <f>T47*3.6</f>
        <v>231.16739446870454</v>
      </c>
      <c r="V47" s="70">
        <f>AL30</f>
        <v>7.9644280639727798</v>
      </c>
      <c r="W47" s="70">
        <f>10*V47</f>
        <v>79.644280639727796</v>
      </c>
      <c r="X47" s="70">
        <f>AK30</f>
        <v>43.591047812817898</v>
      </c>
      <c r="Y47" s="70">
        <f>X47*3.6</f>
        <v>156.92777212614445</v>
      </c>
      <c r="Z47" s="70">
        <f>1/R47</f>
        <v>0.13679152329124303</v>
      </c>
      <c r="AA47" s="71">
        <v>0</v>
      </c>
    </row>
    <row r="48" spans="1:38" x14ac:dyDescent="0.3">
      <c r="A48" s="75">
        <f>M3</f>
        <v>0</v>
      </c>
      <c r="B48" s="70">
        <f t="shared" ref="A48:B55" si="79">N3</f>
        <v>36.920588710981697</v>
      </c>
      <c r="C48" s="70">
        <f t="shared" ref="C48:C55" si="80">P3</f>
        <v>107.274785702733</v>
      </c>
      <c r="D48" s="70">
        <f t="shared" ref="D48:D55" si="81">R3</f>
        <v>8.1692154255319096</v>
      </c>
      <c r="E48" s="70">
        <f t="shared" ref="E48:E55" si="82">T3</f>
        <v>65.224001293870202</v>
      </c>
      <c r="F48" s="70">
        <f t="shared" ref="F48:F55" si="83">V3</f>
        <v>8.4556976802361401</v>
      </c>
      <c r="G48" s="70">
        <f t="shared" ref="G48:G55" si="84">X3</f>
        <v>46.195320447609298</v>
      </c>
      <c r="H48" s="71">
        <f t="shared" ref="H48:H55" si="85">AA3</f>
        <v>0</v>
      </c>
      <c r="M48" s="63">
        <v>1000</v>
      </c>
      <c r="N48" s="70">
        <f t="shared" ref="N48:N53" si="86">AK4</f>
        <v>38.807482883174202</v>
      </c>
      <c r="O48" s="70">
        <f t="shared" ref="O48:O53" si="87">N48*3.6</f>
        <v>139.70693837942713</v>
      </c>
      <c r="P48" s="70">
        <f t="shared" ref="P48:P53" si="88">AK13</f>
        <v>105.657447840853</v>
      </c>
      <c r="Q48" s="70">
        <f t="shared" ref="Q48:Q53" si="89">P48*3.6</f>
        <v>380.3668122270708</v>
      </c>
      <c r="R48" s="70">
        <f t="shared" ref="R48:R53" si="90">AL22</f>
        <v>6.0637189716312001</v>
      </c>
      <c r="S48" s="70">
        <f t="shared" ref="S48:S53" si="91">10*R48</f>
        <v>60.637189716312001</v>
      </c>
      <c r="T48" s="70">
        <f t="shared" ref="T48:T53" si="92">AK22</f>
        <v>65.493557604183493</v>
      </c>
      <c r="U48" s="70">
        <f t="shared" ref="U48:U53" si="93">T48*3.6</f>
        <v>235.77680737506057</v>
      </c>
      <c r="V48" s="70">
        <f t="shared" ref="V48:V53" si="94">AL31</f>
        <v>6.3900238480396201</v>
      </c>
      <c r="W48" s="70">
        <f t="shared" ref="W48:W53" si="95">10*V48</f>
        <v>63.900238480396197</v>
      </c>
      <c r="X48" s="70">
        <f t="shared" ref="X48:X53" si="96">AK31</f>
        <v>46.683621566632702</v>
      </c>
      <c r="Y48" s="70">
        <f t="shared" ref="Y48:Y53" si="97">X48*3.6</f>
        <v>168.06103763987772</v>
      </c>
      <c r="Z48" s="70">
        <f t="shared" ref="Z48:Z53" si="98">1/R48</f>
        <v>0.1649152945046512</v>
      </c>
      <c r="AA48" s="71">
        <f>(Z48+Z47)/2*(M48-M47)/6</f>
        <v>25.142234816324521</v>
      </c>
    </row>
    <row r="49" spans="1:27" x14ac:dyDescent="0.3">
      <c r="A49" s="75">
        <f t="shared" si="79"/>
        <v>1000</v>
      </c>
      <c r="B49" s="70">
        <f t="shared" si="79"/>
        <v>38.740093805595897</v>
      </c>
      <c r="C49" s="70">
        <f t="shared" si="80"/>
        <v>106.263949539058</v>
      </c>
      <c r="D49" s="70">
        <f t="shared" si="81"/>
        <v>6.9363918439716299</v>
      </c>
      <c r="E49" s="70">
        <f t="shared" si="82"/>
        <v>66.706561000592998</v>
      </c>
      <c r="F49" s="70">
        <f t="shared" si="83"/>
        <v>6.9628270766972902</v>
      </c>
      <c r="G49" s="70">
        <f t="shared" si="84"/>
        <v>51.403865717192197</v>
      </c>
      <c r="H49" s="71">
        <f t="shared" si="85"/>
        <v>22.214829052289236</v>
      </c>
      <c r="M49" s="63">
        <v>2000</v>
      </c>
      <c r="N49" s="70">
        <f t="shared" si="86"/>
        <v>40.761766132945098</v>
      </c>
      <c r="O49" s="70">
        <f t="shared" si="87"/>
        <v>146.74235807860236</v>
      </c>
      <c r="P49" s="70">
        <f t="shared" si="88"/>
        <v>103.231441048034</v>
      </c>
      <c r="Q49" s="70">
        <f t="shared" si="89"/>
        <v>371.63318777292238</v>
      </c>
      <c r="R49" s="70">
        <f t="shared" si="90"/>
        <v>4.9001551418439702</v>
      </c>
      <c r="S49" s="70">
        <f t="shared" si="91"/>
        <v>49.001551418439703</v>
      </c>
      <c r="T49" s="70">
        <f t="shared" si="92"/>
        <v>66.841339155749594</v>
      </c>
      <c r="U49" s="70">
        <f t="shared" si="93"/>
        <v>240.62882096069853</v>
      </c>
      <c r="V49" s="70">
        <f t="shared" si="94"/>
        <v>5.0124743591881602</v>
      </c>
      <c r="W49" s="70">
        <f t="shared" si="95"/>
        <v>50.124743591881604</v>
      </c>
      <c r="X49" s="70">
        <f t="shared" si="96"/>
        <v>49.125127161749703</v>
      </c>
      <c r="Y49" s="70">
        <f t="shared" si="97"/>
        <v>176.85045778229895</v>
      </c>
      <c r="Z49" s="70">
        <f t="shared" si="98"/>
        <v>0.20407517130645203</v>
      </c>
      <c r="AA49" s="71">
        <f>(Z49+Z48)/2*(M49-M48)/6+AA48</f>
        <v>55.89144030058312</v>
      </c>
    </row>
    <row r="50" spans="1:27" x14ac:dyDescent="0.3">
      <c r="A50" s="75">
        <f t="shared" si="79"/>
        <v>2000</v>
      </c>
      <c r="B50" s="70">
        <f t="shared" si="79"/>
        <v>40.761766132945098</v>
      </c>
      <c r="C50" s="70">
        <f t="shared" si="80"/>
        <v>104.916167987492</v>
      </c>
      <c r="D50" s="70">
        <f t="shared" si="81"/>
        <v>5.7589760638297802</v>
      </c>
      <c r="E50" s="70">
        <f t="shared" si="82"/>
        <v>68.323898862472305</v>
      </c>
      <c r="F50" s="70">
        <f t="shared" si="83"/>
        <v>5.5520404249287001</v>
      </c>
      <c r="G50" s="70">
        <f t="shared" si="84"/>
        <v>56.042726347914503</v>
      </c>
      <c r="H50" s="71">
        <f t="shared" si="85"/>
        <v>48.698925005995164</v>
      </c>
      <c r="M50" s="63">
        <v>3000</v>
      </c>
      <c r="N50" s="70">
        <f t="shared" si="86"/>
        <v>42.918216615450902</v>
      </c>
      <c r="O50" s="70">
        <f t="shared" si="87"/>
        <v>154.50557981562326</v>
      </c>
      <c r="P50" s="70">
        <f t="shared" si="88"/>
        <v>100.940212410372</v>
      </c>
      <c r="Q50" s="70">
        <f t="shared" si="89"/>
        <v>363.38476467733921</v>
      </c>
      <c r="R50" s="70">
        <f t="shared" si="90"/>
        <v>3.7781471631205599</v>
      </c>
      <c r="S50" s="70">
        <f t="shared" si="91"/>
        <v>37.781471631205598</v>
      </c>
      <c r="T50" s="70">
        <f t="shared" si="92"/>
        <v>68.323898862472305</v>
      </c>
      <c r="U50" s="70">
        <f t="shared" si="93"/>
        <v>245.96603590490031</v>
      </c>
      <c r="V50" s="70">
        <f t="shared" si="94"/>
        <v>3.7330854026649698</v>
      </c>
      <c r="W50" s="70">
        <f t="shared" si="95"/>
        <v>37.330854026649696</v>
      </c>
      <c r="X50" s="70">
        <f t="shared" si="96"/>
        <v>52.543234994913497</v>
      </c>
      <c r="Y50" s="70">
        <f t="shared" si="97"/>
        <v>189.15564598168859</v>
      </c>
      <c r="Z50" s="70">
        <f t="shared" si="98"/>
        <v>0.26468000234645445</v>
      </c>
      <c r="AA50" s="71">
        <f t="shared" ref="AA50:AA53" si="99">(Z50+Z49)/2*(M50-M49)/6+AA49</f>
        <v>94.954371438325325</v>
      </c>
    </row>
    <row r="51" spans="1:27" x14ac:dyDescent="0.3">
      <c r="A51" s="75">
        <f t="shared" si="79"/>
        <v>3000</v>
      </c>
      <c r="B51" s="70">
        <f t="shared" si="79"/>
        <v>42.850827537872597</v>
      </c>
      <c r="C51" s="70">
        <f t="shared" si="80"/>
        <v>103.43360828076899</v>
      </c>
      <c r="D51" s="70">
        <f t="shared" si="81"/>
        <v>4.69237588652482</v>
      </c>
      <c r="E51" s="70">
        <f t="shared" si="82"/>
        <v>69.806458569195101</v>
      </c>
      <c r="F51" s="70">
        <f t="shared" si="83"/>
        <v>4.3380751463402403</v>
      </c>
      <c r="G51" s="70">
        <f t="shared" si="84"/>
        <v>60.193285859613397</v>
      </c>
      <c r="H51" s="71">
        <f t="shared" si="85"/>
        <v>80.92839465410907</v>
      </c>
      <c r="M51" s="63">
        <v>4000</v>
      </c>
      <c r="N51" s="70">
        <f t="shared" si="86"/>
        <v>45.142056175534996</v>
      </c>
      <c r="O51" s="70">
        <f t="shared" si="87"/>
        <v>162.51140223192598</v>
      </c>
      <c r="P51" s="70">
        <f t="shared" si="88"/>
        <v>97.638147609035499</v>
      </c>
      <c r="Q51" s="70">
        <f t="shared" si="89"/>
        <v>351.49733139252783</v>
      </c>
      <c r="R51" s="70">
        <f t="shared" si="90"/>
        <v>2.72539893617021</v>
      </c>
      <c r="S51" s="70">
        <f t="shared" si="91"/>
        <v>27.2539893617021</v>
      </c>
      <c r="T51" s="70">
        <f t="shared" si="92"/>
        <v>69.739069491616704</v>
      </c>
      <c r="U51" s="70">
        <f t="shared" si="93"/>
        <v>251.06065016982015</v>
      </c>
      <c r="V51" s="70">
        <f t="shared" si="94"/>
        <v>2.55199039407634</v>
      </c>
      <c r="W51" s="70">
        <f t="shared" si="95"/>
        <v>25.519903940763399</v>
      </c>
      <c r="X51" s="70">
        <f t="shared" si="96"/>
        <v>56.286876907426198</v>
      </c>
      <c r="Y51" s="70">
        <f t="shared" si="97"/>
        <v>202.63275686673433</v>
      </c>
      <c r="Z51" s="70">
        <f t="shared" si="98"/>
        <v>0.36691876067333534</v>
      </c>
      <c r="AA51" s="71">
        <f t="shared" si="99"/>
        <v>147.58760168997446</v>
      </c>
    </row>
    <row r="52" spans="1:27" x14ac:dyDescent="0.3">
      <c r="A52" s="75">
        <f t="shared" si="79"/>
        <v>4000</v>
      </c>
      <c r="B52" s="70">
        <f t="shared" si="79"/>
        <v>45.074667097956699</v>
      </c>
      <c r="C52" s="70">
        <f t="shared" si="80"/>
        <v>101.344546875842</v>
      </c>
      <c r="D52" s="70">
        <f t="shared" si="81"/>
        <v>3.59807180851063</v>
      </c>
      <c r="E52" s="70">
        <f t="shared" si="82"/>
        <v>71.356407353496095</v>
      </c>
      <c r="F52" s="70">
        <f t="shared" si="83"/>
        <v>3.2225705851941999</v>
      </c>
      <c r="G52" s="70">
        <f t="shared" si="84"/>
        <v>63.855544252288901</v>
      </c>
      <c r="H52" s="71">
        <f t="shared" si="85"/>
        <v>121.84825253921929</v>
      </c>
      <c r="M52" s="63">
        <v>5000</v>
      </c>
      <c r="N52" s="70">
        <f t="shared" si="86"/>
        <v>47.770230201088999</v>
      </c>
      <c r="O52" s="70">
        <f t="shared" si="87"/>
        <v>171.9728287239204</v>
      </c>
      <c r="P52" s="70">
        <f t="shared" si="88"/>
        <v>93.796970187072006</v>
      </c>
      <c r="Q52" s="70">
        <f t="shared" si="89"/>
        <v>337.6690926734592</v>
      </c>
      <c r="R52" s="70">
        <f t="shared" si="90"/>
        <v>1.71420656028368</v>
      </c>
      <c r="S52" s="70">
        <f t="shared" si="91"/>
        <v>17.142065602836801</v>
      </c>
      <c r="T52" s="70">
        <f t="shared" si="92"/>
        <v>70.817294732869698</v>
      </c>
      <c r="U52" s="70">
        <f t="shared" si="93"/>
        <v>254.94226103833091</v>
      </c>
      <c r="V52" s="70">
        <f t="shared" si="94"/>
        <v>1.5511899004386001</v>
      </c>
      <c r="W52" s="70">
        <f t="shared" si="95"/>
        <v>15.511899004386001</v>
      </c>
      <c r="X52" s="70">
        <f t="shared" si="96"/>
        <v>60.193285859613397</v>
      </c>
      <c r="Y52" s="70">
        <f t="shared" si="97"/>
        <v>216.69582909460823</v>
      </c>
      <c r="Z52" s="70">
        <f t="shared" si="98"/>
        <v>0.58336026892494941</v>
      </c>
      <c r="AA52" s="71">
        <f t="shared" si="99"/>
        <v>226.77752082316488</v>
      </c>
    </row>
    <row r="53" spans="1:27" x14ac:dyDescent="0.3">
      <c r="A53" s="75">
        <f t="shared" si="79"/>
        <v>5000</v>
      </c>
      <c r="B53" s="70">
        <f t="shared" si="79"/>
        <v>47.500673890775701</v>
      </c>
      <c r="C53" s="70">
        <f t="shared" si="80"/>
        <v>98.918540083023302</v>
      </c>
      <c r="D53" s="70">
        <f t="shared" si="81"/>
        <v>2.6145833333333299</v>
      </c>
      <c r="E53" s="70">
        <f t="shared" si="82"/>
        <v>72.5694107499056</v>
      </c>
      <c r="F53" s="70">
        <f t="shared" si="83"/>
        <v>2.25460700765472</v>
      </c>
      <c r="G53" s="70">
        <f t="shared" si="84"/>
        <v>67.517802644964405</v>
      </c>
      <c r="H53" s="71">
        <f t="shared" si="85"/>
        <v>176.88131564237668</v>
      </c>
      <c r="M53" s="63">
        <v>6000</v>
      </c>
      <c r="N53" s="70">
        <f t="shared" si="86"/>
        <v>51.880963933365599</v>
      </c>
      <c r="O53" s="70">
        <f t="shared" si="87"/>
        <v>186.77147016011617</v>
      </c>
      <c r="P53" s="70">
        <f t="shared" si="88"/>
        <v>87.327618739554694</v>
      </c>
      <c r="Q53" s="70">
        <f t="shared" si="89"/>
        <v>314.3794274623969</v>
      </c>
      <c r="R53" s="70">
        <f t="shared" si="90"/>
        <v>0.73071808510638303</v>
      </c>
      <c r="S53" s="70">
        <f t="shared" si="91"/>
        <v>7.3071808510638299</v>
      </c>
      <c r="T53" s="70">
        <f t="shared" si="92"/>
        <v>71.962909051700905</v>
      </c>
      <c r="U53" s="70">
        <f t="shared" si="93"/>
        <v>259.06647258612327</v>
      </c>
      <c r="V53" s="70">
        <f t="shared" si="94"/>
        <v>0.59953638076814098</v>
      </c>
      <c r="W53" s="70">
        <f t="shared" si="95"/>
        <v>5.99536380768141</v>
      </c>
      <c r="X53" s="70">
        <f t="shared" si="96"/>
        <v>64.262461851474995</v>
      </c>
      <c r="Y53" s="70">
        <f t="shared" si="97"/>
        <v>231.34486266530999</v>
      </c>
      <c r="Z53" s="70">
        <f t="shared" si="98"/>
        <v>1.3685168334849862</v>
      </c>
      <c r="AA53" s="71">
        <f t="shared" si="99"/>
        <v>389.43394602399286</v>
      </c>
    </row>
    <row r="54" spans="1:27" x14ac:dyDescent="0.3">
      <c r="A54" s="75">
        <f t="shared" si="79"/>
        <v>6000</v>
      </c>
      <c r="B54" s="70">
        <f t="shared" si="79"/>
        <v>50.061458838751399</v>
      </c>
      <c r="C54" s="70">
        <f t="shared" si="80"/>
        <v>94.875195428324901</v>
      </c>
      <c r="D54" s="70">
        <f t="shared" si="81"/>
        <v>1.6033909574467999</v>
      </c>
      <c r="E54" s="70">
        <f t="shared" si="82"/>
        <v>73.917192301471701</v>
      </c>
      <c r="F54" s="70">
        <f t="shared" si="83"/>
        <v>1.3195137001150701</v>
      </c>
      <c r="G54" s="70">
        <f t="shared" si="84"/>
        <v>70.773143438453701</v>
      </c>
      <c r="H54" s="71">
        <f t="shared" si="85"/>
        <v>260.72700965119213</v>
      </c>
      <c r="M54" s="2">
        <f>AK41</f>
        <v>6670</v>
      </c>
      <c r="N54" s="2"/>
      <c r="O54" s="2">
        <v>255</v>
      </c>
      <c r="P54" s="2"/>
      <c r="Q54" s="2">
        <f>O54</f>
        <v>255</v>
      </c>
      <c r="R54" s="2"/>
      <c r="S54" s="2">
        <f>S43</f>
        <v>0</v>
      </c>
      <c r="T54" s="2"/>
      <c r="U54" s="2">
        <f>O54</f>
        <v>255</v>
      </c>
      <c r="V54" s="2"/>
      <c r="W54" s="2">
        <f>W43</f>
        <v>0</v>
      </c>
      <c r="X54" s="2"/>
      <c r="Y54" s="2">
        <f>O54</f>
        <v>255</v>
      </c>
      <c r="Z54" s="2"/>
      <c r="AA54" s="2">
        <f>AA33</f>
        <v>500</v>
      </c>
    </row>
    <row r="55" spans="1:27" ht="15" thickBot="1" x14ac:dyDescent="0.35">
      <c r="A55" s="76">
        <f t="shared" si="79"/>
        <v>7000</v>
      </c>
      <c r="B55" s="77">
        <f t="shared" si="79"/>
        <v>58.350315380883004</v>
      </c>
      <c r="C55" s="77">
        <f t="shared" si="80"/>
        <v>89.281901989325505</v>
      </c>
      <c r="D55" s="77">
        <f t="shared" si="81"/>
        <v>0.73905109489051102</v>
      </c>
      <c r="E55" s="77">
        <f t="shared" si="82"/>
        <v>75.601919240929405</v>
      </c>
      <c r="F55" s="77">
        <f t="shared" si="83"/>
        <v>0.54847155746043397</v>
      </c>
      <c r="G55" s="77">
        <f t="shared" si="84"/>
        <v>73.458799593082404</v>
      </c>
      <c r="H55" s="78">
        <f t="shared" si="85"/>
        <v>425.45739534593872</v>
      </c>
    </row>
    <row r="56" spans="1:27" ht="15" thickBot="1" x14ac:dyDescent="0.35">
      <c r="B56" s="79"/>
      <c r="C56" s="79"/>
      <c r="D56" s="79"/>
      <c r="E56" s="79"/>
      <c r="F56" s="79"/>
      <c r="G56" s="79"/>
      <c r="H56" s="79"/>
    </row>
    <row r="57" spans="1:27" x14ac:dyDescent="0.3">
      <c r="A57" s="82" t="str">
        <f t="shared" ref="A57:A65" si="100">M13</f>
        <v>h [m]</v>
      </c>
      <c r="B57" s="83" t="str">
        <f t="shared" ref="B57:B65" si="101">N13</f>
        <v>Vmin [m/s]</v>
      </c>
      <c r="C57" s="83" t="str">
        <f t="shared" ref="C57:C65" si="102">P13</f>
        <v>Vmax [m/s]</v>
      </c>
      <c r="D57" s="83" t="str">
        <f t="shared" ref="D57:D65" si="103">R13</f>
        <v>wmax [m/s]</v>
      </c>
      <c r="E57" s="83" t="str">
        <f t="shared" ref="E57:E65" si="104">T13</f>
        <v>Vw [m/s]</v>
      </c>
      <c r="F57" s="83" t="str">
        <f t="shared" ref="F57:F65" si="105">V13</f>
        <v>γmax [°]</v>
      </c>
      <c r="G57" s="83" t="str">
        <f t="shared" ref="G57:G65" si="106">X13</f>
        <v>Vγ [m/s]</v>
      </c>
      <c r="H57" s="84" t="str">
        <f t="shared" ref="H57:H65" si="107">AA13</f>
        <v>10th [min]</v>
      </c>
    </row>
    <row r="58" spans="1:27" x14ac:dyDescent="0.3">
      <c r="A58" s="85">
        <f t="shared" si="100"/>
        <v>0</v>
      </c>
      <c r="B58" s="86">
        <f t="shared" si="101"/>
        <v>35.110565110565098</v>
      </c>
      <c r="C58" s="86">
        <f t="shared" si="102"/>
        <v>106.953316953316</v>
      </c>
      <c r="D58" s="86">
        <f t="shared" si="103"/>
        <v>8.5237226277372198</v>
      </c>
      <c r="E58" s="86">
        <f t="shared" si="104"/>
        <v>60.171990171990103</v>
      </c>
      <c r="F58" s="86">
        <f t="shared" si="105"/>
        <v>9.7178130511463792</v>
      </c>
      <c r="G58" s="86">
        <f t="shared" si="106"/>
        <v>43.0592503022974</v>
      </c>
      <c r="H58" s="87">
        <f t="shared" si="107"/>
        <v>0</v>
      </c>
    </row>
    <row r="59" spans="1:27" x14ac:dyDescent="0.3">
      <c r="A59" s="85">
        <f t="shared" si="100"/>
        <v>1000</v>
      </c>
      <c r="B59" s="86">
        <f t="shared" si="101"/>
        <v>36.879606879606797</v>
      </c>
      <c r="C59" s="86">
        <f t="shared" si="102"/>
        <v>105.773955773955</v>
      </c>
      <c r="D59" s="86">
        <f t="shared" si="103"/>
        <v>7.2755474452554703</v>
      </c>
      <c r="E59" s="86">
        <f t="shared" si="104"/>
        <v>61.154791154791099</v>
      </c>
      <c r="F59" s="86">
        <f t="shared" si="105"/>
        <v>8.0599647266313905</v>
      </c>
      <c r="G59" s="86">
        <f t="shared" si="106"/>
        <v>46.058041112454603</v>
      </c>
      <c r="H59" s="87">
        <f t="shared" si="107"/>
        <v>21.230527795940542</v>
      </c>
    </row>
    <row r="60" spans="1:27" x14ac:dyDescent="0.3">
      <c r="A60" s="85">
        <f t="shared" si="100"/>
        <v>2000</v>
      </c>
      <c r="B60" s="86">
        <f t="shared" si="101"/>
        <v>38.845208845208802</v>
      </c>
      <c r="C60" s="86">
        <f t="shared" si="102"/>
        <v>104.299754299754</v>
      </c>
      <c r="D60" s="86">
        <f t="shared" si="103"/>
        <v>6.09306569343065</v>
      </c>
      <c r="E60" s="86">
        <f t="shared" si="104"/>
        <v>62.530712530712499</v>
      </c>
      <c r="F60" s="86">
        <f t="shared" si="105"/>
        <v>6.5255731922398503</v>
      </c>
      <c r="G60" s="86">
        <f t="shared" si="106"/>
        <v>48.476420798065298</v>
      </c>
      <c r="H60" s="87">
        <f t="shared" si="107"/>
        <v>46.361169136812329</v>
      </c>
    </row>
    <row r="61" spans="1:27" x14ac:dyDescent="0.3">
      <c r="A61" s="85">
        <f t="shared" si="100"/>
        <v>3000</v>
      </c>
      <c r="B61" s="86">
        <f t="shared" si="101"/>
        <v>40.8108108108108</v>
      </c>
      <c r="C61" s="86">
        <f t="shared" si="102"/>
        <v>102.62899262899199</v>
      </c>
      <c r="D61" s="86">
        <f t="shared" si="103"/>
        <v>4.9598540145985401</v>
      </c>
      <c r="E61" s="86">
        <f t="shared" si="104"/>
        <v>63.415233415233402</v>
      </c>
      <c r="F61" s="86">
        <f t="shared" si="105"/>
        <v>5.0793650793650702</v>
      </c>
      <c r="G61" s="86">
        <f t="shared" si="106"/>
        <v>51.378476420798002</v>
      </c>
      <c r="H61" s="87">
        <f t="shared" si="107"/>
        <v>76.839488444320708</v>
      </c>
    </row>
    <row r="62" spans="1:27" x14ac:dyDescent="0.3">
      <c r="A62" s="85">
        <f t="shared" si="100"/>
        <v>4000</v>
      </c>
      <c r="B62" s="86">
        <f t="shared" si="101"/>
        <v>43.071253071252997</v>
      </c>
      <c r="C62" s="86">
        <f t="shared" si="102"/>
        <v>100.27027027027</v>
      </c>
      <c r="D62" s="86">
        <f t="shared" si="103"/>
        <v>3.85948905109489</v>
      </c>
      <c r="E62" s="86">
        <f t="shared" si="104"/>
        <v>64.594594594594597</v>
      </c>
      <c r="F62" s="86">
        <f t="shared" si="105"/>
        <v>3.8447971781305101</v>
      </c>
      <c r="G62" s="86">
        <f t="shared" si="106"/>
        <v>53.893591293833097</v>
      </c>
      <c r="H62" s="87">
        <f t="shared" si="107"/>
        <v>115.23286279655092</v>
      </c>
    </row>
    <row r="63" spans="1:27" x14ac:dyDescent="0.3">
      <c r="A63" s="85">
        <f t="shared" si="100"/>
        <v>5000</v>
      </c>
      <c r="B63" s="86">
        <f t="shared" si="101"/>
        <v>45.4299754299754</v>
      </c>
      <c r="C63" s="86">
        <f t="shared" si="102"/>
        <v>97.027027027027003</v>
      </c>
      <c r="D63" s="86">
        <f t="shared" si="103"/>
        <v>2.7919708029197001</v>
      </c>
      <c r="E63" s="86">
        <f t="shared" si="104"/>
        <v>65.479115479115407</v>
      </c>
      <c r="F63" s="86">
        <f t="shared" si="105"/>
        <v>2.6455026455026398</v>
      </c>
      <c r="G63" s="86">
        <f t="shared" si="106"/>
        <v>58.053204353083402</v>
      </c>
      <c r="H63" s="87">
        <f t="shared" si="107"/>
        <v>166.67216192045589</v>
      </c>
    </row>
    <row r="64" spans="1:27" x14ac:dyDescent="0.3">
      <c r="A64" s="85">
        <f t="shared" si="100"/>
        <v>6000</v>
      </c>
      <c r="B64" s="86">
        <f t="shared" si="101"/>
        <v>48.083538083538002</v>
      </c>
      <c r="C64" s="86">
        <f t="shared" si="102"/>
        <v>92.702702702702695</v>
      </c>
      <c r="D64" s="86">
        <f t="shared" si="103"/>
        <v>1.77372262773722</v>
      </c>
      <c r="E64" s="86">
        <f t="shared" si="104"/>
        <v>66.658476658476602</v>
      </c>
      <c r="F64" s="86">
        <f t="shared" si="105"/>
        <v>1.6049382716049301</v>
      </c>
      <c r="G64" s="86">
        <f t="shared" si="106"/>
        <v>61.245465538089398</v>
      </c>
      <c r="H64" s="87">
        <f t="shared" si="107"/>
        <v>243.50182382637075</v>
      </c>
    </row>
    <row r="65" spans="1:8" ht="15" thickBot="1" x14ac:dyDescent="0.35">
      <c r="A65" s="88">
        <f t="shared" si="100"/>
        <v>7000</v>
      </c>
      <c r="B65" s="89">
        <f t="shared" si="101"/>
        <v>50.933660933660903</v>
      </c>
      <c r="C65" s="89">
        <f t="shared" si="102"/>
        <v>85.3316953316953</v>
      </c>
      <c r="D65" s="89">
        <f t="shared" si="103"/>
        <v>0.66145833333333204</v>
      </c>
      <c r="E65" s="89">
        <f t="shared" si="104"/>
        <v>67.641277641277597</v>
      </c>
      <c r="F65" s="89">
        <f t="shared" si="105"/>
        <v>0.65255731922398497</v>
      </c>
      <c r="G65" s="89">
        <f t="shared" si="106"/>
        <v>65</v>
      </c>
      <c r="H65" s="90">
        <f t="shared" si="107"/>
        <v>416.46824314741281</v>
      </c>
    </row>
    <row r="66" spans="1:8" ht="15" thickBot="1" x14ac:dyDescent="0.35"/>
    <row r="67" spans="1:8" x14ac:dyDescent="0.3">
      <c r="A67" s="82" t="str">
        <f t="shared" ref="A67:A75" si="108">M24</f>
        <v>h [m]</v>
      </c>
      <c r="B67" s="83" t="str">
        <f t="shared" ref="B67:B75" si="109">N24</f>
        <v>Vmin [m/s]</v>
      </c>
      <c r="C67" s="83" t="str">
        <f t="shared" ref="C67:C75" si="110">P24</f>
        <v>Vmax [m/s]</v>
      </c>
      <c r="D67" s="83" t="str">
        <f t="shared" ref="D67:D75" si="111">R24</f>
        <v>wmax [m/s]</v>
      </c>
      <c r="E67" s="83" t="str">
        <f t="shared" ref="E67:E75" si="112">T24</f>
        <v>Vw [m/s]</v>
      </c>
      <c r="F67" s="83" t="str">
        <f t="shared" ref="F67:F75" si="113">V24</f>
        <v>γmax [°]</v>
      </c>
      <c r="G67" s="83" t="str">
        <f t="shared" ref="G67:G75" si="114">X24</f>
        <v>Vγ [m/s]</v>
      </c>
      <c r="H67" s="84" t="str">
        <f t="shared" ref="H67:H75" si="115">AA24</f>
        <v>10th [min]</v>
      </c>
    </row>
    <row r="68" spans="1:8" x14ac:dyDescent="0.3">
      <c r="A68" s="85">
        <f t="shared" si="108"/>
        <v>0</v>
      </c>
      <c r="B68" s="86">
        <f t="shared" si="109"/>
        <v>35.110565110565098</v>
      </c>
      <c r="C68" s="86">
        <f t="shared" si="110"/>
        <v>106.28571428571399</v>
      </c>
      <c r="D68" s="86">
        <f t="shared" si="111"/>
        <v>8.4580291970802897</v>
      </c>
      <c r="E68" s="86">
        <f t="shared" si="112"/>
        <v>61.941031941031902</v>
      </c>
      <c r="F68" s="86">
        <f t="shared" si="113"/>
        <v>9.5414462081128697</v>
      </c>
      <c r="G68" s="86">
        <f t="shared" si="114"/>
        <v>41.414752116082198</v>
      </c>
      <c r="H68" s="87">
        <f t="shared" si="115"/>
        <v>0</v>
      </c>
    </row>
    <row r="69" spans="1:8" x14ac:dyDescent="0.3">
      <c r="A69" s="85">
        <f t="shared" si="108"/>
        <v>1000</v>
      </c>
      <c r="B69" s="86">
        <f t="shared" si="109"/>
        <v>36.879606879606797</v>
      </c>
      <c r="C69" s="86">
        <f t="shared" si="110"/>
        <v>105.577395577395</v>
      </c>
      <c r="D69" s="86">
        <f t="shared" si="111"/>
        <v>7.2098540145985401</v>
      </c>
      <c r="E69" s="86">
        <f t="shared" si="112"/>
        <v>62.923832923832897</v>
      </c>
      <c r="F69" s="86">
        <f t="shared" si="113"/>
        <v>7.8835978835978802</v>
      </c>
      <c r="G69" s="86">
        <f t="shared" si="114"/>
        <v>43.639661426844</v>
      </c>
      <c r="H69" s="87">
        <f t="shared" si="115"/>
        <v>21.410826311637958</v>
      </c>
    </row>
    <row r="70" spans="1:8" x14ac:dyDescent="0.3">
      <c r="A70" s="85">
        <f t="shared" si="108"/>
        <v>2000</v>
      </c>
      <c r="B70" s="86">
        <f t="shared" si="109"/>
        <v>38.845208845208802</v>
      </c>
      <c r="C70" s="86">
        <f t="shared" si="110"/>
        <v>104.987714987714</v>
      </c>
      <c r="D70" s="86">
        <f t="shared" si="111"/>
        <v>6.0109489051094904</v>
      </c>
      <c r="E70" s="86">
        <f t="shared" si="112"/>
        <v>64.398034398034397</v>
      </c>
      <c r="F70" s="86">
        <f t="shared" si="113"/>
        <v>6.3668430335097002</v>
      </c>
      <c r="G70" s="86">
        <f t="shared" si="114"/>
        <v>46.444981862152297</v>
      </c>
      <c r="H70" s="87">
        <f t="shared" si="115"/>
        <v>46.832671971978954</v>
      </c>
    </row>
    <row r="71" spans="1:8" x14ac:dyDescent="0.3">
      <c r="A71" s="85">
        <f t="shared" si="108"/>
        <v>3000</v>
      </c>
      <c r="B71" s="86">
        <f t="shared" si="109"/>
        <v>40.8108108108108</v>
      </c>
      <c r="C71" s="86">
        <f t="shared" si="110"/>
        <v>102.33415233415199</v>
      </c>
      <c r="D71" s="86">
        <f t="shared" si="111"/>
        <v>4.8613138686131396</v>
      </c>
      <c r="E71" s="86">
        <f t="shared" si="112"/>
        <v>65.479115479115407</v>
      </c>
      <c r="F71" s="86">
        <f t="shared" si="113"/>
        <v>4.9735449735449704</v>
      </c>
      <c r="G71" s="86">
        <f t="shared" si="114"/>
        <v>49.4437726723095</v>
      </c>
      <c r="H71" s="87">
        <f t="shared" si="115"/>
        <v>77.8384044804437</v>
      </c>
    </row>
    <row r="72" spans="1:8" x14ac:dyDescent="0.3">
      <c r="A72" s="85">
        <f t="shared" si="108"/>
        <v>4000</v>
      </c>
      <c r="B72" s="86">
        <f t="shared" si="109"/>
        <v>42.972972972972897</v>
      </c>
      <c r="C72" s="86">
        <f t="shared" si="110"/>
        <v>99.975429975429904</v>
      </c>
      <c r="D72" s="86">
        <f t="shared" si="111"/>
        <v>3.7445255474452499</v>
      </c>
      <c r="E72" s="86">
        <f t="shared" si="112"/>
        <v>66.461916461916402</v>
      </c>
      <c r="F72" s="86">
        <f t="shared" si="113"/>
        <v>3.7389770723104001</v>
      </c>
      <c r="G72" s="86">
        <f t="shared" si="114"/>
        <v>52.732769044740003</v>
      </c>
      <c r="H72" s="87">
        <f t="shared" si="115"/>
        <v>117.23525747378795</v>
      </c>
    </row>
    <row r="73" spans="1:8" x14ac:dyDescent="0.3">
      <c r="A73" s="85">
        <f t="shared" si="108"/>
        <v>5000</v>
      </c>
      <c r="B73" s="86">
        <f t="shared" si="109"/>
        <v>45.4299754299754</v>
      </c>
      <c r="C73" s="86">
        <f t="shared" si="110"/>
        <v>96.339066339066306</v>
      </c>
      <c r="D73" s="86">
        <f t="shared" si="111"/>
        <v>2.72627737226277</v>
      </c>
      <c r="E73" s="86">
        <f t="shared" si="112"/>
        <v>67.837837837837796</v>
      </c>
      <c r="F73" s="86">
        <f t="shared" si="113"/>
        <v>2.55731922398589</v>
      </c>
      <c r="G73" s="86">
        <f t="shared" si="114"/>
        <v>55.731559854897199</v>
      </c>
      <c r="H73" s="87">
        <f t="shared" si="115"/>
        <v>170.05667961459295</v>
      </c>
    </row>
    <row r="74" spans="1:8" x14ac:dyDescent="0.3">
      <c r="A74" s="85">
        <f t="shared" si="108"/>
        <v>6000</v>
      </c>
      <c r="B74" s="86">
        <f t="shared" si="109"/>
        <v>47.985257985257903</v>
      </c>
      <c r="C74" s="86">
        <f t="shared" si="110"/>
        <v>92.211302211302197</v>
      </c>
      <c r="D74" s="86">
        <f t="shared" si="111"/>
        <v>1.7408759124087601</v>
      </c>
      <c r="E74" s="86">
        <f t="shared" si="112"/>
        <v>68.722358722358706</v>
      </c>
      <c r="F74" s="86">
        <f t="shared" si="113"/>
        <v>1.49911816578483</v>
      </c>
      <c r="G74" s="86">
        <f t="shared" si="114"/>
        <v>59.697702539298596</v>
      </c>
      <c r="H74" s="87">
        <f t="shared" si="115"/>
        <v>248.49201424451729</v>
      </c>
    </row>
    <row r="75" spans="1:8" ht="15" thickBot="1" x14ac:dyDescent="0.35">
      <c r="A75" s="88">
        <f t="shared" si="108"/>
        <v>7000</v>
      </c>
      <c r="B75" s="89">
        <f t="shared" si="109"/>
        <v>52.014742014741998</v>
      </c>
      <c r="C75" s="89">
        <f t="shared" si="110"/>
        <v>84.742014742014703</v>
      </c>
      <c r="D75" s="89">
        <f t="shared" si="111"/>
        <v>0.65693430656934304</v>
      </c>
      <c r="E75" s="89">
        <f t="shared" si="112"/>
        <v>69.803439803439801</v>
      </c>
      <c r="F75" s="89">
        <f t="shared" si="113"/>
        <v>0.52910052910052796</v>
      </c>
      <c r="G75" s="89">
        <f t="shared" si="114"/>
        <v>64.147521160822194</v>
      </c>
      <c r="H75" s="90">
        <f t="shared" si="115"/>
        <v>423.21248943669059</v>
      </c>
    </row>
    <row r="76" spans="1:8" ht="15" thickBot="1" x14ac:dyDescent="0.35">
      <c r="A76" s="80"/>
      <c r="B76" s="81"/>
      <c r="C76" s="81"/>
      <c r="D76" s="81"/>
      <c r="E76" s="81"/>
      <c r="F76" s="81"/>
      <c r="G76" s="81"/>
      <c r="H76" s="81"/>
    </row>
    <row r="77" spans="1:8" x14ac:dyDescent="0.3">
      <c r="A77" s="111" t="str">
        <f>M35</f>
        <v>h [m]</v>
      </c>
      <c r="B77" s="112" t="str">
        <f>N35</f>
        <v>Vmin [m/s]</v>
      </c>
      <c r="C77" s="112" t="str">
        <f>P35</f>
        <v>Vmax [m/s]</v>
      </c>
      <c r="D77" s="112" t="str">
        <f>R35</f>
        <v>wmax [m/s]</v>
      </c>
      <c r="E77" s="112" t="str">
        <f>T35</f>
        <v>Vw [m/s]</v>
      </c>
      <c r="F77" s="112" t="str">
        <f>V35</f>
        <v>γmax [°]</v>
      </c>
      <c r="G77" s="112" t="str">
        <f>X35</f>
        <v>Vγ [m/s]</v>
      </c>
      <c r="H77" s="113" t="str">
        <f>AA35</f>
        <v>10th [min]</v>
      </c>
    </row>
    <row r="78" spans="1:8" x14ac:dyDescent="0.3">
      <c r="A78" s="85">
        <f t="shared" ref="A78:B78" si="116">M36</f>
        <v>0</v>
      </c>
      <c r="B78" s="86">
        <f t="shared" si="116"/>
        <v>36.920588710981697</v>
      </c>
      <c r="C78" s="86">
        <f t="shared" ref="C78:C84" si="117">P36</f>
        <v>106.19656046148</v>
      </c>
      <c r="D78" s="86">
        <f t="shared" ref="D78:D84" si="118">R36</f>
        <v>7.3658023049645296</v>
      </c>
      <c r="E78" s="86">
        <f t="shared" ref="E78:E84" si="119">T36</f>
        <v>60.708933096123701</v>
      </c>
      <c r="F78" s="86">
        <f t="shared" ref="F78:F84" si="120">V36</f>
        <v>8.1444724246618705</v>
      </c>
      <c r="G78" s="86">
        <f t="shared" ref="G78:G84" si="121">X36</f>
        <v>44.974567650050801</v>
      </c>
      <c r="H78" s="87">
        <f t="shared" ref="H78:H84" si="122">AA36</f>
        <v>0</v>
      </c>
    </row>
    <row r="79" spans="1:8" x14ac:dyDescent="0.3">
      <c r="A79" s="85">
        <f t="shared" ref="A79:B79" si="123">M37</f>
        <v>1000</v>
      </c>
      <c r="B79" s="86">
        <f t="shared" si="123"/>
        <v>38.807482883174202</v>
      </c>
      <c r="C79" s="86">
        <f t="shared" si="117"/>
        <v>104.916167987492</v>
      </c>
      <c r="D79" s="86">
        <f t="shared" si="118"/>
        <v>6.1606826241134698</v>
      </c>
      <c r="E79" s="86">
        <f t="shared" si="119"/>
        <v>62.3262709580031</v>
      </c>
      <c r="F79" s="86">
        <f t="shared" si="120"/>
        <v>6.5701182395810704</v>
      </c>
      <c r="G79" s="86">
        <f t="shared" si="121"/>
        <v>47.822990844354003</v>
      </c>
      <c r="H79" s="87">
        <f t="shared" si="122"/>
        <v>24.840184225337406</v>
      </c>
    </row>
    <row r="80" spans="1:8" x14ac:dyDescent="0.3">
      <c r="A80" s="85">
        <f t="shared" ref="A80:B80" si="124">M38</f>
        <v>2000</v>
      </c>
      <c r="B80" s="86">
        <f t="shared" si="124"/>
        <v>40.829155210523403</v>
      </c>
      <c r="C80" s="86">
        <f t="shared" si="117"/>
        <v>103.231441048034</v>
      </c>
      <c r="D80" s="86">
        <f t="shared" si="118"/>
        <v>5.0109707446808498</v>
      </c>
      <c r="E80" s="86">
        <f t="shared" si="119"/>
        <v>63.876219742304102</v>
      </c>
      <c r="F80" s="86">
        <f t="shared" si="120"/>
        <v>5.1269449493854502</v>
      </c>
      <c r="G80" s="86">
        <f t="shared" si="121"/>
        <v>50.508646998982698</v>
      </c>
      <c r="H80" s="87">
        <f t="shared" si="122"/>
        <v>54.99700137097885</v>
      </c>
    </row>
    <row r="81" spans="1:8" x14ac:dyDescent="0.3">
      <c r="A81" s="85">
        <f t="shared" ref="A81:B81" si="125">M39</f>
        <v>3000</v>
      </c>
      <c r="B81" s="86">
        <f t="shared" si="125"/>
        <v>42.918216615450902</v>
      </c>
      <c r="C81" s="86">
        <f t="shared" si="117"/>
        <v>101.07499056552901</v>
      </c>
      <c r="D81" s="86">
        <f t="shared" si="118"/>
        <v>3.8889627659574399</v>
      </c>
      <c r="E81" s="86">
        <f t="shared" si="119"/>
        <v>65.358779449026898</v>
      </c>
      <c r="F81" s="86">
        <f t="shared" si="120"/>
        <v>3.83114587328852</v>
      </c>
      <c r="G81" s="86">
        <f t="shared" si="121"/>
        <v>54.008138351983703</v>
      </c>
      <c r="H81" s="87">
        <f t="shared" si="122"/>
        <v>93.055343309779403</v>
      </c>
    </row>
    <row r="82" spans="1:8" x14ac:dyDescent="0.3">
      <c r="A82" s="85">
        <f t="shared" ref="A82:B82" si="126">M40</f>
        <v>4000</v>
      </c>
      <c r="B82" s="86">
        <f t="shared" si="126"/>
        <v>45.074667097956699</v>
      </c>
      <c r="C82" s="86">
        <f t="shared" si="117"/>
        <v>98.177260229661897</v>
      </c>
      <c r="D82" s="86">
        <f t="shared" si="118"/>
        <v>2.8777703900709199</v>
      </c>
      <c r="E82" s="86">
        <f t="shared" si="119"/>
        <v>66.571782845436402</v>
      </c>
      <c r="F82" s="86">
        <f t="shared" si="120"/>
        <v>2.6665610459783502</v>
      </c>
      <c r="G82" s="86">
        <f t="shared" si="121"/>
        <v>57.182095625635803</v>
      </c>
      <c r="H82" s="87">
        <f t="shared" si="122"/>
        <v>143.4411109645971</v>
      </c>
    </row>
    <row r="83" spans="1:8" x14ac:dyDescent="0.3">
      <c r="A83" s="85">
        <f t="shared" ref="A83:B83" si="127">M41</f>
        <v>5000</v>
      </c>
      <c r="B83" s="86">
        <f t="shared" si="127"/>
        <v>47.702841123510701</v>
      </c>
      <c r="C83" s="86">
        <f t="shared" si="117"/>
        <v>94.336082807698503</v>
      </c>
      <c r="D83" s="86">
        <f t="shared" si="118"/>
        <v>1.99124556737588</v>
      </c>
      <c r="E83" s="86">
        <f t="shared" si="119"/>
        <v>67.650008086689297</v>
      </c>
      <c r="F83" s="86">
        <f t="shared" si="120"/>
        <v>1.84623851375014</v>
      </c>
      <c r="G83" s="86">
        <f t="shared" si="121"/>
        <v>60.356052899287803</v>
      </c>
      <c r="H83" s="87">
        <f t="shared" si="122"/>
        <v>214.24856678462606</v>
      </c>
    </row>
    <row r="84" spans="1:8" ht="15" thickBot="1" x14ac:dyDescent="0.35">
      <c r="A84" s="127">
        <f t="shared" ref="A84:B84" si="128">M42</f>
        <v>6000</v>
      </c>
      <c r="B84" s="128">
        <f t="shared" si="128"/>
        <v>50.331015149064598</v>
      </c>
      <c r="C84" s="128">
        <f t="shared" si="117"/>
        <v>88.271065825650993</v>
      </c>
      <c r="D84" s="128">
        <f t="shared" si="118"/>
        <v>0.95234929078014297</v>
      </c>
      <c r="E84" s="128">
        <f t="shared" si="119"/>
        <v>69.065178715833696</v>
      </c>
      <c r="F84" s="128">
        <f t="shared" si="120"/>
        <v>0.82906125444023704</v>
      </c>
      <c r="G84" s="128">
        <f t="shared" si="121"/>
        <v>64.181078331637806</v>
      </c>
      <c r="H84" s="129">
        <f t="shared" si="122"/>
        <v>343.60132831470054</v>
      </c>
    </row>
    <row r="85" spans="1:8" x14ac:dyDescent="0.3">
      <c r="A85" s="130"/>
      <c r="B85" s="131"/>
      <c r="C85" s="131"/>
      <c r="D85" s="131"/>
      <c r="E85" s="131"/>
      <c r="F85" s="131"/>
      <c r="G85" s="131"/>
      <c r="H85" s="131"/>
    </row>
    <row r="86" spans="1:8" ht="15" thickBot="1" x14ac:dyDescent="0.35"/>
    <row r="87" spans="1:8" x14ac:dyDescent="0.3">
      <c r="A87" s="111" t="str">
        <f>M46</f>
        <v>h [m]</v>
      </c>
      <c r="B87" s="112" t="str">
        <f>N46</f>
        <v>Vmin [m/s]</v>
      </c>
      <c r="C87" s="112" t="str">
        <f>P46</f>
        <v>Vmax [m/s]</v>
      </c>
      <c r="D87" s="112" t="str">
        <f>R46</f>
        <v>wmax [m/s]</v>
      </c>
      <c r="E87" s="112" t="str">
        <f>T46</f>
        <v>Vw [m/s]</v>
      </c>
      <c r="F87" s="112" t="str">
        <f>V46</f>
        <v>γmax [°]</v>
      </c>
      <c r="G87" s="112" t="str">
        <f>X46</f>
        <v>Vγ [m/s]</v>
      </c>
      <c r="H87" s="113" t="str">
        <f>AA46</f>
        <v>10th [min]</v>
      </c>
    </row>
    <row r="88" spans="1:8" x14ac:dyDescent="0.3">
      <c r="A88" s="85">
        <f t="shared" ref="A88:B88" si="129">M47</f>
        <v>0</v>
      </c>
      <c r="B88" s="86">
        <f t="shared" si="129"/>
        <v>36.920588710981697</v>
      </c>
      <c r="C88" s="86">
        <f t="shared" ref="C88:C94" si="130">P47</f>
        <v>106.60089492695001</v>
      </c>
      <c r="D88" s="86">
        <f t="shared" ref="D88:D94" si="131">R47</f>
        <v>7.3103945035460898</v>
      </c>
      <c r="E88" s="86">
        <f t="shared" ref="E88:E94" si="132">T47</f>
        <v>64.213165130195705</v>
      </c>
      <c r="F88" s="86">
        <f t="shared" ref="F88:F94" si="133">V47</f>
        <v>7.9644280639727798</v>
      </c>
      <c r="G88" s="86">
        <f t="shared" ref="G88:G94" si="134">X47</f>
        <v>43.591047812817898</v>
      </c>
      <c r="H88" s="87">
        <f t="shared" ref="H88:H94" si="135">AA47</f>
        <v>0</v>
      </c>
    </row>
    <row r="89" spans="1:8" x14ac:dyDescent="0.3">
      <c r="A89" s="85">
        <f t="shared" ref="A89:B89" si="136">M48</f>
        <v>1000</v>
      </c>
      <c r="B89" s="86">
        <f t="shared" si="136"/>
        <v>38.807482883174202</v>
      </c>
      <c r="C89" s="86">
        <f t="shared" si="130"/>
        <v>105.657447840853</v>
      </c>
      <c r="D89" s="86">
        <f t="shared" si="131"/>
        <v>6.0637189716312001</v>
      </c>
      <c r="E89" s="86">
        <f t="shared" si="132"/>
        <v>65.493557604183493</v>
      </c>
      <c r="F89" s="86">
        <f t="shared" si="133"/>
        <v>6.3900238480396201</v>
      </c>
      <c r="G89" s="86">
        <f t="shared" si="134"/>
        <v>46.683621566632702</v>
      </c>
      <c r="H89" s="87">
        <f t="shared" si="135"/>
        <v>25.142234816324521</v>
      </c>
    </row>
    <row r="90" spans="1:8" x14ac:dyDescent="0.3">
      <c r="A90" s="85">
        <f t="shared" ref="A90:B90" si="137">M49</f>
        <v>2000</v>
      </c>
      <c r="B90" s="86">
        <f t="shared" si="137"/>
        <v>40.761766132945098</v>
      </c>
      <c r="C90" s="86">
        <f t="shared" si="130"/>
        <v>103.231441048034</v>
      </c>
      <c r="D90" s="86">
        <f t="shared" si="131"/>
        <v>4.9001551418439702</v>
      </c>
      <c r="E90" s="86">
        <f t="shared" si="132"/>
        <v>66.841339155749594</v>
      </c>
      <c r="F90" s="86">
        <f t="shared" si="133"/>
        <v>5.0124743591881602</v>
      </c>
      <c r="G90" s="86">
        <f t="shared" si="134"/>
        <v>49.125127161749703</v>
      </c>
      <c r="H90" s="87">
        <f t="shared" si="135"/>
        <v>55.89144030058312</v>
      </c>
    </row>
    <row r="91" spans="1:8" x14ac:dyDescent="0.3">
      <c r="A91" s="85">
        <f t="shared" ref="A91:B91" si="138">M50</f>
        <v>3000</v>
      </c>
      <c r="B91" s="86">
        <f t="shared" si="138"/>
        <v>42.918216615450902</v>
      </c>
      <c r="C91" s="86">
        <f t="shared" si="130"/>
        <v>100.940212410372</v>
      </c>
      <c r="D91" s="86">
        <f t="shared" si="131"/>
        <v>3.7781471631205599</v>
      </c>
      <c r="E91" s="86">
        <f t="shared" si="132"/>
        <v>68.323898862472305</v>
      </c>
      <c r="F91" s="86">
        <f t="shared" si="133"/>
        <v>3.7330854026649698</v>
      </c>
      <c r="G91" s="86">
        <f t="shared" si="134"/>
        <v>52.543234994913497</v>
      </c>
      <c r="H91" s="87">
        <f t="shared" si="135"/>
        <v>94.954371438325325</v>
      </c>
    </row>
    <row r="92" spans="1:8" x14ac:dyDescent="0.3">
      <c r="A92" s="85">
        <f t="shared" ref="A92:B92" si="139">M51</f>
        <v>4000</v>
      </c>
      <c r="B92" s="86">
        <f t="shared" si="139"/>
        <v>45.142056175534996</v>
      </c>
      <c r="C92" s="86">
        <f t="shared" si="130"/>
        <v>97.638147609035499</v>
      </c>
      <c r="D92" s="86">
        <f t="shared" si="131"/>
        <v>2.72539893617021</v>
      </c>
      <c r="E92" s="86">
        <f t="shared" si="132"/>
        <v>69.739069491616704</v>
      </c>
      <c r="F92" s="86">
        <f t="shared" si="133"/>
        <v>2.55199039407634</v>
      </c>
      <c r="G92" s="86">
        <f t="shared" si="134"/>
        <v>56.286876907426198</v>
      </c>
      <c r="H92" s="87">
        <f t="shared" si="135"/>
        <v>147.58760168997446</v>
      </c>
    </row>
    <row r="93" spans="1:8" x14ac:dyDescent="0.3">
      <c r="A93" s="85">
        <f t="shared" ref="A93:B93" si="140">M52</f>
        <v>5000</v>
      </c>
      <c r="B93" s="86">
        <f t="shared" si="140"/>
        <v>47.770230201088999</v>
      </c>
      <c r="C93" s="86">
        <f t="shared" si="130"/>
        <v>93.796970187072006</v>
      </c>
      <c r="D93" s="86">
        <f t="shared" si="131"/>
        <v>1.71420656028368</v>
      </c>
      <c r="E93" s="86">
        <f t="shared" si="132"/>
        <v>70.817294732869698</v>
      </c>
      <c r="F93" s="86">
        <f t="shared" si="133"/>
        <v>1.5511899004386001</v>
      </c>
      <c r="G93" s="86">
        <f t="shared" si="134"/>
        <v>60.193285859613397</v>
      </c>
      <c r="H93" s="87">
        <f t="shared" si="135"/>
        <v>226.77752082316488</v>
      </c>
    </row>
    <row r="94" spans="1:8" ht="15" thickBot="1" x14ac:dyDescent="0.35">
      <c r="A94" s="127">
        <f t="shared" ref="A94:B94" si="141">M53</f>
        <v>6000</v>
      </c>
      <c r="B94" s="128">
        <f t="shared" si="141"/>
        <v>51.880963933365599</v>
      </c>
      <c r="C94" s="128">
        <f t="shared" si="130"/>
        <v>87.327618739554694</v>
      </c>
      <c r="D94" s="128">
        <f t="shared" si="131"/>
        <v>0.73071808510638303</v>
      </c>
      <c r="E94" s="128">
        <f t="shared" si="132"/>
        <v>71.962909051700905</v>
      </c>
      <c r="F94" s="128">
        <f t="shared" si="133"/>
        <v>0.59953638076814098</v>
      </c>
      <c r="G94" s="128">
        <f t="shared" si="134"/>
        <v>64.262461851474995</v>
      </c>
      <c r="H94" s="129">
        <f t="shared" si="135"/>
        <v>389.43394602399286</v>
      </c>
    </row>
    <row r="95" spans="1:8" x14ac:dyDescent="0.3">
      <c r="A95" s="130"/>
      <c r="B95" s="131"/>
      <c r="C95" s="131"/>
      <c r="D95" s="131"/>
      <c r="E95" s="131"/>
      <c r="F95" s="131"/>
      <c r="G95" s="131"/>
      <c r="H95" s="131"/>
    </row>
    <row r="96" spans="1:8" x14ac:dyDescent="0.3">
      <c r="B96" s="79"/>
      <c r="C96" s="79"/>
      <c r="D96" s="79"/>
      <c r="E96" s="79"/>
      <c r="F96" s="79"/>
      <c r="G96" s="79"/>
      <c r="H96" s="79"/>
    </row>
    <row r="97" spans="2:8" x14ac:dyDescent="0.3">
      <c r="B97" s="79"/>
      <c r="C97" s="79"/>
      <c r="D97" s="79"/>
      <c r="E97" s="79"/>
      <c r="F97" s="79"/>
      <c r="G97" s="79"/>
      <c r="H97" s="79"/>
    </row>
    <row r="118" spans="22:22" x14ac:dyDescent="0.3">
      <c r="V118" s="98" t="s">
        <v>98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BF459-CE9C-4181-9D8D-38A0117CE0D7}">
  <dimension ref="A1:AB180"/>
  <sheetViews>
    <sheetView zoomScale="85" zoomScaleNormal="85" workbookViewId="0"/>
  </sheetViews>
  <sheetFormatPr defaultRowHeight="15" x14ac:dyDescent="0.3"/>
  <cols>
    <col min="1" max="1" width="43" style="30" customWidth="1"/>
    <col min="2" max="2" width="12.77734375" style="30" customWidth="1"/>
    <col min="3" max="4" width="8.88671875" style="30"/>
    <col min="5" max="5" width="11" style="30" bestFit="1" customWidth="1"/>
    <col min="6" max="6" width="8.88671875" style="30"/>
    <col min="7" max="7" width="9.6640625" style="30" customWidth="1"/>
    <col min="8" max="8" width="9" style="30" bestFit="1" customWidth="1"/>
    <col min="9" max="9" width="9" style="30" customWidth="1"/>
    <col min="10" max="10" width="11.5546875" style="30" customWidth="1"/>
    <col min="11" max="11" width="12.33203125" style="30" customWidth="1"/>
    <col min="12" max="12" width="10.21875" style="30" customWidth="1"/>
    <col min="13" max="13" width="11.44140625" style="30" bestFit="1" customWidth="1"/>
    <col min="14" max="14" width="10.33203125" style="30" bestFit="1" customWidth="1"/>
    <col min="15" max="17" width="8.88671875" style="30"/>
    <col min="18" max="18" width="10" style="30" customWidth="1"/>
    <col min="19" max="19" width="9.6640625" style="30" customWidth="1"/>
    <col min="20" max="20" width="8.88671875" style="30"/>
    <col min="21" max="21" width="14.5546875" style="30" customWidth="1"/>
    <col min="22" max="23" width="8.88671875" style="30"/>
    <col min="24" max="25" width="8.88671875" style="30" customWidth="1"/>
    <col min="26" max="26" width="14.5546875" style="30" customWidth="1"/>
    <col min="27" max="16384" width="8.88671875" style="30"/>
  </cols>
  <sheetData>
    <row r="1" spans="1:28" ht="16.2" thickBot="1" x14ac:dyDescent="0.35">
      <c r="A1" s="31" t="s">
        <v>10</v>
      </c>
      <c r="B1" s="31" t="s">
        <v>30</v>
      </c>
      <c r="C1" s="31">
        <f>Podsumowanie!B29</f>
        <v>1.7453292519943295E-2</v>
      </c>
      <c r="D1" s="31" t="s">
        <v>40</v>
      </c>
    </row>
    <row r="2" spans="1:28" ht="16.2" thickBot="1" x14ac:dyDescent="0.35">
      <c r="A2" s="31" t="s">
        <v>11</v>
      </c>
      <c r="B2" s="31" t="s">
        <v>18</v>
      </c>
      <c r="C2" s="31">
        <f>Podsumowanie!B12</f>
        <v>1.84</v>
      </c>
      <c r="D2" s="31" t="s">
        <v>3</v>
      </c>
      <c r="K2" s="132" t="s">
        <v>107</v>
      </c>
      <c r="L2" s="133"/>
      <c r="M2" s="133"/>
      <c r="N2" s="133"/>
      <c r="O2" s="133"/>
      <c r="P2" s="133"/>
      <c r="Q2" s="133"/>
      <c r="R2" s="134"/>
    </row>
    <row r="3" spans="1:28" ht="18.600000000000001" thickBot="1" x14ac:dyDescent="0.35">
      <c r="A3" s="31" t="s">
        <v>24</v>
      </c>
      <c r="B3" s="31" t="s">
        <v>75</v>
      </c>
      <c r="C3" s="31">
        <f>Podsumowanie!B16</f>
        <v>6.1340000000000003</v>
      </c>
      <c r="D3" s="31" t="s">
        <v>34</v>
      </c>
      <c r="E3" s="30">
        <f>DEGREES(C6)</f>
        <v>-2.97</v>
      </c>
      <c r="F3" s="46"/>
      <c r="K3" s="96" t="s">
        <v>67</v>
      </c>
      <c r="L3" s="96" t="s">
        <v>15</v>
      </c>
      <c r="M3" s="96" t="s">
        <v>74</v>
      </c>
      <c r="N3" s="96" t="s">
        <v>73</v>
      </c>
      <c r="O3" s="96" t="s">
        <v>68</v>
      </c>
      <c r="P3" s="96" t="s">
        <v>70</v>
      </c>
      <c r="Q3" s="96" t="s">
        <v>87</v>
      </c>
      <c r="R3" s="96" t="s">
        <v>69</v>
      </c>
      <c r="S3" s="30" t="s">
        <v>147</v>
      </c>
      <c r="U3" s="58" t="s">
        <v>98</v>
      </c>
      <c r="V3" s="56" t="s">
        <v>99</v>
      </c>
      <c r="W3" s="56" t="s">
        <v>101</v>
      </c>
      <c r="X3" s="55" t="s">
        <v>101</v>
      </c>
      <c r="Y3" s="55" t="s">
        <v>99</v>
      </c>
      <c r="Z3" s="57" t="s">
        <v>100</v>
      </c>
    </row>
    <row r="4" spans="1:28" ht="18" x14ac:dyDescent="0.3">
      <c r="A4" s="31" t="s">
        <v>23</v>
      </c>
      <c r="B4" s="31" t="s">
        <v>76</v>
      </c>
      <c r="C4" s="31">
        <f>Podsumowanie!B9</f>
        <v>446000</v>
      </c>
      <c r="D4" s="31" t="s">
        <v>35</v>
      </c>
      <c r="F4" s="46"/>
      <c r="I4" s="30">
        <f>C$3*(X4-C$6)</f>
        <v>1.5452115109847269</v>
      </c>
      <c r="J4" s="30">
        <f>(C$14+G$11*(K$18-G14)/(K$18-G$14))</f>
        <v>2955.5</v>
      </c>
      <c r="K4" s="109">
        <f>SQRT(2*(C$14+G11)*C$12/C$5/C$15/G8)</f>
        <v>36.916857200854587</v>
      </c>
      <c r="L4" s="92">
        <f>K4/C$9/C$2</f>
        <v>0.4674629391493601</v>
      </c>
      <c r="M4" s="93">
        <f>0.185*L4^3-0.9822*L4^2+1.6209*L4</f>
        <v>0.56197665165429134</v>
      </c>
      <c r="N4" s="94">
        <f>G$9*M4</f>
        <v>250641.58663781395</v>
      </c>
      <c r="O4" s="94">
        <f>N4/K4</f>
        <v>6789.3533101732146</v>
      </c>
      <c r="P4" s="92">
        <f>Y4</f>
        <v>11.463338447091243</v>
      </c>
      <c r="Q4" s="92">
        <f t="shared" ref="Q4:Q18" si="0">V4</f>
        <v>7.9001919730721797</v>
      </c>
      <c r="R4" s="92">
        <f>K4*SIN(RADIANS(Q4))</f>
        <v>5.0741431973812459</v>
      </c>
      <c r="S4" s="30">
        <f>(N4/1000)/(R4*3600)</f>
        <v>1.372106782301304E-2</v>
      </c>
      <c r="T4" s="30">
        <v>1</v>
      </c>
      <c r="U4" s="44">
        <f>0.5*G$8*C$5*C$3*(X4-C$6)*K4^2+N4/K4*SIN(X4-C$1)-C$12*(C$14+G$11*(K$18-K4)/(K$18-K$4))*COS(W4)</f>
        <v>-1.0570882295724005E-5</v>
      </c>
      <c r="V4" s="44">
        <f t="shared" ref="V4:V18" si="1">DEGREES(W4)</f>
        <v>7.9001919730721797</v>
      </c>
      <c r="W4" s="44">
        <v>0.13788436146973673</v>
      </c>
      <c r="X4" s="45">
        <v>0.20007299917219598</v>
      </c>
      <c r="Y4" s="45">
        <f t="shared" ref="Y4:Y18" si="2">DEGREES(X4)</f>
        <v>11.463338447091243</v>
      </c>
      <c r="Z4" s="45">
        <f>-0.5*G$8*C$5*K4^2*(C$8+(C$3^2)*(X4-C$6)^2/(PI()*C$7))+N4/K4*COS(X4-C$1)-C$12*(C$14+G$11*(K$18-K4)/(K$18-K$4))*SIN(W4)</f>
        <v>-3.3001560950651765E-7</v>
      </c>
      <c r="AB4" s="30">
        <f t="shared" ref="AB4:AB18" si="3">T4</f>
        <v>1</v>
      </c>
    </row>
    <row r="5" spans="1:28" ht="18" x14ac:dyDescent="0.3">
      <c r="A5" s="31" t="s">
        <v>22</v>
      </c>
      <c r="B5" s="31" t="s">
        <v>5</v>
      </c>
      <c r="C5" s="31">
        <f>Podsumowanie!B3</f>
        <v>21.3</v>
      </c>
      <c r="D5" s="31" t="s">
        <v>77</v>
      </c>
      <c r="F5" s="46"/>
      <c r="I5" s="30">
        <f t="shared" ref="I5:I18" si="4">C$3*(X5-C$6)</f>
        <v>1.4011737788727638</v>
      </c>
      <c r="J5" s="30">
        <f t="shared" ref="J5:J18" si="5">(C$14+G$11*(K$18-K5)/(K$18-G$14))</f>
        <v>2916.2142857142858</v>
      </c>
      <c r="K5" s="95">
        <f t="shared" ref="K5:K17" si="6">G$14+T4*G$13</f>
        <v>38.783391060051393</v>
      </c>
      <c r="L5" s="12">
        <f t="shared" ref="L5:L18" si="7">K5/C$9/C$2</f>
        <v>0.49109808769666757</v>
      </c>
      <c r="M5" s="11">
        <f>0.185*L5^3-0.9822*L5^2+1.6209*L5</f>
        <v>0.58104823449956344</v>
      </c>
      <c r="N5" s="21">
        <f t="shared" ref="N5:N18" si="8">G$9*M5</f>
        <v>259147.5125868053</v>
      </c>
      <c r="O5" s="21">
        <f t="shared" ref="O5:O18" si="9">N5/K5</f>
        <v>6681.9199018865238</v>
      </c>
      <c r="P5" s="12">
        <f t="shared" ref="P5:P18" si="10">Y5</f>
        <v>10.117926947148067</v>
      </c>
      <c r="Q5" s="12">
        <f t="shared" si="0"/>
        <v>8.124071665626035</v>
      </c>
      <c r="R5" s="12">
        <f t="shared" ref="R5:R18" si="11">K5*SIN(RADIANS(Q5))</f>
        <v>5.4807586003817432</v>
      </c>
      <c r="S5" s="30">
        <f t="shared" ref="S5:S18" si="12">(N5/1000)/(R5*3600)</f>
        <v>1.3134207399316507E-2</v>
      </c>
      <c r="T5" s="30">
        <v>2</v>
      </c>
      <c r="U5" s="44">
        <f>0.5*G$8*C$5*C$3*(X5-C$6)*K5^2+N5/K5*SIN(X5-C$1)-C$12*(C$14+G$11*(K$18-K5)/(K$18-K$4))*COS(W5)</f>
        <v>3.2278330763801932E-7</v>
      </c>
      <c r="V5" s="44">
        <f t="shared" si="1"/>
        <v>8.124071665626035</v>
      </c>
      <c r="W5" s="44">
        <v>0.14179179923315413</v>
      </c>
      <c r="X5" s="45">
        <v>0.17659113870399207</v>
      </c>
      <c r="Y5" s="45">
        <f t="shared" si="2"/>
        <v>10.117926947148067</v>
      </c>
      <c r="Z5" s="45">
        <f>-0.5*G$8*C$5*K5^2*(C$8+(C$3^2)*(X5-C$6)^2/(PI()*C$7))+N5/K5*COS(X5-C$1)-C$12*(C$14+G$11*(K$18-K5)/(K$18-K$4))*SIN(W5)</f>
        <v>-1.1342758625687566E-6</v>
      </c>
      <c r="AB5" s="30">
        <f t="shared" si="3"/>
        <v>2</v>
      </c>
    </row>
    <row r="6" spans="1:28" ht="18" x14ac:dyDescent="0.3">
      <c r="A6" s="31" t="s">
        <v>41</v>
      </c>
      <c r="B6" s="31" t="s">
        <v>78</v>
      </c>
      <c r="C6" s="31">
        <f>Podsumowanie!B30</f>
        <v>-5.1836278784231589E-2</v>
      </c>
      <c r="D6" s="31" t="s">
        <v>40</v>
      </c>
      <c r="F6" s="46"/>
      <c r="I6" s="30">
        <f t="shared" si="4"/>
        <v>1.0743331069353779</v>
      </c>
      <c r="J6" s="30">
        <f t="shared" si="5"/>
        <v>2876.9285714285716</v>
      </c>
      <c r="K6" s="95">
        <f t="shared" si="6"/>
        <v>44.261591747739743</v>
      </c>
      <c r="L6" s="12">
        <f t="shared" si="7"/>
        <v>0.56046628393243925</v>
      </c>
      <c r="M6" s="11">
        <f t="shared" ref="M6:M18" si="13">0.185*L6^3-0.9822*L6^2+1.6209*L6</f>
        <v>0.63249890728660274</v>
      </c>
      <c r="N6" s="21">
        <f t="shared" si="8"/>
        <v>282094.51264982484</v>
      </c>
      <c r="O6" s="21">
        <f t="shared" si="9"/>
        <v>6373.347670313512</v>
      </c>
      <c r="P6" s="12">
        <f t="shared" si="10"/>
        <v>7.0650102410456634</v>
      </c>
      <c r="Q6" s="12">
        <f t="shared" si="0"/>
        <v>8.4383120223231316</v>
      </c>
      <c r="R6" s="12">
        <f t="shared" si="11"/>
        <v>6.4951448628910082</v>
      </c>
      <c r="S6" s="30">
        <f t="shared" si="12"/>
        <v>1.2064332436196885E-2</v>
      </c>
      <c r="T6" s="54">
        <v>3</v>
      </c>
      <c r="U6" s="44">
        <f t="shared" ref="U6:U18" si="14">0.5*G$8*C$5*C$3*(X6-C$6)*K6^2+N6/K6*SIN(X6-C$1)-C$12*(C$14+G$11*(K$18-K6)/(K$18-K$4))*COS(W6)</f>
        <v>5.2557879826053977E-8</v>
      </c>
      <c r="V6" s="44">
        <f t="shared" si="1"/>
        <v>8.4383120223231316</v>
      </c>
      <c r="W6" s="44">
        <v>0.14727632810015989</v>
      </c>
      <c r="X6" s="45">
        <v>0.12330769039336506</v>
      </c>
      <c r="Y6" s="45">
        <f t="shared" si="2"/>
        <v>7.0650102410456634</v>
      </c>
      <c r="Z6" s="45">
        <f t="shared" ref="Z6:Z17" si="15">-0.5*G$8*C$5*K6^2*(C$8+(C$3^2)*(X6-C$6)^2/(PI()*C$7))+N6/K6*COS(X6-C$1)-C$12*(C$14+G$11*(K$18-K6)/(K$18-K$4))*SIN(W6)</f>
        <v>-2.3719712771708146E-7</v>
      </c>
      <c r="AB6" s="30">
        <f t="shared" si="3"/>
        <v>3</v>
      </c>
    </row>
    <row r="7" spans="1:28" ht="18" x14ac:dyDescent="0.3">
      <c r="A7" s="31" t="s">
        <v>21</v>
      </c>
      <c r="B7" s="31" t="s">
        <v>79</v>
      </c>
      <c r="C7" s="31">
        <f>Podsumowanie!B13</f>
        <v>5.8840000000000003</v>
      </c>
      <c r="D7" s="31" t="s">
        <v>7</v>
      </c>
      <c r="F7" s="29" t="s">
        <v>6</v>
      </c>
      <c r="G7" s="29">
        <v>0</v>
      </c>
      <c r="H7" s="29" t="s">
        <v>3</v>
      </c>
      <c r="I7" s="30">
        <f t="shared" si="4"/>
        <v>0.8463671544804563</v>
      </c>
      <c r="J7" s="30">
        <f t="shared" si="5"/>
        <v>2837.6428571428569</v>
      </c>
      <c r="K7" s="95">
        <f t="shared" si="6"/>
        <v>49.7397924354281</v>
      </c>
      <c r="L7" s="12">
        <f t="shared" si="7"/>
        <v>0.62983448016821098</v>
      </c>
      <c r="M7" s="11">
        <f t="shared" si="13"/>
        <v>0.67749058865743939</v>
      </c>
      <c r="N7" s="21">
        <f t="shared" si="8"/>
        <v>302160.80254121794</v>
      </c>
      <c r="O7" s="21">
        <f t="shared" si="9"/>
        <v>6074.8303872293254</v>
      </c>
      <c r="P7" s="12">
        <f t="shared" si="10"/>
        <v>4.9356514297729221</v>
      </c>
      <c r="Q7" s="12">
        <f t="shared" si="0"/>
        <v>8.3940695825970142</v>
      </c>
      <c r="R7" s="12">
        <f t="shared" si="11"/>
        <v>7.2610463770975384</v>
      </c>
      <c r="S7" s="30">
        <f t="shared" si="12"/>
        <v>1.1559429853827793E-2</v>
      </c>
      <c r="T7" s="54">
        <v>4</v>
      </c>
      <c r="U7" s="44">
        <f t="shared" si="14"/>
        <v>-1.1757796528399922E-4</v>
      </c>
      <c r="V7" s="44">
        <f t="shared" si="1"/>
        <v>8.3940695825970142</v>
      </c>
      <c r="W7" s="44">
        <v>0.14650415185782401</v>
      </c>
      <c r="X7" s="45">
        <v>8.6143368180303173E-2</v>
      </c>
      <c r="Y7" s="45">
        <f t="shared" si="2"/>
        <v>4.9356514297729221</v>
      </c>
      <c r="Z7" s="45">
        <f t="shared" si="15"/>
        <v>-1.0342048426537076E-5</v>
      </c>
      <c r="AB7" s="30">
        <f t="shared" si="3"/>
        <v>4</v>
      </c>
    </row>
    <row r="8" spans="1:28" ht="18.600000000000001" x14ac:dyDescent="0.3">
      <c r="A8" s="31" t="s">
        <v>25</v>
      </c>
      <c r="B8" s="31" t="s">
        <v>80</v>
      </c>
      <c r="C8" s="31">
        <f>Podsumowanie!B14</f>
        <v>2.214E-2</v>
      </c>
      <c r="D8" s="31" t="s">
        <v>7</v>
      </c>
      <c r="F8" s="30" t="s">
        <v>83</v>
      </c>
      <c r="G8" s="30">
        <f>C$11*(1-G7/44300)^4.256</f>
        <v>1.2255</v>
      </c>
      <c r="H8" s="30" t="s">
        <v>84</v>
      </c>
      <c r="I8" s="30">
        <f t="shared" si="4"/>
        <v>0.68159633081127402</v>
      </c>
      <c r="J8" s="30">
        <f t="shared" si="5"/>
        <v>2798.3571428571427</v>
      </c>
      <c r="K8" s="95">
        <f t="shared" si="6"/>
        <v>55.217993123116457</v>
      </c>
      <c r="L8" s="12">
        <f t="shared" si="7"/>
        <v>0.69920267640398281</v>
      </c>
      <c r="M8" s="11">
        <f t="shared" si="13"/>
        <v>0.71639379223803457</v>
      </c>
      <c r="N8" s="21">
        <f t="shared" si="8"/>
        <v>319511.6313381634</v>
      </c>
      <c r="O8" s="21">
        <f t="shared" si="9"/>
        <v>5786.3680526339713</v>
      </c>
      <c r="P8" s="12">
        <f t="shared" si="10"/>
        <v>3.3965785926130869</v>
      </c>
      <c r="Q8" s="12">
        <f t="shared" si="0"/>
        <v>8.1110661674836688</v>
      </c>
      <c r="R8" s="12">
        <f t="shared" si="11"/>
        <v>7.7908415762983783</v>
      </c>
      <c r="S8" s="30">
        <f>(N8/1000)/(R8*3600)</f>
        <v>1.1391995339409336E-2</v>
      </c>
      <c r="T8" s="54">
        <v>5</v>
      </c>
      <c r="U8" s="44">
        <f t="shared" si="14"/>
        <v>-5.4953179642325267E-5</v>
      </c>
      <c r="V8" s="44">
        <f t="shared" si="1"/>
        <v>8.1110661674836688</v>
      </c>
      <c r="W8" s="44">
        <v>0.14156481046970784</v>
      </c>
      <c r="X8" s="45">
        <v>5.9281479743853512E-2</v>
      </c>
      <c r="Y8" s="45">
        <f t="shared" si="2"/>
        <v>3.3965785926130869</v>
      </c>
      <c r="Z8" s="45">
        <f t="shared" si="15"/>
        <v>-3.8640037018922158E-6</v>
      </c>
      <c r="AB8" s="30">
        <f t="shared" si="3"/>
        <v>5</v>
      </c>
    </row>
    <row r="9" spans="1:28" ht="18.600000000000001" x14ac:dyDescent="0.3">
      <c r="A9" s="31" t="s">
        <v>19</v>
      </c>
      <c r="B9" s="31" t="s">
        <v>81</v>
      </c>
      <c r="C9" s="31">
        <f>Podsumowanie!B11</f>
        <v>42.92</v>
      </c>
      <c r="D9" s="31" t="s">
        <v>37</v>
      </c>
      <c r="F9" s="30" t="s">
        <v>85</v>
      </c>
      <c r="G9" s="30">
        <f>C$4*((G8/C$11)-C$10)/(1-C$10)</f>
        <v>446000</v>
      </c>
      <c r="H9" s="30" t="s">
        <v>35</v>
      </c>
      <c r="I9" s="30">
        <f t="shared" si="4"/>
        <v>0.55893184937269691</v>
      </c>
      <c r="J9" s="30">
        <f t="shared" si="5"/>
        <v>2759.0714285714284</v>
      </c>
      <c r="K9" s="95">
        <f t="shared" si="6"/>
        <v>60.696193810804814</v>
      </c>
      <c r="L9" s="12">
        <f t="shared" si="7"/>
        <v>0.76857087263975454</v>
      </c>
      <c r="M9" s="11">
        <f t="shared" si="13"/>
        <v>0.74957903165434914</v>
      </c>
      <c r="N9" s="21">
        <f t="shared" si="8"/>
        <v>334312.24811783974</v>
      </c>
      <c r="O9" s="21">
        <f t="shared" si="9"/>
        <v>5507.9606665274496</v>
      </c>
      <c r="P9" s="12">
        <f t="shared" si="10"/>
        <v>2.2508079563901826</v>
      </c>
      <c r="Q9" s="12">
        <f t="shared" si="0"/>
        <v>7.6575366532568898</v>
      </c>
      <c r="R9" s="12">
        <f t="shared" si="11"/>
        <v>8.0878713762983363</v>
      </c>
      <c r="S9" s="30">
        <f t="shared" si="12"/>
        <v>1.148194735616195E-2</v>
      </c>
      <c r="T9" s="54">
        <v>6</v>
      </c>
      <c r="U9" s="44">
        <f>0.5*G$8*C$5*C$3*(X9-C$6)*K9^2+N9/K9*SIN(X9-C$1)-C$12*(C$14+G$11*(K$18-K9)/(K$18-K$4))*COS(W9)</f>
        <v>-2.5338304112665355E-5</v>
      </c>
      <c r="V9" s="44">
        <f t="shared" si="1"/>
        <v>7.6575366532568898</v>
      </c>
      <c r="W9" s="44">
        <v>0.13364922719148009</v>
      </c>
      <c r="X9" s="45">
        <v>3.9284009669093629E-2</v>
      </c>
      <c r="Y9" s="45">
        <f t="shared" si="2"/>
        <v>2.2508079563901826</v>
      </c>
      <c r="Z9" s="45">
        <f t="shared" si="15"/>
        <v>-1.4336942513182294E-6</v>
      </c>
      <c r="AB9" s="30">
        <f t="shared" si="3"/>
        <v>6</v>
      </c>
    </row>
    <row r="10" spans="1:28" ht="18.600000000000001" x14ac:dyDescent="0.3">
      <c r="A10" s="31" t="s">
        <v>20</v>
      </c>
      <c r="B10" s="31" t="s">
        <v>14</v>
      </c>
      <c r="C10" s="31">
        <f>Podsumowanie!B17</f>
        <v>0.12</v>
      </c>
      <c r="D10" s="31" t="s">
        <v>7</v>
      </c>
      <c r="F10" s="30" t="s">
        <v>86</v>
      </c>
      <c r="G10" s="30">
        <f>G9/G8/C$9^3/C$2^5</f>
        <v>0.21824951546079521</v>
      </c>
      <c r="H10" s="30" t="s">
        <v>7</v>
      </c>
      <c r="I10" s="30">
        <f t="shared" si="4"/>
        <v>0.46532177550470827</v>
      </c>
      <c r="J10" s="30">
        <f t="shared" si="5"/>
        <v>2719.7857142857142</v>
      </c>
      <c r="K10" s="95">
        <f t="shared" si="6"/>
        <v>66.174394498493172</v>
      </c>
      <c r="L10" s="12">
        <f t="shared" si="7"/>
        <v>0.83793906887552638</v>
      </c>
      <c r="M10" s="11">
        <f t="shared" si="13"/>
        <v>0.77741682053234396</v>
      </c>
      <c r="N10" s="21">
        <f t="shared" si="8"/>
        <v>346727.90195742541</v>
      </c>
      <c r="O10" s="21">
        <f t="shared" si="9"/>
        <v>5239.6082289097576</v>
      </c>
      <c r="P10" s="12">
        <f t="shared" si="10"/>
        <v>1.3764254730932111</v>
      </c>
      <c r="Q10" s="12">
        <f t="shared" si="0"/>
        <v>7.0741737692794322</v>
      </c>
      <c r="R10" s="12">
        <f t="shared" si="11"/>
        <v>8.1496524867639284</v>
      </c>
      <c r="S10" s="30">
        <f t="shared" si="12"/>
        <v>1.1818087489707061E-2</v>
      </c>
      <c r="T10" s="30">
        <v>7</v>
      </c>
      <c r="U10" s="44">
        <f t="shared" si="14"/>
        <v>-1.0119536455022171E-5</v>
      </c>
      <c r="V10" s="44">
        <f t="shared" si="1"/>
        <v>7.0741737692794322</v>
      </c>
      <c r="W10" s="44">
        <v>0.12346762413214378</v>
      </c>
      <c r="X10" s="45">
        <v>2.4023156413797153E-2</v>
      </c>
      <c r="Y10" s="45">
        <f t="shared" si="2"/>
        <v>1.3764254730932111</v>
      </c>
      <c r="Z10" s="45">
        <f t="shared" si="15"/>
        <v>-4.5463548303814605E-7</v>
      </c>
      <c r="AB10" s="30">
        <f t="shared" si="3"/>
        <v>7</v>
      </c>
    </row>
    <row r="11" spans="1:28" ht="18" x14ac:dyDescent="0.3">
      <c r="A11" s="31" t="s">
        <v>33</v>
      </c>
      <c r="B11" s="31" t="s">
        <v>32</v>
      </c>
      <c r="C11" s="31">
        <f>Podsumowanie!B2</f>
        <v>1.2255</v>
      </c>
      <c r="D11" s="31" t="s">
        <v>82</v>
      </c>
      <c r="F11" s="30" t="s">
        <v>142</v>
      </c>
      <c r="G11" s="30">
        <f>C13</f>
        <v>550</v>
      </c>
      <c r="H11" s="30" t="s">
        <v>0</v>
      </c>
      <c r="I11" s="30">
        <f t="shared" si="4"/>
        <v>0.39236429226515657</v>
      </c>
      <c r="J11" s="30">
        <f t="shared" si="5"/>
        <v>2680.5</v>
      </c>
      <c r="K11" s="95">
        <f t="shared" si="6"/>
        <v>71.652595186181514</v>
      </c>
      <c r="L11" s="12">
        <f t="shared" si="7"/>
        <v>0.90730726511129789</v>
      </c>
      <c r="M11" s="11">
        <f t="shared" si="13"/>
        <v>0.80027767249797965</v>
      </c>
      <c r="N11" s="21">
        <f>G$9*M11</f>
        <v>356923.84193409892</v>
      </c>
      <c r="O11" s="21">
        <f t="shared" si="9"/>
        <v>4981.3107397808963</v>
      </c>
      <c r="P11" s="12">
        <f t="shared" si="10"/>
        <v>0.69495239296234101</v>
      </c>
      <c r="Q11" s="12">
        <f t="shared" si="0"/>
        <v>6.3860485443153578</v>
      </c>
      <c r="R11" s="12">
        <f t="shared" si="11"/>
        <v>7.9696994481296421</v>
      </c>
      <c r="S11" s="30">
        <f t="shared" si="12"/>
        <v>1.2440307478800676E-2</v>
      </c>
      <c r="T11" s="30">
        <v>8</v>
      </c>
      <c r="U11" s="44">
        <f t="shared" si="14"/>
        <v>-2.5264380383305252E-6</v>
      </c>
      <c r="V11" s="44">
        <f t="shared" si="1"/>
        <v>6.3860485443153578</v>
      </c>
      <c r="W11" s="44">
        <v>0.11145757329049401</v>
      </c>
      <c r="X11" s="45">
        <v>1.212920740180632E-2</v>
      </c>
      <c r="Y11" s="45">
        <f t="shared" si="2"/>
        <v>0.69495239296234101</v>
      </c>
      <c r="Z11" s="45">
        <f t="shared" si="15"/>
        <v>-7.580229066661559E-8</v>
      </c>
      <c r="AB11" s="30">
        <f t="shared" si="3"/>
        <v>8</v>
      </c>
    </row>
    <row r="12" spans="1:28" ht="18" x14ac:dyDescent="0.3">
      <c r="A12" s="31" t="s">
        <v>88</v>
      </c>
      <c r="B12" s="31" t="s">
        <v>4</v>
      </c>
      <c r="C12" s="31">
        <f>Podsumowanie!B1</f>
        <v>9.81</v>
      </c>
      <c r="D12" s="31" t="s">
        <v>94</v>
      </c>
      <c r="F12" s="30" t="s">
        <v>143</v>
      </c>
      <c r="G12" s="30" cm="1">
        <f t="array" ref="G12">(G25-G7)*C$16*MIN(IF(S4:S18&gt;0,S4:S18))</f>
        <v>3.531518555216894</v>
      </c>
      <c r="H12" s="30" t="s">
        <v>0</v>
      </c>
      <c r="I12" s="30">
        <f t="shared" si="4"/>
        <v>0.3344652676023892</v>
      </c>
      <c r="J12" s="30">
        <f t="shared" si="5"/>
        <v>2641.2142857142858</v>
      </c>
      <c r="K12" s="95">
        <f t="shared" si="6"/>
        <v>77.130795873869886</v>
      </c>
      <c r="L12" s="12">
        <f t="shared" si="7"/>
        <v>0.97667546134706984</v>
      </c>
      <c r="M12" s="11">
        <f>0.185*L12^3-0.9822*L12^2+1.6209*L12</f>
        <v>0.81853210117721731</v>
      </c>
      <c r="N12" s="21">
        <f t="shared" si="8"/>
        <v>365065.31712503894</v>
      </c>
      <c r="O12" s="21">
        <f t="shared" si="9"/>
        <v>4733.0681991408646</v>
      </c>
      <c r="P12" s="12">
        <f t="shared" si="10"/>
        <v>0.1541356744914518</v>
      </c>
      <c r="Q12" s="12">
        <f t="shared" si="0"/>
        <v>5.6089052849865295</v>
      </c>
      <c r="R12" s="12">
        <f t="shared" si="11"/>
        <v>7.5385775894148388</v>
      </c>
      <c r="S12" s="30">
        <f t="shared" si="12"/>
        <v>1.345174621232551E-2</v>
      </c>
      <c r="T12" s="54">
        <v>9</v>
      </c>
      <c r="U12" s="44">
        <f t="shared" si="14"/>
        <v>-1.7978891264647245E-8</v>
      </c>
      <c r="V12" s="44">
        <f t="shared" si="1"/>
        <v>5.6089052849865295</v>
      </c>
      <c r="W12" s="44">
        <v>9.7893864655525811E-2</v>
      </c>
      <c r="X12" s="45">
        <v>2.6901750146580703E-3</v>
      </c>
      <c r="Y12" s="45">
        <f t="shared" si="2"/>
        <v>0.1541356744914518</v>
      </c>
      <c r="Z12" s="45">
        <f t="shared" si="15"/>
        <v>1.754233380779624E-8</v>
      </c>
      <c r="AB12" s="30">
        <f t="shared" si="3"/>
        <v>9</v>
      </c>
    </row>
    <row r="13" spans="1:28" ht="18.600000000000001" thickBot="1" x14ac:dyDescent="0.35">
      <c r="A13" s="31" t="s">
        <v>90</v>
      </c>
      <c r="B13" s="31" t="s">
        <v>95</v>
      </c>
      <c r="C13" s="31">
        <f>Podsumowanie!B5</f>
        <v>550</v>
      </c>
      <c r="D13" s="31" t="s">
        <v>0</v>
      </c>
      <c r="F13" s="30" t="s">
        <v>151</v>
      </c>
      <c r="G13" s="30">
        <f>(K18-G14)/T17</f>
        <v>5.4782006876883553</v>
      </c>
      <c r="H13" s="30" t="s">
        <v>150</v>
      </c>
      <c r="I13" s="30">
        <f t="shared" si="4"/>
        <v>0.28778967225857172</v>
      </c>
      <c r="J13" s="30">
        <f t="shared" si="5"/>
        <v>2601.9285714285716</v>
      </c>
      <c r="K13" s="95">
        <f t="shared" si="6"/>
        <v>82.608996561558229</v>
      </c>
      <c r="L13" s="12">
        <f t="shared" si="7"/>
        <v>1.0460436575828413</v>
      </c>
      <c r="M13" s="11">
        <f t="shared" si="13"/>
        <v>0.83255062019601778</v>
      </c>
      <c r="N13" s="21">
        <f t="shared" si="8"/>
        <v>371317.57660742395</v>
      </c>
      <c r="O13" s="21">
        <f t="shared" si="9"/>
        <v>4494.8806069896646</v>
      </c>
      <c r="P13" s="12">
        <f t="shared" si="10"/>
        <v>-0.28184649366329523</v>
      </c>
      <c r="Q13" s="12">
        <f t="shared" si="0"/>
        <v>4.7526560985078401</v>
      </c>
      <c r="R13" s="12">
        <f t="shared" si="11"/>
        <v>6.8445193298020719</v>
      </c>
      <c r="S13" s="30">
        <f t="shared" si="12"/>
        <v>1.5069541966334499E-2</v>
      </c>
      <c r="T13" s="54">
        <v>10</v>
      </c>
      <c r="U13" s="44">
        <f>0.5*G$8*C$5*C$3*(X13-C$6)*K13^2+N13/K13*SIN(X13-C$1)-C$12*(C$14+G$11*(K$18-K13)/(K$18-K$4))*COS(W13)</f>
        <v>-2.9703005566261709E-7</v>
      </c>
      <c r="V13" s="44">
        <f t="shared" si="1"/>
        <v>4.7526560985078401</v>
      </c>
      <c r="W13" s="44">
        <v>8.2949497133949765E-2</v>
      </c>
      <c r="X13" s="45">
        <v>-4.9191492996258357E-3</v>
      </c>
      <c r="Y13" s="45">
        <f t="shared" si="2"/>
        <v>-0.28184649366329523</v>
      </c>
      <c r="Z13" s="45">
        <f t="shared" si="15"/>
        <v>1.850821718107909E-9</v>
      </c>
      <c r="AB13" s="30">
        <f t="shared" si="3"/>
        <v>10</v>
      </c>
    </row>
    <row r="14" spans="1:28" ht="18" x14ac:dyDescent="0.3">
      <c r="A14" s="31" t="s">
        <v>91</v>
      </c>
      <c r="B14" s="31" t="s">
        <v>96</v>
      </c>
      <c r="C14" s="31">
        <f>Podsumowanie!B7</f>
        <v>2405.5</v>
      </c>
      <c r="D14" s="31" t="s">
        <v>0</v>
      </c>
      <c r="F14" s="30" t="s">
        <v>124</v>
      </c>
      <c r="G14" s="91">
        <f>SQRT(2*(C$14)*C$12/C$5/C$15/G8)</f>
        <v>33.305190372363036</v>
      </c>
      <c r="H14" s="30" t="s">
        <v>150</v>
      </c>
      <c r="I14" s="30">
        <f t="shared" si="4"/>
        <v>0.24964071690611403</v>
      </c>
      <c r="J14" s="30">
        <f t="shared" si="5"/>
        <v>2562.6428571428569</v>
      </c>
      <c r="K14" s="95">
        <f t="shared" si="6"/>
        <v>88.0871972492466</v>
      </c>
      <c r="L14" s="12">
        <f t="shared" si="7"/>
        <v>1.1154118538186133</v>
      </c>
      <c r="M14" s="11">
        <f t="shared" si="13"/>
        <v>0.84270374318034191</v>
      </c>
      <c r="N14" s="21">
        <f t="shared" si="8"/>
        <v>375845.86945843248</v>
      </c>
      <c r="O14" s="21">
        <f t="shared" si="9"/>
        <v>4266.7479633272933</v>
      </c>
      <c r="P14" s="12">
        <f t="shared" si="10"/>
        <v>-0.63818397891416523</v>
      </c>
      <c r="Q14" s="12">
        <f t="shared" si="0"/>
        <v>3.8234034280757307</v>
      </c>
      <c r="R14" s="12">
        <f t="shared" si="11"/>
        <v>5.8737832465786974</v>
      </c>
      <c r="S14" s="30">
        <f t="shared" si="12"/>
        <v>1.7774171436429998E-2</v>
      </c>
      <c r="T14" s="54">
        <v>11</v>
      </c>
      <c r="U14" s="44">
        <f t="shared" si="14"/>
        <v>-8.3558916230686009E-7</v>
      </c>
      <c r="V14" s="44">
        <f t="shared" si="1"/>
        <v>3.8234034280757307</v>
      </c>
      <c r="W14" s="44">
        <v>6.6730978451959702E-2</v>
      </c>
      <c r="X14" s="45">
        <v>-1.113841166553025E-2</v>
      </c>
      <c r="Y14" s="45">
        <f t="shared" si="2"/>
        <v>-0.63818397891416523</v>
      </c>
      <c r="Z14" s="45">
        <f t="shared" si="15"/>
        <v>-1.6191734175663441E-8</v>
      </c>
      <c r="AB14" s="30">
        <f t="shared" si="3"/>
        <v>11</v>
      </c>
    </row>
    <row r="15" spans="1:28" ht="18" x14ac:dyDescent="0.3">
      <c r="A15" s="31" t="s">
        <v>92</v>
      </c>
      <c r="B15" s="31" t="s">
        <v>97</v>
      </c>
      <c r="C15" s="31">
        <f>Podsumowanie!B15</f>
        <v>1.63</v>
      </c>
      <c r="D15" s="31" t="s">
        <v>7</v>
      </c>
      <c r="I15" s="30">
        <f t="shared" si="4"/>
        <v>0.21807923197977469</v>
      </c>
      <c r="J15" s="30">
        <f t="shared" si="5"/>
        <v>2523.3571428571427</v>
      </c>
      <c r="K15" s="95">
        <f t="shared" si="6"/>
        <v>93.565397936934943</v>
      </c>
      <c r="L15" s="12">
        <f t="shared" si="7"/>
        <v>1.184780050054385</v>
      </c>
      <c r="M15" s="11">
        <f t="shared" si="13"/>
        <v>0.84936198375615102</v>
      </c>
      <c r="N15" s="21">
        <f t="shared" si="8"/>
        <v>378815.44475524337</v>
      </c>
      <c r="O15" s="21">
        <f t="shared" si="9"/>
        <v>4048.6702681537568</v>
      </c>
      <c r="P15" s="12">
        <f t="shared" si="10"/>
        <v>-0.93298995893454484</v>
      </c>
      <c r="Q15" s="12">
        <f t="shared" si="0"/>
        <v>2.8246509185099251</v>
      </c>
      <c r="R15" s="12">
        <f t="shared" si="11"/>
        <v>4.6108552141471089</v>
      </c>
      <c r="S15" s="30">
        <f t="shared" si="12"/>
        <v>2.2821474009670523E-2</v>
      </c>
      <c r="T15" s="54">
        <v>12</v>
      </c>
      <c r="U15" s="44">
        <f t="shared" si="14"/>
        <v>-5.9337253333069384E-7</v>
      </c>
      <c r="V15" s="44">
        <f t="shared" si="1"/>
        <v>2.8246509185099251</v>
      </c>
      <c r="W15" s="44">
        <v>4.9299458747480235E-2</v>
      </c>
      <c r="X15" s="45">
        <v>-1.6283746671454494E-2</v>
      </c>
      <c r="Y15" s="45">
        <f t="shared" si="2"/>
        <v>-0.93298995893454484</v>
      </c>
      <c r="Z15" s="45">
        <f t="shared" si="15"/>
        <v>-1.1696556612150744E-8</v>
      </c>
      <c r="AB15" s="30">
        <f t="shared" si="3"/>
        <v>12</v>
      </c>
    </row>
    <row r="16" spans="1:28" ht="15.6" x14ac:dyDescent="0.3">
      <c r="A16" s="31" t="s">
        <v>145</v>
      </c>
      <c r="B16" s="31" t="s">
        <v>144</v>
      </c>
      <c r="C16" s="31">
        <f>Podsumowanie!B32</f>
        <v>0.31</v>
      </c>
      <c r="D16" s="31" t="s">
        <v>146</v>
      </c>
      <c r="I16" s="30">
        <f t="shared" si="4"/>
        <v>0.19168305418055293</v>
      </c>
      <c r="J16" s="30">
        <f t="shared" si="5"/>
        <v>2484.0714285714284</v>
      </c>
      <c r="K16" s="95">
        <f t="shared" si="6"/>
        <v>99.043598624623286</v>
      </c>
      <c r="L16" s="12">
        <f t="shared" si="7"/>
        <v>1.2541482462901568</v>
      </c>
      <c r="M16" s="11">
        <f t="shared" si="13"/>
        <v>0.85289585554940528</v>
      </c>
      <c r="N16" s="21">
        <f t="shared" si="8"/>
        <v>380391.55157503474</v>
      </c>
      <c r="O16" s="21">
        <f t="shared" si="9"/>
        <v>3840.647521469049</v>
      </c>
      <c r="P16" s="12">
        <f t="shared" si="10"/>
        <v>-1.1795484172280448</v>
      </c>
      <c r="Q16" s="12">
        <f t="shared" si="0"/>
        <v>1.7580470093364471</v>
      </c>
      <c r="R16" s="12">
        <f t="shared" si="11"/>
        <v>3.0385480844173807</v>
      </c>
      <c r="S16" s="30">
        <f t="shared" si="12"/>
        <v>3.4774608446656995E-2</v>
      </c>
      <c r="T16" s="30">
        <v>13</v>
      </c>
      <c r="U16" s="44">
        <f t="shared" si="14"/>
        <v>-2.8164140530861914E-7</v>
      </c>
      <c r="V16" s="44">
        <f t="shared" si="1"/>
        <v>1.7580470093364471</v>
      </c>
      <c r="W16" s="44">
        <v>3.0683708717760494E-2</v>
      </c>
      <c r="X16" s="45">
        <v>-2.0587003567317189E-2</v>
      </c>
      <c r="Y16" s="45">
        <f t="shared" si="2"/>
        <v>-1.1795484172280448</v>
      </c>
      <c r="Z16" s="45">
        <f t="shared" si="15"/>
        <v>-4.6806007958366536E-9</v>
      </c>
      <c r="AB16" s="30">
        <f t="shared" si="3"/>
        <v>13</v>
      </c>
    </row>
    <row r="17" spans="1:28" x14ac:dyDescent="0.3">
      <c r="B17" s="30" t="s">
        <v>148</v>
      </c>
      <c r="C17" s="30">
        <f>Podsumowanie!B33</f>
        <v>-1.173</v>
      </c>
      <c r="I17" s="30">
        <f t="shared" si="4"/>
        <v>0.16939072007945594</v>
      </c>
      <c r="J17" s="30">
        <f t="shared" si="5"/>
        <v>2444.7857142857142</v>
      </c>
      <c r="K17" s="95">
        <f t="shared" si="6"/>
        <v>104.52179931231166</v>
      </c>
      <c r="L17" s="12">
        <f t="shared" si="7"/>
        <v>1.3235164425259285</v>
      </c>
      <c r="M17" s="11">
        <f t="shared" si="13"/>
        <v>0.85367587218606578</v>
      </c>
      <c r="N17" s="21">
        <f t="shared" si="8"/>
        <v>380739.43899498536</v>
      </c>
      <c r="O17" s="21">
        <f t="shared" si="9"/>
        <v>3642.679723273171</v>
      </c>
      <c r="P17" s="12">
        <f t="shared" si="10"/>
        <v>-1.3877741523908131</v>
      </c>
      <c r="Q17" s="12">
        <f t="shared" si="0"/>
        <v>0.62384847372491603</v>
      </c>
      <c r="R17" s="12">
        <f t="shared" si="11"/>
        <v>1.1380328035091356</v>
      </c>
      <c r="S17" s="30">
        <f t="shared" si="12"/>
        <v>9.2933134220973129E-2</v>
      </c>
      <c r="T17" s="30">
        <v>14</v>
      </c>
      <c r="U17" s="44">
        <f t="shared" si="14"/>
        <v>-1.1749216355383396E-7</v>
      </c>
      <c r="V17" s="44">
        <f t="shared" si="1"/>
        <v>0.62384847372491603</v>
      </c>
      <c r="W17" s="44">
        <v>1.0888209900041119E-2</v>
      </c>
      <c r="X17" s="45">
        <v>-2.4221228233293226E-2</v>
      </c>
      <c r="Y17" s="45">
        <f t="shared" si="2"/>
        <v>-1.3877741523908131</v>
      </c>
      <c r="Z17" s="45">
        <f t="shared" si="15"/>
        <v>-1.9349499780219048E-9</v>
      </c>
      <c r="AB17" s="30">
        <f t="shared" si="3"/>
        <v>14</v>
      </c>
    </row>
    <row r="18" spans="1:28" x14ac:dyDescent="0.3">
      <c r="I18" s="30">
        <f t="shared" si="4"/>
        <v>0.15039743071932068</v>
      </c>
      <c r="J18" s="30">
        <f t="shared" si="5"/>
        <v>2405.5</v>
      </c>
      <c r="K18" s="95">
        <v>110</v>
      </c>
      <c r="L18" s="12">
        <f t="shared" si="7"/>
        <v>1.3928846387617</v>
      </c>
      <c r="M18" s="11">
        <f t="shared" si="13"/>
        <v>0.85207254729209359</v>
      </c>
      <c r="N18" s="21">
        <f t="shared" si="8"/>
        <v>380024.35609227372</v>
      </c>
      <c r="O18" s="21">
        <f t="shared" si="9"/>
        <v>3454.7668735661246</v>
      </c>
      <c r="P18" s="12">
        <f t="shared" si="10"/>
        <v>-1.5651845402953586</v>
      </c>
      <c r="Q18" s="12">
        <f t="shared" si="0"/>
        <v>-0.57879070569382662</v>
      </c>
      <c r="R18" s="12">
        <f t="shared" si="11"/>
        <v>-1.1111794854972241</v>
      </c>
      <c r="S18" s="30">
        <f t="shared" si="12"/>
        <v>-9.5000242998102405E-2</v>
      </c>
      <c r="T18" s="54">
        <v>15</v>
      </c>
      <c r="U18" s="44">
        <f t="shared" si="14"/>
        <v>1.1893759074155241E-4</v>
      </c>
      <c r="V18" s="44">
        <f t="shared" si="1"/>
        <v>-0.57879070569382662</v>
      </c>
      <c r="W18" s="44">
        <v>-1.0101803494298766E-2</v>
      </c>
      <c r="X18" s="45">
        <v>-2.7317623629467866E-2</v>
      </c>
      <c r="Y18" s="45">
        <f t="shared" si="2"/>
        <v>-1.5651845402953586</v>
      </c>
      <c r="Z18" s="45">
        <f>-0.5*G$8*C$5*K18^2*(C$8+(C$3^2)*(X18-C$6)^2/(PI()*C$7))+N18/K18*COS(X18-C$1)-C$12*(C$14+G$11*(K$18-K18)/(K$18-K$4))*SIN(W18)</f>
        <v>-1.376941662556419E-5</v>
      </c>
      <c r="AB18" s="30">
        <f t="shared" si="3"/>
        <v>15</v>
      </c>
    </row>
    <row r="19" spans="1:28" ht="15.6" thickBot="1" x14ac:dyDescent="0.35"/>
    <row r="20" spans="1:28" ht="16.2" thickBot="1" x14ac:dyDescent="0.35">
      <c r="A20" s="54"/>
      <c r="B20" s="53"/>
      <c r="C20" s="52"/>
      <c r="D20" s="53"/>
      <c r="E20" s="54"/>
      <c r="K20" s="132" t="s">
        <v>106</v>
      </c>
      <c r="L20" s="133"/>
      <c r="M20" s="133"/>
      <c r="N20" s="133"/>
      <c r="O20" s="133"/>
      <c r="P20" s="133"/>
      <c r="Q20" s="133"/>
      <c r="R20" s="134"/>
    </row>
    <row r="21" spans="1:28" ht="18.600000000000001" thickBot="1" x14ac:dyDescent="0.35">
      <c r="A21" s="54"/>
      <c r="B21" s="53"/>
      <c r="C21" s="52"/>
      <c r="D21" s="53"/>
      <c r="E21" s="54"/>
      <c r="F21" s="46"/>
      <c r="K21" s="96" t="s">
        <v>67</v>
      </c>
      <c r="L21" s="96" t="s">
        <v>15</v>
      </c>
      <c r="M21" s="96" t="s">
        <v>74</v>
      </c>
      <c r="N21" s="96" t="s">
        <v>73</v>
      </c>
      <c r="O21" s="96" t="s">
        <v>68</v>
      </c>
      <c r="P21" s="96" t="s">
        <v>70</v>
      </c>
      <c r="Q21" s="96" t="s">
        <v>87</v>
      </c>
      <c r="R21" s="96" t="s">
        <v>69</v>
      </c>
      <c r="S21" s="30" t="s">
        <v>147</v>
      </c>
      <c r="U21" s="58" t="s">
        <v>98</v>
      </c>
      <c r="V21" s="56" t="s">
        <v>99</v>
      </c>
      <c r="W21" s="56" t="s">
        <v>101</v>
      </c>
      <c r="X21" s="55" t="s">
        <v>101</v>
      </c>
      <c r="Y21" s="55" t="s">
        <v>99</v>
      </c>
      <c r="Z21" s="57" t="s">
        <v>100</v>
      </c>
    </row>
    <row r="22" spans="1:28" x14ac:dyDescent="0.3">
      <c r="A22" s="54"/>
      <c r="B22" s="53"/>
      <c r="C22" s="52"/>
      <c r="D22" s="53"/>
      <c r="E22" s="54"/>
      <c r="F22" s="46"/>
      <c r="K22" s="109">
        <f>SQRT(2*(C$14+G29)*C$12/C$5/C$15/G26)</f>
        <v>38.731648677140406</v>
      </c>
      <c r="L22" s="92">
        <f>K22/C$9/C$2</f>
        <v>0.49044289523912538</v>
      </c>
      <c r="M22" s="93">
        <f t="shared" ref="M22:M36" si="16">0.1881*L22^3-0.9979*L22^2+1.6359*L22</f>
        <v>0.58447625905698508</v>
      </c>
      <c r="N22" s="94">
        <f>G$27*M22</f>
        <v>233245.80522999584</v>
      </c>
      <c r="O22" s="94">
        <f>N22/K22</f>
        <v>6022.0985472187904</v>
      </c>
      <c r="P22" s="92">
        <f>Y22</f>
        <v>11.581041913301796</v>
      </c>
      <c r="Q22" s="92">
        <f t="shared" ref="Q22" si="17">V22</f>
        <v>6.3322337548153014</v>
      </c>
      <c r="R22" s="92">
        <f>K22*SIN(RADIANS(Q22))</f>
        <v>4.2718483718401696</v>
      </c>
      <c r="S22" s="30">
        <f>(N22/1000)/(R22*3600)</f>
        <v>1.5166854207624189E-2</v>
      </c>
      <c r="T22" s="30">
        <v>1</v>
      </c>
      <c r="U22" s="44">
        <f>0.5*G$26*C$5*C$3*(X22-C$6)*K22^2+N22/K22*SIN(X22-C$1)-C$12*(C$14+G$29*(K$36-K22)/(K$36-K$22))*COS(W22)</f>
        <v>-1.0910298442468047E-8</v>
      </c>
      <c r="V22" s="44">
        <f t="shared" ref="V22:V36" si="18">DEGREES(W22)</f>
        <v>6.3322337548153014</v>
      </c>
      <c r="W22" s="44">
        <v>0.11051832802745035</v>
      </c>
      <c r="X22" s="45">
        <v>0.20212731219858002</v>
      </c>
      <c r="Y22" s="45">
        <f t="shared" ref="Y22:Y36" si="19">DEGREES(X22)</f>
        <v>11.581041913301796</v>
      </c>
      <c r="Z22" s="45">
        <f>-0.5*G$26*C$5*K22^2*(C$8+(C$3^2)*(X22-C$6)^2/(PI()*C$7))+N22/K22*COS(X22-C$1)-C$12*(C$14+G$29*(K$36-K22)/(K$36-K$22))*SIN(W22)</f>
        <v>-2.1918822312727571E-10</v>
      </c>
      <c r="AB22" s="30">
        <f t="shared" ref="AB22:AB36" si="20">T22</f>
        <v>1</v>
      </c>
    </row>
    <row r="23" spans="1:28" x14ac:dyDescent="0.3">
      <c r="A23" s="54"/>
      <c r="B23" s="53"/>
      <c r="C23" s="52"/>
      <c r="D23" s="53"/>
      <c r="E23" s="54"/>
      <c r="F23" s="46"/>
      <c r="K23" s="95">
        <f t="shared" ref="K23:K35" si="21">G$32+T22*G$31</f>
        <v>40.323093421289883</v>
      </c>
      <c r="L23" s="12">
        <f t="shared" ref="L23:L36" si="22">K23/C$9/C$2</f>
        <v>0.5105947037624331</v>
      </c>
      <c r="M23" s="11">
        <f t="shared" si="16"/>
        <v>0.6001614512026906</v>
      </c>
      <c r="N23" s="21">
        <f t="shared" ref="N23:N35" si="23">G$27*M23</f>
        <v>239505.2643876955</v>
      </c>
      <c r="O23" s="21">
        <f t="shared" ref="O23:O36" si="24">N23/K23</f>
        <v>5939.6550231248111</v>
      </c>
      <c r="P23" s="12">
        <f t="shared" ref="P23:P36" si="25">Y23</f>
        <v>10.455046044381499</v>
      </c>
      <c r="Q23" s="12">
        <f t="shared" ref="Q23:Q36" si="26">V23</f>
        <v>6.5321219192341573</v>
      </c>
      <c r="R23" s="12">
        <f t="shared" ref="R23:R36" si="27">K23*SIN(RADIANS(Q23))</f>
        <v>4.5871641952025985</v>
      </c>
      <c r="S23" s="30">
        <f t="shared" ref="S23:S36" si="28">(N23/1000)/(R23*3600)</f>
        <v>1.4503348316432966E-2</v>
      </c>
      <c r="T23" s="30">
        <v>2</v>
      </c>
      <c r="U23" s="44">
        <f>0.5*G$26*C$5*C$3*(X23-C$6)*K23^2+N23/K23*SIN(X23-C$1)-C$12*(C$14+G$29*(K$36-K23)/(K$36-K$22))*COS(W23)</f>
        <v>5.2733958000317216E-7</v>
      </c>
      <c r="V23" s="44">
        <f t="shared" si="18"/>
        <v>6.5321219192341573</v>
      </c>
      <c r="W23" s="44">
        <v>0.11400703463232716</v>
      </c>
      <c r="X23" s="45">
        <v>0.18247497692206635</v>
      </c>
      <c r="Y23" s="45">
        <f t="shared" si="19"/>
        <v>10.455046044381499</v>
      </c>
      <c r="Z23" s="45">
        <f>-0.5*G$26*C$5*K23^2*(C$8+(C$3^2)*(X23-C$6)^2/(PI()*C$7))+N23/K23*COS(X23-C$1)-C$12*(C$14+G$29*(K$36-K23)/(K$36-K$22))*SIN(W23)</f>
        <v>-1.8052760424325243E-6</v>
      </c>
      <c r="AB23" s="30">
        <f t="shared" si="20"/>
        <v>2</v>
      </c>
    </row>
    <row r="24" spans="1:28" x14ac:dyDescent="0.3">
      <c r="A24" s="54"/>
      <c r="B24" s="53"/>
      <c r="C24" s="52"/>
      <c r="D24" s="53"/>
      <c r="E24" s="54"/>
      <c r="F24" s="46"/>
      <c r="K24" s="95">
        <f t="shared" si="21"/>
        <v>45.682855465806043</v>
      </c>
      <c r="L24" s="12">
        <f t="shared" si="22"/>
        <v>0.57846316030083822</v>
      </c>
      <c r="M24" s="11">
        <f t="shared" si="16"/>
        <v>0.64880055779525114</v>
      </c>
      <c r="N24" s="21">
        <f t="shared" si="23"/>
        <v>258915.57816357684</v>
      </c>
      <c r="O24" s="21">
        <f t="shared" si="24"/>
        <v>5667.6750068168803</v>
      </c>
      <c r="P24" s="12">
        <f t="shared" si="25"/>
        <v>7.4579507183906317</v>
      </c>
      <c r="Q24" s="12">
        <f t="shared" si="26"/>
        <v>6.9038279575867598</v>
      </c>
      <c r="R24" s="12">
        <f t="shared" si="27"/>
        <v>5.4912238198353212</v>
      </c>
      <c r="S24" s="30">
        <f t="shared" si="28"/>
        <v>1.3097443537911329E-2</v>
      </c>
      <c r="T24" s="54">
        <v>3</v>
      </c>
      <c r="U24" s="44">
        <f t="shared" ref="U24:U36" si="29">0.5*G$26*C$5*C$3*(X24-C$6)*K24^2+N24/K24*SIN(X24-C$1)-C$12*(C$14+G$29*(K$36-K24)/(K$36-K$22))*COS(W24)</f>
        <v>1.0032454156316817E-7</v>
      </c>
      <c r="V24" s="44">
        <f t="shared" si="18"/>
        <v>6.9038279575867598</v>
      </c>
      <c r="W24" s="44">
        <v>0.1204945288511244</v>
      </c>
      <c r="X24" s="45">
        <v>0.13016579548739293</v>
      </c>
      <c r="Y24" s="45">
        <f t="shared" si="19"/>
        <v>7.4579507183906317</v>
      </c>
      <c r="Z24" s="45">
        <f t="shared" ref="Z24:Z36" si="30">-0.5*G$26*C$5*K24^2*(C$8+(C$3^2)*(X24-C$6)^2/(PI()*C$7))+N24/K24*COS(X24-C$1)-C$12*(C$14+G$29*(K$36-K24)/(K$36-K$22))*SIN(W24)</f>
        <v>-4.3513955461094156E-7</v>
      </c>
      <c r="AB24" s="30">
        <f t="shared" si="20"/>
        <v>3</v>
      </c>
    </row>
    <row r="25" spans="1:28" x14ac:dyDescent="0.3">
      <c r="A25" s="54"/>
      <c r="B25" s="53"/>
      <c r="C25" s="52"/>
      <c r="D25" s="53"/>
      <c r="E25" s="54"/>
      <c r="F25" s="29" t="s">
        <v>6</v>
      </c>
      <c r="G25" s="29">
        <v>1000</v>
      </c>
      <c r="H25" s="29" t="s">
        <v>3</v>
      </c>
      <c r="I25" s="29"/>
      <c r="K25" s="95">
        <f t="shared" si="21"/>
        <v>51.042617510322209</v>
      </c>
      <c r="L25" s="12">
        <f t="shared" si="22"/>
        <v>0.64633161683924345</v>
      </c>
      <c r="M25" s="11">
        <f t="shared" si="16"/>
        <v>0.69125388183158609</v>
      </c>
      <c r="N25" s="21">
        <f t="shared" si="23"/>
        <v>275857.34371196921</v>
      </c>
      <c r="O25" s="21">
        <f t="shared" si="24"/>
        <v>5404.4513617700604</v>
      </c>
      <c r="P25" s="12">
        <f t="shared" si="25"/>
        <v>5.3305514628841886</v>
      </c>
      <c r="Q25" s="12">
        <f t="shared" si="26"/>
        <v>6.9411445444130635</v>
      </c>
      <c r="R25" s="12">
        <f t="shared" si="27"/>
        <v>6.1684857563941051</v>
      </c>
      <c r="S25" s="30">
        <f t="shared" si="28"/>
        <v>1.242234203760002E-2</v>
      </c>
      <c r="T25" s="54">
        <v>4</v>
      </c>
      <c r="U25" s="44">
        <f t="shared" si="29"/>
        <v>-1.6862761549418792E-4</v>
      </c>
      <c r="V25" s="44">
        <f t="shared" si="18"/>
        <v>6.9411445444130635</v>
      </c>
      <c r="W25" s="44">
        <v>0.12114582615684974</v>
      </c>
      <c r="X25" s="45">
        <v>9.3035673974329394E-2</v>
      </c>
      <c r="Y25" s="45">
        <f t="shared" si="19"/>
        <v>5.3305514628841886</v>
      </c>
      <c r="Z25" s="45">
        <f t="shared" si="30"/>
        <v>-1.5675193026254419E-5</v>
      </c>
      <c r="AB25" s="30">
        <f t="shared" si="20"/>
        <v>4</v>
      </c>
    </row>
    <row r="26" spans="1:28" ht="18.600000000000001" x14ac:dyDescent="0.3">
      <c r="A26" s="54"/>
      <c r="B26" s="53"/>
      <c r="C26" s="52"/>
      <c r="D26" s="53"/>
      <c r="E26" s="54"/>
      <c r="F26" s="30" t="s">
        <v>83</v>
      </c>
      <c r="G26" s="30">
        <f>C$11*(1-G25/44300)^4.256</f>
        <v>1.1120172997678104</v>
      </c>
      <c r="H26" s="30" t="s">
        <v>84</v>
      </c>
      <c r="K26" s="95">
        <f t="shared" si="21"/>
        <v>56.402379554838376</v>
      </c>
      <c r="L26" s="12">
        <f t="shared" si="22"/>
        <v>0.71420007337764857</v>
      </c>
      <c r="M26" s="11">
        <f t="shared" si="16"/>
        <v>0.72787423581179223</v>
      </c>
      <c r="N26" s="21">
        <f t="shared" si="23"/>
        <v>290471.35723187146</v>
      </c>
      <c r="O26" s="21">
        <f t="shared" si="24"/>
        <v>5149.9840879843496</v>
      </c>
      <c r="P26" s="12">
        <f t="shared" si="25"/>
        <v>3.7708792149437556</v>
      </c>
      <c r="Q26" s="12">
        <f t="shared" si="26"/>
        <v>6.7517717344830643</v>
      </c>
      <c r="R26" s="12">
        <f t="shared" si="27"/>
        <v>6.6311209190070848</v>
      </c>
      <c r="S26" s="30">
        <f>(N26/1000)/(R26*3600)</f>
        <v>1.2167850519614103E-2</v>
      </c>
      <c r="T26" s="54">
        <v>5</v>
      </c>
      <c r="U26" s="44">
        <f t="shared" si="29"/>
        <v>-7.65642398619093E-5</v>
      </c>
      <c r="V26" s="44">
        <f t="shared" si="18"/>
        <v>6.7517717344830643</v>
      </c>
      <c r="W26" s="44">
        <v>0.11784064710981784</v>
      </c>
      <c r="X26" s="45">
        <v>6.5814257995787495E-2</v>
      </c>
      <c r="Y26" s="45">
        <f t="shared" si="19"/>
        <v>3.7708792149437556</v>
      </c>
      <c r="Z26" s="45">
        <f t="shared" si="30"/>
        <v>-5.7635884331830312E-6</v>
      </c>
      <c r="AB26" s="30">
        <f t="shared" si="20"/>
        <v>5</v>
      </c>
    </row>
    <row r="27" spans="1:28" ht="18.600000000000001" x14ac:dyDescent="0.3">
      <c r="A27" s="54"/>
      <c r="B27" s="53"/>
      <c r="C27" s="52"/>
      <c r="D27" s="53"/>
      <c r="E27" s="54"/>
      <c r="F27" s="30" t="s">
        <v>85</v>
      </c>
      <c r="G27" s="30">
        <f>C$4*((G26/C$11)-C$10)/(1-C$10)</f>
        <v>399068.05728315288</v>
      </c>
      <c r="H27" s="30" t="s">
        <v>35</v>
      </c>
      <c r="K27" s="95">
        <f t="shared" si="21"/>
        <v>61.762141599354536</v>
      </c>
      <c r="L27" s="12">
        <f t="shared" si="22"/>
        <v>0.7820685299160538</v>
      </c>
      <c r="M27" s="11">
        <f t="shared" si="16"/>
        <v>0.75901443223596676</v>
      </c>
      <c r="N27" s="21">
        <f t="shared" si="23"/>
        <v>302898.41492228257</v>
      </c>
      <c r="O27" s="21">
        <f t="shared" si="24"/>
        <v>4904.2731854597496</v>
      </c>
      <c r="P27" s="12">
        <f t="shared" si="25"/>
        <v>2.5961082909033171</v>
      </c>
      <c r="Q27" s="12">
        <f t="shared" si="26"/>
        <v>6.3988510288320519</v>
      </c>
      <c r="R27" s="12">
        <f t="shared" si="27"/>
        <v>6.8833291555316807</v>
      </c>
      <c r="S27" s="30">
        <f t="shared" si="28"/>
        <v>1.2223510846042627E-2</v>
      </c>
      <c r="T27" s="54">
        <v>6</v>
      </c>
      <c r="U27" s="44">
        <f t="shared" si="29"/>
        <v>-3.5700864827958867E-5</v>
      </c>
      <c r="V27" s="44">
        <f t="shared" si="18"/>
        <v>6.3988510288320519</v>
      </c>
      <c r="W27" s="44">
        <v>0.1116810187977459</v>
      </c>
      <c r="X27" s="45">
        <v>4.5310637414585637E-2</v>
      </c>
      <c r="Y27" s="45">
        <f t="shared" si="19"/>
        <v>2.5961082909033171</v>
      </c>
      <c r="Z27" s="45">
        <f t="shared" si="30"/>
        <v>-2.1828577700944152E-6</v>
      </c>
      <c r="AB27" s="30">
        <f t="shared" si="20"/>
        <v>6</v>
      </c>
    </row>
    <row r="28" spans="1:28" ht="18.600000000000001" x14ac:dyDescent="0.3">
      <c r="A28" s="54"/>
      <c r="B28" s="53"/>
      <c r="C28" s="52"/>
      <c r="D28" s="53"/>
      <c r="E28" s="54"/>
      <c r="F28" s="30" t="s">
        <v>86</v>
      </c>
      <c r="G28" s="30">
        <f>G27/G26/C$9^3/C$2^5</f>
        <v>0.21521233932104497</v>
      </c>
      <c r="H28" s="30" t="s">
        <v>7</v>
      </c>
      <c r="K28" s="95">
        <f t="shared" si="21"/>
        <v>67.121903643870695</v>
      </c>
      <c r="L28" s="12">
        <f t="shared" si="22"/>
        <v>0.84993698645445881</v>
      </c>
      <c r="M28" s="11">
        <f t="shared" si="16"/>
        <v>0.7850272836042067</v>
      </c>
      <c r="N28" s="21">
        <f t="shared" si="23"/>
        <v>313279.31298220146</v>
      </c>
      <c r="O28" s="21">
        <f t="shared" si="24"/>
        <v>4667.3186541962577</v>
      </c>
      <c r="P28" s="12">
        <f t="shared" si="25"/>
        <v>1.6908052571829382</v>
      </c>
      <c r="Q28" s="12">
        <f t="shared" si="26"/>
        <v>5.9209475419917705</v>
      </c>
      <c r="R28" s="12">
        <f t="shared" si="27"/>
        <v>6.9240403030962909</v>
      </c>
      <c r="S28" s="30">
        <f t="shared" si="28"/>
        <v>1.2568100065077662E-2</v>
      </c>
      <c r="T28" s="30">
        <v>7</v>
      </c>
      <c r="U28" s="44">
        <f t="shared" si="29"/>
        <v>-1.5440309653058648E-5</v>
      </c>
      <c r="V28" s="44">
        <f t="shared" si="18"/>
        <v>5.9209475419917705</v>
      </c>
      <c r="W28" s="44">
        <v>0.10334002944562161</v>
      </c>
      <c r="X28" s="45">
        <v>2.9510118747871773E-2</v>
      </c>
      <c r="Y28" s="45">
        <f t="shared" si="19"/>
        <v>1.6908052571829382</v>
      </c>
      <c r="Z28" s="45">
        <f t="shared" si="30"/>
        <v>-7.6592232289840467E-7</v>
      </c>
      <c r="AB28" s="30">
        <f t="shared" si="20"/>
        <v>7</v>
      </c>
    </row>
    <row r="29" spans="1:28" x14ac:dyDescent="0.3">
      <c r="A29" s="54"/>
      <c r="B29" s="53"/>
      <c r="C29" s="52"/>
      <c r="D29" s="53"/>
      <c r="E29" s="54"/>
      <c r="F29" s="30" t="s">
        <v>142</v>
      </c>
      <c r="G29" s="30">
        <f>G11-G12</f>
        <v>546.46848144478315</v>
      </c>
      <c r="H29" s="30" t="s">
        <v>0</v>
      </c>
      <c r="K29" s="95">
        <f t="shared" si="21"/>
        <v>72.481665688386869</v>
      </c>
      <c r="L29" s="12">
        <f t="shared" si="22"/>
        <v>0.91780544299286415</v>
      </c>
      <c r="M29" s="11">
        <f t="shared" si="16"/>
        <v>0.80626560241660972</v>
      </c>
      <c r="N29" s="21">
        <f t="shared" si="23"/>
        <v>321754.84761062736</v>
      </c>
      <c r="O29" s="21">
        <f t="shared" si="24"/>
        <v>4439.1204941938777</v>
      </c>
      <c r="P29" s="12">
        <f t="shared" si="25"/>
        <v>0.97940563474474096</v>
      </c>
      <c r="Q29" s="12">
        <f t="shared" si="26"/>
        <v>5.3423394040896097</v>
      </c>
      <c r="R29" s="12">
        <f t="shared" si="27"/>
        <v>6.7485044125863833</v>
      </c>
      <c r="S29" s="30">
        <f t="shared" si="28"/>
        <v>1.3243874656407589E-2</v>
      </c>
      <c r="T29" s="30">
        <v>8</v>
      </c>
      <c r="U29" s="44">
        <f t="shared" si="29"/>
        <v>-5.2358045650180429E-6</v>
      </c>
      <c r="V29" s="44">
        <f t="shared" si="18"/>
        <v>5.3423394040896097</v>
      </c>
      <c r="W29" s="44">
        <v>9.3241412360395501E-2</v>
      </c>
      <c r="X29" s="45">
        <v>1.7093853038880703E-2</v>
      </c>
      <c r="Y29" s="45">
        <f t="shared" si="19"/>
        <v>0.97940563474474096</v>
      </c>
      <c r="Z29" s="45">
        <f t="shared" si="30"/>
        <v>-1.9984690879937261E-7</v>
      </c>
      <c r="AB29" s="30">
        <f t="shared" si="20"/>
        <v>8</v>
      </c>
    </row>
    <row r="30" spans="1:28" x14ac:dyDescent="0.3">
      <c r="A30" s="54"/>
      <c r="B30" s="53"/>
      <c r="C30" s="52"/>
      <c r="D30" s="53"/>
      <c r="E30" s="54"/>
      <c r="F30" s="30" t="s">
        <v>143</v>
      </c>
      <c r="G30" s="30" cm="1">
        <f t="array" ref="G30">(G43-G25)*C$16*MIN(IF(S22:S36&gt;0,S22:S36))</f>
        <v>3.7720336610803717</v>
      </c>
      <c r="H30" s="30" t="s">
        <v>0</v>
      </c>
      <c r="K30" s="95">
        <f t="shared" si="21"/>
        <v>77.841427732903028</v>
      </c>
      <c r="L30" s="12">
        <f t="shared" si="22"/>
        <v>0.98567389953126927</v>
      </c>
      <c r="M30" s="11">
        <f t="shared" si="16"/>
        <v>0.82308220117327224</v>
      </c>
      <c r="N30" s="21">
        <f t="shared" si="23"/>
        <v>328465.81500655896</v>
      </c>
      <c r="O30" s="21">
        <f t="shared" si="24"/>
        <v>4219.6787054526076</v>
      </c>
      <c r="P30" s="12">
        <f t="shared" si="25"/>
        <v>0.41087386412824883</v>
      </c>
      <c r="Q30" s="12">
        <f t="shared" si="26"/>
        <v>4.6786041697362482</v>
      </c>
      <c r="R30" s="12">
        <f t="shared" si="27"/>
        <v>6.3492396548489998</v>
      </c>
      <c r="S30" s="30">
        <f t="shared" si="28"/>
        <v>1.4370304025113778E-2</v>
      </c>
      <c r="T30" s="54">
        <v>9</v>
      </c>
      <c r="U30" s="44">
        <f t="shared" si="29"/>
        <v>-5.2681934903375804E-7</v>
      </c>
      <c r="V30" s="44">
        <f t="shared" si="18"/>
        <v>4.6786041697362482</v>
      </c>
      <c r="W30" s="44">
        <v>8.1657047159433171E-2</v>
      </c>
      <c r="X30" s="45">
        <v>7.1711017394297631E-3</v>
      </c>
      <c r="Y30" s="45">
        <f t="shared" si="19"/>
        <v>0.41087386412824883</v>
      </c>
      <c r="Z30" s="45">
        <f t="shared" si="30"/>
        <v>1.9949766283389181E-9</v>
      </c>
      <c r="AB30" s="30">
        <f t="shared" si="20"/>
        <v>9</v>
      </c>
    </row>
    <row r="31" spans="1:28" ht="15.6" thickBot="1" x14ac:dyDescent="0.35">
      <c r="A31" s="54"/>
      <c r="B31" s="53"/>
      <c r="C31" s="52"/>
      <c r="D31" s="53"/>
      <c r="E31" s="54"/>
      <c r="F31" s="30" t="s">
        <v>151</v>
      </c>
      <c r="G31" s="30">
        <f>(K36-G32)/T35</f>
        <v>5.359762044516164</v>
      </c>
      <c r="H31" s="30" t="s">
        <v>150</v>
      </c>
      <c r="K31" s="95">
        <f t="shared" si="21"/>
        <v>83.201189777419188</v>
      </c>
      <c r="L31" s="12">
        <f t="shared" si="22"/>
        <v>1.0535423560696744</v>
      </c>
      <c r="M31" s="11">
        <f t="shared" si="16"/>
        <v>0.83582989237429173</v>
      </c>
      <c r="N31" s="21">
        <f t="shared" si="23"/>
        <v>333553.01136899536</v>
      </c>
      <c r="O31" s="21">
        <f t="shared" si="24"/>
        <v>4008.9932879724479</v>
      </c>
      <c r="P31" s="12">
        <f t="shared" si="25"/>
        <v>-5.0208674727304066E-2</v>
      </c>
      <c r="Q31" s="12">
        <f t="shared" si="26"/>
        <v>3.9397931171746676</v>
      </c>
      <c r="R31" s="12">
        <f t="shared" si="27"/>
        <v>5.7166028894744763</v>
      </c>
      <c r="S31" s="30">
        <f t="shared" si="28"/>
        <v>1.6207810138388495E-2</v>
      </c>
      <c r="T31" s="54">
        <v>10</v>
      </c>
      <c r="U31" s="44">
        <f t="shared" si="29"/>
        <v>-3.1534000299870968E-8</v>
      </c>
      <c r="V31" s="44">
        <f t="shared" si="18"/>
        <v>3.9397931171746676</v>
      </c>
      <c r="W31" s="44">
        <v>6.8762361742108702E-2</v>
      </c>
      <c r="X31" s="45">
        <v>-8.7630668705432205E-4</v>
      </c>
      <c r="Y31" s="45">
        <f t="shared" si="19"/>
        <v>-5.0208674727304066E-2</v>
      </c>
      <c r="Z31" s="45">
        <f t="shared" si="30"/>
        <v>1.2434611562639475E-8</v>
      </c>
      <c r="AB31" s="30">
        <f t="shared" si="20"/>
        <v>10</v>
      </c>
    </row>
    <row r="32" spans="1:28" x14ac:dyDescent="0.3">
      <c r="A32" s="54"/>
      <c r="B32" s="53"/>
      <c r="C32" s="52"/>
      <c r="D32" s="53"/>
      <c r="E32" s="54"/>
      <c r="G32" s="91">
        <f>SQRT(2*(C$14)*C$12/C$5/C$15/G26)</f>
        <v>34.963331376773716</v>
      </c>
      <c r="K32" s="95">
        <f t="shared" si="21"/>
        <v>88.560951821935362</v>
      </c>
      <c r="L32" s="12">
        <f t="shared" si="22"/>
        <v>1.1214108126080797</v>
      </c>
      <c r="M32" s="11">
        <f t="shared" si="16"/>
        <v>0.84486148851976539</v>
      </c>
      <c r="N32" s="21">
        <f t="shared" si="23"/>
        <v>337157.23289693554</v>
      </c>
      <c r="O32" s="21">
        <f t="shared" si="24"/>
        <v>3807.0642417533977</v>
      </c>
      <c r="P32" s="12">
        <f t="shared" si="25"/>
        <v>-0.42901445845707448</v>
      </c>
      <c r="Q32" s="12">
        <f t="shared" si="26"/>
        <v>3.1323058990484491</v>
      </c>
      <c r="R32" s="12">
        <f t="shared" si="27"/>
        <v>4.8391319050591894</v>
      </c>
      <c r="S32" s="30">
        <f t="shared" si="28"/>
        <v>1.9353633823847978E-2</v>
      </c>
      <c r="T32" s="54">
        <v>11</v>
      </c>
      <c r="U32" s="44">
        <f t="shared" si="29"/>
        <v>-5.9508965932764113E-7</v>
      </c>
      <c r="V32" s="44">
        <f t="shared" si="18"/>
        <v>3.1323058990484491</v>
      </c>
      <c r="W32" s="44">
        <v>5.4669051118036556E-2</v>
      </c>
      <c r="X32" s="45">
        <v>-7.487714838736381E-3</v>
      </c>
      <c r="Y32" s="45">
        <f t="shared" si="19"/>
        <v>-0.42901445845707448</v>
      </c>
      <c r="Z32" s="45">
        <f t="shared" si="30"/>
        <v>-9.5792529464233667E-9</v>
      </c>
      <c r="AB32" s="30">
        <f t="shared" si="20"/>
        <v>11</v>
      </c>
    </row>
    <row r="33" spans="1:28" x14ac:dyDescent="0.3">
      <c r="A33" s="54"/>
      <c r="B33" s="53"/>
      <c r="C33" s="52"/>
      <c r="D33" s="53"/>
      <c r="E33" s="54"/>
      <c r="K33" s="95">
        <f t="shared" si="21"/>
        <v>93.920713866451521</v>
      </c>
      <c r="L33" s="12">
        <f t="shared" si="22"/>
        <v>1.1892792691464849</v>
      </c>
      <c r="M33" s="11">
        <f t="shared" si="16"/>
        <v>0.85052980210978979</v>
      </c>
      <c r="N33" s="21">
        <f t="shared" si="23"/>
        <v>339419.27578937827</v>
      </c>
      <c r="O33" s="21">
        <f t="shared" si="24"/>
        <v>3613.8915667954566</v>
      </c>
      <c r="P33" s="12">
        <f t="shared" si="25"/>
        <v>-0.74381317020571103</v>
      </c>
      <c r="Q33" s="12">
        <f t="shared" si="26"/>
        <v>2.2600336014563061</v>
      </c>
      <c r="R33" s="12">
        <f t="shared" si="27"/>
        <v>3.7037445227315229</v>
      </c>
      <c r="S33" s="30">
        <f t="shared" si="28"/>
        <v>2.5456165128306982E-2</v>
      </c>
      <c r="T33" s="54">
        <v>12</v>
      </c>
      <c r="U33" s="44">
        <f t="shared" si="29"/>
        <v>-6.5404310589656234E-7</v>
      </c>
      <c r="V33" s="44">
        <f t="shared" si="18"/>
        <v>2.2600336014563061</v>
      </c>
      <c r="W33" s="44">
        <v>3.9445027551117853E-2</v>
      </c>
      <c r="X33" s="45">
        <v>-1.2981988839786645E-2</v>
      </c>
      <c r="Y33" s="45">
        <f t="shared" si="19"/>
        <v>-0.74381317020571103</v>
      </c>
      <c r="Z33" s="45">
        <f t="shared" si="30"/>
        <v>-1.2906411939184181E-8</v>
      </c>
      <c r="AB33" s="30">
        <f t="shared" si="20"/>
        <v>12</v>
      </c>
    </row>
    <row r="34" spans="1:28" x14ac:dyDescent="0.3">
      <c r="A34" s="54"/>
      <c r="B34" s="53"/>
      <c r="C34" s="52"/>
      <c r="D34" s="53"/>
      <c r="E34" s="54"/>
      <c r="K34" s="95">
        <f t="shared" si="21"/>
        <v>99.280475910967681</v>
      </c>
      <c r="L34" s="12">
        <f t="shared" si="22"/>
        <v>1.25714772568489</v>
      </c>
      <c r="M34" s="11">
        <f t="shared" si="16"/>
        <v>0.85318764564446292</v>
      </c>
      <c r="N34" s="21">
        <f t="shared" si="23"/>
        <v>340479.93624532287</v>
      </c>
      <c r="O34" s="21">
        <f t="shared" si="24"/>
        <v>3429.4752630986277</v>
      </c>
      <c r="P34" s="12">
        <f t="shared" si="25"/>
        <v>-1.0081136983172223</v>
      </c>
      <c r="Q34" s="12">
        <f t="shared" si="26"/>
        <v>1.3250733794195786</v>
      </c>
      <c r="R34" s="12">
        <f t="shared" si="27"/>
        <v>2.2958443039242087</v>
      </c>
      <c r="S34" s="30">
        <f t="shared" si="28"/>
        <v>4.119519773465765E-2</v>
      </c>
      <c r="T34" s="30">
        <v>13</v>
      </c>
      <c r="U34" s="44">
        <f t="shared" si="29"/>
        <v>-4.0907616494223475E-7</v>
      </c>
      <c r="V34" s="44">
        <f t="shared" si="18"/>
        <v>1.3250733794195786</v>
      </c>
      <c r="W34" s="44">
        <v>2.3126893301399713E-2</v>
      </c>
      <c r="X34" s="45">
        <v>-1.7594903270092346E-2</v>
      </c>
      <c r="Y34" s="45">
        <f t="shared" si="19"/>
        <v>-1.0081136983172223</v>
      </c>
      <c r="Z34" s="45">
        <f t="shared" si="30"/>
        <v>-7.4803665484068915E-9</v>
      </c>
      <c r="AB34" s="30">
        <f t="shared" si="20"/>
        <v>13</v>
      </c>
    </row>
    <row r="35" spans="1:28" x14ac:dyDescent="0.3">
      <c r="A35" s="54"/>
      <c r="B35" s="53"/>
      <c r="C35" s="52"/>
      <c r="D35" s="53"/>
      <c r="E35" s="54"/>
      <c r="K35" s="95">
        <f t="shared" si="21"/>
        <v>104.64023795548385</v>
      </c>
      <c r="L35" s="12">
        <f t="shared" si="22"/>
        <v>1.3250161822232953</v>
      </c>
      <c r="M35" s="11">
        <f t="shared" si="16"/>
        <v>0.85318783162388057</v>
      </c>
      <c r="N35" s="21">
        <f t="shared" si="23"/>
        <v>340480.01046376774</v>
      </c>
      <c r="O35" s="21">
        <f t="shared" si="24"/>
        <v>3253.8153306629047</v>
      </c>
      <c r="P35" s="12">
        <f t="shared" si="25"/>
        <v>-1.232072103345343</v>
      </c>
      <c r="Q35" s="12">
        <f t="shared" si="26"/>
        <v>0.3281828307252681</v>
      </c>
      <c r="R35" s="12">
        <f t="shared" si="27"/>
        <v>0.59936250125148627</v>
      </c>
      <c r="S35" s="30">
        <f t="shared" si="28"/>
        <v>0.15779729376946136</v>
      </c>
      <c r="T35" s="30">
        <v>14</v>
      </c>
      <c r="U35" s="44">
        <f t="shared" si="29"/>
        <v>-6.9048837758600712E-8</v>
      </c>
      <c r="V35" s="44">
        <f t="shared" si="18"/>
        <v>0.3281828307252681</v>
      </c>
      <c r="W35" s="44">
        <v>5.7278709446711385E-3</v>
      </c>
      <c r="X35" s="45">
        <v>-2.1503714825348078E-2</v>
      </c>
      <c r="Y35" s="45">
        <f t="shared" si="19"/>
        <v>-1.232072103345343</v>
      </c>
      <c r="Z35" s="45">
        <f t="shared" si="30"/>
        <v>-1.1209237982257036E-9</v>
      </c>
      <c r="AB35" s="30">
        <f t="shared" si="20"/>
        <v>14</v>
      </c>
    </row>
    <row r="36" spans="1:28" x14ac:dyDescent="0.3">
      <c r="A36" s="54"/>
      <c r="B36" s="53"/>
      <c r="C36" s="52"/>
      <c r="D36" s="53"/>
      <c r="E36" s="54"/>
      <c r="K36" s="95">
        <f t="shared" ref="K36" si="31">K18</f>
        <v>110</v>
      </c>
      <c r="L36" s="12">
        <f t="shared" si="22"/>
        <v>1.3928846387617</v>
      </c>
      <c r="M36" s="11">
        <f t="shared" si="16"/>
        <v>0.85088317254814161</v>
      </c>
      <c r="N36" s="21">
        <f>G$27*M36</f>
        <v>339560.29464371264</v>
      </c>
      <c r="O36" s="21">
        <f t="shared" si="24"/>
        <v>3086.9117694882966</v>
      </c>
      <c r="P36" s="12">
        <f t="shared" si="25"/>
        <v>-1.4234385898351067</v>
      </c>
      <c r="Q36" s="12">
        <f t="shared" si="26"/>
        <v>-0.7309294866167646</v>
      </c>
      <c r="R36" s="12">
        <f t="shared" si="27"/>
        <v>-1.4032458131265273</v>
      </c>
      <c r="S36" s="30">
        <f t="shared" si="28"/>
        <v>-6.7217235344918955E-2</v>
      </c>
      <c r="T36" s="54">
        <v>15</v>
      </c>
      <c r="U36" s="44">
        <f t="shared" si="29"/>
        <v>1.0955092875519767E-5</v>
      </c>
      <c r="V36" s="44">
        <f t="shared" si="18"/>
        <v>-0.7309294866167646</v>
      </c>
      <c r="W36" s="44">
        <v>-1.2757126141374371E-2</v>
      </c>
      <c r="X36" s="45">
        <v>-2.4843690092567702E-2</v>
      </c>
      <c r="Y36" s="45">
        <f t="shared" si="19"/>
        <v>-1.4234385898351067</v>
      </c>
      <c r="Z36" s="45">
        <f t="shared" si="30"/>
        <v>-1.6267627529487072E-6</v>
      </c>
      <c r="AB36" s="30">
        <f t="shared" si="20"/>
        <v>15</v>
      </c>
    </row>
    <row r="37" spans="1:28" ht="15.6" thickBot="1" x14ac:dyDescent="0.35"/>
    <row r="38" spans="1:28" ht="16.2" thickBot="1" x14ac:dyDescent="0.35">
      <c r="K38" s="132" t="s">
        <v>105</v>
      </c>
      <c r="L38" s="133"/>
      <c r="M38" s="133"/>
      <c r="N38" s="133"/>
      <c r="O38" s="133"/>
      <c r="P38" s="133"/>
      <c r="Q38" s="133"/>
      <c r="R38" s="134"/>
    </row>
    <row r="39" spans="1:28" ht="18.600000000000001" thickBot="1" x14ac:dyDescent="0.35">
      <c r="F39" s="46"/>
      <c r="K39" s="96" t="s">
        <v>67</v>
      </c>
      <c r="L39" s="96" t="s">
        <v>15</v>
      </c>
      <c r="M39" s="96" t="s">
        <v>74</v>
      </c>
      <c r="N39" s="96" t="s">
        <v>73</v>
      </c>
      <c r="O39" s="96" t="s">
        <v>68</v>
      </c>
      <c r="P39" s="96" t="s">
        <v>70</v>
      </c>
      <c r="Q39" s="96" t="s">
        <v>87</v>
      </c>
      <c r="R39" s="96" t="s">
        <v>69</v>
      </c>
      <c r="S39" s="30" t="s">
        <v>147</v>
      </c>
      <c r="U39" s="58" t="s">
        <v>98</v>
      </c>
      <c r="V39" s="56" t="s">
        <v>99</v>
      </c>
      <c r="W39" s="56" t="s">
        <v>101</v>
      </c>
      <c r="X39" s="55" t="s">
        <v>101</v>
      </c>
      <c r="Y39" s="55" t="s">
        <v>99</v>
      </c>
      <c r="Z39" s="57" t="s">
        <v>100</v>
      </c>
    </row>
    <row r="40" spans="1:28" x14ac:dyDescent="0.3">
      <c r="F40" s="46"/>
      <c r="K40" s="109">
        <f>SQRT(2*(C$14+G47)*C$12/C$5/C$15/G44)</f>
        <v>40.680124812202166</v>
      </c>
      <c r="L40" s="92">
        <f>K40/C$9/C$2</f>
        <v>0.51511564503477347</v>
      </c>
      <c r="M40" s="93">
        <f>0.1906*L40^3-1.0151*L40^2+1.6538*L40</f>
        <v>0.6085991926068075</v>
      </c>
      <c r="N40" s="94">
        <f>G$45*M40</f>
        <v>216378.68932263312</v>
      </c>
      <c r="O40" s="94">
        <f>N40/K40</f>
        <v>5319.0271741184397</v>
      </c>
      <c r="P40" s="92">
        <f>Y40</f>
        <v>11.680622557615148</v>
      </c>
      <c r="Q40" s="92">
        <f t="shared" ref="Q40" si="32">V40</f>
        <v>4.9044248945935633</v>
      </c>
      <c r="R40" s="92">
        <f>K40*SIN(RADIANS(Q40))</f>
        <v>3.4779012865443062</v>
      </c>
      <c r="S40" s="30">
        <f>(N40/1000)/(R40*3600)</f>
        <v>1.7282029168294941E-2</v>
      </c>
      <c r="T40" s="30">
        <v>1</v>
      </c>
      <c r="U40" s="44">
        <f>0.5*G$44*C$5*C$3*(X40-C$6)*K40^2+N40/K40*SIN(X40-C$1)-C$12*(C$14+G$47*(K$54-K40)/(K$54-K$40))*COS(W40)</f>
        <v>-2.204615157097578E-8</v>
      </c>
      <c r="V40" s="44">
        <f t="shared" ref="V40:V54" si="33">DEGREES(W40)</f>
        <v>4.9044248945935633</v>
      </c>
      <c r="W40" s="44">
        <v>8.5598362327433522E-2</v>
      </c>
      <c r="X40" s="45">
        <v>0.20386532231310539</v>
      </c>
      <c r="Y40" s="45">
        <f t="shared" ref="Y40:Y54" si="34">DEGREES(X40)</f>
        <v>11.680622557615148</v>
      </c>
      <c r="Z40" s="45">
        <f>-0.5*G$44*C$5*K40^2*(C$8+(C$3^2)*(X40-C$6)^2/(PI()*C$7))+N40/K40*COS(X40-C$1)-C$12*(C$14+G$47*(K$54-K40)/(K$54-K$40))*SIN(W40)</f>
        <v>-2.3464963305741549E-10</v>
      </c>
      <c r="AB40" s="30">
        <f t="shared" ref="AB40:AB54" si="35">T40</f>
        <v>1</v>
      </c>
    </row>
    <row r="41" spans="1:28" x14ac:dyDescent="0.3">
      <c r="F41" s="46"/>
      <c r="K41" s="95">
        <f t="shared" ref="K41:K53" si="36">G$50+T40*G$49</f>
        <v>41.978167521605606</v>
      </c>
      <c r="L41" s="12">
        <f>K41/C$9/C$2</f>
        <v>0.53155222458372509</v>
      </c>
      <c r="M41" s="11">
        <f>0.1906*L41^3-1.0151*L41^2+1.6538*L41</f>
        <v>0.62089283353007063</v>
      </c>
      <c r="N41" s="21">
        <f>G$45*M41</f>
        <v>220749.51653090602</v>
      </c>
      <c r="O41" s="21">
        <f>N41/K41</f>
        <v>5258.6744387374501</v>
      </c>
      <c r="P41" s="12">
        <f>Y41</f>
        <v>10.781510098174477</v>
      </c>
      <c r="Q41" s="12">
        <f>V41</f>
        <v>5.0729668132597485</v>
      </c>
      <c r="R41" s="12">
        <f t="shared" ref="R41:R54" si="37">K41*SIN(RADIANS(Q41))</f>
        <v>3.711891621940155</v>
      </c>
      <c r="S41" s="30">
        <f t="shared" ref="S41:S54" si="38">(N41/1000)/(R41*3600)</f>
        <v>1.6519693027950835E-2</v>
      </c>
      <c r="T41" s="30">
        <v>2</v>
      </c>
      <c r="U41" s="44">
        <f>0.5*G$44*C$5*C$3*(X41-C$6)*K41^2+N41/K41*SIN(X41-C$1)-C$12*(C$14+G$47*(K$54-K41)/(K$54-K$40))*COS(W41)</f>
        <v>5.2768155001103878E-7</v>
      </c>
      <c r="V41" s="44">
        <f t="shared" si="33"/>
        <v>5.0729668132597485</v>
      </c>
      <c r="W41" s="44">
        <v>8.8539973735786939E-2</v>
      </c>
      <c r="X41" s="45">
        <v>0.1881728495501617</v>
      </c>
      <c r="Y41" s="45">
        <f t="shared" si="34"/>
        <v>10.781510098174477</v>
      </c>
      <c r="Z41" s="45">
        <f>-0.5*G$44*C$5*K41^2*(C$8+(C$3^2)*(X41-C$6)^2/(PI()*C$7))+N41/K41*COS(X41-C$1)-C$12*(C$14+G$47*(K$54-K41)/(K$54-K$40))*SIN(W41)</f>
        <v>-1.7688830666884314E-6</v>
      </c>
      <c r="AB41" s="30">
        <f t="shared" si="35"/>
        <v>2</v>
      </c>
    </row>
    <row r="42" spans="1:28" x14ac:dyDescent="0.3">
      <c r="F42" s="46"/>
      <c r="K42" s="95">
        <f t="shared" si="36"/>
        <v>47.210616173789788</v>
      </c>
      <c r="L42" s="12">
        <f t="shared" ref="L42:L54" si="39">K42/C$9/C$2</f>
        <v>0.59780856413587691</v>
      </c>
      <c r="M42" s="11">
        <f t="shared" ref="M42:M54" si="40">0.1906*L42^3-1.0151*L42^2+1.6538*L42</f>
        <v>0.66660450322416287</v>
      </c>
      <c r="N42" s="21">
        <f t="shared" ref="N42:N54" si="41">G$45*M42</f>
        <v>237001.64321019169</v>
      </c>
      <c r="O42" s="21">
        <f t="shared" ref="O42:O54" si="42">N42/K42</f>
        <v>5020.0921406691859</v>
      </c>
      <c r="P42" s="12">
        <f t="shared" ref="P42:P54" si="43">Y42</f>
        <v>7.8533589602426446</v>
      </c>
      <c r="Q42" s="12">
        <f t="shared" ref="Q42:Q54" si="44">V42</f>
        <v>5.4906504772605507</v>
      </c>
      <c r="R42" s="12">
        <f t="shared" si="37"/>
        <v>4.5172686145612344</v>
      </c>
      <c r="S42" s="30">
        <f t="shared" si="38"/>
        <v>1.4573804526123642E-2</v>
      </c>
      <c r="T42" s="54">
        <v>3</v>
      </c>
      <c r="U42" s="44">
        <f t="shared" ref="U42:U54" si="45">0.5*G$44*C$5*C$3*(X42-C$6)*K42^2+N42/K42*SIN(X42-C$1)-C$12*(C$14+G$47*(K$54-K42)/(K$54-K$40))*COS(W42)</f>
        <v>1.9154686015099287E-7</v>
      </c>
      <c r="V42" s="44">
        <f t="shared" si="33"/>
        <v>5.4906504772605507</v>
      </c>
      <c r="W42" s="44">
        <v>9.5829928904394651E-2</v>
      </c>
      <c r="X42" s="45">
        <v>0.1370669711972326</v>
      </c>
      <c r="Y42" s="45">
        <f t="shared" si="34"/>
        <v>7.8533589602426446</v>
      </c>
      <c r="Z42" s="45">
        <f t="shared" ref="Z42:Z54" si="46">-0.5*G$44*C$5*K42^2*(C$8+(C$3^2)*(X42-C$6)^2/(PI()*C$7))+N42/K42*COS(X42-C$1)-C$12*(C$14+G$47*(K$54-K42)/(K$54-K$40))*SIN(W42)</f>
        <v>-8.0025392890092917E-7</v>
      </c>
      <c r="AB42" s="30">
        <f t="shared" si="35"/>
        <v>3</v>
      </c>
    </row>
    <row r="43" spans="1:28" x14ac:dyDescent="0.3">
      <c r="F43" s="29" t="s">
        <v>6</v>
      </c>
      <c r="G43" s="29">
        <v>2000</v>
      </c>
      <c r="H43" s="29" t="s">
        <v>3</v>
      </c>
      <c r="I43" s="29"/>
      <c r="K43" s="95">
        <f t="shared" si="36"/>
        <v>52.443064825973977</v>
      </c>
      <c r="L43" s="12">
        <f t="shared" si="39"/>
        <v>0.66406490368802895</v>
      </c>
      <c r="M43" s="11">
        <f t="shared" si="40"/>
        <v>0.7064049666715837</v>
      </c>
      <c r="N43" s="21">
        <f t="shared" si="41"/>
        <v>251152.12553058175</v>
      </c>
      <c r="O43" s="21">
        <f t="shared" si="42"/>
        <v>4789.0436297725919</v>
      </c>
      <c r="P43" s="12">
        <f t="shared" si="43"/>
        <v>5.7374641122179879</v>
      </c>
      <c r="Q43" s="12">
        <f t="shared" si="44"/>
        <v>5.5987882532969619</v>
      </c>
      <c r="R43" s="12">
        <f t="shared" si="37"/>
        <v>5.1164425134146807</v>
      </c>
      <c r="S43" s="30">
        <f t="shared" si="38"/>
        <v>1.3635349001017137E-2</v>
      </c>
      <c r="T43" s="54">
        <v>4</v>
      </c>
      <c r="U43" s="44">
        <f t="shared" si="45"/>
        <v>4.2644387576729059E-8</v>
      </c>
      <c r="V43" s="44">
        <f t="shared" si="33"/>
        <v>5.5987882532969619</v>
      </c>
      <c r="W43" s="44">
        <v>9.7717289142014246E-2</v>
      </c>
      <c r="X43" s="45">
        <v>0.10013763947321731</v>
      </c>
      <c r="Y43" s="45">
        <f t="shared" si="34"/>
        <v>5.7374641122179879</v>
      </c>
      <c r="Z43" s="45">
        <f t="shared" si="46"/>
        <v>-2.1959976947982796E-7</v>
      </c>
      <c r="AB43" s="30">
        <f t="shared" si="35"/>
        <v>4</v>
      </c>
    </row>
    <row r="44" spans="1:28" ht="18.600000000000001" x14ac:dyDescent="0.3">
      <c r="F44" s="30" t="s">
        <v>83</v>
      </c>
      <c r="G44" s="30">
        <f>C$11*(1-G43/44300)^4.256</f>
        <v>1.0067546873840096</v>
      </c>
      <c r="H44" s="30" t="s">
        <v>84</v>
      </c>
      <c r="K44" s="95">
        <f t="shared" si="36"/>
        <v>57.675513478158159</v>
      </c>
      <c r="L44" s="12">
        <f t="shared" si="39"/>
        <v>0.73032124324018077</v>
      </c>
      <c r="M44" s="11">
        <f t="shared" si="40"/>
        <v>0.74062685007913487</v>
      </c>
      <c r="N44" s="21">
        <f t="shared" si="41"/>
        <v>263319.22395567264</v>
      </c>
      <c r="O44" s="21">
        <f t="shared" si="42"/>
        <v>4565.5289060476625</v>
      </c>
      <c r="P44" s="12">
        <f t="shared" si="43"/>
        <v>4.1633626353784141</v>
      </c>
      <c r="Q44" s="12">
        <f t="shared" si="44"/>
        <v>5.4931330739930635</v>
      </c>
      <c r="R44" s="12">
        <f t="shared" si="37"/>
        <v>5.5210723378083779</v>
      </c>
      <c r="S44" s="30">
        <f>(N44/1000)/(R44*3600)</f>
        <v>1.324819245270218E-2</v>
      </c>
      <c r="T44" s="54">
        <v>5</v>
      </c>
      <c r="U44" s="44">
        <f t="shared" si="45"/>
        <v>-1.1187123891431838E-4</v>
      </c>
      <c r="V44" s="44">
        <f t="shared" si="33"/>
        <v>5.4931330739930635</v>
      </c>
      <c r="W44" s="44">
        <v>9.5873258391376254E-2</v>
      </c>
      <c r="X44" s="45">
        <v>7.2664385941861476E-2</v>
      </c>
      <c r="Y44" s="45">
        <f t="shared" si="34"/>
        <v>4.1633626353784141</v>
      </c>
      <c r="Z44" s="45">
        <f t="shared" si="46"/>
        <v>-8.9560330707172398E-6</v>
      </c>
      <c r="AB44" s="30">
        <f t="shared" si="35"/>
        <v>5</v>
      </c>
    </row>
    <row r="45" spans="1:28" ht="18.600000000000001" x14ac:dyDescent="0.3">
      <c r="F45" s="30" t="s">
        <v>85</v>
      </c>
      <c r="G45" s="30">
        <f>C$4*((G44/C$11)-C$10)/(1-C$10)</f>
        <v>355535.61679209629</v>
      </c>
      <c r="H45" s="30" t="s">
        <v>35</v>
      </c>
      <c r="K45" s="95">
        <f t="shared" si="36"/>
        <v>62.907962130342341</v>
      </c>
      <c r="L45" s="12">
        <f t="shared" si="39"/>
        <v>0.79657758279233271</v>
      </c>
      <c r="M45" s="11">
        <f t="shared" si="40"/>
        <v>0.76960277965361934</v>
      </c>
      <c r="N45" s="21">
        <f t="shared" si="41"/>
        <v>273621.19894906133</v>
      </c>
      <c r="O45" s="21">
        <f t="shared" si="42"/>
        <v>4349.5479694944033</v>
      </c>
      <c r="P45" s="12">
        <f t="shared" si="43"/>
        <v>2.9632191969049186</v>
      </c>
      <c r="Q45" s="12">
        <f t="shared" si="44"/>
        <v>5.231447295648989</v>
      </c>
      <c r="R45" s="12">
        <f t="shared" si="37"/>
        <v>5.7358955522934689</v>
      </c>
      <c r="S45" s="30">
        <f t="shared" si="38"/>
        <v>1.3250919216367342E-2</v>
      </c>
      <c r="T45" s="54">
        <v>6</v>
      </c>
      <c r="U45" s="44">
        <f t="shared" si="45"/>
        <v>-5.1780996727757156E-5</v>
      </c>
      <c r="V45" s="44">
        <f t="shared" si="33"/>
        <v>5.231447295648989</v>
      </c>
      <c r="W45" s="44">
        <v>9.1305979953628075E-2</v>
      </c>
      <c r="X45" s="45">
        <v>5.1717931444292993E-2</v>
      </c>
      <c r="Y45" s="45">
        <f t="shared" si="34"/>
        <v>2.9632191969049186</v>
      </c>
      <c r="Z45" s="45">
        <f t="shared" si="46"/>
        <v>-3.4200561458419543E-6</v>
      </c>
      <c r="AB45" s="30">
        <f t="shared" si="35"/>
        <v>6</v>
      </c>
    </row>
    <row r="46" spans="1:28" ht="18.600000000000001" x14ac:dyDescent="0.3">
      <c r="F46" s="30" t="s">
        <v>86</v>
      </c>
      <c r="G46" s="30">
        <f>G45/G44/C$9^3/C$2^5</f>
        <v>0.21178305007372444</v>
      </c>
      <c r="H46" s="30" t="s">
        <v>7</v>
      </c>
      <c r="K46" s="95">
        <f t="shared" si="36"/>
        <v>68.14041078252653</v>
      </c>
      <c r="L46" s="12">
        <f t="shared" si="39"/>
        <v>0.86283392234448475</v>
      </c>
      <c r="M46" s="11">
        <f t="shared" si="40"/>
        <v>0.79366538160183919</v>
      </c>
      <c r="N46" s="21">
        <f t="shared" si="41"/>
        <v>282176.31097434438</v>
      </c>
      <c r="O46" s="21">
        <f t="shared" si="42"/>
        <v>4141.1008201128097</v>
      </c>
      <c r="P46" s="12">
        <f t="shared" si="43"/>
        <v>2.0288548046068495</v>
      </c>
      <c r="Q46" s="12">
        <f t="shared" si="44"/>
        <v>4.8498765732486238</v>
      </c>
      <c r="R46" s="12">
        <f t="shared" si="37"/>
        <v>5.7609493551499371</v>
      </c>
      <c r="S46" s="30">
        <f t="shared" si="38"/>
        <v>1.3605797199712503E-2</v>
      </c>
      <c r="T46" s="30">
        <v>7</v>
      </c>
      <c r="U46" s="44">
        <f t="shared" si="45"/>
        <v>-2.3327782400883734E-5</v>
      </c>
      <c r="V46" s="44">
        <f t="shared" si="33"/>
        <v>4.8498765732486238</v>
      </c>
      <c r="W46" s="44">
        <v>8.4646314518528429E-2</v>
      </c>
      <c r="X46" s="45">
        <v>3.5410196385295745E-2</v>
      </c>
      <c r="Y46" s="45">
        <f t="shared" si="34"/>
        <v>2.0288548046068495</v>
      </c>
      <c r="Z46" s="45">
        <f t="shared" si="46"/>
        <v>-1.2704540495178662E-6</v>
      </c>
      <c r="AB46" s="30">
        <f t="shared" si="35"/>
        <v>7</v>
      </c>
    </row>
    <row r="47" spans="1:28" x14ac:dyDescent="0.3">
      <c r="F47" s="30" t="s">
        <v>142</v>
      </c>
      <c r="G47" s="30">
        <f>G29-G30</f>
        <v>542.69644778370275</v>
      </c>
      <c r="H47" s="30" t="s">
        <v>0</v>
      </c>
      <c r="K47" s="95">
        <f t="shared" si="36"/>
        <v>73.372859434710705</v>
      </c>
      <c r="L47" s="12">
        <f t="shared" si="39"/>
        <v>0.92909026189663646</v>
      </c>
      <c r="M47" s="11">
        <f t="shared" si="40"/>
        <v>0.81314728213059706</v>
      </c>
      <c r="N47" s="21">
        <f t="shared" si="41"/>
        <v>289102.82049511856</v>
      </c>
      <c r="O47" s="21">
        <f t="shared" si="42"/>
        <v>3940.1874579028859</v>
      </c>
      <c r="P47" s="12">
        <f t="shared" si="43"/>
        <v>1.2882052373830437</v>
      </c>
      <c r="Q47" s="12">
        <f t="shared" si="44"/>
        <v>4.3716760192670483</v>
      </c>
      <c r="R47" s="12">
        <f t="shared" si="37"/>
        <v>5.5929290493859272</v>
      </c>
      <c r="S47" s="30">
        <f t="shared" si="38"/>
        <v>1.4358547787270613E-2</v>
      </c>
      <c r="T47" s="30">
        <v>8</v>
      </c>
      <c r="U47" s="44">
        <f t="shared" si="45"/>
        <v>-9.2052905529271811E-6</v>
      </c>
      <c r="V47" s="44">
        <f t="shared" si="33"/>
        <v>4.3716760192670483</v>
      </c>
      <c r="W47" s="44">
        <v>7.6300140366689057E-2</v>
      </c>
      <c r="X47" s="45">
        <v>2.2483422833769254E-2</v>
      </c>
      <c r="Y47" s="45">
        <f t="shared" si="34"/>
        <v>1.2882052373830437</v>
      </c>
      <c r="Z47" s="45">
        <f t="shared" si="46"/>
        <v>-4.0491931940778159E-7</v>
      </c>
      <c r="AB47" s="30">
        <f t="shared" si="35"/>
        <v>8</v>
      </c>
    </row>
    <row r="48" spans="1:28" x14ac:dyDescent="0.3">
      <c r="F48" s="30" t="s">
        <v>143</v>
      </c>
      <c r="G48" s="30" cm="1">
        <f t="array" ref="G48">(G61-G43)*C$16*MIN(IF(S40:S54&gt;0,S40:S54))</f>
        <v>4.1069396603376758</v>
      </c>
      <c r="H48" s="30" t="s">
        <v>0</v>
      </c>
      <c r="K48" s="95">
        <f t="shared" si="36"/>
        <v>78.605308086894894</v>
      </c>
      <c r="L48" s="12">
        <f t="shared" si="39"/>
        <v>0.9953466014487885</v>
      </c>
      <c r="M48" s="11">
        <f t="shared" si="40"/>
        <v>0.82838110744669491</v>
      </c>
      <c r="N48" s="21">
        <f t="shared" si="41"/>
        <v>294518.98797498044</v>
      </c>
      <c r="O48" s="21">
        <f t="shared" si="42"/>
        <v>3746.8078828646276</v>
      </c>
      <c r="P48" s="12">
        <f t="shared" si="43"/>
        <v>0.69186553822502139</v>
      </c>
      <c r="Q48" s="12">
        <f t="shared" si="44"/>
        <v>3.8120855645073433</v>
      </c>
      <c r="R48" s="12">
        <f t="shared" si="37"/>
        <v>5.2260242354232327</v>
      </c>
      <c r="S48" s="30">
        <f t="shared" si="38"/>
        <v>1.5654506429288426E-2</v>
      </c>
      <c r="T48" s="54">
        <v>9</v>
      </c>
      <c r="U48" s="44">
        <f t="shared" si="45"/>
        <v>-2.4349828890990466E-6</v>
      </c>
      <c r="V48" s="44">
        <f t="shared" si="33"/>
        <v>3.8120855645073433</v>
      </c>
      <c r="W48" s="44">
        <v>6.653344446839983E-2</v>
      </c>
      <c r="X48" s="45">
        <v>1.2075331623109307E-2</v>
      </c>
      <c r="Y48" s="45">
        <f t="shared" si="34"/>
        <v>0.69186553822502139</v>
      </c>
      <c r="Z48" s="45">
        <f t="shared" si="46"/>
        <v>-7.4182480602758005E-8</v>
      </c>
      <c r="AB48" s="30">
        <f t="shared" si="35"/>
        <v>9</v>
      </c>
    </row>
    <row r="49" spans="6:28" ht="15.6" thickBot="1" x14ac:dyDescent="0.35">
      <c r="F49" s="30" t="s">
        <v>151</v>
      </c>
      <c r="G49" s="30">
        <f>(K54-G50)/T53</f>
        <v>5.2324486521841838</v>
      </c>
      <c r="H49" s="30" t="s">
        <v>150</v>
      </c>
      <c r="K49" s="95">
        <f t="shared" si="36"/>
        <v>83.837756739079083</v>
      </c>
      <c r="L49" s="12">
        <f t="shared" si="39"/>
        <v>1.0616029410009404</v>
      </c>
      <c r="M49" s="11">
        <f t="shared" si="40"/>
        <v>0.83969948375693571</v>
      </c>
      <c r="N49" s="21">
        <f t="shared" si="41"/>
        <v>298543.07387752697</v>
      </c>
      <c r="O49" s="21">
        <f t="shared" si="42"/>
        <v>3560.9620949980385</v>
      </c>
      <c r="P49" s="12">
        <f t="shared" si="43"/>
        <v>0.20510274991860311</v>
      </c>
      <c r="Q49" s="12">
        <f t="shared" si="44"/>
        <v>3.1811679021313504</v>
      </c>
      <c r="R49" s="12">
        <f t="shared" si="37"/>
        <v>4.6524364993636276</v>
      </c>
      <c r="S49" s="30">
        <f t="shared" si="38"/>
        <v>1.782477453351369E-2</v>
      </c>
      <c r="T49" s="54">
        <v>10</v>
      </c>
      <c r="U49" s="44">
        <f t="shared" si="45"/>
        <v>-1.5798286767676473E-7</v>
      </c>
      <c r="V49" s="44">
        <f t="shared" si="33"/>
        <v>3.1811679021313504</v>
      </c>
      <c r="W49" s="44">
        <v>5.5521853950952806E-2</v>
      </c>
      <c r="X49" s="45">
        <v>3.5797182909741562E-3</v>
      </c>
      <c r="Y49" s="45">
        <f t="shared" si="34"/>
        <v>0.20510274991860311</v>
      </c>
      <c r="Z49" s="45">
        <f t="shared" si="46"/>
        <v>1.0888470569625497E-8</v>
      </c>
      <c r="AB49" s="30">
        <f t="shared" si="35"/>
        <v>10</v>
      </c>
    </row>
    <row r="50" spans="6:28" x14ac:dyDescent="0.3">
      <c r="G50" s="91">
        <f>SQRT(2*(C$14)*C$12/C$5/C$15/G44)</f>
        <v>36.745718869421424</v>
      </c>
      <c r="K50" s="95">
        <f t="shared" si="36"/>
        <v>89.070205391263258</v>
      </c>
      <c r="L50" s="12">
        <f t="shared" si="39"/>
        <v>1.1278592805530925</v>
      </c>
      <c r="M50" s="11">
        <f t="shared" si="40"/>
        <v>0.84743503726812164</v>
      </c>
      <c r="N50" s="21">
        <f t="shared" si="41"/>
        <v>301293.33866635471</v>
      </c>
      <c r="O50" s="21">
        <f t="shared" si="42"/>
        <v>3382.6500943031174</v>
      </c>
      <c r="P50" s="12">
        <f t="shared" si="43"/>
        <v>-0.19704793451033453</v>
      </c>
      <c r="Q50" s="12">
        <f t="shared" si="44"/>
        <v>2.4855199126969105</v>
      </c>
      <c r="R50" s="12">
        <f t="shared" si="37"/>
        <v>3.8626988072218165</v>
      </c>
      <c r="S50" s="30">
        <f t="shared" si="38"/>
        <v>2.1666870302575303E-2</v>
      </c>
      <c r="T50" s="54">
        <v>11</v>
      </c>
      <c r="U50" s="44">
        <f t="shared" si="45"/>
        <v>-5.0389644457027316E-8</v>
      </c>
      <c r="V50" s="44">
        <f t="shared" si="33"/>
        <v>2.4855199126969105</v>
      </c>
      <c r="W50" s="44">
        <v>4.3380506100443098E-2</v>
      </c>
      <c r="X50" s="45">
        <v>-3.4391352414594981E-3</v>
      </c>
      <c r="Y50" s="45">
        <f t="shared" si="34"/>
        <v>-0.19704793451033453</v>
      </c>
      <c r="Z50" s="45">
        <f t="shared" si="46"/>
        <v>7.8321136243175715E-9</v>
      </c>
      <c r="AB50" s="30">
        <f t="shared" si="35"/>
        <v>11</v>
      </c>
    </row>
    <row r="51" spans="6:28" x14ac:dyDescent="0.3">
      <c r="K51" s="95">
        <f t="shared" si="36"/>
        <v>94.302654043447447</v>
      </c>
      <c r="L51" s="12">
        <f t="shared" si="39"/>
        <v>1.1941156201052443</v>
      </c>
      <c r="M51" s="11">
        <f t="shared" si="40"/>
        <v>0.85192039418705479</v>
      </c>
      <c r="N51" s="21">
        <f t="shared" si="41"/>
        <v>302888.04280506034</v>
      </c>
      <c r="O51" s="21">
        <f t="shared" si="42"/>
        <v>3211.8718807798632</v>
      </c>
      <c r="P51" s="12">
        <f t="shared" si="43"/>
        <v>-0.53288567156271893</v>
      </c>
      <c r="Q51" s="12">
        <f t="shared" si="44"/>
        <v>1.7293359462594429</v>
      </c>
      <c r="R51" s="12">
        <f t="shared" si="37"/>
        <v>2.8458677258766136</v>
      </c>
      <c r="S51" s="30">
        <f t="shared" si="38"/>
        <v>2.9564117362458852E-2</v>
      </c>
      <c r="T51" s="54">
        <v>12</v>
      </c>
      <c r="U51" s="44">
        <f t="shared" si="45"/>
        <v>-5.6160206440836191E-7</v>
      </c>
      <c r="V51" s="44">
        <f t="shared" si="33"/>
        <v>1.7293359462594429</v>
      </c>
      <c r="W51" s="44">
        <v>3.0182606135318993E-2</v>
      </c>
      <c r="X51" s="45">
        <v>-9.3006095054705626E-3</v>
      </c>
      <c r="Y51" s="45">
        <f t="shared" si="34"/>
        <v>-0.53288567156271893</v>
      </c>
      <c r="Z51" s="45">
        <f t="shared" si="46"/>
        <v>-1.0848793863260653E-8</v>
      </c>
      <c r="AB51" s="30">
        <f t="shared" si="35"/>
        <v>12</v>
      </c>
    </row>
    <row r="52" spans="6:28" x14ac:dyDescent="0.3">
      <c r="K52" s="95">
        <f t="shared" si="36"/>
        <v>99.535102695631622</v>
      </c>
      <c r="L52" s="12">
        <f t="shared" si="39"/>
        <v>1.2603719596573961</v>
      </c>
      <c r="M52" s="11">
        <f t="shared" si="40"/>
        <v>0.85348818072053767</v>
      </c>
      <c r="N52" s="21">
        <f t="shared" si="41"/>
        <v>303445.44675724051</v>
      </c>
      <c r="O52" s="21">
        <f t="shared" si="42"/>
        <v>3048.6274544282765</v>
      </c>
      <c r="P52" s="12">
        <f t="shared" si="43"/>
        <v>-0.81606011086111363</v>
      </c>
      <c r="Q52" s="12">
        <f t="shared" si="44"/>
        <v>0.91508451199884777</v>
      </c>
      <c r="R52" s="12">
        <f t="shared" si="37"/>
        <v>1.5896311988522116</v>
      </c>
      <c r="S52" s="30">
        <f t="shared" si="38"/>
        <v>5.3025130569828327E-2</v>
      </c>
      <c r="T52" s="30">
        <v>13</v>
      </c>
      <c r="U52" s="44">
        <f t="shared" si="45"/>
        <v>-4.6308923629112542E-7</v>
      </c>
      <c r="V52" s="44">
        <f t="shared" si="33"/>
        <v>0.91508451199884777</v>
      </c>
      <c r="W52" s="44">
        <v>1.597123766838545E-2</v>
      </c>
      <c r="X52" s="45">
        <v>-1.424293582871637E-2</v>
      </c>
      <c r="Y52" s="45">
        <f t="shared" si="34"/>
        <v>-0.81606011086111363</v>
      </c>
      <c r="Z52" s="45">
        <f t="shared" si="46"/>
        <v>-9.8734176390280481E-9</v>
      </c>
      <c r="AB52" s="30">
        <f t="shared" si="35"/>
        <v>13</v>
      </c>
    </row>
    <row r="53" spans="6:28" x14ac:dyDescent="0.3">
      <c r="K53" s="95">
        <f t="shared" si="36"/>
        <v>104.76755134781581</v>
      </c>
      <c r="L53" s="12">
        <f t="shared" si="39"/>
        <v>1.3266282992095482</v>
      </c>
      <c r="M53" s="11">
        <f t="shared" si="40"/>
        <v>0.85247102307537315</v>
      </c>
      <c r="N53" s="21">
        <f t="shared" si="41"/>
        <v>303083.81098649214</v>
      </c>
      <c r="O53" s="21">
        <f t="shared" si="42"/>
        <v>2892.916815248358</v>
      </c>
      <c r="P53" s="12">
        <f t="shared" si="43"/>
        <v>-1.0569133949369527</v>
      </c>
      <c r="Q53" s="12">
        <f t="shared" si="44"/>
        <v>4.3946548499698361E-2</v>
      </c>
      <c r="R53" s="12">
        <f t="shared" si="37"/>
        <v>8.0357957674795824E-2</v>
      </c>
      <c r="S53" s="30">
        <f t="shared" si="38"/>
        <v>1.0476865009058574</v>
      </c>
      <c r="T53" s="30">
        <v>14</v>
      </c>
      <c r="U53" s="44">
        <f t="shared" si="45"/>
        <v>-4.321918822824955E-9</v>
      </c>
      <c r="V53" s="44">
        <f t="shared" si="33"/>
        <v>4.3946548499698361E-2</v>
      </c>
      <c r="W53" s="44">
        <v>7.6701196620711069E-4</v>
      </c>
      <c r="X53" s="45">
        <v>-1.844661865008099E-2</v>
      </c>
      <c r="Y53" s="45">
        <f t="shared" si="34"/>
        <v>-1.0569133949369527</v>
      </c>
      <c r="Z53" s="45">
        <f t="shared" si="46"/>
        <v>3.3860558801279694E-10</v>
      </c>
      <c r="AB53" s="30">
        <f t="shared" si="35"/>
        <v>14</v>
      </c>
    </row>
    <row r="54" spans="6:28" x14ac:dyDescent="0.3">
      <c r="K54" s="95">
        <f t="shared" ref="K54" si="47">K36</f>
        <v>110</v>
      </c>
      <c r="L54" s="12">
        <f t="shared" si="39"/>
        <v>1.3928846387617</v>
      </c>
      <c r="M54" s="11">
        <f t="shared" si="40"/>
        <v>0.84920154745836318</v>
      </c>
      <c r="N54" s="21">
        <f t="shared" si="41"/>
        <v>301921.39595641178</v>
      </c>
      <c r="O54" s="21">
        <f t="shared" si="42"/>
        <v>2744.739963240107</v>
      </c>
      <c r="P54" s="12">
        <f t="shared" si="43"/>
        <v>-1.2633928489605339</v>
      </c>
      <c r="Q54" s="12">
        <f t="shared" si="44"/>
        <v>-0.88389768863700702</v>
      </c>
      <c r="R54" s="12">
        <f t="shared" si="37"/>
        <v>-1.696894431733166</v>
      </c>
      <c r="S54" s="30">
        <f t="shared" si="38"/>
        <v>-4.9423849158769927E-2</v>
      </c>
      <c r="T54" s="54">
        <v>15</v>
      </c>
      <c r="U54" s="44">
        <f t="shared" si="45"/>
        <v>9.1558443091344088E-4</v>
      </c>
      <c r="V54" s="44">
        <f t="shared" si="33"/>
        <v>-0.88389768863700702</v>
      </c>
      <c r="W54" s="44">
        <v>-1.5426924917483443E-2</v>
      </c>
      <c r="X54" s="45">
        <v>-2.2050364960512735E-2</v>
      </c>
      <c r="Y54" s="45">
        <f t="shared" si="34"/>
        <v>-1.2633928489605339</v>
      </c>
      <c r="Z54" s="45">
        <f t="shared" si="46"/>
        <v>-2.0744753209100963E-4</v>
      </c>
      <c r="AB54" s="30">
        <f t="shared" si="35"/>
        <v>15</v>
      </c>
    </row>
    <row r="55" spans="6:28" ht="15.6" thickBot="1" x14ac:dyDescent="0.35"/>
    <row r="56" spans="6:28" ht="16.2" thickBot="1" x14ac:dyDescent="0.35">
      <c r="K56" s="132" t="s">
        <v>104</v>
      </c>
      <c r="L56" s="133"/>
      <c r="M56" s="133"/>
      <c r="N56" s="133"/>
      <c r="O56" s="133"/>
      <c r="P56" s="133"/>
      <c r="Q56" s="133"/>
      <c r="R56" s="134"/>
    </row>
    <row r="57" spans="6:28" ht="18.600000000000001" thickBot="1" x14ac:dyDescent="0.35">
      <c r="F57" s="46"/>
      <c r="K57" s="96" t="s">
        <v>67</v>
      </c>
      <c r="L57" s="96" t="s">
        <v>15</v>
      </c>
      <c r="M57" s="96" t="s">
        <v>74</v>
      </c>
      <c r="N57" s="96" t="s">
        <v>73</v>
      </c>
      <c r="O57" s="96" t="s">
        <v>68</v>
      </c>
      <c r="P57" s="96" t="s">
        <v>70</v>
      </c>
      <c r="Q57" s="96" t="s">
        <v>87</v>
      </c>
      <c r="R57" s="96" t="s">
        <v>69</v>
      </c>
      <c r="S57" s="30" t="s">
        <v>147</v>
      </c>
      <c r="U57" s="58" t="s">
        <v>98</v>
      </c>
      <c r="V57" s="56" t="s">
        <v>99</v>
      </c>
      <c r="W57" s="56" t="s">
        <v>101</v>
      </c>
      <c r="X57" s="55" t="s">
        <v>101</v>
      </c>
      <c r="Y57" s="55" t="s">
        <v>99</v>
      </c>
      <c r="Z57" s="57" t="s">
        <v>100</v>
      </c>
    </row>
    <row r="58" spans="6:28" x14ac:dyDescent="0.3">
      <c r="F58" s="46"/>
      <c r="K58" s="109">
        <f>SQRT(2*(C$14+G65)*C$12/C$5/C$15/G62)</f>
        <v>42.775014365807877</v>
      </c>
      <c r="L58" s="92">
        <f>K58/C$9/C$2</f>
        <v>0.54164236757222584</v>
      </c>
      <c r="M58" s="93">
        <f t="shared" ref="M58:M72" si="48">0.1962*L58^3-1.039*L58^2+1.6751*L58</f>
        <v>0.63366417787027296</v>
      </c>
      <c r="N58" s="94">
        <f>G$63*M58</f>
        <v>199748.78154082398</v>
      </c>
      <c r="O58" s="94">
        <f>N58/K58</f>
        <v>4669.7536985631677</v>
      </c>
      <c r="P58" s="92">
        <f>Y58</f>
        <v>11.765572690195336</v>
      </c>
      <c r="Q58" s="92">
        <f t="shared" ref="Q58" si="49">V58</f>
        <v>3.5925444560525484</v>
      </c>
      <c r="R58" s="92">
        <f>K58*SIN(RADIANS(Q58))</f>
        <v>2.6803102885406731</v>
      </c>
      <c r="S58" s="30">
        <f>(N58/1000)/(R58*3600)</f>
        <v>2.0701249734947209E-2</v>
      </c>
      <c r="T58" s="30">
        <v>1</v>
      </c>
      <c r="U58" s="44">
        <f>0.5*G$62*C$5*C$3*(X58-C$6)*K58^2+N58/K58*SIN(X58-C$1)-C$12*(C$14+G$65*(K$72-K58)/(K$72-K$58))*COS(W58)</f>
        <v>-1.680018613114953E-8</v>
      </c>
      <c r="V58" s="44">
        <f t="shared" ref="V58:V72" si="50">DEGREES(W58)</f>
        <v>3.5925444560525484</v>
      </c>
      <c r="W58" s="44">
        <v>6.2701729282385696E-2</v>
      </c>
      <c r="X58" s="45">
        <v>0.20534798182663538</v>
      </c>
      <c r="Y58" s="45">
        <f t="shared" ref="Y58:Y72" si="51">DEGREES(X58)</f>
        <v>11.765572690195336</v>
      </c>
      <c r="Z58" s="45">
        <f>-0.5*G$62*C$5*K58^2*(C$8+(C$3^2)*(X58-C$6)^2/(PI()*C$7))+N58/K58*COS(X58-C$1)-C$12*(C$14+G$65*(K$72-K58)/(K$72-K$58))*SIN(W58)</f>
        <v>-7.9808160080574453E-11</v>
      </c>
      <c r="AB58" s="30">
        <f t="shared" ref="AB58:AB72" si="52">T58</f>
        <v>1</v>
      </c>
    </row>
    <row r="59" spans="6:28" x14ac:dyDescent="0.3">
      <c r="F59" s="46"/>
      <c r="K59" s="95">
        <v>45</v>
      </c>
      <c r="L59" s="12">
        <f>K59/C$9/C$2</f>
        <v>0.56981644312978641</v>
      </c>
      <c r="M59" s="11">
        <f t="shared" si="48"/>
        <v>0.65344557984560914</v>
      </c>
      <c r="N59" s="21">
        <f>G$63*M59</f>
        <v>205984.43613474924</v>
      </c>
      <c r="O59" s="21">
        <f>N59/K59</f>
        <v>4577.4319141055385</v>
      </c>
      <c r="P59" s="12">
        <f t="shared" ref="P59:P72" si="53">Y59</f>
        <v>10.312911972258082</v>
      </c>
      <c r="Q59" s="12">
        <f t="shared" ref="Q59:Q72" si="54">V59</f>
        <v>3.8722212852154132</v>
      </c>
      <c r="R59" s="12">
        <f>K59*SIN(RADIANS(Q59))</f>
        <v>3.0389208923954412</v>
      </c>
      <c r="S59" s="30">
        <f t="shared" ref="S59:S72" si="55">(N59/1000)/(R59*3600)</f>
        <v>1.8828360774214497E-2</v>
      </c>
      <c r="T59" s="30">
        <v>2</v>
      </c>
      <c r="U59" s="44">
        <f>0.5*G$62*C$5*C$3*(X59-C$6)*K59^2+N59/K59*SIN(X59-C$1)-C$12*(C$14+G$65*(K$72-K59)/(K$72-K$58))*COS(W59)</f>
        <v>-1.6484128827869426E-3</v>
      </c>
      <c r="V59" s="44">
        <f t="shared" si="50"/>
        <v>3.8722212852154132</v>
      </c>
      <c r="W59" s="44">
        <v>6.7583010792815382E-2</v>
      </c>
      <c r="X59" s="45">
        <v>0.17999426938424562</v>
      </c>
      <c r="Y59" s="45">
        <f t="shared" si="51"/>
        <v>10.312911972258082</v>
      </c>
      <c r="Z59" s="45">
        <f>-0.5*G$62*C$5*K59^2*(C$8+(C$3^2)*(X59-C$6)^2/(PI()*C$7))+N59/K59*COS(X59-C$1)-C$12*(C$14+G$65*(K$72-K59)/(K$72-K$58))*SIN(W59)</f>
        <v>-2.2787158104620175E-4</v>
      </c>
      <c r="AB59" s="30">
        <f t="shared" si="52"/>
        <v>2</v>
      </c>
    </row>
    <row r="60" spans="6:28" x14ac:dyDescent="0.3">
      <c r="F60" s="46"/>
      <c r="K60" s="95">
        <f t="shared" ref="K60:K71" si="56">G$68+T41*G$67</f>
        <v>48.141377091306531</v>
      </c>
      <c r="L60" s="12">
        <f t="shared" ref="L60:L72" si="57">K60/C$9/C$2</f>
        <v>0.60959440581195712</v>
      </c>
      <c r="M60" s="11">
        <f t="shared" si="48"/>
        <v>0.67947854013423381</v>
      </c>
      <c r="N60" s="21">
        <f t="shared" ref="N60:N72" si="58">G$63*M60</f>
        <v>214190.75784135205</v>
      </c>
      <c r="O60" s="21">
        <f t="shared" ref="O60:O72" si="59">N60/K60</f>
        <v>4449.2029680644737</v>
      </c>
      <c r="P60" s="12">
        <f t="shared" si="53"/>
        <v>8.5851175840417255</v>
      </c>
      <c r="Q60" s="12">
        <f t="shared" si="54"/>
        <v>4.1463735406461746</v>
      </c>
      <c r="R60" s="12">
        <f t="shared" ref="R60:R72" si="60">K60*SIN(RADIANS(Q60))</f>
        <v>3.4808488121982499</v>
      </c>
      <c r="S60" s="30">
        <f t="shared" si="55"/>
        <v>1.7092794299254459E-2</v>
      </c>
      <c r="T60" s="54">
        <v>3</v>
      </c>
      <c r="U60" s="44">
        <f t="shared" ref="U60:U72" si="61">0.5*G$62*C$5*C$3*(X60-C$6)*K60^2+N60/K60*SIN(X60-C$1)-C$12*(C$14+G$65*(K$72-K60)/(K$72-K$58))*COS(W60)</f>
        <v>2.8684735298156738E-7</v>
      </c>
      <c r="V60" s="44">
        <f t="shared" si="50"/>
        <v>4.1463735406461746</v>
      </c>
      <c r="W60" s="44">
        <v>7.236787030185067E-2</v>
      </c>
      <c r="X60" s="45">
        <v>0.14983856851238911</v>
      </c>
      <c r="Y60" s="45">
        <f t="shared" si="51"/>
        <v>8.5851175840417255</v>
      </c>
      <c r="Z60" s="45">
        <f t="shared" ref="Z60:Z72" si="62">-0.5*G$62*C$5*K60^2*(C$8+(C$3^2)*(X60-C$6)^2/(PI()*C$7))+N60/K60*COS(X60-C$1)-C$12*(C$14+G$65*(K$72-K60)/(K$72-K$58))*SIN(W60)</f>
        <v>-1.1324573279125616E-6</v>
      </c>
      <c r="AB60" s="30">
        <f t="shared" si="52"/>
        <v>3</v>
      </c>
    </row>
    <row r="61" spans="6:28" x14ac:dyDescent="0.3">
      <c r="F61" s="29" t="s">
        <v>6</v>
      </c>
      <c r="G61" s="29">
        <v>3000</v>
      </c>
      <c r="H61" s="29" t="s">
        <v>3</v>
      </c>
      <c r="I61" s="29"/>
      <c r="K61" s="95">
        <f t="shared" si="56"/>
        <v>52.879595667030983</v>
      </c>
      <c r="L61" s="12">
        <f t="shared" si="57"/>
        <v>0.66959251371397477</v>
      </c>
      <c r="M61" s="11">
        <f t="shared" si="48"/>
        <v>0.71469657306511292</v>
      </c>
      <c r="N61" s="21">
        <f t="shared" si="58"/>
        <v>225292.47293254014</v>
      </c>
      <c r="O61" s="21">
        <f t="shared" si="59"/>
        <v>4260.4802493413163</v>
      </c>
      <c r="P61" s="12">
        <f t="shared" si="53"/>
        <v>6.527162302219395</v>
      </c>
      <c r="Q61" s="12">
        <f t="shared" si="54"/>
        <v>4.3524834452468824</v>
      </c>
      <c r="R61" s="12">
        <f t="shared" si="60"/>
        <v>4.0131449224826357</v>
      </c>
      <c r="S61" s="30">
        <f t="shared" si="55"/>
        <v>1.5594064926652777E-2</v>
      </c>
      <c r="T61" s="54">
        <v>4</v>
      </c>
      <c r="U61" s="44">
        <f t="shared" si="61"/>
        <v>1.2938471627421677E-7</v>
      </c>
      <c r="V61" s="44">
        <f t="shared" si="50"/>
        <v>4.3524834452468824</v>
      </c>
      <c r="W61" s="44">
        <v>7.5965166758104427E-2</v>
      </c>
      <c r="X61" s="45">
        <v>0.11392047298578162</v>
      </c>
      <c r="Y61" s="45">
        <f t="shared" si="51"/>
        <v>6.527162302219395</v>
      </c>
      <c r="Z61" s="45">
        <f t="shared" si="62"/>
        <v>-6.1280616137082689E-7</v>
      </c>
      <c r="AB61" s="30">
        <f t="shared" si="52"/>
        <v>4</v>
      </c>
    </row>
    <row r="62" spans="6:28" ht="18.600000000000001" x14ac:dyDescent="0.3">
      <c r="F62" s="30" t="s">
        <v>83</v>
      </c>
      <c r="G62" s="30">
        <f>C$11*(1-G61/44300)^4.256</f>
        <v>0.90929012920776553</v>
      </c>
      <c r="H62" s="30" t="s">
        <v>84</v>
      </c>
      <c r="K62" s="95">
        <f t="shared" si="56"/>
        <v>57.617814242755443</v>
      </c>
      <c r="L62" s="12">
        <f>K62/C$9/C$2</f>
        <v>0.72959062161599231</v>
      </c>
      <c r="M62" s="11">
        <f>0.1962*L62^3-1.039*L62^2+1.6751*L62</f>
        <v>0.74527177833839053</v>
      </c>
      <c r="N62" s="21">
        <f>G$63*M62</f>
        <v>234930.63808687226</v>
      </c>
      <c r="O62" s="21">
        <f>N62/K62</f>
        <v>4077.3958744263055</v>
      </c>
      <c r="P62" s="12">
        <f t="shared" si="53"/>
        <v>4.9502385076633253</v>
      </c>
      <c r="Q62" s="12">
        <f t="shared" si="54"/>
        <v>4.3717556150608026</v>
      </c>
      <c r="R62" s="12">
        <f t="shared" si="60"/>
        <v>4.3920627522466411</v>
      </c>
      <c r="S62" s="30">
        <f>(N62/1000)/(R62*3600)</f>
        <v>1.4858282829931223E-2</v>
      </c>
      <c r="T62" s="54">
        <v>5</v>
      </c>
      <c r="U62" s="44">
        <f t="shared" si="61"/>
        <v>3.5674020182341337E-8</v>
      </c>
      <c r="V62" s="44">
        <f t="shared" si="50"/>
        <v>4.3717556150608026</v>
      </c>
      <c r="W62" s="44">
        <v>7.6301529575360807E-2</v>
      </c>
      <c r="X62" s="45">
        <v>8.6397960717735575E-2</v>
      </c>
      <c r="Y62" s="45">
        <f t="shared" si="51"/>
        <v>4.9502385076633253</v>
      </c>
      <c r="Z62" s="45">
        <f t="shared" si="62"/>
        <v>-2.015103746089153E-7</v>
      </c>
      <c r="AB62" s="30">
        <f t="shared" si="52"/>
        <v>5</v>
      </c>
    </row>
    <row r="63" spans="6:28" ht="18.600000000000001" x14ac:dyDescent="0.3">
      <c r="F63" s="30" t="s">
        <v>85</v>
      </c>
      <c r="G63" s="30">
        <f>C$4*((G62/C$11)-C$10)/(1-C$10)</f>
        <v>315228.1421559506</v>
      </c>
      <c r="H63" s="30" t="s">
        <v>35</v>
      </c>
      <c r="K63" s="95">
        <f t="shared" si="56"/>
        <v>62.356032818479896</v>
      </c>
      <c r="L63" s="12">
        <f t="shared" si="57"/>
        <v>0.78958872951800985</v>
      </c>
      <c r="M63" s="11">
        <f t="shared" si="48"/>
        <v>0.7714584070991457</v>
      </c>
      <c r="N63" s="21">
        <f t="shared" si="58"/>
        <v>243185.4004204527</v>
      </c>
      <c r="O63" s="21">
        <f t="shared" si="59"/>
        <v>3899.9498433194426</v>
      </c>
      <c r="P63" s="12">
        <f t="shared" si="53"/>
        <v>3.7176702914921762</v>
      </c>
      <c r="Q63" s="12">
        <f t="shared" si="54"/>
        <v>4.2512038195484436</v>
      </c>
      <c r="R63" s="12">
        <f t="shared" si="60"/>
        <v>4.6224179816746673</v>
      </c>
      <c r="S63" s="30">
        <f t="shared" si="55"/>
        <v>1.461388831226358E-2</v>
      </c>
      <c r="T63" s="54">
        <v>6</v>
      </c>
      <c r="U63" s="44">
        <f t="shared" si="61"/>
        <v>-1.0775700502563268E-4</v>
      </c>
      <c r="V63" s="44">
        <f t="shared" si="50"/>
        <v>4.2512038195484436</v>
      </c>
      <c r="W63" s="44">
        <v>7.4197503824479219E-2</v>
      </c>
      <c r="X63" s="45">
        <v>6.4885587090115812E-2</v>
      </c>
      <c r="Y63" s="45">
        <f t="shared" si="51"/>
        <v>3.7176702914921762</v>
      </c>
      <c r="Z63" s="45">
        <f t="shared" si="62"/>
        <v>-8.0817676462174859E-6</v>
      </c>
      <c r="AB63" s="30">
        <f t="shared" si="52"/>
        <v>6</v>
      </c>
    </row>
    <row r="64" spans="6:28" ht="18.600000000000001" x14ac:dyDescent="0.3">
      <c r="F64" s="30" t="s">
        <v>86</v>
      </c>
      <c r="G64" s="30">
        <f>G63/G62/C$9^3/C$2^5</f>
        <v>0.20789988583801147</v>
      </c>
      <c r="H64" s="30" t="s">
        <v>7</v>
      </c>
      <c r="K64" s="95">
        <f t="shared" si="56"/>
        <v>67.094251394204349</v>
      </c>
      <c r="L64" s="12">
        <f t="shared" si="57"/>
        <v>0.8495868374200275</v>
      </c>
      <c r="M64" s="11">
        <f t="shared" si="48"/>
        <v>0.79351071049245758</v>
      </c>
      <c r="N64" s="21">
        <f t="shared" si="58"/>
        <v>250136.90704938577</v>
      </c>
      <c r="O64" s="21">
        <f t="shared" si="59"/>
        <v>3728.1421560207286</v>
      </c>
      <c r="P64" s="12">
        <f t="shared" si="53"/>
        <v>2.7375445831369993</v>
      </c>
      <c r="Q64" s="12">
        <f t="shared" si="54"/>
        <v>4.0216615694060263</v>
      </c>
      <c r="R64" s="12">
        <f t="shared" si="60"/>
        <v>4.7055622958957031</v>
      </c>
      <c r="S64" s="30">
        <f t="shared" si="55"/>
        <v>1.4766030032370224E-2</v>
      </c>
      <c r="T64" s="30">
        <v>7</v>
      </c>
      <c r="U64" s="44">
        <f>0.5*G$62*C$5*C$3*(X64-C$6)*K64^2+N64/K64*SIN(X64-C$1)-C$12*(C$14+G$65*(K$72-K64)/(K$72-K$58))*COS(W64)</f>
        <v>-5.1152423111489043E-5</v>
      </c>
      <c r="V64" s="44">
        <f t="shared" si="50"/>
        <v>4.0216615694060263</v>
      </c>
      <c r="W64" s="44">
        <v>7.0191235787057618E-2</v>
      </c>
      <c r="X64" s="45">
        <v>4.7779166395876274E-2</v>
      </c>
      <c r="Y64" s="45">
        <f t="shared" si="51"/>
        <v>2.7375445831369993</v>
      </c>
      <c r="Z64" s="45">
        <f>-0.5*G$62*C$5*K64^2*(C$8+(C$3^2)*(X64-C$6)^2/(PI()*C$7))+N64/K64*COS(X64-C$1)-C$12*(C$14+G$65*(K$72-K64)/(K$72-K$58))*SIN(W64)</f>
        <v>-3.242179218432284E-6</v>
      </c>
      <c r="AB64" s="30">
        <f t="shared" si="52"/>
        <v>7</v>
      </c>
    </row>
    <row r="65" spans="6:28" x14ac:dyDescent="0.3">
      <c r="F65" s="30" t="s">
        <v>142</v>
      </c>
      <c r="G65" s="30">
        <f>G47-G48</f>
        <v>538.58950812336502</v>
      </c>
      <c r="H65" s="30" t="s">
        <v>0</v>
      </c>
      <c r="K65" s="95">
        <f t="shared" si="56"/>
        <v>71.832469969928809</v>
      </c>
      <c r="L65" s="12">
        <f t="shared" si="57"/>
        <v>0.90958494532204515</v>
      </c>
      <c r="M65" s="11">
        <f t="shared" si="48"/>
        <v>0.81168293966340521</v>
      </c>
      <c r="N65" s="21">
        <f t="shared" si="58"/>
        <v>255865.30508977576</v>
      </c>
      <c r="O65" s="21">
        <f t="shared" si="59"/>
        <v>3561.9728125301626</v>
      </c>
      <c r="P65" s="12">
        <f t="shared" si="53"/>
        <v>1.9463715794856722</v>
      </c>
      <c r="Q65" s="12">
        <f t="shared" si="54"/>
        <v>3.7038168610240225</v>
      </c>
      <c r="R65" s="12">
        <f t="shared" si="60"/>
        <v>4.6402903588045294</v>
      </c>
      <c r="S65" s="30">
        <f t="shared" si="55"/>
        <v>1.5316648391067847E-2</v>
      </c>
      <c r="T65" s="30">
        <v>8</v>
      </c>
      <c r="U65" s="44">
        <f t="shared" si="61"/>
        <v>-2.3315584257943556E-5</v>
      </c>
      <c r="V65" s="44">
        <f t="shared" si="50"/>
        <v>3.7038168610240225</v>
      </c>
      <c r="W65" s="44">
        <v>6.4643799115750425E-2</v>
      </c>
      <c r="X65" s="45">
        <v>3.3970592529267499E-2</v>
      </c>
      <c r="Y65" s="45">
        <f t="shared" si="51"/>
        <v>1.9463715794856722</v>
      </c>
      <c r="Z65" s="45">
        <f t="shared" si="62"/>
        <v>-1.2456728200049838E-6</v>
      </c>
      <c r="AB65" s="30">
        <f t="shared" si="52"/>
        <v>8</v>
      </c>
    </row>
    <row r="66" spans="6:28" x14ac:dyDescent="0.3">
      <c r="F66" s="30" t="s">
        <v>143</v>
      </c>
      <c r="G66" s="30" cm="1">
        <f t="array" ref="G66">(G79-G61)*C$16*MIN(IF(S58:S72&gt;0,S58:S72))</f>
        <v>4.5303053768017101</v>
      </c>
      <c r="H66" s="30" t="s">
        <v>0</v>
      </c>
      <c r="K66" s="95">
        <f t="shared" si="56"/>
        <v>76.570688545653269</v>
      </c>
      <c r="L66" s="12">
        <f t="shared" si="57"/>
        <v>0.9695830532240628</v>
      </c>
      <c r="M66" s="11">
        <f t="shared" si="48"/>
        <v>0.82622934575706686</v>
      </c>
      <c r="N66" s="21">
        <f t="shared" si="58"/>
        <v>260450.74165772673</v>
      </c>
      <c r="O66" s="21">
        <f t="shared" si="59"/>
        <v>3401.4418128477423</v>
      </c>
      <c r="P66" s="12">
        <f t="shared" si="53"/>
        <v>1.2992417908469309</v>
      </c>
      <c r="Q66" s="12">
        <f t="shared" si="54"/>
        <v>3.3117785784640206</v>
      </c>
      <c r="R66" s="12">
        <f t="shared" si="60"/>
        <v>4.4234320024272087</v>
      </c>
      <c r="S66" s="30">
        <f t="shared" si="55"/>
        <v>1.6355496862743502E-2</v>
      </c>
      <c r="T66" s="54">
        <v>9</v>
      </c>
      <c r="U66" s="44">
        <f t="shared" si="61"/>
        <v>-9.4615425041411072E-6</v>
      </c>
      <c r="V66" s="44">
        <f t="shared" si="50"/>
        <v>3.3117785784640206</v>
      </c>
      <c r="W66" s="44">
        <v>5.7801440291214527E-2</v>
      </c>
      <c r="X66" s="45">
        <v>2.267604702978647E-2</v>
      </c>
      <c r="Y66" s="45">
        <f t="shared" si="51"/>
        <v>1.2992417908469309</v>
      </c>
      <c r="Z66" s="45">
        <f t="shared" si="62"/>
        <v>-4.2023316382255871E-7</v>
      </c>
      <c r="AB66" s="30">
        <f t="shared" si="52"/>
        <v>9</v>
      </c>
    </row>
    <row r="67" spans="6:28" ht="15.6" thickBot="1" x14ac:dyDescent="0.35">
      <c r="F67" s="30" t="s">
        <v>151</v>
      </c>
      <c r="G67" s="30">
        <f>(K72-G68)/T71</f>
        <v>4.7382185757244555</v>
      </c>
      <c r="H67" s="30" t="s">
        <v>150</v>
      </c>
      <c r="K67" s="95">
        <f t="shared" si="56"/>
        <v>81.308907121377715</v>
      </c>
      <c r="L67" s="12">
        <f t="shared" si="57"/>
        <v>1.0295811611260803</v>
      </c>
      <c r="M67" s="11">
        <f t="shared" si="48"/>
        <v>0.83740417991852223</v>
      </c>
      <c r="N67" s="21">
        <f t="shared" si="58"/>
        <v>263973.36386934313</v>
      </c>
      <c r="O67" s="21">
        <f t="shared" si="59"/>
        <v>3246.5491569734718</v>
      </c>
      <c r="P67" s="12">
        <f t="shared" si="53"/>
        <v>0.76371174995525892</v>
      </c>
      <c r="Q67" s="12">
        <f t="shared" si="54"/>
        <v>2.8552551693875778</v>
      </c>
      <c r="R67" s="12">
        <f t="shared" si="60"/>
        <v>4.0502389823096383</v>
      </c>
      <c r="S67" s="30">
        <f t="shared" si="55"/>
        <v>1.8104100703296513E-2</v>
      </c>
      <c r="T67" s="54">
        <v>10</v>
      </c>
      <c r="U67" s="44">
        <f t="shared" si="61"/>
        <v>-2.8870781534351408E-6</v>
      </c>
      <c r="V67" s="44">
        <f t="shared" si="50"/>
        <v>2.8552551693875778</v>
      </c>
      <c r="W67" s="44">
        <v>4.9833603690401636E-2</v>
      </c>
      <c r="X67" s="45">
        <v>1.3329284572886924E-2</v>
      </c>
      <c r="Y67" s="45">
        <f t="shared" si="51"/>
        <v>0.76371174995525892</v>
      </c>
      <c r="Z67" s="45">
        <f t="shared" si="62"/>
        <v>-9.743189366417937E-8</v>
      </c>
      <c r="AB67" s="30">
        <f t="shared" si="52"/>
        <v>10</v>
      </c>
    </row>
    <row r="68" spans="6:28" x14ac:dyDescent="0.3">
      <c r="G68" s="91">
        <f>SQRT(2*(C$14)*C$12/C$5/C$15/G62)</f>
        <v>38.664939939857618</v>
      </c>
      <c r="K68" s="95">
        <f t="shared" si="56"/>
        <v>86.047125697102175</v>
      </c>
      <c r="L68" s="12">
        <f t="shared" si="57"/>
        <v>1.0895792690280977</v>
      </c>
      <c r="M68" s="11">
        <f t="shared" si="48"/>
        <v>0.84546169329284937</v>
      </c>
      <c r="N68" s="21">
        <f t="shared" si="58"/>
        <v>266513.31884072901</v>
      </c>
      <c r="O68" s="21">
        <f t="shared" si="59"/>
        <v>3097.2948449073465</v>
      </c>
      <c r="P68" s="12">
        <f t="shared" si="53"/>
        <v>0.31589907600314349</v>
      </c>
      <c r="Q68" s="12">
        <f t="shared" si="54"/>
        <v>2.3409246373510215</v>
      </c>
      <c r="R68" s="12">
        <f t="shared" si="60"/>
        <v>3.5146358490441894</v>
      </c>
      <c r="S68" s="30">
        <f t="shared" si="55"/>
        <v>2.1063768946615349E-2</v>
      </c>
      <c r="T68" s="54">
        <v>11</v>
      </c>
      <c r="U68" s="44">
        <f t="shared" si="61"/>
        <v>-1.9661820260807872E-7</v>
      </c>
      <c r="V68" s="44">
        <f t="shared" si="50"/>
        <v>2.3409246373510215</v>
      </c>
      <c r="W68" s="44">
        <v>4.0856842462829557E-2</v>
      </c>
      <c r="X68" s="45">
        <v>5.5134789802626632E-3</v>
      </c>
      <c r="Y68" s="45">
        <f t="shared" si="51"/>
        <v>0.31589907600314349</v>
      </c>
      <c r="Z68" s="45">
        <f t="shared" si="62"/>
        <v>7.5108346209162846E-9</v>
      </c>
      <c r="AB68" s="30">
        <f t="shared" si="52"/>
        <v>11</v>
      </c>
    </row>
    <row r="69" spans="6:28" x14ac:dyDescent="0.3">
      <c r="K69" s="95">
        <f t="shared" si="56"/>
        <v>90.78534427282662</v>
      </c>
      <c r="L69" s="12">
        <f t="shared" si="57"/>
        <v>1.1495773769301152</v>
      </c>
      <c r="M69" s="11">
        <f t="shared" si="48"/>
        <v>0.85065613702512843</v>
      </c>
      <c r="N69" s="21">
        <f t="shared" si="58"/>
        <v>268150.75368798897</v>
      </c>
      <c r="O69" s="21">
        <f t="shared" si="59"/>
        <v>2953.6788766493714</v>
      </c>
      <c r="P69" s="12">
        <f t="shared" si="53"/>
        <v>-6.2074904399669915E-2</v>
      </c>
      <c r="Q69" s="12">
        <f t="shared" si="54"/>
        <v>1.7733180519743363</v>
      </c>
      <c r="R69" s="12">
        <f t="shared" si="60"/>
        <v>2.8093794993230321</v>
      </c>
      <c r="S69" s="30">
        <f t="shared" si="55"/>
        <v>2.6513442020501172E-2</v>
      </c>
      <c r="T69" s="54">
        <v>12</v>
      </c>
      <c r="U69" s="44">
        <f t="shared" si="61"/>
        <v>-4.4135958887636662E-8</v>
      </c>
      <c r="V69" s="44">
        <f t="shared" si="50"/>
        <v>1.7733180519743363</v>
      </c>
      <c r="W69" s="44">
        <v>3.0950238692004101E-2</v>
      </c>
      <c r="X69" s="45">
        <v>-1.083411464634954E-3</v>
      </c>
      <c r="Y69" s="45">
        <f t="shared" si="51"/>
        <v>-6.2074904399669915E-2</v>
      </c>
      <c r="Z69" s="45">
        <f t="shared" si="62"/>
        <v>6.0393858802854083E-9</v>
      </c>
      <c r="AB69" s="30">
        <f t="shared" si="52"/>
        <v>12</v>
      </c>
    </row>
    <row r="70" spans="6:28" x14ac:dyDescent="0.3">
      <c r="K70" s="95">
        <f t="shared" si="56"/>
        <v>95.52356284855108</v>
      </c>
      <c r="L70" s="12">
        <f t="shared" si="57"/>
        <v>1.209575484832133</v>
      </c>
      <c r="M70" s="11">
        <f t="shared" si="48"/>
        <v>0.85324176226043713</v>
      </c>
      <c r="N70" s="21">
        <f t="shared" si="58"/>
        <v>268965.81552722689</v>
      </c>
      <c r="O70" s="21">
        <f t="shared" si="59"/>
        <v>2815.7012521995416</v>
      </c>
      <c r="P70" s="12">
        <f t="shared" si="53"/>
        <v>-0.38379849410889755</v>
      </c>
      <c r="Q70" s="12">
        <f t="shared" si="54"/>
        <v>1.1554015629560268</v>
      </c>
      <c r="R70" s="12">
        <f t="shared" si="60"/>
        <v>1.9261557257885784</v>
      </c>
      <c r="S70" s="30">
        <f t="shared" si="55"/>
        <v>3.8788518256878228E-2</v>
      </c>
      <c r="T70" s="30">
        <v>13</v>
      </c>
      <c r="U70" s="44">
        <f t="shared" si="61"/>
        <v>-2.5247572921216488E-7</v>
      </c>
      <c r="V70" s="44">
        <f t="shared" si="50"/>
        <v>1.1554015629560268</v>
      </c>
      <c r="W70" s="44">
        <v>2.0165561456271214E-2</v>
      </c>
      <c r="X70" s="45">
        <v>-6.6985473863963221E-3</v>
      </c>
      <c r="Y70" s="45">
        <f t="shared" si="51"/>
        <v>-0.38379849410889755</v>
      </c>
      <c r="Z70" s="45">
        <f t="shared" si="62"/>
        <v>-4.4955754674447235E-9</v>
      </c>
      <c r="AB70" s="30">
        <f t="shared" si="52"/>
        <v>13</v>
      </c>
    </row>
    <row r="71" spans="6:28" x14ac:dyDescent="0.3">
      <c r="K71" s="95">
        <f t="shared" si="56"/>
        <v>100.26178142427554</v>
      </c>
      <c r="L71" s="12">
        <f t="shared" si="57"/>
        <v>1.2695735927341505</v>
      </c>
      <c r="M71" s="11">
        <f t="shared" si="48"/>
        <v>0.8534728201438555</v>
      </c>
      <c r="N71" s="21">
        <f t="shared" si="58"/>
        <v>269038.65147454734</v>
      </c>
      <c r="O71" s="21">
        <f t="shared" si="59"/>
        <v>2683.3619715578611</v>
      </c>
      <c r="P71" s="12">
        <f t="shared" si="53"/>
        <v>-0.65974136104548342</v>
      </c>
      <c r="Q71" s="12">
        <f t="shared" si="54"/>
        <v>0.4889663318053396</v>
      </c>
      <c r="R71" s="12">
        <f t="shared" si="60"/>
        <v>0.85563091769611677</v>
      </c>
      <c r="S71" s="30">
        <f t="shared" si="55"/>
        <v>8.734251789797029E-2</v>
      </c>
      <c r="T71" s="30">
        <v>14</v>
      </c>
      <c r="U71" s="44">
        <f t="shared" si="61"/>
        <v>-1.4972829376347363E-7</v>
      </c>
      <c r="V71" s="44">
        <f t="shared" si="50"/>
        <v>0.4889663318053396</v>
      </c>
      <c r="W71" s="44">
        <v>8.5340724214022449E-3</v>
      </c>
      <c r="X71" s="45">
        <v>-1.1514658961832345E-2</v>
      </c>
      <c r="Y71" s="45">
        <f t="shared" si="51"/>
        <v>-0.65974136104548342</v>
      </c>
      <c r="Z71" s="45">
        <f t="shared" si="62"/>
        <v>-3.2058551369118504E-9</v>
      </c>
      <c r="AB71" s="30">
        <f t="shared" si="52"/>
        <v>14</v>
      </c>
    </row>
    <row r="72" spans="6:28" x14ac:dyDescent="0.3">
      <c r="K72" s="95">
        <v>105</v>
      </c>
      <c r="L72" s="12">
        <f t="shared" si="57"/>
        <v>1.3295717006361683</v>
      </c>
      <c r="M72" s="11">
        <f t="shared" si="48"/>
        <v>0.85160356182046137</v>
      </c>
      <c r="N72" s="21">
        <f t="shared" si="58"/>
        <v>268449.40864605427</v>
      </c>
      <c r="O72" s="21">
        <f t="shared" si="59"/>
        <v>2556.6610347243263</v>
      </c>
      <c r="P72" s="12">
        <f t="shared" si="53"/>
        <v>-0.89807108891439991</v>
      </c>
      <c r="Q72" s="12">
        <f t="shared" si="54"/>
        <v>-0.22510697741291616</v>
      </c>
      <c r="R72" s="12">
        <f t="shared" si="60"/>
        <v>-0.41252902083574111</v>
      </c>
      <c r="S72" s="30">
        <f t="shared" si="55"/>
        <v>-0.1807612953590268</v>
      </c>
      <c r="T72" s="54">
        <v>15</v>
      </c>
      <c r="U72" s="44">
        <f t="shared" si="61"/>
        <v>-1.044893931975821E-3</v>
      </c>
      <c r="V72" s="44">
        <f t="shared" si="50"/>
        <v>-0.22510697741291616</v>
      </c>
      <c r="W72" s="44">
        <v>-3.9288579250678938E-3</v>
      </c>
      <c r="X72" s="45">
        <v>-1.5674297418527026E-2</v>
      </c>
      <c r="Y72" s="45">
        <f t="shared" si="51"/>
        <v>-0.89807108891439991</v>
      </c>
      <c r="Z72" s="45">
        <f t="shared" si="62"/>
        <v>-5.7341769476693116E-5</v>
      </c>
      <c r="AB72" s="30">
        <f t="shared" si="52"/>
        <v>15</v>
      </c>
    </row>
    <row r="73" spans="6:28" ht="15.6" thickBot="1" x14ac:dyDescent="0.35"/>
    <row r="74" spans="6:28" ht="16.2" thickBot="1" x14ac:dyDescent="0.35">
      <c r="K74" s="132" t="s">
        <v>103</v>
      </c>
      <c r="L74" s="133"/>
      <c r="M74" s="133"/>
      <c r="N74" s="133"/>
      <c r="O74" s="133"/>
      <c r="P74" s="133"/>
      <c r="Q74" s="133"/>
      <c r="R74" s="134"/>
    </row>
    <row r="75" spans="6:28" ht="18.600000000000001" thickBot="1" x14ac:dyDescent="0.35">
      <c r="F75" s="46"/>
      <c r="K75" s="96" t="s">
        <v>67</v>
      </c>
      <c r="L75" s="96" t="s">
        <v>15</v>
      </c>
      <c r="M75" s="96" t="s">
        <v>74</v>
      </c>
      <c r="N75" s="96" t="s">
        <v>73</v>
      </c>
      <c r="O75" s="96" t="s">
        <v>68</v>
      </c>
      <c r="P75" s="96" t="s">
        <v>70</v>
      </c>
      <c r="Q75" s="96" t="s">
        <v>87</v>
      </c>
      <c r="R75" s="96" t="s">
        <v>69</v>
      </c>
      <c r="S75" s="30" t="s">
        <v>147</v>
      </c>
      <c r="U75" s="58" t="s">
        <v>98</v>
      </c>
      <c r="V75" s="56" t="s">
        <v>99</v>
      </c>
      <c r="W75" s="56" t="s">
        <v>101</v>
      </c>
      <c r="X75" s="55" t="s">
        <v>101</v>
      </c>
      <c r="Y75" s="55" t="s">
        <v>99</v>
      </c>
      <c r="Z75" s="57" t="s">
        <v>100</v>
      </c>
    </row>
    <row r="76" spans="6:28" x14ac:dyDescent="0.3">
      <c r="F76" s="46"/>
      <c r="K76" s="109">
        <f>SQRT(2*(C$14+G83)*C$12/C$5/C$15/G80)</f>
        <v>45.03066252474688</v>
      </c>
      <c r="L76" s="92">
        <f>K76/C$9/C$2</f>
        <v>0.57020471003620088</v>
      </c>
      <c r="M76" s="93">
        <f>0.2132*L76^3-1.0928*L76^2+1.7147*L76</f>
        <v>0.66194992724018764</v>
      </c>
      <c r="N76" s="94">
        <f>G$81*M76</f>
        <v>184006.32756532548</v>
      </c>
      <c r="O76" s="94">
        <f>N76/K76</f>
        <v>4086.2451771435444</v>
      </c>
      <c r="P76" s="92">
        <f>Y76</f>
        <v>11.836155575150839</v>
      </c>
      <c r="Q76" s="92">
        <f t="shared" ref="Q76" si="63">V76</f>
        <v>2.4186596873372022</v>
      </c>
      <c r="R76" s="92">
        <f>K76*SIN(RADIANS(Q76))</f>
        <v>1.9003407370094718</v>
      </c>
      <c r="S76" s="30">
        <f>(N76/1000)/(R76*3600)</f>
        <v>2.6896686353512195E-2</v>
      </c>
      <c r="T76" s="30">
        <v>1</v>
      </c>
      <c r="U76" s="44">
        <f>0.5*G$80*C$5*C$3*(X76-C$6)*K76^2+N76/K76*SIN(X76-C$1)-C$12*(C$14+G$83*(K$90-K76)/(K$90-K$76))*COS(W76)</f>
        <v>-4.392131813801825E-8</v>
      </c>
      <c r="V76" s="44">
        <f t="shared" ref="V76:V90" si="64">DEGREES(W76)</f>
        <v>2.4186596873372022</v>
      </c>
      <c r="W76" s="44">
        <v>4.2213575029290781E-2</v>
      </c>
      <c r="X76" s="45">
        <v>0.20657988556466525</v>
      </c>
      <c r="Y76" s="45">
        <f t="shared" ref="Y76:Y90" si="65">DEGREES(X76)</f>
        <v>11.836155575150839</v>
      </c>
      <c r="Z76" s="45">
        <f>-0.5*G$80*C$5*K76^2*(C$8+(C$3^2)*(X76-C$6)^2/(PI()*C$7))+N76/K76*COS(X76-C$1)-C$12*(C$14+G$83*(K$90-K76)/(K$90-K$76))*SIN(W76)</f>
        <v>-6.0936145018786192E-11</v>
      </c>
      <c r="AB76" s="30">
        <f t="shared" ref="AB76:AB90" si="66">T76</f>
        <v>1</v>
      </c>
    </row>
    <row r="77" spans="6:28" x14ac:dyDescent="0.3">
      <c r="F77" s="46"/>
      <c r="K77" s="95">
        <v>47</v>
      </c>
      <c r="L77" s="12">
        <f>K77/C$9/C$2</f>
        <v>0.59514161837999913</v>
      </c>
      <c r="M77" s="11">
        <f>0.2132*L77^3-1.0928*L77^2+1.7147*L77</f>
        <v>0.67836818830066048</v>
      </c>
      <c r="N77" s="21">
        <f>G$81*M77</f>
        <v>188570.21344011041</v>
      </c>
      <c r="O77" s="21">
        <f>N77/K77</f>
        <v>4012.132200853413</v>
      </c>
      <c r="P77" s="12">
        <f>Y77</f>
        <v>10.583958506441759</v>
      </c>
      <c r="Q77" s="12">
        <f>V77</f>
        <v>2.6676319000286437</v>
      </c>
      <c r="R77" s="12">
        <f>K77*SIN(RADIANS(Q77))</f>
        <v>2.1874806010783874</v>
      </c>
      <c r="S77" s="30">
        <f t="shared" ref="S77:S90" si="67">(N77/1000)/(R77*3600)</f>
        <v>2.394563628068402E-2</v>
      </c>
      <c r="T77" s="30">
        <v>2</v>
      </c>
      <c r="U77" s="44">
        <f>0.5*G$80*C$5*C$3*(X77-C$6)*K77^2+N77/K77*SIN(X77-C$1)-C$12*(C$14+G$83*(K$90-K77)/(K$90-K$76))*COS(W77)</f>
        <v>1.4524813741445541E-4</v>
      </c>
      <c r="V77" s="44">
        <f t="shared" si="64"/>
        <v>2.6676319000286437</v>
      </c>
      <c r="W77" s="44">
        <v>4.6558959886732046E-2</v>
      </c>
      <c r="X77" s="45">
        <v>0.18472492383187017</v>
      </c>
      <c r="Y77" s="45">
        <f t="shared" si="65"/>
        <v>10.583958506441759</v>
      </c>
      <c r="Z77" s="45">
        <f>-0.5*G$80*C$5*K77^2*(C$8+(C$3^2)*(X77-C$6)^2/(PI()*C$7))+N77/K77*COS(X77-C$1)-C$12*(C$14+G$83*(K$90-K77)/(K$90-K$76))*SIN(W77)</f>
        <v>3.1847639093030011E-5</v>
      </c>
      <c r="AB77" s="30">
        <f t="shared" si="66"/>
        <v>2</v>
      </c>
    </row>
    <row r="78" spans="6:28" x14ac:dyDescent="0.3">
      <c r="F78" s="46"/>
      <c r="K78" s="95">
        <f t="shared" ref="K78:K89" si="68">G$86+T41*G$85</f>
        <v>49.915890434164325</v>
      </c>
      <c r="L78" s="12">
        <f t="shared" ref="L78:L90" si="69">K78/C$9/C$2</f>
        <v>0.63206433650781435</v>
      </c>
      <c r="M78" s="11">
        <f t="shared" ref="M78:M90" si="70">0.2132*L78^3-1.0928*L78^2+1.7147*L78</f>
        <v>0.70105708432067226</v>
      </c>
      <c r="N78" s="21">
        <f t="shared" ref="N78:N90" si="71">G$81*M78</f>
        <v>194877.18661338344</v>
      </c>
      <c r="O78" s="21">
        <f t="shared" ref="O78:O90" si="72">N78/K78</f>
        <v>3904.1111942180664</v>
      </c>
      <c r="P78" s="12">
        <f t="shared" ref="P78:P90" si="73">Y78</f>
        <v>8.988380730449002</v>
      </c>
      <c r="Q78" s="12">
        <f t="shared" ref="Q78:Q90" si="74">V78</f>
        <v>2.9406001194085674</v>
      </c>
      <c r="R78" s="12">
        <f t="shared" ref="R78:R90" si="75">K78*SIN(RADIANS(Q78))</f>
        <v>2.5607164069071335</v>
      </c>
      <c r="S78" s="30">
        <f t="shared" si="67"/>
        <v>2.1139612215955204E-2</v>
      </c>
      <c r="T78" s="54">
        <v>3</v>
      </c>
      <c r="U78" s="44">
        <f t="shared" ref="U78:U90" si="76">0.5*G$80*C$5*C$3*(X78-C$6)*K78^2+N78/K78*SIN(X78-C$1)-C$12*(C$14+G$83*(K$90-K78)/(K$90-K$76))*COS(W78)</f>
        <v>1.4434408512897789E-7</v>
      </c>
      <c r="V78" s="44">
        <f t="shared" si="64"/>
        <v>2.9406001194085674</v>
      </c>
      <c r="W78" s="44">
        <v>5.1323154068217906E-2</v>
      </c>
      <c r="X78" s="45">
        <v>0.15687683816914802</v>
      </c>
      <c r="Y78" s="45">
        <f t="shared" si="65"/>
        <v>8.988380730449002</v>
      </c>
      <c r="Z78" s="45">
        <f t="shared" ref="Z78:Z90" si="77">-0.5*G$80*C$5*K78^2*(C$8+(C$3^2)*(X78-C$6)^2/(PI()*C$7))+N78/K78*COS(X78-C$1)-C$12*(C$14+G$83*(K$90-K78)/(K$90-K$76))*SIN(W78)</f>
        <v>-5.5525265452160966E-7</v>
      </c>
      <c r="AB78" s="30">
        <f t="shared" si="66"/>
        <v>3</v>
      </c>
    </row>
    <row r="79" spans="6:28" x14ac:dyDescent="0.3">
      <c r="F79" s="29" t="s">
        <v>6</v>
      </c>
      <c r="G79" s="29">
        <v>4000</v>
      </c>
      <c r="H79" s="29" t="s">
        <v>3</v>
      </c>
      <c r="I79" s="29"/>
      <c r="K79" s="95">
        <f t="shared" si="68"/>
        <v>54.506232897983963</v>
      </c>
      <c r="L79" s="12">
        <f t="shared" si="69"/>
        <v>0.69018995018517715</v>
      </c>
      <c r="M79" s="11">
        <f t="shared" si="70"/>
        <v>0.73299610824908334</v>
      </c>
      <c r="N79" s="21">
        <f t="shared" si="71"/>
        <v>203755.47522290167</v>
      </c>
      <c r="O79" s="21">
        <f t="shared" si="72"/>
        <v>3738.2050527002762</v>
      </c>
      <c r="P79" s="12">
        <f t="shared" si="73"/>
        <v>6.9678236642547606</v>
      </c>
      <c r="Q79" s="12">
        <f t="shared" si="74"/>
        <v>3.1863057349748707</v>
      </c>
      <c r="R79" s="12">
        <f t="shared" si="75"/>
        <v>3.0296126426395982</v>
      </c>
      <c r="S79" s="30">
        <f t="shared" si="67"/>
        <v>1.8681841474017663E-2</v>
      </c>
      <c r="T79" s="54">
        <v>4</v>
      </c>
      <c r="U79" s="44">
        <f t="shared" si="76"/>
        <v>1.2432792573235929E-7</v>
      </c>
      <c r="V79" s="44">
        <f t="shared" si="64"/>
        <v>3.1863057349748707</v>
      </c>
      <c r="W79" s="44">
        <v>5.5611526050489336E-2</v>
      </c>
      <c r="X79" s="45">
        <v>0.1216114646396215</v>
      </c>
      <c r="Y79" s="45">
        <f t="shared" si="65"/>
        <v>6.9678236642547606</v>
      </c>
      <c r="Z79" s="45">
        <f t="shared" si="77"/>
        <v>-5.670365226251306E-7</v>
      </c>
      <c r="AB79" s="30">
        <f t="shared" si="66"/>
        <v>4</v>
      </c>
    </row>
    <row r="80" spans="6:28" ht="18.600000000000001" x14ac:dyDescent="0.3">
      <c r="F80" s="30" t="s">
        <v>83</v>
      </c>
      <c r="G80" s="30">
        <f>C$11*(1-G79/44300)^4.256</f>
        <v>0.81921393881961735</v>
      </c>
      <c r="H80" s="30" t="s">
        <v>84</v>
      </c>
      <c r="K80" s="95">
        <f t="shared" si="68"/>
        <v>59.096575361803602</v>
      </c>
      <c r="L80" s="12">
        <f t="shared" si="69"/>
        <v>0.74831556386253995</v>
      </c>
      <c r="M80" s="11">
        <f t="shared" si="70"/>
        <v>0.76053381647730212</v>
      </c>
      <c r="N80" s="21">
        <f t="shared" si="71"/>
        <v>211410.30280444681</v>
      </c>
      <c r="O80" s="21">
        <f t="shared" si="72"/>
        <v>3577.369780061561</v>
      </c>
      <c r="P80" s="12">
        <f t="shared" si="73"/>
        <v>5.3956707800681274</v>
      </c>
      <c r="Q80" s="12">
        <f t="shared" si="74"/>
        <v>3.2601194148403954</v>
      </c>
      <c r="R80" s="12">
        <f t="shared" si="75"/>
        <v>3.3607702197108673</v>
      </c>
      <c r="S80" s="30">
        <f>(N80/1000)/(R80*3600)</f>
        <v>1.7473698073115676E-2</v>
      </c>
      <c r="T80" s="54">
        <v>5</v>
      </c>
      <c r="U80" s="44">
        <f t="shared" si="76"/>
        <v>6.5672793425619602E-8</v>
      </c>
      <c r="V80" s="44">
        <f t="shared" si="64"/>
        <v>3.2601194148403954</v>
      </c>
      <c r="W80" s="44">
        <v>5.6899817797155784E-2</v>
      </c>
      <c r="X80" s="45">
        <v>9.4172220465839646E-2</v>
      </c>
      <c r="Y80" s="45">
        <f t="shared" si="65"/>
        <v>5.3956707800681274</v>
      </c>
      <c r="Z80" s="45">
        <f t="shared" si="77"/>
        <v>-3.5202356230001897E-7</v>
      </c>
      <c r="AB80" s="30">
        <f t="shared" si="66"/>
        <v>5</v>
      </c>
    </row>
    <row r="81" spans="6:28" ht="18.600000000000001" x14ac:dyDescent="0.3">
      <c r="F81" s="30" t="s">
        <v>85</v>
      </c>
      <c r="G81" s="30">
        <f>C$4*((G80/C$11)-C$10)/(1-C$10)</f>
        <v>277976.20332475548</v>
      </c>
      <c r="H81" s="30" t="s">
        <v>35</v>
      </c>
      <c r="K81" s="95">
        <f t="shared" si="68"/>
        <v>63.68691782562324</v>
      </c>
      <c r="L81" s="12">
        <f t="shared" si="69"/>
        <v>0.80644117753990285</v>
      </c>
      <c r="M81" s="11">
        <f t="shared" si="70"/>
        <v>0.78392142142350374</v>
      </c>
      <c r="N81" s="21">
        <f t="shared" si="71"/>
        <v>217911.5004322512</v>
      </c>
      <c r="O81" s="21">
        <f t="shared" si="72"/>
        <v>3421.6053763019222</v>
      </c>
      <c r="P81" s="12">
        <f t="shared" si="73"/>
        <v>4.150641943193131</v>
      </c>
      <c r="Q81" s="12">
        <f t="shared" si="74"/>
        <v>3.2035811146274873</v>
      </c>
      <c r="R81" s="12">
        <f t="shared" si="75"/>
        <v>3.5590739628957988</v>
      </c>
      <c r="S81" s="30">
        <f t="shared" si="67"/>
        <v>1.7007506158439507E-2</v>
      </c>
      <c r="T81" s="54">
        <v>6</v>
      </c>
      <c r="U81" s="44">
        <f t="shared" si="76"/>
        <v>2.2340827854350209E-8</v>
      </c>
      <c r="V81" s="44">
        <f t="shared" si="64"/>
        <v>3.2035811146274873</v>
      </c>
      <c r="W81" s="44">
        <v>5.5913038304959528E-2</v>
      </c>
      <c r="X81" s="45">
        <v>7.2442367980095582E-2</v>
      </c>
      <c r="Y81" s="45">
        <f t="shared" si="65"/>
        <v>4.150641943193131</v>
      </c>
      <c r="Z81" s="45">
        <f t="shared" si="77"/>
        <v>-1.4000943338032812E-7</v>
      </c>
      <c r="AB81" s="30">
        <f t="shared" si="66"/>
        <v>6</v>
      </c>
    </row>
    <row r="82" spans="6:28" ht="18.600000000000001" x14ac:dyDescent="0.3">
      <c r="F82" s="30" t="s">
        <v>86</v>
      </c>
      <c r="G82" s="30">
        <f>G81/G80/C$9^3/C$2^5</f>
        <v>0.20348951225596171</v>
      </c>
      <c r="H82" s="30" t="s">
        <v>7</v>
      </c>
      <c r="K82" s="95">
        <f t="shared" si="68"/>
        <v>68.277260289442893</v>
      </c>
      <c r="L82" s="12">
        <f t="shared" si="69"/>
        <v>0.86456679121726576</v>
      </c>
      <c r="M82" s="11">
        <f t="shared" si="70"/>
        <v>0.80341013550586249</v>
      </c>
      <c r="N82" s="21">
        <f t="shared" si="71"/>
        <v>223328.89918054699</v>
      </c>
      <c r="O82" s="21">
        <f t="shared" si="72"/>
        <v>3270.9118414213576</v>
      </c>
      <c r="P82" s="12">
        <f t="shared" si="73"/>
        <v>3.1493639280014865</v>
      </c>
      <c r="Q82" s="12">
        <f t="shared" si="74"/>
        <v>3.0446306146190061</v>
      </c>
      <c r="R82" s="12">
        <f t="shared" si="75"/>
        <v>3.6264663816580627</v>
      </c>
      <c r="S82" s="30">
        <f t="shared" si="67"/>
        <v>1.7106405740225344E-2</v>
      </c>
      <c r="T82" s="30">
        <v>7</v>
      </c>
      <c r="U82" s="44">
        <f t="shared" si="76"/>
        <v>-8.2623952039284632E-5</v>
      </c>
      <c r="V82" s="44">
        <f t="shared" si="64"/>
        <v>3.0446306146190061</v>
      </c>
      <c r="W82" s="44">
        <v>5.3138828732120252E-2</v>
      </c>
      <c r="X82" s="45">
        <v>5.4966769887167574E-2</v>
      </c>
      <c r="Y82" s="45">
        <f t="shared" si="65"/>
        <v>3.1493639280014865</v>
      </c>
      <c r="Z82" s="45">
        <f t="shared" si="77"/>
        <v>-5.6612532262079185E-6</v>
      </c>
      <c r="AB82" s="30">
        <f t="shared" si="66"/>
        <v>7</v>
      </c>
    </row>
    <row r="83" spans="6:28" x14ac:dyDescent="0.3">
      <c r="F83" s="30" t="s">
        <v>142</v>
      </c>
      <c r="G83" s="30">
        <f>G65-G66</f>
        <v>534.0592027465633</v>
      </c>
      <c r="H83" s="30" t="s">
        <v>0</v>
      </c>
      <c r="K83" s="95">
        <f t="shared" si="68"/>
        <v>72.867602753262531</v>
      </c>
      <c r="L83" s="12">
        <f t="shared" si="69"/>
        <v>0.92269240489462856</v>
      </c>
      <c r="M83" s="11">
        <f t="shared" si="70"/>
        <v>0.81925117114255341</v>
      </c>
      <c r="N83" s="21">
        <f t="shared" si="71"/>
        <v>227732.33012356647</v>
      </c>
      <c r="O83" s="21">
        <f t="shared" si="72"/>
        <v>3125.2891754198695</v>
      </c>
      <c r="P83" s="12">
        <f t="shared" si="73"/>
        <v>2.3331371763320936</v>
      </c>
      <c r="Q83" s="12">
        <f t="shared" si="74"/>
        <v>2.8024457788817836</v>
      </c>
      <c r="R83" s="12">
        <f t="shared" si="75"/>
        <v>3.5626723949651398</v>
      </c>
      <c r="S83" s="30">
        <f t="shared" si="67"/>
        <v>1.775604758924194E-2</v>
      </c>
      <c r="T83" s="30">
        <v>8</v>
      </c>
      <c r="U83" s="44">
        <f t="shared" si="76"/>
        <v>-3.8669339119223878E-5</v>
      </c>
      <c r="V83" s="44">
        <f t="shared" si="64"/>
        <v>2.8024457788817836</v>
      </c>
      <c r="W83" s="44">
        <v>4.8911905950104098E-2</v>
      </c>
      <c r="X83" s="45">
        <v>4.0720925627678553E-2</v>
      </c>
      <c r="Y83" s="45">
        <f t="shared" si="65"/>
        <v>2.3331371763320936</v>
      </c>
      <c r="Z83" s="45">
        <f t="shared" si="77"/>
        <v>-2.2659587557427585E-6</v>
      </c>
      <c r="AB83" s="30">
        <f t="shared" si="66"/>
        <v>8</v>
      </c>
    </row>
    <row r="84" spans="6:28" x14ac:dyDescent="0.3">
      <c r="F84" s="30" t="s">
        <v>143</v>
      </c>
      <c r="G84" s="30" cm="1">
        <f t="array" ref="G84">(G97-G79)*C$16*MIN(IF(S76:S90&gt;0,S76:S90))</f>
        <v>5.2723269091162468</v>
      </c>
      <c r="H84" s="30" t="s">
        <v>0</v>
      </c>
      <c r="K84" s="95">
        <f t="shared" si="68"/>
        <v>77.45794521708217</v>
      </c>
      <c r="L84" s="12">
        <f t="shared" si="69"/>
        <v>0.98081801857199147</v>
      </c>
      <c r="M84" s="11">
        <f t="shared" si="70"/>
        <v>0.83169574075175112</v>
      </c>
      <c r="N84" s="21">
        <f t="shared" si="71"/>
        <v>231191.62433554188</v>
      </c>
      <c r="O84" s="21">
        <f t="shared" si="72"/>
        <v>2984.7373782974569</v>
      </c>
      <c r="P84" s="12">
        <f t="shared" si="73"/>
        <v>1.6597429132801396</v>
      </c>
      <c r="Q84" s="12">
        <f t="shared" si="74"/>
        <v>2.4903909662119577</v>
      </c>
      <c r="R84" s="12">
        <f t="shared" si="75"/>
        <v>3.3656900174586175</v>
      </c>
      <c r="S84" s="30">
        <f t="shared" si="67"/>
        <v>1.9080751737574789E-2</v>
      </c>
      <c r="T84" s="54">
        <v>9</v>
      </c>
      <c r="U84" s="44">
        <f t="shared" si="76"/>
        <v>-1.6867365047801286E-5</v>
      </c>
      <c r="V84" s="44">
        <f t="shared" si="64"/>
        <v>2.4903909662119577</v>
      </c>
      <c r="W84" s="44">
        <v>4.3465522022321519E-2</v>
      </c>
      <c r="X84" s="45">
        <v>2.8967978573381153E-2</v>
      </c>
      <c r="Y84" s="45">
        <f t="shared" si="65"/>
        <v>1.6597429132801396</v>
      </c>
      <c r="Z84" s="45">
        <f t="shared" si="77"/>
        <v>-8.402837465837365E-7</v>
      </c>
      <c r="AB84" s="30">
        <f t="shared" si="66"/>
        <v>9</v>
      </c>
    </row>
    <row r="85" spans="6:28" ht="15.6" thickBot="1" x14ac:dyDescent="0.35">
      <c r="F85" s="30" t="s">
        <v>151</v>
      </c>
      <c r="G85" s="30">
        <f>(K90-G86)/T89</f>
        <v>4.5903424638196393</v>
      </c>
      <c r="H85" s="30" t="s">
        <v>150</v>
      </c>
      <c r="K85" s="95">
        <f t="shared" si="68"/>
        <v>82.048287680901808</v>
      </c>
      <c r="L85" s="12">
        <f t="shared" si="69"/>
        <v>1.0389436322493542</v>
      </c>
      <c r="M85" s="11">
        <f t="shared" si="70"/>
        <v>0.84099505675163044</v>
      </c>
      <c r="N85" s="21">
        <f t="shared" si="71"/>
        <v>233776.6128907055</v>
      </c>
      <c r="O85" s="21">
        <f t="shared" si="72"/>
        <v>2849.2564500541203</v>
      </c>
      <c r="P85" s="12">
        <f t="shared" si="73"/>
        <v>1.0982311723246663</v>
      </c>
      <c r="Q85" s="12">
        <f t="shared" si="74"/>
        <v>2.1178658243998085</v>
      </c>
      <c r="R85" s="12">
        <f t="shared" si="75"/>
        <v>3.0321203132489947</v>
      </c>
      <c r="S85" s="30">
        <f t="shared" si="67"/>
        <v>2.1416679193581634E-2</v>
      </c>
      <c r="T85" s="54">
        <v>10</v>
      </c>
      <c r="U85" s="44">
        <f t="shared" si="76"/>
        <v>-6.3442857936024666E-6</v>
      </c>
      <c r="V85" s="44">
        <f t="shared" si="64"/>
        <v>2.1178658243998085</v>
      </c>
      <c r="W85" s="44">
        <v>3.6963731751240722E-2</v>
      </c>
      <c r="X85" s="45">
        <v>1.9167749905102654E-2</v>
      </c>
      <c r="Y85" s="45">
        <f t="shared" si="65"/>
        <v>1.0982311723246663</v>
      </c>
      <c r="Z85" s="45">
        <f t="shared" si="77"/>
        <v>-2.6268560304743005E-7</v>
      </c>
      <c r="AB85" s="30">
        <f t="shared" si="66"/>
        <v>10</v>
      </c>
    </row>
    <row r="86" spans="6:28" x14ac:dyDescent="0.3">
      <c r="G86" s="91">
        <f>SQRT(2*(C$14)*C$12/C$5/C$15/G80)</f>
        <v>40.735205506525048</v>
      </c>
      <c r="K86" s="95">
        <f t="shared" si="68"/>
        <v>86.638630144721446</v>
      </c>
      <c r="L86" s="12">
        <f t="shared" si="69"/>
        <v>1.0970692459267171</v>
      </c>
      <c r="M86" s="11">
        <f t="shared" si="70"/>
        <v>0.8474003315603662</v>
      </c>
      <c r="N86" s="21">
        <f t="shared" si="71"/>
        <v>235557.12686328957</v>
      </c>
      <c r="O86" s="21">
        <f t="shared" si="72"/>
        <v>2718.8463906898596</v>
      </c>
      <c r="P86" s="12">
        <f t="shared" si="73"/>
        <v>0.62552126084479653</v>
      </c>
      <c r="Q86" s="12">
        <f t="shared" si="74"/>
        <v>1.6914952275779931</v>
      </c>
      <c r="R86" s="12">
        <f t="shared" si="75"/>
        <v>2.5573880651019318</v>
      </c>
      <c r="S86" s="30">
        <f t="shared" si="67"/>
        <v>2.5585688825522326E-2</v>
      </c>
      <c r="T86" s="54">
        <v>11</v>
      </c>
      <c r="U86" s="44">
        <f t="shared" si="76"/>
        <v>-1.687949406914413E-6</v>
      </c>
      <c r="V86" s="44">
        <f t="shared" si="64"/>
        <v>1.6914952275779931</v>
      </c>
      <c r="W86" s="44">
        <v>2.9522161003006767E-2</v>
      </c>
      <c r="X86" s="45">
        <v>1.0917405542967986E-2</v>
      </c>
      <c r="Y86" s="45">
        <f t="shared" si="65"/>
        <v>0.62552126084479653</v>
      </c>
      <c r="Z86" s="45">
        <f t="shared" si="77"/>
        <v>-5.0610196922207251E-8</v>
      </c>
      <c r="AB86" s="30">
        <f t="shared" si="66"/>
        <v>11</v>
      </c>
    </row>
    <row r="87" spans="6:28" x14ac:dyDescent="0.3">
      <c r="K87" s="95">
        <f t="shared" si="68"/>
        <v>91.228972608541085</v>
      </c>
      <c r="L87" s="12">
        <f t="shared" si="69"/>
        <v>1.15519485960408</v>
      </c>
      <c r="M87" s="11">
        <f t="shared" si="70"/>
        <v>0.85116277759613279</v>
      </c>
      <c r="N87" s="21">
        <f t="shared" si="71"/>
        <v>236602.99732752625</v>
      </c>
      <c r="O87" s="21">
        <f t="shared" si="72"/>
        <v>2593.5072002046736</v>
      </c>
      <c r="P87" s="12">
        <f t="shared" si="73"/>
        <v>0.22413358728482666</v>
      </c>
      <c r="Q87" s="12">
        <f t="shared" si="74"/>
        <v>1.2159126230329427</v>
      </c>
      <c r="R87" s="12">
        <f t="shared" si="75"/>
        <v>1.9358866286077565</v>
      </c>
      <c r="S87" s="30">
        <f t="shared" si="67"/>
        <v>3.3949846980692353E-2</v>
      </c>
      <c r="T87" s="54">
        <v>12</v>
      </c>
      <c r="U87" s="44">
        <f t="shared" si="76"/>
        <v>-2.3897882783785462E-8</v>
      </c>
      <c r="V87" s="44">
        <f t="shared" si="64"/>
        <v>1.2159126230329427</v>
      </c>
      <c r="W87" s="44">
        <v>2.1221678688485492E-2</v>
      </c>
      <c r="X87" s="45">
        <v>3.9118690624263229E-3</v>
      </c>
      <c r="Y87" s="45">
        <f t="shared" si="65"/>
        <v>0.22413358728482666</v>
      </c>
      <c r="Z87" s="45">
        <f t="shared" si="77"/>
        <v>8.6762383944005705E-9</v>
      </c>
      <c r="AB87" s="30">
        <f t="shared" si="66"/>
        <v>12</v>
      </c>
    </row>
    <row r="88" spans="6:28" x14ac:dyDescent="0.3">
      <c r="K88" s="95">
        <f t="shared" si="68"/>
        <v>95.819315072360723</v>
      </c>
      <c r="L88" s="12">
        <f t="shared" si="69"/>
        <v>1.2133204732814427</v>
      </c>
      <c r="M88" s="11">
        <f t="shared" si="70"/>
        <v>0.85253360727710525</v>
      </c>
      <c r="N88" s="21">
        <f t="shared" si="71"/>
        <v>236984.05535764786</v>
      </c>
      <c r="O88" s="21">
        <f t="shared" si="72"/>
        <v>2473.2388785985636</v>
      </c>
      <c r="P88" s="12">
        <f t="shared" si="73"/>
        <v>-0.11935530886952106</v>
      </c>
      <c r="Q88" s="12">
        <f t="shared" si="74"/>
        <v>0.69428591570544751</v>
      </c>
      <c r="R88" s="12">
        <f t="shared" si="75"/>
        <v>1.1610693391390785</v>
      </c>
      <c r="S88" s="30">
        <f t="shared" si="67"/>
        <v>5.6696789801395309E-2</v>
      </c>
      <c r="T88" s="30">
        <v>13</v>
      </c>
      <c r="U88" s="44">
        <f t="shared" si="76"/>
        <v>-1.7025740817189217E-9</v>
      </c>
      <c r="V88" s="44">
        <f t="shared" si="64"/>
        <v>0.69428591570544751</v>
      </c>
      <c r="W88" s="44">
        <v>1.2117575179283867E-2</v>
      </c>
      <c r="X88" s="45">
        <v>-2.0831431195079335E-3</v>
      </c>
      <c r="Y88" s="45">
        <f t="shared" si="65"/>
        <v>-0.11935530886952106</v>
      </c>
      <c r="Z88" s="45">
        <f t="shared" si="77"/>
        <v>3.7903760130575392E-9</v>
      </c>
      <c r="AB88" s="30">
        <f t="shared" si="66"/>
        <v>13</v>
      </c>
    </row>
    <row r="89" spans="6:28" x14ac:dyDescent="0.3">
      <c r="K89" s="95">
        <f t="shared" si="68"/>
        <v>100.40965753618036</v>
      </c>
      <c r="L89" s="12">
        <f t="shared" si="69"/>
        <v>1.2714460869588056</v>
      </c>
      <c r="M89" s="11">
        <f t="shared" si="70"/>
        <v>0.85176403302145842</v>
      </c>
      <c r="N89" s="21">
        <f t="shared" si="71"/>
        <v>236770.13202788666</v>
      </c>
      <c r="O89" s="21">
        <f t="shared" si="72"/>
        <v>2358.0414258715291</v>
      </c>
      <c r="P89" s="12">
        <f t="shared" si="73"/>
        <v>-0.41538514216601236</v>
      </c>
      <c r="Q89" s="12">
        <f t="shared" si="74"/>
        <v>0.12867622192481343</v>
      </c>
      <c r="R89" s="12">
        <f t="shared" si="75"/>
        <v>0.22550220322024189</v>
      </c>
      <c r="S89" s="30">
        <f t="shared" si="67"/>
        <v>0.29165782054298661</v>
      </c>
      <c r="T89" s="30">
        <v>14</v>
      </c>
      <c r="U89" s="44">
        <f t="shared" si="76"/>
        <v>-3.9053702494129539E-8</v>
      </c>
      <c r="V89" s="44">
        <f t="shared" si="64"/>
        <v>0.12867622192481343</v>
      </c>
      <c r="W89" s="44">
        <v>2.2458237416149098E-3</v>
      </c>
      <c r="X89" s="45">
        <v>-7.249838394661646E-3</v>
      </c>
      <c r="Y89" s="45">
        <f t="shared" si="65"/>
        <v>-0.41538514216601236</v>
      </c>
      <c r="Z89" s="45">
        <f t="shared" si="77"/>
        <v>-2.2634338847637991E-10</v>
      </c>
      <c r="AB89" s="30">
        <f t="shared" si="66"/>
        <v>14</v>
      </c>
    </row>
    <row r="90" spans="6:28" x14ac:dyDescent="0.3">
      <c r="K90" s="95">
        <f t="shared" ref="K90" si="78">K72</f>
        <v>105</v>
      </c>
      <c r="L90" s="12">
        <f t="shared" si="69"/>
        <v>1.3295717006361683</v>
      </c>
      <c r="M90" s="11">
        <f t="shared" si="70"/>
        <v>0.84910526724736624</v>
      </c>
      <c r="N90" s="21">
        <f t="shared" si="71"/>
        <v>236031.05841247473</v>
      </c>
      <c r="O90" s="21">
        <f t="shared" si="72"/>
        <v>2247.9148420235688</v>
      </c>
      <c r="P90" s="12">
        <f t="shared" si="73"/>
        <v>-0.67216955153168545</v>
      </c>
      <c r="Q90" s="12">
        <f t="shared" si="74"/>
        <v>-0.47971401544692926</v>
      </c>
      <c r="R90" s="12">
        <f t="shared" si="75"/>
        <v>-0.87911157786492466</v>
      </c>
      <c r="S90" s="30">
        <f t="shared" si="67"/>
        <v>-7.4580047110274786E-2</v>
      </c>
      <c r="T90" s="54">
        <v>15</v>
      </c>
      <c r="U90" s="44">
        <f t="shared" si="76"/>
        <v>-4.0243182338599581E-3</v>
      </c>
      <c r="V90" s="44">
        <f t="shared" si="64"/>
        <v>-0.47971401544692926</v>
      </c>
      <c r="W90" s="44">
        <v>-8.3725890375118527E-3</v>
      </c>
      <c r="X90" s="45">
        <v>-1.1731571805881604E-2</v>
      </c>
      <c r="Y90" s="45">
        <f t="shared" si="65"/>
        <v>-0.67216955153168545</v>
      </c>
      <c r="Z90" s="45">
        <f t="shared" si="77"/>
        <v>-7.2373131303038463E-5</v>
      </c>
      <c r="AB90" s="30">
        <f t="shared" si="66"/>
        <v>15</v>
      </c>
    </row>
    <row r="91" spans="6:28" ht="15.6" thickBot="1" x14ac:dyDescent="0.35"/>
    <row r="92" spans="6:28" ht="16.2" thickBot="1" x14ac:dyDescent="0.35">
      <c r="K92" s="132" t="s">
        <v>138</v>
      </c>
      <c r="L92" s="133"/>
      <c r="M92" s="133"/>
      <c r="N92" s="133"/>
      <c r="O92" s="133"/>
      <c r="P92" s="133"/>
      <c r="Q92" s="133"/>
      <c r="R92" s="134"/>
    </row>
    <row r="93" spans="6:28" ht="18.600000000000001" thickBot="1" x14ac:dyDescent="0.35">
      <c r="F93" s="46"/>
      <c r="K93" s="96" t="s">
        <v>67</v>
      </c>
      <c r="L93" s="96" t="s">
        <v>15</v>
      </c>
      <c r="M93" s="96" t="s">
        <v>74</v>
      </c>
      <c r="N93" s="96" t="s">
        <v>73</v>
      </c>
      <c r="O93" s="96" t="s">
        <v>68</v>
      </c>
      <c r="P93" s="96" t="s">
        <v>70</v>
      </c>
      <c r="Q93" s="96" t="s">
        <v>87</v>
      </c>
      <c r="R93" s="96" t="s">
        <v>69</v>
      </c>
      <c r="S93" s="30" t="s">
        <v>147</v>
      </c>
      <c r="U93" s="58" t="s">
        <v>98</v>
      </c>
      <c r="V93" s="56" t="s">
        <v>99</v>
      </c>
      <c r="W93" s="56" t="s">
        <v>101</v>
      </c>
      <c r="X93" s="55" t="s">
        <v>101</v>
      </c>
      <c r="Y93" s="55" t="s">
        <v>99</v>
      </c>
      <c r="Z93" s="57" t="s">
        <v>100</v>
      </c>
    </row>
    <row r="94" spans="6:28" x14ac:dyDescent="0.3">
      <c r="F94" s="46"/>
      <c r="K94" s="109">
        <f>SQRT(2*(C$14+G101)*C$12/C$5/C$15/G98)</f>
        <v>47.46137408372384</v>
      </c>
      <c r="L94" s="92">
        <f>K94/C$9/C$2</f>
        <v>0.60098380814310537</v>
      </c>
      <c r="M94" s="93">
        <f t="shared" ref="M94:M108" si="79">0.2202*L94^3-1.1245*L94^2+1.7429*L94</f>
        <v>0.68910358928032489</v>
      </c>
      <c r="N94" s="94">
        <f>G$99*M94</f>
        <v>167876.27781960278</v>
      </c>
      <c r="O94" s="94">
        <f>N94/K94</f>
        <v>3537.1137279645977</v>
      </c>
      <c r="P94" s="92">
        <f>Y94</f>
        <v>11.897598750035245</v>
      </c>
      <c r="Q94" s="92">
        <f t="shared" ref="Q94" si="80">V94</f>
        <v>1.3176961815913164</v>
      </c>
      <c r="R94" s="92">
        <f>K94*SIN(RADIANS(Q94))</f>
        <v>1.0914269612758247</v>
      </c>
      <c r="S94" s="30">
        <f>(N94/1000)/(R94*3600)</f>
        <v>4.2725991796852103E-2</v>
      </c>
      <c r="T94" s="30">
        <v>1</v>
      </c>
      <c r="U94" s="44">
        <f>0.5*G$98*C$5*C$3*(X94-C$6)*K94^2+N94/K94*SIN(X94-C$1)-C$12*(C$14+G$101*(K$108-K94)/(K$108-K$94))*COS(W94)</f>
        <v>-4.5121851144358516E-8</v>
      </c>
      <c r="V94" s="44">
        <f t="shared" ref="V94:V108" si="81">DEGREES(W94)</f>
        <v>1.3176961815913164</v>
      </c>
      <c r="W94" s="44">
        <v>2.2998136909725565E-2</v>
      </c>
      <c r="X94" s="45">
        <v>0.20765227126927685</v>
      </c>
      <c r="Y94" s="45">
        <f t="shared" ref="Y94:Y108" si="82">DEGREES(X94)</f>
        <v>11.897598750035245</v>
      </c>
      <c r="Z94" s="45">
        <f>-0.5*G$98*C$5*K94^2*(C$8+(C$3^2)*(X94-C$6)^2/(PI()*C$7))+N94/K94*COS(X94-C$1)-C$12*(C$14+G$101*(K$108-K94)/(K$108-K$94))*SIN(W94)</f>
        <v>-1.8189894035458565E-12</v>
      </c>
      <c r="AB94" s="30">
        <f t="shared" ref="AB94:AB108" si="83">T94</f>
        <v>1</v>
      </c>
    </row>
    <row r="95" spans="6:28" x14ac:dyDescent="0.3">
      <c r="F95" s="46"/>
      <c r="K95" s="95">
        <v>50</v>
      </c>
      <c r="L95" s="12">
        <f t="shared" ref="L95:L108" si="84">K95/C$9/C$2</f>
        <v>0.63312938125531826</v>
      </c>
      <c r="M95" s="11">
        <f t="shared" si="79"/>
        <v>0.7086071408706538</v>
      </c>
      <c r="N95" s="21">
        <f t="shared" ref="N95:N108" si="85">G$99*M95</f>
        <v>172627.64422688916</v>
      </c>
      <c r="O95" s="21">
        <f t="shared" ref="O95:O108" si="86">N95/K95</f>
        <v>3452.552884537783</v>
      </c>
      <c r="P95" s="12">
        <f t="shared" ref="P95:P108" si="87">Y95</f>
        <v>10.35602271892712</v>
      </c>
      <c r="Q95" s="12">
        <f t="shared" ref="Q95:Q108" si="88">V95</f>
        <v>1.6359441614944752</v>
      </c>
      <c r="R95" s="12">
        <f t="shared" ref="R95:R108" si="89">K95*SIN(RADIANS(Q95))</f>
        <v>1.427436628048991</v>
      </c>
      <c r="S95" s="30">
        <f t="shared" ref="S95:S108" si="90">(N95/1000)/(R95*3600)</f>
        <v>3.3593171461417992E-2</v>
      </c>
      <c r="T95" s="30">
        <v>2</v>
      </c>
      <c r="U95" s="44">
        <f>0.5*G$98*C$5*C$3*(X95-C$6)*K95^2+N95/K95*SIN(X95-C$1)-C$12*(C$14+G$101*(K$108-K95)/(K$108-K$94))*COS(W95)</f>
        <v>8.0559650086797774E-5</v>
      </c>
      <c r="V95" s="44">
        <f t="shared" si="81"/>
        <v>1.6359441614944752</v>
      </c>
      <c r="W95" s="44">
        <v>2.8552611996856429E-2</v>
      </c>
      <c r="X95" s="45">
        <v>0.18074669385661352</v>
      </c>
      <c r="Y95" s="45">
        <f t="shared" si="82"/>
        <v>10.35602271892712</v>
      </c>
      <c r="Z95" s="45">
        <f>-0.5*G$98*C$5*K95^2*(C$8+(C$3^2)*(X95-C$6)^2/(PI()*C$7))+N95/K95*COS(X95-C$1)-C$12*(C$14+G$101*(K$108-K95)/(K$108-K$94))*SIN(W95)</f>
        <v>1.4953734080336289E-5</v>
      </c>
      <c r="AB95" s="30">
        <f t="shared" si="83"/>
        <v>2</v>
      </c>
    </row>
    <row r="96" spans="6:28" x14ac:dyDescent="0.3">
      <c r="F96" s="46"/>
      <c r="K96" s="95">
        <f t="shared" ref="K96:K107" si="91">G$104+T59*G$103</f>
        <v>51.119377513104538</v>
      </c>
      <c r="L96" s="12">
        <f t="shared" si="84"/>
        <v>0.64730359710057805</v>
      </c>
      <c r="M96" s="11">
        <f t="shared" si="79"/>
        <v>0.71674071730274269</v>
      </c>
      <c r="N96" s="21">
        <f t="shared" si="85"/>
        <v>174609.10907197339</v>
      </c>
      <c r="O96" s="21">
        <f t="shared" si="86"/>
        <v>3415.7127407745147</v>
      </c>
      <c r="P96" s="12">
        <f t="shared" si="87"/>
        <v>9.7467540242930184</v>
      </c>
      <c r="Q96" s="12">
        <f t="shared" si="88"/>
        <v>1.7503206864925775</v>
      </c>
      <c r="R96" s="12">
        <f t="shared" si="89"/>
        <v>1.5613957689432398</v>
      </c>
      <c r="S96" s="30">
        <f t="shared" si="90"/>
        <v>3.106357226175727E-2</v>
      </c>
      <c r="T96" s="54">
        <v>3</v>
      </c>
      <c r="U96" s="44">
        <f t="shared" ref="U96:U108" si="92">0.5*G$98*C$5*C$3*(X96-C$6)*K96^2+N96/K96*SIN(X96-C$1)-C$12*(C$14+G$101*(K$108-K96)/(K$108-K$94))*COS(W96)</f>
        <v>9.6337316790595651E-8</v>
      </c>
      <c r="V96" s="44">
        <f t="shared" si="81"/>
        <v>1.7503206864925775</v>
      </c>
      <c r="W96" s="44">
        <v>3.0548858945062918E-2</v>
      </c>
      <c r="X96" s="45">
        <v>0.17011294910592054</v>
      </c>
      <c r="Y96" s="45">
        <f t="shared" si="82"/>
        <v>9.7467540242930184</v>
      </c>
      <c r="Z96" s="45">
        <f t="shared" ref="Z96:Z108" si="93">-0.5*G$98*C$5*K96^2*(C$8+(C$3^2)*(X96-C$6)^2/(PI()*C$7))+N96/K96*COS(X96-C$1)-C$12*(C$14+G$101*(K$108-K96)/(K$108-K$94))*SIN(W96)</f>
        <v>-3.5052607927354984E-7</v>
      </c>
      <c r="AB96" s="30">
        <f t="shared" si="83"/>
        <v>3</v>
      </c>
    </row>
    <row r="97" spans="6:28" x14ac:dyDescent="0.3">
      <c r="F97" s="29" t="s">
        <v>6</v>
      </c>
      <c r="G97" s="29">
        <v>5000</v>
      </c>
      <c r="H97" s="29" t="s">
        <v>3</v>
      </c>
      <c r="I97" s="29"/>
      <c r="K97" s="95">
        <f t="shared" si="91"/>
        <v>55.192762720345826</v>
      </c>
      <c r="L97" s="12">
        <f t="shared" si="84"/>
        <v>0.69888319421808287</v>
      </c>
      <c r="M97" s="11">
        <f t="shared" si="79"/>
        <v>0.74400297712497843</v>
      </c>
      <c r="N97" s="21">
        <f t="shared" si="85"/>
        <v>181250.6166407956</v>
      </c>
      <c r="O97" s="21">
        <f t="shared" si="86"/>
        <v>3283.9562237383852</v>
      </c>
      <c r="P97" s="12">
        <f t="shared" si="87"/>
        <v>7.8301940297709907</v>
      </c>
      <c r="Q97" s="12">
        <f t="shared" si="88"/>
        <v>2.0546706363124394</v>
      </c>
      <c r="R97" s="12">
        <f t="shared" si="89"/>
        <v>1.9788306485006528</v>
      </c>
      <c r="S97" s="30">
        <f t="shared" si="90"/>
        <v>2.5443002689229624E-2</v>
      </c>
      <c r="T97" s="54">
        <v>4</v>
      </c>
      <c r="U97" s="44">
        <f t="shared" si="92"/>
        <v>-7.123959221644327E-6</v>
      </c>
      <c r="V97" s="44">
        <f t="shared" si="81"/>
        <v>2.0546706363124394</v>
      </c>
      <c r="W97" s="44">
        <v>3.5860767647699028E-2</v>
      </c>
      <c r="X97" s="45">
        <v>0.13666266688950668</v>
      </c>
      <c r="Y97" s="45">
        <f t="shared" si="82"/>
        <v>7.8301940297709907</v>
      </c>
      <c r="Z97" s="45">
        <f t="shared" si="93"/>
        <v>-2.071147946480778E-7</v>
      </c>
      <c r="AB97" s="30">
        <f t="shared" si="83"/>
        <v>4</v>
      </c>
    </row>
    <row r="98" spans="6:28" ht="18.600000000000001" x14ac:dyDescent="0.3">
      <c r="F98" s="30" t="s">
        <v>83</v>
      </c>
      <c r="G98" s="30">
        <f>C$11*(1-G97/44300)^4.256</f>
        <v>0.7361287016189566</v>
      </c>
      <c r="H98" s="30" t="s">
        <v>84</v>
      </c>
      <c r="K98" s="95">
        <f t="shared" si="91"/>
        <v>59.266147927587113</v>
      </c>
      <c r="L98" s="12">
        <f t="shared" si="84"/>
        <v>0.7504627913355878</v>
      </c>
      <c r="M98" s="11">
        <f t="shared" si="79"/>
        <v>0.76773844350343223</v>
      </c>
      <c r="N98" s="21">
        <f t="shared" si="85"/>
        <v>187032.94285402657</v>
      </c>
      <c r="O98" s="21">
        <f t="shared" si="86"/>
        <v>3155.8140590231742</v>
      </c>
      <c r="P98" s="12">
        <f t="shared" si="87"/>
        <v>6.2930222764058144</v>
      </c>
      <c r="Q98" s="12">
        <f t="shared" si="88"/>
        <v>2.2153822582340186</v>
      </c>
      <c r="R98" s="12">
        <f t="shared" si="89"/>
        <v>2.2909970070137242</v>
      </c>
      <c r="S98" s="30">
        <f>(N98/1000)/(R98*3600)</f>
        <v>2.267728638587365E-2</v>
      </c>
      <c r="T98" s="54">
        <v>5</v>
      </c>
      <c r="U98" s="44">
        <f t="shared" si="92"/>
        <v>4.6045897761359811E-8</v>
      </c>
      <c r="V98" s="44">
        <f t="shared" si="81"/>
        <v>2.2153822582340186</v>
      </c>
      <c r="W98" s="44">
        <v>3.8665714596450879E-2</v>
      </c>
      <c r="X98" s="45">
        <v>0.10983395862463012</v>
      </c>
      <c r="Y98" s="45">
        <f t="shared" si="82"/>
        <v>6.2930222764058144</v>
      </c>
      <c r="Z98" s="45">
        <f t="shared" si="93"/>
        <v>-2.2756967155146413E-7</v>
      </c>
      <c r="AB98" s="30">
        <f t="shared" si="83"/>
        <v>5</v>
      </c>
    </row>
    <row r="99" spans="6:28" ht="18.600000000000001" x14ac:dyDescent="0.3">
      <c r="F99" s="30" t="s">
        <v>85</v>
      </c>
      <c r="G99" s="30">
        <f>C$4*((G98/C$11)-C$10)/(1-C$10)</f>
        <v>243615.44538597853</v>
      </c>
      <c r="H99" s="30" t="s">
        <v>35</v>
      </c>
      <c r="K99" s="95">
        <f t="shared" si="91"/>
        <v>63.3395331348284</v>
      </c>
      <c r="L99" s="12">
        <f t="shared" si="84"/>
        <v>0.80204238845309261</v>
      </c>
      <c r="M99" s="11">
        <f t="shared" si="79"/>
        <v>0.78812841835746039</v>
      </c>
      <c r="N99" s="21">
        <f t="shared" si="85"/>
        <v>192000.25565949953</v>
      </c>
      <c r="O99" s="21">
        <f t="shared" si="86"/>
        <v>3031.2862466288793</v>
      </c>
      <c r="P99" s="12">
        <f t="shared" si="87"/>
        <v>5.0432800881606337</v>
      </c>
      <c r="Q99" s="12">
        <f t="shared" si="88"/>
        <v>2.2638426840913022</v>
      </c>
      <c r="R99" s="12">
        <f t="shared" si="89"/>
        <v>2.5019893879389641</v>
      </c>
      <c r="S99" s="30">
        <f t="shared" si="90"/>
        <v>2.1316399105031712E-2</v>
      </c>
      <c r="T99" s="54">
        <v>6</v>
      </c>
      <c r="U99" s="44">
        <f t="shared" si="92"/>
        <v>3.7503923522308469E-8</v>
      </c>
      <c r="V99" s="44">
        <f t="shared" si="81"/>
        <v>2.2638426840913022</v>
      </c>
      <c r="W99" s="44">
        <v>3.951150858457908E-2</v>
      </c>
      <c r="X99" s="45">
        <v>8.8021842638672951E-2</v>
      </c>
      <c r="Y99" s="45">
        <f t="shared" si="82"/>
        <v>5.0432800881606337</v>
      </c>
      <c r="Z99" s="45">
        <f t="shared" si="93"/>
        <v>-2.1160917640372645E-7</v>
      </c>
      <c r="AB99" s="30">
        <f t="shared" si="83"/>
        <v>6</v>
      </c>
    </row>
    <row r="100" spans="6:28" ht="18.600000000000001" x14ac:dyDescent="0.3">
      <c r="F100" s="30" t="s">
        <v>86</v>
      </c>
      <c r="G100" s="30">
        <f>G99/G98/C$9^3/C$2^5</f>
        <v>0.19846449037238559</v>
      </c>
      <c r="H100" s="30" t="s">
        <v>7</v>
      </c>
      <c r="K100" s="95">
        <f t="shared" si="91"/>
        <v>67.412918342069702</v>
      </c>
      <c r="L100" s="12">
        <f t="shared" si="84"/>
        <v>0.85362198557059765</v>
      </c>
      <c r="M100" s="11">
        <f t="shared" si="79"/>
        <v>0.80535420360641985</v>
      </c>
      <c r="N100" s="21">
        <f t="shared" si="85"/>
        <v>196196.723005048</v>
      </c>
      <c r="O100" s="21">
        <f t="shared" si="86"/>
        <v>2910.3727865555034</v>
      </c>
      <c r="P100" s="12">
        <f t="shared" si="87"/>
        <v>4.0148863462614335</v>
      </c>
      <c r="Q100" s="12">
        <f t="shared" si="88"/>
        <v>2.2222018770218264</v>
      </c>
      <c r="R100" s="12">
        <f t="shared" si="89"/>
        <v>2.6139370165186984</v>
      </c>
      <c r="S100" s="30">
        <f t="shared" si="90"/>
        <v>2.084942727357968E-2</v>
      </c>
      <c r="T100" s="30">
        <v>7</v>
      </c>
      <c r="U100" s="44">
        <f t="shared" si="92"/>
        <v>2.1012965589761734E-8</v>
      </c>
      <c r="V100" s="44">
        <f t="shared" si="81"/>
        <v>2.2222018770218264</v>
      </c>
      <c r="W100" s="44">
        <v>3.878473939802899E-2</v>
      </c>
      <c r="X100" s="45">
        <v>7.0072985835627141E-2</v>
      </c>
      <c r="Y100" s="45">
        <f t="shared" si="82"/>
        <v>4.0148863462614335</v>
      </c>
      <c r="Z100" s="45">
        <f t="shared" si="93"/>
        <v>-1.3486123862094246E-7</v>
      </c>
      <c r="AB100" s="30">
        <f t="shared" si="83"/>
        <v>7</v>
      </c>
    </row>
    <row r="101" spans="6:28" x14ac:dyDescent="0.3">
      <c r="F101" s="30" t="s">
        <v>142</v>
      </c>
      <c r="G101" s="30">
        <f>G83-G84</f>
        <v>528.78687583744704</v>
      </c>
      <c r="H101" s="30" t="s">
        <v>0</v>
      </c>
      <c r="K101" s="95">
        <f t="shared" si="91"/>
        <v>71.486303549310975</v>
      </c>
      <c r="L101" s="12">
        <f t="shared" si="84"/>
        <v>0.90520158268810236</v>
      </c>
      <c r="M101" s="11">
        <f t="shared" si="79"/>
        <v>0.81959710116966666</v>
      </c>
      <c r="N101" s="21">
        <f t="shared" si="85"/>
        <v>199666.51283850524</v>
      </c>
      <c r="O101" s="21">
        <f t="shared" si="86"/>
        <v>2793.0736788030458</v>
      </c>
      <c r="P101" s="12">
        <f t="shared" si="87"/>
        <v>3.1594721060960156</v>
      </c>
      <c r="Q101" s="12">
        <f t="shared" si="88"/>
        <v>2.1063338759620858</v>
      </c>
      <c r="R101" s="12">
        <f t="shared" si="89"/>
        <v>2.6274205559949042</v>
      </c>
      <c r="S101" s="30">
        <f t="shared" si="90"/>
        <v>2.1109266313065145E-2</v>
      </c>
      <c r="T101" s="30">
        <v>8</v>
      </c>
      <c r="U101" s="44">
        <f t="shared" si="92"/>
        <v>-9.7683190688258037E-5</v>
      </c>
      <c r="V101" s="44">
        <f t="shared" si="81"/>
        <v>2.1063338759620858</v>
      </c>
      <c r="W101" s="44">
        <v>3.6762461281832241E-2</v>
      </c>
      <c r="X101" s="45">
        <v>5.514319087629508E-2</v>
      </c>
      <c r="Y101" s="45">
        <f t="shared" si="82"/>
        <v>3.1594721060960156</v>
      </c>
      <c r="Z101" s="45">
        <f t="shared" si="93"/>
        <v>-6.7181190388510004E-6</v>
      </c>
      <c r="AB101" s="30">
        <f t="shared" si="83"/>
        <v>8</v>
      </c>
    </row>
    <row r="102" spans="6:28" x14ac:dyDescent="0.3">
      <c r="F102" s="30" t="s">
        <v>143</v>
      </c>
      <c r="G102" s="30" cm="1">
        <f t="array" ref="G102">(G115-G97)*C$16*MIN(IF(S94:S108&gt;0,S94:S108))</f>
        <v>6.4633224548097008</v>
      </c>
      <c r="H102" s="30" t="s">
        <v>0</v>
      </c>
      <c r="K102" s="95">
        <f t="shared" si="91"/>
        <v>75.559688756552276</v>
      </c>
      <c r="L102" s="12">
        <f t="shared" si="84"/>
        <v>0.9567811798056074</v>
      </c>
      <c r="M102" s="11">
        <f t="shared" si="79"/>
        <v>0.83103841296655767</v>
      </c>
      <c r="N102" s="21">
        <f t="shared" si="85"/>
        <v>202453.7931077047</v>
      </c>
      <c r="O102" s="21">
        <f t="shared" si="86"/>
        <v>2679.3889233715063</v>
      </c>
      <c r="P102" s="12">
        <f t="shared" si="87"/>
        <v>2.4410352914207598</v>
      </c>
      <c r="Q102" s="12">
        <f t="shared" si="88"/>
        <v>1.9277520575885403</v>
      </c>
      <c r="R102" s="12">
        <f t="shared" si="89"/>
        <v>2.5417729951135457</v>
      </c>
      <c r="S102" s="30">
        <f t="shared" si="90"/>
        <v>2.2125172019788485E-2</v>
      </c>
      <c r="T102" s="54">
        <v>9</v>
      </c>
      <c r="U102" s="44">
        <f t="shared" si="92"/>
        <v>-4.7791920223971829E-5</v>
      </c>
      <c r="V102" s="44">
        <f t="shared" si="81"/>
        <v>1.9277520575885403</v>
      </c>
      <c r="W102" s="44">
        <v>3.3645620567015366E-2</v>
      </c>
      <c r="X102" s="45">
        <v>4.2604102992671547E-2</v>
      </c>
      <c r="Y102" s="45">
        <f t="shared" si="82"/>
        <v>2.4410352914207598</v>
      </c>
      <c r="Z102" s="45">
        <f t="shared" si="93"/>
        <v>-2.8797146569559118E-6</v>
      </c>
      <c r="AB102" s="30">
        <f t="shared" si="83"/>
        <v>9</v>
      </c>
    </row>
    <row r="103" spans="6:28" ht="15.6" thickBot="1" x14ac:dyDescent="0.35">
      <c r="F103" s="30" t="s">
        <v>151</v>
      </c>
      <c r="G103" s="30">
        <f>(K108-G104)/T107</f>
        <v>4.0733852072412882</v>
      </c>
      <c r="H103" s="30" t="s">
        <v>150</v>
      </c>
      <c r="K103" s="95">
        <f t="shared" si="91"/>
        <v>79.633073963793549</v>
      </c>
      <c r="L103" s="12">
        <f t="shared" si="84"/>
        <v>1.008360776923112</v>
      </c>
      <c r="M103" s="11">
        <f t="shared" si="79"/>
        <v>0.83985944091644893</v>
      </c>
      <c r="N103" s="21">
        <f t="shared" si="85"/>
        <v>204602.73176047963</v>
      </c>
      <c r="O103" s="21">
        <f t="shared" si="86"/>
        <v>2569.3185202608847</v>
      </c>
      <c r="P103" s="12">
        <f t="shared" si="87"/>
        <v>1.8323677291236713</v>
      </c>
      <c r="Q103" s="12">
        <f t="shared" si="88"/>
        <v>1.6948751236099404</v>
      </c>
      <c r="R103" s="12">
        <f t="shared" si="89"/>
        <v>2.355294477783183</v>
      </c>
      <c r="S103" s="30">
        <f t="shared" si="90"/>
        <v>2.4130355117709681E-2</v>
      </c>
      <c r="T103" s="54">
        <v>10</v>
      </c>
      <c r="U103" s="44">
        <f t="shared" si="92"/>
        <v>-2.1653402654919773E-5</v>
      </c>
      <c r="V103" s="44">
        <f t="shared" si="81"/>
        <v>1.6948751236099404</v>
      </c>
      <c r="W103" s="44">
        <v>2.9581151317139343E-2</v>
      </c>
      <c r="X103" s="45">
        <v>3.1980849980499652E-2</v>
      </c>
      <c r="Y103" s="45">
        <f t="shared" si="82"/>
        <v>1.8323677291236713</v>
      </c>
      <c r="Z103" s="45">
        <f t="shared" si="93"/>
        <v>-1.1383245919205365E-6</v>
      </c>
      <c r="AB103" s="30">
        <f t="shared" si="83"/>
        <v>10</v>
      </c>
    </row>
    <row r="104" spans="6:28" x14ac:dyDescent="0.3">
      <c r="G104" s="91">
        <f>SQRT(2*(C$14)*C$12/C$5/C$15/G98)</f>
        <v>42.972607098621964</v>
      </c>
      <c r="K104" s="95">
        <f t="shared" si="91"/>
        <v>83.706459171034851</v>
      </c>
      <c r="L104" s="12">
        <f t="shared" si="84"/>
        <v>1.059940374040617</v>
      </c>
      <c r="M104" s="11">
        <f t="shared" si="79"/>
        <v>0.84624148693869716</v>
      </c>
      <c r="N104" s="21">
        <f t="shared" si="85"/>
        <v>206157.49674466345</v>
      </c>
      <c r="O104" s="21">
        <f t="shared" si="86"/>
        <v>2462.8624694711807</v>
      </c>
      <c r="P104" s="12">
        <f t="shared" si="87"/>
        <v>1.3126205673577502</v>
      </c>
      <c r="Q104" s="12">
        <f t="shared" si="88"/>
        <v>1.413880006478609</v>
      </c>
      <c r="R104" s="12">
        <f t="shared" si="89"/>
        <v>2.0654030510983086</v>
      </c>
      <c r="S104" s="30">
        <f t="shared" si="90"/>
        <v>2.7726293561690079E-2</v>
      </c>
      <c r="T104" s="54">
        <v>11</v>
      </c>
      <c r="U104" s="44">
        <f t="shared" si="92"/>
        <v>-8.6699365056119859E-6</v>
      </c>
      <c r="V104" s="44">
        <f t="shared" si="81"/>
        <v>1.413880006478609</v>
      </c>
      <c r="W104" s="44">
        <v>2.4676861341170486E-2</v>
      </c>
      <c r="X104" s="45">
        <v>2.2909550729788748E-2</v>
      </c>
      <c r="Y104" s="45">
        <f t="shared" si="82"/>
        <v>1.3126205673577502</v>
      </c>
      <c r="Z104" s="45">
        <f t="shared" si="93"/>
        <v>-3.949402298530913E-7</v>
      </c>
      <c r="AB104" s="30">
        <f t="shared" si="83"/>
        <v>11</v>
      </c>
    </row>
    <row r="105" spans="6:28" x14ac:dyDescent="0.3">
      <c r="K105" s="95">
        <f t="shared" si="91"/>
        <v>87.779844378276124</v>
      </c>
      <c r="L105" s="12">
        <f t="shared" si="84"/>
        <v>1.1115199711581216</v>
      </c>
      <c r="M105" s="11">
        <f t="shared" si="79"/>
        <v>0.85036585295265876</v>
      </c>
      <c r="N105" s="21">
        <f t="shared" si="85"/>
        <v>207162.25600808949</v>
      </c>
      <c r="O105" s="21">
        <f t="shared" si="86"/>
        <v>2360.0207710023951</v>
      </c>
      <c r="P105" s="12">
        <f t="shared" si="87"/>
        <v>0.86561493532529943</v>
      </c>
      <c r="Q105" s="12">
        <f t="shared" si="88"/>
        <v>1.089287230969342</v>
      </c>
      <c r="R105" s="12">
        <f t="shared" si="89"/>
        <v>1.6687390326821034</v>
      </c>
      <c r="S105" s="30">
        <f t="shared" si="90"/>
        <v>3.4484164381813551E-2</v>
      </c>
      <c r="T105" s="54">
        <v>12</v>
      </c>
      <c r="U105" s="44">
        <f t="shared" si="92"/>
        <v>-2.7919850253965706E-6</v>
      </c>
      <c r="V105" s="44">
        <f t="shared" si="81"/>
        <v>1.089287230969342</v>
      </c>
      <c r="W105" s="44">
        <v>1.9011648680346962E-2</v>
      </c>
      <c r="X105" s="45">
        <v>1.5107830675864247E-2</v>
      </c>
      <c r="Y105" s="45">
        <f t="shared" si="82"/>
        <v>0.86561493532529943</v>
      </c>
      <c r="Z105" s="45">
        <f t="shared" si="93"/>
        <v>-1.0643975656421389E-7</v>
      </c>
      <c r="AB105" s="30">
        <f t="shared" si="83"/>
        <v>12</v>
      </c>
    </row>
    <row r="106" spans="6:28" x14ac:dyDescent="0.3">
      <c r="K106" s="95">
        <f t="shared" si="91"/>
        <v>91.853229585517425</v>
      </c>
      <c r="L106" s="12">
        <f t="shared" si="84"/>
        <v>1.1630995682756269</v>
      </c>
      <c r="M106" s="11">
        <f t="shared" si="79"/>
        <v>0.85241384087769001</v>
      </c>
      <c r="N106" s="21">
        <f t="shared" si="85"/>
        <v>207661.17749859107</v>
      </c>
      <c r="O106" s="21">
        <f t="shared" si="86"/>
        <v>2260.7934248545266</v>
      </c>
      <c r="P106" s="12">
        <f t="shared" si="87"/>
        <v>0.47865019290176569</v>
      </c>
      <c r="Q106" s="12">
        <f t="shared" si="88"/>
        <v>0.72436883942713215</v>
      </c>
      <c r="R106" s="12">
        <f t="shared" si="89"/>
        <v>1.1612346568807923</v>
      </c>
      <c r="S106" s="30">
        <f t="shared" si="90"/>
        <v>4.9674422025277942E-2</v>
      </c>
      <c r="T106" s="30">
        <v>13</v>
      </c>
      <c r="U106" s="44">
        <f t="shared" si="92"/>
        <v>-5.7347642723470926E-7</v>
      </c>
      <c r="V106" s="44">
        <f t="shared" si="81"/>
        <v>0.72436883942713215</v>
      </c>
      <c r="W106" s="44">
        <v>1.2642621246853572E-2</v>
      </c>
      <c r="X106" s="45">
        <v>8.3540218314418022E-3</v>
      </c>
      <c r="Y106" s="45">
        <f t="shared" si="82"/>
        <v>0.47865019290176569</v>
      </c>
      <c r="Z106" s="45">
        <f t="shared" si="93"/>
        <v>-1.6247270195890451E-8</v>
      </c>
      <c r="AB106" s="30">
        <f t="shared" si="83"/>
        <v>13</v>
      </c>
    </row>
    <row r="107" spans="6:28" x14ac:dyDescent="0.3">
      <c r="K107" s="95">
        <f t="shared" si="91"/>
        <v>95.926614792758713</v>
      </c>
      <c r="L107" s="12">
        <f t="shared" si="84"/>
        <v>1.2146791653931317</v>
      </c>
      <c r="M107" s="11">
        <f t="shared" si="79"/>
        <v>0.85256675263314796</v>
      </c>
      <c r="N107" s="21">
        <f t="shared" si="85"/>
        <v>207698.42916400172</v>
      </c>
      <c r="O107" s="21">
        <f t="shared" si="86"/>
        <v>2165.1804310275775</v>
      </c>
      <c r="P107" s="12">
        <f t="shared" si="87"/>
        <v>0.14165015372146442</v>
      </c>
      <c r="Q107" s="12">
        <f t="shared" si="88"/>
        <v>0.32143652728194699</v>
      </c>
      <c r="R107" s="12">
        <f t="shared" si="89"/>
        <v>0.5381575475741962</v>
      </c>
      <c r="S107" s="30">
        <f t="shared" si="90"/>
        <v>0.10720653897947471</v>
      </c>
      <c r="T107" s="30">
        <v>14</v>
      </c>
      <c r="U107" s="44">
        <f t="shared" si="92"/>
        <v>-2.4356268113479018E-8</v>
      </c>
      <c r="V107" s="44">
        <f t="shared" si="81"/>
        <v>0.32143652728194699</v>
      </c>
      <c r="W107" s="44">
        <v>5.6101257372465543E-3</v>
      </c>
      <c r="X107" s="45">
        <v>2.4722615683956529E-3</v>
      </c>
      <c r="Y107" s="45">
        <f t="shared" si="82"/>
        <v>0.14165015372146442</v>
      </c>
      <c r="Z107" s="45">
        <f t="shared" si="93"/>
        <v>6.0930460676900111E-10</v>
      </c>
      <c r="AB107" s="30">
        <f t="shared" si="83"/>
        <v>14</v>
      </c>
    </row>
    <row r="108" spans="6:28" x14ac:dyDescent="0.3">
      <c r="K108" s="95">
        <v>100</v>
      </c>
      <c r="L108" s="12">
        <f t="shared" si="84"/>
        <v>1.2662587625106365</v>
      </c>
      <c r="M108" s="11">
        <f t="shared" si="79"/>
        <v>0.85100589013838812</v>
      </c>
      <c r="N108" s="21">
        <f t="shared" si="85"/>
        <v>207318.17895215453</v>
      </c>
      <c r="O108" s="21">
        <f t="shared" si="86"/>
        <v>2073.1817895215454</v>
      </c>
      <c r="P108" s="12">
        <f t="shared" si="87"/>
        <v>-0.15345740698908766</v>
      </c>
      <c r="Q108" s="12">
        <f t="shared" si="88"/>
        <v>-0.11795259394649869</v>
      </c>
      <c r="R108" s="12">
        <f t="shared" si="89"/>
        <v>-0.20586596715042865</v>
      </c>
      <c r="S108" s="30">
        <f t="shared" si="90"/>
        <v>-0.27973726711314378</v>
      </c>
      <c r="T108" s="54">
        <v>15</v>
      </c>
      <c r="U108" s="44">
        <f t="shared" si="92"/>
        <v>-7.2458689101040363E-4</v>
      </c>
      <c r="V108" s="44">
        <f t="shared" si="81"/>
        <v>-0.11795259394649869</v>
      </c>
      <c r="W108" s="44">
        <v>-2.0586611256343344E-3</v>
      </c>
      <c r="X108" s="45">
        <v>-2.6783370135325378E-3</v>
      </c>
      <c r="Y108" s="45">
        <f t="shared" si="82"/>
        <v>-0.15345740698908766</v>
      </c>
      <c r="Z108" s="45">
        <f t="shared" si="93"/>
        <v>-7.4967715590901207E-8</v>
      </c>
      <c r="AB108" s="30">
        <f t="shared" si="83"/>
        <v>15</v>
      </c>
    </row>
    <row r="109" spans="6:28" ht="15.6" thickBot="1" x14ac:dyDescent="0.35"/>
    <row r="110" spans="6:28" ht="16.2" thickBot="1" x14ac:dyDescent="0.35">
      <c r="K110" s="132" t="s">
        <v>137</v>
      </c>
      <c r="L110" s="133"/>
      <c r="M110" s="133"/>
      <c r="N110" s="133"/>
      <c r="O110" s="133"/>
      <c r="P110" s="133"/>
      <c r="Q110" s="133"/>
      <c r="R110" s="134"/>
    </row>
    <row r="111" spans="6:28" ht="18.600000000000001" thickBot="1" x14ac:dyDescent="0.35">
      <c r="F111" s="46"/>
      <c r="K111" s="96" t="s">
        <v>67</v>
      </c>
      <c r="L111" s="96" t="s">
        <v>15</v>
      </c>
      <c r="M111" s="97" t="s">
        <v>74</v>
      </c>
      <c r="N111" s="96" t="s">
        <v>73</v>
      </c>
      <c r="O111" s="96" t="s">
        <v>68</v>
      </c>
      <c r="P111" s="96" t="s">
        <v>70</v>
      </c>
      <c r="Q111" s="96" t="s">
        <v>87</v>
      </c>
      <c r="R111" s="96" t="s">
        <v>69</v>
      </c>
      <c r="S111" s="30" t="s">
        <v>147</v>
      </c>
      <c r="U111" s="58" t="s">
        <v>98</v>
      </c>
      <c r="V111" s="56" t="s">
        <v>99</v>
      </c>
      <c r="W111" s="56" t="s">
        <v>101</v>
      </c>
      <c r="X111" s="55" t="s">
        <v>101</v>
      </c>
      <c r="Y111" s="55" t="s">
        <v>99</v>
      </c>
      <c r="Z111" s="57" t="s">
        <v>100</v>
      </c>
    </row>
    <row r="112" spans="6:28" x14ac:dyDescent="0.3">
      <c r="F112" s="46"/>
      <c r="K112" s="109">
        <f>SQRT(2*(C$14+G119)*C$12/C$5/C$15/G116)</f>
        <v>50.08201896169011</v>
      </c>
      <c r="L112" s="92">
        <f>K112/C$9/C$2</f>
        <v>0.6341679535446394</v>
      </c>
      <c r="M112" s="93">
        <f t="shared" ref="M112:M126" si="94">0.2361*L112^3-1.1789*L112^2+1.7849*L112</f>
        <v>0.7180249325867194</v>
      </c>
      <c r="N112" s="94">
        <f>G$117*M112</f>
        <v>152211.63316559733</v>
      </c>
      <c r="O112" s="94">
        <f>N112/K112</f>
        <v>3039.2471454082265</v>
      </c>
      <c r="P112" s="92">
        <f>Y112</f>
        <v>11.94907527660941</v>
      </c>
      <c r="Q112" s="92">
        <f t="shared" ref="Q112" si="95">V112</f>
        <v>0.32313743203632073</v>
      </c>
      <c r="R112" s="92">
        <f>K112*SIN(RADIANS(Q112))</f>
        <v>0.28245168045669455</v>
      </c>
      <c r="S112" s="30">
        <f>(N112/1000)/(R112*3600)</f>
        <v>0.1496928931146807</v>
      </c>
      <c r="T112" s="30">
        <v>1</v>
      </c>
      <c r="U112" s="44">
        <f>0.5*G$116*C$5*C$3*(X112-C$6)*K112^2+N112/K112*SIN(X112-C$1)-C$12*(C$14+G$119*(K$126-K112)/(K$126-K$112))*COS(W112)</f>
        <v>-4.5929482439532876E-8</v>
      </c>
      <c r="V112" s="44">
        <f t="shared" ref="V112:V126" si="96">DEGREES(W112)</f>
        <v>0.32313743203632073</v>
      </c>
      <c r="W112" s="44">
        <v>5.6398121254732014E-3</v>
      </c>
      <c r="X112" s="45">
        <v>0.20855070614548638</v>
      </c>
      <c r="Y112" s="45">
        <f t="shared" ref="Y112:Y126" si="97">DEGREES(X112)</f>
        <v>11.94907527660941</v>
      </c>
      <c r="Z112" s="45">
        <f>-0.5*G$116*C$5*K112^2*(C$8+(C$3^2)*(X112-C$6)^2/(PI()*C$7))+N112/K112*COS(X112-C$1)-C$12*(C$14+G$119*(K$126-K112)/(K$126-K$112))*SIN(W112)</f>
        <v>7.531752999057062E-12</v>
      </c>
      <c r="AB112" s="30">
        <f t="shared" ref="AB112:AB126" si="98">T112</f>
        <v>1</v>
      </c>
    </row>
    <row r="113" spans="6:28" x14ac:dyDescent="0.3">
      <c r="F113" s="46"/>
      <c r="K113" s="95">
        <v>51.5</v>
      </c>
      <c r="L113" s="12">
        <f t="shared" ref="L113:L126" si="99">K113/C$9/C$2</f>
        <v>0.65212326269297782</v>
      </c>
      <c r="M113" s="11">
        <f t="shared" si="94"/>
        <v>0.72810663913202101</v>
      </c>
      <c r="N113" s="21">
        <f t="shared" ref="N113:N126" si="100">G$117*M113</f>
        <v>154348.81942294407</v>
      </c>
      <c r="O113" s="21">
        <f t="shared" ref="O113:O126" si="101">N113/K113</f>
        <v>2997.0644548144478</v>
      </c>
      <c r="P113" s="12">
        <f t="shared" ref="P113:P126" si="102">Y113</f>
        <v>11.091652995910179</v>
      </c>
      <c r="Q113" s="12">
        <f t="shared" ref="Q113:Q126" si="103">V113</f>
        <v>0.50883697655870663</v>
      </c>
      <c r="R113" s="12">
        <f t="shared" ref="R113:R126" si="104">K113*SIN(RADIANS(Q113))</f>
        <v>0.45735933869050649</v>
      </c>
      <c r="S113" s="30">
        <f t="shared" ref="S113:S126" si="105">(N113/1000)/(R113*3600)</f>
        <v>9.3743952369456388E-2</v>
      </c>
      <c r="T113" s="30">
        <v>2</v>
      </c>
      <c r="U113" s="44">
        <f>0.5*G$116*C$5*C$3*(X113-C$6)*K113^2+N113/K113*SIN(X113-C$1)-C$12*(C$14+G$119*(K$126-K113)/(K$126-K$112))*COS(W113)</f>
        <v>-4.6775312512181699E-6</v>
      </c>
      <c r="V113" s="44">
        <f t="shared" si="96"/>
        <v>0.50883697655870663</v>
      </c>
      <c r="W113" s="44">
        <v>8.8808805968426368E-3</v>
      </c>
      <c r="X113" s="45">
        <v>0.19358586426732577</v>
      </c>
      <c r="Y113" s="45">
        <f t="shared" si="97"/>
        <v>11.091652995910179</v>
      </c>
      <c r="Z113" s="45">
        <f>-0.5*G$116*C$5*K113^2*(C$8+(C$3^2)*(X113-C$6)^2/(PI()*C$7))+N113/K113*COS(X113-C$1)-C$12*(C$14+G$119*(K$126-K113)/(K$126-K$112))*SIN(W113)</f>
        <v>-1.2264618476365285E-7</v>
      </c>
      <c r="AB113" s="30">
        <f t="shared" si="98"/>
        <v>2</v>
      </c>
    </row>
    <row r="114" spans="6:28" x14ac:dyDescent="0.3">
      <c r="F114" s="46"/>
      <c r="K114" s="95">
        <f t="shared" ref="K114:K125" si="106">G$122+T77*G$121</f>
        <v>53.196076101145614</v>
      </c>
      <c r="L114" s="12">
        <f t="shared" si="99"/>
        <v>0.67359997494258284</v>
      </c>
      <c r="M114" s="11">
        <f t="shared" si="94"/>
        <v>0.73955907163259993</v>
      </c>
      <c r="N114" s="21">
        <f t="shared" si="100"/>
        <v>156776.58115588548</v>
      </c>
      <c r="O114" s="21">
        <f t="shared" si="101"/>
        <v>2947.1455912987758</v>
      </c>
      <c r="P114" s="12">
        <f t="shared" si="102"/>
        <v>10.153478716880548</v>
      </c>
      <c r="Q114" s="12">
        <f t="shared" si="103"/>
        <v>0.69904668091944699</v>
      </c>
      <c r="R114" s="12">
        <f t="shared" si="104"/>
        <v>0.64901146619284422</v>
      </c>
      <c r="S114" s="30">
        <f t="shared" si="105"/>
        <v>6.7100586953481256E-2</v>
      </c>
      <c r="T114" s="54">
        <v>3</v>
      </c>
      <c r="U114" s="44">
        <f t="shared" ref="U114:U126" si="107">0.5*G$116*C$5*C$3*(X114-C$6)*K114^2+N114/K114*SIN(X114-C$1)-C$12*(C$14+G$119*(K$126-K114)/(K$126-K$112))*COS(W114)</f>
        <v>7.337803253903985E-8</v>
      </c>
      <c r="V114" s="44">
        <f t="shared" si="96"/>
        <v>0.69904668091944699</v>
      </c>
      <c r="W114" s="44">
        <v>1.2200666207182572E-2</v>
      </c>
      <c r="X114" s="45">
        <v>0.17721163414073471</v>
      </c>
      <c r="Y114" s="45">
        <f t="shared" si="97"/>
        <v>10.153478716880548</v>
      </c>
      <c r="Z114" s="45">
        <f t="shared" ref="Z114:Z126" si="108">-0.5*G$116*C$5*K114^2*(C$8+(C$3^2)*(X114-C$6)^2/(PI()*C$7))+N114/K114*COS(X114-C$1)-C$12*(C$14+G$119*(K$126-K114)/(K$126-K$112))*SIN(W114)</f>
        <v>-2.6081346504724934E-7</v>
      </c>
      <c r="AB114" s="30">
        <f t="shared" si="98"/>
        <v>3</v>
      </c>
    </row>
    <row r="115" spans="6:28" x14ac:dyDescent="0.3">
      <c r="F115" s="29" t="s">
        <v>6</v>
      </c>
      <c r="G115" s="29">
        <v>6000</v>
      </c>
      <c r="H115" s="29" t="s">
        <v>3</v>
      </c>
      <c r="I115" s="29"/>
      <c r="K115" s="95">
        <f t="shared" si="106"/>
        <v>57.096403092716812</v>
      </c>
      <c r="L115" s="12">
        <f t="shared" si="99"/>
        <v>0.72298820723992074</v>
      </c>
      <c r="M115" s="11">
        <f t="shared" si="94"/>
        <v>0.76346216676456147</v>
      </c>
      <c r="N115" s="21">
        <f t="shared" si="100"/>
        <v>161843.71599010532</v>
      </c>
      <c r="O115" s="21">
        <f t="shared" si="101"/>
        <v>2834.5693813197495</v>
      </c>
      <c r="P115" s="12">
        <f t="shared" si="102"/>
        <v>8.3017879564793482</v>
      </c>
      <c r="Q115" s="12">
        <f t="shared" si="103"/>
        <v>1.023779071071087</v>
      </c>
      <c r="R115" s="12">
        <f t="shared" si="104"/>
        <v>1.0201622625721403</v>
      </c>
      <c r="S115" s="30">
        <f t="shared" si="105"/>
        <v>4.4068075662473519E-2</v>
      </c>
      <c r="T115" s="54">
        <v>4</v>
      </c>
      <c r="U115" s="44">
        <f t="shared" si="107"/>
        <v>-7.0918031269684434E-7</v>
      </c>
      <c r="V115" s="44">
        <f t="shared" si="96"/>
        <v>1.023779071071087</v>
      </c>
      <c r="W115" s="44">
        <v>1.7868315603199496E-2</v>
      </c>
      <c r="X115" s="45">
        <v>0.14489353364297633</v>
      </c>
      <c r="Y115" s="45">
        <f t="shared" si="97"/>
        <v>8.3017879564793482</v>
      </c>
      <c r="Z115" s="45">
        <f t="shared" si="108"/>
        <v>6.7188040020482731E-7</v>
      </c>
      <c r="AB115" s="30">
        <f t="shared" si="98"/>
        <v>4</v>
      </c>
    </row>
    <row r="116" spans="6:28" ht="18.600000000000001" x14ac:dyDescent="0.3">
      <c r="F116" s="30" t="s">
        <v>83</v>
      </c>
      <c r="G116" s="30">
        <f>C$11*(1-G115/44300)^4.256</f>
        <v>0.65964919805020483</v>
      </c>
      <c r="H116" s="30" t="s">
        <v>84</v>
      </c>
      <c r="K116" s="95">
        <f t="shared" si="106"/>
        <v>60.996730084288011</v>
      </c>
      <c r="L116" s="12">
        <f t="shared" si="99"/>
        <v>0.77237643953725843</v>
      </c>
      <c r="M116" s="11">
        <f t="shared" si="94"/>
        <v>0.78411231176682428</v>
      </c>
      <c r="N116" s="21">
        <f t="shared" si="100"/>
        <v>166221.26912684293</v>
      </c>
      <c r="O116" s="21">
        <f t="shared" si="101"/>
        <v>2725.0849168004734</v>
      </c>
      <c r="P116" s="12">
        <f t="shared" si="102"/>
        <v>6.7931027773827823</v>
      </c>
      <c r="Q116" s="12">
        <f t="shared" si="103"/>
        <v>1.2199897416497345</v>
      </c>
      <c r="R116" s="12">
        <f t="shared" si="104"/>
        <v>1.2986953419779301</v>
      </c>
      <c r="S116" s="30">
        <f>(N116/1000)/(R116*3600)</f>
        <v>3.5553045633577869E-2</v>
      </c>
      <c r="T116" s="54">
        <v>5</v>
      </c>
      <c r="U116" s="44">
        <f t="shared" si="107"/>
        <v>-6.4223375375149772E-5</v>
      </c>
      <c r="V116" s="44">
        <f t="shared" si="96"/>
        <v>1.2199897416497345</v>
      </c>
      <c r="W116" s="44">
        <v>2.1292837832342863E-2</v>
      </c>
      <c r="X116" s="45">
        <v>0.11856200989170093</v>
      </c>
      <c r="Y116" s="45">
        <f t="shared" si="97"/>
        <v>6.7931027773827823</v>
      </c>
      <c r="Z116" s="45">
        <f t="shared" si="108"/>
        <v>-6.5941023876803229E-6</v>
      </c>
      <c r="AB116" s="30">
        <f t="shared" si="98"/>
        <v>5</v>
      </c>
    </row>
    <row r="117" spans="6:28" ht="18.600000000000001" x14ac:dyDescent="0.3">
      <c r="F117" s="30" t="s">
        <v>85</v>
      </c>
      <c r="G117" s="30">
        <f>C$4*((G116/C$11)-C$10)/(1-C$10)</f>
        <v>211986.55681390839</v>
      </c>
      <c r="H117" s="30" t="s">
        <v>35</v>
      </c>
      <c r="K117" s="95">
        <f t="shared" si="106"/>
        <v>64.897057075859209</v>
      </c>
      <c r="L117" s="12">
        <f t="shared" si="99"/>
        <v>0.82176467183459623</v>
      </c>
      <c r="M117" s="11">
        <f t="shared" si="94"/>
        <v>0.80168016111553519</v>
      </c>
      <c r="N117" s="21">
        <f t="shared" si="100"/>
        <v>169945.41702090163</v>
      </c>
      <c r="O117" s="21">
        <f t="shared" si="101"/>
        <v>2618.6921977409502</v>
      </c>
      <c r="P117" s="12">
        <f t="shared" si="102"/>
        <v>5.5494247130648544</v>
      </c>
      <c r="Q117" s="12">
        <f t="shared" si="103"/>
        <v>1.3141343935442586</v>
      </c>
      <c r="R117" s="12">
        <f t="shared" si="104"/>
        <v>1.488346581762884</v>
      </c>
      <c r="S117" s="30">
        <f t="shared" si="105"/>
        <v>3.1717787282898181E-2</v>
      </c>
      <c r="T117" s="54">
        <v>6</v>
      </c>
      <c r="U117" s="44">
        <f t="shared" si="107"/>
        <v>-2.3309159587370232E-5</v>
      </c>
      <c r="V117" s="44">
        <f t="shared" si="96"/>
        <v>1.3141343935442586</v>
      </c>
      <c r="W117" s="44">
        <v>2.293597198104623E-2</v>
      </c>
      <c r="X117" s="45">
        <v>9.6855732834523298E-2</v>
      </c>
      <c r="Y117" s="45">
        <f t="shared" si="97"/>
        <v>5.5494247130648544</v>
      </c>
      <c r="Z117" s="45">
        <f t="shared" si="108"/>
        <v>-1.8765722415992059E-6</v>
      </c>
      <c r="AB117" s="30">
        <f t="shared" si="98"/>
        <v>6</v>
      </c>
    </row>
    <row r="118" spans="6:28" ht="18.600000000000001" x14ac:dyDescent="0.3">
      <c r="F118" s="30" t="s">
        <v>86</v>
      </c>
      <c r="G118" s="30">
        <f>G117/G116/C$9^3/C$2^5</f>
        <v>0.19272010658290351</v>
      </c>
      <c r="H118" s="30" t="s">
        <v>7</v>
      </c>
      <c r="K118" s="95">
        <f t="shared" si="106"/>
        <v>68.797384067430414</v>
      </c>
      <c r="L118" s="12">
        <f t="shared" si="99"/>
        <v>0.87115290413193414</v>
      </c>
      <c r="M118" s="11">
        <f t="shared" si="94"/>
        <v>0.81633636928684039</v>
      </c>
      <c r="N118" s="21">
        <f t="shared" si="100"/>
        <v>173052.33612708451</v>
      </c>
      <c r="O118" s="21">
        <f t="shared" si="101"/>
        <v>2515.3912241411772</v>
      </c>
      <c r="P118" s="12">
        <f t="shared" si="102"/>
        <v>4.5133996531136571</v>
      </c>
      <c r="Q118" s="12">
        <f t="shared" si="103"/>
        <v>1.3253684835287871</v>
      </c>
      <c r="R118" s="12">
        <f t="shared" si="104"/>
        <v>1.5912821818652918</v>
      </c>
      <c r="S118" s="30">
        <f t="shared" si="105"/>
        <v>3.0208402957347953E-2</v>
      </c>
      <c r="T118" s="30">
        <v>7</v>
      </c>
      <c r="U118" s="44">
        <f t="shared" si="107"/>
        <v>-2.64773188973777E-5</v>
      </c>
      <c r="V118" s="44">
        <f t="shared" si="96"/>
        <v>1.3253684835287871</v>
      </c>
      <c r="W118" s="44">
        <v>2.3132043839741569E-2</v>
      </c>
      <c r="X118" s="45">
        <v>7.8773684405203256E-2</v>
      </c>
      <c r="Y118" s="45">
        <f t="shared" si="97"/>
        <v>4.5133996531136571</v>
      </c>
      <c r="Z118" s="45">
        <f t="shared" si="108"/>
        <v>-1.9479699631119729E-6</v>
      </c>
      <c r="AB118" s="30">
        <f t="shared" si="98"/>
        <v>7</v>
      </c>
    </row>
    <row r="119" spans="6:28" x14ac:dyDescent="0.3">
      <c r="F119" s="30" t="s">
        <v>142</v>
      </c>
      <c r="G119" s="30">
        <f>G101-G102</f>
        <v>522.32355338263733</v>
      </c>
      <c r="H119" s="30" t="s">
        <v>0</v>
      </c>
      <c r="K119" s="95">
        <f t="shared" si="106"/>
        <v>72.697711059001605</v>
      </c>
      <c r="L119" s="12">
        <f t="shared" si="99"/>
        <v>0.92054113642927182</v>
      </c>
      <c r="M119" s="11">
        <f t="shared" si="94"/>
        <v>0.82825159075688704</v>
      </c>
      <c r="N119" s="21">
        <f t="shared" si="100"/>
        <v>175578.20290019482</v>
      </c>
      <c r="O119" s="21">
        <f t="shared" si="101"/>
        <v>2415.1819960011562</v>
      </c>
      <c r="P119" s="12">
        <f t="shared" si="102"/>
        <v>3.6421780864838036</v>
      </c>
      <c r="Q119" s="12">
        <f t="shared" si="103"/>
        <v>1.2677439142293867</v>
      </c>
      <c r="R119" s="12">
        <f t="shared" si="104"/>
        <v>1.6084005091412761</v>
      </c>
      <c r="S119" s="30">
        <f t="shared" si="105"/>
        <v>3.0323120858666657E-2</v>
      </c>
      <c r="T119" s="30">
        <v>8</v>
      </c>
      <c r="U119" s="44">
        <f t="shared" si="107"/>
        <v>-3.8375492295017466E-5</v>
      </c>
      <c r="V119" s="44">
        <f t="shared" si="96"/>
        <v>1.2677439142293867</v>
      </c>
      <c r="W119" s="44">
        <v>2.2126305375423389E-2</v>
      </c>
      <c r="X119" s="45">
        <v>6.3567999553129154E-2</v>
      </c>
      <c r="Y119" s="45">
        <f t="shared" si="97"/>
        <v>3.6421780864838036</v>
      </c>
      <c r="Z119" s="45">
        <f t="shared" si="108"/>
        <v>-2.6846799983104574E-6</v>
      </c>
      <c r="AB119" s="30">
        <f t="shared" si="98"/>
        <v>8</v>
      </c>
    </row>
    <row r="120" spans="6:28" x14ac:dyDescent="0.3">
      <c r="F120" s="30" t="s">
        <v>143</v>
      </c>
      <c r="G120" s="30" cm="1">
        <f t="array" ref="G120">(G133-G115)*C$16*MIN(IF(S112:S126&gt;0,S112:S126))</f>
        <v>9.364604916777866</v>
      </c>
      <c r="H120" s="30" t="s">
        <v>0</v>
      </c>
      <c r="K120" s="95">
        <f t="shared" si="106"/>
        <v>76.598038050572811</v>
      </c>
      <c r="L120" s="12">
        <f t="shared" si="99"/>
        <v>0.96992936872660973</v>
      </c>
      <c r="M120" s="11">
        <f t="shared" si="94"/>
        <v>0.83759648000182163</v>
      </c>
      <c r="N120" s="21">
        <f t="shared" si="100"/>
        <v>177559.19379503586</v>
      </c>
      <c r="O120" s="21">
        <f t="shared" si="101"/>
        <v>2318.0645133208873</v>
      </c>
      <c r="P120" s="12">
        <f t="shared" si="102"/>
        <v>2.9032769827666445</v>
      </c>
      <c r="Q120" s="12">
        <f t="shared" si="103"/>
        <v>1.1516767289097019</v>
      </c>
      <c r="R120" s="12">
        <f t="shared" si="104"/>
        <v>1.5395590811524216</v>
      </c>
      <c r="S120" s="30">
        <f t="shared" si="105"/>
        <v>3.2036443992444485E-2</v>
      </c>
      <c r="T120" s="54">
        <v>9</v>
      </c>
      <c r="U120" s="44">
        <f t="shared" si="107"/>
        <v>-3.1359268177766353E-5</v>
      </c>
      <c r="V120" s="44">
        <f t="shared" si="96"/>
        <v>1.1516767289097019</v>
      </c>
      <c r="W120" s="44">
        <v>2.010055083807246E-2</v>
      </c>
      <c r="X120" s="45">
        <v>5.0671742446644616E-2</v>
      </c>
      <c r="Y120" s="45">
        <f t="shared" si="97"/>
        <v>2.9032769827666445</v>
      </c>
      <c r="Z120" s="45">
        <f t="shared" si="108"/>
        <v>-1.974605766008608E-6</v>
      </c>
      <c r="AB120" s="30">
        <f t="shared" si="98"/>
        <v>9</v>
      </c>
    </row>
    <row r="121" spans="6:28" ht="15.6" thickBot="1" x14ac:dyDescent="0.35">
      <c r="F121" s="30" t="s">
        <v>151</v>
      </c>
      <c r="G121" s="30">
        <f>(K126-G122)/T125</f>
        <v>3.9003269915711987</v>
      </c>
      <c r="H121" s="30" t="s">
        <v>150</v>
      </c>
      <c r="K121" s="95">
        <f t="shared" si="106"/>
        <v>80.498365042144002</v>
      </c>
      <c r="L121" s="12">
        <f t="shared" si="99"/>
        <v>1.0193176010239473</v>
      </c>
      <c r="M121" s="11">
        <f t="shared" si="94"/>
        <v>0.84454169149779035</v>
      </c>
      <c r="N121" s="21">
        <f t="shared" si="100"/>
        <v>179031.48526641063</v>
      </c>
      <c r="O121" s="21">
        <f t="shared" si="101"/>
        <v>2224.0387761003685</v>
      </c>
      <c r="P121" s="12">
        <f t="shared" si="102"/>
        <v>2.271740941089075</v>
      </c>
      <c r="Q121" s="12">
        <f t="shared" si="103"/>
        <v>0.98494509580318712</v>
      </c>
      <c r="R121" s="12">
        <f t="shared" si="104"/>
        <v>1.3837417965126706</v>
      </c>
      <c r="S121" s="30">
        <f t="shared" si="105"/>
        <v>3.5939485426321104E-2</v>
      </c>
      <c r="T121" s="54">
        <v>10</v>
      </c>
      <c r="U121" s="44">
        <f t="shared" si="107"/>
        <v>-1.9508566765580326E-5</v>
      </c>
      <c r="V121" s="44">
        <f t="shared" si="96"/>
        <v>0.98494509580318712</v>
      </c>
      <c r="W121" s="44">
        <v>1.7190534873136598E-2</v>
      </c>
      <c r="X121" s="45">
        <v>3.9649359174358891E-2</v>
      </c>
      <c r="Y121" s="45">
        <f t="shared" si="97"/>
        <v>2.271740941089075</v>
      </c>
      <c r="Z121" s="45">
        <f t="shared" si="108"/>
        <v>-1.0909445222750946E-6</v>
      </c>
      <c r="AB121" s="30">
        <f t="shared" si="98"/>
        <v>10</v>
      </c>
    </row>
    <row r="122" spans="6:28" x14ac:dyDescent="0.3">
      <c r="G122" s="91">
        <f>SQRT(2*(C$14)*C$12/C$5/C$15/G116)</f>
        <v>45.395422118003218</v>
      </c>
      <c r="K122" s="95">
        <f t="shared" si="106"/>
        <v>84.398692033715207</v>
      </c>
      <c r="L122" s="12">
        <f t="shared" si="99"/>
        <v>1.0687058333212853</v>
      </c>
      <c r="M122" s="11">
        <f t="shared" si="94"/>
        <v>0.84925787972094069</v>
      </c>
      <c r="N122" s="21">
        <f t="shared" si="100"/>
        <v>180031.25376912256</v>
      </c>
      <c r="O122" s="21">
        <f t="shared" si="101"/>
        <v>2133.1047843396018</v>
      </c>
      <c r="P122" s="12">
        <f t="shared" si="102"/>
        <v>1.7281617398149423</v>
      </c>
      <c r="Q122" s="12">
        <f t="shared" si="103"/>
        <v>0.77337931591303</v>
      </c>
      <c r="R122" s="12">
        <f t="shared" si="104"/>
        <v>1.1391802541382623</v>
      </c>
      <c r="S122" s="30">
        <f t="shared" si="105"/>
        <v>4.3898831129550543E-2</v>
      </c>
      <c r="T122" s="54">
        <v>11</v>
      </c>
      <c r="U122" s="44">
        <f t="shared" si="107"/>
        <v>-9.4155839178711176E-6</v>
      </c>
      <c r="V122" s="44">
        <f t="shared" si="96"/>
        <v>0.77337931591303</v>
      </c>
      <c r="W122" s="44">
        <v>1.3498015429503749E-2</v>
      </c>
      <c r="X122" s="45">
        <v>3.0162112366764322E-2</v>
      </c>
      <c r="Y122" s="45">
        <f t="shared" si="97"/>
        <v>1.7281617398149423</v>
      </c>
      <c r="Z122" s="45">
        <f t="shared" si="108"/>
        <v>-4.6281292043204303E-7</v>
      </c>
      <c r="AB122" s="30">
        <f t="shared" si="98"/>
        <v>11</v>
      </c>
    </row>
    <row r="123" spans="6:28" x14ac:dyDescent="0.3">
      <c r="K123" s="95">
        <f t="shared" si="106"/>
        <v>88.299019025286412</v>
      </c>
      <c r="L123" s="12">
        <f t="shared" si="99"/>
        <v>1.1180940656186231</v>
      </c>
      <c r="M123" s="11">
        <f t="shared" si="94"/>
        <v>0.85191569914741838</v>
      </c>
      <c r="N123" s="21">
        <f t="shared" si="100"/>
        <v>180594.67575797471</v>
      </c>
      <c r="O123" s="21">
        <f t="shared" si="101"/>
        <v>2045.2625380385864</v>
      </c>
      <c r="P123" s="12">
        <f t="shared" si="102"/>
        <v>1.2572748430587914</v>
      </c>
      <c r="Q123" s="12">
        <f t="shared" si="103"/>
        <v>0.52134626289628516</v>
      </c>
      <c r="R123" s="12">
        <f t="shared" si="104"/>
        <v>0.80344012664825859</v>
      </c>
      <c r="S123" s="30">
        <f t="shared" si="105"/>
        <v>6.2437991390627362E-2</v>
      </c>
      <c r="T123" s="54">
        <v>12</v>
      </c>
      <c r="U123" s="44">
        <f t="shared" si="107"/>
        <v>-3.1262679840438068E-6</v>
      </c>
      <c r="V123" s="44">
        <f t="shared" si="96"/>
        <v>0.52134626289628516</v>
      </c>
      <c r="W123" s="44">
        <v>9.0992088305081251E-3</v>
      </c>
      <c r="X123" s="45">
        <v>2.1943585613870886E-2</v>
      </c>
      <c r="Y123" s="45">
        <f t="shared" si="97"/>
        <v>1.2572748430587914</v>
      </c>
      <c r="Z123" s="45">
        <f t="shared" si="108"/>
        <v>-1.2902992807539704E-7</v>
      </c>
      <c r="AB123" s="30">
        <f t="shared" si="98"/>
        <v>12</v>
      </c>
    </row>
    <row r="124" spans="6:28" x14ac:dyDescent="0.3">
      <c r="K124" s="95">
        <f t="shared" si="106"/>
        <v>92.199346016857604</v>
      </c>
      <c r="L124" s="12">
        <f t="shared" si="99"/>
        <v>1.1674822979159609</v>
      </c>
      <c r="M124" s="11">
        <f t="shared" si="94"/>
        <v>0.8526858042533707</v>
      </c>
      <c r="N124" s="21">
        <f t="shared" si="100"/>
        <v>180757.92768777034</v>
      </c>
      <c r="O124" s="21">
        <f t="shared" si="101"/>
        <v>1960.5120371973223</v>
      </c>
      <c r="P124" s="12">
        <f t="shared" si="102"/>
        <v>0.8469501147288403</v>
      </c>
      <c r="Q124" s="12">
        <f t="shared" si="103"/>
        <v>0.2320941685090222</v>
      </c>
      <c r="R124" s="12">
        <f t="shared" si="104"/>
        <v>0.37348077310592198</v>
      </c>
      <c r="S124" s="30">
        <f t="shared" si="105"/>
        <v>0.13443941183709879</v>
      </c>
      <c r="T124" s="30">
        <v>13</v>
      </c>
      <c r="U124" s="44">
        <f t="shared" si="107"/>
        <v>-3.7464269553311169E-7</v>
      </c>
      <c r="V124" s="44">
        <f t="shared" si="96"/>
        <v>0.2320941685090222</v>
      </c>
      <c r="W124" s="44">
        <v>4.0508074151609759E-3</v>
      </c>
      <c r="X124" s="45">
        <v>1.4782068102161984E-2</v>
      </c>
      <c r="Y124" s="45">
        <f t="shared" si="97"/>
        <v>0.8469501147288403</v>
      </c>
      <c r="Z124" s="45">
        <f t="shared" si="108"/>
        <v>-7.451276928804873E-9</v>
      </c>
      <c r="AB124" s="30">
        <f t="shared" si="98"/>
        <v>13</v>
      </c>
    </row>
    <row r="125" spans="6:28" x14ac:dyDescent="0.3">
      <c r="K125" s="95">
        <f t="shared" si="106"/>
        <v>96.099673008428795</v>
      </c>
      <c r="L125" s="12">
        <f t="shared" si="99"/>
        <v>1.2168705302132987</v>
      </c>
      <c r="M125" s="11">
        <f t="shared" si="94"/>
        <v>0.85173884951494427</v>
      </c>
      <c r="N125" s="21">
        <f t="shared" si="100"/>
        <v>180557.18601331269</v>
      </c>
      <c r="O125" s="21">
        <f t="shared" si="101"/>
        <v>1878.8532818158103</v>
      </c>
      <c r="P125" s="12">
        <f t="shared" si="102"/>
        <v>0.48745605052476726</v>
      </c>
      <c r="Q125" s="12">
        <f t="shared" si="103"/>
        <v>-9.1999061332752111E-2</v>
      </c>
      <c r="R125" s="12">
        <f t="shared" si="104"/>
        <v>-0.15430588408499882</v>
      </c>
      <c r="S125" s="30">
        <f t="shared" si="105"/>
        <v>-0.32503474634161905</v>
      </c>
      <c r="T125" s="30">
        <v>14</v>
      </c>
      <c r="U125" s="44">
        <f t="shared" si="107"/>
        <v>-2.0787410903722048E-8</v>
      </c>
      <c r="V125" s="44">
        <f t="shared" si="96"/>
        <v>-9.1999061332752111E-2</v>
      </c>
      <c r="W125" s="44">
        <v>-1.605686529000727E-3</v>
      </c>
      <c r="X125" s="45">
        <v>8.5077130404250211E-3</v>
      </c>
      <c r="Y125" s="45">
        <f t="shared" si="97"/>
        <v>0.48745605052476726</v>
      </c>
      <c r="Z125" s="45">
        <f t="shared" si="108"/>
        <v>1.0397229743830394E-9</v>
      </c>
      <c r="AB125" s="30">
        <f t="shared" si="98"/>
        <v>14</v>
      </c>
    </row>
    <row r="126" spans="6:28" x14ac:dyDescent="0.3">
      <c r="K126" s="95">
        <f t="shared" ref="K126" si="109">K108</f>
        <v>100</v>
      </c>
      <c r="L126" s="12">
        <f t="shared" si="99"/>
        <v>1.2662587625106365</v>
      </c>
      <c r="M126" s="11">
        <f t="shared" si="94"/>
        <v>0.8492454894082857</v>
      </c>
      <c r="N126" s="21">
        <f t="shared" si="100"/>
        <v>180028.627189405</v>
      </c>
      <c r="O126" s="21">
        <f t="shared" si="101"/>
        <v>1800.2862718940501</v>
      </c>
      <c r="P126" s="12">
        <f t="shared" si="102"/>
        <v>0.17091651264111343</v>
      </c>
      <c r="Q126" s="12">
        <f t="shared" si="103"/>
        <v>-0.44924526528865066</v>
      </c>
      <c r="R126" s="12">
        <f t="shared" si="104"/>
        <v>-0.78407286886123684</v>
      </c>
      <c r="S126" s="30">
        <f t="shared" si="105"/>
        <v>-6.377972505245201E-2</v>
      </c>
      <c r="T126" s="54">
        <v>15</v>
      </c>
      <c r="U126" s="44">
        <f t="shared" si="107"/>
        <v>-3.1514048168901354E-4</v>
      </c>
      <c r="V126" s="44">
        <f t="shared" si="96"/>
        <v>-0.44924526528865066</v>
      </c>
      <c r="W126" s="44">
        <v>-7.8408090282823476E-3</v>
      </c>
      <c r="X126" s="45">
        <v>2.9830558916139386E-3</v>
      </c>
      <c r="Y126" s="45">
        <f t="shared" si="97"/>
        <v>0.17091651264111343</v>
      </c>
      <c r="Z126" s="45">
        <f t="shared" si="108"/>
        <v>1.2763796320314214E-5</v>
      </c>
      <c r="AB126" s="30">
        <f t="shared" si="98"/>
        <v>15</v>
      </c>
    </row>
    <row r="127" spans="6:28" ht="15.6" thickBot="1" x14ac:dyDescent="0.35"/>
    <row r="128" spans="6:28" ht="16.2" thickBot="1" x14ac:dyDescent="0.35">
      <c r="K128" s="132" t="s">
        <v>136</v>
      </c>
      <c r="L128" s="133"/>
      <c r="M128" s="133"/>
      <c r="N128" s="133"/>
      <c r="O128" s="133"/>
      <c r="P128" s="133"/>
      <c r="Q128" s="133"/>
      <c r="R128" s="134"/>
    </row>
    <row r="129" spans="6:28" ht="18.600000000000001" thickBot="1" x14ac:dyDescent="0.35">
      <c r="F129" s="46"/>
      <c r="K129" s="96" t="s">
        <v>67</v>
      </c>
      <c r="L129" s="96" t="s">
        <v>15</v>
      </c>
      <c r="M129" s="96" t="s">
        <v>74</v>
      </c>
      <c r="N129" s="96" t="s">
        <v>73</v>
      </c>
      <c r="O129" s="96" t="s">
        <v>68</v>
      </c>
      <c r="P129" s="96" t="s">
        <v>70</v>
      </c>
      <c r="Q129" s="96" t="s">
        <v>87</v>
      </c>
      <c r="R129" s="96" t="s">
        <v>69</v>
      </c>
      <c r="S129" s="30" t="s">
        <v>147</v>
      </c>
      <c r="U129" s="58" t="s">
        <v>98</v>
      </c>
      <c r="V129" s="56" t="s">
        <v>99</v>
      </c>
      <c r="W129" s="56" t="s">
        <v>101</v>
      </c>
      <c r="X129" s="55" t="s">
        <v>101</v>
      </c>
      <c r="Y129" s="55" t="s">
        <v>99</v>
      </c>
      <c r="Z129" s="57" t="s">
        <v>100</v>
      </c>
    </row>
    <row r="130" spans="6:28" x14ac:dyDescent="0.3">
      <c r="F130" s="46"/>
      <c r="K130" s="109">
        <f>SQRT(2*(C$14+G137)*C$12/C$5/C$15/G134)</f>
        <v>52.897697598007575</v>
      </c>
      <c r="L130" s="92">
        <f>K130/C$9/C$2</f>
        <v>0.66982173100114939</v>
      </c>
      <c r="M130" s="93">
        <f t="shared" ref="M130:M144" si="110">0.2456*L130^3-1.2145*L130^2+1.8139*L130</f>
        <v>0.74389911568428835</v>
      </c>
      <c r="N130" s="94">
        <f>G$135*M130</f>
        <v>136085.36112637463</v>
      </c>
      <c r="O130" s="94">
        <f>N130/K130</f>
        <v>2572.6140702861208</v>
      </c>
      <c r="P130" s="92">
        <f>Y130</f>
        <v>11.874401780653031</v>
      </c>
      <c r="Q130" s="92">
        <f t="shared" ref="Q130" si="111">V130</f>
        <v>-0.52915492937021835</v>
      </c>
      <c r="R130" s="92">
        <f>K130*SIN(RADIANS(Q130))</f>
        <v>-0.48852951757149193</v>
      </c>
      <c r="S130" s="30">
        <f>(N130/1000)/(R130*3600)</f>
        <v>-7.7378106833102103E-2</v>
      </c>
      <c r="T130" s="30">
        <v>1</v>
      </c>
      <c r="U130" s="44">
        <f>0.5*G$134*C$5*C$3*(X130-C$6)*K130^2+N130/K130*SIN(X130-C$1)-C$12*(C$14+G$137*(K$144-K130)/(K$144-G$158))*COS(W130)</f>
        <v>-1.5450270439032465E-5</v>
      </c>
      <c r="V130" s="44">
        <f t="shared" ref="V130:V144" si="112">DEGREES(W130)</f>
        <v>-0.52915492937021835</v>
      </c>
      <c r="W130" s="44">
        <v>-9.2354957706683553E-3</v>
      </c>
      <c r="X130" s="45">
        <v>0.2072474077770729</v>
      </c>
      <c r="Y130" s="45">
        <f t="shared" ref="Y130:Y144" si="113">DEGREES(X130)</f>
        <v>11.874401780653031</v>
      </c>
      <c r="Z130" s="45">
        <f>-0.5*G$134*C$5*K130^2*(C$8+(C$3^2)*(X130-C$6)^2/(PI()*C$7))+N130/K130*COS(X130-C$1)-C$12*(C$14+G$137*(K$144-K130)/(K$144-G$158))*SIN(W130)</f>
        <v>1.3671410670212936E-9</v>
      </c>
      <c r="AB130" s="30">
        <f t="shared" ref="AB130:AB144" si="114">T130</f>
        <v>1</v>
      </c>
    </row>
    <row r="131" spans="6:28" x14ac:dyDescent="0.3">
      <c r="F131" s="46"/>
      <c r="K131" s="95">
        <v>54</v>
      </c>
      <c r="L131" s="12">
        <f t="shared" ref="L131:L144" si="115">K131/C$9/C$2</f>
        <v>0.68377973175574369</v>
      </c>
      <c r="M131" s="11">
        <f t="shared" si="110"/>
        <v>0.75098225707433242</v>
      </c>
      <c r="N131" s="21">
        <f t="shared" ref="N131:N144" si="116">G$135*M131</f>
        <v>137381.11727616738</v>
      </c>
      <c r="O131" s="21">
        <f t="shared" ref="O131:O144" si="117">N131/K131</f>
        <v>2544.0947643734698</v>
      </c>
      <c r="P131" s="12">
        <f t="shared" ref="P131:P144" si="118">Y131</f>
        <v>11.339375337612438</v>
      </c>
      <c r="Q131" s="12">
        <f t="shared" ref="Q131:Q144" si="119">V131</f>
        <v>-0.45504097226146067</v>
      </c>
      <c r="R131" s="12">
        <f t="shared" ref="R131:R144" si="120">K131*SIN(RADIANS(Q131))</f>
        <v>-0.42886150423771474</v>
      </c>
      <c r="S131" s="30">
        <f t="shared" ref="S131:S144" si="121">(N131/1000)/(R131*3600)</f>
        <v>-8.8983089152365274E-2</v>
      </c>
      <c r="T131" s="30">
        <v>2</v>
      </c>
      <c r="U131" s="44">
        <f>0.5*G$134*C$5*C$3*(X131-C$6)*K131^2+N131/K131*SIN(X131-C$1)-C$12*(C$14+G$137*(K$144-K131)/(K$144-K$130))*COS(W131)</f>
        <v>1.0652170021785423E-4</v>
      </c>
      <c r="V131" s="44">
        <f t="shared" si="112"/>
        <v>-0.45504097226146067</v>
      </c>
      <c r="W131" s="44">
        <v>-7.9419631974386763E-3</v>
      </c>
      <c r="X131" s="45">
        <v>0.19790943476078066</v>
      </c>
      <c r="Y131" s="45">
        <f t="shared" si="113"/>
        <v>11.339375337612438</v>
      </c>
      <c r="Z131" s="45">
        <f>-0.5*G$134*C$5*K131^2*(C$8+(C$3^2)*(X131-C$6)^2/(PI()*C$7))+N131/K131*COS(X131-C$1)-C$12*(C$14+G$137*(K$144-K131)/(K$144-K$130))*SIN(W131)</f>
        <v>2.0251199174481371E-5</v>
      </c>
      <c r="AB131" s="30">
        <f t="shared" si="114"/>
        <v>2</v>
      </c>
    </row>
    <row r="132" spans="6:28" x14ac:dyDescent="0.3">
      <c r="F132" s="46"/>
      <c r="K132" s="95">
        <f t="shared" ref="K132:K143" si="122">G$140+T95*G$139</f>
        <v>54.735267115473484</v>
      </c>
      <c r="L132" s="12">
        <f t="shared" si="115"/>
        <v>0.69309011603328596</v>
      </c>
      <c r="M132" s="11">
        <f t="shared" si="110"/>
        <v>0.75555270453716528</v>
      </c>
      <c r="N132" s="21">
        <f t="shared" si="116"/>
        <v>138217.21316655786</v>
      </c>
      <c r="O132" s="21">
        <f t="shared" si="117"/>
        <v>2525.1948232017362</v>
      </c>
      <c r="P132" s="12">
        <f t="shared" si="118"/>
        <v>10.924652880828887</v>
      </c>
      <c r="Q132" s="12">
        <f t="shared" si="119"/>
        <v>-0.36329924441792943</v>
      </c>
      <c r="R132" s="12">
        <f t="shared" si="120"/>
        <v>-0.3470613037512687</v>
      </c>
      <c r="S132" s="30">
        <f t="shared" si="121"/>
        <v>-0.11062503917624812</v>
      </c>
      <c r="T132" s="54">
        <v>3</v>
      </c>
      <c r="U132" s="44">
        <f t="shared" ref="U132:U144" si="123">0.5*G$134*C$5*C$3*(X132-C$6)*K132^2+N132/K132*SIN(X132-C$1)-C$12*(C$14+G$137*(K$144-K132)/(K$144-K$130))*COS(W132)</f>
        <v>3.6234268918633461E-9</v>
      </c>
      <c r="V132" s="44">
        <f t="shared" si="112"/>
        <v>-0.36329924441792943</v>
      </c>
      <c r="W132" s="44">
        <v>-6.3407679851004992E-3</v>
      </c>
      <c r="X132" s="45">
        <v>0.19067116240794779</v>
      </c>
      <c r="Y132" s="45">
        <f t="shared" si="113"/>
        <v>10.924652880828887</v>
      </c>
      <c r="Z132" s="45">
        <f t="shared" ref="Z132:Z144" si="124">-0.5*G$134*C$5*K132^2*(C$8+(C$3^2)*(X132-C$6)^2/(PI()*C$7))+N132/K132*COS(X132-C$1)-C$12*(C$14+G$137*(K$144-K132)/(K$144-K$130))*SIN(W132)</f>
        <v>-1.2537867633000133E-8</v>
      </c>
      <c r="AB132" s="30">
        <f t="shared" si="114"/>
        <v>3</v>
      </c>
    </row>
    <row r="133" spans="6:28" x14ac:dyDescent="0.3">
      <c r="F133" s="29" t="s">
        <v>6</v>
      </c>
      <c r="G133" s="29">
        <v>7000</v>
      </c>
      <c r="H133" s="29" t="s">
        <v>3</v>
      </c>
      <c r="I133" s="29"/>
      <c r="K133" s="95">
        <f t="shared" si="122"/>
        <v>58.090661522517358</v>
      </c>
      <c r="L133" s="12">
        <f t="shared" si="115"/>
        <v>0.7355780917292708</v>
      </c>
      <c r="M133" s="11">
        <f t="shared" si="110"/>
        <v>0.77487889585422387</v>
      </c>
      <c r="N133" s="21">
        <f t="shared" si="116"/>
        <v>141752.65455790842</v>
      </c>
      <c r="O133" s="21">
        <f t="shared" si="117"/>
        <v>2440.1969411720615</v>
      </c>
      <c r="P133" s="12">
        <f t="shared" si="118"/>
        <v>9.2272074990749395</v>
      </c>
      <c r="Q133" s="12">
        <f t="shared" si="119"/>
        <v>-1.6056390002353801E-2</v>
      </c>
      <c r="R133" s="12">
        <f t="shared" si="120"/>
        <v>-1.6279145036835464E-2</v>
      </c>
      <c r="S133" s="30">
        <f t="shared" si="121"/>
        <v>-2.4187841123166942</v>
      </c>
      <c r="T133" s="54">
        <v>4</v>
      </c>
      <c r="U133" s="44">
        <f t="shared" si="123"/>
        <v>1.3242242857813835E-9</v>
      </c>
      <c r="V133" s="44">
        <f t="shared" si="112"/>
        <v>-1.6056390002353801E-2</v>
      </c>
      <c r="W133" s="44">
        <v>-2.802368715253739E-4</v>
      </c>
      <c r="X133" s="45">
        <v>0.16104515162356933</v>
      </c>
      <c r="Y133" s="45">
        <f t="shared" si="113"/>
        <v>9.2272074990749395</v>
      </c>
      <c r="Z133" s="45">
        <f t="shared" si="124"/>
        <v>-5.5110112029410629E-9</v>
      </c>
      <c r="AB133" s="30">
        <f t="shared" si="114"/>
        <v>4</v>
      </c>
    </row>
    <row r="134" spans="6:28" ht="18.600000000000001" x14ac:dyDescent="0.3">
      <c r="F134" s="30" t="s">
        <v>83</v>
      </c>
      <c r="G134" s="30">
        <f>C$11*(1-G133/44300)^4.256</f>
        <v>0.58940232539774051</v>
      </c>
      <c r="H134" s="30" t="s">
        <v>84</v>
      </c>
      <c r="K134" s="95">
        <f t="shared" si="122"/>
        <v>61.446055929561233</v>
      </c>
      <c r="L134" s="12">
        <f t="shared" si="115"/>
        <v>0.77806606742525564</v>
      </c>
      <c r="M134" s="11">
        <f t="shared" si="110"/>
        <v>0.79177696130961517</v>
      </c>
      <c r="N134" s="21">
        <f t="shared" si="116"/>
        <v>144843.90616898035</v>
      </c>
      <c r="O134" s="21">
        <f t="shared" si="117"/>
        <v>2357.2531056350035</v>
      </c>
      <c r="P134" s="12">
        <f t="shared" si="118"/>
        <v>7.8009282703259464</v>
      </c>
      <c r="Q134" s="12">
        <f t="shared" si="119"/>
        <v>0.23064811041878391</v>
      </c>
      <c r="R134" s="12">
        <f t="shared" si="120"/>
        <v>0.24735466618121349</v>
      </c>
      <c r="S134" s="30">
        <f>(N134/1000)/(R134*3600)</f>
        <v>0.16265882104199458</v>
      </c>
      <c r="T134" s="54">
        <v>5</v>
      </c>
      <c r="U134" s="44">
        <f t="shared" si="123"/>
        <v>-4.4848165998701006E-6</v>
      </c>
      <c r="V134" s="44">
        <f t="shared" si="112"/>
        <v>0.23064811041878391</v>
      </c>
      <c r="W134" s="44">
        <v>4.0255689403112162E-3</v>
      </c>
      <c r="X134" s="45">
        <v>0.13615188302909403</v>
      </c>
      <c r="Y134" s="45">
        <f t="shared" si="113"/>
        <v>7.8009282703259464</v>
      </c>
      <c r="Z134" s="45">
        <f t="shared" si="124"/>
        <v>-4.0548884783220274E-7</v>
      </c>
      <c r="AB134" s="30">
        <f t="shared" si="114"/>
        <v>5</v>
      </c>
    </row>
    <row r="135" spans="6:28" ht="18.600000000000001" x14ac:dyDescent="0.3">
      <c r="F135" s="30" t="s">
        <v>85</v>
      </c>
      <c r="G135" s="30">
        <f>C$4*((G134/C$11)-C$10)/(1-C$10)</f>
        <v>182935.23712713944</v>
      </c>
      <c r="H135" s="30" t="s">
        <v>35</v>
      </c>
      <c r="K135" s="95">
        <f t="shared" si="122"/>
        <v>64.801450336605114</v>
      </c>
      <c r="L135" s="12">
        <f t="shared" si="115"/>
        <v>0.82055404312124058</v>
      </c>
      <c r="M135" s="11">
        <f t="shared" si="110"/>
        <v>0.80635992674059231</v>
      </c>
      <c r="N135" s="21">
        <f t="shared" si="116"/>
        <v>147511.64440811303</v>
      </c>
      <c r="O135" s="21">
        <f t="shared" si="117"/>
        <v>2276.3633165905621</v>
      </c>
      <c r="P135" s="12">
        <f t="shared" si="118"/>
        <v>6.5924227092239596</v>
      </c>
      <c r="Q135" s="12">
        <f t="shared" si="119"/>
        <v>0.39479511653858812</v>
      </c>
      <c r="R135" s="12">
        <f t="shared" si="120"/>
        <v>0.44650921781757813</v>
      </c>
      <c r="S135" s="30">
        <f t="shared" si="121"/>
        <v>9.1768445409277005E-2</v>
      </c>
      <c r="T135" s="54">
        <v>6</v>
      </c>
      <c r="U135" s="44">
        <f t="shared" si="123"/>
        <v>-1.8519240256864578E-6</v>
      </c>
      <c r="V135" s="44">
        <f t="shared" si="112"/>
        <v>0.39479511653858812</v>
      </c>
      <c r="W135" s="44">
        <v>6.890474654393082E-3</v>
      </c>
      <c r="X135" s="45">
        <v>0.11505948195920285</v>
      </c>
      <c r="Y135" s="45">
        <f t="shared" si="113"/>
        <v>6.5924227092239596</v>
      </c>
      <c r="Z135" s="45">
        <f t="shared" si="124"/>
        <v>-9.2294726528052706E-8</v>
      </c>
      <c r="AB135" s="30">
        <f t="shared" si="114"/>
        <v>6</v>
      </c>
    </row>
    <row r="136" spans="6:28" ht="18.600000000000001" x14ac:dyDescent="0.3">
      <c r="F136" s="30" t="s">
        <v>86</v>
      </c>
      <c r="G136" s="30">
        <f>G135/G134/C$9^3/C$2^5</f>
        <v>0.18613038162451351</v>
      </c>
      <c r="H136" s="30" t="s">
        <v>7</v>
      </c>
      <c r="K136" s="95">
        <f t="shared" si="122"/>
        <v>68.156844743648989</v>
      </c>
      <c r="L136" s="12">
        <f t="shared" si="115"/>
        <v>0.86304201881722553</v>
      </c>
      <c r="M136" s="11">
        <f t="shared" si="110"/>
        <v>0.81874081798440868</v>
      </c>
      <c r="N136" s="21">
        <f t="shared" si="116"/>
        <v>149776.54568364591</v>
      </c>
      <c r="O136" s="21">
        <f t="shared" si="117"/>
        <v>2197.5275740387383</v>
      </c>
      <c r="P136" s="12">
        <f t="shared" si="118"/>
        <v>5.5605883229688553</v>
      </c>
      <c r="Q136" s="12">
        <f t="shared" si="119"/>
        <v>0.49005681819566221</v>
      </c>
      <c r="R136" s="12">
        <f t="shared" si="120"/>
        <v>0.58294554183463942</v>
      </c>
      <c r="S136" s="30">
        <f t="shared" si="121"/>
        <v>7.1369610087929441E-2</v>
      </c>
      <c r="T136" s="30">
        <v>7</v>
      </c>
      <c r="U136" s="44">
        <f t="shared" si="123"/>
        <v>-2.8652866603806615E-6</v>
      </c>
      <c r="V136" s="44">
        <f t="shared" si="112"/>
        <v>0.49005681819566221</v>
      </c>
      <c r="W136" s="44">
        <v>8.5531049993615629E-3</v>
      </c>
      <c r="X136" s="45">
        <v>9.7050574583756349E-2</v>
      </c>
      <c r="Y136" s="45">
        <f t="shared" si="113"/>
        <v>5.5605883229688553</v>
      </c>
      <c r="Z136" s="45">
        <f t="shared" si="124"/>
        <v>-2.0068912931492378E-7</v>
      </c>
      <c r="AB136" s="30">
        <f t="shared" si="114"/>
        <v>7</v>
      </c>
    </row>
    <row r="137" spans="6:28" x14ac:dyDescent="0.3">
      <c r="F137" s="30" t="s">
        <v>142</v>
      </c>
      <c r="G137" s="30">
        <f>G119-G120</f>
        <v>512.95894846585941</v>
      </c>
      <c r="H137" s="30" t="s">
        <v>0</v>
      </c>
      <c r="K137" s="95">
        <f t="shared" si="122"/>
        <v>71.512239150692864</v>
      </c>
      <c r="L137" s="12">
        <f t="shared" si="115"/>
        <v>0.90552999451321037</v>
      </c>
      <c r="M137" s="11">
        <f t="shared" si="110"/>
        <v>0.82903266087831728</v>
      </c>
      <c r="N137" s="21">
        <f t="shared" si="116"/>
        <v>151659.28640391835</v>
      </c>
      <c r="O137" s="21">
        <f t="shared" si="117"/>
        <v>2120.7458779795311</v>
      </c>
      <c r="P137" s="12">
        <f t="shared" si="118"/>
        <v>4.6734224671934355</v>
      </c>
      <c r="Q137" s="12">
        <f t="shared" si="119"/>
        <v>0.52692125681476742</v>
      </c>
      <c r="R137" s="12">
        <f t="shared" si="120"/>
        <v>0.65765381147971436</v>
      </c>
      <c r="S137" s="30">
        <f t="shared" si="121"/>
        <v>6.4057379157975769E-2</v>
      </c>
      <c r="T137" s="30">
        <v>8</v>
      </c>
      <c r="U137" s="44">
        <f t="shared" si="123"/>
        <v>-8.6307409219443798E-7</v>
      </c>
      <c r="V137" s="44">
        <f t="shared" si="112"/>
        <v>0.52692125681476742</v>
      </c>
      <c r="W137" s="44">
        <v>9.1965108301642999E-3</v>
      </c>
      <c r="X137" s="45">
        <v>8.1566609389202127E-2</v>
      </c>
      <c r="Y137" s="45">
        <f t="shared" si="113"/>
        <v>4.6734224671934355</v>
      </c>
      <c r="Z137" s="45">
        <f t="shared" si="124"/>
        <v>-1.8772595922200708E-8</v>
      </c>
      <c r="AB137" s="30">
        <f t="shared" si="114"/>
        <v>8</v>
      </c>
    </row>
    <row r="138" spans="6:28" x14ac:dyDescent="0.3">
      <c r="F138" s="30" t="s">
        <v>143</v>
      </c>
      <c r="G138" s="30" cm="1">
        <f t="array" ref="G138">(G151-G133)*C$16*MIN(IF(S130:S144&gt;0,S130:S144))</f>
        <v>19.659084445152306</v>
      </c>
      <c r="H138" s="30" t="s">
        <v>0</v>
      </c>
      <c r="K138" s="95">
        <f t="shared" si="122"/>
        <v>74.867633557736738</v>
      </c>
      <c r="L138" s="12">
        <f t="shared" si="115"/>
        <v>0.9480179702091952</v>
      </c>
      <c r="M138" s="11">
        <f t="shared" si="110"/>
        <v>0.83734848125957129</v>
      </c>
      <c r="N138" s="21">
        <f t="shared" si="116"/>
        <v>153180.54297726974</v>
      </c>
      <c r="O138" s="21">
        <f t="shared" si="117"/>
        <v>2046.0182284129405</v>
      </c>
      <c r="P138" s="12">
        <f t="shared" si="118"/>
        <v>3.9057422246884195</v>
      </c>
      <c r="Q138" s="12">
        <f t="shared" si="119"/>
        <v>0.51349219841435534</v>
      </c>
      <c r="R138" s="12">
        <f t="shared" si="120"/>
        <v>0.67096444868411131</v>
      </c>
      <c r="S138" s="30">
        <f t="shared" si="121"/>
        <v>6.3416401435975184E-2</v>
      </c>
      <c r="T138" s="54">
        <v>9</v>
      </c>
      <c r="U138" s="44">
        <f t="shared" si="123"/>
        <v>-2.2684434952680022E-6</v>
      </c>
      <c r="V138" s="44">
        <f t="shared" si="112"/>
        <v>0.51349219841435534</v>
      </c>
      <c r="W138" s="44">
        <v>8.9621295456345056E-3</v>
      </c>
      <c r="X138" s="45">
        <v>6.8168061554981077E-2</v>
      </c>
      <c r="Y138" s="45">
        <f t="shared" si="113"/>
        <v>3.9057422246884195</v>
      </c>
      <c r="Z138" s="45">
        <f t="shared" si="124"/>
        <v>-1.404608269695018E-7</v>
      </c>
      <c r="AB138" s="30">
        <f t="shared" si="114"/>
        <v>9</v>
      </c>
    </row>
    <row r="139" spans="6:28" ht="15.6" thickBot="1" x14ac:dyDescent="0.35">
      <c r="F139" s="30" t="s">
        <v>151</v>
      </c>
      <c r="G139" s="30">
        <f>(K144-G140)/T143</f>
        <v>3.3553944070438768</v>
      </c>
      <c r="H139" s="30" t="s">
        <v>150</v>
      </c>
      <c r="K139" s="95">
        <f t="shared" si="122"/>
        <v>78.223027964780613</v>
      </c>
      <c r="L139" s="12">
        <f t="shared" si="115"/>
        <v>0.99050594590518004</v>
      </c>
      <c r="M139" s="11">
        <f t="shared" si="110"/>
        <v>0.84380130496542394</v>
      </c>
      <c r="N139" s="21">
        <f t="shared" si="116"/>
        <v>154360.99181203952</v>
      </c>
      <c r="O139" s="21">
        <f t="shared" si="117"/>
        <v>1973.3446253389668</v>
      </c>
      <c r="P139" s="12">
        <f t="shared" si="118"/>
        <v>3.2375345111822273</v>
      </c>
      <c r="Q139" s="12">
        <f t="shared" si="119"/>
        <v>0.45606466566822762</v>
      </c>
      <c r="R139" s="12">
        <f t="shared" si="120"/>
        <v>0.6226354311225053</v>
      </c>
      <c r="S139" s="30">
        <f t="shared" si="121"/>
        <v>6.8865424513057799E-2</v>
      </c>
      <c r="T139" s="54">
        <v>10</v>
      </c>
      <c r="U139" s="44">
        <f t="shared" si="123"/>
        <v>-1.8474602256901562E-6</v>
      </c>
      <c r="V139" s="44">
        <f t="shared" si="112"/>
        <v>0.45606466566822762</v>
      </c>
      <c r="W139" s="44">
        <v>7.959830017917717E-3</v>
      </c>
      <c r="X139" s="45">
        <v>5.6505636867075042E-2</v>
      </c>
      <c r="Y139" s="45">
        <f t="shared" si="113"/>
        <v>3.2375345111822273</v>
      </c>
      <c r="Z139" s="45">
        <f t="shared" si="124"/>
        <v>-1.0747135092969984E-7</v>
      </c>
      <c r="AB139" s="30">
        <f t="shared" si="114"/>
        <v>10</v>
      </c>
    </row>
    <row r="140" spans="6:28" x14ac:dyDescent="0.3">
      <c r="G140" s="91">
        <f>SQRT(2*(C$14)*C$12/C$5/C$15/G134)</f>
        <v>48.024478301385727</v>
      </c>
      <c r="K140" s="95">
        <f t="shared" si="122"/>
        <v>81.578422371824502</v>
      </c>
      <c r="L140" s="12">
        <f t="shared" si="115"/>
        <v>1.0329939216011652</v>
      </c>
      <c r="M140" s="11">
        <f t="shared" si="110"/>
        <v>0.84850415783312827</v>
      </c>
      <c r="N140" s="21">
        <f t="shared" si="116"/>
        <v>155221.30931656706</v>
      </c>
      <c r="O140" s="21">
        <f t="shared" si="117"/>
        <v>1902.7250687576093</v>
      </c>
      <c r="P140" s="12">
        <f t="shared" si="118"/>
        <v>2.6527478850744379</v>
      </c>
      <c r="Q140" s="12">
        <f t="shared" si="119"/>
        <v>0.35954374397476613</v>
      </c>
      <c r="R140" s="12">
        <f t="shared" si="120"/>
        <v>0.51191936221683365</v>
      </c>
      <c r="S140" s="30">
        <f t="shared" si="121"/>
        <v>8.4226215197248183E-2</v>
      </c>
      <c r="T140" s="54">
        <v>11</v>
      </c>
      <c r="U140" s="44">
        <f t="shared" si="123"/>
        <v>-9.5860741566866636E-7</v>
      </c>
      <c r="V140" s="44">
        <f t="shared" si="112"/>
        <v>0.35954374397476613</v>
      </c>
      <c r="W140" s="44">
        <v>6.275222137307193E-3</v>
      </c>
      <c r="X140" s="45">
        <v>4.6299184819865086E-2</v>
      </c>
      <c r="Y140" s="45">
        <f t="shared" si="113"/>
        <v>2.6527478850744379</v>
      </c>
      <c r="Z140" s="45">
        <f t="shared" si="124"/>
        <v>-4.7930029722920153E-8</v>
      </c>
      <c r="AB140" s="30">
        <f t="shared" si="114"/>
        <v>11</v>
      </c>
    </row>
    <row r="141" spans="6:28" x14ac:dyDescent="0.3">
      <c r="K141" s="95">
        <f t="shared" si="122"/>
        <v>84.933816778868362</v>
      </c>
      <c r="L141" s="12">
        <f t="shared" si="115"/>
        <v>1.0754818972971498</v>
      </c>
      <c r="M141" s="11">
        <f t="shared" si="110"/>
        <v>0.85157006569993787</v>
      </c>
      <c r="N141" s="21">
        <f t="shared" si="116"/>
        <v>155782.17189919183</v>
      </c>
      <c r="O141" s="21">
        <f t="shared" si="117"/>
        <v>1834.1595586688697</v>
      </c>
      <c r="P141" s="12">
        <f t="shared" si="118"/>
        <v>2.1383976861467127</v>
      </c>
      <c r="Q141" s="12">
        <f t="shared" si="119"/>
        <v>0.22775255352363771</v>
      </c>
      <c r="R141" s="12">
        <f t="shared" si="120"/>
        <v>0.33761374528059218</v>
      </c>
      <c r="S141" s="30">
        <f t="shared" si="121"/>
        <v>0.12817258222584824</v>
      </c>
      <c r="T141" s="54">
        <v>12</v>
      </c>
      <c r="U141" s="44">
        <f t="shared" si="123"/>
        <v>-2.7042551664635539E-7</v>
      </c>
      <c r="V141" s="44">
        <f t="shared" si="112"/>
        <v>0.22775255352363771</v>
      </c>
      <c r="W141" s="44">
        <v>3.975031938812091E-3</v>
      </c>
      <c r="X141" s="45">
        <v>3.7322080340288472E-2</v>
      </c>
      <c r="Y141" s="45">
        <f t="shared" si="113"/>
        <v>2.1383976861467127</v>
      </c>
      <c r="Z141" s="45">
        <f t="shared" si="124"/>
        <v>-8.8052871660693199E-9</v>
      </c>
      <c r="AB141" s="30">
        <f t="shared" si="114"/>
        <v>12</v>
      </c>
    </row>
    <row r="142" spans="6:28" x14ac:dyDescent="0.3">
      <c r="K142" s="95">
        <f t="shared" si="122"/>
        <v>88.289211185912251</v>
      </c>
      <c r="L142" s="12">
        <f t="shared" si="115"/>
        <v>1.1179698729931349</v>
      </c>
      <c r="M142" s="11">
        <f t="shared" si="110"/>
        <v>0.85311205440310522</v>
      </c>
      <c r="N142" s="21">
        <f t="shared" si="116"/>
        <v>156064.25596825313</v>
      </c>
      <c r="O142" s="21">
        <f t="shared" si="117"/>
        <v>1767.6480950727455</v>
      </c>
      <c r="P142" s="12">
        <f t="shared" si="118"/>
        <v>1.6838960206316498</v>
      </c>
      <c r="Q142" s="12">
        <f t="shared" si="119"/>
        <v>6.3660926843689361E-2</v>
      </c>
      <c r="R142" s="12">
        <f t="shared" si="120"/>
        <v>9.8097484765902992E-2</v>
      </c>
      <c r="S142" s="30">
        <f t="shared" si="121"/>
        <v>0.44191940615863551</v>
      </c>
      <c r="T142" s="30">
        <v>13</v>
      </c>
      <c r="U142" s="44">
        <f t="shared" si="123"/>
        <v>-1.4191755326464772E-8</v>
      </c>
      <c r="V142" s="44">
        <f t="shared" si="112"/>
        <v>6.3660926843689361E-2</v>
      </c>
      <c r="W142" s="44">
        <v>1.1110927782936209E-3</v>
      </c>
      <c r="X142" s="45">
        <v>2.9389529821252654E-2</v>
      </c>
      <c r="Y142" s="45">
        <f t="shared" si="113"/>
        <v>1.6838960206316498</v>
      </c>
      <c r="Z142" s="45">
        <f>-0.5*G$134*C$5*K142^2*(C$8+(C$3^2)*(X142-C$6)^2/(PI()*C$7))+N142/K142*COS(X142-C$1)-C$12*(C$14+G$137*(K$144-K142)/(K$144-K$130))*SIN(W142)</f>
        <v>2.0322232785474625E-9</v>
      </c>
      <c r="AB142" s="30">
        <f t="shared" si="114"/>
        <v>13</v>
      </c>
    </row>
    <row r="143" spans="6:28" x14ac:dyDescent="0.3">
      <c r="K143" s="95">
        <f t="shared" si="122"/>
        <v>91.644605592956125</v>
      </c>
      <c r="L143" s="12">
        <f t="shared" si="115"/>
        <v>1.1604578486891197</v>
      </c>
      <c r="M143" s="11">
        <f t="shared" si="110"/>
        <v>0.85324314977988402</v>
      </c>
      <c r="N143" s="21">
        <f t="shared" si="116"/>
        <v>156088.23793209044</v>
      </c>
      <c r="O143" s="21">
        <f t="shared" si="117"/>
        <v>1703.1906779692388</v>
      </c>
      <c r="P143" s="12">
        <f t="shared" si="118"/>
        <v>1.2805449255989336</v>
      </c>
      <c r="Q143" s="12">
        <f t="shared" si="119"/>
        <v>-0.13044333438616296</v>
      </c>
      <c r="R143" s="12">
        <f t="shared" si="120"/>
        <v>-0.20864394736576014</v>
      </c>
      <c r="S143" s="30">
        <f t="shared" si="121"/>
        <v>-0.20780782005632448</v>
      </c>
      <c r="T143" s="30">
        <v>14</v>
      </c>
      <c r="U143" s="44">
        <f t="shared" si="123"/>
        <v>-2.2471795091405511E-8</v>
      </c>
      <c r="V143" s="44">
        <f t="shared" si="112"/>
        <v>-0.13044333438616296</v>
      </c>
      <c r="W143" s="44">
        <v>-2.2766656723184797E-3</v>
      </c>
      <c r="X143" s="45">
        <v>2.2349725171407212E-2</v>
      </c>
      <c r="Y143" s="45">
        <f t="shared" si="113"/>
        <v>1.2805449255989336</v>
      </c>
      <c r="Z143" s="45">
        <f t="shared" si="124"/>
        <v>-5.014300086259027E-10</v>
      </c>
      <c r="AB143" s="30">
        <f t="shared" si="114"/>
        <v>14</v>
      </c>
    </row>
    <row r="144" spans="6:28" x14ac:dyDescent="0.3">
      <c r="K144" s="95">
        <v>95</v>
      </c>
      <c r="L144" s="12">
        <f t="shared" si="115"/>
        <v>1.2029458243851048</v>
      </c>
      <c r="M144" s="11">
        <f t="shared" si="110"/>
        <v>0.85207637766752731</v>
      </c>
      <c r="N144" s="21">
        <f t="shared" si="116"/>
        <v>155874.79419904313</v>
      </c>
      <c r="O144" s="21">
        <f t="shared" si="117"/>
        <v>1640.7873073583487</v>
      </c>
      <c r="P144" s="12">
        <f t="shared" si="118"/>
        <v>0.92114923938826632</v>
      </c>
      <c r="Q144" s="12">
        <f t="shared" si="119"/>
        <v>-0.3528252816998953</v>
      </c>
      <c r="R144" s="12">
        <f t="shared" si="120"/>
        <v>-0.58500277346100304</v>
      </c>
      <c r="S144" s="30">
        <f t="shared" si="121"/>
        <v>-7.4014271228177303E-2</v>
      </c>
      <c r="T144" s="54">
        <v>15</v>
      </c>
      <c r="U144" s="44">
        <f t="shared" si="123"/>
        <v>1.4392546290764585E-5</v>
      </c>
      <c r="V144" s="44">
        <f t="shared" si="112"/>
        <v>-0.3528252816998953</v>
      </c>
      <c r="W144" s="44">
        <v>-6.1579628499396685E-3</v>
      </c>
      <c r="X144" s="45">
        <v>1.6077087129566684E-2</v>
      </c>
      <c r="Y144" s="45">
        <f t="shared" si="113"/>
        <v>0.92114923938826632</v>
      </c>
      <c r="Z144" s="45">
        <f t="shared" si="124"/>
        <v>1.715403641355806E-8</v>
      </c>
      <c r="AB144" s="30">
        <f t="shared" si="114"/>
        <v>15</v>
      </c>
    </row>
    <row r="145" spans="6:28" ht="15.6" thickBot="1" x14ac:dyDescent="0.35"/>
    <row r="146" spans="6:28" ht="16.2" thickBot="1" x14ac:dyDescent="0.35">
      <c r="K146" s="132" t="s">
        <v>135</v>
      </c>
      <c r="L146" s="133"/>
      <c r="M146" s="133"/>
      <c r="N146" s="133"/>
      <c r="O146" s="133"/>
      <c r="P146" s="133"/>
      <c r="Q146" s="133"/>
      <c r="R146" s="134"/>
    </row>
    <row r="147" spans="6:28" ht="18.600000000000001" thickBot="1" x14ac:dyDescent="0.35">
      <c r="F147" s="46"/>
      <c r="K147" s="96" t="s">
        <v>67</v>
      </c>
      <c r="L147" s="96" t="s">
        <v>15</v>
      </c>
      <c r="M147" s="96" t="s">
        <v>74</v>
      </c>
      <c r="N147" s="96" t="s">
        <v>73</v>
      </c>
      <c r="O147" s="96" t="s">
        <v>68</v>
      </c>
      <c r="P147" s="96" t="s">
        <v>70</v>
      </c>
      <c r="Q147" s="96" t="s">
        <v>87</v>
      </c>
      <c r="R147" s="96" t="s">
        <v>69</v>
      </c>
      <c r="S147" s="30" t="s">
        <v>147</v>
      </c>
      <c r="U147" s="58" t="s">
        <v>98</v>
      </c>
      <c r="V147" s="56" t="s">
        <v>99</v>
      </c>
      <c r="W147" s="56" t="s">
        <v>101</v>
      </c>
      <c r="X147" s="55" t="s">
        <v>101</v>
      </c>
      <c r="Y147" s="55" t="s">
        <v>99</v>
      </c>
      <c r="Z147" s="57" t="s">
        <v>100</v>
      </c>
    </row>
    <row r="148" spans="6:28" x14ac:dyDescent="0.3">
      <c r="F148" s="46"/>
      <c r="K148" s="109">
        <f>SQRT(2*(C$14+G155)*C$12/C$5/C$15/G152)</f>
        <v>55.8578463757027</v>
      </c>
      <c r="L148" s="92">
        <f>K148/C$9/C$2</f>
        <v>0.70730487428206545</v>
      </c>
      <c r="M148" s="93">
        <f t="shared" ref="M148:M162" si="125">0.2646*L148^3-1.2784*L148^2+1.8632*L148</f>
        <v>0.77192112535278623</v>
      </c>
      <c r="N148" s="94">
        <f>G$153*M148</f>
        <v>120660.66148533045</v>
      </c>
      <c r="O148" s="94">
        <f>N148/K148</f>
        <v>2160.138088277889</v>
      </c>
      <c r="P148" s="92">
        <f>Y148</f>
        <v>12.02944951717908</v>
      </c>
      <c r="Q148" s="92">
        <f t="shared" ref="Q148" si="126">V148</f>
        <v>-1.409982277009489</v>
      </c>
      <c r="R148" s="92">
        <f>K148*SIN(RADIANS(Q148))</f>
        <v>-1.3744576832055186</v>
      </c>
      <c r="S148" s="30">
        <f>(N148/1000)/(R148*3600)</f>
        <v>-2.4385509151815855E-2</v>
      </c>
      <c r="T148" s="30">
        <v>1</v>
      </c>
      <c r="U148" s="44">
        <f>0.5*G$152*C$5*C$3*(X148-C$6)*K148^2+O148*SIN(X148-C$1)-C$12*(C$14+G$155*(K$162-K148)/(K$162-K$148))*COS(W148)</f>
        <v>-1.9931580027332529E-5</v>
      </c>
      <c r="V148" s="44">
        <f t="shared" ref="V148:V162" si="127">DEGREES(W148)</f>
        <v>-1.409982277009489</v>
      </c>
      <c r="W148" s="44">
        <v>-2.4608833128582329E-2</v>
      </c>
      <c r="X148" s="45">
        <v>0.20995350127721712</v>
      </c>
      <c r="Y148" s="45">
        <f t="shared" ref="Y148:Y162" si="128">DEGREES(X148)</f>
        <v>12.02944951717908</v>
      </c>
      <c r="Z148" s="45">
        <f>-0.5*G$152*C$5*K148^2*(C$8+(C$3^2)*(X148-C$6)^2/(PI()*C$7))+N148/K148*COS(X148-C$1)-C$12*(C$14+G$155*(K$162-K148)/(K$162-K$148))*SIN(W148)</f>
        <v>-6.5035351326514501E-8</v>
      </c>
      <c r="AB148" s="30">
        <f t="shared" ref="AB148:AB162" si="129">T148</f>
        <v>1</v>
      </c>
    </row>
    <row r="149" spans="6:28" x14ac:dyDescent="0.3">
      <c r="F149" s="46"/>
      <c r="K149" s="95">
        <v>56.5</v>
      </c>
      <c r="L149" s="12">
        <f t="shared" ref="L149:L162" si="130">K149/C$9/C$2</f>
        <v>0.71543620081850956</v>
      </c>
      <c r="M149" s="11">
        <f t="shared" si="125"/>
        <v>0.77554829154108607</v>
      </c>
      <c r="N149" s="21">
        <f>G$153*M149</f>
        <v>121227.63168114866</v>
      </c>
      <c r="O149" s="21">
        <f t="shared" ref="O149:O162" si="131">N149/K149</f>
        <v>2145.6217996663481</v>
      </c>
      <c r="P149" s="12">
        <f t="shared" ref="P149:P162" si="132">Y149</f>
        <v>11.658038468390417</v>
      </c>
      <c r="Q149" s="12">
        <f t="shared" ref="Q149:Q162" si="133">V149</f>
        <v>-1.3230976054030519</v>
      </c>
      <c r="R149" s="12">
        <f t="shared" ref="R149:R162" si="134">K149*SIN(RADIANS(Q149))</f>
        <v>-1.3046051829449774</v>
      </c>
      <c r="S149" s="30">
        <f t="shared" ref="S149:S162" si="135">(N149/1000)/(R149*3600)</f>
        <v>-2.581190276864985E-2</v>
      </c>
      <c r="T149" s="30">
        <v>2</v>
      </c>
      <c r="U149" s="44">
        <f t="shared" ref="U149:U162" si="136">0.5*G$152*C$5*C$3*(X149-C$6)*K149^2+O149*SIN(X149-C$1)-C$12*(C$14+G$155*(K$162-K149)/(K$162-K$148))*COS(W149)</f>
        <v>3.8116082578198984E-5</v>
      </c>
      <c r="V149" s="44">
        <f t="shared" si="127"/>
        <v>-1.3230976054030519</v>
      </c>
      <c r="W149" s="44">
        <v>-2.3092409539535973E-2</v>
      </c>
      <c r="X149" s="45">
        <v>0.20347115559756968</v>
      </c>
      <c r="Y149" s="45">
        <f t="shared" si="128"/>
        <v>11.658038468390417</v>
      </c>
      <c r="Z149" s="45">
        <f>-0.5*G$152*C$5*K149^2*(C$8+(C$3^2)*(X149-C$6)^2/(PI()*C$7))+N149/K149*COS(X149-C$1)-C$12*(C$14+G$155*(K$162-K149)/(K$162-K$148))*SIN(W149)</f>
        <v>7.5934872256766539E-6</v>
      </c>
      <c r="AB149" s="30">
        <f t="shared" si="129"/>
        <v>2</v>
      </c>
    </row>
    <row r="150" spans="6:28" x14ac:dyDescent="0.3">
      <c r="F150" s="46"/>
      <c r="K150" s="95">
        <f t="shared" ref="K150:K161" si="137">G$158+T113*G$157</f>
        <v>57.185935005349812</v>
      </c>
      <c r="L150" s="12">
        <f t="shared" si="130"/>
        <v>0.7241219129288794</v>
      </c>
      <c r="M150" s="11">
        <f t="shared" si="125"/>
        <v>0.77931899631155155</v>
      </c>
      <c r="N150" s="21">
        <f t="shared" ref="N150:N162" si="138">G$153*M150</f>
        <v>121817.03870335229</v>
      </c>
      <c r="O150" s="21">
        <f t="shared" si="131"/>
        <v>2130.1923050126952</v>
      </c>
      <c r="P150" s="12">
        <f t="shared" si="132"/>
        <v>11.275018620977027</v>
      </c>
      <c r="Q150" s="12">
        <f t="shared" si="133"/>
        <v>-1.2352368277133605</v>
      </c>
      <c r="R150" s="12">
        <f t="shared" si="134"/>
        <v>-1.2327731938908013</v>
      </c>
      <c r="S150" s="30">
        <f t="shared" si="135"/>
        <v>-2.7448736291620007E-2</v>
      </c>
      <c r="T150" s="54">
        <v>3</v>
      </c>
      <c r="U150" s="44">
        <f t="shared" si="136"/>
        <v>1.5400655684061348E-7</v>
      </c>
      <c r="V150" s="44">
        <f t="shared" si="127"/>
        <v>-1.2352368277133605</v>
      </c>
      <c r="W150" s="44">
        <v>-2.155894968548808E-2</v>
      </c>
      <c r="X150" s="45">
        <v>0.19678619815971973</v>
      </c>
      <c r="Y150" s="45">
        <f t="shared" si="128"/>
        <v>11.275018620977027</v>
      </c>
      <c r="Z150" s="45">
        <f t="shared" ref="Z150:Z162" si="139">-0.5*G$152*C$5*K150^2*(C$8+(C$3^2)*(X150-C$6)^2/(PI()*C$7))+N150/K150*COS(X150-C$1)-C$12*(C$14+G$155*(K$162-K150)/(K$162-K$148))*SIN(W150)</f>
        <v>-4.9554148517927388E-7</v>
      </c>
      <c r="AB150" s="30">
        <f t="shared" si="129"/>
        <v>3</v>
      </c>
    </row>
    <row r="151" spans="6:28" x14ac:dyDescent="0.3">
      <c r="F151" s="29" t="s">
        <v>6</v>
      </c>
      <c r="G151" s="29">
        <v>8000</v>
      </c>
      <c r="H151" s="29" t="s">
        <v>3</v>
      </c>
      <c r="I151" s="29"/>
      <c r="K151" s="95">
        <f t="shared" si="137"/>
        <v>60.337107088237325</v>
      </c>
      <c r="L151" s="12">
        <f t="shared" si="130"/>
        <v>0.76402390555023136</v>
      </c>
      <c r="M151" s="11">
        <f t="shared" si="125"/>
        <v>0.79529346805960321</v>
      </c>
      <c r="N151" s="21">
        <f t="shared" si="138"/>
        <v>124314.04294989072</v>
      </c>
      <c r="O151" s="21">
        <f t="shared" si="131"/>
        <v>2060.3248804768377</v>
      </c>
      <c r="P151" s="12">
        <f t="shared" si="132"/>
        <v>9.680320294113292</v>
      </c>
      <c r="Q151" s="12">
        <f t="shared" si="133"/>
        <v>-0.89148888022449435</v>
      </c>
      <c r="R151" s="12">
        <f t="shared" si="134"/>
        <v>-0.93877228196472162</v>
      </c>
      <c r="S151" s="30">
        <f t="shared" si="135"/>
        <v>-3.6783871084180075E-2</v>
      </c>
      <c r="T151" s="54">
        <v>4</v>
      </c>
      <c r="U151" s="44">
        <f t="shared" si="136"/>
        <v>4.9923983169719577E-8</v>
      </c>
      <c r="V151" s="44">
        <f t="shared" si="127"/>
        <v>-0.89148888022449435</v>
      </c>
      <c r="W151" s="44">
        <v>-1.5559416204834791E-2</v>
      </c>
      <c r="X151" s="45">
        <v>0.16895346177990281</v>
      </c>
      <c r="Y151" s="45">
        <f t="shared" si="128"/>
        <v>9.680320294113292</v>
      </c>
      <c r="Z151" s="45">
        <f t="shared" si="139"/>
        <v>-1.8506290189179708E-7</v>
      </c>
      <c r="AB151" s="30">
        <f t="shared" si="129"/>
        <v>4</v>
      </c>
    </row>
    <row r="152" spans="6:28" ht="18.600000000000001" x14ac:dyDescent="0.3">
      <c r="F152" s="30" t="s">
        <v>83</v>
      </c>
      <c r="G152" s="30">
        <f>C$11*(1-G151/44300)^4.256</f>
        <v>0.52502701808540919</v>
      </c>
      <c r="H152" s="30" t="s">
        <v>84</v>
      </c>
      <c r="K152" s="95">
        <f t="shared" si="137"/>
        <v>63.488279171124844</v>
      </c>
      <c r="L152" s="12">
        <f t="shared" si="130"/>
        <v>0.80392589817158355</v>
      </c>
      <c r="M152" s="11">
        <f t="shared" si="125"/>
        <v>0.80912832632816845</v>
      </c>
      <c r="N152" s="21">
        <f t="shared" si="138"/>
        <v>126476.59958348195</v>
      </c>
      <c r="O152" s="21">
        <f t="shared" si="131"/>
        <v>1992.1251801860913</v>
      </c>
      <c r="P152" s="12">
        <f t="shared" si="132"/>
        <v>8.3186517778430407</v>
      </c>
      <c r="Q152" s="12">
        <f t="shared" si="133"/>
        <v>-0.63338449016353138</v>
      </c>
      <c r="R152" s="12">
        <f t="shared" si="134"/>
        <v>-0.7018260795443132</v>
      </c>
      <c r="S152" s="30">
        <f>(N152/1000)/(R152*3600)</f>
        <v>-5.005853985363503E-2</v>
      </c>
      <c r="T152" s="54">
        <v>5</v>
      </c>
      <c r="U152" s="44">
        <f t="shared" si="136"/>
        <v>-1.2381507985992357E-5</v>
      </c>
      <c r="V152" s="44">
        <f t="shared" si="127"/>
        <v>-0.63338449016353138</v>
      </c>
      <c r="W152" s="44">
        <v>-1.1054644784419259E-2</v>
      </c>
      <c r="X152" s="45">
        <v>0.14518786285024093</v>
      </c>
      <c r="Y152" s="45">
        <f t="shared" si="128"/>
        <v>8.3186517778430407</v>
      </c>
      <c r="Z152" s="45">
        <f t="shared" si="139"/>
        <v>-8.1288959563607932E-7</v>
      </c>
      <c r="AB152" s="30">
        <f t="shared" si="129"/>
        <v>5</v>
      </c>
    </row>
    <row r="153" spans="6:28" ht="18.600000000000001" x14ac:dyDescent="0.3">
      <c r="F153" s="30" t="s">
        <v>85</v>
      </c>
      <c r="G153" s="30">
        <f>C$4*((G152/C$11)-C$10)/(1-C$10)</f>
        <v>156312.1639276107</v>
      </c>
      <c r="H153" s="30" t="s">
        <v>35</v>
      </c>
      <c r="K153" s="95">
        <f t="shared" si="137"/>
        <v>66.639451254012357</v>
      </c>
      <c r="L153" s="12">
        <f t="shared" si="130"/>
        <v>0.84382789079293563</v>
      </c>
      <c r="M153" s="11">
        <f t="shared" si="125"/>
        <v>0.82092443248243629</v>
      </c>
      <c r="N153" s="21">
        <f t="shared" si="138"/>
        <v>128320.47446237536</v>
      </c>
      <c r="O153" s="21">
        <f t="shared" si="131"/>
        <v>1925.5932041404558</v>
      </c>
      <c r="P153" s="12">
        <f t="shared" si="132"/>
        <v>7.1479394525197151</v>
      </c>
      <c r="Q153" s="12">
        <f t="shared" si="133"/>
        <v>-0.4468651048507723</v>
      </c>
      <c r="R153" s="12">
        <f t="shared" si="134"/>
        <v>-0.51973363003410211</v>
      </c>
      <c r="S153" s="30">
        <f t="shared" si="135"/>
        <v>-6.8582393325615484E-2</v>
      </c>
      <c r="T153" s="54">
        <v>6</v>
      </c>
      <c r="U153" s="44">
        <f t="shared" si="136"/>
        <v>1.7800630303099751E-8</v>
      </c>
      <c r="V153" s="44">
        <f t="shared" si="127"/>
        <v>-0.4468651048507723</v>
      </c>
      <c r="W153" s="44">
        <v>-7.7992673919156609E-3</v>
      </c>
      <c r="X153" s="45">
        <v>0.12475507817966991</v>
      </c>
      <c r="Y153" s="45">
        <f t="shared" si="128"/>
        <v>7.1479394525197151</v>
      </c>
      <c r="Z153" s="45">
        <f t="shared" si="139"/>
        <v>-8.2140218182757962E-8</v>
      </c>
      <c r="AB153" s="30">
        <f t="shared" si="129"/>
        <v>6</v>
      </c>
    </row>
    <row r="154" spans="6:28" ht="18.600000000000001" x14ac:dyDescent="0.3">
      <c r="F154" s="30" t="s">
        <v>86</v>
      </c>
      <c r="G154" s="30">
        <f>G153/G152/C$9^3/C$2^5</f>
        <v>0.17854301630669708</v>
      </c>
      <c r="H154" s="30" t="s">
        <v>7</v>
      </c>
      <c r="K154" s="95">
        <f t="shared" si="137"/>
        <v>69.79062333689987</v>
      </c>
      <c r="L154" s="12">
        <f t="shared" si="130"/>
        <v>0.88372988341428771</v>
      </c>
      <c r="M154" s="11">
        <f t="shared" si="125"/>
        <v>0.83078264788759615</v>
      </c>
      <c r="N154" s="21">
        <f t="shared" si="138"/>
        <v>129861.4334448204</v>
      </c>
      <c r="O154" s="21">
        <f t="shared" si="131"/>
        <v>1860.7289523399306</v>
      </c>
      <c r="P154" s="12">
        <f t="shared" si="132"/>
        <v>6.1350125339053525</v>
      </c>
      <c r="Q154" s="12">
        <f t="shared" si="133"/>
        <v>-0.32095834659530326</v>
      </c>
      <c r="R154" s="12">
        <f t="shared" si="134"/>
        <v>-0.39094966703400286</v>
      </c>
      <c r="S154" s="30">
        <f t="shared" si="135"/>
        <v>-9.2269218886945822E-2</v>
      </c>
      <c r="T154" s="30">
        <v>7</v>
      </c>
      <c r="U154" s="44">
        <f t="shared" si="136"/>
        <v>7.4469426181167364E-9</v>
      </c>
      <c r="V154" s="44">
        <f>DEGREES(W154)</f>
        <v>-0.32095834659530326</v>
      </c>
      <c r="W154" s="44">
        <v>-5.6017799098451735E-3</v>
      </c>
      <c r="X154" s="45">
        <v>0.10707616836776865</v>
      </c>
      <c r="Y154" s="45">
        <f t="shared" si="128"/>
        <v>6.1350125339053525</v>
      </c>
      <c r="Z154" s="45">
        <f t="shared" si="139"/>
        <v>-3.9008199337331462E-8</v>
      </c>
      <c r="AB154" s="30">
        <f t="shared" si="129"/>
        <v>7</v>
      </c>
    </row>
    <row r="155" spans="6:28" x14ac:dyDescent="0.3">
      <c r="F155" s="30" t="s">
        <v>142</v>
      </c>
      <c r="G155" s="30">
        <f>G137-G138</f>
        <v>493.2998640207071</v>
      </c>
      <c r="H155" s="30" t="s">
        <v>0</v>
      </c>
      <c r="K155" s="95">
        <f t="shared" si="137"/>
        <v>72.941795419787383</v>
      </c>
      <c r="L155" s="12">
        <f t="shared" si="130"/>
        <v>0.92363187603563979</v>
      </c>
      <c r="M155" s="11">
        <f t="shared" si="125"/>
        <v>0.83880383390883761</v>
      </c>
      <c r="N155" s="21">
        <f t="shared" si="138"/>
        <v>131115.24238906655</v>
      </c>
      <c r="O155" s="21">
        <f t="shared" si="131"/>
        <v>1797.5324247845165</v>
      </c>
      <c r="P155" s="12">
        <f t="shared" si="132"/>
        <v>5.2534745065594528</v>
      </c>
      <c r="Q155" s="12">
        <f t="shared" si="133"/>
        <v>-0.2470405163300019</v>
      </c>
      <c r="R155" s="12">
        <f t="shared" si="134"/>
        <v>-0.31450000547267271</v>
      </c>
      <c r="S155" s="30">
        <f t="shared" si="135"/>
        <v>-0.11580572346538244</v>
      </c>
      <c r="T155" s="30">
        <v>8</v>
      </c>
      <c r="U155" s="44">
        <f t="shared" si="136"/>
        <v>2.5720510166138411E-9</v>
      </c>
      <c r="V155" s="44">
        <f t="shared" si="127"/>
        <v>-0.2470405163300019</v>
      </c>
      <c r="W155" s="44">
        <v>-4.3116703957853516E-3</v>
      </c>
      <c r="X155" s="45">
        <v>9.169042730904689E-2</v>
      </c>
      <c r="Y155" s="45">
        <f t="shared" si="128"/>
        <v>5.2534745065594528</v>
      </c>
      <c r="Z155" s="45">
        <f t="shared" si="139"/>
        <v>-1.5595176705573977E-8</v>
      </c>
      <c r="AB155" s="30">
        <f t="shared" si="129"/>
        <v>8</v>
      </c>
    </row>
    <row r="156" spans="6:28" x14ac:dyDescent="0.3">
      <c r="F156" s="30" t="s">
        <v>143</v>
      </c>
      <c r="G156" s="30" cm="1">
        <f t="array" ref="G156">(G169-G151)*C$16*MIN(IF(S148:S162&gt;0,S148:S162))</f>
        <v>0</v>
      </c>
      <c r="H156" s="30" t="s">
        <v>0</v>
      </c>
      <c r="K156" s="95">
        <f t="shared" si="137"/>
        <v>76.092967502674909</v>
      </c>
      <c r="L156" s="12">
        <f t="shared" si="130"/>
        <v>0.96353386865699209</v>
      </c>
      <c r="M156" s="11">
        <f t="shared" si="125"/>
        <v>0.84508885191134975</v>
      </c>
      <c r="N156" s="21">
        <f t="shared" si="138"/>
        <v>132097.66715336323</v>
      </c>
      <c r="O156" s="21">
        <f t="shared" si="131"/>
        <v>1736.0036214742129</v>
      </c>
      <c r="P156" s="12">
        <f t="shared" si="132"/>
        <v>4.4821344996784607</v>
      </c>
      <c r="Q156" s="12">
        <f t="shared" si="133"/>
        <v>-0.2182941152209191</v>
      </c>
      <c r="R156" s="12">
        <f t="shared" si="134"/>
        <v>-0.28990977993118744</v>
      </c>
      <c r="S156" s="30">
        <f t="shared" si="135"/>
        <v>-0.12656970882527446</v>
      </c>
      <c r="T156" s="54">
        <v>9</v>
      </c>
      <c r="U156" s="44">
        <f t="shared" si="136"/>
        <v>-1.0187020961893722E-5</v>
      </c>
      <c r="V156" s="44">
        <f t="shared" si="127"/>
        <v>-0.2182941152209191</v>
      </c>
      <c r="W156" s="44">
        <v>-3.8099510483329073E-3</v>
      </c>
      <c r="X156" s="45">
        <v>7.8228004536617865E-2</v>
      </c>
      <c r="Y156" s="45">
        <f t="shared" si="128"/>
        <v>4.4821344996784607</v>
      </c>
      <c r="Z156" s="45">
        <f t="shared" si="139"/>
        <v>-6.6412862054221478E-7</v>
      </c>
      <c r="AB156" s="30">
        <f t="shared" si="129"/>
        <v>9</v>
      </c>
    </row>
    <row r="157" spans="6:28" ht="15.6" thickBot="1" x14ac:dyDescent="0.35">
      <c r="F157" s="30" t="s">
        <v>151</v>
      </c>
      <c r="G157" s="30">
        <f>(K162-G158)/T161</f>
        <v>3.1511720828875158</v>
      </c>
      <c r="H157" s="30" t="s">
        <v>150</v>
      </c>
      <c r="K157" s="95">
        <f t="shared" si="137"/>
        <v>79.244139585562422</v>
      </c>
      <c r="L157" s="12">
        <f t="shared" si="130"/>
        <v>1.0034358612783441</v>
      </c>
      <c r="M157" s="11">
        <f t="shared" si="125"/>
        <v>0.84973856326032249</v>
      </c>
      <c r="N157" s="21">
        <f t="shared" si="138"/>
        <v>132824.47359595992</v>
      </c>
      <c r="O157" s="21">
        <f t="shared" si="131"/>
        <v>1676.1425424090207</v>
      </c>
      <c r="P157" s="12">
        <f t="shared" si="132"/>
        <v>3.8038398466107757</v>
      </c>
      <c r="Q157" s="12">
        <f t="shared" si="133"/>
        <v>-0.22930539329220415</v>
      </c>
      <c r="R157" s="12">
        <f t="shared" si="134"/>
        <v>-0.31714482707492925</v>
      </c>
      <c r="S157" s="30">
        <f t="shared" si="135"/>
        <v>-0.11633702952144265</v>
      </c>
      <c r="T157" s="54">
        <v>10</v>
      </c>
      <c r="U157" s="44">
        <f t="shared" si="136"/>
        <v>-1.5309196896851063E-6</v>
      </c>
      <c r="V157" s="44">
        <f t="shared" si="127"/>
        <v>-0.22930539329220415</v>
      </c>
      <c r="W157" s="44">
        <v>-4.0021341055294819E-3</v>
      </c>
      <c r="X157" s="45">
        <v>6.63895295419141E-2</v>
      </c>
      <c r="Y157" s="45">
        <f t="shared" si="128"/>
        <v>3.8038398466107757</v>
      </c>
      <c r="Z157" s="45">
        <f t="shared" si="139"/>
        <v>1.550118611248763E-8</v>
      </c>
      <c r="AB157" s="30">
        <f t="shared" si="129"/>
        <v>10</v>
      </c>
    </row>
    <row r="158" spans="6:28" x14ac:dyDescent="0.3">
      <c r="G158" s="91">
        <f>SQRT(2*(C$14)*C$12/C$5/C$15/G152)</f>
        <v>50.883590839574779</v>
      </c>
      <c r="K158" s="95">
        <f t="shared" si="137"/>
        <v>82.395311668449935</v>
      </c>
      <c r="L158" s="12">
        <f t="shared" si="130"/>
        <v>1.0433378538996962</v>
      </c>
      <c r="M158" s="11">
        <f t="shared" si="125"/>
        <v>0.85285382932094445</v>
      </c>
      <c r="N158" s="21">
        <f t="shared" si="138"/>
        <v>133311.42757510598</v>
      </c>
      <c r="O158" s="21">
        <f t="shared" si="131"/>
        <v>1617.9491875889387</v>
      </c>
      <c r="P158" s="12">
        <f t="shared" si="132"/>
        <v>3.2045986719682595</v>
      </c>
      <c r="Q158" s="12">
        <f t="shared" si="133"/>
        <v>-0.27576309665282422</v>
      </c>
      <c r="R158" s="12">
        <f t="shared" si="134"/>
        <v>-0.39656496107340078</v>
      </c>
      <c r="S158" s="30">
        <f t="shared" si="135"/>
        <v>-9.3379283948745007E-2</v>
      </c>
      <c r="T158" s="54">
        <v>11</v>
      </c>
      <c r="U158" s="44">
        <f t="shared" si="136"/>
        <v>-5.8486330090090632E-7</v>
      </c>
      <c r="V158" s="44">
        <f t="shared" si="127"/>
        <v>-0.27576309665282422</v>
      </c>
      <c r="W158" s="44">
        <v>-4.8129739920871372E-3</v>
      </c>
      <c r="X158" s="45">
        <v>5.5930798030883841E-2</v>
      </c>
      <c r="Y158" s="45">
        <f t="shared" si="128"/>
        <v>3.2045986719682595</v>
      </c>
      <c r="Z158" s="45">
        <f t="shared" si="139"/>
        <v>3.6427024951990461E-8</v>
      </c>
      <c r="AB158" s="30">
        <f t="shared" si="129"/>
        <v>11</v>
      </c>
    </row>
    <row r="159" spans="6:28" x14ac:dyDescent="0.3">
      <c r="K159" s="95">
        <f t="shared" si="137"/>
        <v>85.546483751337462</v>
      </c>
      <c r="L159" s="12">
        <f t="shared" si="130"/>
        <v>1.0832398465210484</v>
      </c>
      <c r="M159" s="11">
        <f t="shared" si="125"/>
        <v>0.85453551145840523</v>
      </c>
      <c r="N159" s="21">
        <f t="shared" si="138"/>
        <v>133574.29494905091</v>
      </c>
      <c r="O159" s="21">
        <f t="shared" si="131"/>
        <v>1561.4235570139674</v>
      </c>
      <c r="P159" s="12">
        <f t="shared" si="132"/>
        <v>2.6729143101881694</v>
      </c>
      <c r="Q159" s="12">
        <f t="shared" si="133"/>
        <v>-0.35423117164134077</v>
      </c>
      <c r="R159" s="12">
        <f t="shared" si="134"/>
        <v>-0.52888778857064045</v>
      </c>
      <c r="S159" s="30">
        <f t="shared" si="135"/>
        <v>-7.0154712627147467E-2</v>
      </c>
      <c r="T159" s="54">
        <v>12</v>
      </c>
      <c r="U159" s="44">
        <f t="shared" si="136"/>
        <v>-2.1337837097235024E-7</v>
      </c>
      <c r="V159" s="44">
        <f t="shared" si="127"/>
        <v>-0.35423117164134077</v>
      </c>
      <c r="W159" s="44">
        <v>-6.182500258338562E-3</v>
      </c>
      <c r="X159" s="45">
        <v>4.6651155336456571E-2</v>
      </c>
      <c r="Y159" s="45">
        <f t="shared" si="128"/>
        <v>2.6729143101881694</v>
      </c>
      <c r="Z159" s="45">
        <f t="shared" si="139"/>
        <v>2.5685807258923887E-8</v>
      </c>
      <c r="AB159" s="30">
        <f t="shared" si="129"/>
        <v>12</v>
      </c>
    </row>
    <row r="160" spans="6:28" x14ac:dyDescent="0.3">
      <c r="K160" s="95">
        <f t="shared" si="137"/>
        <v>88.697655834224975</v>
      </c>
      <c r="L160" s="12">
        <f t="shared" si="130"/>
        <v>1.1231418391424004</v>
      </c>
      <c r="M160" s="11">
        <f t="shared" si="125"/>
        <v>0.85488447103789422</v>
      </c>
      <c r="N160" s="21">
        <f t="shared" si="138"/>
        <v>133628.8415760441</v>
      </c>
      <c r="O160" s="21">
        <f t="shared" si="131"/>
        <v>1506.5656506841067</v>
      </c>
      <c r="P160" s="12">
        <f t="shared" si="132"/>
        <v>2.1992757720579665</v>
      </c>
      <c r="Q160" s="12">
        <f t="shared" si="133"/>
        <v>-0.46197584892996435</v>
      </c>
      <c r="R160" s="12">
        <f t="shared" si="134"/>
        <v>-0.71516141697558222</v>
      </c>
      <c r="S160" s="30">
        <f t="shared" si="135"/>
        <v>-5.1903139317818668E-2</v>
      </c>
      <c r="T160" s="30">
        <v>13</v>
      </c>
      <c r="U160" s="44">
        <f t="shared" si="136"/>
        <v>-1.4466859283857048E-6</v>
      </c>
      <c r="V160" s="44">
        <f t="shared" si="127"/>
        <v>-0.46197584892996435</v>
      </c>
      <c r="W160" s="44">
        <v>-8.0629996285238002E-3</v>
      </c>
      <c r="X160" s="45">
        <v>3.8384603381751821E-2</v>
      </c>
      <c r="Y160" s="45">
        <f t="shared" si="128"/>
        <v>2.1992757720579665</v>
      </c>
      <c r="Z160" s="45">
        <f t="shared" si="139"/>
        <v>-7.0753571890236344E-8</v>
      </c>
      <c r="AB160" s="30">
        <f t="shared" si="129"/>
        <v>13</v>
      </c>
    </row>
    <row r="161" spans="6:28" x14ac:dyDescent="0.3">
      <c r="K161" s="95">
        <f t="shared" si="137"/>
        <v>91.848827917112487</v>
      </c>
      <c r="L161" s="12">
        <f t="shared" si="130"/>
        <v>1.1630438317637526</v>
      </c>
      <c r="M161" s="11">
        <f t="shared" si="125"/>
        <v>0.85400156942460104</v>
      </c>
      <c r="N161" s="21">
        <f t="shared" si="138"/>
        <v>133490.83331433506</v>
      </c>
      <c r="O161" s="21">
        <f t="shared" si="131"/>
        <v>1453.375468599357</v>
      </c>
      <c r="P161" s="12">
        <f t="shared" si="132"/>
        <v>1.7757643331288451</v>
      </c>
      <c r="Q161" s="12">
        <f t="shared" si="133"/>
        <v>-0.59683321857484206</v>
      </c>
      <c r="R161" s="12">
        <f t="shared" si="134"/>
        <v>-0.95674481940318035</v>
      </c>
      <c r="S161" s="30">
        <f t="shared" si="135"/>
        <v>-3.8757238377199486E-2</v>
      </c>
      <c r="T161" s="30">
        <v>14</v>
      </c>
      <c r="U161" s="44">
        <f t="shared" si="136"/>
        <v>-6.4313644543290138E-7</v>
      </c>
      <c r="V161" s="44">
        <f t="shared" si="127"/>
        <v>-0.59683321857484206</v>
      </c>
      <c r="W161" s="44">
        <v>-1.0416704749405974E-2</v>
      </c>
      <c r="X161" s="45">
        <v>3.0992934352579767E-2</v>
      </c>
      <c r="Y161" s="45">
        <f t="shared" si="128"/>
        <v>1.7757643331288451</v>
      </c>
      <c r="Z161" s="45">
        <f t="shared" si="139"/>
        <v>-3.1601643968315329E-8</v>
      </c>
      <c r="AB161" s="30">
        <f t="shared" si="129"/>
        <v>14</v>
      </c>
    </row>
    <row r="162" spans="6:28" x14ac:dyDescent="0.3">
      <c r="K162" s="95">
        <f t="shared" ref="K162" si="140">K144</f>
        <v>95</v>
      </c>
      <c r="L162" s="12">
        <f t="shared" si="130"/>
        <v>1.2029458243851048</v>
      </c>
      <c r="M162" s="11">
        <f t="shared" si="125"/>
        <v>0.85198766798371528</v>
      </c>
      <c r="N162" s="21">
        <f t="shared" si="138"/>
        <v>133176.03602217327</v>
      </c>
      <c r="O162" s="21">
        <f t="shared" si="131"/>
        <v>1401.8530107597187</v>
      </c>
      <c r="P162" s="12">
        <f t="shared" si="132"/>
        <v>1.3957472605061303</v>
      </c>
      <c r="Q162" s="12">
        <f t="shared" si="133"/>
        <v>-0.75710718362212781</v>
      </c>
      <c r="R162" s="12">
        <f t="shared" si="134"/>
        <v>-1.2552947168045914</v>
      </c>
      <c r="S162" s="30">
        <f t="shared" si="135"/>
        <v>-2.9469847075960599E-2</v>
      </c>
      <c r="T162" s="54">
        <v>15</v>
      </c>
      <c r="U162" s="44">
        <f t="shared" si="136"/>
        <v>-1.2369127944111824E-10</v>
      </c>
      <c r="V162" s="44">
        <f t="shared" si="127"/>
        <v>-0.75710718362212781</v>
      </c>
      <c r="W162" s="44">
        <v>-1.3214013144707418E-2</v>
      </c>
      <c r="X162" s="45">
        <v>2.4360385221522989E-2</v>
      </c>
      <c r="Y162" s="45">
        <f t="shared" si="128"/>
        <v>1.3957472605061303</v>
      </c>
      <c r="Z162" s="45">
        <f t="shared" si="139"/>
        <v>5.1727511163335294E-12</v>
      </c>
      <c r="AB162" s="30">
        <f t="shared" si="129"/>
        <v>15</v>
      </c>
    </row>
    <row r="163" spans="6:28" ht="15.6" thickBot="1" x14ac:dyDescent="0.35"/>
    <row r="164" spans="6:28" ht="16.2" thickBot="1" x14ac:dyDescent="0.35">
      <c r="K164" s="135" t="s">
        <v>149</v>
      </c>
      <c r="L164" s="136"/>
      <c r="M164" s="136"/>
      <c r="N164" s="136"/>
      <c r="O164" s="136"/>
      <c r="P164" s="136"/>
      <c r="Q164" s="136"/>
      <c r="R164" s="137"/>
    </row>
    <row r="165" spans="6:28" ht="18.600000000000001" thickBot="1" x14ac:dyDescent="0.35">
      <c r="F165" s="46"/>
      <c r="K165" s="17" t="s">
        <v>67</v>
      </c>
      <c r="L165" s="17" t="s">
        <v>15</v>
      </c>
      <c r="M165" s="17" t="s">
        <v>74</v>
      </c>
      <c r="N165" s="17" t="s">
        <v>73</v>
      </c>
      <c r="O165" s="17" t="s">
        <v>68</v>
      </c>
      <c r="P165" s="17" t="s">
        <v>70</v>
      </c>
      <c r="Q165" s="17" t="s">
        <v>87</v>
      </c>
      <c r="R165" s="17" t="s">
        <v>69</v>
      </c>
      <c r="S165" s="30" t="s">
        <v>147</v>
      </c>
      <c r="U165" s="58" t="s">
        <v>98</v>
      </c>
      <c r="V165" s="56" t="s">
        <v>99</v>
      </c>
      <c r="W165" s="56" t="s">
        <v>101</v>
      </c>
      <c r="X165" s="55" t="s">
        <v>101</v>
      </c>
      <c r="Y165" s="55" t="s">
        <v>99</v>
      </c>
      <c r="Z165" s="57" t="s">
        <v>100</v>
      </c>
    </row>
    <row r="166" spans="6:28" x14ac:dyDescent="0.3">
      <c r="F166" s="46"/>
      <c r="K166" s="25">
        <f>SQRT(2*(C$14)*C$12/C$5/C$15/G170)</f>
        <v>54.0000891441398</v>
      </c>
      <c r="L166" s="22">
        <f t="shared" ref="L166:L180" si="141">K166/C$9/C$2</f>
        <v>0.68378086055122522</v>
      </c>
      <c r="M166" s="23">
        <f>0.2646*L166^3-1.2784*L166^2+1.8632*L166</f>
        <v>0.76089078419982525</v>
      </c>
      <c r="N166" s="26">
        <f t="shared" ref="N166:N180" si="142">G$153*M166</f>
        <v>118936.48499085134</v>
      </c>
      <c r="O166" s="26">
        <f>N166/K166</f>
        <v>2202.5238638658539</v>
      </c>
      <c r="P166" s="22">
        <f t="shared" ref="P166:P180" si="143">Y166</f>
        <v>9.2763601457487646</v>
      </c>
      <c r="Q166" s="22">
        <f t="shared" ref="Q166:Q180" si="144">V166</f>
        <v>0.18821006221834152</v>
      </c>
      <c r="R166" s="22">
        <f>K166*SIN(RADIANS(Q166))</f>
        <v>0.17738377845782269</v>
      </c>
      <c r="S166" s="30">
        <f>(N166/1000)/(R166*3600)</f>
        <v>0.1862510359441592</v>
      </c>
      <c r="T166" s="30">
        <v>1</v>
      </c>
      <c r="U166" s="44">
        <f t="shared" ref="U166:U180" si="145">0.5*G$152*C$5*C$3*(X166-C$6)*K166^2+N166/K166*SIN(X166-C$1)-C$12*(C$14+C$13*(C$3*(X166-C$6)-C$17)/(C$15-C$17))*COS(W166)</f>
        <v>-6685.2775811225729</v>
      </c>
      <c r="V166" s="44">
        <f t="shared" ref="V166:V180" si="146">DEGREES(W166)</f>
        <v>0.18821006221834152</v>
      </c>
      <c r="W166" s="44">
        <v>3.2848852710934424E-3</v>
      </c>
      <c r="X166" s="45">
        <v>0.16190302714409702</v>
      </c>
      <c r="Y166" s="45">
        <f t="shared" ref="Y166:Y180" si="147">DEGREES(X166)</f>
        <v>9.2763601457487646</v>
      </c>
      <c r="Z166" s="45">
        <f t="shared" ref="Z166:Z180" si="148">-0.5*G$152*C$5*K166^2*(C$8+(C$3^2)*(X166-C$6)^2/(PI()*C$7))+N166/K166*COS(X166-C$1)-C$12*(C$14+C$13*(C$3*(X166-C$6)-C$17)/(C$15-C$17))*SIN(W166)</f>
        <v>209.17818770444893</v>
      </c>
      <c r="AB166" s="30">
        <f t="shared" ref="AB166:AB180" si="149">T166</f>
        <v>1</v>
      </c>
    </row>
    <row r="167" spans="6:28" x14ac:dyDescent="0.3">
      <c r="F167" s="46"/>
      <c r="K167" s="18">
        <f>K$166+T130*G$175</f>
        <v>56.928654205272672</v>
      </c>
      <c r="L167" s="19">
        <f t="shared" si="141"/>
        <v>0.72086407225364513</v>
      </c>
      <c r="M167" s="11">
        <f t="shared" ref="M167:M180" si="150">0.2646*L167^3-1.2784*L167^2+1.8632*L167</f>
        <v>0.77791717632652346</v>
      </c>
      <c r="N167" s="21">
        <f t="shared" si="142"/>
        <v>121597.91718805558</v>
      </c>
      <c r="O167" s="21">
        <f t="shared" ref="O167:O180" si="151">N167/K167</f>
        <v>2135.9703454362234</v>
      </c>
      <c r="P167" s="12">
        <f t="shared" si="143"/>
        <v>9.0259174085709795</v>
      </c>
      <c r="Q167" s="12">
        <f t="shared" si="144"/>
        <v>0.21896501920065331</v>
      </c>
      <c r="R167" s="12">
        <f t="shared" ref="R167:R180" si="152">K167*SIN(RADIANS(Q167))</f>
        <v>0.2175614613165982</v>
      </c>
      <c r="S167" s="30">
        <f t="shared" ref="S167:S180" si="153">(N167/1000)/(R167*3600)</f>
        <v>0.15525359599304822</v>
      </c>
      <c r="T167" s="30">
        <v>2</v>
      </c>
      <c r="U167" s="44">
        <f t="shared" si="145"/>
        <v>-4756.7657271488824</v>
      </c>
      <c r="V167" s="44">
        <f t="shared" si="146"/>
        <v>0.21896501920065331</v>
      </c>
      <c r="W167" s="44">
        <v>3.8216605317440023E-3</v>
      </c>
      <c r="X167" s="45">
        <v>0.15753197679263783</v>
      </c>
      <c r="Y167" s="45">
        <f t="shared" si="147"/>
        <v>9.0259174085709795</v>
      </c>
      <c r="Z167" s="45">
        <f t="shared" si="148"/>
        <v>-11.307415827993793</v>
      </c>
      <c r="AB167" s="30">
        <f t="shared" si="149"/>
        <v>2</v>
      </c>
    </row>
    <row r="168" spans="6:28" x14ac:dyDescent="0.3">
      <c r="F168" s="46"/>
      <c r="K168" s="27">
        <f t="shared" ref="K168:K179" si="154">K$166+T131*G$175</f>
        <v>59.857219266405544</v>
      </c>
      <c r="L168" s="14">
        <f t="shared" si="141"/>
        <v>0.75794728395606514</v>
      </c>
      <c r="M168" s="13">
        <f t="shared" si="150"/>
        <v>0.79300134621980545</v>
      </c>
      <c r="N168" s="24">
        <f t="shared" si="142"/>
        <v>123955.75642512619</v>
      </c>
      <c r="O168" s="24">
        <f t="shared" si="151"/>
        <v>2070.8572490385554</v>
      </c>
      <c r="P168" s="14">
        <f t="shared" si="143"/>
        <v>8.6241087707485189</v>
      </c>
      <c r="Q168" s="14">
        <f t="shared" si="144"/>
        <v>0.26453934430158538</v>
      </c>
      <c r="R168" s="14">
        <f t="shared" si="152"/>
        <v>0.27636474121181848</v>
      </c>
      <c r="S168" s="30">
        <f t="shared" si="153"/>
        <v>0.12458953487176097</v>
      </c>
      <c r="T168" s="54">
        <v>3</v>
      </c>
      <c r="U168" s="44">
        <f t="shared" si="145"/>
        <v>-3103.1278540977546</v>
      </c>
      <c r="V168" s="44">
        <f t="shared" si="146"/>
        <v>0.26453934430158538</v>
      </c>
      <c r="W168" s="44">
        <v>4.6170825591295645E-3</v>
      </c>
      <c r="X168" s="45">
        <v>0.1505190930996825</v>
      </c>
      <c r="Y168" s="45">
        <f t="shared" si="147"/>
        <v>8.6241087707485189</v>
      </c>
      <c r="Z168" s="45">
        <f t="shared" si="148"/>
        <v>-191.18691800147394</v>
      </c>
      <c r="AB168" s="30">
        <f t="shared" si="149"/>
        <v>3</v>
      </c>
    </row>
    <row r="169" spans="6:28" x14ac:dyDescent="0.3">
      <c r="F169" s="29" t="s">
        <v>6</v>
      </c>
      <c r="G169" s="29">
        <v>9000</v>
      </c>
      <c r="H169" s="29" t="s">
        <v>3</v>
      </c>
      <c r="I169" s="29"/>
      <c r="K169" s="18">
        <f t="shared" si="154"/>
        <v>62.785784327538416</v>
      </c>
      <c r="L169" s="19">
        <f t="shared" si="141"/>
        <v>0.79503049565848505</v>
      </c>
      <c r="M169" s="11">
        <f t="shared" si="150"/>
        <v>0.80622425436662493</v>
      </c>
      <c r="N169" s="21">
        <f t="shared" si="142"/>
        <v>126022.65781097158</v>
      </c>
      <c r="O169" s="21">
        <f t="shared" si="151"/>
        <v>2007.1845746728516</v>
      </c>
      <c r="P169" s="12">
        <f t="shared" si="143"/>
        <v>8.2419490278188672</v>
      </c>
      <c r="Q169" s="12">
        <f t="shared" si="144"/>
        <v>0.30324591476441004</v>
      </c>
      <c r="R169" s="12">
        <f t="shared" si="152"/>
        <v>0.33230098054677487</v>
      </c>
      <c r="S169" s="30">
        <f t="shared" si="153"/>
        <v>0.10534514156046401</v>
      </c>
      <c r="T169" s="54">
        <v>4</v>
      </c>
      <c r="U169" s="44">
        <f t="shared" si="145"/>
        <v>-1455.0233146448409</v>
      </c>
      <c r="V169" s="44">
        <f t="shared" si="146"/>
        <v>0.30324591476441004</v>
      </c>
      <c r="W169" s="44">
        <v>5.29263965586104E-3</v>
      </c>
      <c r="X169" s="45">
        <v>0.14384914731698495</v>
      </c>
      <c r="Y169" s="45">
        <f t="shared" si="147"/>
        <v>8.2419490278188672</v>
      </c>
      <c r="Z169" s="45">
        <f t="shared" si="148"/>
        <v>-363.96472441949578</v>
      </c>
      <c r="AB169" s="30">
        <f t="shared" si="149"/>
        <v>4</v>
      </c>
    </row>
    <row r="170" spans="6:28" ht="18.600000000000001" x14ac:dyDescent="0.3">
      <c r="F170" s="30" t="s">
        <v>83</v>
      </c>
      <c r="G170" s="30">
        <f>C$11*(1-G169/44300)^4.256</f>
        <v>0.46617416641179499</v>
      </c>
      <c r="H170" s="30" t="s">
        <v>84</v>
      </c>
      <c r="K170" s="27">
        <f t="shared" si="154"/>
        <v>65.71434938867128</v>
      </c>
      <c r="L170" s="14">
        <f t="shared" si="141"/>
        <v>0.83211370736090495</v>
      </c>
      <c r="M170" s="13">
        <f t="shared" si="150"/>
        <v>0.81766686125393506</v>
      </c>
      <c r="N170" s="24">
        <f t="shared" si="142"/>
        <v>127811.27645450001</v>
      </c>
      <c r="O170" s="24">
        <f t="shared" si="151"/>
        <v>1944.952322339112</v>
      </c>
      <c r="P170" s="14">
        <f t="shared" si="143"/>
        <v>5.7605970546259826</v>
      </c>
      <c r="Q170" s="14">
        <f t="shared" si="144"/>
        <v>0.41106283568842072</v>
      </c>
      <c r="R170" s="14">
        <f t="shared" si="152"/>
        <v>0.47145697819352966</v>
      </c>
      <c r="S170" s="30">
        <f>(N170/1000)/(R170*3600)</f>
        <v>7.5305137033942565E-2</v>
      </c>
      <c r="T170" s="54">
        <v>5</v>
      </c>
      <c r="U170" s="44">
        <f t="shared" si="145"/>
        <v>-4923.6814193188802</v>
      </c>
      <c r="V170" s="44">
        <f t="shared" si="146"/>
        <v>0.41106283568842072</v>
      </c>
      <c r="W170" s="44">
        <v>7.1743999153473931E-3</v>
      </c>
      <c r="X170" s="45">
        <v>0.10054138548391103</v>
      </c>
      <c r="Y170" s="45">
        <f t="shared" si="147"/>
        <v>5.7605970546259826</v>
      </c>
      <c r="Z170" s="45">
        <f t="shared" si="148"/>
        <v>64.041945251598946</v>
      </c>
      <c r="AB170" s="30">
        <f t="shared" si="149"/>
        <v>5</v>
      </c>
    </row>
    <row r="171" spans="6:28" ht="18.600000000000001" x14ac:dyDescent="0.3">
      <c r="F171" s="30" t="s">
        <v>85</v>
      </c>
      <c r="G171" s="30">
        <f>C$4*((G170/C$11)-C$10)/(1-C$10)</f>
        <v>131972.95929273817</v>
      </c>
      <c r="H171" s="30" t="s">
        <v>35</v>
      </c>
      <c r="K171" s="18">
        <f t="shared" si="154"/>
        <v>68.642914449804152</v>
      </c>
      <c r="L171" s="19">
        <f t="shared" si="141"/>
        <v>0.86919691906332486</v>
      </c>
      <c r="M171" s="11">
        <f t="shared" si="150"/>
        <v>0.8274101273686888</v>
      </c>
      <c r="N171" s="21">
        <f t="shared" si="142"/>
        <v>129334.26746461973</v>
      </c>
      <c r="O171" s="21">
        <f t="shared" si="151"/>
        <v>1884.1604920373356</v>
      </c>
      <c r="P171" s="12">
        <f t="shared" si="143"/>
        <v>4.20410645944078</v>
      </c>
      <c r="Q171" s="12">
        <f t="shared" si="144"/>
        <v>0.28839200795301839</v>
      </c>
      <c r="R171" s="12">
        <f t="shared" si="152"/>
        <v>0.34550510542515078</v>
      </c>
      <c r="S171" s="30">
        <f t="shared" si="153"/>
        <v>0.10398163396928951</v>
      </c>
      <c r="T171" s="54">
        <v>6</v>
      </c>
      <c r="U171" s="44">
        <f t="shared" si="145"/>
        <v>-6993.2331000827471</v>
      </c>
      <c r="V171" s="44">
        <f t="shared" si="146"/>
        <v>0.28839200795301839</v>
      </c>
      <c r="W171" s="44">
        <v>5.0333900752178437E-3</v>
      </c>
      <c r="X171" s="45">
        <v>7.337549982160306E-2</v>
      </c>
      <c r="Y171" s="45">
        <f t="shared" si="147"/>
        <v>4.20410645944078</v>
      </c>
      <c r="Z171" s="45">
        <f t="shared" si="148"/>
        <v>319.5487153207676</v>
      </c>
      <c r="AB171" s="30">
        <f t="shared" si="149"/>
        <v>6</v>
      </c>
    </row>
    <row r="172" spans="6:28" ht="18.600000000000001" x14ac:dyDescent="0.3">
      <c r="F172" s="30" t="s">
        <v>86</v>
      </c>
      <c r="G172" s="30">
        <f>G171/G170/C$9^3/C$2^5</f>
        <v>0.16977295088727823</v>
      </c>
      <c r="H172" s="30" t="s">
        <v>7</v>
      </c>
      <c r="K172" s="27">
        <f t="shared" si="154"/>
        <v>71.571479510937024</v>
      </c>
      <c r="L172" s="14">
        <f t="shared" si="141"/>
        <v>0.90628013076574498</v>
      </c>
      <c r="M172" s="13">
        <f t="shared" si="150"/>
        <v>0.83553501319783952</v>
      </c>
      <c r="N172" s="24">
        <f t="shared" si="142"/>
        <v>130604.28595023906</v>
      </c>
      <c r="O172" s="24">
        <f t="shared" si="151"/>
        <v>1824.8090837675234</v>
      </c>
      <c r="P172" s="14">
        <f t="shared" si="143"/>
        <v>3.0274885299024406</v>
      </c>
      <c r="Q172" s="14">
        <f t="shared" si="144"/>
        <v>2.9241561205941617E-2</v>
      </c>
      <c r="R172" s="14">
        <f t="shared" si="152"/>
        <v>3.6527327591149565E-2</v>
      </c>
      <c r="S172" s="30">
        <f t="shared" si="153"/>
        <v>0.99320072701680784</v>
      </c>
      <c r="T172" s="30">
        <v>7</v>
      </c>
      <c r="U172" s="44">
        <f t="shared" si="145"/>
        <v>-8636.3960062928272</v>
      </c>
      <c r="V172" s="44">
        <f t="shared" si="146"/>
        <v>2.9241561205941617E-2</v>
      </c>
      <c r="W172" s="44">
        <v>5.1036152146712488E-4</v>
      </c>
      <c r="X172" s="45">
        <v>5.2839642913160387E-2</v>
      </c>
      <c r="Y172" s="45">
        <f t="shared" si="147"/>
        <v>3.0274885299024406</v>
      </c>
      <c r="Z172" s="45">
        <f t="shared" si="148"/>
        <v>536.88738691391688</v>
      </c>
      <c r="AB172" s="30">
        <f t="shared" si="149"/>
        <v>7</v>
      </c>
    </row>
    <row r="173" spans="6:28" x14ac:dyDescent="0.3">
      <c r="F173" s="30" t="s">
        <v>142</v>
      </c>
      <c r="G173" s="30">
        <f>G155-G156</f>
        <v>493.2998640207071</v>
      </c>
      <c r="H173" s="30" t="s">
        <v>0</v>
      </c>
      <c r="K173" s="18">
        <f t="shared" si="154"/>
        <v>74.500044572069896</v>
      </c>
      <c r="L173" s="19">
        <f t="shared" si="141"/>
        <v>0.94336334246816489</v>
      </c>
      <c r="M173" s="11">
        <f t="shared" si="150"/>
        <v>0.84212247922834038</v>
      </c>
      <c r="N173" s="21">
        <f t="shared" si="142"/>
        <v>131633.98702026627</v>
      </c>
      <c r="O173" s="21">
        <f t="shared" si="151"/>
        <v>1766.8980975296747</v>
      </c>
      <c r="P173" s="12">
        <f t="shared" si="143"/>
        <v>2.0037864380819435</v>
      </c>
      <c r="Q173" s="12">
        <f t="shared" si="144"/>
        <v>-0.38536167833014573</v>
      </c>
      <c r="R173" s="12">
        <f t="shared" si="152"/>
        <v>-0.50107086424943392</v>
      </c>
      <c r="S173" s="30">
        <f t="shared" si="153"/>
        <v>-7.2973702929804138E-2</v>
      </c>
      <c r="T173" s="30">
        <v>8</v>
      </c>
      <c r="U173" s="44">
        <f t="shared" si="145"/>
        <v>-10323.863507335063</v>
      </c>
      <c r="V173" s="44">
        <f t="shared" si="146"/>
        <v>-0.38536167833014573</v>
      </c>
      <c r="W173" s="44">
        <v>-6.7258300978723269E-3</v>
      </c>
      <c r="X173" s="45">
        <v>3.4972670851339399E-2</v>
      </c>
      <c r="Y173" s="45">
        <f t="shared" si="147"/>
        <v>2.0037864380819435</v>
      </c>
      <c r="Z173" s="45">
        <f t="shared" si="148"/>
        <v>784.28405292605908</v>
      </c>
      <c r="AB173" s="30">
        <f t="shared" si="149"/>
        <v>8</v>
      </c>
    </row>
    <row r="174" spans="6:28" x14ac:dyDescent="0.3">
      <c r="K174" s="27">
        <f t="shared" si="154"/>
        <v>77.428609633202768</v>
      </c>
      <c r="L174" s="14">
        <f t="shared" si="141"/>
        <v>0.98044655417058479</v>
      </c>
      <c r="M174" s="13">
        <f t="shared" si="150"/>
        <v>0.84725348594714434</v>
      </c>
      <c r="N174" s="24">
        <f t="shared" si="142"/>
        <v>132436.02578360963</v>
      </c>
      <c r="O174" s="24">
        <f t="shared" si="151"/>
        <v>1710.4275333237897</v>
      </c>
      <c r="P174" s="14">
        <f t="shared" si="143"/>
        <v>1.3076302688233767</v>
      </c>
      <c r="Q174" s="14">
        <f t="shared" si="144"/>
        <v>-0.82451110674697747</v>
      </c>
      <c r="R174" s="14">
        <f t="shared" si="152"/>
        <v>-1.1141928041148315</v>
      </c>
      <c r="S174" s="30">
        <f t="shared" si="153"/>
        <v>-3.3017431816136665E-2</v>
      </c>
      <c r="T174" s="54">
        <v>9</v>
      </c>
      <c r="U174" s="44">
        <f t="shared" si="145"/>
        <v>-11373.660738549588</v>
      </c>
      <c r="V174" s="44">
        <f t="shared" si="146"/>
        <v>-0.82451110674697747</v>
      </c>
      <c r="W174" s="44">
        <v>-1.439043353199719E-2</v>
      </c>
      <c r="X174" s="45">
        <v>2.2822453589706481E-2</v>
      </c>
      <c r="Y174" s="45">
        <f t="shared" si="147"/>
        <v>1.3076302688233767</v>
      </c>
      <c r="Z174" s="45">
        <f t="shared" si="148"/>
        <v>972.63797263059018</v>
      </c>
      <c r="AB174" s="30">
        <f t="shared" si="149"/>
        <v>9</v>
      </c>
    </row>
    <row r="175" spans="6:28" x14ac:dyDescent="0.3">
      <c r="F175" s="30" t="s">
        <v>151</v>
      </c>
      <c r="G175" s="30">
        <f>(K180-K166)/T179</f>
        <v>2.9285650611328715</v>
      </c>
      <c r="H175" s="30" t="s">
        <v>150</v>
      </c>
      <c r="K175" s="18">
        <f t="shared" si="154"/>
        <v>80.35717469433564</v>
      </c>
      <c r="L175" s="19">
        <f t="shared" si="141"/>
        <v>1.0175297658730049</v>
      </c>
      <c r="M175" s="11">
        <f t="shared" si="150"/>
        <v>0.85100899384120465</v>
      </c>
      <c r="N175" s="21">
        <f t="shared" si="142"/>
        <v>133023.05734917743</v>
      </c>
      <c r="O175" s="21">
        <f t="shared" si="151"/>
        <v>1655.3973911498681</v>
      </c>
      <c r="P175" s="12">
        <f t="shared" si="143"/>
        <v>0.7471926428788167</v>
      </c>
      <c r="Q175" s="12">
        <f t="shared" si="144"/>
        <v>-1.3181057817020276</v>
      </c>
      <c r="R175" s="12">
        <f t="shared" si="152"/>
        <v>-1.8484767093238361</v>
      </c>
      <c r="S175" s="30">
        <f t="shared" si="153"/>
        <v>-1.9989891718558275E-2</v>
      </c>
      <c r="T175" s="54">
        <v>10</v>
      </c>
      <c r="U175" s="44">
        <f t="shared" si="145"/>
        <v>-12253.475765127929</v>
      </c>
      <c r="V175" s="44">
        <f t="shared" si="146"/>
        <v>-1.3181057817020276</v>
      </c>
      <c r="W175" s="44">
        <v>-2.3005285780274009E-2</v>
      </c>
      <c r="X175" s="45">
        <v>1.3040971764913513E-2</v>
      </c>
      <c r="Y175" s="45">
        <f t="shared" si="147"/>
        <v>0.7471926428788167</v>
      </c>
      <c r="Z175" s="45">
        <f t="shared" si="148"/>
        <v>1159.0464731859256</v>
      </c>
      <c r="AB175" s="30">
        <f t="shared" si="149"/>
        <v>10</v>
      </c>
    </row>
    <row r="176" spans="6:28" x14ac:dyDescent="0.3">
      <c r="K176" s="27">
        <f t="shared" si="154"/>
        <v>83.285739755468512</v>
      </c>
      <c r="L176" s="14">
        <f t="shared" si="141"/>
        <v>1.0546129775754247</v>
      </c>
      <c r="M176" s="13">
        <f t="shared" si="150"/>
        <v>0.85346996339747472</v>
      </c>
      <c r="N176" s="24">
        <f t="shared" si="142"/>
        <v>133407.73682587798</v>
      </c>
      <c r="O176" s="24">
        <f t="shared" si="151"/>
        <v>1601.8076710079106</v>
      </c>
      <c r="P176" s="14">
        <f t="shared" si="143"/>
        <v>0.23088578628385187</v>
      </c>
      <c r="Q176" s="14">
        <f t="shared" si="144"/>
        <v>-1.9349990914638715</v>
      </c>
      <c r="R176" s="14">
        <f t="shared" si="152"/>
        <v>-2.8122001127785445</v>
      </c>
      <c r="S176" s="30">
        <f t="shared" si="153"/>
        <v>-1.317747784215853E-2</v>
      </c>
      <c r="T176" s="54">
        <v>11</v>
      </c>
      <c r="U176" s="44">
        <f t="shared" si="145"/>
        <v>-13230.685567274651</v>
      </c>
      <c r="V176" s="44">
        <f t="shared" si="146"/>
        <v>-1.9349990914638715</v>
      </c>
      <c r="W176" s="44">
        <v>-3.377210516914346E-2</v>
      </c>
      <c r="X176" s="45">
        <v>4.0297171667091781E-3</v>
      </c>
      <c r="Y176" s="45">
        <f t="shared" si="147"/>
        <v>0.23088578628385187</v>
      </c>
      <c r="Z176" s="45">
        <f t="shared" si="148"/>
        <v>1391.8645459086392</v>
      </c>
      <c r="AB176" s="30">
        <f t="shared" si="149"/>
        <v>11</v>
      </c>
    </row>
    <row r="177" spans="11:28" x14ac:dyDescent="0.3">
      <c r="K177" s="18">
        <f t="shared" si="154"/>
        <v>86.214304816601384</v>
      </c>
      <c r="L177" s="19">
        <f t="shared" si="141"/>
        <v>1.0916961892778447</v>
      </c>
      <c r="M177" s="11">
        <f t="shared" si="150"/>
        <v>0.85471735510290792</v>
      </c>
      <c r="N177" s="21">
        <f t="shared" si="142"/>
        <v>133602.71932261958</v>
      </c>
      <c r="O177" s="21">
        <f t="shared" si="151"/>
        <v>1549.6583728979174</v>
      </c>
      <c r="P177" s="12">
        <f t="shared" si="143"/>
        <v>-0.13815198355372338</v>
      </c>
      <c r="Q177" s="12">
        <f t="shared" si="144"/>
        <v>-2.5124584022351968</v>
      </c>
      <c r="R177" s="12">
        <f t="shared" si="152"/>
        <v>-3.7793436770962949</v>
      </c>
      <c r="S177" s="30">
        <f t="shared" si="153"/>
        <v>-9.8196590861561531E-3</v>
      </c>
      <c r="T177" s="54">
        <v>12</v>
      </c>
      <c r="U177" s="44">
        <f t="shared" si="145"/>
        <v>-13844.505828692607</v>
      </c>
      <c r="V177" s="44">
        <f t="shared" si="146"/>
        <v>-2.5124584022351968</v>
      </c>
      <c r="W177" s="44">
        <v>-4.3850671438400241E-2</v>
      </c>
      <c r="X177" s="45">
        <v>-2.4112069811735295E-3</v>
      </c>
      <c r="Y177" s="45">
        <f t="shared" si="147"/>
        <v>-0.13815198355372338</v>
      </c>
      <c r="Z177" s="45">
        <f t="shared" si="148"/>
        <v>1581.5428805571373</v>
      </c>
      <c r="AB177" s="30">
        <f t="shared" si="149"/>
        <v>12</v>
      </c>
    </row>
    <row r="178" spans="11:28" x14ac:dyDescent="0.3">
      <c r="K178" s="27">
        <f t="shared" si="154"/>
        <v>89.142869877734256</v>
      </c>
      <c r="L178" s="14">
        <f t="shared" si="141"/>
        <v>1.1287794009802647</v>
      </c>
      <c r="M178" s="13">
        <f t="shared" si="150"/>
        <v>0.85483212944445675</v>
      </c>
      <c r="N178" s="24">
        <f t="shared" si="142"/>
        <v>133620.65994831047</v>
      </c>
      <c r="O178" s="24">
        <f t="shared" si="151"/>
        <v>1498.9494968198874</v>
      </c>
      <c r="P178" s="14">
        <f t="shared" si="143"/>
        <v>-0.44743688486175048</v>
      </c>
      <c r="Q178" s="14">
        <f t="shared" si="144"/>
        <v>-3.1194075269034194</v>
      </c>
      <c r="R178" s="14">
        <f t="shared" si="152"/>
        <v>-4.8508910671241781</v>
      </c>
      <c r="S178" s="30">
        <f t="shared" si="153"/>
        <v>-7.6515529769763113E-3</v>
      </c>
      <c r="T178" s="30">
        <v>13</v>
      </c>
      <c r="U178" s="44">
        <f t="shared" si="145"/>
        <v>-14374.86490886614</v>
      </c>
      <c r="V178" s="44">
        <f t="shared" si="146"/>
        <v>-3.1194075269034194</v>
      </c>
      <c r="W178" s="44">
        <v>-5.4443932055958266E-2</v>
      </c>
      <c r="X178" s="45">
        <v>-7.8092468357043188E-3</v>
      </c>
      <c r="Y178" s="45">
        <f t="shared" si="147"/>
        <v>-0.44743688486175048</v>
      </c>
      <c r="Z178" s="45">
        <f t="shared" si="148"/>
        <v>1774.704458837328</v>
      </c>
      <c r="AB178" s="30">
        <f t="shared" si="149"/>
        <v>13</v>
      </c>
    </row>
    <row r="179" spans="11:28" x14ac:dyDescent="0.3">
      <c r="K179" s="18">
        <f t="shared" si="154"/>
        <v>92.071434938867128</v>
      </c>
      <c r="L179" s="19">
        <f t="shared" si="141"/>
        <v>1.1658626126826845</v>
      </c>
      <c r="M179" s="11">
        <f t="shared" si="150"/>
        <v>0.85389524690907459</v>
      </c>
      <c r="N179" s="21">
        <f t="shared" si="142"/>
        <v>133474.21381185888</v>
      </c>
      <c r="O179" s="21">
        <f t="shared" si="151"/>
        <v>1449.6810427738205</v>
      </c>
      <c r="P179" s="12">
        <f t="shared" si="143"/>
        <v>-0.70922377232600642</v>
      </c>
      <c r="Q179" s="12">
        <f t="shared" si="144"/>
        <v>-3.7519097343645749</v>
      </c>
      <c r="R179" s="12">
        <f t="shared" si="152"/>
        <v>-6.0248222307676746</v>
      </c>
      <c r="S179" s="30">
        <f t="shared" si="153"/>
        <v>-6.1539028179043772E-3</v>
      </c>
      <c r="T179" s="30">
        <v>14</v>
      </c>
      <c r="U179" s="44">
        <f t="shared" si="145"/>
        <v>-14836.038865752491</v>
      </c>
      <c r="V179" s="44">
        <f t="shared" si="146"/>
        <v>-3.7519097343645749</v>
      </c>
      <c r="W179" s="44">
        <v>-6.5483178102287667E-2</v>
      </c>
      <c r="X179" s="45">
        <v>-1.2378289960503453E-2</v>
      </c>
      <c r="Y179" s="45">
        <f t="shared" si="147"/>
        <v>-0.70922377232600642</v>
      </c>
      <c r="Z179" s="45">
        <f t="shared" si="148"/>
        <v>1971.7783535993524</v>
      </c>
      <c r="AB179" s="30">
        <f t="shared" si="149"/>
        <v>14</v>
      </c>
    </row>
    <row r="180" spans="11:28" x14ac:dyDescent="0.3">
      <c r="K180" s="27">
        <f t="shared" ref="K180" si="155">K162</f>
        <v>95</v>
      </c>
      <c r="L180" s="14">
        <f t="shared" si="141"/>
        <v>1.2029458243851048</v>
      </c>
      <c r="M180" s="13">
        <f t="shared" si="150"/>
        <v>0.85198766798371528</v>
      </c>
      <c r="N180" s="24">
        <f t="shared" si="142"/>
        <v>133176.03602217327</v>
      </c>
      <c r="O180" s="24">
        <f t="shared" si="151"/>
        <v>1401.8530107597187</v>
      </c>
      <c r="P180" s="14">
        <f t="shared" si="143"/>
        <v>-0.96203680383136436</v>
      </c>
      <c r="Q180" s="14">
        <f t="shared" si="144"/>
        <v>-4.5023291331697806</v>
      </c>
      <c r="R180" s="14">
        <f t="shared" si="152"/>
        <v>-7.4574640322342258</v>
      </c>
      <c r="S180" s="30">
        <f t="shared" si="153"/>
        <v>-4.9605795186664168E-3</v>
      </c>
      <c r="T180" s="54">
        <v>15</v>
      </c>
      <c r="U180" s="44">
        <f t="shared" si="145"/>
        <v>-15388.449489646277</v>
      </c>
      <c r="V180" s="44">
        <f t="shared" si="146"/>
        <v>-4.5023291331697806</v>
      </c>
      <c r="W180" s="44">
        <v>-7.8580467382274907E-2</v>
      </c>
      <c r="X180" s="45">
        <v>-1.6790709752220107E-2</v>
      </c>
      <c r="Y180" s="45">
        <f t="shared" si="147"/>
        <v>-0.96203680383136436</v>
      </c>
      <c r="Z180" s="45">
        <f t="shared" si="148"/>
        <v>2219.7682752213336</v>
      </c>
      <c r="AB180" s="30">
        <f t="shared" si="149"/>
        <v>15</v>
      </c>
    </row>
  </sheetData>
  <mergeCells count="10">
    <mergeCell ref="K2:R2"/>
    <mergeCell ref="K20:R20"/>
    <mergeCell ref="K38:R38"/>
    <mergeCell ref="K56:R56"/>
    <mergeCell ref="K164:R164"/>
    <mergeCell ref="K146:R146"/>
    <mergeCell ref="K128:R128"/>
    <mergeCell ref="K110:R110"/>
    <mergeCell ref="K92:R92"/>
    <mergeCell ref="K74:R7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9B099-80E8-48F6-91E5-B49D65C90E71}">
  <dimension ref="A1:P88"/>
  <sheetViews>
    <sheetView workbookViewId="0"/>
  </sheetViews>
  <sheetFormatPr defaultRowHeight="15" x14ac:dyDescent="0.3"/>
  <cols>
    <col min="1" max="1" width="34.77734375" style="30" customWidth="1"/>
    <col min="2" max="2" width="12.77734375" style="30" customWidth="1"/>
    <col min="3" max="4" width="8.88671875" style="30"/>
    <col min="5" max="5" width="15.6640625" style="30" bestFit="1" customWidth="1"/>
    <col min="6" max="6" width="8.88671875" style="30"/>
    <col min="7" max="7" width="9.6640625" style="30" customWidth="1"/>
    <col min="8" max="8" width="9" style="30" bestFit="1" customWidth="1"/>
    <col min="9" max="9" width="8.21875" style="30" customWidth="1"/>
    <col min="10" max="10" width="8.88671875" style="30" customWidth="1"/>
    <col min="11" max="11" width="10.21875" style="30" customWidth="1"/>
    <col min="12" max="12" width="11.44140625" style="30" bestFit="1" customWidth="1"/>
    <col min="13" max="13" width="10.33203125" style="30" bestFit="1" customWidth="1"/>
    <col min="14" max="16384" width="8.88671875" style="30"/>
  </cols>
  <sheetData>
    <row r="1" spans="1:14" ht="18.600000000000001" thickBot="1" x14ac:dyDescent="0.35">
      <c r="A1" s="29" t="s">
        <v>9</v>
      </c>
      <c r="B1" s="29" t="s">
        <v>6</v>
      </c>
      <c r="C1" s="29">
        <v>0</v>
      </c>
      <c r="D1" s="29" t="s">
        <v>3</v>
      </c>
      <c r="G1" s="132" t="s">
        <v>158</v>
      </c>
      <c r="H1" s="133"/>
      <c r="I1" s="133"/>
      <c r="J1" s="133"/>
      <c r="K1" s="133"/>
      <c r="L1" s="133"/>
      <c r="M1" s="133"/>
      <c r="N1" s="134"/>
    </row>
    <row r="2" spans="1:14" ht="19.2" thickBot="1" x14ac:dyDescent="0.35">
      <c r="A2" s="30" t="s">
        <v>139</v>
      </c>
      <c r="B2" s="30" t="s">
        <v>141</v>
      </c>
      <c r="C2" s="30">
        <f>Podsumowanie!B31</f>
        <v>28993.455000000002</v>
      </c>
      <c r="D2" s="30" t="s">
        <v>39</v>
      </c>
      <c r="G2" s="96" t="s">
        <v>67</v>
      </c>
      <c r="H2" s="96" t="s">
        <v>15</v>
      </c>
      <c r="I2" s="96" t="s">
        <v>74</v>
      </c>
      <c r="J2" s="96" t="s">
        <v>73</v>
      </c>
      <c r="K2" s="96" t="s">
        <v>68</v>
      </c>
      <c r="L2" s="96" t="s">
        <v>70</v>
      </c>
      <c r="M2" s="96" t="s">
        <v>87</v>
      </c>
      <c r="N2" s="96" t="s">
        <v>69</v>
      </c>
    </row>
    <row r="3" spans="1:14" ht="15.6" x14ac:dyDescent="0.3">
      <c r="A3" s="31" t="s">
        <v>10</v>
      </c>
      <c r="B3" s="31" t="s">
        <v>30</v>
      </c>
      <c r="C3" s="31">
        <f>Podsumowanie!B29</f>
        <v>1.7453292519943295E-2</v>
      </c>
      <c r="D3" s="31" t="s">
        <v>40</v>
      </c>
      <c r="F3" s="46"/>
      <c r="G3" s="91">
        <f>SQRT(2*C$15/C$7/C$16/C17)</f>
        <v>35.157432011792558</v>
      </c>
      <c r="H3" s="92">
        <f>G3/C$12/C$4</f>
        <v>0.44518406352304285</v>
      </c>
      <c r="I3" s="93">
        <f>0.185*H3^3-0.9822*H3^2+1.6209*H3</f>
        <v>0.54326040547493881</v>
      </c>
      <c r="J3" s="94">
        <f t="shared" ref="J3:J17" si="0">C$18*I3</f>
        <v>242294.14084182272</v>
      </c>
      <c r="K3" s="94">
        <f>J3/G3</f>
        <v>6891.6905182537812</v>
      </c>
      <c r="L3" s="92">
        <f t="shared" ref="L3:L17" ca="1" si="1">OFFSET(D27,A27-2,0,1,1)</f>
        <v>11.327448024114711</v>
      </c>
      <c r="M3" s="92">
        <f t="shared" ref="M3:M17" ca="1" si="2">OFFSET(D26,A27-2,0,1,1)</f>
        <v>9.5841953472820176</v>
      </c>
      <c r="N3" s="92">
        <f ca="1">G3*SIN(RADIANS(M3))</f>
        <v>5.853598521505921</v>
      </c>
    </row>
    <row r="4" spans="1:14" ht="15.6" x14ac:dyDescent="0.3">
      <c r="A4" s="31" t="s">
        <v>11</v>
      </c>
      <c r="B4" s="31" t="s">
        <v>18</v>
      </c>
      <c r="C4" s="31">
        <f>Podsumowanie!B12</f>
        <v>1.84</v>
      </c>
      <c r="D4" s="31" t="s">
        <v>3</v>
      </c>
      <c r="F4" s="46"/>
      <c r="G4" s="95">
        <v>45</v>
      </c>
      <c r="H4" s="12">
        <f t="shared" ref="H4:H17" si="3">G4/C$12/C$4</f>
        <v>0.56981644312978641</v>
      </c>
      <c r="I4" s="11">
        <f>0.185*H4^3-0.9822*H4^2+1.6209*H4</f>
        <v>0.63893180644633429</v>
      </c>
      <c r="J4" s="21">
        <f t="shared" si="0"/>
        <v>284963.58567506511</v>
      </c>
      <c r="K4" s="21">
        <f t="shared" ref="K4:K17" si="4">J4/G4</f>
        <v>6332.5241261125584</v>
      </c>
      <c r="L4" s="12">
        <f t="shared" ca="1" si="1"/>
        <v>5.9971157790449272</v>
      </c>
      <c r="M4" s="12">
        <f t="shared" ca="1" si="2"/>
        <v>9.6448956623915105</v>
      </c>
      <c r="N4" s="12">
        <f t="shared" ref="N4:N17" ca="1" si="5">G4*SIN(RADIANS(M4))</f>
        <v>7.5393584722415596</v>
      </c>
    </row>
    <row r="5" spans="1:14" ht="18" x14ac:dyDescent="0.3">
      <c r="A5" s="31" t="s">
        <v>24</v>
      </c>
      <c r="B5" s="31" t="s">
        <v>75</v>
      </c>
      <c r="C5" s="31">
        <f>Podsumowanie!B16</f>
        <v>6.1340000000000003</v>
      </c>
      <c r="D5" s="31" t="s">
        <v>34</v>
      </c>
      <c r="F5" s="46"/>
      <c r="G5" s="95">
        <v>52</v>
      </c>
      <c r="H5" s="12">
        <f t="shared" si="3"/>
        <v>0.65845455650553097</v>
      </c>
      <c r="I5" s="11">
        <f t="shared" ref="I5:I17" si="6">0.185*H5^3-0.9822*H5^2+1.6209*H5</f>
        <v>0.69425800928812653</v>
      </c>
      <c r="J5" s="21">
        <f t="shared" si="0"/>
        <v>309639.07214250445</v>
      </c>
      <c r="K5" s="21">
        <f t="shared" si="4"/>
        <v>5954.5975412020089</v>
      </c>
      <c r="L5" s="12">
        <f t="shared" ca="1" si="1"/>
        <v>3.8246265954977665</v>
      </c>
      <c r="M5" s="12">
        <f t="shared" ca="1" si="2"/>
        <v>9.0931618671122241</v>
      </c>
      <c r="N5" s="12">
        <f t="shared" ca="1" si="5"/>
        <v>8.2180914572090096</v>
      </c>
    </row>
    <row r="6" spans="1:14" ht="18" x14ac:dyDescent="0.3">
      <c r="A6" s="31" t="s">
        <v>23</v>
      </c>
      <c r="B6" s="31" t="s">
        <v>76</v>
      </c>
      <c r="C6" s="31">
        <f>Podsumowanie!B9</f>
        <v>446000</v>
      </c>
      <c r="D6" s="31" t="s">
        <v>35</v>
      </c>
      <c r="F6" s="46"/>
      <c r="G6" s="95">
        <v>59</v>
      </c>
      <c r="H6" s="12">
        <f t="shared" si="3"/>
        <v>0.74709266988127543</v>
      </c>
      <c r="I6" s="11">
        <f t="shared" si="6"/>
        <v>0.73989283267567485</v>
      </c>
      <c r="J6" s="21">
        <f t="shared" si="0"/>
        <v>329992.20337335096</v>
      </c>
      <c r="K6" s="21">
        <f t="shared" si="4"/>
        <v>5593.0881927686605</v>
      </c>
      <c r="L6" s="12">
        <f t="shared" ca="1" si="1"/>
        <v>2.3527362538731715</v>
      </c>
      <c r="M6" s="12">
        <f t="shared" ca="1" si="2"/>
        <v>8.2815189678457362</v>
      </c>
      <c r="N6" s="12">
        <f t="shared" ca="1" si="5"/>
        <v>8.4981840115175018</v>
      </c>
    </row>
    <row r="7" spans="1:14" ht="18" x14ac:dyDescent="0.3">
      <c r="A7" s="31" t="s">
        <v>22</v>
      </c>
      <c r="B7" s="31" t="s">
        <v>5</v>
      </c>
      <c r="C7" s="31">
        <f>Podsumowanie!B3</f>
        <v>21.3</v>
      </c>
      <c r="D7" s="31" t="s">
        <v>77</v>
      </c>
      <c r="F7" s="46"/>
      <c r="G7" s="95">
        <v>67</v>
      </c>
      <c r="H7" s="12">
        <f t="shared" si="3"/>
        <v>0.84839337088212652</v>
      </c>
      <c r="I7" s="11">
        <f t="shared" si="6"/>
        <v>0.78117153620279789</v>
      </c>
      <c r="J7" s="21">
        <f t="shared" si="0"/>
        <v>348402.50514644786</v>
      </c>
      <c r="K7" s="21">
        <f t="shared" si="4"/>
        <v>5200.0373902454903</v>
      </c>
      <c r="L7" s="12">
        <f t="shared" ca="1" si="1"/>
        <v>1.1869397429926716</v>
      </c>
      <c r="M7" s="12">
        <f t="shared" ca="1" si="2"/>
        <v>7.1547474792448513</v>
      </c>
      <c r="N7" s="12">
        <f t="shared" ca="1" si="5"/>
        <v>8.3448243339694983</v>
      </c>
    </row>
    <row r="8" spans="1:14" ht="18" x14ac:dyDescent="0.3">
      <c r="A8" s="31" t="s">
        <v>41</v>
      </c>
      <c r="B8" s="31" t="s">
        <v>78</v>
      </c>
      <c r="C8" s="31">
        <f>Podsumowanie!B30</f>
        <v>-5.1836278784231589E-2</v>
      </c>
      <c r="D8" s="31" t="s">
        <v>40</v>
      </c>
      <c r="G8" s="95">
        <v>74</v>
      </c>
      <c r="H8" s="12">
        <f t="shared" si="3"/>
        <v>0.93703148425787097</v>
      </c>
      <c r="I8" s="11">
        <f t="shared" si="6"/>
        <v>0.80864210703023176</v>
      </c>
      <c r="J8" s="21">
        <f t="shared" si="0"/>
        <v>360654.37973548338</v>
      </c>
      <c r="K8" s="21">
        <f t="shared" si="4"/>
        <v>4873.7078342632885</v>
      </c>
      <c r="L8" s="12">
        <f t="shared" ca="1" si="1"/>
        <v>0.45359556962900255</v>
      </c>
      <c r="M8" s="12">
        <f t="shared" ca="1" si="2"/>
        <v>6.0505476784594547</v>
      </c>
      <c r="N8" s="12">
        <f t="shared" ca="1" si="5"/>
        <v>7.8000301606534412</v>
      </c>
    </row>
    <row r="9" spans="1:14" ht="15.6" x14ac:dyDescent="0.3">
      <c r="A9" s="31" t="s">
        <v>12</v>
      </c>
      <c r="B9" s="31" t="s">
        <v>3</v>
      </c>
      <c r="C9" s="31">
        <f>Podsumowanie!B7</f>
        <v>2405.5</v>
      </c>
      <c r="D9" s="31" t="s">
        <v>0</v>
      </c>
      <c r="G9" s="95">
        <v>81</v>
      </c>
      <c r="H9" s="12">
        <f t="shared" si="3"/>
        <v>1.0256695976336156</v>
      </c>
      <c r="I9" s="11">
        <f t="shared" si="6"/>
        <v>0.82885075492246929</v>
      </c>
      <c r="J9" s="21">
        <f t="shared" si="0"/>
        <v>369667.43669542129</v>
      </c>
      <c r="K9" s="21">
        <f t="shared" si="4"/>
        <v>4563.7955147582879</v>
      </c>
      <c r="L9" s="12">
        <f t="shared" ca="1" si="1"/>
        <v>-0.10241884788100056</v>
      </c>
      <c r="M9" s="12">
        <f t="shared" ca="1" si="2"/>
        <v>4.8658269361088191</v>
      </c>
      <c r="N9" s="12">
        <f t="shared" ca="1" si="5"/>
        <v>6.8706350779642307</v>
      </c>
    </row>
    <row r="10" spans="1:14" ht="18" x14ac:dyDescent="0.3">
      <c r="A10" s="31" t="s">
        <v>21</v>
      </c>
      <c r="B10" s="31" t="s">
        <v>79</v>
      </c>
      <c r="C10" s="31">
        <f>Podsumowanie!B13</f>
        <v>5.8840000000000003</v>
      </c>
      <c r="D10" s="31" t="s">
        <v>7</v>
      </c>
      <c r="G10" s="95">
        <v>89</v>
      </c>
      <c r="H10" s="12">
        <f t="shared" si="3"/>
        <v>1.1269702986344665</v>
      </c>
      <c r="I10" s="11">
        <f t="shared" si="6"/>
        <v>0.84404581688643843</v>
      </c>
      <c r="J10" s="21">
        <f t="shared" si="0"/>
        <v>376444.43433135154</v>
      </c>
      <c r="K10" s="21">
        <f t="shared" si="4"/>
        <v>4229.7127452960849</v>
      </c>
      <c r="L10" s="12">
        <f t="shared" ca="1" si="1"/>
        <v>-0.58781924778605643</v>
      </c>
      <c r="M10" s="12">
        <f t="shared" ca="1" si="2"/>
        <v>3.4348397580482977</v>
      </c>
      <c r="N10" s="12">
        <f t="shared" ca="1" si="5"/>
        <v>5.3322891074386494</v>
      </c>
    </row>
    <row r="11" spans="1:14" ht="18" x14ac:dyDescent="0.3">
      <c r="A11" s="31" t="s">
        <v>25</v>
      </c>
      <c r="B11" s="31" t="s">
        <v>80</v>
      </c>
      <c r="C11" s="31">
        <f>Podsumowanie!B14</f>
        <v>2.214E-2</v>
      </c>
      <c r="D11" s="31" t="s">
        <v>7</v>
      </c>
      <c r="G11" s="95">
        <v>96</v>
      </c>
      <c r="H11" s="12">
        <f t="shared" si="3"/>
        <v>1.2156084120102111</v>
      </c>
      <c r="I11" s="11">
        <f t="shared" si="6"/>
        <v>0.85129619047366378</v>
      </c>
      <c r="J11" s="21">
        <f t="shared" si="0"/>
        <v>379678.10095125402</v>
      </c>
      <c r="K11" s="21">
        <f t="shared" si="4"/>
        <v>3954.9802182422295</v>
      </c>
      <c r="L11" s="12">
        <f t="shared" ca="1" si="1"/>
        <v>-0.91910979436096396</v>
      </c>
      <c r="M11" s="12">
        <f t="shared" ca="1" si="2"/>
        <v>2.1270789028708372</v>
      </c>
      <c r="N11" s="12">
        <f t="shared" ca="1" si="5"/>
        <v>3.5631363069663022</v>
      </c>
    </row>
    <row r="12" spans="1:14" ht="18" x14ac:dyDescent="0.3">
      <c r="A12" s="31" t="s">
        <v>19</v>
      </c>
      <c r="B12" s="31" t="s">
        <v>81</v>
      </c>
      <c r="C12" s="31">
        <f>Podsumowanie!B11</f>
        <v>42.92</v>
      </c>
      <c r="D12" s="31" t="s">
        <v>37</v>
      </c>
      <c r="G12" s="95">
        <v>103</v>
      </c>
      <c r="H12" s="12">
        <f t="shared" si="3"/>
        <v>1.3042465253859556</v>
      </c>
      <c r="I12" s="11">
        <f t="shared" si="6"/>
        <v>0.8537140976447406</v>
      </c>
      <c r="J12" s="21">
        <f t="shared" si="0"/>
        <v>380756.48754955432</v>
      </c>
      <c r="K12" s="21">
        <f t="shared" si="4"/>
        <v>3696.6649276655758</v>
      </c>
      <c r="L12" s="12">
        <f t="shared" ca="1" si="1"/>
        <v>-1.1867581911411853</v>
      </c>
      <c r="M12" s="12">
        <f t="shared" ca="1" si="2"/>
        <v>0.77433370826113224</v>
      </c>
      <c r="N12" s="12">
        <f t="shared" ca="1" si="5"/>
        <v>1.3919689160718394</v>
      </c>
    </row>
    <row r="13" spans="1:14" ht="15.6" x14ac:dyDescent="0.3">
      <c r="A13" s="31" t="s">
        <v>20</v>
      </c>
      <c r="B13" s="31" t="s">
        <v>14</v>
      </c>
      <c r="C13" s="31">
        <f>Podsumowanie!B17</f>
        <v>0.12</v>
      </c>
      <c r="D13" s="31" t="s">
        <v>7</v>
      </c>
      <c r="G13" s="95">
        <v>111</v>
      </c>
      <c r="H13" s="12">
        <f t="shared" si="3"/>
        <v>1.4055472263868065</v>
      </c>
      <c r="I13" s="11">
        <f t="shared" si="6"/>
        <v>0.85155172921601352</v>
      </c>
      <c r="J13" s="21">
        <f t="shared" si="0"/>
        <v>379792.07123034203</v>
      </c>
      <c r="K13" s="21">
        <f t="shared" si="4"/>
        <v>3421.5501912643426</v>
      </c>
      <c r="L13" s="12">
        <f t="shared" ca="1" si="1"/>
        <v>-1.4343084805967903</v>
      </c>
      <c r="M13" s="12">
        <f t="shared" ca="1" si="2"/>
        <v>-0.82143481528782425</v>
      </c>
      <c r="N13" s="12">
        <f t="shared" ca="1" si="5"/>
        <v>-1.5913238596835</v>
      </c>
    </row>
    <row r="14" spans="1:14" ht="18" x14ac:dyDescent="0.3">
      <c r="A14" s="31" t="s">
        <v>33</v>
      </c>
      <c r="B14" s="31" t="s">
        <v>32</v>
      </c>
      <c r="C14" s="31">
        <f>Podsumowanie!B2</f>
        <v>1.2255</v>
      </c>
      <c r="D14" s="31" t="s">
        <v>82</v>
      </c>
      <c r="G14" s="95">
        <v>118</v>
      </c>
      <c r="H14" s="12">
        <f t="shared" si="3"/>
        <v>1.4941853397625509</v>
      </c>
      <c r="I14" s="11">
        <f t="shared" si="6"/>
        <v>0.84621734033718043</v>
      </c>
      <c r="J14" s="21">
        <f t="shared" si="0"/>
        <v>377412.93379038246</v>
      </c>
      <c r="K14" s="21">
        <f t="shared" si="4"/>
        <v>3198.4146931388345</v>
      </c>
      <c r="L14" s="12">
        <f t="shared" ca="1" si="1"/>
        <v>-1.6119936210067842</v>
      </c>
      <c r="M14" s="12">
        <f t="shared" ca="1" si="2"/>
        <v>-2.2583951791902956</v>
      </c>
      <c r="N14" s="12">
        <f t="shared" ca="1" si="5"/>
        <v>-4.6499346551321752</v>
      </c>
    </row>
    <row r="15" spans="1:14" ht="15.6" x14ac:dyDescent="0.3">
      <c r="A15" s="31" t="s">
        <v>26</v>
      </c>
      <c r="B15" s="31" t="s">
        <v>13</v>
      </c>
      <c r="C15" s="31">
        <f>Podsumowanie!B8</f>
        <v>26295.705000000002</v>
      </c>
      <c r="D15" s="31" t="s">
        <v>39</v>
      </c>
      <c r="G15" s="95">
        <v>125</v>
      </c>
      <c r="H15" s="12">
        <f t="shared" si="3"/>
        <v>1.5828234531382954</v>
      </c>
      <c r="I15" s="11">
        <f t="shared" si="6"/>
        <v>0.8384799415612465</v>
      </c>
      <c r="J15" s="21">
        <f t="shared" si="0"/>
        <v>373962.05393631593</v>
      </c>
      <c r="K15" s="21">
        <f t="shared" si="4"/>
        <v>2991.6964314905276</v>
      </c>
      <c r="L15" s="12">
        <f t="shared" ca="1" si="1"/>
        <v>-1.7615241378399347</v>
      </c>
      <c r="M15" s="12">
        <f t="shared" ca="1" si="2"/>
        <v>-3.7317614169694586</v>
      </c>
      <c r="N15" s="12">
        <f t="shared" ca="1" si="5"/>
        <v>-8.1356855189698116</v>
      </c>
    </row>
    <row r="16" spans="1:14" x14ac:dyDescent="0.3">
      <c r="A16" s="30" t="s">
        <v>102</v>
      </c>
      <c r="B16" s="30" t="s">
        <v>89</v>
      </c>
      <c r="C16" s="30">
        <f>Podsumowanie!B15</f>
        <v>1.63</v>
      </c>
      <c r="D16" s="30" t="s">
        <v>7</v>
      </c>
      <c r="G16" s="95">
        <v>132</v>
      </c>
      <c r="H16" s="12">
        <f t="shared" si="3"/>
        <v>1.6714615665140402</v>
      </c>
      <c r="I16" s="11">
        <f t="shared" si="6"/>
        <v>0.82911254178063665</v>
      </c>
      <c r="J16" s="21">
        <f t="shared" si="0"/>
        <v>369784.19363416394</v>
      </c>
      <c r="K16" s="21">
        <f t="shared" si="4"/>
        <v>2801.3954063194237</v>
      </c>
      <c r="L16" s="12">
        <f t="shared" ca="1" si="1"/>
        <v>-1.8886440530111479</v>
      </c>
      <c r="M16" s="12">
        <f t="shared" ca="1" si="2"/>
        <v>-5.2408450214472646</v>
      </c>
      <c r="N16" s="12">
        <f t="shared" ca="1" si="5"/>
        <v>-12.057210433612738</v>
      </c>
    </row>
    <row r="17" spans="1:16" ht="18.600000000000001" x14ac:dyDescent="0.3">
      <c r="A17" s="30" t="s">
        <v>29</v>
      </c>
      <c r="B17" s="30" t="s">
        <v>83</v>
      </c>
      <c r="C17" s="30">
        <f>C14*(1-C1/44300)^4.256</f>
        <v>1.2255</v>
      </c>
      <c r="D17" s="30" t="s">
        <v>84</v>
      </c>
      <c r="G17" s="95">
        <v>140</v>
      </c>
      <c r="H17" s="12">
        <f t="shared" si="3"/>
        <v>1.7727622675148911</v>
      </c>
      <c r="I17" s="11">
        <f t="shared" si="6"/>
        <v>0.81740263733953844</v>
      </c>
      <c r="J17" s="21">
        <f t="shared" si="0"/>
        <v>364561.57625343412</v>
      </c>
      <c r="K17" s="21">
        <f t="shared" si="4"/>
        <v>2604.0112589531009</v>
      </c>
      <c r="L17" s="12">
        <f t="shared" ca="1" si="1"/>
        <v>-2.0120170302031677</v>
      </c>
      <c r="M17" s="12">
        <f t="shared" ca="1" si="2"/>
        <v>-7.0091369959915291</v>
      </c>
      <c r="N17" s="12">
        <f t="shared" ca="1" si="5"/>
        <v>-17.083867338790231</v>
      </c>
    </row>
    <row r="18" spans="1:16" ht="18.600000000000001" x14ac:dyDescent="0.3">
      <c r="A18" s="30" t="s">
        <v>27</v>
      </c>
      <c r="B18" s="30" t="s">
        <v>85</v>
      </c>
      <c r="C18" s="30">
        <f>C6*((C17/C14)-C13)/(1-C13)</f>
        <v>446000</v>
      </c>
      <c r="D18" s="30" t="s">
        <v>35</v>
      </c>
    </row>
    <row r="19" spans="1:16" ht="19.2" thickBot="1" x14ac:dyDescent="0.35">
      <c r="A19" s="30" t="s">
        <v>28</v>
      </c>
      <c r="B19" s="30" t="s">
        <v>86</v>
      </c>
      <c r="C19" s="30">
        <f>C18/C17/C12^3/C4^5</f>
        <v>0.21824951546079521</v>
      </c>
      <c r="D19" s="30" t="s">
        <v>7</v>
      </c>
    </row>
    <row r="20" spans="1:16" ht="18.600000000000001" thickBot="1" x14ac:dyDescent="0.35">
      <c r="A20" s="30" t="s">
        <v>153</v>
      </c>
      <c r="B20" s="30" t="s">
        <v>140</v>
      </c>
      <c r="C20" s="30">
        <f>Podsumowanie!B31</f>
        <v>28993.455000000002</v>
      </c>
      <c r="D20" s="30" t="s">
        <v>39</v>
      </c>
      <c r="F20" s="132" t="s">
        <v>159</v>
      </c>
      <c r="G20" s="133"/>
      <c r="H20" s="133"/>
      <c r="I20" s="133"/>
      <c r="J20" s="133"/>
      <c r="K20" s="133"/>
      <c r="L20" s="133"/>
      <c r="M20" s="133"/>
      <c r="N20" s="133"/>
      <c r="O20" s="133"/>
      <c r="P20" s="134"/>
    </row>
    <row r="21" spans="1:16" ht="18.600000000000001" thickBot="1" x14ac:dyDescent="0.35">
      <c r="F21" s="97" t="s">
        <v>1</v>
      </c>
      <c r="G21" s="97" t="s">
        <v>2</v>
      </c>
      <c r="H21" s="97" t="s">
        <v>67</v>
      </c>
      <c r="I21" s="97" t="s">
        <v>15</v>
      </c>
      <c r="J21" s="97" t="s">
        <v>74</v>
      </c>
      <c r="K21" s="97" t="s">
        <v>72</v>
      </c>
      <c r="L21" s="97" t="s">
        <v>73</v>
      </c>
      <c r="M21" s="97" t="s">
        <v>71</v>
      </c>
      <c r="N21" s="97" t="s">
        <v>69</v>
      </c>
      <c r="O21" s="97" t="s">
        <v>87</v>
      </c>
      <c r="P21" s="97" t="s">
        <v>70</v>
      </c>
    </row>
    <row r="22" spans="1:16" x14ac:dyDescent="0.3">
      <c r="F22" s="11">
        <v>1.63</v>
      </c>
      <c r="G22" s="12">
        <v>156.18</v>
      </c>
      <c r="H22" s="12">
        <f>SQRT((2*C$15)/(C$7*C$17*F22))</f>
        <v>35.157432011792558</v>
      </c>
      <c r="I22" s="92">
        <f>H22/C$12/C$4</f>
        <v>0.44518406352304285</v>
      </c>
      <c r="J22" s="93">
        <f>0.185*I22^3-0.9822*I22^2+1.6209*I22</f>
        <v>0.54326040547493881</v>
      </c>
      <c r="K22" s="21">
        <f t="shared" ref="K22:K37" si="7">C$15*SQRT((2*C$15)/(C$17*C$7*G22))</f>
        <v>94445.888695116766</v>
      </c>
      <c r="L22" s="20">
        <f t="shared" ref="L22:L37" si="8">C$18*J22</f>
        <v>242294.14084182272</v>
      </c>
      <c r="M22" s="21">
        <f>(L22-K22)</f>
        <v>147848.25214670596</v>
      </c>
      <c r="N22" s="12">
        <f t="shared" ref="N22:N37" si="9">M22/C$15</f>
        <v>5.6225247486882726</v>
      </c>
      <c r="O22" s="12">
        <f t="shared" ref="O22:O37" si="10">DEGREES(ASIN(N22/H22))</f>
        <v>9.2024974721161357</v>
      </c>
      <c r="P22" s="12">
        <v>15.276999999999999</v>
      </c>
    </row>
    <row r="23" spans="1:16" x14ac:dyDescent="0.3">
      <c r="F23" s="11">
        <v>1.571</v>
      </c>
      <c r="G23" s="12">
        <v>158.85</v>
      </c>
      <c r="H23" s="12">
        <f>SQRT((2*C$15)/(C$7*C$17*F23))</f>
        <v>35.811528285403178</v>
      </c>
      <c r="I23" s="12">
        <f t="shared" ref="I23:I37" si="11">H23/C$12/C$4</f>
        <v>0.45346661490289286</v>
      </c>
      <c r="J23" s="11">
        <f t="shared" ref="J23:J37" si="12">0.185*I23^3-0.9822*I23^2+1.6209*I23</f>
        <v>0.5503030525852326</v>
      </c>
      <c r="K23" s="21">
        <f t="shared" si="7"/>
        <v>93648.787143572888</v>
      </c>
      <c r="L23" s="20">
        <f t="shared" si="8"/>
        <v>245435.16145301374</v>
      </c>
      <c r="M23" s="21">
        <f t="shared" ref="M23:M37" si="13">(L23-K23)</f>
        <v>151786.37430944084</v>
      </c>
      <c r="N23" s="12">
        <f t="shared" si="9"/>
        <v>5.7722876914477412</v>
      </c>
      <c r="O23" s="12">
        <f t="shared" si="10"/>
        <v>9.2756950872416848</v>
      </c>
      <c r="P23" s="12">
        <v>12.122999999999999</v>
      </c>
    </row>
    <row r="24" spans="1:16" x14ac:dyDescent="0.3">
      <c r="F24" s="11">
        <v>1.474</v>
      </c>
      <c r="G24" s="12">
        <v>163.07</v>
      </c>
      <c r="H24" s="12">
        <f t="shared" ref="H24:H37" si="14">SQRT((2*C$15)/(C$7*C$17*F24))</f>
        <v>36.971085844054947</v>
      </c>
      <c r="I24" s="12">
        <f t="shared" si="11"/>
        <v>0.46814961409567529</v>
      </c>
      <c r="J24" s="11">
        <f t="shared" si="12"/>
        <v>0.56254205917157396</v>
      </c>
      <c r="K24" s="21">
        <f t="shared" si="7"/>
        <v>92429.101464714564</v>
      </c>
      <c r="L24" s="20">
        <f t="shared" si="8"/>
        <v>250893.75839052198</v>
      </c>
      <c r="M24" s="21">
        <f t="shared" si="13"/>
        <v>158464.65692580742</v>
      </c>
      <c r="N24" s="12">
        <f t="shared" si="9"/>
        <v>6.0262562622225726</v>
      </c>
      <c r="O24" s="12">
        <f t="shared" si="10"/>
        <v>9.3810217917284628</v>
      </c>
      <c r="P24" s="12">
        <v>11.015000000000001</v>
      </c>
    </row>
    <row r="25" spans="1:16" x14ac:dyDescent="0.3">
      <c r="B25" s="30" t="s">
        <v>16</v>
      </c>
      <c r="C25" s="30" t="s">
        <v>66</v>
      </c>
      <c r="D25" s="30" t="s">
        <v>17</v>
      </c>
      <c r="F25" s="11">
        <v>1.379</v>
      </c>
      <c r="G25" s="12">
        <v>167.61</v>
      </c>
      <c r="H25" s="12">
        <f t="shared" si="14"/>
        <v>38.223355944888525</v>
      </c>
      <c r="I25" s="12">
        <f t="shared" si="11"/>
        <v>0.48400659397778123</v>
      </c>
      <c r="J25" s="11">
        <f t="shared" si="12"/>
        <v>0.57540991513070816</v>
      </c>
      <c r="K25" s="21">
        <f t="shared" si="7"/>
        <v>91168.708727228543</v>
      </c>
      <c r="L25" s="20">
        <f t="shared" si="8"/>
        <v>256632.82214829585</v>
      </c>
      <c r="M25" s="21">
        <f t="shared" si="13"/>
        <v>165464.1134210673</v>
      </c>
      <c r="N25" s="12">
        <f t="shared" si="9"/>
        <v>6.2924387621882465</v>
      </c>
      <c r="O25" s="12">
        <f t="shared" si="10"/>
        <v>9.4753272397941526</v>
      </c>
      <c r="P25" s="12">
        <v>9.5779999999999994</v>
      </c>
    </row>
    <row r="26" spans="1:16" x14ac:dyDescent="0.3">
      <c r="A26" s="32">
        <v>1</v>
      </c>
      <c r="B26" s="47">
        <f>-K3*COS(C26+C27-C$3)+0.5*C$17*C$7*C$5*(C27-C$8)*G3^2*SIN(C26)+0.5*C$17*C$7*(C$11+1/PI()/C$10*C$5^2*(C27-C$8)^2)*G3^2*COS(C26)</f>
        <v>2.5508660837658681E-4</v>
      </c>
      <c r="C26" s="33">
        <v>0.16727576496439256</v>
      </c>
      <c r="D26" s="34">
        <f t="shared" ref="D26:D55" si="15">DEGREES(C26)</f>
        <v>9.5841953472820176</v>
      </c>
      <c r="F26" s="11">
        <v>1.272</v>
      </c>
      <c r="G26" s="12">
        <v>169.65</v>
      </c>
      <c r="H26" s="12">
        <f t="shared" si="14"/>
        <v>39.798563070913126</v>
      </c>
      <c r="I26" s="12">
        <f t="shared" si="11"/>
        <v>0.50395279223875966</v>
      </c>
      <c r="J26" s="11">
        <f t="shared" si="12"/>
        <v>0.59108709911974633</v>
      </c>
      <c r="K26" s="21">
        <f t="shared" si="7"/>
        <v>90618.910152465382</v>
      </c>
      <c r="L26" s="20">
        <f t="shared" si="8"/>
        <v>263624.84620740684</v>
      </c>
      <c r="M26" s="21">
        <f t="shared" si="13"/>
        <v>173005.93605494144</v>
      </c>
      <c r="N26" s="12">
        <f t="shared" si="9"/>
        <v>6.5792469171273948</v>
      </c>
      <c r="O26" s="12">
        <f t="shared" si="10"/>
        <v>9.5154572523679448</v>
      </c>
      <c r="P26" s="12">
        <v>8.4719999999999995</v>
      </c>
    </row>
    <row r="27" spans="1:16" x14ac:dyDescent="0.3">
      <c r="A27" s="35">
        <v>2</v>
      </c>
      <c r="B27" s="48">
        <f>K3*SIN(C26+C27-C$3)+0.5*C$17*C$7*C$5*(C27-C$8)*G3^2*COS(C26)-0.5*C$17*C$7*(C$11+1/PI()/C$10*C$5^2*(C27-C$8)^2)*G3^2*SIN(C26)-C$15</f>
        <v>-2.8058639145456254E-7</v>
      </c>
      <c r="C27" s="36">
        <v>0.19770126386932774</v>
      </c>
      <c r="D27" s="37">
        <f t="shared" si="15"/>
        <v>11.327448024114711</v>
      </c>
      <c r="F27" s="11">
        <v>1.1779999999999999</v>
      </c>
      <c r="G27" s="12">
        <v>170.58</v>
      </c>
      <c r="H27" s="12">
        <f t="shared" si="14"/>
        <v>41.355978660828761</v>
      </c>
      <c r="I27" s="12">
        <f t="shared" si="11"/>
        <v>0.52367370361477317</v>
      </c>
      <c r="J27" s="11">
        <f t="shared" si="12"/>
        <v>0.60603763035869207</v>
      </c>
      <c r="K27" s="21">
        <f t="shared" si="7"/>
        <v>90371.545959716881</v>
      </c>
      <c r="L27" s="20">
        <f t="shared" si="8"/>
        <v>270292.78313997667</v>
      </c>
      <c r="M27" s="21">
        <f t="shared" si="13"/>
        <v>179921.23718025978</v>
      </c>
      <c r="N27" s="12">
        <f t="shared" si="9"/>
        <v>6.8422290704987665</v>
      </c>
      <c r="O27" s="12">
        <f t="shared" si="10"/>
        <v>9.523211671641528</v>
      </c>
      <c r="P27" s="12">
        <v>7.694</v>
      </c>
    </row>
    <row r="28" spans="1:16" x14ac:dyDescent="0.3">
      <c r="A28" s="38">
        <v>3</v>
      </c>
      <c r="B28" s="47">
        <f>-K4*COS(C28+C29-C$3)+0.5*C$17*C$7*C$5*(C29-C$8)*G4^2*SIN(C28)+0.5*C$17*C$7*(C$11+1/PI()/C$10*C$5^2*(C29-C$8)^2)*G4^2*COS(C28)</f>
        <v>-3.4872541709773941E-4</v>
      </c>
      <c r="C28" s="39">
        <v>0.16833518532005129</v>
      </c>
      <c r="D28" s="40">
        <f t="shared" si="15"/>
        <v>9.6448956623915105</v>
      </c>
      <c r="F28" s="11">
        <v>1.08</v>
      </c>
      <c r="G28" s="12">
        <v>169.97</v>
      </c>
      <c r="H28" s="12">
        <f t="shared" si="14"/>
        <v>43.191577880930247</v>
      </c>
      <c r="I28" s="12">
        <f t="shared" si="11"/>
        <v>0.5469171395838851</v>
      </c>
      <c r="J28" s="11">
        <f t="shared" si="12"/>
        <v>0.62296863770177469</v>
      </c>
      <c r="K28" s="21">
        <f t="shared" si="7"/>
        <v>90533.566525171685</v>
      </c>
      <c r="L28" s="20">
        <f t="shared" si="8"/>
        <v>277844.01241499151</v>
      </c>
      <c r="M28" s="21">
        <f t="shared" si="13"/>
        <v>187310.44588981982</v>
      </c>
      <c r="N28" s="12">
        <f t="shared" si="9"/>
        <v>7.1232334668273705</v>
      </c>
      <c r="O28" s="12">
        <f t="shared" si="10"/>
        <v>9.4926926417636821</v>
      </c>
      <c r="P28" s="12">
        <v>7.048</v>
      </c>
    </row>
    <row r="29" spans="1:16" x14ac:dyDescent="0.3">
      <c r="A29" s="41">
        <v>4</v>
      </c>
      <c r="B29" s="48">
        <f>K4*SIN(C28+C29-C$3)+0.5*C$17*C$7*C$5*(C29-C$8)*G4^2*COS(C28)-0.5*C$17*C$7*(C$11+1/PI()/C$10*C$5^2*(C29-C$8)^2)*G4^2*SIN(C28)-C$15</f>
        <v>1.7152021609945223E-4</v>
      </c>
      <c r="C29" s="42">
        <v>0.10466941596763873</v>
      </c>
      <c r="D29" s="43">
        <f>DEGREES(C29)</f>
        <v>5.9971157790449272</v>
      </c>
      <c r="F29" s="11">
        <v>0.96899999999999997</v>
      </c>
      <c r="G29" s="12">
        <v>164.23</v>
      </c>
      <c r="H29" s="12">
        <f t="shared" si="14"/>
        <v>45.598342806506814</v>
      </c>
      <c r="I29" s="12">
        <f t="shared" si="11"/>
        <v>0.57739301134703103</v>
      </c>
      <c r="J29" s="11">
        <f t="shared" si="12"/>
        <v>0.64405902889859379</v>
      </c>
      <c r="K29" s="21">
        <f t="shared" si="7"/>
        <v>92102.097396775192</v>
      </c>
      <c r="L29" s="20">
        <f t="shared" si="8"/>
        <v>287250.32688877283</v>
      </c>
      <c r="M29" s="21">
        <f t="shared" si="13"/>
        <v>195148.22949199763</v>
      </c>
      <c r="N29" s="12">
        <f t="shared" si="9"/>
        <v>7.4212967285721225</v>
      </c>
      <c r="O29" s="12">
        <f t="shared" si="10"/>
        <v>9.3667642154018544</v>
      </c>
      <c r="P29" s="12">
        <v>6.0739999999999998</v>
      </c>
    </row>
    <row r="30" spans="1:16" x14ac:dyDescent="0.3">
      <c r="A30" s="32">
        <v>5</v>
      </c>
      <c r="B30" s="47">
        <f>-K5*COS(C30+C31-C$3)+0.5*C$17*C$7*C$5*(C31-C$8)*G5^2*SIN(C30)+0.5*C$17*C$7*(C$11+1/PI()/C$10*C$5^2*(C31-C$8)^2)*G5^2*COS(C30)</f>
        <v>-4.1453414041825454E-4</v>
      </c>
      <c r="C30" s="33">
        <v>0.15870561399790339</v>
      </c>
      <c r="D30" s="34">
        <f t="shared" si="15"/>
        <v>9.0931618671122241</v>
      </c>
      <c r="F30" s="11">
        <v>0.86799999999999999</v>
      </c>
      <c r="G30" s="12">
        <v>160.72999999999999</v>
      </c>
      <c r="H30" s="12">
        <f t="shared" si="14"/>
        <v>48.17825713572428</v>
      </c>
      <c r="I30" s="12">
        <f t="shared" si="11"/>
        <v>0.61006140260601471</v>
      </c>
      <c r="J30" s="11">
        <f t="shared" si="12"/>
        <v>0.665302492886928</v>
      </c>
      <c r="K30" s="21">
        <f t="shared" si="7"/>
        <v>93099.488383471748</v>
      </c>
      <c r="L30" s="20">
        <f t="shared" si="8"/>
        <v>296724.91182756989</v>
      </c>
      <c r="M30" s="21">
        <f t="shared" si="13"/>
        <v>203625.42344409815</v>
      </c>
      <c r="N30" s="12">
        <f t="shared" si="9"/>
        <v>7.7436761419440225</v>
      </c>
      <c r="O30" s="12">
        <f t="shared" si="10"/>
        <v>9.2492523320277122</v>
      </c>
      <c r="P30" s="12">
        <v>5.0990000000000002</v>
      </c>
    </row>
    <row r="31" spans="1:16" x14ac:dyDescent="0.3">
      <c r="A31" s="35">
        <v>6</v>
      </c>
      <c r="B31" s="48">
        <f>K5*SIN(C30+C31-C$3)+0.5*C$17*C$7*C$5*(C31-C$8)*G5^2*COS(C30)-0.5*C$17*C$7*(C$11+1/PI()/C$10*C$5^2*(C31-C$8)^2)*G5^2*SIN(C30)-C$15</f>
        <v>1.4969691255828366E-4</v>
      </c>
      <c r="C31" s="36">
        <v>6.6752326750777358E-2</v>
      </c>
      <c r="D31" s="37">
        <f t="shared" si="15"/>
        <v>3.8246265954977665</v>
      </c>
      <c r="F31" s="11">
        <v>0.77100000000000002</v>
      </c>
      <c r="G31" s="12">
        <v>153.61000000000001</v>
      </c>
      <c r="H31" s="12">
        <f t="shared" si="14"/>
        <v>51.119165881347236</v>
      </c>
      <c r="I31" s="12">
        <f t="shared" si="11"/>
        <v>0.64730091729490691</v>
      </c>
      <c r="J31" s="11">
        <f t="shared" si="12"/>
        <v>0.68784510049994729</v>
      </c>
      <c r="K31" s="21">
        <f t="shared" si="7"/>
        <v>95232.683488547569</v>
      </c>
      <c r="L31" s="20">
        <f t="shared" si="8"/>
        <v>306778.91482297651</v>
      </c>
      <c r="M31" s="21">
        <f t="shared" si="13"/>
        <v>211546.23133442894</v>
      </c>
      <c r="N31" s="12">
        <f t="shared" si="9"/>
        <v>8.0448967363464465</v>
      </c>
      <c r="O31" s="12">
        <f t="shared" si="10"/>
        <v>9.0545849722729308</v>
      </c>
      <c r="P31" s="12">
        <v>3.86</v>
      </c>
    </row>
    <row r="32" spans="1:16" x14ac:dyDescent="0.3">
      <c r="A32" s="38">
        <v>7</v>
      </c>
      <c r="B32" s="47">
        <f>-K6*COS(C32+C33-C$3)+0.5*C$17*C$7*C$5*(C33-C$8)*G6^2*SIN(C32)+0.5*C$17*C$7*(C$11+1/PI()/C$10*C$5^2*(C33-C$8)^2)*G6^2*COS(C32)</f>
        <v>4.226445744279772E-4</v>
      </c>
      <c r="C32" s="39">
        <v>0.14453977305527049</v>
      </c>
      <c r="D32" s="40">
        <f t="shared" si="15"/>
        <v>8.2815189678457362</v>
      </c>
      <c r="F32" s="11">
        <v>0.56899999999999995</v>
      </c>
      <c r="G32" s="12">
        <v>116.14</v>
      </c>
      <c r="H32" s="12">
        <f t="shared" si="14"/>
        <v>59.505185664529769</v>
      </c>
      <c r="I32" s="12">
        <f t="shared" si="11"/>
        <v>0.75348962762533134</v>
      </c>
      <c r="J32" s="11">
        <f t="shared" si="12"/>
        <v>0.74283197816667634</v>
      </c>
      <c r="K32" s="21">
        <f t="shared" si="7"/>
        <v>109522.88011403449</v>
      </c>
      <c r="L32" s="20">
        <f t="shared" si="8"/>
        <v>331303.06226233765</v>
      </c>
      <c r="M32" s="21">
        <f t="shared" si="13"/>
        <v>221780.18214830317</v>
      </c>
      <c r="N32" s="12">
        <f t="shared" si="9"/>
        <v>8.4340838988079287</v>
      </c>
      <c r="O32" s="12">
        <f t="shared" si="10"/>
        <v>8.1483689046408152</v>
      </c>
      <c r="P32" s="12">
        <v>2.0419999999999998</v>
      </c>
    </row>
    <row r="33" spans="1:16" x14ac:dyDescent="0.3">
      <c r="A33" s="41">
        <v>8</v>
      </c>
      <c r="B33" s="48">
        <f>K6*SIN(C32+C33-C$3)+0.5*C$17*C$7*C$5*(C33-C$8)*G6^2*COS(C32)-0.5*C$17*C$7*(C$11+1/PI()/C$10*C$5^2*(C33-C$8)^2)*G6^2*SIN(C32)-C$15</f>
        <v>-3.6503886803984642E-5</v>
      </c>
      <c r="C33" s="42">
        <v>4.1062994061124035E-2</v>
      </c>
      <c r="D33" s="43">
        <f t="shared" si="15"/>
        <v>2.3527362538731715</v>
      </c>
      <c r="F33" s="11">
        <v>0.47099999999999997</v>
      </c>
      <c r="G33" s="12">
        <v>88.53</v>
      </c>
      <c r="H33" s="12">
        <f t="shared" si="14"/>
        <v>65.403425373590096</v>
      </c>
      <c r="I33" s="12">
        <f t="shared" si="11"/>
        <v>0.82817660477518962</v>
      </c>
      <c r="J33" s="11">
        <f t="shared" si="12"/>
        <v>0.77380854089722306</v>
      </c>
      <c r="K33" s="21">
        <f t="shared" si="7"/>
        <v>125444.18509955163</v>
      </c>
      <c r="L33" s="20">
        <f t="shared" si="8"/>
        <v>345118.60924016149</v>
      </c>
      <c r="M33" s="21">
        <f t="shared" si="13"/>
        <v>219674.42414060986</v>
      </c>
      <c r="N33" s="12">
        <f t="shared" si="9"/>
        <v>8.3540039767182446</v>
      </c>
      <c r="O33" s="12">
        <f t="shared" si="10"/>
        <v>7.3384589151338373</v>
      </c>
      <c r="P33" s="12">
        <v>1.198</v>
      </c>
    </row>
    <row r="34" spans="1:16" x14ac:dyDescent="0.3">
      <c r="A34" s="32">
        <v>9</v>
      </c>
      <c r="B34" s="47">
        <f>-K7*COS(C34+C35-C$3)+0.5*C$17*C$7*C$5*(C35-C$8)*G7^2*SIN(C34)+0.5*C$17*C$7*(C$11+1/PI()/C$10*C$5^2*(C35-C$8)^2)*G7^2*COS(C34)</f>
        <v>1.786410166459973E-6</v>
      </c>
      <c r="C34" s="33">
        <v>0.12487390066158731</v>
      </c>
      <c r="D34" s="34">
        <f t="shared" si="15"/>
        <v>7.1547474792448513</v>
      </c>
      <c r="F34" s="28">
        <v>0.371</v>
      </c>
      <c r="G34" s="28">
        <v>56.77</v>
      </c>
      <c r="H34" s="12">
        <f t="shared" si="14"/>
        <v>73.692619266233933</v>
      </c>
      <c r="I34" s="12">
        <f t="shared" si="11"/>
        <v>0.93313924878228871</v>
      </c>
      <c r="J34" s="11">
        <f t="shared" si="12"/>
        <v>0.80759391835083716</v>
      </c>
      <c r="K34" s="21">
        <f t="shared" si="7"/>
        <v>156652.13550258777</v>
      </c>
      <c r="L34" s="20">
        <f t="shared" si="8"/>
        <v>360186.88758447336</v>
      </c>
      <c r="M34" s="21">
        <f t="shared" si="13"/>
        <v>203534.75208188558</v>
      </c>
      <c r="N34" s="12">
        <f t="shared" si="9"/>
        <v>7.7402279985224043</v>
      </c>
      <c r="O34" s="12">
        <f t="shared" si="10"/>
        <v>6.0291234364437098</v>
      </c>
      <c r="P34" s="12">
        <v>0.42</v>
      </c>
    </row>
    <row r="35" spans="1:16" x14ac:dyDescent="0.3">
      <c r="A35" s="35">
        <v>10</v>
      </c>
      <c r="B35" s="48">
        <f>K7*SIN(C34+C35-C$3)+0.5*C$17*C$7*C$5*(C35-C$8)*G7^2*COS(C34)-0.5*C$17*C$7*(C$11+1/PI()/C$10*C$5^2*(C35-C$8)^2)*G7^2*SIN(C34)-C$15</f>
        <v>-9.0160028776153922E-8</v>
      </c>
      <c r="C35" s="36">
        <v>2.0716006537997413E-2</v>
      </c>
      <c r="D35" s="37">
        <f t="shared" si="15"/>
        <v>1.1869397429926716</v>
      </c>
      <c r="F35" s="28">
        <v>0.27600000000000002</v>
      </c>
      <c r="G35" s="28">
        <v>29.74</v>
      </c>
      <c r="H35" s="12">
        <f t="shared" si="14"/>
        <v>85.439049209516369</v>
      </c>
      <c r="I35" s="12">
        <f t="shared" si="11"/>
        <v>1.0818794472212758</v>
      </c>
      <c r="J35" s="11">
        <f t="shared" si="12"/>
        <v>0.83825500396273434</v>
      </c>
      <c r="K35" s="21">
        <f t="shared" si="7"/>
        <v>216433.89970809533</v>
      </c>
      <c r="L35" s="20">
        <f t="shared" si="8"/>
        <v>373861.7317673795</v>
      </c>
      <c r="M35" s="21">
        <f t="shared" si="13"/>
        <v>157427.83205928418</v>
      </c>
      <c r="N35" s="12">
        <f t="shared" si="9"/>
        <v>5.9868268243534128</v>
      </c>
      <c r="O35" s="12">
        <f t="shared" si="10"/>
        <v>4.0180835221810476</v>
      </c>
      <c r="P35" s="12">
        <v>-0.29199999999999998</v>
      </c>
    </row>
    <row r="36" spans="1:16" x14ac:dyDescent="0.3">
      <c r="A36" s="38">
        <v>11</v>
      </c>
      <c r="B36" s="47">
        <f>-K8*COS(C36+C37-C$3)+0.5*C$17*C$7*C$5*(C37-C$8)*G8^2*SIN(C36)+0.5*C$17*C$7*(C$11+1/PI()/C$10*C$5^2*(C37-C$8)^2)*G8^2*COS(C36)</f>
        <v>5.3572875913232565E-7</v>
      </c>
      <c r="C36" s="39">
        <v>0.10560197853801667</v>
      </c>
      <c r="D36" s="40">
        <f t="shared" si="15"/>
        <v>6.0505476784594547</v>
      </c>
      <c r="F36" s="28">
        <v>0.186</v>
      </c>
      <c r="G36" s="28">
        <v>10.85</v>
      </c>
      <c r="H36" s="12">
        <f t="shared" si="14"/>
        <v>104.07693059928242</v>
      </c>
      <c r="I36" s="12">
        <f t="shared" si="11"/>
        <v>1.3178832534655276</v>
      </c>
      <c r="J36" s="11">
        <f t="shared" si="12"/>
        <v>0.85370642448908196</v>
      </c>
      <c r="K36" s="21">
        <f t="shared" si="7"/>
        <v>358328.12547187973</v>
      </c>
      <c r="L36" s="20">
        <f t="shared" si="8"/>
        <v>380753.06532213057</v>
      </c>
      <c r="M36" s="21">
        <f t="shared" si="13"/>
        <v>22424.939850250841</v>
      </c>
      <c r="N36" s="12">
        <f t="shared" si="9"/>
        <v>0.8527985787127913</v>
      </c>
      <c r="O36" s="12">
        <f t="shared" si="10"/>
        <v>0.46948258213021554</v>
      </c>
      <c r="P36" s="12">
        <v>-1.071</v>
      </c>
    </row>
    <row r="37" spans="1:16" x14ac:dyDescent="0.3">
      <c r="A37" s="41">
        <v>12</v>
      </c>
      <c r="B37" s="48">
        <f>K8*SIN(C36+C37-C$3)+0.5*C$17*C$7*C$5*(C37-C$8)*G8^2*COS(C36)-0.5*C$17*C$7*(C$11+1/PI()/C$10*C$5^2*(C37-C$8)^2)*G8^2*SIN(C36)-C$15</f>
        <v>-1.7738784663379192E-8</v>
      </c>
      <c r="C37" s="42">
        <v>7.916736162485288E-3</v>
      </c>
      <c r="D37" s="43">
        <f t="shared" si="15"/>
        <v>0.45359556962900255</v>
      </c>
      <c r="F37" s="15">
        <v>7.0999999999999994E-2</v>
      </c>
      <c r="G37" s="16">
        <v>0.71</v>
      </c>
      <c r="H37" s="16">
        <f t="shared" si="14"/>
        <v>168.45417280572855</v>
      </c>
      <c r="I37" s="12">
        <f t="shared" si="11"/>
        <v>2.1330657239673476</v>
      </c>
      <c r="J37" s="11">
        <f t="shared" si="12"/>
        <v>0.78400229529050103</v>
      </c>
      <c r="K37" s="20">
        <f t="shared" si="7"/>
        <v>1400769.2271660296</v>
      </c>
      <c r="L37" s="20">
        <f t="shared" si="8"/>
        <v>349665.02369956346</v>
      </c>
      <c r="M37" s="20">
        <f t="shared" si="13"/>
        <v>-1051104.2034664662</v>
      </c>
      <c r="N37" s="16">
        <f t="shared" si="9"/>
        <v>-39.972467118355112</v>
      </c>
      <c r="O37" s="16">
        <f t="shared" si="10"/>
        <v>-13.726640734674382</v>
      </c>
      <c r="P37" s="16">
        <v>-2.044</v>
      </c>
    </row>
    <row r="38" spans="1:16" ht="15.6" thickBot="1" x14ac:dyDescent="0.35">
      <c r="A38" s="32">
        <v>13</v>
      </c>
      <c r="B38" s="47">
        <f>-K9*COS(C38+C39-C$3)+0.5*C$17*C$7*C$5*(C39-C$8)*G9^2*SIN(C38)+0.5*C$17*C$7*(C$11+1/PI()/C$10*C$5^2*(C39-C$8)^2)*G9^2*COS(C38)</f>
        <v>1.3178305380279198E-6</v>
      </c>
      <c r="C38" s="33">
        <v>8.4924700867326661E-2</v>
      </c>
      <c r="D38" s="34">
        <f t="shared" si="15"/>
        <v>4.8658269361088191</v>
      </c>
    </row>
    <row r="39" spans="1:16" ht="18.600000000000001" thickBot="1" x14ac:dyDescent="0.35">
      <c r="A39" s="35">
        <v>14</v>
      </c>
      <c r="B39" s="48">
        <f>K9*SIN(C38+C39-C$3)+0.5*C$17*C$7*C$5*(C39-C$8)*G9^2*COS(C38)-0.5*C$17*C$7*(C$11+1/PI()/C$10*C$5^2*(C39-C$8)^2)*G9^2*SIN(C38)-C$15</f>
        <v>-4.296452971175313E-8</v>
      </c>
      <c r="C39" s="36">
        <v>-1.7875461116226771E-3</v>
      </c>
      <c r="D39" s="37">
        <f t="shared" si="15"/>
        <v>-0.10241884788100056</v>
      </c>
      <c r="F39" s="132" t="s">
        <v>182</v>
      </c>
      <c r="G39" s="133"/>
      <c r="H39" s="133"/>
      <c r="I39" s="133"/>
      <c r="J39" s="133"/>
      <c r="K39" s="133"/>
      <c r="L39" s="133"/>
      <c r="M39" s="133"/>
      <c r="N39" s="133"/>
      <c r="O39" s="133"/>
      <c r="P39" s="134"/>
    </row>
    <row r="40" spans="1:16" ht="18.600000000000001" thickBot="1" x14ac:dyDescent="0.35">
      <c r="A40" s="38">
        <v>15</v>
      </c>
      <c r="B40" s="47">
        <f>-K10*COS(C40+C41-C$3)+0.5*C$17*C$7*C$5*(C41-C$8)*G10^2*SIN(C40)+0.5*C$17*C$7*(C$11+1/PI()/C$10*C$5^2*(C41-C$8)^2)*G10^2*COS(C40)</f>
        <v>-1.7700322132441215E-6</v>
      </c>
      <c r="C40" s="39">
        <v>5.9949263056348193E-2</v>
      </c>
      <c r="D40" s="40">
        <f t="shared" si="15"/>
        <v>3.4348397580482977</v>
      </c>
      <c r="F40" s="97" t="s">
        <v>1</v>
      </c>
      <c r="G40" s="97" t="s">
        <v>2</v>
      </c>
      <c r="H40" s="97" t="s">
        <v>67</v>
      </c>
      <c r="I40" s="97" t="s">
        <v>15</v>
      </c>
      <c r="J40" s="97" t="s">
        <v>74</v>
      </c>
      <c r="K40" s="97" t="s">
        <v>72</v>
      </c>
      <c r="L40" s="97" t="s">
        <v>73</v>
      </c>
      <c r="M40" s="97" t="s">
        <v>71</v>
      </c>
      <c r="N40" s="97" t="s">
        <v>69</v>
      </c>
      <c r="O40" s="97" t="s">
        <v>87</v>
      </c>
      <c r="P40" s="97" t="s">
        <v>70</v>
      </c>
    </row>
    <row r="41" spans="1:16" x14ac:dyDescent="0.3">
      <c r="A41" s="41">
        <v>16</v>
      </c>
      <c r="B41" s="48">
        <f>K10*SIN(C40+C41-C$3)+0.5*C$17*C$7*C$5*(C41-C$8)*G10^2*COS(C40)-0.5*C$17*C$7*(C$11+1/PI()/C$10*C$5^2*(C41-C$8)^2)*G10^2*SIN(C40)-C$15</f>
        <v>-5.3457952162716538E-5</v>
      </c>
      <c r="C41" s="42">
        <v>-1.0259381280463073E-2</v>
      </c>
      <c r="D41" s="43">
        <f t="shared" si="15"/>
        <v>-0.58781924778605643</v>
      </c>
      <c r="F41" s="93">
        <f t="shared" ref="F41:P56" si="16">F22</f>
        <v>1.63</v>
      </c>
      <c r="G41" s="99">
        <f t="shared" si="16"/>
        <v>156.18</v>
      </c>
      <c r="H41" s="92">
        <f>SQRT((2*C$20)/(C$7*C$17*F41))</f>
        <v>36.916857200854587</v>
      </c>
      <c r="I41" s="92">
        <f>H41/C$12/C$4</f>
        <v>0.4674629391493601</v>
      </c>
      <c r="J41" s="93">
        <f>0.185*I41^3-0.9822*I41^2+1.6209*I41</f>
        <v>0.56197665165429134</v>
      </c>
      <c r="K41" s="94">
        <f>C$20*SQRT((2*C$20)/(C$17*C$7*G41))</f>
        <v>109346.7263800567</v>
      </c>
      <c r="L41" s="94">
        <f>C$18*J41</f>
        <v>250641.58663781395</v>
      </c>
      <c r="M41" s="94">
        <f>(L41-K41)</f>
        <v>141294.86025775725</v>
      </c>
      <c r="N41" s="92">
        <f>M41/C$20</f>
        <v>4.8733364222289905</v>
      </c>
      <c r="O41" s="92">
        <f>DEGREES(ASIN(N41/H41))</f>
        <v>7.5856673533380841</v>
      </c>
      <c r="P41" s="99">
        <f t="shared" si="16"/>
        <v>15.276999999999999</v>
      </c>
    </row>
    <row r="42" spans="1:16" x14ac:dyDescent="0.3">
      <c r="A42" s="32">
        <v>17</v>
      </c>
      <c r="B42" s="47">
        <f>-K11*COS(C42+C43-C$3)+0.5*C$17*C$7*C$5*(C43-C$8)*G11^2*SIN(C42)+0.5*C$17*C$7*(C$11+1/PI()/C$10*C$5^2*(C43-C$8)^2)*G11^2*COS(C42)</f>
        <v>-1.105881556213717E-3</v>
      </c>
      <c r="C42" s="33">
        <v>3.7124530304804775E-2</v>
      </c>
      <c r="D42" s="34">
        <f t="shared" si="15"/>
        <v>2.1270789028708372</v>
      </c>
      <c r="F42" s="11">
        <f t="shared" si="16"/>
        <v>1.571</v>
      </c>
      <c r="G42" s="28">
        <f t="shared" si="16"/>
        <v>158.85</v>
      </c>
      <c r="H42" s="12">
        <f t="shared" ref="H42:H56" si="17">SQRT((2*C$20)/(C$7*C$17*F42))</f>
        <v>37.603687192316841</v>
      </c>
      <c r="I42" s="12">
        <f t="shared" ref="I42:I56" si="18">H42/C$12/C$4</f>
        <v>0.47615998409980193</v>
      </c>
      <c r="J42" s="11">
        <f t="shared" ref="J42:J56" si="19">0.185*I42^3-0.9822*I42^2+1.6209*I42</f>
        <v>0.56908755932337296</v>
      </c>
      <c r="K42" s="21">
        <f t="shared" ref="K42:K56" si="20">C$20*SQRT((2*C$20)/(C$17*C$7*G42))</f>
        <v>108423.86518982371</v>
      </c>
      <c r="L42" s="21">
        <f t="shared" ref="L42:L56" si="21">C$18*J42</f>
        <v>253813.05145822433</v>
      </c>
      <c r="M42" s="21">
        <f t="shared" ref="M42:M56" si="22">(L42-K42)</f>
        <v>145389.18626840063</v>
      </c>
      <c r="N42" s="12">
        <f t="shared" ref="N42:N56" si="23">M42/C$20</f>
        <v>5.0145519486518815</v>
      </c>
      <c r="O42" s="12">
        <f t="shared" ref="O42:O56" si="24">DEGREES(ASIN(N42/H42))</f>
        <v>7.6633733373103246</v>
      </c>
      <c r="P42" s="28">
        <f t="shared" si="16"/>
        <v>12.122999999999999</v>
      </c>
    </row>
    <row r="43" spans="1:16" x14ac:dyDescent="0.3">
      <c r="A43" s="35">
        <v>18</v>
      </c>
      <c r="B43" s="48">
        <f>K11*SIN(C42+C43-C$3)+0.5*C$17*C$7*C$5*(C43-C$8)*G11^2*COS(C42)-0.5*C$17*C$7*(C$11+1/PI()/C$10*C$5^2*(C43-C$8)^2)*G11^2*SIN(C42)-C$15</f>
        <v>4.0488241211278364E-5</v>
      </c>
      <c r="C43" s="36">
        <v>-1.6041492098926833E-2</v>
      </c>
      <c r="D43" s="37">
        <f t="shared" si="15"/>
        <v>-0.91910979436096396</v>
      </c>
      <c r="F43" s="11">
        <f t="shared" si="16"/>
        <v>1.474</v>
      </c>
      <c r="G43" s="28">
        <f t="shared" si="16"/>
        <v>163.07</v>
      </c>
      <c r="H43" s="12">
        <f t="shared" si="17"/>
        <v>38.821273869141265</v>
      </c>
      <c r="I43" s="12">
        <f t="shared" si="18"/>
        <v>0.49157778208625325</v>
      </c>
      <c r="J43" s="11">
        <f t="shared" si="19"/>
        <v>0.58142704914348575</v>
      </c>
      <c r="K43" s="21">
        <f t="shared" si="20"/>
        <v>107011.74828311194</v>
      </c>
      <c r="L43" s="21">
        <f t="shared" si="21"/>
        <v>259316.46391799464</v>
      </c>
      <c r="M43" s="21">
        <f t="shared" si="22"/>
        <v>152304.71563488268</v>
      </c>
      <c r="N43" s="12">
        <f t="shared" si="23"/>
        <v>5.2530723101087009</v>
      </c>
      <c r="O43" s="12">
        <f t="shared" si="24"/>
        <v>7.776792950734456</v>
      </c>
      <c r="P43" s="28">
        <f t="shared" si="16"/>
        <v>11.015000000000001</v>
      </c>
    </row>
    <row r="44" spans="1:16" x14ac:dyDescent="0.3">
      <c r="A44" s="38">
        <v>19</v>
      </c>
      <c r="B44" s="47">
        <f>-K12*COS(C44+C45-C$3)+0.5*C$17*C$7*C$5*(C45-C$8)*G12^2*SIN(C44)+0.5*C$17*C$7*(C$11+1/PI()/C$10*C$5^2*(C45-C$8)^2)*G12^2*COS(C44)</f>
        <v>3.4232612961204723E-5</v>
      </c>
      <c r="C44" s="39">
        <v>1.3514672718333972E-2</v>
      </c>
      <c r="D44" s="40">
        <f t="shared" si="15"/>
        <v>0.77433370826113224</v>
      </c>
      <c r="F44" s="11">
        <f t="shared" si="16"/>
        <v>1.379</v>
      </c>
      <c r="G44" s="28">
        <f t="shared" si="16"/>
        <v>167.61</v>
      </c>
      <c r="H44" s="12">
        <f t="shared" si="17"/>
        <v>40.136212812175167</v>
      </c>
      <c r="I44" s="12">
        <f t="shared" si="18"/>
        <v>0.50822831167408478</v>
      </c>
      <c r="J44" s="11">
        <f t="shared" si="19"/>
        <v>0.59437449218115468</v>
      </c>
      <c r="K44" s="21">
        <f t="shared" si="20"/>
        <v>105552.50191779691</v>
      </c>
      <c r="L44" s="21">
        <f t="shared" si="21"/>
        <v>265091.02351279499</v>
      </c>
      <c r="M44" s="21">
        <f t="shared" si="22"/>
        <v>159538.52159499808</v>
      </c>
      <c r="N44" s="12">
        <f t="shared" si="23"/>
        <v>5.5025702040339128</v>
      </c>
      <c r="O44" s="12">
        <f t="shared" si="24"/>
        <v>7.8799195948850231</v>
      </c>
      <c r="P44" s="28">
        <f t="shared" si="16"/>
        <v>9.5779999999999994</v>
      </c>
    </row>
    <row r="45" spans="1:16" x14ac:dyDescent="0.3">
      <c r="A45" s="41">
        <v>20</v>
      </c>
      <c r="B45" s="48">
        <f>K12*SIN(C44+C45-C$3)+0.5*C$17*C$7*C$5*(C45-C$8)*G12^2*COS(C44)-0.5*C$17*C$7*(C$11+1/PI()/C$10*C$5^2*(C45-C$8)^2)*G12^2*SIN(C44)-C$15</f>
        <v>1.5848350449232385E-4</v>
      </c>
      <c r="C45" s="42">
        <v>-2.0712837860425885E-2</v>
      </c>
      <c r="D45" s="43">
        <f t="shared" si="15"/>
        <v>-1.1867581911411853</v>
      </c>
      <c r="F45" s="11">
        <f t="shared" si="16"/>
        <v>1.272</v>
      </c>
      <c r="G45" s="28">
        <f t="shared" si="16"/>
        <v>169.65</v>
      </c>
      <c r="H45" s="12">
        <f t="shared" si="17"/>
        <v>41.790249902077335</v>
      </c>
      <c r="I45" s="12">
        <f t="shared" si="18"/>
        <v>0.52917270126014693</v>
      </c>
      <c r="J45" s="11">
        <f t="shared" si="19"/>
        <v>0.61011017718216176</v>
      </c>
      <c r="K45" s="21">
        <f t="shared" si="20"/>
        <v>104915.9609825653</v>
      </c>
      <c r="L45" s="21">
        <f t="shared" si="21"/>
        <v>272109.13902324415</v>
      </c>
      <c r="M45" s="21">
        <f t="shared" si="22"/>
        <v>167193.17804067885</v>
      </c>
      <c r="N45" s="12">
        <f t="shared" si="23"/>
        <v>5.7665834596352461</v>
      </c>
      <c r="O45" s="12">
        <f t="shared" si="24"/>
        <v>7.9314793205809533</v>
      </c>
      <c r="P45" s="28">
        <f t="shared" si="16"/>
        <v>8.4719999999999995</v>
      </c>
    </row>
    <row r="46" spans="1:16" x14ac:dyDescent="0.3">
      <c r="A46" s="32">
        <v>21</v>
      </c>
      <c r="B46" s="47">
        <f>-K13*COS(C46+C47-C$3)+0.5*C$17*C$7*C$5*(C47-C$8)*G13^2*SIN(C46)+0.5*C$17*C$7*(C$11+1/PI()/C$10*C$5^2*(C47-C$8)^2)*G13^2*COS(C46)</f>
        <v>3.3589977374504087E-4</v>
      </c>
      <c r="C46" s="33">
        <v>-1.4336742117283986E-2</v>
      </c>
      <c r="D46" s="34">
        <f t="shared" si="15"/>
        <v>-0.82143481528782425</v>
      </c>
      <c r="F46" s="11">
        <f t="shared" si="16"/>
        <v>1.1779999999999999</v>
      </c>
      <c r="G46" s="28">
        <f t="shared" si="16"/>
        <v>170.58</v>
      </c>
      <c r="H46" s="12">
        <f t="shared" si="17"/>
        <v>43.425605092866448</v>
      </c>
      <c r="I46" s="12">
        <f t="shared" si="18"/>
        <v>0.54988052966168666</v>
      </c>
      <c r="J46" s="11">
        <f t="shared" si="19"/>
        <v>0.62507423643259252</v>
      </c>
      <c r="K46" s="21">
        <f t="shared" si="20"/>
        <v>104629.56985348172</v>
      </c>
      <c r="L46" s="21">
        <f t="shared" si="21"/>
        <v>278783.10944893624</v>
      </c>
      <c r="M46" s="21">
        <f t="shared" si="22"/>
        <v>174153.53959545452</v>
      </c>
      <c r="N46" s="12">
        <f t="shared" si="23"/>
        <v>6.0066501076003016</v>
      </c>
      <c r="O46" s="12">
        <f t="shared" si="24"/>
        <v>7.9506707262198306</v>
      </c>
      <c r="P46" s="28">
        <f t="shared" si="16"/>
        <v>7.694</v>
      </c>
    </row>
    <row r="47" spans="1:16" x14ac:dyDescent="0.3">
      <c r="A47" s="35">
        <v>22</v>
      </c>
      <c r="B47" s="48">
        <f>K13*SIN(C46+C47-C$3)+0.5*C$17*C$7*C$5*(C47-C$8)*G13^2*COS(C46)-0.5*C$17*C$7*(C$11+1/PI()/C$10*C$5^2*(C47-C$8)^2)*G13^2*SIN(C46)-C$15</f>
        <v>-3.0751776648685336E-5</v>
      </c>
      <c r="C47" s="36">
        <v>-2.5033405475691193E-2</v>
      </c>
      <c r="D47" s="37">
        <f t="shared" si="15"/>
        <v>-1.4343084805967903</v>
      </c>
      <c r="F47" s="11">
        <f t="shared" si="16"/>
        <v>1.08</v>
      </c>
      <c r="G47" s="28">
        <f t="shared" si="16"/>
        <v>169.97</v>
      </c>
      <c r="H47" s="12">
        <f t="shared" si="17"/>
        <v>45.353065388139349</v>
      </c>
      <c r="I47" s="12">
        <f t="shared" si="18"/>
        <v>0.57428716454449313</v>
      </c>
      <c r="J47" s="11">
        <f t="shared" si="19"/>
        <v>0.64196645334053448</v>
      </c>
      <c r="K47" s="21">
        <f t="shared" si="20"/>
        <v>104817.15259195243</v>
      </c>
      <c r="L47" s="21">
        <f t="shared" si="21"/>
        <v>286317.0381898784</v>
      </c>
      <c r="M47" s="21">
        <f t="shared" si="22"/>
        <v>181499.88559792598</v>
      </c>
      <c r="N47" s="12">
        <f t="shared" si="23"/>
        <v>6.2600295686707907</v>
      </c>
      <c r="O47" s="12">
        <f t="shared" si="24"/>
        <v>7.9337978944955641</v>
      </c>
      <c r="P47" s="28">
        <f t="shared" si="16"/>
        <v>7.048</v>
      </c>
    </row>
    <row r="48" spans="1:16" x14ac:dyDescent="0.3">
      <c r="A48" s="38">
        <v>23</v>
      </c>
      <c r="B48" s="47">
        <f>-K14*COS(C48+C49-C$3)+0.5*C$17*C$7*C$5*(C49-C$8)*G14^2*SIN(C48)+0.5*C$17*C$7*(C$11+1/PI()/C$10*C$5^2*(C49-C$8)^2)*G14^2*COS(C48)</f>
        <v>1.169044197013136E-3</v>
      </c>
      <c r="C48" s="39">
        <v>-3.9416431688037983E-2</v>
      </c>
      <c r="D48" s="40">
        <f t="shared" si="15"/>
        <v>-2.2583951791902956</v>
      </c>
      <c r="F48" s="11">
        <f t="shared" si="16"/>
        <v>0.96899999999999997</v>
      </c>
      <c r="G48" s="28">
        <f t="shared" si="16"/>
        <v>164.23</v>
      </c>
      <c r="H48" s="12">
        <f t="shared" si="17"/>
        <v>47.880274913673894</v>
      </c>
      <c r="I48" s="12">
        <f t="shared" si="18"/>
        <v>0.6062881766085777</v>
      </c>
      <c r="J48" s="11">
        <f t="shared" si="19"/>
        <v>0.66291976254768437</v>
      </c>
      <c r="K48" s="21">
        <f t="shared" si="20"/>
        <v>106633.15240312016</v>
      </c>
      <c r="L48" s="21">
        <f t="shared" si="21"/>
        <v>295662.21409626724</v>
      </c>
      <c r="M48" s="21">
        <f t="shared" si="22"/>
        <v>189029.06169314709</v>
      </c>
      <c r="N48" s="12">
        <f t="shared" si="23"/>
        <v>6.5197149388766213</v>
      </c>
      <c r="O48" s="12">
        <f t="shared" si="24"/>
        <v>7.826109116695477</v>
      </c>
      <c r="P48" s="28">
        <f t="shared" si="16"/>
        <v>6.0739999999999998</v>
      </c>
    </row>
    <row r="49" spans="1:16" x14ac:dyDescent="0.3">
      <c r="A49" s="41">
        <v>24</v>
      </c>
      <c r="B49" s="48">
        <f>K14*SIN(C48+C49-C$3)+0.5*C$17*C$7*C$5*(C49-C$8)*G14^2*COS(C48)-0.5*C$17*C$7*(C$11+1/PI()/C$10*C$5^2*(C49-C$8)^2)*G14^2*SIN(C48)-C$15</f>
        <v>-1.4499606913886964E-4</v>
      </c>
      <c r="C49" s="42">
        <v>-2.8134596207714014E-2</v>
      </c>
      <c r="D49" s="43">
        <f t="shared" si="15"/>
        <v>-1.6119936210067842</v>
      </c>
      <c r="F49" s="11">
        <f t="shared" si="16"/>
        <v>0.86799999999999999</v>
      </c>
      <c r="G49" s="28">
        <f t="shared" si="16"/>
        <v>160.72999999999999</v>
      </c>
      <c r="H49" s="12">
        <f t="shared" si="17"/>
        <v>50.589298964412684</v>
      </c>
      <c r="I49" s="12">
        <f t="shared" si="18"/>
        <v>0.64059143102957827</v>
      </c>
      <c r="J49" s="11">
        <f t="shared" si="19"/>
        <v>0.68391284355518001</v>
      </c>
      <c r="K49" s="21">
        <f t="shared" si="20"/>
        <v>107787.90292559456</v>
      </c>
      <c r="L49" s="21">
        <f t="shared" si="21"/>
        <v>305025.1282256103</v>
      </c>
      <c r="M49" s="21">
        <f t="shared" si="22"/>
        <v>197237.22530001574</v>
      </c>
      <c r="N49" s="12">
        <f t="shared" si="23"/>
        <v>6.8028189568996078</v>
      </c>
      <c r="O49" s="12">
        <f t="shared" si="24"/>
        <v>7.7280604612793029</v>
      </c>
      <c r="P49" s="28">
        <f t="shared" si="16"/>
        <v>5.0990000000000002</v>
      </c>
    </row>
    <row r="50" spans="1:16" x14ac:dyDescent="0.3">
      <c r="A50" s="32">
        <v>25</v>
      </c>
      <c r="B50" s="47">
        <f>-K15*COS(C50+C51-C$3)+0.5*C$17*C$7*C$5*(C51-C$8)*G15^2*SIN(C50)+0.5*C$17*C$7*(C$11+1/PI()/C$10*C$5^2*(C51-C$8)^2)*G15^2*COS(C50)</f>
        <v>7.9390412793145515E-4</v>
      </c>
      <c r="C50" s="33">
        <v>-6.5131523625006044E-2</v>
      </c>
      <c r="D50" s="34">
        <f t="shared" si="15"/>
        <v>-3.7317614169694586</v>
      </c>
      <c r="F50" s="11">
        <f t="shared" si="16"/>
        <v>0.77100000000000002</v>
      </c>
      <c r="G50" s="28">
        <f t="shared" si="16"/>
        <v>153.61000000000001</v>
      </c>
      <c r="H50" s="12">
        <f t="shared" si="17"/>
        <v>53.677383104531074</v>
      </c>
      <c r="I50" s="12">
        <f t="shared" si="18"/>
        <v>0.67969456704752862</v>
      </c>
      <c r="J50" s="11">
        <f t="shared" si="19"/>
        <v>0.70604711832569522</v>
      </c>
      <c r="K50" s="21">
        <f t="shared" si="20"/>
        <v>110257.65470296398</v>
      </c>
      <c r="L50" s="21">
        <f t="shared" si="21"/>
        <v>314897.01477326005</v>
      </c>
      <c r="M50" s="21">
        <f t="shared" si="22"/>
        <v>204639.36007029607</v>
      </c>
      <c r="N50" s="12">
        <f t="shared" si="23"/>
        <v>7.0581226028528183</v>
      </c>
      <c r="O50" s="12">
        <f t="shared" si="24"/>
        <v>7.5557921086993485</v>
      </c>
      <c r="P50" s="28">
        <f t="shared" si="16"/>
        <v>3.86</v>
      </c>
    </row>
    <row r="51" spans="1:16" x14ac:dyDescent="0.3">
      <c r="A51" s="35">
        <v>26</v>
      </c>
      <c r="B51" s="48">
        <f>K15*SIN(C50+C51-C$3)+0.5*C$17*C$7*C$5*(C51-C$8)*G15^2*COS(C50)-0.5*C$17*C$7*(C$11+1/PI()/C$10*C$5^2*(C51-C$8)^2)*G15^2*SIN(C50)-C$15</f>
        <v>-7.419362009386532E-5</v>
      </c>
      <c r="C51" s="36">
        <v>-3.0744396058661295E-2</v>
      </c>
      <c r="D51" s="37">
        <f t="shared" si="15"/>
        <v>-1.7615241378399347</v>
      </c>
      <c r="F51" s="11">
        <f t="shared" si="16"/>
        <v>0.56899999999999995</v>
      </c>
      <c r="G51" s="28">
        <f t="shared" si="16"/>
        <v>116.14</v>
      </c>
      <c r="H51" s="12">
        <f t="shared" si="17"/>
        <v>62.483074450686544</v>
      </c>
      <c r="I51" s="12">
        <f t="shared" si="18"/>
        <v>0.79119740531786309</v>
      </c>
      <c r="J51" s="11">
        <f t="shared" si="19"/>
        <v>0.75922881727034797</v>
      </c>
      <c r="K51" s="21">
        <f t="shared" si="20"/>
        <v>126802.4322672744</v>
      </c>
      <c r="L51" s="21">
        <f t="shared" si="21"/>
        <v>338616.05250257521</v>
      </c>
      <c r="M51" s="21">
        <f t="shared" si="22"/>
        <v>211813.6202353008</v>
      </c>
      <c r="N51" s="12">
        <f t="shared" si="23"/>
        <v>7.3055667299844318</v>
      </c>
      <c r="O51" s="12">
        <f t="shared" si="24"/>
        <v>6.7144222931404496</v>
      </c>
      <c r="P51" s="28">
        <f t="shared" si="16"/>
        <v>2.0419999999999998</v>
      </c>
    </row>
    <row r="52" spans="1:16" x14ac:dyDescent="0.3">
      <c r="A52" s="38">
        <v>27</v>
      </c>
      <c r="B52" s="47">
        <f>-K16*COS(C52+C53-C$3)+0.5*C$17*C$7*C$5*(C53-C$8)*G16^2*SIN(C52)+0.5*C$17*C$7*(C$11+1/PI()/C$10*C$5^2*(C53-C$8)^2)*G16^2*COS(C52)</f>
        <v>2.1935095719527453E-4</v>
      </c>
      <c r="C52" s="39">
        <v>-9.1470001211007609E-2</v>
      </c>
      <c r="D52" s="40">
        <f t="shared" si="15"/>
        <v>-5.2408450214472646</v>
      </c>
      <c r="F52" s="11">
        <f t="shared" si="16"/>
        <v>0.47099999999999997</v>
      </c>
      <c r="G52" s="28">
        <f t="shared" si="16"/>
        <v>88.53</v>
      </c>
      <c r="H52" s="12">
        <f t="shared" si="17"/>
        <v>68.67648678531765</v>
      </c>
      <c r="I52" s="12">
        <f t="shared" si="18"/>
        <v>0.86962203170354402</v>
      </c>
      <c r="J52" s="11">
        <f t="shared" si="19"/>
        <v>0.78845333650989213</v>
      </c>
      <c r="K52" s="21">
        <f t="shared" si="20"/>
        <v>145235.66005429599</v>
      </c>
      <c r="L52" s="21">
        <f t="shared" si="21"/>
        <v>351650.18808341189</v>
      </c>
      <c r="M52" s="21">
        <f t="shared" si="22"/>
        <v>206414.5280291159</v>
      </c>
      <c r="N52" s="12">
        <f t="shared" si="23"/>
        <v>7.1193491092771071</v>
      </c>
      <c r="O52" s="12">
        <f t="shared" si="24"/>
        <v>5.9502578805283584</v>
      </c>
      <c r="P52" s="28">
        <f t="shared" si="16"/>
        <v>1.198</v>
      </c>
    </row>
    <row r="53" spans="1:16" x14ac:dyDescent="0.3">
      <c r="A53" s="41">
        <v>28</v>
      </c>
      <c r="B53" s="48">
        <f>K16*SIN(C52+C53-C$3)+0.5*C$17*C$7*C$5*(C53-C$8)*G16^2*COS(C52)-0.5*C$17*C$7*(C$11+1/PI()/C$10*C$5^2*(C53-C$8)^2)*G16^2*SIN(C52)-C$15</f>
        <v>-2.6977086236001924E-5</v>
      </c>
      <c r="C53" s="42">
        <v>-3.2963057123254855E-2</v>
      </c>
      <c r="D53" s="43">
        <f t="shared" si="15"/>
        <v>-1.8886440530111479</v>
      </c>
      <c r="F53" s="11">
        <f t="shared" si="16"/>
        <v>0.371</v>
      </c>
      <c r="G53" s="28">
        <f t="shared" si="16"/>
        <v>56.77</v>
      </c>
      <c r="H53" s="12">
        <f t="shared" si="17"/>
        <v>77.380506667722187</v>
      </c>
      <c r="I53" s="12">
        <f t="shared" si="18"/>
        <v>0.97983744615515944</v>
      </c>
      <c r="J53" s="11">
        <f t="shared" si="19"/>
        <v>0.81926043447243668</v>
      </c>
      <c r="K53" s="21">
        <f t="shared" si="20"/>
        <v>181367.3250822901</v>
      </c>
      <c r="L53" s="21">
        <f t="shared" si="21"/>
        <v>365390.15377470676</v>
      </c>
      <c r="M53" s="21">
        <f t="shared" si="22"/>
        <v>184022.82869241666</v>
      </c>
      <c r="N53" s="12">
        <f t="shared" si="23"/>
        <v>6.3470472454013036</v>
      </c>
      <c r="O53" s="12">
        <f t="shared" si="24"/>
        <v>4.704906344187056</v>
      </c>
      <c r="P53" s="28">
        <f t="shared" si="16"/>
        <v>0.42</v>
      </c>
    </row>
    <row r="54" spans="1:16" x14ac:dyDescent="0.3">
      <c r="A54" s="32">
        <v>29</v>
      </c>
      <c r="B54" s="47">
        <f>-K17*COS(C54+C55-C$3)+0.5*C$17*C$7*C$5*(C55-C$8)*G17^2*SIN(C54)+0.5*C$17*C$7*(C$11+1/PI()/C$10*C$5^2*(C55-C$8)^2)*G17^2*COS(C54)</f>
        <v>4.7275781344069401E-4</v>
      </c>
      <c r="C54" s="33">
        <v>-0.12233251830339677</v>
      </c>
      <c r="D54" s="34">
        <f t="shared" si="15"/>
        <v>-7.0091369959915291</v>
      </c>
      <c r="F54" s="11">
        <f t="shared" si="16"/>
        <v>0.27600000000000002</v>
      </c>
      <c r="G54" s="28">
        <f t="shared" si="16"/>
        <v>29.74</v>
      </c>
      <c r="H54" s="12">
        <f t="shared" si="17"/>
        <v>89.714777176744207</v>
      </c>
      <c r="I54" s="12">
        <f t="shared" si="18"/>
        <v>1.1360212272674159</v>
      </c>
      <c r="J54" s="11">
        <f t="shared" si="19"/>
        <v>0.84503010889790997</v>
      </c>
      <c r="K54" s="21">
        <f t="shared" si="20"/>
        <v>250580.92774316159</v>
      </c>
      <c r="L54" s="21">
        <f t="shared" si="21"/>
        <v>376883.42856846785</v>
      </c>
      <c r="M54" s="21">
        <f t="shared" si="22"/>
        <v>126302.50082530626</v>
      </c>
      <c r="N54" s="12">
        <f t="shared" si="23"/>
        <v>4.3562418078599547</v>
      </c>
      <c r="O54" s="12">
        <f t="shared" si="24"/>
        <v>2.7831808977766022</v>
      </c>
      <c r="P54" s="28">
        <f t="shared" si="16"/>
        <v>-0.29199999999999998</v>
      </c>
    </row>
    <row r="55" spans="1:16" x14ac:dyDescent="0.3">
      <c r="A55" s="35">
        <v>30</v>
      </c>
      <c r="B55" s="48">
        <f>K17*SIN(C54+C55-C$3)+0.5*C$17*C$7*C$5*(C55-C$8)*G17^2*COS(C54)-0.5*C$17*C$7*(C$11+1/PI()/C$10*C$5^2*(C55-C$8)^2)*G17^2*SIN(C54)-C$15</f>
        <v>-4.6997633035061881E-5</v>
      </c>
      <c r="C55" s="36">
        <v>-3.5116321783243469E-2</v>
      </c>
      <c r="D55" s="37">
        <f t="shared" si="15"/>
        <v>-2.0120170302031677</v>
      </c>
      <c r="F55" s="11">
        <f t="shared" si="16"/>
        <v>0.186</v>
      </c>
      <c r="G55" s="28">
        <f t="shared" si="16"/>
        <v>10.85</v>
      </c>
      <c r="H55" s="12">
        <f t="shared" si="17"/>
        <v>109.28537623419732</v>
      </c>
      <c r="I55" s="12">
        <f t="shared" si="18"/>
        <v>1.3838356527082403</v>
      </c>
      <c r="J55" s="11">
        <f t="shared" si="19"/>
        <v>0.85240377657506761</v>
      </c>
      <c r="K55" s="21">
        <f t="shared" si="20"/>
        <v>414861.97050606104</v>
      </c>
      <c r="L55" s="21">
        <f t="shared" si="21"/>
        <v>380172.08435248013</v>
      </c>
      <c r="M55" s="21">
        <f t="shared" si="22"/>
        <v>-34689.886153580912</v>
      </c>
      <c r="N55" s="12">
        <f t="shared" si="23"/>
        <v>-1.1964730023924679</v>
      </c>
      <c r="O55" s="12">
        <f t="shared" si="24"/>
        <v>-0.62729548321566464</v>
      </c>
      <c r="P55" s="28">
        <f t="shared" si="16"/>
        <v>-1.071</v>
      </c>
    </row>
    <row r="56" spans="1:16" x14ac:dyDescent="0.3">
      <c r="F56" s="11">
        <f t="shared" si="16"/>
        <v>7.0999999999999994E-2</v>
      </c>
      <c r="G56" s="28">
        <f t="shared" si="16"/>
        <v>0.71</v>
      </c>
      <c r="H56" s="12">
        <f t="shared" si="17"/>
        <v>176.88432534751809</v>
      </c>
      <c r="I56" s="12">
        <f t="shared" si="18"/>
        <v>2.2398132692207704</v>
      </c>
      <c r="J56" s="11">
        <f t="shared" si="19"/>
        <v>0.78182171851246718</v>
      </c>
      <c r="K56" s="21">
        <f t="shared" si="20"/>
        <v>1621770.217007305</v>
      </c>
      <c r="L56" s="21">
        <f t="shared" si="21"/>
        <v>348692.48645656038</v>
      </c>
      <c r="M56" s="21">
        <f t="shared" si="22"/>
        <v>-1273077.7305507446</v>
      </c>
      <c r="N56" s="12">
        <f t="shared" si="23"/>
        <v>-43.909141927057142</v>
      </c>
      <c r="O56" s="12">
        <f t="shared" si="24"/>
        <v>-14.37318054250825</v>
      </c>
      <c r="P56" s="28">
        <f t="shared" si="16"/>
        <v>-2.044</v>
      </c>
    </row>
    <row r="57" spans="1:16" ht="15.6" thickBot="1" x14ac:dyDescent="0.35">
      <c r="A57" s="54"/>
      <c r="B57" s="53"/>
      <c r="C57" s="53"/>
      <c r="D57" s="53"/>
    </row>
    <row r="58" spans="1:16" ht="18.600000000000001" thickBot="1" x14ac:dyDescent="0.35">
      <c r="G58" s="132" t="s">
        <v>183</v>
      </c>
      <c r="H58" s="133"/>
      <c r="I58" s="133"/>
      <c r="J58" s="133"/>
      <c r="K58" s="133"/>
      <c r="L58" s="133"/>
      <c r="M58" s="133"/>
      <c r="N58" s="134"/>
    </row>
    <row r="59" spans="1:16" ht="18.600000000000001" thickBot="1" x14ac:dyDescent="0.35">
      <c r="B59" s="54" t="s">
        <v>154</v>
      </c>
      <c r="C59" s="54" t="s">
        <v>156</v>
      </c>
      <c r="D59" s="30" t="s">
        <v>157</v>
      </c>
      <c r="E59" s="30" t="s">
        <v>155</v>
      </c>
      <c r="G59" s="97" t="s">
        <v>67</v>
      </c>
      <c r="H59" s="97" t="s">
        <v>15</v>
      </c>
      <c r="I59" s="96" t="s">
        <v>74</v>
      </c>
      <c r="J59" s="96" t="s">
        <v>73</v>
      </c>
      <c r="K59" s="96" t="s">
        <v>68</v>
      </c>
      <c r="L59" s="96" t="s">
        <v>70</v>
      </c>
      <c r="M59" s="96" t="s">
        <v>87</v>
      </c>
      <c r="N59" s="96" t="s">
        <v>69</v>
      </c>
    </row>
    <row r="60" spans="1:16" x14ac:dyDescent="0.3">
      <c r="B60" s="100">
        <f>-K60*COS(C60+D60-C$3)+0.5*C$17*C$7*C$5*(D60-C$8)*G60^2*SIN(C60)+0.5*C$17*C$7*(C$11+1/PI()/C$10*C$5^2*(D60-C$8)^2)*G60^2*COS(C60)</f>
        <v>-5.139099812367931E-8</v>
      </c>
      <c r="C60" s="56">
        <v>0.13788436138204171</v>
      </c>
      <c r="D60" s="55">
        <v>0.20007299927494837</v>
      </c>
      <c r="E60" s="100">
        <f>K60*SIN(C60+D60-C$3)+0.5*C$17*C$7*C$5*(D60-C$8)*G60^2*COS(C60)-0.5*C$17*C$7*(C$11+1/PI()/C$10*C$5^2*(D60-C$8)^2)*G60^2*SIN(C60)-C$20</f>
        <v>9.9324824986979365E-7</v>
      </c>
      <c r="G60" s="91">
        <f>SQRT(2*C$20/C$7/C$16/C17)</f>
        <v>36.916857200854587</v>
      </c>
      <c r="H60" s="92">
        <f>G60/C$12/C$4</f>
        <v>0.4674629391493601</v>
      </c>
      <c r="I60" s="93">
        <f>0.185*H60^3-0.9822*H60^2+1.6209*H60</f>
        <v>0.56197665165429134</v>
      </c>
      <c r="J60" s="94">
        <f>C$18*I60</f>
        <v>250641.58663781395</v>
      </c>
      <c r="K60" s="94">
        <f>J60/G60</f>
        <v>6789.3533101732146</v>
      </c>
      <c r="L60" s="92">
        <f>DEGREES(D60)</f>
        <v>11.463338452978521</v>
      </c>
      <c r="M60" s="92">
        <f>DEGREES(C60)</f>
        <v>7.9001919680476247</v>
      </c>
      <c r="N60" s="92">
        <f>G60*SIN(RADIANS(M60))</f>
        <v>5.074143194174547</v>
      </c>
    </row>
    <row r="61" spans="1:16" x14ac:dyDescent="0.3">
      <c r="B61" s="100">
        <f t="shared" ref="B61:B74" si="25">-K61*COS(C61+D61-C$3)+0.5*C$17*C$7*C$5*(D61-C$8)*G61^2*SIN(C61)+0.5*C$17*C$7*(C$11+1/PI()/C$10*C$5^2*(D61-C$8)^2)*G61^2*COS(C61)</f>
        <v>2.078195393551141E-10</v>
      </c>
      <c r="C61" s="56">
        <v>0.14200265432315085</v>
      </c>
      <c r="D61" s="55">
        <v>0.12116137882750247</v>
      </c>
      <c r="E61" s="100">
        <f>K61*SIN(C61+D61-C$3)+0.5*C$17*C$7*C$5*(D61-C$8)*G61^2*COS(C61)-0.5*C$17*C$7*(C$11+1/PI()/C$10*C$5^2*(D61-C$8)^2)*G61^2*SIN(C61)-C$20</f>
        <v>0</v>
      </c>
      <c r="G61" s="95">
        <f t="shared" ref="G61:G73" si="26">G4</f>
        <v>45</v>
      </c>
      <c r="H61" s="12">
        <f>G61/C$12/C$4</f>
        <v>0.56981644312978641</v>
      </c>
      <c r="I61" s="11">
        <f>0.185*H61^3-0.9822*H61^2+1.6209*H61</f>
        <v>0.63893180644633429</v>
      </c>
      <c r="J61" s="21">
        <f>C$18*I61</f>
        <v>284963.58567506511</v>
      </c>
      <c r="K61" s="21">
        <f>J61/G61</f>
        <v>6332.5241261125584</v>
      </c>
      <c r="L61" s="12">
        <f>DEGREES(D61)</f>
        <v>6.9420356468016227</v>
      </c>
      <c r="M61" s="12">
        <f>DEGREES(C61)</f>
        <v>8.1361527723716964</v>
      </c>
      <c r="N61" s="12">
        <f>G61*SIN(RADIANS(M61))</f>
        <v>6.3686652226623472</v>
      </c>
    </row>
    <row r="62" spans="1:16" x14ac:dyDescent="0.3">
      <c r="B62" s="100">
        <f t="shared" si="25"/>
        <v>2.5920599000528455E-11</v>
      </c>
      <c r="C62" s="56">
        <v>0.13593642612381429</v>
      </c>
      <c r="D62" s="55">
        <v>7.9164467242595432E-2</v>
      </c>
      <c r="E62" s="100">
        <f t="shared" ref="E62:E74" si="27">K62*SIN(C62+D62-C$3)+0.5*C$17*C$7*C$5*(D62-C$8)*G62^2*COS(C62)-0.5*C$17*C$7*(C$11+1/PI()/C$10*C$5^2*(D62-C$8)^2)*G62^2*SIN(C62)-C$20</f>
        <v>0</v>
      </c>
      <c r="G62" s="95">
        <f t="shared" si="26"/>
        <v>52</v>
      </c>
      <c r="H62" s="12">
        <f t="shared" ref="H62:H74" si="28">G62/C$12/C$4</f>
        <v>0.65845455650553097</v>
      </c>
      <c r="I62" s="11">
        <f t="shared" ref="I62:I74" si="29">0.185*H62^3-0.9822*H62^2+1.6209*H62</f>
        <v>0.69425800928812653</v>
      </c>
      <c r="J62" s="21">
        <f t="shared" ref="J62:J74" si="30">C$18*I62</f>
        <v>309639.07214250445</v>
      </c>
      <c r="K62" s="21">
        <f t="shared" ref="K62:K74" si="31">J62/G62</f>
        <v>5954.5975412020089</v>
      </c>
      <c r="L62" s="12">
        <f t="shared" ref="L62:L74" si="32">DEGREES(D62)</f>
        <v>4.5357898604023763</v>
      </c>
      <c r="M62" s="12">
        <f t="shared" ref="M62:M74" si="33">DEGREES(C62)</f>
        <v>7.7885834989864673</v>
      </c>
      <c r="N62" s="12">
        <f t="shared" ref="N62:N74" si="34">G62*SIN(RADIANS(M62))</f>
        <v>7.0469442031919867</v>
      </c>
    </row>
    <row r="63" spans="1:16" x14ac:dyDescent="0.3">
      <c r="B63" s="100">
        <f t="shared" si="25"/>
        <v>-2.1964297047816217E-10</v>
      </c>
      <c r="C63" s="56">
        <v>0.12488369624903471</v>
      </c>
      <c r="D63" s="55">
        <v>5.0723243361955751E-2</v>
      </c>
      <c r="E63" s="100">
        <f t="shared" si="27"/>
        <v>0</v>
      </c>
      <c r="G63" s="95">
        <f t="shared" si="26"/>
        <v>59</v>
      </c>
      <c r="H63" s="12">
        <f t="shared" si="28"/>
        <v>0.74709266988127543</v>
      </c>
      <c r="I63" s="11">
        <f t="shared" si="29"/>
        <v>0.73989283267567485</v>
      </c>
      <c r="J63" s="21">
        <f t="shared" si="30"/>
        <v>329992.20337335096</v>
      </c>
      <c r="K63" s="21">
        <f t="shared" si="31"/>
        <v>5593.0881927686605</v>
      </c>
      <c r="L63" s="12">
        <f t="shared" si="32"/>
        <v>2.9062277678550332</v>
      </c>
      <c r="M63" s="12">
        <f t="shared" si="33"/>
        <v>7.1553087250634384</v>
      </c>
      <c r="N63" s="12">
        <f t="shared" si="34"/>
        <v>7.3490008376809062</v>
      </c>
    </row>
    <row r="64" spans="1:16" x14ac:dyDescent="0.3">
      <c r="B64" s="100">
        <f t="shared" si="25"/>
        <v>-1.4789975466555916E-7</v>
      </c>
      <c r="C64" s="56">
        <v>0.10846011321267639</v>
      </c>
      <c r="D64" s="55">
        <v>2.8209900918434318E-2</v>
      </c>
      <c r="E64" s="100">
        <f t="shared" si="27"/>
        <v>0</v>
      </c>
      <c r="G64" s="95">
        <f t="shared" si="26"/>
        <v>67</v>
      </c>
      <c r="H64" s="12">
        <f t="shared" si="28"/>
        <v>0.84839337088212652</v>
      </c>
      <c r="I64" s="11">
        <f t="shared" si="29"/>
        <v>0.78117153620279789</v>
      </c>
      <c r="J64" s="21">
        <f t="shared" si="30"/>
        <v>348402.50514644786</v>
      </c>
      <c r="K64" s="21">
        <f t="shared" si="31"/>
        <v>5200.0373902454903</v>
      </c>
      <c r="L64" s="12">
        <f t="shared" si="32"/>
        <v>1.6163082631085113</v>
      </c>
      <c r="M64" s="12">
        <f t="shared" si="33"/>
        <v>6.2143067325974535</v>
      </c>
      <c r="N64" s="12">
        <f t="shared" si="34"/>
        <v>7.252588625388249</v>
      </c>
    </row>
    <row r="65" spans="1:14" x14ac:dyDescent="0.3">
      <c r="B65" s="100">
        <f t="shared" si="25"/>
        <v>-6.2305389292305335E-8</v>
      </c>
      <c r="C65" s="56">
        <v>9.1862651385358249E-2</v>
      </c>
      <c r="D65" s="55">
        <v>1.4057390770747073E-2</v>
      </c>
      <c r="E65" s="100">
        <f t="shared" si="27"/>
        <v>0</v>
      </c>
      <c r="G65" s="95">
        <f t="shared" si="26"/>
        <v>74</v>
      </c>
      <c r="H65" s="12">
        <f t="shared" si="28"/>
        <v>0.93703148425787097</v>
      </c>
      <c r="I65" s="11">
        <f t="shared" si="29"/>
        <v>0.80864210703023176</v>
      </c>
      <c r="J65" s="21">
        <f t="shared" si="30"/>
        <v>360654.37973548338</v>
      </c>
      <c r="K65" s="21">
        <f t="shared" si="31"/>
        <v>4873.7078342632885</v>
      </c>
      <c r="L65" s="12">
        <f t="shared" si="32"/>
        <v>0.80542916212996274</v>
      </c>
      <c r="M65" s="12">
        <f t="shared" si="33"/>
        <v>5.2633422192626327</v>
      </c>
      <c r="N65" s="12">
        <f t="shared" si="34"/>
        <v>6.7882793661349385</v>
      </c>
    </row>
    <row r="66" spans="1:14" x14ac:dyDescent="0.3">
      <c r="B66" s="100">
        <f>-K66*COS(C66+D66-C$3)+0.5*C$17*C$7*C$5*(D66-C$8)*G66^2*SIN(C66)+0.5*C$17*C$7*(C$11+1/PI()/C$10*C$5^2*(D66-C$8)^2)*G66^2*COS(C66)</f>
        <v>-1.7905131244333461E-7</v>
      </c>
      <c r="C66" s="56">
        <v>7.3770733777017303E-2</v>
      </c>
      <c r="D66" s="55">
        <v>3.3342495945988754E-3</v>
      </c>
      <c r="E66" s="100">
        <f t="shared" si="27"/>
        <v>0</v>
      </c>
      <c r="G66" s="95">
        <f t="shared" si="26"/>
        <v>81</v>
      </c>
      <c r="H66" s="12">
        <f t="shared" si="28"/>
        <v>1.0256695976336156</v>
      </c>
      <c r="I66" s="11">
        <f t="shared" si="29"/>
        <v>0.82885075492246929</v>
      </c>
      <c r="J66" s="21">
        <f t="shared" si="30"/>
        <v>369667.43669542129</v>
      </c>
      <c r="K66" s="21">
        <f t="shared" si="31"/>
        <v>4563.7955147582879</v>
      </c>
      <c r="L66" s="12">
        <f t="shared" si="32"/>
        <v>0.19103842961372128</v>
      </c>
      <c r="M66" s="12">
        <f t="shared" si="33"/>
        <v>4.2267516970062777</v>
      </c>
      <c r="N66" s="12">
        <f t="shared" si="34"/>
        <v>5.9700110753530797</v>
      </c>
    </row>
    <row r="67" spans="1:14" x14ac:dyDescent="0.3">
      <c r="B67" s="100">
        <f t="shared" si="25"/>
        <v>4.2196825233986601E-7</v>
      </c>
      <c r="C67" s="56">
        <v>5.168849919447481E-2</v>
      </c>
      <c r="D67" s="55">
        <v>-6.02004781414372E-3</v>
      </c>
      <c r="E67" s="100">
        <f>K67*SIN(C67+D67-C$3)+0.5*C$17*C$7*C$5*(D67-C$8)*G67^2*COS(C67)-0.5*C$17*C$7*(C$11+1/PI()/C$10*C$5^2*(D67-C$8)^2)*G67^2*SIN(C67)-C$20</f>
        <v>0</v>
      </c>
      <c r="G67" s="95">
        <f t="shared" si="26"/>
        <v>89</v>
      </c>
      <c r="H67" s="12">
        <f t="shared" si="28"/>
        <v>1.1269702986344665</v>
      </c>
      <c r="I67" s="11">
        <f t="shared" si="29"/>
        <v>0.84404581688643843</v>
      </c>
      <c r="J67" s="21">
        <f t="shared" si="30"/>
        <v>376444.43433135154</v>
      </c>
      <c r="K67" s="21">
        <f t="shared" si="31"/>
        <v>4229.7127452960849</v>
      </c>
      <c r="L67" s="12">
        <f t="shared" si="32"/>
        <v>-0.3449233322173918</v>
      </c>
      <c r="M67" s="12">
        <f t="shared" si="33"/>
        <v>2.9615328532087619</v>
      </c>
      <c r="N67" s="12">
        <f t="shared" si="34"/>
        <v>4.5982282747802454</v>
      </c>
    </row>
    <row r="68" spans="1:14" x14ac:dyDescent="0.3">
      <c r="B68" s="100">
        <f t="shared" si="25"/>
        <v>-2.3646862246096134E-11</v>
      </c>
      <c r="C68" s="56">
        <v>3.136960608307892E-2</v>
      </c>
      <c r="D68" s="55">
        <v>-1.2399391134268124E-2</v>
      </c>
      <c r="E68" s="100">
        <f t="shared" si="27"/>
        <v>0</v>
      </c>
      <c r="G68" s="95">
        <f t="shared" si="26"/>
        <v>96</v>
      </c>
      <c r="H68" s="12">
        <f t="shared" si="28"/>
        <v>1.2156084120102111</v>
      </c>
      <c r="I68" s="11">
        <f t="shared" si="29"/>
        <v>0.85129619047366378</v>
      </c>
      <c r="J68" s="21">
        <f t="shared" si="30"/>
        <v>379678.10095125402</v>
      </c>
      <c r="K68" s="21">
        <f t="shared" si="31"/>
        <v>3954.9802182422295</v>
      </c>
      <c r="L68" s="12">
        <f t="shared" si="32"/>
        <v>-0.71043278052549419</v>
      </c>
      <c r="M68" s="12">
        <f t="shared" si="33"/>
        <v>1.7973460335483358</v>
      </c>
      <c r="N68" s="12">
        <f t="shared" si="34"/>
        <v>3.010988299005688</v>
      </c>
    </row>
    <row r="69" spans="1:14" x14ac:dyDescent="0.3">
      <c r="B69" s="100">
        <f t="shared" si="25"/>
        <v>0</v>
      </c>
      <c r="C69" s="56">
        <v>1.026020585039796E-2</v>
      </c>
      <c r="D69" s="55">
        <v>-1.7549274380454876E-2</v>
      </c>
      <c r="E69" s="100">
        <f t="shared" si="27"/>
        <v>0</v>
      </c>
      <c r="G69" s="95">
        <f t="shared" si="26"/>
        <v>103</v>
      </c>
      <c r="H69" s="12">
        <f t="shared" si="28"/>
        <v>1.3042465253859556</v>
      </c>
      <c r="I69" s="11">
        <f t="shared" si="29"/>
        <v>0.8537140976447406</v>
      </c>
      <c r="J69" s="21">
        <f t="shared" si="30"/>
        <v>380756.48754955432</v>
      </c>
      <c r="K69" s="21">
        <f t="shared" si="31"/>
        <v>3696.6649276655758</v>
      </c>
      <c r="L69" s="12">
        <f t="shared" si="32"/>
        <v>-1.005499355517127</v>
      </c>
      <c r="M69" s="12">
        <f t="shared" si="33"/>
        <v>0.58786649216323883</v>
      </c>
      <c r="N69" s="12">
        <f t="shared" si="34"/>
        <v>1.0567826607902033</v>
      </c>
    </row>
    <row r="70" spans="1:14" x14ac:dyDescent="0.3">
      <c r="B70" s="100">
        <f t="shared" si="25"/>
        <v>-1.2869350030086935E-10</v>
      </c>
      <c r="C70" s="56">
        <v>-1.4722617933769382E-2</v>
      </c>
      <c r="D70" s="55">
        <v>-2.2308347945360803E-2</v>
      </c>
      <c r="E70" s="100">
        <f t="shared" si="27"/>
        <v>0</v>
      </c>
      <c r="G70" s="95">
        <f t="shared" si="26"/>
        <v>111</v>
      </c>
      <c r="H70" s="12">
        <f t="shared" si="28"/>
        <v>1.4055472263868065</v>
      </c>
      <c r="I70" s="11">
        <f t="shared" si="29"/>
        <v>0.85155172921601352</v>
      </c>
      <c r="J70" s="21">
        <f t="shared" si="30"/>
        <v>379792.07123034203</v>
      </c>
      <c r="K70" s="21">
        <f t="shared" si="31"/>
        <v>3421.5501912643426</v>
      </c>
      <c r="L70" s="12">
        <f t="shared" si="32"/>
        <v>-1.2781741851785156</v>
      </c>
      <c r="M70" s="12">
        <f t="shared" si="33"/>
        <v>-0.84354387098860217</v>
      </c>
      <c r="N70" s="12">
        <f t="shared" si="34"/>
        <v>-1.634151553938386</v>
      </c>
    </row>
    <row r="71" spans="1:14" x14ac:dyDescent="0.3">
      <c r="B71" s="100">
        <f t="shared" si="25"/>
        <v>9.0949470177292824E-11</v>
      </c>
      <c r="C71" s="56">
        <v>-3.7270374978024268E-2</v>
      </c>
      <c r="D71" s="55">
        <v>-2.5721166846299475E-2</v>
      </c>
      <c r="E71" s="100">
        <f t="shared" si="27"/>
        <v>0</v>
      </c>
      <c r="G71" s="95">
        <f t="shared" si="26"/>
        <v>118</v>
      </c>
      <c r="H71" s="12">
        <f t="shared" si="28"/>
        <v>1.4941853397625509</v>
      </c>
      <c r="I71" s="11">
        <f t="shared" si="29"/>
        <v>0.84621734033718043</v>
      </c>
      <c r="J71" s="21">
        <f t="shared" si="30"/>
        <v>377412.93379038246</v>
      </c>
      <c r="K71" s="21">
        <f t="shared" si="31"/>
        <v>3198.4146931388345</v>
      </c>
      <c r="L71" s="12">
        <f t="shared" si="32"/>
        <v>-1.4737143044447778</v>
      </c>
      <c r="M71" s="12">
        <f t="shared" si="33"/>
        <v>-2.1354351871107791</v>
      </c>
      <c r="N71" s="12">
        <f t="shared" si="34"/>
        <v>-4.3968861440250633</v>
      </c>
    </row>
    <row r="72" spans="1:14" x14ac:dyDescent="0.3">
      <c r="B72" s="100">
        <f t="shared" si="25"/>
        <v>-3.6015990190207958E-10</v>
      </c>
      <c r="C72" s="56">
        <v>-6.0422952029582554E-2</v>
      </c>
      <c r="D72" s="55">
        <v>-2.8590640525813674E-2</v>
      </c>
      <c r="E72" s="100">
        <f t="shared" si="27"/>
        <v>0</v>
      </c>
      <c r="G72" s="95">
        <f t="shared" si="26"/>
        <v>125</v>
      </c>
      <c r="H72" s="12">
        <f t="shared" si="28"/>
        <v>1.5828234531382954</v>
      </c>
      <c r="I72" s="11">
        <f t="shared" si="29"/>
        <v>0.8384799415612465</v>
      </c>
      <c r="J72" s="21">
        <f t="shared" si="30"/>
        <v>373962.05393631593</v>
      </c>
      <c r="K72" s="21">
        <f t="shared" si="31"/>
        <v>2991.6964314905276</v>
      </c>
      <c r="L72" s="12">
        <f t="shared" si="32"/>
        <v>-1.6381230357048164</v>
      </c>
      <c r="M72" s="12">
        <f t="shared" si="33"/>
        <v>-3.461980137016512</v>
      </c>
      <c r="N72" s="12">
        <f t="shared" si="34"/>
        <v>-7.5482740059649993</v>
      </c>
    </row>
    <row r="73" spans="1:14" x14ac:dyDescent="0.3">
      <c r="B73" s="100">
        <f t="shared" si="25"/>
        <v>0</v>
      </c>
      <c r="C73" s="56">
        <v>-8.4159528008255977E-2</v>
      </c>
      <c r="D73" s="55">
        <v>-3.1027739353454757E-2</v>
      </c>
      <c r="E73" s="100">
        <f t="shared" si="27"/>
        <v>0</v>
      </c>
      <c r="G73" s="95">
        <f t="shared" si="26"/>
        <v>132</v>
      </c>
      <c r="H73" s="12">
        <f t="shared" si="28"/>
        <v>1.6714615665140402</v>
      </c>
      <c r="I73" s="11">
        <f t="shared" si="29"/>
        <v>0.82911254178063665</v>
      </c>
      <c r="J73" s="21">
        <f t="shared" si="30"/>
        <v>369784.19363416394</v>
      </c>
      <c r="K73" s="21">
        <f t="shared" si="31"/>
        <v>2801.3954063194237</v>
      </c>
      <c r="L73" s="12">
        <f t="shared" si="32"/>
        <v>-1.7777585127849311</v>
      </c>
      <c r="M73" s="12">
        <f t="shared" si="33"/>
        <v>-4.8219857606861103</v>
      </c>
      <c r="N73" s="12">
        <f t="shared" si="34"/>
        <v>-11.095948419752782</v>
      </c>
    </row>
    <row r="74" spans="1:14" x14ac:dyDescent="0.3">
      <c r="A74" s="54"/>
      <c r="B74" s="100">
        <f t="shared" si="25"/>
        <v>-2.3646862246096134E-11</v>
      </c>
      <c r="C74" s="56">
        <v>-0.11198925337601975</v>
      </c>
      <c r="D74" s="55">
        <v>-3.3390440939417378E-2</v>
      </c>
      <c r="E74" s="100">
        <f t="shared" si="27"/>
        <v>0</v>
      </c>
      <c r="G74" s="95">
        <f>G17</f>
        <v>140</v>
      </c>
      <c r="H74" s="12">
        <f t="shared" si="28"/>
        <v>1.7727622675148911</v>
      </c>
      <c r="I74" s="11">
        <f t="shared" si="29"/>
        <v>0.81740263733953844</v>
      </c>
      <c r="J74" s="21">
        <f t="shared" si="30"/>
        <v>364561.57625343412</v>
      </c>
      <c r="K74" s="21">
        <f t="shared" si="31"/>
        <v>2604.0112589531009</v>
      </c>
      <c r="L74" s="12">
        <f t="shared" si="32"/>
        <v>-1.9131313419094556</v>
      </c>
      <c r="M74" s="12">
        <f t="shared" si="33"/>
        <v>-6.4165115692671382</v>
      </c>
      <c r="N74" s="12">
        <f t="shared" si="34"/>
        <v>-15.645743799454699</v>
      </c>
    </row>
    <row r="75" spans="1:14" x14ac:dyDescent="0.3">
      <c r="A75" s="54"/>
      <c r="B75" s="54"/>
      <c r="E75" s="54"/>
    </row>
    <row r="76" spans="1:14" x14ac:dyDescent="0.3">
      <c r="A76" s="54"/>
    </row>
    <row r="77" spans="1:14" x14ac:dyDescent="0.3">
      <c r="A77" s="54"/>
    </row>
    <row r="78" spans="1:14" x14ac:dyDescent="0.3">
      <c r="A78" s="54"/>
    </row>
    <row r="79" spans="1:14" x14ac:dyDescent="0.3">
      <c r="A79" s="54"/>
    </row>
    <row r="80" spans="1:14" x14ac:dyDescent="0.3">
      <c r="A80" s="54"/>
    </row>
    <row r="81" spans="1:1" x14ac:dyDescent="0.3">
      <c r="A81" s="54"/>
    </row>
    <row r="82" spans="1:1" x14ac:dyDescent="0.3">
      <c r="A82" s="54"/>
    </row>
    <row r="83" spans="1:1" x14ac:dyDescent="0.3">
      <c r="A83" s="54"/>
    </row>
    <row r="84" spans="1:1" x14ac:dyDescent="0.3">
      <c r="A84" s="54"/>
    </row>
    <row r="85" spans="1:1" x14ac:dyDescent="0.3">
      <c r="A85" s="54"/>
    </row>
    <row r="86" spans="1:1" x14ac:dyDescent="0.3">
      <c r="A86" s="54"/>
    </row>
    <row r="87" spans="1:1" x14ac:dyDescent="0.3">
      <c r="A87" s="54"/>
    </row>
    <row r="88" spans="1:1" x14ac:dyDescent="0.3">
      <c r="A88" s="54"/>
    </row>
  </sheetData>
  <mergeCells count="4">
    <mergeCell ref="G1:N1"/>
    <mergeCell ref="F20:P20"/>
    <mergeCell ref="F39:P39"/>
    <mergeCell ref="G58:N5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6CAEA-BA60-477F-ACE1-A69FB16C0B70}">
  <dimension ref="A1:P82"/>
  <sheetViews>
    <sheetView workbookViewId="0"/>
  </sheetViews>
  <sheetFormatPr defaultRowHeight="15" x14ac:dyDescent="0.3"/>
  <cols>
    <col min="1" max="1" width="34.77734375" style="30" customWidth="1"/>
    <col min="2" max="2" width="12.77734375" style="30" customWidth="1"/>
    <col min="3" max="4" width="8.88671875" style="30"/>
    <col min="5" max="5" width="11" style="30" bestFit="1" customWidth="1"/>
    <col min="6" max="6" width="8.88671875" style="30"/>
    <col min="7" max="7" width="9.6640625" style="30" customWidth="1"/>
    <col min="8" max="8" width="9" style="30" bestFit="1" customWidth="1"/>
    <col min="9" max="10" width="9" style="30" customWidth="1"/>
    <col min="11" max="11" width="10.21875" style="30" customWidth="1"/>
    <col min="12" max="12" width="11.44140625" style="30" bestFit="1" customWidth="1"/>
    <col min="13" max="13" width="10.33203125" style="30" bestFit="1" customWidth="1"/>
    <col min="14" max="16384" width="8.88671875" style="30"/>
  </cols>
  <sheetData>
    <row r="1" spans="1:14" ht="18.600000000000001" thickBot="1" x14ac:dyDescent="0.35">
      <c r="A1" s="110" t="s">
        <v>9</v>
      </c>
      <c r="B1" s="29" t="s">
        <v>6</v>
      </c>
      <c r="C1" s="29">
        <v>1000</v>
      </c>
      <c r="D1" s="29" t="s">
        <v>3</v>
      </c>
      <c r="G1" s="132" t="s">
        <v>167</v>
      </c>
      <c r="H1" s="133"/>
      <c r="I1" s="133"/>
      <c r="J1" s="133"/>
      <c r="K1" s="133"/>
      <c r="L1" s="133"/>
      <c r="M1" s="133"/>
      <c r="N1" s="134"/>
    </row>
    <row r="2" spans="1:14" ht="19.2" thickBot="1" x14ac:dyDescent="0.35">
      <c r="A2" s="30" t="s">
        <v>139</v>
      </c>
      <c r="B2" s="30" t="s">
        <v>141</v>
      </c>
      <c r="C2" s="30">
        <f>Podsumowanie!B31</f>
        <v>28993.455000000002</v>
      </c>
      <c r="D2" s="30" t="s">
        <v>39</v>
      </c>
      <c r="G2" s="96" t="s">
        <v>67</v>
      </c>
      <c r="H2" s="96" t="s">
        <v>15</v>
      </c>
      <c r="I2" s="96" t="s">
        <v>74</v>
      </c>
      <c r="J2" s="96" t="s">
        <v>73</v>
      </c>
      <c r="K2" s="96" t="s">
        <v>68</v>
      </c>
      <c r="L2" s="96" t="s">
        <v>70</v>
      </c>
      <c r="M2" s="96" t="s">
        <v>87</v>
      </c>
      <c r="N2" s="96" t="s">
        <v>69</v>
      </c>
    </row>
    <row r="3" spans="1:14" ht="15.6" x14ac:dyDescent="0.3">
      <c r="A3" s="31" t="s">
        <v>10</v>
      </c>
      <c r="B3" s="31" t="s">
        <v>30</v>
      </c>
      <c r="C3" s="31">
        <f>Podsumowanie!B29</f>
        <v>1.7453292519943295E-2</v>
      </c>
      <c r="D3" s="31" t="s">
        <v>40</v>
      </c>
      <c r="F3" s="46"/>
      <c r="G3" s="91">
        <f>SQRT(2*C$15/C$7/C$16/C17)</f>
        <v>36.907789207676011</v>
      </c>
      <c r="H3" s="92">
        <f t="shared" ref="H3:H17" si="0">G3/C$12/C$4</f>
        <v>0.46734811489115247</v>
      </c>
      <c r="I3" s="93">
        <f>0.1881*H3^3-0.9979*H3^2+1.6359*H3</f>
        <v>0.56577959082085538</v>
      </c>
      <c r="J3" s="94">
        <f t="shared" ref="J3:J17" si="1">C$18*I3</f>
        <v>225784.56215933591</v>
      </c>
      <c r="K3" s="94">
        <f>J3/G3</f>
        <v>6117.5314752360637</v>
      </c>
      <c r="L3" s="92">
        <f t="shared" ref="L3:L17" ca="1" si="2">OFFSET(D23,A23-2,0,1,1)</f>
        <v>11.470446428771652</v>
      </c>
      <c r="M3" s="92">
        <f t="shared" ref="M3:M17" ca="1" si="3">OFFSET(D22,A23-2,0,1,1)</f>
        <v>7.8086520932075212</v>
      </c>
      <c r="N3" s="92">
        <f ca="1">G3*SIN(RADIANS(M3))</f>
        <v>5.0144834704004841</v>
      </c>
    </row>
    <row r="4" spans="1:14" ht="15.6" x14ac:dyDescent="0.3">
      <c r="A4" s="31" t="s">
        <v>11</v>
      </c>
      <c r="B4" s="31" t="s">
        <v>18</v>
      </c>
      <c r="C4" s="31">
        <f>Podsumowanie!B12</f>
        <v>1.84</v>
      </c>
      <c r="D4" s="31" t="s">
        <v>3</v>
      </c>
      <c r="F4" s="46"/>
      <c r="G4" s="95">
        <v>45</v>
      </c>
      <c r="H4" s="12">
        <f t="shared" si="0"/>
        <v>0.56981644312978641</v>
      </c>
      <c r="I4" s="11">
        <f t="shared" ref="I4:I17" si="4">0.1881*H4^3-0.9979*H4^2+1.6359*H4</f>
        <v>0.64295495171381778</v>
      </c>
      <c r="J4" s="21">
        <f t="shared" si="1"/>
        <v>256582.78350101662</v>
      </c>
      <c r="K4" s="21">
        <f t="shared" ref="K4:K17" si="5">J4/G4</f>
        <v>5701.8396333559249</v>
      </c>
      <c r="L4" s="12">
        <f t="shared" ca="1" si="2"/>
        <v>6.9411942129838664</v>
      </c>
      <c r="M4" s="12">
        <f t="shared" ca="1" si="3"/>
        <v>8.0438021331875849</v>
      </c>
      <c r="N4" s="12">
        <f t="shared" ref="N4:N17" ca="1" si="6">G4*SIN(RADIANS(M4))</f>
        <v>6.2968550256903066</v>
      </c>
    </row>
    <row r="5" spans="1:14" ht="18" x14ac:dyDescent="0.3">
      <c r="A5" s="31" t="s">
        <v>24</v>
      </c>
      <c r="B5" s="31" t="s">
        <v>75</v>
      </c>
      <c r="C5" s="31">
        <f>Podsumowanie!B16</f>
        <v>6.1340000000000003</v>
      </c>
      <c r="D5" s="31" t="s">
        <v>34</v>
      </c>
      <c r="F5" s="46"/>
      <c r="G5" s="95">
        <v>52</v>
      </c>
      <c r="H5" s="12">
        <f t="shared" si="0"/>
        <v>0.65845455650553097</v>
      </c>
      <c r="I5" s="11">
        <f t="shared" si="4"/>
        <v>0.69821288944217608</v>
      </c>
      <c r="J5" s="21">
        <f t="shared" si="1"/>
        <v>278634.461359746</v>
      </c>
      <c r="K5" s="21">
        <f t="shared" si="5"/>
        <v>5358.3550261489618</v>
      </c>
      <c r="L5" s="12">
        <f t="shared" ca="1" si="2"/>
        <v>4.5345853561000755</v>
      </c>
      <c r="M5" s="12">
        <f t="shared" ca="1" si="3"/>
        <v>7.6948250439592556</v>
      </c>
      <c r="N5" s="12">
        <f t="shared" ca="1" si="6"/>
        <v>6.9626273208930325</v>
      </c>
    </row>
    <row r="6" spans="1:14" ht="18" x14ac:dyDescent="0.3">
      <c r="A6" s="31" t="s">
        <v>23</v>
      </c>
      <c r="B6" s="31" t="s">
        <v>76</v>
      </c>
      <c r="C6" s="31">
        <f>Podsumowanie!B9</f>
        <v>446000</v>
      </c>
      <c r="D6" s="31" t="s">
        <v>35</v>
      </c>
      <c r="F6" s="46"/>
      <c r="G6" s="95">
        <v>59</v>
      </c>
      <c r="H6" s="12">
        <f t="shared" si="0"/>
        <v>0.74709266988127543</v>
      </c>
      <c r="I6" s="11">
        <f t="shared" si="4"/>
        <v>0.74362897005266615</v>
      </c>
      <c r="J6" s="21">
        <f t="shared" si="1"/>
        <v>296758.56841838936</v>
      </c>
      <c r="K6" s="21">
        <f t="shared" si="5"/>
        <v>5029.8062443794806</v>
      </c>
      <c r="L6" s="12">
        <f t="shared" ca="1" si="2"/>
        <v>2.9049144676779743</v>
      </c>
      <c r="M6" s="12">
        <f t="shared" ca="1" si="3"/>
        <v>7.0601813131027349</v>
      </c>
      <c r="N6" s="12">
        <f t="shared" ca="1" si="6"/>
        <v>7.2517967197267517</v>
      </c>
    </row>
    <row r="7" spans="1:14" ht="18" x14ac:dyDescent="0.3">
      <c r="A7" s="31" t="s">
        <v>22</v>
      </c>
      <c r="B7" s="31" t="s">
        <v>5</v>
      </c>
      <c r="C7" s="31">
        <f>Podsumowanie!B3</f>
        <v>21.3</v>
      </c>
      <c r="D7" s="31" t="s">
        <v>77</v>
      </c>
      <c r="F7" s="46"/>
      <c r="G7" s="95">
        <v>67</v>
      </c>
      <c r="H7" s="12">
        <f t="shared" si="0"/>
        <v>0.84839337088212652</v>
      </c>
      <c r="I7" s="11">
        <f t="shared" si="4"/>
        <v>0.78449003972073006</v>
      </c>
      <c r="J7" s="21">
        <f t="shared" si="1"/>
        <v>313064.9161093352</v>
      </c>
      <c r="K7" s="21">
        <f t="shared" si="5"/>
        <v>4672.6106881990327</v>
      </c>
      <c r="L7" s="12">
        <f t="shared" ca="1" si="2"/>
        <v>1.6149936693880742</v>
      </c>
      <c r="M7" s="12">
        <f t="shared" ca="1" si="3"/>
        <v>6.1176638166125406</v>
      </c>
      <c r="N7" s="12">
        <f t="shared" ca="1" si="6"/>
        <v>7.1402310358052059</v>
      </c>
    </row>
    <row r="8" spans="1:14" ht="18" x14ac:dyDescent="0.3">
      <c r="A8" s="31" t="s">
        <v>41</v>
      </c>
      <c r="B8" s="31" t="s">
        <v>78</v>
      </c>
      <c r="C8" s="31">
        <f>Podsumowanie!B30</f>
        <v>-5.1836278784231589E-2</v>
      </c>
      <c r="D8" s="31" t="s">
        <v>40</v>
      </c>
      <c r="G8" s="95">
        <v>74</v>
      </c>
      <c r="H8" s="12">
        <f t="shared" si="0"/>
        <v>0.93703148425787097</v>
      </c>
      <c r="I8" s="11">
        <f t="shared" si="4"/>
        <v>0.81146303329041891</v>
      </c>
      <c r="J8" s="21">
        <f t="shared" si="1"/>
        <v>323828.97625230189</v>
      </c>
      <c r="K8" s="21">
        <f t="shared" si="5"/>
        <v>4376.0672466527285</v>
      </c>
      <c r="L8" s="12">
        <f t="shared" ca="1" si="2"/>
        <v>0.8041553703177946</v>
      </c>
      <c r="M8" s="12">
        <f t="shared" ca="1" si="3"/>
        <v>5.1654143622227551</v>
      </c>
      <c r="N8" s="12">
        <f t="shared" ca="1" si="6"/>
        <v>6.6623246939410636</v>
      </c>
    </row>
    <row r="9" spans="1:14" ht="15.6" x14ac:dyDescent="0.3">
      <c r="A9" s="31" t="s">
        <v>12</v>
      </c>
      <c r="B9" s="31" t="s">
        <v>3</v>
      </c>
      <c r="C9" s="31">
        <f>Podsumowanie!B7</f>
        <v>2405.5</v>
      </c>
      <c r="D9" s="31" t="s">
        <v>0</v>
      </c>
      <c r="G9" s="95">
        <v>81</v>
      </c>
      <c r="H9" s="12">
        <f t="shared" si="0"/>
        <v>1.0256695976336156</v>
      </c>
      <c r="I9" s="11">
        <f t="shared" si="4"/>
        <v>0.83106433607322849</v>
      </c>
      <c r="J9" s="21">
        <f t="shared" si="1"/>
        <v>331651.23007405654</v>
      </c>
      <c r="K9" s="21">
        <f t="shared" si="5"/>
        <v>4094.4596305439081</v>
      </c>
      <c r="L9" s="12">
        <f t="shared" ca="1" si="2"/>
        <v>0.18981889937432789</v>
      </c>
      <c r="M9" s="12">
        <f t="shared" ca="1" si="3"/>
        <v>4.1275747466445347</v>
      </c>
      <c r="N9" s="12">
        <f t="shared" ca="1" si="6"/>
        <v>5.8301754327705559</v>
      </c>
    </row>
    <row r="10" spans="1:14" ht="18" x14ac:dyDescent="0.3">
      <c r="A10" s="31" t="s">
        <v>21</v>
      </c>
      <c r="B10" s="31" t="s">
        <v>79</v>
      </c>
      <c r="C10" s="31">
        <f>Podsumowanie!B13</f>
        <v>5.8840000000000003</v>
      </c>
      <c r="D10" s="31" t="s">
        <v>7</v>
      </c>
      <c r="G10" s="95">
        <v>89</v>
      </c>
      <c r="H10" s="12">
        <f t="shared" si="0"/>
        <v>1.1269702986344665</v>
      </c>
      <c r="I10" s="11">
        <f t="shared" si="4"/>
        <v>0.84544749597617352</v>
      </c>
      <c r="J10" s="21">
        <f t="shared" si="1"/>
        <v>337391.08975411777</v>
      </c>
      <c r="K10" s="21">
        <f t="shared" si="5"/>
        <v>3790.911120832784</v>
      </c>
      <c r="L10" s="12">
        <f t="shared" ca="1" si="2"/>
        <v>-0.34607750435042434</v>
      </c>
      <c r="M10" s="12">
        <f t="shared" ca="1" si="3"/>
        <v>2.8609683255829514</v>
      </c>
      <c r="N10" s="12">
        <f t="shared" ca="1" si="6"/>
        <v>4.4422186919605595</v>
      </c>
    </row>
    <row r="11" spans="1:14" ht="18" x14ac:dyDescent="0.3">
      <c r="A11" s="31" t="s">
        <v>25</v>
      </c>
      <c r="B11" s="31" t="s">
        <v>80</v>
      </c>
      <c r="C11" s="31">
        <f>Podsumowanie!B14</f>
        <v>2.214E-2</v>
      </c>
      <c r="D11" s="31" t="s">
        <v>7</v>
      </c>
      <c r="G11" s="95">
        <v>96</v>
      </c>
      <c r="H11" s="12">
        <f t="shared" si="0"/>
        <v>1.2156084120102111</v>
      </c>
      <c r="I11" s="11">
        <f t="shared" si="4"/>
        <v>0.85189892528458544</v>
      </c>
      <c r="J11" s="21">
        <f t="shared" si="1"/>
        <v>339965.6491149253</v>
      </c>
      <c r="K11" s="21">
        <f t="shared" si="5"/>
        <v>3541.3088449471384</v>
      </c>
      <c r="L11" s="12">
        <f t="shared" ca="1" si="2"/>
        <v>-0.71153174478765002</v>
      </c>
      <c r="M11" s="12">
        <f t="shared" ca="1" si="3"/>
        <v>1.6955979750588339</v>
      </c>
      <c r="N11" s="12">
        <f t="shared" ca="1" si="6"/>
        <v>2.8405870065141618</v>
      </c>
    </row>
    <row r="12" spans="1:14" ht="18" x14ac:dyDescent="0.3">
      <c r="A12" s="31" t="s">
        <v>19</v>
      </c>
      <c r="B12" s="31" t="s">
        <v>81</v>
      </c>
      <c r="C12" s="31">
        <f>Podsumowanie!B11</f>
        <v>42.92</v>
      </c>
      <c r="D12" s="31" t="s">
        <v>37</v>
      </c>
      <c r="G12" s="95">
        <v>103</v>
      </c>
      <c r="H12" s="12">
        <f t="shared" si="0"/>
        <v>1.3042465253859556</v>
      </c>
      <c r="I12" s="11">
        <f t="shared" si="4"/>
        <v>0.8534488301371066</v>
      </c>
      <c r="J12" s="21">
        <f t="shared" si="1"/>
        <v>340584.16663339466</v>
      </c>
      <c r="K12" s="21">
        <f t="shared" si="5"/>
        <v>3306.6423944989774</v>
      </c>
      <c r="L12" s="12">
        <f t="shared" ca="1" si="2"/>
        <v>-1.006546791041331</v>
      </c>
      <c r="M12" s="12">
        <f t="shared" ca="1" si="3"/>
        <v>0.48495913370670007</v>
      </c>
      <c r="N12" s="12">
        <f t="shared" ca="1" si="6"/>
        <v>0.87179535339264358</v>
      </c>
    </row>
    <row r="13" spans="1:14" ht="15.6" x14ac:dyDescent="0.3">
      <c r="A13" s="31" t="s">
        <v>20</v>
      </c>
      <c r="B13" s="31" t="s">
        <v>14</v>
      </c>
      <c r="C13" s="31">
        <f>Podsumowanie!B17</f>
        <v>0.12</v>
      </c>
      <c r="D13" s="31" t="s">
        <v>7</v>
      </c>
      <c r="G13" s="95">
        <v>111</v>
      </c>
      <c r="H13" s="12">
        <f t="shared" si="0"/>
        <v>1.4055472263868065</v>
      </c>
      <c r="I13" s="11">
        <f t="shared" si="4"/>
        <v>0.85022651444338182</v>
      </c>
      <c r="J13" s="21">
        <f t="shared" si="1"/>
        <v>339298.24336954689</v>
      </c>
      <c r="K13" s="21">
        <f t="shared" si="5"/>
        <v>3056.740931257179</v>
      </c>
      <c r="L13" s="12">
        <f t="shared" ca="1" si="2"/>
        <v>-1.2791678687439665</v>
      </c>
      <c r="M13" s="12">
        <f t="shared" ca="1" si="3"/>
        <v>-0.94775178316647879</v>
      </c>
      <c r="N13" s="12">
        <f t="shared" ca="1" si="6"/>
        <v>-1.8360104608558871</v>
      </c>
    </row>
    <row r="14" spans="1:14" ht="18" x14ac:dyDescent="0.3">
      <c r="A14" s="31" t="s">
        <v>33</v>
      </c>
      <c r="B14" s="31" t="s">
        <v>32</v>
      </c>
      <c r="C14" s="31">
        <f>Podsumowanie!B2</f>
        <v>1.2255</v>
      </c>
      <c r="D14" s="31" t="s">
        <v>82</v>
      </c>
      <c r="G14" s="95">
        <v>118</v>
      </c>
      <c r="H14" s="12">
        <f t="shared" si="0"/>
        <v>1.4941853397625509</v>
      </c>
      <c r="I14" s="11">
        <f t="shared" si="4"/>
        <v>0.84391975938790953</v>
      </c>
      <c r="J14" s="21">
        <f t="shared" si="1"/>
        <v>336781.41888179886</v>
      </c>
      <c r="K14" s="21">
        <f t="shared" si="5"/>
        <v>2854.0798210321936</v>
      </c>
      <c r="L14" s="12">
        <f t="shared" ca="1" si="2"/>
        <v>-1.4746654095945204</v>
      </c>
      <c r="M14" s="12">
        <f t="shared" ca="1" si="3"/>
        <v>-2.2407640626348706</v>
      </c>
      <c r="N14" s="12">
        <f t="shared" ca="1" si="6"/>
        <v>-4.6136515572512673</v>
      </c>
    </row>
    <row r="15" spans="1:14" ht="15.6" x14ac:dyDescent="0.3">
      <c r="A15" s="31" t="s">
        <v>26</v>
      </c>
      <c r="B15" s="31" t="s">
        <v>13</v>
      </c>
      <c r="C15" s="31">
        <f>Podsumowanie!B8</f>
        <v>26295.705000000002</v>
      </c>
      <c r="D15" s="31" t="s">
        <v>39</v>
      </c>
      <c r="G15" s="95">
        <v>125</v>
      </c>
      <c r="H15" s="12">
        <f t="shared" si="0"/>
        <v>1.5828234531382954</v>
      </c>
      <c r="I15" s="11">
        <f t="shared" si="4"/>
        <v>0.83518164620753477</v>
      </c>
      <c r="J15" s="21">
        <f t="shared" si="1"/>
        <v>333294.31703058642</v>
      </c>
      <c r="K15" s="21">
        <f t="shared" si="5"/>
        <v>2666.3545362446912</v>
      </c>
      <c r="L15" s="12">
        <f t="shared" ca="1" si="2"/>
        <v>-1.6390354518317762</v>
      </c>
      <c r="M15" s="12">
        <f t="shared" ca="1" si="3"/>
        <v>-3.5684223453623476</v>
      </c>
      <c r="N15" s="12">
        <f t="shared" ca="1" si="6"/>
        <v>-7.7800579393180911</v>
      </c>
    </row>
    <row r="16" spans="1:14" x14ac:dyDescent="0.3">
      <c r="A16" s="30" t="s">
        <v>102</v>
      </c>
      <c r="B16" s="30" t="s">
        <v>89</v>
      </c>
      <c r="C16" s="30">
        <f>Podsumowanie!B15</f>
        <v>1.63</v>
      </c>
      <c r="D16" s="30" t="s">
        <v>7</v>
      </c>
      <c r="G16" s="95">
        <v>132</v>
      </c>
      <c r="H16" s="12">
        <f t="shared" si="0"/>
        <v>1.6714615665140402</v>
      </c>
      <c r="I16" s="11">
        <f t="shared" si="4"/>
        <v>0.82479813691666304</v>
      </c>
      <c r="J16" s="21">
        <f t="shared" si="1"/>
        <v>329150.59015009669</v>
      </c>
      <c r="K16" s="21">
        <f t="shared" si="5"/>
        <v>2493.5650768946721</v>
      </c>
      <c r="L16" s="12">
        <f t="shared" ca="1" si="2"/>
        <v>-1.7786358044537718</v>
      </c>
      <c r="M16" s="12">
        <f t="shared" ca="1" si="3"/>
        <v>-4.9295365740018262</v>
      </c>
      <c r="N16" s="12">
        <f t="shared" ca="1" si="6"/>
        <v>-11.342831041453154</v>
      </c>
    </row>
    <row r="17" spans="1:16" ht="18.600000000000001" x14ac:dyDescent="0.3">
      <c r="A17" s="30" t="s">
        <v>29</v>
      </c>
      <c r="B17" s="30" t="s">
        <v>83</v>
      </c>
      <c r="C17" s="30">
        <f>C14*(1-C1/44300)^4.256</f>
        <v>1.1120172997678104</v>
      </c>
      <c r="D17" s="30" t="s">
        <v>84</v>
      </c>
      <c r="G17" s="95">
        <v>140</v>
      </c>
      <c r="H17" s="12">
        <f t="shared" si="0"/>
        <v>1.7727622675148911</v>
      </c>
      <c r="I17" s="11">
        <f t="shared" si="4"/>
        <v>0.81192472956362449</v>
      </c>
      <c r="J17" s="21">
        <f t="shared" si="1"/>
        <v>324013.22448710492</v>
      </c>
      <c r="K17" s="21">
        <f t="shared" si="5"/>
        <v>2314.3801749078921</v>
      </c>
      <c r="L17" s="12">
        <f t="shared" ca="1" si="2"/>
        <v>-1.9139724140288632</v>
      </c>
      <c r="M17" s="12">
        <f t="shared" ca="1" si="3"/>
        <v>-6.5253304820357316</v>
      </c>
      <c r="N17" s="12">
        <f t="shared" ca="1" si="6"/>
        <v>-15.909944556616242</v>
      </c>
    </row>
    <row r="18" spans="1:16" ht="18.600000000000001" x14ac:dyDescent="0.3">
      <c r="A18" s="30" t="s">
        <v>27</v>
      </c>
      <c r="B18" s="30" t="s">
        <v>85</v>
      </c>
      <c r="C18" s="30">
        <f>C6*((C17/C14)-C13)/(1-C13)</f>
        <v>399068.05728315288</v>
      </c>
      <c r="D18" s="30" t="s">
        <v>35</v>
      </c>
    </row>
    <row r="19" spans="1:16" ht="19.2" thickBot="1" x14ac:dyDescent="0.35">
      <c r="A19" s="30" t="s">
        <v>28</v>
      </c>
      <c r="B19" s="30" t="s">
        <v>86</v>
      </c>
      <c r="C19" s="30">
        <f>C18/C17/C12^3/C4^5</f>
        <v>0.21521233932104497</v>
      </c>
      <c r="D19" s="30" t="s">
        <v>7</v>
      </c>
    </row>
    <row r="20" spans="1:16" ht="18.600000000000001" thickBot="1" x14ac:dyDescent="0.35">
      <c r="A20" s="30" t="s">
        <v>153</v>
      </c>
      <c r="B20" s="30" t="s">
        <v>140</v>
      </c>
      <c r="C20" s="30">
        <f>Podsumowanie!B31</f>
        <v>28993.455000000002</v>
      </c>
      <c r="D20" s="30" t="s">
        <v>39</v>
      </c>
      <c r="F20" s="132" t="s">
        <v>175</v>
      </c>
      <c r="G20" s="133"/>
      <c r="H20" s="133"/>
      <c r="I20" s="133"/>
      <c r="J20" s="133"/>
      <c r="K20" s="133"/>
      <c r="L20" s="133"/>
      <c r="M20" s="133"/>
      <c r="N20" s="133"/>
      <c r="O20" s="133"/>
      <c r="P20" s="134"/>
    </row>
    <row r="21" spans="1:16" ht="18.600000000000001" thickBot="1" x14ac:dyDescent="0.35">
      <c r="B21" s="30" t="s">
        <v>16</v>
      </c>
      <c r="C21" s="30" t="s">
        <v>66</v>
      </c>
      <c r="D21" s="30" t="s">
        <v>17</v>
      </c>
      <c r="F21" s="97" t="s">
        <v>1</v>
      </c>
      <c r="G21" s="97" t="s">
        <v>2</v>
      </c>
      <c r="H21" s="97" t="s">
        <v>67</v>
      </c>
      <c r="I21" s="97" t="s">
        <v>15</v>
      </c>
      <c r="J21" s="97" t="s">
        <v>74</v>
      </c>
      <c r="K21" s="97" t="s">
        <v>72</v>
      </c>
      <c r="L21" s="97" t="s">
        <v>73</v>
      </c>
      <c r="M21" s="97" t="s">
        <v>71</v>
      </c>
      <c r="N21" s="97" t="s">
        <v>69</v>
      </c>
      <c r="O21" s="97" t="s">
        <v>87</v>
      </c>
      <c r="P21" s="97" t="s">
        <v>70</v>
      </c>
    </row>
    <row r="22" spans="1:16" x14ac:dyDescent="0.3">
      <c r="A22" s="32">
        <v>1</v>
      </c>
      <c r="B22" s="47">
        <f>-K3*COS(C22+C23-C$3)+0.5*C$17*C$7*C$5*(C23-C$8)*G3^2*SIN(C22)+0.5*C$17*C$7*(C$11+1/PI()/C$10*C$5^2*(C23-C$8)^2)*G3^2*COS(C22)</f>
        <v>9.824822518567089E-5</v>
      </c>
      <c r="C22" s="33">
        <v>0.13628668916921838</v>
      </c>
      <c r="D22" s="34">
        <f t="shared" ref="D22:D51" si="7">DEGREES(C22)</f>
        <v>7.8086520932075212</v>
      </c>
      <c r="F22" s="11">
        <v>1.63</v>
      </c>
      <c r="G22" s="12">
        <v>156.18</v>
      </c>
      <c r="H22" s="12">
        <f t="shared" ref="H22:H37" si="8">SQRT((2*C$15)/(C$7*C$17*F22))</f>
        <v>36.907789207676011</v>
      </c>
      <c r="I22" s="92">
        <f t="shared" ref="I22:I37" si="9">H22/C$12/C$4</f>
        <v>0.46734811489115247</v>
      </c>
      <c r="J22" s="93">
        <f>0.1881*I22^3-0.9979*I22^2+1.6359*I22</f>
        <v>0.56577959082085538</v>
      </c>
      <c r="K22" s="21">
        <f t="shared" ref="K22:K37" si="10">C$15*SQRT((2*C$15)/(C$17*C$7*G22))</f>
        <v>99147.996654641654</v>
      </c>
      <c r="L22" s="20">
        <f t="shared" ref="L22:L37" si="11">C$18*J22</f>
        <v>225784.56215933591</v>
      </c>
      <c r="M22" s="21">
        <f t="shared" ref="M22:M37" si="12">(L22-K22)</f>
        <v>126636.56550469426</v>
      </c>
      <c r="N22" s="12">
        <f t="shared" ref="N22:N37" si="13">M22/C$15</f>
        <v>4.8158650055092362</v>
      </c>
      <c r="O22" s="12">
        <f t="shared" ref="O22:O37" si="14">DEGREES(ASIN(N22/H22))</f>
        <v>7.4975445473756759</v>
      </c>
      <c r="P22" s="12">
        <v>15.276999999999999</v>
      </c>
    </row>
    <row r="23" spans="1:16" x14ac:dyDescent="0.3">
      <c r="A23" s="35">
        <v>2</v>
      </c>
      <c r="B23" s="48">
        <f>K3*SIN(C22+C23-C$3)+0.5*C$17*C$7*C$5*(C23-C$8)*G3^2*COS(C22)-0.5*C$17*C$7*(C$11+1/PI()/C$10*C$5^2*(C23-C$8)^2)*G3^2*SIN(C22)-C$15</f>
        <v>-6.5829226514324546E-8</v>
      </c>
      <c r="C23" s="36">
        <v>0.20019705685569056</v>
      </c>
      <c r="D23" s="37">
        <f t="shared" si="7"/>
        <v>11.470446428771652</v>
      </c>
      <c r="F23" s="11">
        <v>1.571</v>
      </c>
      <c r="G23" s="12">
        <v>158.85</v>
      </c>
      <c r="H23" s="12">
        <f t="shared" si="8"/>
        <v>37.59445049112383</v>
      </c>
      <c r="I23" s="12">
        <f t="shared" si="9"/>
        <v>0.47604302356157846</v>
      </c>
      <c r="J23" s="11">
        <f t="shared" ref="J23:J37" si="15">0.1881*I23^3-0.9979*I23^2+1.6359*I23</f>
        <v>0.57290983703863274</v>
      </c>
      <c r="K23" s="21">
        <f t="shared" si="10"/>
        <v>98311.210394722977</v>
      </c>
      <c r="L23" s="20">
        <f t="shared" si="11"/>
        <v>228630.01566541489</v>
      </c>
      <c r="M23" s="21">
        <f t="shared" si="12"/>
        <v>130318.80527069191</v>
      </c>
      <c r="N23" s="12">
        <f t="shared" si="13"/>
        <v>4.9558969904283572</v>
      </c>
      <c r="O23" s="12">
        <f t="shared" si="14"/>
        <v>7.5750779859674466</v>
      </c>
      <c r="P23" s="12">
        <v>12.122999999999999</v>
      </c>
    </row>
    <row r="24" spans="1:16" x14ac:dyDescent="0.3">
      <c r="A24" s="38">
        <v>3</v>
      </c>
      <c r="B24" s="47">
        <f>-K4*COS(C24+C25-C$3)+0.5*C$17*C$7*C$5*(C25-C$8)*G4^2*SIN(C24)+0.5*C$17*C$7*(C$11+1/PI()/C$10*C$5^2*(C25-C$8)^2)*G4^2*COS(C24)</f>
        <v>-2.4970483013930789E-4</v>
      </c>
      <c r="C24" s="39">
        <v>0.14039083160306678</v>
      </c>
      <c r="D24" s="40">
        <f t="shared" si="7"/>
        <v>8.0438021331875849</v>
      </c>
      <c r="F24" s="11">
        <v>1.474</v>
      </c>
      <c r="G24" s="12">
        <v>163.07</v>
      </c>
      <c r="H24" s="12">
        <f t="shared" si="8"/>
        <v>38.811738088651779</v>
      </c>
      <c r="I24" s="12">
        <f t="shared" si="9"/>
        <v>0.49145703443023137</v>
      </c>
      <c r="J24" s="11">
        <f t="shared" si="15"/>
        <v>0.58527953476810035</v>
      </c>
      <c r="K24" s="21">
        <f t="shared" si="10"/>
        <v>97030.801122514909</v>
      </c>
      <c r="L24" s="20">
        <f t="shared" si="11"/>
        <v>233566.36690749333</v>
      </c>
      <c r="M24" s="21">
        <f t="shared" si="12"/>
        <v>136535.56578497842</v>
      </c>
      <c r="N24" s="12">
        <f t="shared" si="13"/>
        <v>5.1923143260459614</v>
      </c>
      <c r="O24" s="12">
        <f t="shared" si="14"/>
        <v>7.6881983015579367</v>
      </c>
      <c r="P24" s="12">
        <v>11.015000000000001</v>
      </c>
    </row>
    <row r="25" spans="1:16" x14ac:dyDescent="0.3">
      <c r="A25" s="41">
        <v>4</v>
      </c>
      <c r="B25" s="48">
        <f>K4*SIN(C24+C25-C$3)+0.5*C$17*C$7*C$5*(C25-C$8)*G4^2*COS(C24)-0.5*C$17*C$7*(C$11+1/PI()/C$10*C$5^2*(C25-C$8)^2)*G4^2*SIN(C24)-C$15</f>
        <v>9.0896843175869435E-5</v>
      </c>
      <c r="C25" s="42">
        <v>0.121146693036945</v>
      </c>
      <c r="D25" s="43">
        <f>DEGREES(C25)</f>
        <v>6.9411942129838664</v>
      </c>
      <c r="F25" s="11">
        <v>1.379</v>
      </c>
      <c r="G25" s="12">
        <v>167.61</v>
      </c>
      <c r="H25" s="12">
        <f t="shared" si="8"/>
        <v>40.126354039473725</v>
      </c>
      <c r="I25" s="12">
        <f t="shared" si="9"/>
        <v>0.50810347410087675</v>
      </c>
      <c r="J25" s="11">
        <f t="shared" si="15"/>
        <v>0.59825381352901252</v>
      </c>
      <c r="K25" s="21">
        <f t="shared" si="10"/>
        <v>95707.65813930679</v>
      </c>
      <c r="L25" s="20">
        <f t="shared" si="11"/>
        <v>238743.98712726063</v>
      </c>
      <c r="M25" s="21">
        <f t="shared" si="12"/>
        <v>143036.32898795384</v>
      </c>
      <c r="N25" s="12">
        <f t="shared" si="13"/>
        <v>5.4395320067651287</v>
      </c>
      <c r="O25" s="12">
        <f t="shared" si="14"/>
        <v>7.7910081888875995</v>
      </c>
      <c r="P25" s="12">
        <v>9.5779999999999994</v>
      </c>
    </row>
    <row r="26" spans="1:16" x14ac:dyDescent="0.3">
      <c r="A26" s="32">
        <v>5</v>
      </c>
      <c r="B26" s="47">
        <f>-K5*COS(C26+C27-C$3)+0.5*C$17*C$7*C$5*(C27-C$8)*G5^2*SIN(C26)+0.5*C$17*C$7*(C$11+1/PI()/C$10*C$5^2*(C27-C$8)^2)*G5^2*COS(C26)</f>
        <v>-5.3166604925536376E-4</v>
      </c>
      <c r="C26" s="33">
        <v>0.13430003238200641</v>
      </c>
      <c r="D26" s="34">
        <f t="shared" si="7"/>
        <v>7.6948250439592556</v>
      </c>
      <c r="F26" s="11">
        <v>1.272</v>
      </c>
      <c r="G26" s="12">
        <v>169.65</v>
      </c>
      <c r="H26" s="12">
        <f t="shared" si="8"/>
        <v>41.779984843516651</v>
      </c>
      <c r="I26" s="12">
        <f t="shared" si="9"/>
        <v>0.52904271905664535</v>
      </c>
      <c r="J26" s="11">
        <f t="shared" si="15"/>
        <v>0.61401484374954374</v>
      </c>
      <c r="K26" s="21">
        <f t="shared" si="10"/>
        <v>95130.487147488238</v>
      </c>
      <c r="L26" s="20">
        <f t="shared" si="11"/>
        <v>245033.7108381491</v>
      </c>
      <c r="M26" s="21">
        <f t="shared" si="12"/>
        <v>149903.22369066085</v>
      </c>
      <c r="N26" s="12">
        <f t="shared" si="13"/>
        <v>5.7006733111228938</v>
      </c>
      <c r="O26" s="12">
        <f t="shared" si="14"/>
        <v>7.842190079150634</v>
      </c>
      <c r="P26" s="12">
        <v>8.4719999999999995</v>
      </c>
    </row>
    <row r="27" spans="1:16" x14ac:dyDescent="0.3">
      <c r="A27" s="35">
        <v>6</v>
      </c>
      <c r="B27" s="48">
        <f>K5*SIN(C26+C27-C$3)+0.5*C$17*C$7*C$5*(C27-C$8)*G5^2*COS(C26)-0.5*C$17*C$7*(C$11+1/PI()/C$10*C$5^2*(C27-C$8)^2)*G5^2*SIN(C26)-C$15</f>
        <v>1.3929304259363562E-5</v>
      </c>
      <c r="C27" s="36">
        <v>7.9143444676665856E-2</v>
      </c>
      <c r="D27" s="37">
        <f t="shared" si="7"/>
        <v>4.5345853561000755</v>
      </c>
      <c r="F27" s="11">
        <v>1.1779999999999999</v>
      </c>
      <c r="G27" s="12">
        <v>170.58</v>
      </c>
      <c r="H27" s="12">
        <f t="shared" si="8"/>
        <v>43.414938337334817</v>
      </c>
      <c r="I27" s="12">
        <f t="shared" si="9"/>
        <v>0.5497454609350918</v>
      </c>
      <c r="J27" s="11">
        <f t="shared" si="15"/>
        <v>0.62899489747200366</v>
      </c>
      <c r="K27" s="21">
        <f t="shared" si="10"/>
        <v>94870.807615705984</v>
      </c>
      <c r="L27" s="20">
        <f t="shared" si="11"/>
        <v>251011.77177516842</v>
      </c>
      <c r="M27" s="21">
        <f t="shared" si="12"/>
        <v>156140.96415946243</v>
      </c>
      <c r="N27" s="12">
        <f t="shared" si="13"/>
        <v>5.9378884939370291</v>
      </c>
      <c r="O27" s="12">
        <f t="shared" si="14"/>
        <v>7.8610193621748925</v>
      </c>
      <c r="P27" s="12">
        <v>7.694</v>
      </c>
    </row>
    <row r="28" spans="1:16" x14ac:dyDescent="0.3">
      <c r="A28" s="38">
        <v>7</v>
      </c>
      <c r="B28" s="47">
        <f>-K6*COS(C28+C29-C$3)+0.5*C$17*C$7*C$5*(C29-C$8)*G6^2*SIN(C28)+0.5*C$17*C$7*(C$11+1/PI()/C$10*C$5^2*(C29-C$8)^2)*G6^2*COS(C28)</f>
        <v>-3.9303350376940216E-4</v>
      </c>
      <c r="C28" s="39">
        <v>0.1232234097014194</v>
      </c>
      <c r="D28" s="40">
        <f t="shared" si="7"/>
        <v>7.0601813131027349</v>
      </c>
      <c r="F28" s="11">
        <v>1.08</v>
      </c>
      <c r="G28" s="12">
        <v>169.97</v>
      </c>
      <c r="H28" s="12">
        <f t="shared" si="8"/>
        <v>45.341925185024834</v>
      </c>
      <c r="I28" s="12">
        <f t="shared" si="9"/>
        <v>0.57414610074639405</v>
      </c>
      <c r="J28" s="11">
        <f t="shared" si="15"/>
        <v>0.64589460955608358</v>
      </c>
      <c r="K28" s="21">
        <f t="shared" si="10"/>
        <v>95040.894579825239</v>
      </c>
      <c r="L28" s="20">
        <f t="shared" si="11"/>
        <v>257755.90704520684</v>
      </c>
      <c r="M28" s="21">
        <f t="shared" si="12"/>
        <v>162715.01246538159</v>
      </c>
      <c r="N28" s="12">
        <f t="shared" si="13"/>
        <v>6.1878931356045248</v>
      </c>
      <c r="O28" s="12">
        <f t="shared" si="14"/>
        <v>7.8437342777643169</v>
      </c>
      <c r="P28" s="12">
        <v>7.048</v>
      </c>
    </row>
    <row r="29" spans="1:16" x14ac:dyDescent="0.3">
      <c r="A29" s="41">
        <v>8</v>
      </c>
      <c r="B29" s="48">
        <f>K6*SIN(C28+C29-C$3)+0.5*C$17*C$7*C$5*(C29-C$8)*G6^2*COS(C28)-0.5*C$17*C$7*(C$11+1/PI()/C$10*C$5^2*(C29-C$8)^2)*G6^2*SIN(C28)-C$15</f>
        <v>2.8135738830314949E-5</v>
      </c>
      <c r="C29" s="42">
        <v>5.0700321949799051E-2</v>
      </c>
      <c r="D29" s="43">
        <f t="shared" si="7"/>
        <v>2.9049144676779743</v>
      </c>
      <c r="F29" s="11">
        <v>0.96899999999999997</v>
      </c>
      <c r="G29" s="12">
        <v>164.23</v>
      </c>
      <c r="H29" s="12">
        <f t="shared" si="8"/>
        <v>47.868513944858393</v>
      </c>
      <c r="I29" s="12">
        <f t="shared" si="9"/>
        <v>0.60613925231039534</v>
      </c>
      <c r="J29" s="11">
        <f t="shared" si="15"/>
        <v>0.66683954130391176</v>
      </c>
      <c r="K29" s="21">
        <f t="shared" si="10"/>
        <v>96687.516743681132</v>
      </c>
      <c r="L29" s="20">
        <f t="shared" si="11"/>
        <v>266114.36026774085</v>
      </c>
      <c r="M29" s="21">
        <f t="shared" si="12"/>
        <v>169426.84352405972</v>
      </c>
      <c r="N29" s="12">
        <f t="shared" si="13"/>
        <v>6.4431375209015957</v>
      </c>
      <c r="O29" s="12">
        <f t="shared" si="14"/>
        <v>7.7355334051058104</v>
      </c>
      <c r="P29" s="12">
        <v>6.0739999999999998</v>
      </c>
    </row>
    <row r="30" spans="1:16" x14ac:dyDescent="0.3">
      <c r="A30" s="32">
        <v>9</v>
      </c>
      <c r="B30" s="47">
        <f>-K7*COS(C30+C31-C$3)+0.5*C$17*C$7*C$5*(C31-C$8)*G7^2*SIN(C30)+0.5*C$17*C$7*(C$11+1/PI()/C$10*C$5^2*(C31-C$8)^2)*G7^2*COS(C30)</f>
        <v>-1.5259233850883902E-4</v>
      </c>
      <c r="C30" s="33">
        <v>0.10677337613001141</v>
      </c>
      <c r="D30" s="34">
        <f t="shared" si="7"/>
        <v>6.1176638166125406</v>
      </c>
      <c r="F30" s="11">
        <v>0.86799999999999999</v>
      </c>
      <c r="G30" s="12">
        <v>160.72999999999999</v>
      </c>
      <c r="H30" s="12">
        <f t="shared" si="8"/>
        <v>50.576872570274581</v>
      </c>
      <c r="I30" s="12">
        <f t="shared" si="9"/>
        <v>0.64043408072494046</v>
      </c>
      <c r="J30" s="11">
        <f t="shared" si="15"/>
        <v>0.68780131481251616</v>
      </c>
      <c r="K30" s="21">
        <f t="shared" si="10"/>
        <v>97734.56410147126</v>
      </c>
      <c r="L30" s="20">
        <f t="shared" si="11"/>
        <v>274479.53449902905</v>
      </c>
      <c r="M30" s="21">
        <f t="shared" si="12"/>
        <v>176744.97039755777</v>
      </c>
      <c r="N30" s="12">
        <f t="shared" si="13"/>
        <v>6.7214387443712864</v>
      </c>
      <c r="O30" s="12">
        <f t="shared" si="14"/>
        <v>7.6369443776203827</v>
      </c>
      <c r="P30" s="12">
        <v>5.0990000000000002</v>
      </c>
    </row>
    <row r="31" spans="1:16" x14ac:dyDescent="0.3">
      <c r="A31" s="35">
        <v>10</v>
      </c>
      <c r="B31" s="48">
        <f>K7*SIN(C30+C31-C$3)+0.5*C$17*C$7*C$5*(C31-C$8)*G7^2*COS(C30)-0.5*C$17*C$7*(C$11+1/PI()/C$10*C$5^2*(C31-C$8)^2)*G7^2*SIN(C30)-C$15</f>
        <v>1.1383363016648218E-5</v>
      </c>
      <c r="C31" s="36">
        <v>2.818695692968665E-2</v>
      </c>
      <c r="D31" s="37">
        <f t="shared" si="7"/>
        <v>1.6149936693880742</v>
      </c>
      <c r="F31" s="11">
        <v>0.77100000000000002</v>
      </c>
      <c r="G31" s="12">
        <v>153.61000000000001</v>
      </c>
      <c r="H31" s="12">
        <f t="shared" si="8"/>
        <v>53.664198175456868</v>
      </c>
      <c r="I31" s="12">
        <f t="shared" si="9"/>
        <v>0.67952761172779574</v>
      </c>
      <c r="J31" s="11">
        <f t="shared" si="15"/>
        <v>0.70987261969336612</v>
      </c>
      <c r="K31" s="21">
        <f t="shared" si="10"/>
        <v>99973.963021465621</v>
      </c>
      <c r="L31" s="20">
        <f t="shared" si="11"/>
        <v>283287.48725953401</v>
      </c>
      <c r="M31" s="21">
        <f t="shared" si="12"/>
        <v>183313.52423806838</v>
      </c>
      <c r="N31" s="12">
        <f t="shared" si="13"/>
        <v>6.9712344368811703</v>
      </c>
      <c r="O31" s="12">
        <f t="shared" si="14"/>
        <v>7.4640884234409475</v>
      </c>
      <c r="P31" s="12">
        <v>3.86</v>
      </c>
    </row>
    <row r="32" spans="1:16" x14ac:dyDescent="0.3">
      <c r="A32" s="38">
        <v>11</v>
      </c>
      <c r="B32" s="47">
        <f>-K8*COS(C32+C33-C$3)+0.5*C$17*C$7*C$5*(C33-C$8)*G8^2*SIN(C32)+0.5*C$17*C$7*(C$11+1/PI()/C$10*C$5^2*(C33-C$8)^2)*G8^2*COS(C32)</f>
        <v>-8.2214681015102542E-5</v>
      </c>
      <c r="C32" s="39">
        <v>9.0153487850590075E-2</v>
      </c>
      <c r="D32" s="40">
        <f t="shared" si="7"/>
        <v>5.1654143622227551</v>
      </c>
      <c r="F32" s="11">
        <v>0.56899999999999995</v>
      </c>
      <c r="G32" s="12">
        <v>116.14</v>
      </c>
      <c r="H32" s="12">
        <f t="shared" si="8"/>
        <v>62.467726554471739</v>
      </c>
      <c r="I32" s="12">
        <f t="shared" si="9"/>
        <v>0.79100306123718211</v>
      </c>
      <c r="J32" s="11">
        <f t="shared" si="15"/>
        <v>0.76272434761714392</v>
      </c>
      <c r="K32" s="21">
        <f t="shared" si="10"/>
        <v>114975.6151504609</v>
      </c>
      <c r="L32" s="20">
        <f t="shared" si="11"/>
        <v>304378.9236461338</v>
      </c>
      <c r="M32" s="21">
        <f t="shared" si="12"/>
        <v>189403.30849567289</v>
      </c>
      <c r="N32" s="12">
        <f t="shared" si="13"/>
        <v>7.2028229893692854</v>
      </c>
      <c r="O32" s="12">
        <f t="shared" si="14"/>
        <v>6.621200463585172</v>
      </c>
      <c r="P32" s="12">
        <v>2.0419999999999998</v>
      </c>
    </row>
    <row r="33" spans="1:16" x14ac:dyDescent="0.3">
      <c r="A33" s="41">
        <v>12</v>
      </c>
      <c r="B33" s="48">
        <f>K8*SIN(C32+C33-C$3)+0.5*C$17*C$7*C$5*(C33-C$8)*G8^2*COS(C32)-0.5*C$17*C$7*(C$11+1/PI()/C$10*C$5^2*(C33-C$8)^2)*G8^2*SIN(C32)-C$15</f>
        <v>3.1398958526551723E-6</v>
      </c>
      <c r="C33" s="42">
        <v>1.4035158909639795E-2</v>
      </c>
      <c r="D33" s="43">
        <f t="shared" si="7"/>
        <v>0.8041553703177946</v>
      </c>
      <c r="F33" s="11">
        <v>0.47099999999999997</v>
      </c>
      <c r="G33" s="12">
        <v>88.53</v>
      </c>
      <c r="H33" s="12">
        <f t="shared" si="8"/>
        <v>68.65961758352428</v>
      </c>
      <c r="I33" s="12">
        <f t="shared" si="9"/>
        <v>0.86940842395766993</v>
      </c>
      <c r="J33" s="11">
        <f t="shared" si="15"/>
        <v>0.79159347511930778</v>
      </c>
      <c r="K33" s="21">
        <f t="shared" si="10"/>
        <v>131689.58243110549</v>
      </c>
      <c r="L33" s="20">
        <f t="shared" si="11"/>
        <v>315899.67027388199</v>
      </c>
      <c r="M33" s="21">
        <f t="shared" si="12"/>
        <v>184210.0878427765</v>
      </c>
      <c r="N33" s="12">
        <f t="shared" si="13"/>
        <v>7.0053298758400464</v>
      </c>
      <c r="O33" s="12">
        <f t="shared" si="14"/>
        <v>5.8560697797058268</v>
      </c>
      <c r="P33" s="12">
        <v>1.198</v>
      </c>
    </row>
    <row r="34" spans="1:16" x14ac:dyDescent="0.3">
      <c r="A34" s="32">
        <v>13</v>
      </c>
      <c r="B34" s="47">
        <f>-K9*COS(C34+C35-C$3)+0.5*C$17*C$7*C$5*(C35-C$8)*G9^2*SIN(C34)+0.5*C$17*C$7*(C$11+1/PI()/C$10*C$5^2*(C35-C$8)^2)*G9^2*COS(C34)</f>
        <v>-8.1709571077226428E-5</v>
      </c>
      <c r="C34" s="33">
        <v>7.2039769451117897E-2</v>
      </c>
      <c r="D34" s="34">
        <f t="shared" si="7"/>
        <v>4.1275747466445347</v>
      </c>
      <c r="F34" s="28">
        <v>0.371</v>
      </c>
      <c r="G34" s="28">
        <v>56.77</v>
      </c>
      <c r="H34" s="12">
        <f t="shared" si="8"/>
        <v>77.361499472640546</v>
      </c>
      <c r="I34" s="12">
        <f t="shared" si="9"/>
        <v>0.97959676588193079</v>
      </c>
      <c r="J34" s="11">
        <f t="shared" si="15"/>
        <v>0.82174747708592055</v>
      </c>
      <c r="K34" s="21">
        <f t="shared" si="10"/>
        <v>164451.26009551858</v>
      </c>
      <c r="L34" s="20">
        <f t="shared" si="11"/>
        <v>327933.16925801052</v>
      </c>
      <c r="M34" s="21">
        <f t="shared" si="12"/>
        <v>163481.90916249194</v>
      </c>
      <c r="N34" s="12">
        <f t="shared" si="13"/>
        <v>6.2170574686053071</v>
      </c>
      <c r="O34" s="12">
        <f t="shared" si="14"/>
        <v>4.6094723644488829</v>
      </c>
      <c r="P34" s="12">
        <v>0.42</v>
      </c>
    </row>
    <row r="35" spans="1:16" x14ac:dyDescent="0.3">
      <c r="A35" s="35">
        <v>14</v>
      </c>
      <c r="B35" s="48">
        <f>K9*SIN(C34+C35-C$3)+0.5*C$17*C$7*C$5*(C35-C$8)*G9^2*COS(C34)-0.5*C$17*C$7*(C$11+1/PI()/C$10*C$5^2*(C35-C$8)^2)*G9^2*SIN(C34)-C$15</f>
        <v>4.5346750994212925E-6</v>
      </c>
      <c r="C35" s="36">
        <v>3.312964776593826E-3</v>
      </c>
      <c r="D35" s="37">
        <f t="shared" si="7"/>
        <v>0.18981889937432789</v>
      </c>
      <c r="F35" s="28">
        <v>0.27600000000000002</v>
      </c>
      <c r="G35" s="28">
        <v>29.74</v>
      </c>
      <c r="H35" s="12">
        <f t="shared" si="8"/>
        <v>89.692740279534092</v>
      </c>
      <c r="I35" s="12">
        <f t="shared" si="9"/>
        <v>1.1357421831255077</v>
      </c>
      <c r="J35" s="11">
        <f t="shared" si="15"/>
        <v>0.84632668598694516</v>
      </c>
      <c r="K35" s="21">
        <f t="shared" si="10"/>
        <v>227209.33500325884</v>
      </c>
      <c r="L35" s="20">
        <f t="shared" si="11"/>
        <v>337741.94640369917</v>
      </c>
      <c r="M35" s="21">
        <f t="shared" si="12"/>
        <v>110532.61140044034</v>
      </c>
      <c r="N35" s="12">
        <f t="shared" si="13"/>
        <v>4.2034473462658761</v>
      </c>
      <c r="O35" s="12">
        <f t="shared" si="14"/>
        <v>2.6861487257374472</v>
      </c>
      <c r="P35" s="12">
        <v>-0.29199999999999998</v>
      </c>
    </row>
    <row r="36" spans="1:16" x14ac:dyDescent="0.3">
      <c r="A36" s="38">
        <v>15</v>
      </c>
      <c r="B36" s="47">
        <f>-K10*COS(C36+C37-C$3)+0.5*C$17*C$7*C$5*(C37-C$8)*G10^2*SIN(C36)+0.5*C$17*C$7*(C$11+1/PI()/C$10*C$5^2*(C37-C$8)^2)*G10^2*COS(C36)</f>
        <v>-2.405093755442067E-5</v>
      </c>
      <c r="C36" s="39">
        <v>4.9933317076691623E-2</v>
      </c>
      <c r="D36" s="40">
        <f t="shared" si="7"/>
        <v>2.8609683255829514</v>
      </c>
      <c r="F36" s="28">
        <v>0.186</v>
      </c>
      <c r="G36" s="28">
        <v>10.85</v>
      </c>
      <c r="H36" s="12">
        <f t="shared" si="8"/>
        <v>109.25853215478887</v>
      </c>
      <c r="I36" s="12">
        <f t="shared" si="9"/>
        <v>1.3834957372005154</v>
      </c>
      <c r="J36" s="11">
        <f t="shared" si="15"/>
        <v>0.85132632028349997</v>
      </c>
      <c r="K36" s="21">
        <f t="shared" si="10"/>
        <v>376167.94416787423</v>
      </c>
      <c r="L36" s="20">
        <f t="shared" si="11"/>
        <v>339737.14074955153</v>
      </c>
      <c r="M36" s="21">
        <f t="shared" si="12"/>
        <v>-36430.803418322699</v>
      </c>
      <c r="N36" s="12">
        <f t="shared" si="13"/>
        <v>-1.3854279023255964</v>
      </c>
      <c r="O36" s="12">
        <f t="shared" si="14"/>
        <v>-0.72654553773970276</v>
      </c>
      <c r="P36" s="12">
        <v>-1.071</v>
      </c>
    </row>
    <row r="37" spans="1:16" x14ac:dyDescent="0.3">
      <c r="A37" s="41">
        <v>16</v>
      </c>
      <c r="B37" s="48">
        <f>K10*SIN(C36+C37-C$3)+0.5*C$17*C$7*C$5*(C37-C$8)*G10^2*COS(C36)-0.5*C$17*C$7*(C$11+1/PI()/C$10*C$5^2*(C37-C$8)^2)*G10^2*SIN(C36)-C$15</f>
        <v>2.3539505491498858E-6</v>
      </c>
      <c r="C37" s="42">
        <v>-6.0401919179999038E-3</v>
      </c>
      <c r="D37" s="43">
        <f t="shared" si="7"/>
        <v>-0.34607750435042434</v>
      </c>
      <c r="F37" s="15">
        <v>7.0999999999999994E-2</v>
      </c>
      <c r="G37" s="16">
        <v>0.71</v>
      </c>
      <c r="H37" s="16">
        <f t="shared" si="8"/>
        <v>176.84087674497533</v>
      </c>
      <c r="I37" s="12">
        <f t="shared" si="9"/>
        <v>2.2392630974838847</v>
      </c>
      <c r="J37" s="11">
        <f t="shared" si="15"/>
        <v>0.77149116137915508</v>
      </c>
      <c r="K37" s="20">
        <f t="shared" si="10"/>
        <v>1470508.2938794277</v>
      </c>
      <c r="L37" s="20">
        <f t="shared" si="11"/>
        <v>307877.47898270283</v>
      </c>
      <c r="M37" s="20">
        <f t="shared" si="12"/>
        <v>-1162630.8148967249</v>
      </c>
      <c r="N37" s="16">
        <f t="shared" si="13"/>
        <v>-44.213715315741673</v>
      </c>
      <c r="O37" s="16">
        <f t="shared" si="14"/>
        <v>-14.47868207043896</v>
      </c>
      <c r="P37" s="16">
        <v>-2.044</v>
      </c>
    </row>
    <row r="38" spans="1:16" ht="15.6" thickBot="1" x14ac:dyDescent="0.35">
      <c r="A38" s="32">
        <v>17</v>
      </c>
      <c r="B38" s="47">
        <f>-K11*COS(C38+C39-C$3)+0.5*C$17*C$7*C$5*(C39-C$8)*G11^2*SIN(C38)+0.5*C$17*C$7*(C$11+1/PI()/C$10*C$5^2*(C39-C$8)^2)*G11^2*COS(C38)</f>
        <v>1.701505198070663E-5</v>
      </c>
      <c r="C38" s="33">
        <v>2.9593767454925344E-2</v>
      </c>
      <c r="D38" s="34">
        <f t="shared" si="7"/>
        <v>1.6955979750588339</v>
      </c>
    </row>
    <row r="39" spans="1:16" ht="18.600000000000001" thickBot="1" x14ac:dyDescent="0.35">
      <c r="A39" s="35">
        <v>18</v>
      </c>
      <c r="B39" s="48">
        <f>K11*SIN(C38+C39-C$3)+0.5*C$17*C$7*C$5*(C39-C$8)*G11^2*COS(C38)-0.5*C$17*C$7*(C$11+1/PI()/C$10*C$5^2*(C39-C$8)^2)*G11^2*SIN(C38)-C$15</f>
        <v>9.8680560768116266E-5</v>
      </c>
      <c r="C39" s="36">
        <v>-1.2418571679004493E-2</v>
      </c>
      <c r="D39" s="37">
        <f t="shared" si="7"/>
        <v>-0.71153174478765002</v>
      </c>
      <c r="F39" s="132" t="s">
        <v>184</v>
      </c>
      <c r="G39" s="133"/>
      <c r="H39" s="133"/>
      <c r="I39" s="133"/>
      <c r="J39" s="133"/>
      <c r="K39" s="133"/>
      <c r="L39" s="133"/>
      <c r="M39" s="133"/>
      <c r="N39" s="133"/>
      <c r="O39" s="133"/>
      <c r="P39" s="134"/>
    </row>
    <row r="40" spans="1:16" ht="18.600000000000001" thickBot="1" x14ac:dyDescent="0.35">
      <c r="A40" s="38">
        <v>19</v>
      </c>
      <c r="B40" s="47">
        <f>-K12*COS(C40+C41-C$3)+0.5*C$17*C$7*C$5*(C41-C$8)*G12^2*SIN(C40)+0.5*C$17*C$7*(C$11+1/PI()/C$10*C$5^2*(C41-C$8)^2)*G12^2*COS(C40)</f>
        <v>1.7458331058151089E-5</v>
      </c>
      <c r="C40" s="39">
        <v>8.4641336208013292E-3</v>
      </c>
      <c r="D40" s="40">
        <f t="shared" si="7"/>
        <v>0.48495913370670007</v>
      </c>
      <c r="F40" s="97" t="s">
        <v>1</v>
      </c>
      <c r="G40" s="97" t="s">
        <v>2</v>
      </c>
      <c r="H40" s="97" t="s">
        <v>67</v>
      </c>
      <c r="I40" s="97" t="s">
        <v>15</v>
      </c>
      <c r="J40" s="97" t="s">
        <v>74</v>
      </c>
      <c r="K40" s="97" t="s">
        <v>72</v>
      </c>
      <c r="L40" s="97" t="s">
        <v>73</v>
      </c>
      <c r="M40" s="97" t="s">
        <v>71</v>
      </c>
      <c r="N40" s="97" t="s">
        <v>69</v>
      </c>
      <c r="O40" s="97" t="s">
        <v>87</v>
      </c>
      <c r="P40" s="97" t="s">
        <v>70</v>
      </c>
    </row>
    <row r="41" spans="1:16" x14ac:dyDescent="0.3">
      <c r="A41" s="41">
        <v>20</v>
      </c>
      <c r="B41" s="48">
        <f>K12*SIN(C40+C41-C$3)+0.5*C$17*C$7*C$5*(C41-C$8)*G12^2*COS(C40)-0.5*C$17*C$7*(C$11+1/PI()/C$10*C$5^2*(C41-C$8)^2)*G12^2*SIN(C40)-C$15</f>
        <v>9.3447819381253794E-5</v>
      </c>
      <c r="C41" s="42">
        <v>-1.7567555579054591E-2</v>
      </c>
      <c r="D41" s="43">
        <f t="shared" si="7"/>
        <v>-1.006546791041331</v>
      </c>
      <c r="F41" s="93">
        <f t="shared" ref="F41:P56" si="16">F22</f>
        <v>1.63</v>
      </c>
      <c r="G41" s="99">
        <f t="shared" si="16"/>
        <v>156.18</v>
      </c>
      <c r="H41" s="92">
        <f>SQRT((2*C$20)/(C$7*C$17*F41))</f>
        <v>38.754809603898224</v>
      </c>
      <c r="I41" s="92">
        <f>H41/C$12/C$4</f>
        <v>0.49073617250367491</v>
      </c>
      <c r="J41" s="93">
        <f>0.185*I41^3-0.9822*I41^2+1.6209*I41</f>
        <v>0.58076221393967642</v>
      </c>
      <c r="K41" s="94">
        <f>C$20*SQRT((2*C$20)/(C$17*C$7*G41))</f>
        <v>114790.69138015775</v>
      </c>
      <c r="L41" s="94">
        <f>C$18*J41</f>
        <v>231763.64846036947</v>
      </c>
      <c r="M41" s="94">
        <f>(L41-K41)</f>
        <v>116972.95708021172</v>
      </c>
      <c r="N41" s="92">
        <f>M41/C$20</f>
        <v>4.0344607802075236</v>
      </c>
      <c r="O41" s="92">
        <f>DEGREES(ASIN(N41/H41))</f>
        <v>5.97544269893866</v>
      </c>
      <c r="P41" s="99">
        <f t="shared" si="16"/>
        <v>15.276999999999999</v>
      </c>
    </row>
    <row r="42" spans="1:16" x14ac:dyDescent="0.3">
      <c r="A42" s="32">
        <v>21</v>
      </c>
      <c r="B42" s="47">
        <f>-K13*COS(C42+C43-C$3)+0.5*C$17*C$7*C$5*(C43-C$8)*G13^2*SIN(C42)+0.5*C$17*C$7*(C$11+1/PI()/C$10*C$5^2*(C43-C$8)^2)*G13^2*COS(C42)</f>
        <v>1.1668972456391202E-4</v>
      </c>
      <c r="C42" s="33">
        <v>-1.6541389107902423E-2</v>
      </c>
      <c r="D42" s="34">
        <f t="shared" si="7"/>
        <v>-0.94775178316647879</v>
      </c>
      <c r="F42" s="11">
        <f t="shared" si="16"/>
        <v>1.571</v>
      </c>
      <c r="G42" s="28">
        <f t="shared" si="16"/>
        <v>158.85</v>
      </c>
      <c r="H42" s="12">
        <f t="shared" ref="H42:H56" si="17">SQRT((2*C$20)/(C$7*C$17*F42))</f>
        <v>39.475834294720244</v>
      </c>
      <c r="I42" s="12">
        <f t="shared" ref="I42:I56" si="18">H42/C$12/C$4</f>
        <v>0.49986621083107396</v>
      </c>
      <c r="J42" s="11">
        <f t="shared" ref="J42:J56" si="19">0.185*I42^3-0.9822*I42^2+1.6209*I42</f>
        <v>0.58792097299636836</v>
      </c>
      <c r="K42" s="21">
        <f t="shared" ref="K42:K56" si="20">C$20*SQRT((2*C$20)/(C$17*C$7*G42))</f>
        <v>113821.88437896268</v>
      </c>
      <c r="L42" s="21">
        <f t="shared" ref="L42:L56" si="21">C$18*J42</f>
        <v>234620.48052968172</v>
      </c>
      <c r="M42" s="21">
        <f t="shared" ref="M42:M56" si="22">(L42-K42)</f>
        <v>120798.59615071904</v>
      </c>
      <c r="N42" s="12">
        <f t="shared" ref="N42:N56" si="23">M42/C$20</f>
        <v>4.1664091482273857</v>
      </c>
      <c r="O42" s="12">
        <f t="shared" ref="O42:O56" si="24">DEGREES(ASIN(N42/H42))</f>
        <v>6.058468308082344</v>
      </c>
      <c r="P42" s="28">
        <f t="shared" si="16"/>
        <v>12.122999999999999</v>
      </c>
    </row>
    <row r="43" spans="1:16" x14ac:dyDescent="0.3">
      <c r="A43" s="35">
        <v>22</v>
      </c>
      <c r="B43" s="48">
        <f>K13*SIN(C42+C43-C$3)+0.5*C$17*C$7*C$5*(C43-C$8)*G13^2*COS(C42)-0.5*C$17*C$7*(C$11+1/PI()/C$10*C$5^2*(C43-C$8)^2)*G13^2*SIN(C42)-C$15</f>
        <v>-1.6058565961429849E-5</v>
      </c>
      <c r="C43" s="36">
        <v>-2.2325690995300879E-2</v>
      </c>
      <c r="D43" s="37">
        <f t="shared" si="7"/>
        <v>-1.2791678687439665</v>
      </c>
      <c r="F43" s="11">
        <f t="shared" si="16"/>
        <v>1.474</v>
      </c>
      <c r="G43" s="28">
        <f t="shared" si="16"/>
        <v>163.07</v>
      </c>
      <c r="H43" s="12">
        <f t="shared" si="17"/>
        <v>40.754040063424775</v>
      </c>
      <c r="I43" s="12">
        <f t="shared" si="18"/>
        <v>0.51605160338021161</v>
      </c>
      <c r="J43" s="11">
        <f t="shared" si="19"/>
        <v>0.60032351541000883</v>
      </c>
      <c r="K43" s="21">
        <f t="shared" si="20"/>
        <v>112339.4634469665</v>
      </c>
      <c r="L43" s="21">
        <f t="shared" si="21"/>
        <v>239569.93903606513</v>
      </c>
      <c r="M43" s="21">
        <f t="shared" si="22"/>
        <v>127230.47558909863</v>
      </c>
      <c r="N43" s="12">
        <f t="shared" si="23"/>
        <v>4.3882481611487361</v>
      </c>
      <c r="O43" s="12">
        <f t="shared" si="24"/>
        <v>6.1813872379349544</v>
      </c>
      <c r="P43" s="28">
        <f t="shared" si="16"/>
        <v>11.015000000000001</v>
      </c>
    </row>
    <row r="44" spans="1:16" x14ac:dyDescent="0.3">
      <c r="A44" s="38">
        <v>23</v>
      </c>
      <c r="B44" s="47">
        <f>-K14*COS(C44+C45-C$3)+0.5*C$17*C$7*C$5*(C45-C$8)*G14^2*SIN(C44)+0.5*C$17*C$7*(C$11+1/PI()/C$10*C$5^2*(C45-C$8)^2)*G14^2*COS(C44)</f>
        <v>7.1650729069006047E-4</v>
      </c>
      <c r="C44" s="39">
        <v>-3.910871065334294E-2</v>
      </c>
      <c r="D44" s="40">
        <f t="shared" si="7"/>
        <v>-2.2407640626348706</v>
      </c>
      <c r="F44" s="11">
        <f t="shared" si="16"/>
        <v>1.379</v>
      </c>
      <c r="G44" s="28">
        <f t="shared" si="16"/>
        <v>167.61</v>
      </c>
      <c r="H44" s="12">
        <f t="shared" si="17"/>
        <v>42.13444490397687</v>
      </c>
      <c r="I44" s="12">
        <f t="shared" si="18"/>
        <v>0.53353110063182341</v>
      </c>
      <c r="J44" s="11">
        <f t="shared" si="19"/>
        <v>0.61330841004972292</v>
      </c>
      <c r="K44" s="21">
        <f t="shared" si="20"/>
        <v>110807.56665669329</v>
      </c>
      <c r="L44" s="21">
        <f t="shared" si="21"/>
        <v>244751.79571396223</v>
      </c>
      <c r="M44" s="21">
        <f t="shared" si="22"/>
        <v>133944.22905726894</v>
      </c>
      <c r="N44" s="12">
        <f t="shared" si="23"/>
        <v>4.6198091623529836</v>
      </c>
      <c r="O44" s="12">
        <f t="shared" si="24"/>
        <v>6.2948216214950827</v>
      </c>
      <c r="P44" s="28">
        <f t="shared" si="16"/>
        <v>9.5779999999999994</v>
      </c>
    </row>
    <row r="45" spans="1:16" x14ac:dyDescent="0.3">
      <c r="A45" s="41">
        <v>24</v>
      </c>
      <c r="B45" s="48">
        <f>K14*SIN(C44+C45-C$3)+0.5*C$17*C$7*C$5*(C45-C$8)*G14^2*COS(C44)-0.5*C$17*C$7*(C$11+1/PI()/C$10*C$5^2*(C45-C$8)^2)*G14^2*SIN(C44)-C$15</f>
        <v>-7.6856937084812671E-5</v>
      </c>
      <c r="C45" s="42">
        <v>-2.5737766762695159E-2</v>
      </c>
      <c r="D45" s="43">
        <f t="shared" si="7"/>
        <v>-1.4746654095945204</v>
      </c>
      <c r="F45" s="11">
        <f t="shared" si="16"/>
        <v>1.272</v>
      </c>
      <c r="G45" s="28">
        <f t="shared" si="16"/>
        <v>169.65</v>
      </c>
      <c r="H45" s="12">
        <f t="shared" si="17"/>
        <v>43.870830321299458</v>
      </c>
      <c r="I45" s="12">
        <f t="shared" si="18"/>
        <v>0.55551823312962756</v>
      </c>
      <c r="J45" s="11">
        <f t="shared" si="19"/>
        <v>0.6290472293583157</v>
      </c>
      <c r="K45" s="21">
        <f t="shared" si="20"/>
        <v>110139.33472633769</v>
      </c>
      <c r="L45" s="21">
        <f t="shared" si="21"/>
        <v>251032.65575937295</v>
      </c>
      <c r="M45" s="21">
        <f t="shared" si="22"/>
        <v>140893.32103303526</v>
      </c>
      <c r="N45" s="12">
        <f t="shared" si="23"/>
        <v>4.8594871164211115</v>
      </c>
      <c r="O45" s="12">
        <f t="shared" si="24"/>
        <v>6.3595932056745754</v>
      </c>
      <c r="P45" s="28">
        <f t="shared" si="16"/>
        <v>8.4719999999999995</v>
      </c>
    </row>
    <row r="46" spans="1:16" x14ac:dyDescent="0.3">
      <c r="A46" s="32">
        <v>25</v>
      </c>
      <c r="B46" s="47">
        <f>-K15*COS(C46+C47-C$3)+0.5*C$17*C$7*C$5*(C47-C$8)*G15^2*SIN(C46)+0.5*C$17*C$7*(C$11+1/PI()/C$10*C$5^2*(C47-C$8)^2)*G15^2*COS(C46)</f>
        <v>3.729057652890333E-4</v>
      </c>
      <c r="C46" s="33">
        <v>-6.2280719028311171E-2</v>
      </c>
      <c r="D46" s="34">
        <f t="shared" si="7"/>
        <v>-3.5684223453623476</v>
      </c>
      <c r="F46" s="11">
        <f t="shared" si="16"/>
        <v>1.1779999999999999</v>
      </c>
      <c r="G46" s="28">
        <f t="shared" si="16"/>
        <v>170.58</v>
      </c>
      <c r="H46" s="12">
        <f t="shared" si="17"/>
        <v>45.587603737545514</v>
      </c>
      <c r="I46" s="12">
        <f t="shared" si="18"/>
        <v>0.57725702694529646</v>
      </c>
      <c r="J46" s="11">
        <f t="shared" si="19"/>
        <v>0.64396767640624231</v>
      </c>
      <c r="K46" s="21">
        <f t="shared" si="20"/>
        <v>109838.68525286025</v>
      </c>
      <c r="L46" s="21">
        <f t="shared" si="21"/>
        <v>256986.92957658516</v>
      </c>
      <c r="M46" s="21">
        <f t="shared" si="22"/>
        <v>147148.24432372491</v>
      </c>
      <c r="N46" s="12">
        <f t="shared" si="23"/>
        <v>5.0752228157604842</v>
      </c>
      <c r="O46" s="12">
        <f t="shared" si="24"/>
        <v>6.3919328657571599</v>
      </c>
      <c r="P46" s="28">
        <f t="shared" si="16"/>
        <v>7.694</v>
      </c>
    </row>
    <row r="47" spans="1:16" x14ac:dyDescent="0.3">
      <c r="A47" s="35">
        <v>26</v>
      </c>
      <c r="B47" s="48">
        <f>K15*SIN(C46+C47-C$3)+0.5*C$17*C$7*C$5*(C47-C$8)*G15^2*COS(C46)-0.5*C$17*C$7*(C$11+1/PI()/C$10*C$5^2*(C47-C$8)^2)*G15^2*SIN(C46)-C$15</f>
        <v>-2.9755090508842841E-5</v>
      </c>
      <c r="C47" s="36">
        <v>-2.8606565191377418E-2</v>
      </c>
      <c r="D47" s="37">
        <f t="shared" si="7"/>
        <v>-1.6390354518317762</v>
      </c>
      <c r="F47" s="11">
        <f t="shared" si="16"/>
        <v>1.08</v>
      </c>
      <c r="G47" s="28">
        <f t="shared" si="16"/>
        <v>169.97</v>
      </c>
      <c r="H47" s="12">
        <f t="shared" si="17"/>
        <v>47.611025080157674</v>
      </c>
      <c r="I47" s="12">
        <f t="shared" si="18"/>
        <v>0.60287877699863335</v>
      </c>
      <c r="J47" s="11">
        <f t="shared" si="19"/>
        <v>0.6607509718212019</v>
      </c>
      <c r="K47" s="21">
        <f t="shared" si="20"/>
        <v>110035.6070350926</v>
      </c>
      <c r="L47" s="21">
        <f t="shared" si="21"/>
        <v>263684.60667264235</v>
      </c>
      <c r="M47" s="21">
        <f t="shared" si="22"/>
        <v>153648.99963754974</v>
      </c>
      <c r="N47" s="12">
        <f t="shared" si="23"/>
        <v>5.2994373950103473</v>
      </c>
      <c r="O47" s="12">
        <f t="shared" si="24"/>
        <v>6.3906602684041509</v>
      </c>
      <c r="P47" s="28">
        <f t="shared" si="16"/>
        <v>7.048</v>
      </c>
    </row>
    <row r="48" spans="1:16" x14ac:dyDescent="0.3">
      <c r="A48" s="38">
        <v>27</v>
      </c>
      <c r="B48" s="47">
        <f>-K16*COS(C48+C49-C$3)+0.5*C$17*C$7*C$5*(C49-C$8)*G16^2*SIN(C48)+0.5*C$17*C$7*(C$11+1/PI()/C$10*C$5^2*(C49-C$8)^2)*G16^2*COS(C48)</f>
        <v>1.7166112957056612E-4</v>
      </c>
      <c r="C48" s="39">
        <v>-8.6036643813812971E-2</v>
      </c>
      <c r="D48" s="40">
        <f t="shared" si="7"/>
        <v>-4.9295365740018262</v>
      </c>
      <c r="F48" s="11">
        <f t="shared" si="16"/>
        <v>0.96899999999999997</v>
      </c>
      <c r="G48" s="28">
        <f t="shared" si="16"/>
        <v>164.23</v>
      </c>
      <c r="H48" s="12">
        <f t="shared" si="17"/>
        <v>50.264054926614435</v>
      </c>
      <c r="I48" s="12">
        <f t="shared" si="18"/>
        <v>0.63647299990141459</v>
      </c>
      <c r="J48" s="11">
        <f t="shared" si="19"/>
        <v>0.68147121279035416</v>
      </c>
      <c r="K48" s="21">
        <f t="shared" si="20"/>
        <v>111942.01869249911</v>
      </c>
      <c r="L48" s="21">
        <f t="shared" si="21"/>
        <v>271953.39298264071</v>
      </c>
      <c r="M48" s="21">
        <f t="shared" si="22"/>
        <v>160011.3742901416</v>
      </c>
      <c r="N48" s="12">
        <f t="shared" si="23"/>
        <v>5.5188791501441132</v>
      </c>
      <c r="O48" s="12">
        <f t="shared" si="24"/>
        <v>6.3036557470537025</v>
      </c>
      <c r="P48" s="28">
        <f t="shared" si="16"/>
        <v>6.0739999999999998</v>
      </c>
    </row>
    <row r="49" spans="1:16" x14ac:dyDescent="0.3">
      <c r="A49" s="41">
        <v>28</v>
      </c>
      <c r="B49" s="48">
        <f>K16*SIN(C48+C49-C$3)+0.5*C$17*C$7*C$5*(C49-C$8)*G16^2*COS(C48)-0.5*C$17*C$7*(C$11+1/PI()/C$10*C$5^2*(C49-C$8)^2)*G16^2*SIN(C48)-C$15</f>
        <v>-1.8378654203843325E-5</v>
      </c>
      <c r="C49" s="42">
        <v>-3.104305098157634E-2</v>
      </c>
      <c r="D49" s="43">
        <f t="shared" si="7"/>
        <v>-1.7786358044537718</v>
      </c>
      <c r="F49" s="11">
        <f t="shared" si="16"/>
        <v>0.86799999999999999</v>
      </c>
      <c r="G49" s="28">
        <f t="shared" si="16"/>
        <v>160.72999999999999</v>
      </c>
      <c r="H49" s="12">
        <f t="shared" si="17"/>
        <v>53.107951164247922</v>
      </c>
      <c r="I49" s="12">
        <f t="shared" si="18"/>
        <v>0.67248408520715897</v>
      </c>
      <c r="J49" s="11">
        <f t="shared" si="19"/>
        <v>0.70210672524317141</v>
      </c>
      <c r="K49" s="21">
        <f t="shared" si="20"/>
        <v>113154.25992947693</v>
      </c>
      <c r="L49" s="21">
        <f t="shared" si="21"/>
        <v>280188.36684822879</v>
      </c>
      <c r="M49" s="21">
        <f t="shared" si="22"/>
        <v>167034.10691875184</v>
      </c>
      <c r="N49" s="12">
        <f t="shared" si="23"/>
        <v>5.7610970102994568</v>
      </c>
      <c r="O49" s="12">
        <f t="shared" si="24"/>
        <v>6.2276435455923078</v>
      </c>
      <c r="P49" s="28">
        <f t="shared" si="16"/>
        <v>5.0990000000000002</v>
      </c>
    </row>
    <row r="50" spans="1:16" x14ac:dyDescent="0.3">
      <c r="A50" s="32">
        <v>29</v>
      </c>
      <c r="B50" s="47">
        <f>-K17*COS(C50+C51-C$3)+0.5*C$17*C$7*C$5*(C51-C$8)*G17^2*SIN(C50)+0.5*C$17*C$7*(C$11+1/PI()/C$10*C$5^2*(C51-C$8)^2)*G17^2*COS(C50)</f>
        <v>2.7073702312918613E-4</v>
      </c>
      <c r="C50" s="33">
        <v>-0.11388850169227221</v>
      </c>
      <c r="D50" s="34">
        <f t="shared" si="7"/>
        <v>-6.5253304820357316</v>
      </c>
      <c r="F50" s="11">
        <f t="shared" si="16"/>
        <v>0.77100000000000002</v>
      </c>
      <c r="G50" s="28">
        <f t="shared" si="16"/>
        <v>153.61000000000001</v>
      </c>
      <c r="H50" s="12">
        <f t="shared" si="17"/>
        <v>56.349779476987806</v>
      </c>
      <c r="I50" s="12">
        <f t="shared" si="18"/>
        <v>0.71353402028277846</v>
      </c>
      <c r="J50" s="11">
        <f t="shared" si="19"/>
        <v>0.72370622044711008</v>
      </c>
      <c r="K50" s="21">
        <f t="shared" si="20"/>
        <v>115746.97142114273</v>
      </c>
      <c r="L50" s="21">
        <f t="shared" si="21"/>
        <v>288808.0354375614</v>
      </c>
      <c r="M50" s="21">
        <f t="shared" si="22"/>
        <v>173061.06401641865</v>
      </c>
      <c r="N50" s="12">
        <f t="shared" si="23"/>
        <v>5.9689700319061192</v>
      </c>
      <c r="O50" s="12">
        <f t="shared" si="24"/>
        <v>6.0805847115584228</v>
      </c>
      <c r="P50" s="28">
        <f t="shared" si="16"/>
        <v>3.86</v>
      </c>
    </row>
    <row r="51" spans="1:16" x14ac:dyDescent="0.3">
      <c r="A51" s="35">
        <v>30</v>
      </c>
      <c r="B51" s="48">
        <f>K17*SIN(C50+C51-C$3)+0.5*C$17*C$7*C$5*(C51-C$8)*G17^2*COS(C50)-0.5*C$17*C$7*(C$11+1/PI()/C$10*C$5^2*(C51-C$8)^2)*G17^2*SIN(C50)-C$15</f>
        <v>-2.3237294954014942E-5</v>
      </c>
      <c r="C51" s="36">
        <v>-3.3405120417147771E-2</v>
      </c>
      <c r="D51" s="37">
        <f t="shared" si="7"/>
        <v>-1.9139724140288632</v>
      </c>
      <c r="F51" s="11">
        <f t="shared" si="16"/>
        <v>0.56899999999999995</v>
      </c>
      <c r="G51" s="28">
        <f t="shared" si="16"/>
        <v>116.14</v>
      </c>
      <c r="H51" s="12">
        <f t="shared" si="17"/>
        <v>65.593873298253001</v>
      </c>
      <c r="I51" s="12">
        <f t="shared" si="18"/>
        <v>0.83058816830925331</v>
      </c>
      <c r="J51" s="11">
        <f t="shared" si="19"/>
        <v>0.77470909640519892</v>
      </c>
      <c r="K51" s="21">
        <f t="shared" si="20"/>
        <v>133115.45165105935</v>
      </c>
      <c r="L51" s="21">
        <f t="shared" si="21"/>
        <v>309161.65406200953</v>
      </c>
      <c r="M51" s="21">
        <f t="shared" si="22"/>
        <v>176046.20241095018</v>
      </c>
      <c r="N51" s="12">
        <f t="shared" si="23"/>
        <v>6.0719290754051274</v>
      </c>
      <c r="O51" s="12">
        <f t="shared" si="24"/>
        <v>5.3113906412958709</v>
      </c>
      <c r="P51" s="28">
        <f t="shared" si="16"/>
        <v>2.0419999999999998</v>
      </c>
    </row>
    <row r="52" spans="1:16" x14ac:dyDescent="0.3">
      <c r="F52" s="11">
        <f t="shared" si="16"/>
        <v>0.47099999999999997</v>
      </c>
      <c r="G52" s="28">
        <f t="shared" si="16"/>
        <v>88.53</v>
      </c>
      <c r="H52" s="12">
        <f t="shared" si="17"/>
        <v>72.095632495173675</v>
      </c>
      <c r="I52" s="12">
        <f t="shared" si="18"/>
        <v>0.91291726385760241</v>
      </c>
      <c r="J52" s="11">
        <f t="shared" si="19"/>
        <v>0.80192020062925651</v>
      </c>
      <c r="K52" s="21">
        <f t="shared" si="20"/>
        <v>152466.40098525051</v>
      </c>
      <c r="L52" s="21">
        <f t="shared" si="21"/>
        <v>320020.73656123359</v>
      </c>
      <c r="M52" s="21">
        <f t="shared" si="22"/>
        <v>167554.33557598307</v>
      </c>
      <c r="N52" s="12">
        <f t="shared" si="23"/>
        <v>5.7790399790567584</v>
      </c>
      <c r="O52" s="12">
        <f t="shared" si="24"/>
        <v>4.5976462556022497</v>
      </c>
      <c r="P52" s="28">
        <f t="shared" si="16"/>
        <v>1.198</v>
      </c>
    </row>
    <row r="53" spans="1:16" x14ac:dyDescent="0.3">
      <c r="B53" s="53"/>
      <c r="C53" s="53"/>
      <c r="D53" s="53"/>
      <c r="F53" s="11">
        <f t="shared" si="16"/>
        <v>0.371</v>
      </c>
      <c r="G53" s="28">
        <f t="shared" si="16"/>
        <v>56.77</v>
      </c>
      <c r="H53" s="12">
        <f t="shared" si="17"/>
        <v>81.23299301034028</v>
      </c>
      <c r="I53" s="12">
        <f t="shared" si="18"/>
        <v>1.0286198920430867</v>
      </c>
      <c r="J53" s="11">
        <f t="shared" si="19"/>
        <v>0.82940752527027983</v>
      </c>
      <c r="K53" s="21">
        <f t="shared" si="20"/>
        <v>190396.92663138607</v>
      </c>
      <c r="L53" s="21">
        <f t="shared" si="21"/>
        <v>330990.04980563809</v>
      </c>
      <c r="M53" s="21">
        <f t="shared" si="22"/>
        <v>140593.12317425202</v>
      </c>
      <c r="N53" s="12">
        <f t="shared" si="23"/>
        <v>4.8491331293304647</v>
      </c>
      <c r="O53" s="12">
        <f t="shared" si="24"/>
        <v>3.4222564391754804</v>
      </c>
      <c r="P53" s="28">
        <f t="shared" si="16"/>
        <v>0.42</v>
      </c>
    </row>
    <row r="54" spans="1:16" x14ac:dyDescent="0.3">
      <c r="B54" s="53"/>
      <c r="C54" s="53"/>
      <c r="D54" s="53"/>
      <c r="F54" s="11">
        <f t="shared" si="16"/>
        <v>0.27600000000000002</v>
      </c>
      <c r="G54" s="28">
        <f t="shared" si="16"/>
        <v>29.74</v>
      </c>
      <c r="H54" s="12">
        <f t="shared" si="17"/>
        <v>94.18134076863916</v>
      </c>
      <c r="I54" s="12">
        <f t="shared" si="18"/>
        <v>1.1925794801328959</v>
      </c>
      <c r="J54" s="11">
        <f t="shared" si="19"/>
        <v>0.84990835607694781</v>
      </c>
      <c r="K54" s="21">
        <f t="shared" si="20"/>
        <v>263056.41599495639</v>
      </c>
      <c r="L54" s="21">
        <f t="shared" si="21"/>
        <v>339171.27652834571</v>
      </c>
      <c r="M54" s="21">
        <f t="shared" si="22"/>
        <v>76114.860533389321</v>
      </c>
      <c r="N54" s="12">
        <f t="shared" si="23"/>
        <v>2.625242853374643</v>
      </c>
      <c r="O54" s="12">
        <f t="shared" si="24"/>
        <v>1.5972890122223959</v>
      </c>
      <c r="P54" s="28">
        <f t="shared" si="16"/>
        <v>-0.29199999999999998</v>
      </c>
    </row>
    <row r="55" spans="1:16" x14ac:dyDescent="0.3">
      <c r="B55" s="53"/>
      <c r="C55" s="53"/>
      <c r="D55" s="53"/>
      <c r="F55" s="11">
        <f t="shared" si="16"/>
        <v>0.186</v>
      </c>
      <c r="G55" s="28">
        <f t="shared" si="16"/>
        <v>10.85</v>
      </c>
      <c r="H55" s="12">
        <f t="shared" si="17"/>
        <v>114.72628683973286</v>
      </c>
      <c r="I55" s="12">
        <f t="shared" si="18"/>
        <v>1.4527316600112046</v>
      </c>
      <c r="J55" s="11">
        <f t="shared" si="19"/>
        <v>0.84905828653578785</v>
      </c>
      <c r="K55" s="21">
        <f t="shared" si="20"/>
        <v>435516.39814258763</v>
      </c>
      <c r="L55" s="21">
        <f t="shared" si="21"/>
        <v>338832.04092799942</v>
      </c>
      <c r="M55" s="21">
        <f t="shared" si="22"/>
        <v>-96684.357214588206</v>
      </c>
      <c r="N55" s="12">
        <f t="shared" si="23"/>
        <v>-3.3346959586081826</v>
      </c>
      <c r="O55" s="12">
        <f t="shared" si="24"/>
        <v>-1.6656245375222345</v>
      </c>
      <c r="P55" s="28">
        <f t="shared" si="16"/>
        <v>-1.071</v>
      </c>
    </row>
    <row r="56" spans="1:16" x14ac:dyDescent="0.3">
      <c r="B56" s="53"/>
      <c r="C56" s="53"/>
      <c r="D56" s="53"/>
      <c r="F56" s="11">
        <f t="shared" si="16"/>
        <v>7.0999999999999994E-2</v>
      </c>
      <c r="G56" s="28">
        <f t="shared" si="16"/>
        <v>0.71</v>
      </c>
      <c r="H56" s="12">
        <f t="shared" si="17"/>
        <v>185.6907350877735</v>
      </c>
      <c r="I56" s="12">
        <f t="shared" si="18"/>
        <v>2.3513252042193451</v>
      </c>
      <c r="J56" s="11">
        <f t="shared" si="19"/>
        <v>0.7859151056443241</v>
      </c>
      <c r="K56" s="21">
        <f t="shared" si="20"/>
        <v>1702512.0973714923</v>
      </c>
      <c r="L56" s="21">
        <f t="shared" si="21"/>
        <v>313633.61439896427</v>
      </c>
      <c r="M56" s="21">
        <f t="shared" si="22"/>
        <v>-1388878.4829725281</v>
      </c>
      <c r="N56" s="12">
        <f t="shared" si="23"/>
        <v>-47.903172732346938</v>
      </c>
      <c r="O56" s="12">
        <f t="shared" si="24"/>
        <v>-14.949813629561691</v>
      </c>
      <c r="P56" s="28">
        <f t="shared" si="16"/>
        <v>-2.044</v>
      </c>
    </row>
    <row r="57" spans="1:16" ht="15.6" thickBot="1" x14ac:dyDescent="0.35">
      <c r="B57" s="53"/>
      <c r="C57" s="53"/>
      <c r="D57" s="53"/>
    </row>
    <row r="58" spans="1:16" ht="18.600000000000001" thickBot="1" x14ac:dyDescent="0.35">
      <c r="G58" s="132" t="s">
        <v>185</v>
      </c>
      <c r="H58" s="133"/>
      <c r="I58" s="133"/>
      <c r="J58" s="133"/>
      <c r="K58" s="133"/>
      <c r="L58" s="133"/>
      <c r="M58" s="133"/>
      <c r="N58" s="134"/>
    </row>
    <row r="59" spans="1:16" ht="18.600000000000001" thickBot="1" x14ac:dyDescent="0.35">
      <c r="B59" s="54" t="s">
        <v>154</v>
      </c>
      <c r="C59" s="54" t="s">
        <v>156</v>
      </c>
      <c r="D59" s="30" t="s">
        <v>157</v>
      </c>
      <c r="E59" s="30" t="s">
        <v>155</v>
      </c>
      <c r="G59" s="97" t="s">
        <v>67</v>
      </c>
      <c r="H59" s="97" t="s">
        <v>15</v>
      </c>
      <c r="I59" s="96" t="s">
        <v>74</v>
      </c>
      <c r="J59" s="96" t="s">
        <v>73</v>
      </c>
      <c r="K59" s="96" t="s">
        <v>68</v>
      </c>
      <c r="L59" s="96" t="s">
        <v>70</v>
      </c>
      <c r="M59" s="96" t="s">
        <v>87</v>
      </c>
      <c r="N59" s="96" t="s">
        <v>69</v>
      </c>
    </row>
    <row r="60" spans="1:16" x14ac:dyDescent="0.3">
      <c r="B60" s="100">
        <f>-K60*COS(C60+D60-C$3)+0.5*C$17*C$7*C$5*(D60-C$8)*G60^2*SIN(C60)+0.5*C$17*C$7*(C$11+1/PI()/C$10*C$5^2*(D60-C$8)^2)*G60^2*COS(C60)</f>
        <v>2.2070073100621812E-5</v>
      </c>
      <c r="C60" s="56">
        <v>0.10875956296954166</v>
      </c>
      <c r="D60" s="55">
        <v>0.20225416245437294</v>
      </c>
      <c r="E60" s="100">
        <f>K60*SIN(C60+D60-C$3)+0.5*C$17*C$7*C$5*(D60-C$8)*G60^2*COS(C60)-0.5*C$17*C$7*(C$11+1/PI()/C$10*C$5^2*(D60-C$8)^2)*G60^2*SIN(C60)-C$20</f>
        <v>-1.2947566574439406E-8</v>
      </c>
      <c r="G60" s="91">
        <f>SQRT(2*C$20/C$7/C$16/C17)</f>
        <v>38.754809603898224</v>
      </c>
      <c r="H60" s="92">
        <f>G60/C$12/C$4</f>
        <v>0.49073617250367491</v>
      </c>
      <c r="I60" s="93">
        <f>0.185*H60^3-0.9822*H60^2+1.6209*H60</f>
        <v>0.58076221393967642</v>
      </c>
      <c r="J60" s="94">
        <f>C$18*I60</f>
        <v>231763.64846036947</v>
      </c>
      <c r="K60" s="94">
        <f>J60/G60</f>
        <v>5980.2551174721057</v>
      </c>
      <c r="L60" s="92">
        <f t="shared" ref="L60:L74" si="25">DEGREES(D60)</f>
        <v>11.588309897588886</v>
      </c>
      <c r="M60" s="92">
        <f t="shared" ref="M60:M74" si="26">DEGREES(C60)</f>
        <v>6.2314639398420519</v>
      </c>
      <c r="N60" s="92">
        <f>G60*SIN(RADIANS(M60))</f>
        <v>4.2066515336841936</v>
      </c>
    </row>
    <row r="61" spans="1:16" x14ac:dyDescent="0.3">
      <c r="B61" s="100">
        <f t="shared" ref="B61:B74" si="27">-K61*COS(C61+D61-C$3)+0.5*C$17*C$7*C$5*(D61-C$8)*G61^2*SIN(C61)+0.5*C$17*C$7*(C$11+1/PI()/C$10*C$5^2*(D61-C$8)^2)*G61^2*COS(C61)</f>
        <v>1.1648946247078129E-3</v>
      </c>
      <c r="C61" s="56">
        <v>0.11441664101107921</v>
      </c>
      <c r="D61" s="55">
        <v>0.13928639256030537</v>
      </c>
      <c r="E61" s="100">
        <f t="shared" ref="E61:E74" si="28">K61*SIN(C61+D61-C$3)+0.5*C$17*C$7*C$5*(D61-C$8)*G61^2*COS(C61)-0.5*C$17*C$7*(C$11+1/PI()/C$10*C$5^2*(D61-C$8)^2)*G61^2*SIN(C61)-C$20</f>
        <v>-2.2424501366913319E-7</v>
      </c>
      <c r="G61" s="95">
        <f t="shared" ref="G61:G73" si="29">G4</f>
        <v>45</v>
      </c>
      <c r="H61" s="12">
        <f t="shared" ref="H61:H74" si="30">G61/C$12/C$4</f>
        <v>0.56981644312978641</v>
      </c>
      <c r="I61" s="11">
        <f t="shared" ref="I61:I74" si="31">0.185*H61^3-0.9822*H61^2+1.6209*H61</f>
        <v>0.63893180644633429</v>
      </c>
      <c r="J61" s="21">
        <f t="shared" ref="J61:J74" si="32">C$18*I61</f>
        <v>254977.27473495409</v>
      </c>
      <c r="K61" s="21">
        <f t="shared" ref="K61:K74" si="33">J61/G61</f>
        <v>5666.1616607767573</v>
      </c>
      <c r="L61" s="12">
        <f t="shared" si="25"/>
        <v>7.9805224373078865</v>
      </c>
      <c r="M61" s="12">
        <f t="shared" si="26"/>
        <v>6.5555906359982865</v>
      </c>
      <c r="N61" s="12">
        <f t="shared" ref="N61:N74" si="34">G61*SIN(RADIANS(M61))</f>
        <v>5.1375223406234083</v>
      </c>
    </row>
    <row r="62" spans="1:16" x14ac:dyDescent="0.3">
      <c r="B62" s="100">
        <f t="shared" si="27"/>
        <v>3.9437435862055281E-4</v>
      </c>
      <c r="C62" s="56">
        <v>0.11199458569000929</v>
      </c>
      <c r="D62" s="55">
        <v>9.2797994620522295E-2</v>
      </c>
      <c r="E62" s="100">
        <f t="shared" si="28"/>
        <v>-3.8402504287660122E-8</v>
      </c>
      <c r="G62" s="95">
        <f t="shared" si="29"/>
        <v>52</v>
      </c>
      <c r="H62" s="12">
        <f t="shared" si="30"/>
        <v>0.65845455650553097</v>
      </c>
      <c r="I62" s="11">
        <f t="shared" si="31"/>
        <v>0.69425800928812653</v>
      </c>
      <c r="J62" s="21">
        <f t="shared" si="32"/>
        <v>277056.19501988176</v>
      </c>
      <c r="K62" s="21">
        <f t="shared" si="33"/>
        <v>5328.0037503823414</v>
      </c>
      <c r="L62" s="12">
        <f t="shared" si="25"/>
        <v>5.3169334390336447</v>
      </c>
      <c r="M62" s="12">
        <f t="shared" si="26"/>
        <v>6.4168170883537767</v>
      </c>
      <c r="N62" s="12">
        <f t="shared" si="34"/>
        <v>5.8115518116617206</v>
      </c>
    </row>
    <row r="63" spans="1:16" x14ac:dyDescent="0.3">
      <c r="B63" s="100">
        <f t="shared" si="27"/>
        <v>3.1203163302961912E-4</v>
      </c>
      <c r="C63" s="56">
        <v>0.10408550138799394</v>
      </c>
      <c r="D63" s="55">
        <v>6.1329637017506676E-2</v>
      </c>
      <c r="E63" s="100">
        <f t="shared" si="28"/>
        <v>-7.8798620961606503E-9</v>
      </c>
      <c r="G63" s="95">
        <f t="shared" si="29"/>
        <v>59</v>
      </c>
      <c r="H63" s="12">
        <f t="shared" si="30"/>
        <v>0.74709266988127543</v>
      </c>
      <c r="I63" s="11">
        <f t="shared" si="31"/>
        <v>0.73989283267567485</v>
      </c>
      <c r="J63" s="21">
        <f t="shared" si="32"/>
        <v>295267.59533361049</v>
      </c>
      <c r="K63" s="21">
        <f t="shared" si="33"/>
        <v>5004.5355141289911</v>
      </c>
      <c r="L63" s="12">
        <f t="shared" si="25"/>
        <v>3.5139293601724342</v>
      </c>
      <c r="M63" s="12">
        <f t="shared" si="26"/>
        <v>5.963659938035125</v>
      </c>
      <c r="N63" s="12">
        <f t="shared" si="34"/>
        <v>6.1299621206488526</v>
      </c>
    </row>
    <row r="64" spans="1:16" x14ac:dyDescent="0.3">
      <c r="B64" s="100">
        <f t="shared" si="27"/>
        <v>3.3674462474664324E-4</v>
      </c>
      <c r="C64" s="56">
        <v>9.0897660823073226E-2</v>
      </c>
      <c r="D64" s="55">
        <v>3.6434803732778749E-2</v>
      </c>
      <c r="E64" s="100">
        <f t="shared" si="28"/>
        <v>5.4205884225666523E-10</v>
      </c>
      <c r="G64" s="95">
        <f t="shared" si="29"/>
        <v>67</v>
      </c>
      <c r="H64" s="12">
        <f t="shared" si="30"/>
        <v>0.84839337088212652</v>
      </c>
      <c r="I64" s="11">
        <f t="shared" si="31"/>
        <v>0.78117153620279789</v>
      </c>
      <c r="J64" s="21">
        <f t="shared" si="32"/>
        <v>311740.60735734669</v>
      </c>
      <c r="K64" s="21">
        <f t="shared" si="33"/>
        <v>4652.8448859305472</v>
      </c>
      <c r="L64" s="12">
        <f t="shared" si="25"/>
        <v>2.08756048127572</v>
      </c>
      <c r="M64" s="12">
        <f t="shared" si="26"/>
        <v>5.2080523327737449</v>
      </c>
      <c r="N64" s="12">
        <f t="shared" si="34"/>
        <v>6.0817602212829351</v>
      </c>
    </row>
    <row r="65" spans="1:14" x14ac:dyDescent="0.3">
      <c r="B65" s="100">
        <f t="shared" si="27"/>
        <v>-1.4408711422220222E-4</v>
      </c>
      <c r="C65" s="56">
        <v>7.6942587417590844E-2</v>
      </c>
      <c r="D65" s="55">
        <v>2.0795349496229572E-2</v>
      </c>
      <c r="E65" s="100">
        <f t="shared" si="28"/>
        <v>-1.5643308870494366E-10</v>
      </c>
      <c r="G65" s="95">
        <f t="shared" si="29"/>
        <v>74</v>
      </c>
      <c r="H65" s="12">
        <f t="shared" si="30"/>
        <v>0.93703148425787097</v>
      </c>
      <c r="I65" s="11">
        <f t="shared" si="31"/>
        <v>0.80864210703023176</v>
      </c>
      <c r="J65" s="21">
        <f t="shared" si="32"/>
        <v>322703.23468990996</v>
      </c>
      <c r="K65" s="21">
        <f t="shared" si="33"/>
        <v>4360.8545228366211</v>
      </c>
      <c r="L65" s="12">
        <f t="shared" si="25"/>
        <v>1.1914857596334572</v>
      </c>
      <c r="M65" s="12">
        <f t="shared" si="26"/>
        <v>4.4084855238443472</v>
      </c>
      <c r="N65" s="12">
        <f t="shared" si="34"/>
        <v>5.6881351433525271</v>
      </c>
    </row>
    <row r="66" spans="1:14" x14ac:dyDescent="0.3">
      <c r="B66" s="100">
        <f t="shared" si="27"/>
        <v>-7.9007583553902805E-4</v>
      </c>
      <c r="C66" s="56">
        <v>6.1384586293137477E-2</v>
      </c>
      <c r="D66" s="55">
        <v>8.952984136173809E-3</v>
      </c>
      <c r="E66" s="100">
        <f t="shared" si="28"/>
        <v>1.7857903003459796E-5</v>
      </c>
      <c r="G66" s="95">
        <f t="shared" si="29"/>
        <v>81</v>
      </c>
      <c r="H66" s="12">
        <f t="shared" si="30"/>
        <v>1.0256695976336156</v>
      </c>
      <c r="I66" s="11">
        <f t="shared" si="31"/>
        <v>0.82885075492246929</v>
      </c>
      <c r="J66" s="21">
        <f t="shared" si="32"/>
        <v>330767.86054458446</v>
      </c>
      <c r="K66" s="21">
        <f t="shared" si="33"/>
        <v>4083.5538338837587</v>
      </c>
      <c r="L66" s="12">
        <f t="shared" si="25"/>
        <v>0.51296820505033836</v>
      </c>
      <c r="M66" s="12">
        <f t="shared" si="26"/>
        <v>3.5170777217533802</v>
      </c>
      <c r="N66" s="12">
        <f t="shared" si="34"/>
        <v>4.9690295109756288</v>
      </c>
    </row>
    <row r="67" spans="1:14" x14ac:dyDescent="0.3">
      <c r="B67" s="100">
        <f t="shared" si="27"/>
        <v>-4.9194351049663965E-5</v>
      </c>
      <c r="C67" s="56">
        <v>4.211665030823513E-2</v>
      </c>
      <c r="D67" s="55">
        <v>-1.3705649054024396E-3</v>
      </c>
      <c r="E67" s="100">
        <f t="shared" si="28"/>
        <v>-1.3932288784417324E-3</v>
      </c>
      <c r="G67" s="95">
        <f t="shared" si="29"/>
        <v>89</v>
      </c>
      <c r="H67" s="12">
        <f t="shared" si="30"/>
        <v>1.1269702986344665</v>
      </c>
      <c r="I67" s="11">
        <f t="shared" si="31"/>
        <v>0.84404581688643843</v>
      </c>
      <c r="J67" s="21">
        <f t="shared" si="32"/>
        <v>336831.72440284275</v>
      </c>
      <c r="K67" s="21">
        <f t="shared" si="33"/>
        <v>3784.6261168858737</v>
      </c>
      <c r="L67" s="12">
        <f t="shared" si="25"/>
        <v>-7.852758462830671E-2</v>
      </c>
      <c r="M67" s="12">
        <f t="shared" si="26"/>
        <v>2.4131063098902308</v>
      </c>
      <c r="N67" s="12">
        <f t="shared" si="34"/>
        <v>3.747273821440182</v>
      </c>
    </row>
    <row r="68" spans="1:14" x14ac:dyDescent="0.3">
      <c r="B68" s="100">
        <f t="shared" si="27"/>
        <v>-2.2543527393281693E-4</v>
      </c>
      <c r="C68" s="56">
        <v>2.4218520779349155E-2</v>
      </c>
      <c r="D68" s="55">
        <v>-8.4058640302994581E-3</v>
      </c>
      <c r="E68" s="100">
        <f t="shared" si="28"/>
        <v>-3.8609786315646488E-3</v>
      </c>
      <c r="G68" s="95">
        <f t="shared" si="29"/>
        <v>96</v>
      </c>
      <c r="H68" s="12">
        <f t="shared" si="30"/>
        <v>1.2156084120102111</v>
      </c>
      <c r="I68" s="11">
        <f t="shared" si="31"/>
        <v>0.85129619047366378</v>
      </c>
      <c r="J68" s="21">
        <f t="shared" si="32"/>
        <v>339725.11690487387</v>
      </c>
      <c r="K68" s="21">
        <f t="shared" si="33"/>
        <v>3538.803301092436</v>
      </c>
      <c r="L68" s="12">
        <f t="shared" si="25"/>
        <v>-0.4816205320969873</v>
      </c>
      <c r="M68" s="12">
        <f t="shared" si="26"/>
        <v>1.3876190267065918</v>
      </c>
      <c r="N68" s="12">
        <f t="shared" si="34"/>
        <v>2.3247507206438587</v>
      </c>
    </row>
    <row r="69" spans="1:14" x14ac:dyDescent="0.3">
      <c r="B69" s="100">
        <f t="shared" si="27"/>
        <v>-1.5020105547591811E-4</v>
      </c>
      <c r="C69" s="56">
        <v>5.5104110503379619E-3</v>
      </c>
      <c r="D69" s="55">
        <v>-1.4081378601683759E-2</v>
      </c>
      <c r="E69" s="100">
        <f t="shared" si="28"/>
        <v>-3.3375422062817961E-3</v>
      </c>
      <c r="G69" s="95">
        <f t="shared" si="29"/>
        <v>103</v>
      </c>
      <c r="H69" s="12">
        <f t="shared" si="30"/>
        <v>1.3042465253859556</v>
      </c>
      <c r="I69" s="11">
        <f t="shared" si="31"/>
        <v>0.8537140976447406</v>
      </c>
      <c r="J69" s="21">
        <f t="shared" si="32"/>
        <v>340690.02642232651</v>
      </c>
      <c r="K69" s="21">
        <f t="shared" si="33"/>
        <v>3307.6701594400633</v>
      </c>
      <c r="L69" s="12">
        <f t="shared" si="25"/>
        <v>-0.80680356360230809</v>
      </c>
      <c r="M69" s="12">
        <f t="shared" si="26"/>
        <v>0.31572329656661624</v>
      </c>
      <c r="N69" s="12">
        <f t="shared" si="34"/>
        <v>0.56756946583516843</v>
      </c>
    </row>
    <row r="70" spans="1:14" x14ac:dyDescent="0.3">
      <c r="B70" s="100">
        <f t="shared" si="27"/>
        <v>-5.1579617775132647E-5</v>
      </c>
      <c r="C70" s="56">
        <v>-1.6734398772745067E-2</v>
      </c>
      <c r="D70" s="55">
        <v>-1.9322210405347366E-2</v>
      </c>
      <c r="E70" s="100">
        <f t="shared" si="28"/>
        <v>-1.4052661390451249E-3</v>
      </c>
      <c r="G70" s="95">
        <f t="shared" si="29"/>
        <v>111</v>
      </c>
      <c r="H70" s="12">
        <f t="shared" si="30"/>
        <v>1.4055472263868065</v>
      </c>
      <c r="I70" s="11">
        <f t="shared" si="31"/>
        <v>0.85155172921601352</v>
      </c>
      <c r="J70" s="21">
        <f t="shared" si="32"/>
        <v>339827.094254344</v>
      </c>
      <c r="K70" s="21">
        <f t="shared" si="33"/>
        <v>3061.5053536427386</v>
      </c>
      <c r="L70" s="12">
        <f t="shared" si="25"/>
        <v>-1.1070811070901676</v>
      </c>
      <c r="M70" s="12">
        <f t="shared" si="26"/>
        <v>-0.95881042236719682</v>
      </c>
      <c r="N70" s="12">
        <f t="shared" si="34"/>
        <v>-1.8574315683878564</v>
      </c>
    </row>
    <row r="71" spans="1:14" x14ac:dyDescent="0.3">
      <c r="B71" s="100">
        <f t="shared" si="27"/>
        <v>-6.4231653595925309E-7</v>
      </c>
      <c r="C71" s="56">
        <v>-3.6879833421779633E-2</v>
      </c>
      <c r="D71" s="55">
        <v>-2.307750778224164E-2</v>
      </c>
      <c r="E71" s="100">
        <f t="shared" si="28"/>
        <v>-3.3303000236628577E-5</v>
      </c>
      <c r="G71" s="95">
        <f t="shared" si="29"/>
        <v>118</v>
      </c>
      <c r="H71" s="12">
        <f t="shared" si="30"/>
        <v>1.4941853397625509</v>
      </c>
      <c r="I71" s="11">
        <f t="shared" si="31"/>
        <v>0.84621734033718043</v>
      </c>
      <c r="J71" s="21">
        <f t="shared" si="32"/>
        <v>337698.31004767522</v>
      </c>
      <c r="K71" s="21">
        <f t="shared" si="33"/>
        <v>2861.8500851497902</v>
      </c>
      <c r="L71" s="12">
        <f t="shared" si="25"/>
        <v>-1.3222437976027583</v>
      </c>
      <c r="M71" s="12">
        <f t="shared" si="26"/>
        <v>-2.1130588042134901</v>
      </c>
      <c r="N71" s="12">
        <f t="shared" si="34"/>
        <v>-4.3508339096755417</v>
      </c>
    </row>
    <row r="72" spans="1:14" x14ac:dyDescent="0.3">
      <c r="B72" s="100">
        <f t="shared" si="27"/>
        <v>3.2382342396886088E-5</v>
      </c>
      <c r="C72" s="56">
        <v>-5.7614553117559919E-2</v>
      </c>
      <c r="D72" s="55">
        <v>-2.6232485391285285E-2</v>
      </c>
      <c r="E72" s="100">
        <f t="shared" si="28"/>
        <v>1.9281287677586079E-10</v>
      </c>
      <c r="G72" s="95">
        <f t="shared" si="29"/>
        <v>125</v>
      </c>
      <c r="H72" s="12">
        <f t="shared" si="30"/>
        <v>1.5828234531382954</v>
      </c>
      <c r="I72" s="11">
        <f t="shared" si="31"/>
        <v>0.8384799415612465</v>
      </c>
      <c r="J72" s="21">
        <f t="shared" si="32"/>
        <v>334610.56134973821</v>
      </c>
      <c r="K72" s="21">
        <f t="shared" si="33"/>
        <v>2676.8844907979055</v>
      </c>
      <c r="L72" s="12">
        <f t="shared" si="25"/>
        <v>-1.5030106990592347</v>
      </c>
      <c r="M72" s="12">
        <f t="shared" si="26"/>
        <v>-3.3010707321684829</v>
      </c>
      <c r="N72" s="12">
        <f t="shared" si="34"/>
        <v>-7.197835470432401</v>
      </c>
    </row>
    <row r="73" spans="1:14" x14ac:dyDescent="0.3">
      <c r="B73" s="100">
        <f t="shared" si="27"/>
        <v>-2.3676329828958842E-3</v>
      </c>
      <c r="C73" s="56">
        <v>-7.890989536360847E-2</v>
      </c>
      <c r="D73" s="55">
        <v>-2.8909885272819888E-2</v>
      </c>
      <c r="E73" s="100">
        <f t="shared" si="28"/>
        <v>-2.9239539071568288E-4</v>
      </c>
      <c r="G73" s="95">
        <f t="shared" si="29"/>
        <v>132</v>
      </c>
      <c r="H73" s="12">
        <f t="shared" si="30"/>
        <v>1.6714615665140402</v>
      </c>
      <c r="I73" s="11">
        <f t="shared" si="31"/>
        <v>0.82911254178063665</v>
      </c>
      <c r="J73" s="21">
        <f t="shared" si="32"/>
        <v>330872.33131749561</v>
      </c>
      <c r="K73" s="21">
        <f t="shared" si="33"/>
        <v>2506.6085705870878</v>
      </c>
      <c r="L73" s="12">
        <f t="shared" si="25"/>
        <v>-1.6564144123399942</v>
      </c>
      <c r="M73" s="12">
        <f t="shared" si="26"/>
        <v>-4.521203966153708</v>
      </c>
      <c r="N73" s="12">
        <f t="shared" si="34"/>
        <v>-10.405299767325509</v>
      </c>
    </row>
    <row r="74" spans="1:14" x14ac:dyDescent="0.3">
      <c r="A74" s="54"/>
      <c r="B74" s="100">
        <f t="shared" si="27"/>
        <v>-3.9069167451089015E-3</v>
      </c>
      <c r="C74" s="56">
        <v>-0.10391141642721589</v>
      </c>
      <c r="D74" s="55">
        <v>-3.1503164449579991E-2</v>
      </c>
      <c r="E74" s="100">
        <f t="shared" si="28"/>
        <v>-8.1145442891283892E-4</v>
      </c>
      <c r="G74" s="95">
        <f>G17</f>
        <v>140</v>
      </c>
      <c r="H74" s="12">
        <f t="shared" si="30"/>
        <v>1.7727622675148911</v>
      </c>
      <c r="I74" s="11">
        <f t="shared" si="31"/>
        <v>0.81740263733953844</v>
      </c>
      <c r="J74" s="21">
        <f t="shared" si="32"/>
        <v>326199.28250121517</v>
      </c>
      <c r="K74" s="21">
        <f t="shared" si="33"/>
        <v>2329.9948750086796</v>
      </c>
      <c r="L74" s="12">
        <f t="shared" si="25"/>
        <v>-1.8049983642675087</v>
      </c>
      <c r="M74" s="12">
        <f t="shared" si="26"/>
        <v>-5.9536856045058419</v>
      </c>
      <c r="N74" s="12">
        <f t="shared" si="34"/>
        <v>-14.521432614730577</v>
      </c>
    </row>
    <row r="75" spans="1:14" x14ac:dyDescent="0.3">
      <c r="B75" s="53"/>
      <c r="C75" s="53"/>
      <c r="D75" s="53"/>
    </row>
    <row r="76" spans="1:14" x14ac:dyDescent="0.3">
      <c r="B76" s="53"/>
      <c r="C76" s="53"/>
      <c r="D76" s="53"/>
    </row>
    <row r="77" spans="1:14" x14ac:dyDescent="0.3">
      <c r="B77" s="53"/>
      <c r="C77" s="53"/>
      <c r="D77" s="53"/>
    </row>
    <row r="78" spans="1:14" x14ac:dyDescent="0.3">
      <c r="B78" s="53"/>
      <c r="C78" s="53"/>
      <c r="D78" s="53"/>
    </row>
    <row r="79" spans="1:14" x14ac:dyDescent="0.3">
      <c r="B79" s="53"/>
      <c r="C79" s="53"/>
      <c r="D79" s="53"/>
    </row>
    <row r="80" spans="1:14" x14ac:dyDescent="0.3">
      <c r="B80" s="53"/>
      <c r="C80" s="53"/>
      <c r="D80" s="53"/>
    </row>
    <row r="81" spans="2:4" x14ac:dyDescent="0.3">
      <c r="B81" s="53"/>
      <c r="C81" s="53"/>
      <c r="D81" s="53"/>
    </row>
    <row r="82" spans="2:4" x14ac:dyDescent="0.3">
      <c r="B82" s="53"/>
      <c r="C82" s="53"/>
      <c r="D82" s="53"/>
    </row>
  </sheetData>
  <mergeCells count="4">
    <mergeCell ref="G1:N1"/>
    <mergeCell ref="F20:P20"/>
    <mergeCell ref="F39:P39"/>
    <mergeCell ref="G58:N5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E1B2A-5BC0-4C9D-8E72-52D2B9E997FF}">
  <dimension ref="A1:P82"/>
  <sheetViews>
    <sheetView workbookViewId="0"/>
  </sheetViews>
  <sheetFormatPr defaultRowHeight="15" x14ac:dyDescent="0.3"/>
  <cols>
    <col min="1" max="1" width="34.77734375" style="30" customWidth="1"/>
    <col min="2" max="2" width="12.77734375" style="30" customWidth="1"/>
    <col min="3" max="4" width="8.88671875" style="30"/>
    <col min="5" max="5" width="11" style="30" bestFit="1" customWidth="1"/>
    <col min="6" max="6" width="8.88671875" style="30"/>
    <col min="7" max="7" width="9.6640625" style="30" customWidth="1"/>
    <col min="8" max="8" width="9" style="30" bestFit="1" customWidth="1"/>
    <col min="9" max="10" width="9.33203125" style="30" customWidth="1"/>
    <col min="11" max="11" width="10.21875" style="30" customWidth="1"/>
    <col min="12" max="12" width="11.44140625" style="30" bestFit="1" customWidth="1"/>
    <col min="13" max="13" width="10.33203125" style="30" bestFit="1" customWidth="1"/>
    <col min="14" max="16384" width="8.88671875" style="30"/>
  </cols>
  <sheetData>
    <row r="1" spans="1:14" ht="18.600000000000001" thickBot="1" x14ac:dyDescent="0.35">
      <c r="A1" s="29" t="s">
        <v>9</v>
      </c>
      <c r="B1" s="29" t="s">
        <v>6</v>
      </c>
      <c r="C1" s="29">
        <v>2000</v>
      </c>
      <c r="D1" s="29" t="s">
        <v>3</v>
      </c>
      <c r="G1" s="132" t="s">
        <v>166</v>
      </c>
      <c r="H1" s="133"/>
      <c r="I1" s="133"/>
      <c r="J1" s="133"/>
      <c r="K1" s="133"/>
      <c r="L1" s="133"/>
      <c r="M1" s="133"/>
      <c r="N1" s="134"/>
    </row>
    <row r="2" spans="1:14" ht="19.2" thickBot="1" x14ac:dyDescent="0.35">
      <c r="A2" s="30" t="s">
        <v>139</v>
      </c>
      <c r="B2" s="30" t="s">
        <v>141</v>
      </c>
      <c r="C2" s="30">
        <f>Podsumowanie!B31</f>
        <v>28993.455000000002</v>
      </c>
      <c r="D2" s="30" t="s">
        <v>39</v>
      </c>
      <c r="G2" s="96" t="s">
        <v>67</v>
      </c>
      <c r="H2" s="96" t="s">
        <v>15</v>
      </c>
      <c r="I2" s="96" t="s">
        <v>74</v>
      </c>
      <c r="J2" s="96" t="s">
        <v>73</v>
      </c>
      <c r="K2" s="96" t="s">
        <v>68</v>
      </c>
      <c r="L2" s="96" t="s">
        <v>70</v>
      </c>
      <c r="M2" s="96" t="s">
        <v>87</v>
      </c>
      <c r="N2" s="96" t="s">
        <v>69</v>
      </c>
    </row>
    <row r="3" spans="1:14" ht="15.6" x14ac:dyDescent="0.3">
      <c r="A3" s="31" t="s">
        <v>10</v>
      </c>
      <c r="B3" s="31" t="s">
        <v>30</v>
      </c>
      <c r="C3" s="31">
        <f>Podsumowanie!B29</f>
        <v>1.7453292519943295E-2</v>
      </c>
      <c r="D3" s="31" t="s">
        <v>40</v>
      </c>
      <c r="F3" s="46"/>
      <c r="G3" s="91">
        <f>SQRT(2*C$15/C$7/C$16/C17)</f>
        <v>38.789302761294081</v>
      </c>
      <c r="H3" s="92">
        <f t="shared" ref="H3:H17" si="0">G3/C$12/C$4</f>
        <v>0.49117294513166654</v>
      </c>
      <c r="I3" s="93">
        <f>0.1906*H3^3-1.0151*H3^2+1.6538*H3</f>
        <v>0.58999338447015692</v>
      </c>
      <c r="J3" s="94">
        <f t="shared" ref="J3:J17" si="1">C$18*I3</f>
        <v>209763.66185085365</v>
      </c>
      <c r="K3" s="94">
        <f>J3/G3</f>
        <v>5407.7708780103776</v>
      </c>
      <c r="L3" s="92">
        <f t="shared" ref="L3:L17" ca="1" si="2">OFFSET(D23,A23-2,0,1,1)</f>
        <v>11.590920896447662</v>
      </c>
      <c r="M3" s="92">
        <f t="shared" ref="M3:M17" ca="1" si="3">OFFSET(D22,A23-2,0,1,1)</f>
        <v>6.1951397219791637</v>
      </c>
      <c r="N3" s="92">
        <f ca="1">G3*SIN(RADIANS(M3))</f>
        <v>4.1859485238708256</v>
      </c>
    </row>
    <row r="4" spans="1:14" ht="15.6" x14ac:dyDescent="0.3">
      <c r="A4" s="31" t="s">
        <v>11</v>
      </c>
      <c r="B4" s="31" t="s">
        <v>18</v>
      </c>
      <c r="C4" s="31">
        <f>Podsumowanie!B12</f>
        <v>1.84</v>
      </c>
      <c r="D4" s="31" t="s">
        <v>3</v>
      </c>
      <c r="F4" s="46"/>
      <c r="G4" s="95">
        <v>45</v>
      </c>
      <c r="H4" s="12">
        <f t="shared" si="0"/>
        <v>0.56981644312978641</v>
      </c>
      <c r="I4" s="11">
        <f t="shared" ref="I4:I17" si="4">0.1906*H4^3-1.0151*H4^2+1.6538*H4</f>
        <v>0.64803252001124956</v>
      </c>
      <c r="J4" s="21">
        <f t="shared" si="1"/>
        <v>230398.64170353609</v>
      </c>
      <c r="K4" s="21">
        <f t="shared" ref="K4:K17" si="5">J4/G4</f>
        <v>5119.9698156341356</v>
      </c>
      <c r="L4" s="12">
        <f t="shared" ca="1" si="2"/>
        <v>8.0012805524463424</v>
      </c>
      <c r="M4" s="12">
        <f t="shared" ca="1" si="3"/>
        <v>6.5085375309250608</v>
      </c>
      <c r="N4" s="12">
        <f t="shared" ref="N4:N17" ca="1" si="6">G4*SIN(RADIANS(M4))</f>
        <v>5.1008068210570512</v>
      </c>
    </row>
    <row r="5" spans="1:14" ht="18" x14ac:dyDescent="0.3">
      <c r="A5" s="31" t="s">
        <v>24</v>
      </c>
      <c r="B5" s="31" t="s">
        <v>75</v>
      </c>
      <c r="C5" s="31">
        <f>Podsumowanie!B16</f>
        <v>6.1340000000000003</v>
      </c>
      <c r="D5" s="31" t="s">
        <v>34</v>
      </c>
      <c r="F5" s="46"/>
      <c r="G5" s="95">
        <v>52</v>
      </c>
      <c r="H5" s="12">
        <f t="shared" si="0"/>
        <v>0.65845455650553097</v>
      </c>
      <c r="I5" s="11">
        <f t="shared" si="4"/>
        <v>0.70325565552175329</v>
      </c>
      <c r="J5" s="21">
        <f t="shared" si="1"/>
        <v>250032.43324845654</v>
      </c>
      <c r="K5" s="21">
        <f t="shared" si="5"/>
        <v>4808.31602400878</v>
      </c>
      <c r="L5" s="12">
        <f t="shared" ca="1" si="2"/>
        <v>5.3327594011274808</v>
      </c>
      <c r="M5" s="12">
        <f t="shared" ca="1" si="3"/>
        <v>6.3612488887133933</v>
      </c>
      <c r="N5" s="12">
        <f t="shared" ca="1" si="6"/>
        <v>5.7614329371791042</v>
      </c>
    </row>
    <row r="6" spans="1:14" ht="18" x14ac:dyDescent="0.3">
      <c r="A6" s="31" t="s">
        <v>23</v>
      </c>
      <c r="B6" s="31" t="s">
        <v>76</v>
      </c>
      <c r="C6" s="31">
        <f>Podsumowanie!B9</f>
        <v>446000</v>
      </c>
      <c r="D6" s="31" t="s">
        <v>35</v>
      </c>
      <c r="F6" s="46"/>
      <c r="G6" s="95">
        <v>59</v>
      </c>
      <c r="H6" s="12">
        <f t="shared" si="0"/>
        <v>0.74709266988127543</v>
      </c>
      <c r="I6" s="11">
        <f t="shared" si="4"/>
        <v>0.74844426226175043</v>
      </c>
      <c r="J6" s="21">
        <f t="shared" si="1"/>
        <v>266098.59241773689</v>
      </c>
      <c r="K6" s="21">
        <f t="shared" si="5"/>
        <v>4510.1456341989306</v>
      </c>
      <c r="L6" s="12">
        <f t="shared" ca="1" si="2"/>
        <v>3.5263090220758113</v>
      </c>
      <c r="M6" s="12">
        <f t="shared" ca="1" si="3"/>
        <v>5.8995545452841425</v>
      </c>
      <c r="N6" s="12">
        <f t="shared" ca="1" si="6"/>
        <v>6.0643033956694072</v>
      </c>
    </row>
    <row r="7" spans="1:14" ht="18" x14ac:dyDescent="0.3">
      <c r="A7" s="31" t="s">
        <v>22</v>
      </c>
      <c r="B7" s="31" t="s">
        <v>5</v>
      </c>
      <c r="C7" s="31">
        <f>Podsumowanie!B3</f>
        <v>21.3</v>
      </c>
      <c r="D7" s="31" t="s">
        <v>77</v>
      </c>
      <c r="F7" s="46"/>
      <c r="G7" s="95">
        <v>67</v>
      </c>
      <c r="H7" s="12">
        <f t="shared" si="0"/>
        <v>0.84839337088212652</v>
      </c>
      <c r="I7" s="11">
        <f t="shared" si="4"/>
        <v>0.78882283752091809</v>
      </c>
      <c r="J7" s="21">
        <f t="shared" si="1"/>
        <v>280454.61407769116</v>
      </c>
      <c r="K7" s="21">
        <f t="shared" si="5"/>
        <v>4185.8897623535995</v>
      </c>
      <c r="L7" s="12">
        <f t="shared" ca="1" si="2"/>
        <v>2.0971480665093463</v>
      </c>
      <c r="M7" s="12">
        <f t="shared" ca="1" si="3"/>
        <v>5.1343892928331769</v>
      </c>
      <c r="N7" s="12">
        <f t="shared" ca="1" si="6"/>
        <v>5.9959714388832346</v>
      </c>
    </row>
    <row r="8" spans="1:14" ht="18" x14ac:dyDescent="0.3">
      <c r="A8" s="31" t="s">
        <v>41</v>
      </c>
      <c r="B8" s="31" t="s">
        <v>78</v>
      </c>
      <c r="C8" s="31">
        <f>Podsumowanie!B30</f>
        <v>-5.1836278784231589E-2</v>
      </c>
      <c r="D8" s="31" t="s">
        <v>40</v>
      </c>
      <c r="G8" s="95">
        <v>74</v>
      </c>
      <c r="H8" s="12">
        <f t="shared" si="0"/>
        <v>0.93703148425787097</v>
      </c>
      <c r="I8" s="11">
        <f t="shared" si="4"/>
        <v>0.81519066492178227</v>
      </c>
      <c r="J8" s="21">
        <f t="shared" si="1"/>
        <v>289829.31585612497</v>
      </c>
      <c r="K8" s="21">
        <f t="shared" si="5"/>
        <v>3916.6123764341214</v>
      </c>
      <c r="L8" s="12">
        <f t="shared" ca="1" si="2"/>
        <v>1.1992869583040027</v>
      </c>
      <c r="M8" s="12">
        <f t="shared" ca="1" si="3"/>
        <v>4.3267396443970769</v>
      </c>
      <c r="N8" s="12">
        <f t="shared" ca="1" si="6"/>
        <v>5.5828633849034937</v>
      </c>
    </row>
    <row r="9" spans="1:14" ht="15.6" x14ac:dyDescent="0.3">
      <c r="A9" s="31" t="s">
        <v>12</v>
      </c>
      <c r="B9" s="31" t="s">
        <v>3</v>
      </c>
      <c r="C9" s="31">
        <f>Podsumowanie!B7</f>
        <v>2405.5</v>
      </c>
      <c r="D9" s="31" t="s">
        <v>0</v>
      </c>
      <c r="G9" s="95">
        <v>81</v>
      </c>
      <c r="H9" s="12">
        <f t="shared" si="0"/>
        <v>1.0256695976336156</v>
      </c>
      <c r="I9" s="11">
        <f t="shared" si="4"/>
        <v>0.83402696037662905</v>
      </c>
      <c r="J9" s="21">
        <f t="shared" si="1"/>
        <v>296526.28977874207</v>
      </c>
      <c r="K9" s="21">
        <f t="shared" si="5"/>
        <v>3660.818392330149</v>
      </c>
      <c r="L9" s="12">
        <f t="shared" ca="1" si="2"/>
        <v>0.5193984626760898</v>
      </c>
      <c r="M9" s="12">
        <f t="shared" ca="1" si="3"/>
        <v>3.4275612056533702</v>
      </c>
      <c r="N9" s="12">
        <f t="shared" ca="1" si="6"/>
        <v>4.8427108560280248</v>
      </c>
    </row>
    <row r="10" spans="1:14" ht="18" x14ac:dyDescent="0.3">
      <c r="A10" s="31" t="s">
        <v>21</v>
      </c>
      <c r="B10" s="31" t="s">
        <v>79</v>
      </c>
      <c r="C10" s="31">
        <f>Podsumowanie!B13</f>
        <v>5.8840000000000003</v>
      </c>
      <c r="D10" s="31" t="s">
        <v>7</v>
      </c>
      <c r="G10" s="95">
        <v>89</v>
      </c>
      <c r="H10" s="12">
        <f t="shared" si="0"/>
        <v>1.1269702986344665</v>
      </c>
      <c r="I10" s="11">
        <f t="shared" si="4"/>
        <v>0.847353502523571</v>
      </c>
      <c r="J10" s="21">
        <f t="shared" si="1"/>
        <v>301264.35016066092</v>
      </c>
      <c r="K10" s="21">
        <f t="shared" si="5"/>
        <v>3384.9926984343924</v>
      </c>
      <c r="L10" s="12">
        <f t="shared" ca="1" si="2"/>
        <v>-7.3306339871345619E-2</v>
      </c>
      <c r="M10" s="12">
        <f t="shared" ca="1" si="3"/>
        <v>2.3151238936331948</v>
      </c>
      <c r="N10" s="12">
        <f t="shared" ca="1" si="6"/>
        <v>3.5952030797707413</v>
      </c>
    </row>
    <row r="11" spans="1:14" ht="18" x14ac:dyDescent="0.3">
      <c r="A11" s="31" t="s">
        <v>25</v>
      </c>
      <c r="B11" s="31" t="s">
        <v>80</v>
      </c>
      <c r="C11" s="31">
        <f>Podsumowanie!B14</f>
        <v>2.214E-2</v>
      </c>
      <c r="D11" s="31" t="s">
        <v>7</v>
      </c>
      <c r="G11" s="95">
        <v>96</v>
      </c>
      <c r="H11" s="12">
        <f t="shared" si="0"/>
        <v>1.2156084120102111</v>
      </c>
      <c r="I11" s="11">
        <f t="shared" si="4"/>
        <v>0.85273258326319024</v>
      </c>
      <c r="J11" s="21">
        <f t="shared" si="1"/>
        <v>303176.80494919594</v>
      </c>
      <c r="K11" s="21">
        <f t="shared" si="5"/>
        <v>3158.0917182207909</v>
      </c>
      <c r="L11" s="12">
        <f t="shared" ca="1" si="2"/>
        <v>-0.47723117090819661</v>
      </c>
      <c r="M11" s="12">
        <f t="shared" ca="1" si="3"/>
        <v>1.2826079795425605</v>
      </c>
      <c r="N11" s="12">
        <f t="shared" ca="1" si="6"/>
        <v>2.1488508136410673</v>
      </c>
    </row>
    <row r="12" spans="1:14" ht="18" x14ac:dyDescent="0.3">
      <c r="A12" s="31" t="s">
        <v>19</v>
      </c>
      <c r="B12" s="31" t="s">
        <v>81</v>
      </c>
      <c r="C12" s="31">
        <f>Podsumowanie!B11</f>
        <v>42.92</v>
      </c>
      <c r="D12" s="31" t="s">
        <v>37</v>
      </c>
      <c r="G12" s="95">
        <v>103</v>
      </c>
      <c r="H12" s="12">
        <f t="shared" si="0"/>
        <v>1.3042465253859556</v>
      </c>
      <c r="I12" s="11">
        <f t="shared" si="4"/>
        <v>0.85308312888128124</v>
      </c>
      <c r="J12" s="21">
        <f t="shared" si="1"/>
        <v>303301.43640173768</v>
      </c>
      <c r="K12" s="21">
        <f t="shared" si="5"/>
        <v>2944.6741398226959</v>
      </c>
      <c r="L12" s="12">
        <f t="shared" ca="1" si="2"/>
        <v>-0.80309052659811508</v>
      </c>
      <c r="M12" s="12">
        <f t="shared" ca="1" si="3"/>
        <v>0.2040435906506447</v>
      </c>
      <c r="N12" s="12">
        <f t="shared" ca="1" si="6"/>
        <v>0.36680616953771022</v>
      </c>
    </row>
    <row r="13" spans="1:14" ht="15.6" x14ac:dyDescent="0.3">
      <c r="A13" s="31" t="s">
        <v>20</v>
      </c>
      <c r="B13" s="31" t="s">
        <v>14</v>
      </c>
      <c r="C13" s="31">
        <f>Podsumowanie!B17</f>
        <v>0.12</v>
      </c>
      <c r="D13" s="31" t="s">
        <v>7</v>
      </c>
      <c r="G13" s="95">
        <v>111</v>
      </c>
      <c r="H13" s="12">
        <f t="shared" si="0"/>
        <v>1.4055472263868065</v>
      </c>
      <c r="I13" s="11">
        <f t="shared" si="4"/>
        <v>0.84834799385701931</v>
      </c>
      <c r="J13" s="21">
        <f t="shared" si="1"/>
        <v>301617.92725029285</v>
      </c>
      <c r="K13" s="21">
        <f t="shared" si="5"/>
        <v>2717.278623876512</v>
      </c>
      <c r="L13" s="12">
        <f t="shared" ca="1" si="2"/>
        <v>-1.1039966238049357</v>
      </c>
      <c r="M13" s="12">
        <f t="shared" ca="1" si="3"/>
        <v>-1.0776767688624453</v>
      </c>
      <c r="N13" s="12">
        <f t="shared" ca="1" si="6"/>
        <v>-2.0876767746311389</v>
      </c>
    </row>
    <row r="14" spans="1:14" ht="18" x14ac:dyDescent="0.3">
      <c r="A14" s="31" t="s">
        <v>33</v>
      </c>
      <c r="B14" s="31" t="s">
        <v>32</v>
      </c>
      <c r="C14" s="31">
        <f>Podsumowanie!B2</f>
        <v>1.2255</v>
      </c>
      <c r="D14" s="31" t="s">
        <v>82</v>
      </c>
      <c r="G14" s="95">
        <v>118</v>
      </c>
      <c r="H14" s="12">
        <f t="shared" si="0"/>
        <v>1.4941853397625509</v>
      </c>
      <c r="I14" s="11">
        <f t="shared" si="4"/>
        <v>0.84060488938378874</v>
      </c>
      <c r="J14" s="21">
        <f t="shared" si="1"/>
        <v>298864.97782551718</v>
      </c>
      <c r="K14" s="21">
        <f t="shared" si="5"/>
        <v>2532.7540493687898</v>
      </c>
      <c r="L14" s="12">
        <f t="shared" ca="1" si="2"/>
        <v>-1.3196118796964853</v>
      </c>
      <c r="M14" s="12">
        <f t="shared" ca="1" si="3"/>
        <v>-2.2378315654404011</v>
      </c>
      <c r="N14" s="12">
        <f t="shared" ca="1" si="6"/>
        <v>-4.6076167249617823</v>
      </c>
    </row>
    <row r="15" spans="1:14" ht="15.6" x14ac:dyDescent="0.3">
      <c r="A15" s="31" t="s">
        <v>26</v>
      </c>
      <c r="B15" s="31" t="s">
        <v>13</v>
      </c>
      <c r="C15" s="31">
        <f>Podsumowanie!B8</f>
        <v>26295.705000000002</v>
      </c>
      <c r="D15" s="31" t="s">
        <v>39</v>
      </c>
      <c r="G15" s="95">
        <v>125</v>
      </c>
      <c r="H15" s="12">
        <f t="shared" si="0"/>
        <v>1.5828234531382954</v>
      </c>
      <c r="I15" s="11">
        <f t="shared" si="4"/>
        <v>0.83033624661351824</v>
      </c>
      <c r="J15" s="21">
        <f t="shared" si="1"/>
        <v>295214.10958457139</v>
      </c>
      <c r="K15" s="21">
        <f t="shared" si="5"/>
        <v>2361.7128766765709</v>
      </c>
      <c r="L15" s="12">
        <f t="shared" ca="1" si="2"/>
        <v>-1.5007601234454884</v>
      </c>
      <c r="M15" s="12">
        <f t="shared" ca="1" si="3"/>
        <v>-3.43140136013379</v>
      </c>
      <c r="N15" s="12">
        <f t="shared" ca="1" si="6"/>
        <v>-7.481682136354995</v>
      </c>
    </row>
    <row r="16" spans="1:14" x14ac:dyDescent="0.3">
      <c r="A16" s="30" t="s">
        <v>102</v>
      </c>
      <c r="B16" s="30" t="s">
        <v>89</v>
      </c>
      <c r="C16" s="30">
        <f>Podsumowanie!B15</f>
        <v>1.63</v>
      </c>
      <c r="D16" s="30" t="s">
        <v>7</v>
      </c>
      <c r="G16" s="95">
        <v>132</v>
      </c>
      <c r="H16" s="12">
        <f t="shared" si="0"/>
        <v>1.6714615665140402</v>
      </c>
      <c r="I16" s="11">
        <f t="shared" si="4"/>
        <v>0.81833847362672829</v>
      </c>
      <c r="J16" s="21">
        <f t="shared" si="1"/>
        <v>290948.47396558145</v>
      </c>
      <c r="K16" s="21">
        <f t="shared" si="5"/>
        <v>2204.1551057998595</v>
      </c>
      <c r="L16" s="12">
        <f t="shared" ca="1" si="2"/>
        <v>-1.6544880347986595</v>
      </c>
      <c r="M16" s="12">
        <f t="shared" ca="1" si="3"/>
        <v>-4.6567436587536299</v>
      </c>
      <c r="N16" s="12">
        <f t="shared" ca="1" si="6"/>
        <v>-10.716559712791103</v>
      </c>
    </row>
    <row r="17" spans="1:16" ht="18.600000000000001" x14ac:dyDescent="0.3">
      <c r="A17" s="30" t="s">
        <v>29</v>
      </c>
      <c r="B17" s="30" t="s">
        <v>83</v>
      </c>
      <c r="C17" s="30">
        <f>C14*(1-C1/44300)^4.256</f>
        <v>1.0067546873840096</v>
      </c>
      <c r="D17" s="30" t="s">
        <v>84</v>
      </c>
      <c r="G17" s="95">
        <v>140</v>
      </c>
      <c r="H17" s="12">
        <f t="shared" si="0"/>
        <v>1.7727622675148911</v>
      </c>
      <c r="I17" s="11">
        <f t="shared" si="4"/>
        <v>0.80353106212138758</v>
      </c>
      <c r="J17" s="21">
        <f t="shared" si="1"/>
        <v>285683.91178293579</v>
      </c>
      <c r="K17" s="21">
        <f t="shared" si="5"/>
        <v>2040.5993698781128</v>
      </c>
      <c r="L17" s="12">
        <f t="shared" ca="1" si="2"/>
        <v>-1.8033861389634878</v>
      </c>
      <c r="M17" s="12">
        <f t="shared" ca="1" si="3"/>
        <v>-6.0947692470153871</v>
      </c>
      <c r="N17" s="12">
        <f t="shared" ca="1" si="6"/>
        <v>-14.864261151954656</v>
      </c>
    </row>
    <row r="18" spans="1:16" ht="18.600000000000001" x14ac:dyDescent="0.3">
      <c r="A18" s="30" t="s">
        <v>27</v>
      </c>
      <c r="B18" s="30" t="s">
        <v>85</v>
      </c>
      <c r="C18" s="30">
        <f>C6*((C17/C14)-C13)/(1-C13)</f>
        <v>355535.61679209629</v>
      </c>
      <c r="D18" s="30" t="s">
        <v>35</v>
      </c>
    </row>
    <row r="19" spans="1:16" ht="19.2" thickBot="1" x14ac:dyDescent="0.35">
      <c r="A19" s="30" t="s">
        <v>28</v>
      </c>
      <c r="B19" s="30" t="s">
        <v>86</v>
      </c>
      <c r="C19" s="30">
        <f>C18/C17/C12^3/C4^5</f>
        <v>0.21178305007372444</v>
      </c>
      <c r="D19" s="30" t="s">
        <v>7</v>
      </c>
    </row>
    <row r="20" spans="1:16" ht="18.600000000000001" thickBot="1" x14ac:dyDescent="0.35">
      <c r="A20" s="30" t="s">
        <v>153</v>
      </c>
      <c r="B20" s="30" t="s">
        <v>140</v>
      </c>
      <c r="C20" s="30">
        <f>Podsumowanie!B31</f>
        <v>28993.455000000002</v>
      </c>
      <c r="D20" s="30" t="s">
        <v>39</v>
      </c>
      <c r="F20" s="132" t="s">
        <v>174</v>
      </c>
      <c r="G20" s="133"/>
      <c r="H20" s="133"/>
      <c r="I20" s="133"/>
      <c r="J20" s="133"/>
      <c r="K20" s="133"/>
      <c r="L20" s="133"/>
      <c r="M20" s="133"/>
      <c r="N20" s="133"/>
      <c r="O20" s="133"/>
      <c r="P20" s="134"/>
    </row>
    <row r="21" spans="1:16" ht="18.600000000000001" thickBot="1" x14ac:dyDescent="0.35">
      <c r="B21" s="30" t="s">
        <v>16</v>
      </c>
      <c r="C21" s="30" t="s">
        <v>66</v>
      </c>
      <c r="D21" s="30" t="s">
        <v>17</v>
      </c>
      <c r="F21" s="97" t="s">
        <v>1</v>
      </c>
      <c r="G21" s="97" t="s">
        <v>2</v>
      </c>
      <c r="H21" s="97" t="s">
        <v>67</v>
      </c>
      <c r="I21" s="97" t="s">
        <v>15</v>
      </c>
      <c r="J21" s="97" t="s">
        <v>74</v>
      </c>
      <c r="K21" s="97" t="s">
        <v>72</v>
      </c>
      <c r="L21" s="97" t="s">
        <v>73</v>
      </c>
      <c r="M21" s="97" t="s">
        <v>71</v>
      </c>
      <c r="N21" s="97" t="s">
        <v>69</v>
      </c>
      <c r="O21" s="97" t="s">
        <v>87</v>
      </c>
      <c r="P21" s="97" t="s">
        <v>70</v>
      </c>
    </row>
    <row r="22" spans="1:16" x14ac:dyDescent="0.3">
      <c r="A22" s="32">
        <v>1</v>
      </c>
      <c r="B22" s="47">
        <f>-K3*COS(C22+C23-C$3)+0.5*C$17*C$7*C$5*(C23-C$8)*G3^2*SIN(C22)+0.5*C$17*C$7*(C$11+1/PI()/C$10*C$5^2*(C23-C$8)^2)*G3^2*COS(C22)</f>
        <v>1.3771118119620951E-5</v>
      </c>
      <c r="C22" s="33">
        <v>0.10812558576962253</v>
      </c>
      <c r="D22" s="34">
        <f t="shared" ref="D22:D51" si="7">DEGREES(C22)</f>
        <v>6.1951397219791637</v>
      </c>
      <c r="F22" s="11">
        <v>1.63</v>
      </c>
      <c r="G22" s="12">
        <v>156.18</v>
      </c>
      <c r="H22" s="12">
        <f t="shared" ref="H22:H37" si="8">SQRT((2*C$15)/(C$7*C$17*F22))</f>
        <v>38.789302761294081</v>
      </c>
      <c r="I22" s="92">
        <f t="shared" ref="I22:I37" si="9">H22/C$12/C$4</f>
        <v>0.49117294513166654</v>
      </c>
      <c r="J22" s="93">
        <f>0.1906*I22^3-1.0151*I22^2+1.6538*I22</f>
        <v>0.58999338447015692</v>
      </c>
      <c r="K22" s="21">
        <f t="shared" ref="K22:K37" si="10">C$15*SQRT((2*C$15)/(C$17*C$7*G22))</f>
        <v>104202.4391862737</v>
      </c>
      <c r="L22" s="20">
        <f t="shared" ref="L22:L37" si="11">C$18*J22</f>
        <v>209763.66185085365</v>
      </c>
      <c r="M22" s="21">
        <f t="shared" ref="M22:M37" si="12">(L22-K22)</f>
        <v>105561.22266457995</v>
      </c>
      <c r="N22" s="12">
        <f t="shared" ref="N22:N37" si="13">M22/C$15</f>
        <v>4.0143902840627375</v>
      </c>
      <c r="O22" s="12">
        <f t="shared" ref="O22:O37" si="14">DEGREES(ASIN(N22/H22))</f>
        <v>5.9403027074842401</v>
      </c>
      <c r="P22" s="12">
        <v>15.276999999999999</v>
      </c>
    </row>
    <row r="23" spans="1:16" x14ac:dyDescent="0.3">
      <c r="A23" s="35">
        <v>2</v>
      </c>
      <c r="B23" s="48">
        <f>K3*SIN(C22+C23-C$3)+0.5*C$17*C$7*C$5*(C23-C$8)*G3^2*COS(C22)-0.5*C$17*C$7*(C$11+1/PI()/C$10*C$5^2*(C23-C$8)^2)*G3^2*SIN(C22)-C$15</f>
        <v>-3.5506673157215118E-9</v>
      </c>
      <c r="C23" s="36">
        <v>0.20229973298122439</v>
      </c>
      <c r="D23" s="37">
        <f t="shared" si="7"/>
        <v>11.590920896447662</v>
      </c>
      <c r="F23" s="11">
        <v>1.571</v>
      </c>
      <c r="G23" s="12">
        <v>158.85</v>
      </c>
      <c r="H23" s="12">
        <f t="shared" si="8"/>
        <v>39.510969189706891</v>
      </c>
      <c r="I23" s="12">
        <f t="shared" si="9"/>
        <v>0.50031110951754132</v>
      </c>
      <c r="J23" s="11">
        <f t="shared" ref="J23:J37" si="15">0.1906*I23^3-1.0151*I23^2+1.6538*I23</f>
        <v>0.59719310818149052</v>
      </c>
      <c r="K23" s="21">
        <f t="shared" si="10"/>
        <v>103322.9945953274</v>
      </c>
      <c r="L23" s="20">
        <f t="shared" si="11"/>
        <v>212323.42006129533</v>
      </c>
      <c r="M23" s="21">
        <f t="shared" si="12"/>
        <v>109000.42546596793</v>
      </c>
      <c r="N23" s="12">
        <f t="shared" si="13"/>
        <v>4.1451798103898687</v>
      </c>
      <c r="O23" s="12">
        <f t="shared" si="14"/>
        <v>6.0221038356143346</v>
      </c>
      <c r="P23" s="12">
        <v>12.122999999999999</v>
      </c>
    </row>
    <row r="24" spans="1:16" x14ac:dyDescent="0.3">
      <c r="A24" s="38">
        <v>3</v>
      </c>
      <c r="B24" s="47">
        <f>-K4*COS(C24+C25-C$3)+0.5*C$17*C$7*C$5*(C25-C$8)*G4^2*SIN(C24)+0.5*C$17*C$7*(C$11+1/PI()/C$10*C$5^2*(C25-C$8)^2)*G4^2*COS(C24)</f>
        <v>-7.1965921506489394E-5</v>
      </c>
      <c r="C24" s="39">
        <v>0.11359540940426456</v>
      </c>
      <c r="D24" s="40">
        <f t="shared" si="7"/>
        <v>6.5085375309250608</v>
      </c>
      <c r="F24" s="11">
        <v>1.474</v>
      </c>
      <c r="G24" s="12">
        <v>163.07</v>
      </c>
      <c r="H24" s="12">
        <f t="shared" si="8"/>
        <v>40.79031260695659</v>
      </c>
      <c r="I24" s="12">
        <f t="shared" si="9"/>
        <v>0.51651090764106866</v>
      </c>
      <c r="J24" s="11">
        <f t="shared" si="15"/>
        <v>0.60965782159193993</v>
      </c>
      <c r="K24" s="21">
        <f t="shared" si="10"/>
        <v>101977.31163830767</v>
      </c>
      <c r="L24" s="20">
        <f t="shared" si="11"/>
        <v>216755.06963181615</v>
      </c>
      <c r="M24" s="21">
        <f t="shared" si="12"/>
        <v>114777.75799350848</v>
      </c>
      <c r="N24" s="12">
        <f t="shared" si="13"/>
        <v>4.364886128495451</v>
      </c>
      <c r="O24" s="12">
        <f t="shared" si="14"/>
        <v>6.1428632575305508</v>
      </c>
      <c r="P24" s="12">
        <v>11.015000000000001</v>
      </c>
    </row>
    <row r="25" spans="1:16" x14ac:dyDescent="0.3">
      <c r="A25" s="41">
        <v>4</v>
      </c>
      <c r="B25" s="48">
        <f>K4*SIN(C24+C25-C$3)+0.5*C$17*C$7*C$5*(C25-C$8)*G4^2*COS(C24)-0.5*C$17*C$7*(C$11+1/PI()/C$10*C$5^2*(C25-C$8)^2)*G4^2*SIN(C24)-C$15</f>
        <v>2.2188909497344866E-5</v>
      </c>
      <c r="C25" s="42">
        <v>0.13964869001597952</v>
      </c>
      <c r="D25" s="43">
        <f>DEGREES(C25)</f>
        <v>8.0012805524463424</v>
      </c>
      <c r="F25" s="11">
        <v>1.379</v>
      </c>
      <c r="G25" s="12">
        <v>167.61</v>
      </c>
      <c r="H25" s="12">
        <f t="shared" si="8"/>
        <v>42.171946056858644</v>
      </c>
      <c r="I25" s="12">
        <f t="shared" si="9"/>
        <v>0.53400596226623143</v>
      </c>
      <c r="J25" s="11">
        <f t="shared" si="15"/>
        <v>0.62269500482108331</v>
      </c>
      <c r="K25" s="21">
        <f t="shared" si="10"/>
        <v>100586.71645842982</v>
      </c>
      <c r="L25" s="20">
        <f t="shared" si="11"/>
        <v>221390.25261242123</v>
      </c>
      <c r="M25" s="21">
        <f t="shared" si="12"/>
        <v>120803.53615399142</v>
      </c>
      <c r="N25" s="12">
        <f t="shared" si="13"/>
        <v>4.5940405915715665</v>
      </c>
      <c r="O25" s="12">
        <f t="shared" si="14"/>
        <v>6.2539808257095766</v>
      </c>
      <c r="P25" s="12">
        <v>9.5779999999999994</v>
      </c>
    </row>
    <row r="26" spans="1:16" x14ac:dyDescent="0.3">
      <c r="A26" s="32">
        <v>5</v>
      </c>
      <c r="B26" s="47">
        <f>-K5*COS(C26+C27-C$3)+0.5*C$17*C$7*C$5*(C27-C$8)*G5^2*SIN(C26)+0.5*C$17*C$7*(C$11+1/PI()/C$10*C$5^2*(C27-C$8)^2)*G5^2*COS(C26)</f>
        <v>-7.0156373794816318E-5</v>
      </c>
      <c r="C26" s="33">
        <v>0.11102473764687906</v>
      </c>
      <c r="D26" s="34">
        <f t="shared" si="7"/>
        <v>6.3612488887133933</v>
      </c>
      <c r="F26" s="11">
        <v>1.272</v>
      </c>
      <c r="G26" s="12">
        <v>169.65</v>
      </c>
      <c r="H26" s="12">
        <f t="shared" si="8"/>
        <v>43.909876918891499</v>
      </c>
      <c r="I26" s="12">
        <f t="shared" si="9"/>
        <v>0.55601266409309913</v>
      </c>
      <c r="J26" s="11">
        <f t="shared" si="15"/>
        <v>0.6384779884134153</v>
      </c>
      <c r="K26" s="21">
        <f t="shared" si="10"/>
        <v>99980.122001614465</v>
      </c>
      <c r="L26" s="20">
        <f t="shared" si="11"/>
        <v>227001.66541874051</v>
      </c>
      <c r="M26" s="21">
        <f t="shared" si="12"/>
        <v>127021.54341712604</v>
      </c>
      <c r="N26" s="12">
        <f t="shared" si="13"/>
        <v>4.8305053398312019</v>
      </c>
      <c r="O26" s="12">
        <f t="shared" si="14"/>
        <v>6.315865480453172</v>
      </c>
      <c r="P26" s="12">
        <v>8.4719999999999995</v>
      </c>
    </row>
    <row r="27" spans="1:16" x14ac:dyDescent="0.3">
      <c r="A27" s="35">
        <v>6</v>
      </c>
      <c r="B27" s="48">
        <f>K5*SIN(C26+C27-C$3)+0.5*C$17*C$7*C$5*(C27-C$8)*G5^2*COS(C26)-0.5*C$17*C$7*(C$11+1/PI()/C$10*C$5^2*(C27-C$8)^2)*G5^2*SIN(C26)-C$15</f>
        <v>2.4244091036962345E-5</v>
      </c>
      <c r="C27" s="36">
        <v>9.3074209766355553E-2</v>
      </c>
      <c r="D27" s="37">
        <f t="shared" si="7"/>
        <v>5.3327594011274808</v>
      </c>
      <c r="F27" s="11">
        <v>1.1779999999999999</v>
      </c>
      <c r="G27" s="12">
        <v>170.58</v>
      </c>
      <c r="H27" s="12">
        <f t="shared" si="8"/>
        <v>45.628178324470092</v>
      </c>
      <c r="I27" s="12">
        <f t="shared" si="9"/>
        <v>0.57777080620758148</v>
      </c>
      <c r="J27" s="11">
        <f t="shared" si="15"/>
        <v>0.65341878617836446</v>
      </c>
      <c r="K27" s="21">
        <f t="shared" si="10"/>
        <v>99707.20432771818</v>
      </c>
      <c r="L27" s="20">
        <f t="shared" si="11"/>
        <v>232313.6511674677</v>
      </c>
      <c r="M27" s="21">
        <f t="shared" si="12"/>
        <v>132606.44683974952</v>
      </c>
      <c r="N27" s="12">
        <f t="shared" si="13"/>
        <v>5.0428937668622886</v>
      </c>
      <c r="O27" s="12">
        <f t="shared" si="14"/>
        <v>6.3453774298567698</v>
      </c>
      <c r="P27" s="12">
        <v>7.694</v>
      </c>
    </row>
    <row r="28" spans="1:16" x14ac:dyDescent="0.3">
      <c r="A28" s="38">
        <v>7</v>
      </c>
      <c r="B28" s="47">
        <f>-K6*COS(C28+C29-C$3)+0.5*C$17*C$7*C$5*(C29-C$8)*G6^2*SIN(C28)+0.5*C$17*C$7*(C$11+1/PI()/C$10*C$5^2*(C29-C$8)^2)*G6^2*COS(C28)</f>
        <v>6.8964617867095512E-5</v>
      </c>
      <c r="C28" s="39">
        <v>0.10296665121620519</v>
      </c>
      <c r="D28" s="40">
        <f t="shared" si="7"/>
        <v>5.8995545452841425</v>
      </c>
      <c r="F28" s="11">
        <v>1.08</v>
      </c>
      <c r="G28" s="12">
        <v>169.97</v>
      </c>
      <c r="H28" s="12">
        <f t="shared" si="8"/>
        <v>47.653400583963595</v>
      </c>
      <c r="I28" s="12">
        <f t="shared" si="9"/>
        <v>0.60341536052873379</v>
      </c>
      <c r="J28" s="11">
        <f t="shared" si="15"/>
        <v>0.6701968180992911</v>
      </c>
      <c r="K28" s="21">
        <f t="shared" si="10"/>
        <v>99885.962115399452</v>
      </c>
      <c r="L28" s="20">
        <f t="shared" si="11"/>
        <v>238278.83909503181</v>
      </c>
      <c r="M28" s="21">
        <f t="shared" si="12"/>
        <v>138392.87697963236</v>
      </c>
      <c r="N28" s="12">
        <f t="shared" si="13"/>
        <v>5.2629460582871745</v>
      </c>
      <c r="O28" s="12">
        <f t="shared" si="14"/>
        <v>6.3408066697531575</v>
      </c>
      <c r="P28" s="12">
        <v>7.048</v>
      </c>
    </row>
    <row r="29" spans="1:16" x14ac:dyDescent="0.3">
      <c r="A29" s="41">
        <v>8</v>
      </c>
      <c r="B29" s="48">
        <f>K6*SIN(C28+C29-C$3)+0.5*C$17*C$7*C$5*(C29-C$8)*G6^2*COS(C28)-0.5*C$17*C$7*(C$11+1/PI()/C$10*C$5^2*(C29-C$8)^2)*G6^2*SIN(C28)-C$15</f>
        <v>-4.1179846448358148E-6</v>
      </c>
      <c r="C29" s="42">
        <v>6.1545702878004316E-2</v>
      </c>
      <c r="D29" s="43">
        <f t="shared" si="7"/>
        <v>3.5263090220758113</v>
      </c>
      <c r="F29" s="11">
        <v>0.96899999999999997</v>
      </c>
      <c r="G29" s="12">
        <v>164.23</v>
      </c>
      <c r="H29" s="12">
        <f t="shared" si="8"/>
        <v>50.308791721238322</v>
      </c>
      <c r="I29" s="12">
        <f t="shared" si="9"/>
        <v>0.63703948348340589</v>
      </c>
      <c r="J29" s="11">
        <f t="shared" si="15"/>
        <v>0.69086319124163698</v>
      </c>
      <c r="K29" s="21">
        <f t="shared" si="10"/>
        <v>101616.52704541644</v>
      </c>
      <c r="L29" s="20">
        <f t="shared" si="11"/>
        <v>245626.47081705139</v>
      </c>
      <c r="M29" s="21">
        <f t="shared" si="12"/>
        <v>144009.94377163495</v>
      </c>
      <c r="N29" s="12">
        <f t="shared" si="13"/>
        <v>5.4765576268685301</v>
      </c>
      <c r="O29" s="12">
        <f t="shared" si="14"/>
        <v>6.2495379365748507</v>
      </c>
      <c r="P29" s="12">
        <v>6.0739999999999998</v>
      </c>
    </row>
    <row r="30" spans="1:16" x14ac:dyDescent="0.3">
      <c r="A30" s="32">
        <v>9</v>
      </c>
      <c r="B30" s="47">
        <f>-K7*COS(C30+C31-C$3)+0.5*C$17*C$7*C$5*(C31-C$8)*G7^2*SIN(C30)+0.5*C$17*C$7*(C$11+1/PI()/C$10*C$5^2*(C31-C$8)^2)*G7^2*COS(C30)</f>
        <v>3.6743626878887881E-6</v>
      </c>
      <c r="C30" s="33">
        <v>8.9611998239082238E-2</v>
      </c>
      <c r="D30" s="34">
        <f t="shared" si="7"/>
        <v>5.1343892928331769</v>
      </c>
      <c r="F30" s="11">
        <v>0.86799999999999999</v>
      </c>
      <c r="G30" s="12">
        <v>160.72999999999999</v>
      </c>
      <c r="H30" s="12">
        <f t="shared" si="8"/>
        <v>53.155219127558865</v>
      </c>
      <c r="I30" s="12">
        <f t="shared" si="9"/>
        <v>0.67308261993444407</v>
      </c>
      <c r="J30" s="11">
        <f t="shared" si="15"/>
        <v>0.71138324026407407</v>
      </c>
      <c r="K30" s="21">
        <f t="shared" si="10"/>
        <v>102716.95158556438</v>
      </c>
      <c r="L30" s="20">
        <f t="shared" si="11"/>
        <v>252922.07910284761</v>
      </c>
      <c r="M30" s="21">
        <f t="shared" si="12"/>
        <v>150205.12751728322</v>
      </c>
      <c r="N30" s="12">
        <f t="shared" si="13"/>
        <v>5.7121544190309104</v>
      </c>
      <c r="O30" s="12">
        <f t="shared" si="14"/>
        <v>6.1690188257981022</v>
      </c>
      <c r="P30" s="12">
        <v>5.0990000000000002</v>
      </c>
    </row>
    <row r="31" spans="1:16" x14ac:dyDescent="0.3">
      <c r="A31" s="35">
        <v>10</v>
      </c>
      <c r="B31" s="48">
        <f>K7*SIN(C30+C31-C$3)+0.5*C$17*C$7*C$5*(C31-C$8)*G7^2*COS(C30)-0.5*C$17*C$7*(C$11+1/PI()/C$10*C$5^2*(C31-C$8)^2)*G7^2*SIN(C30)-C$15</f>
        <v>-1.3816679711453617E-7</v>
      </c>
      <c r="C31" s="36">
        <v>3.6602138662421117E-2</v>
      </c>
      <c r="D31" s="37">
        <f t="shared" si="7"/>
        <v>2.0971480665093463</v>
      </c>
      <c r="F31" s="11">
        <v>0.77100000000000002</v>
      </c>
      <c r="G31" s="12">
        <v>153.61000000000001</v>
      </c>
      <c r="H31" s="12">
        <f t="shared" si="8"/>
        <v>56.399932782670049</v>
      </c>
      <c r="I31" s="12">
        <f t="shared" si="9"/>
        <v>0.7141690909106686</v>
      </c>
      <c r="J31" s="11">
        <f t="shared" si="15"/>
        <v>0.73278040990020754</v>
      </c>
      <c r="K31" s="21">
        <f t="shared" si="10"/>
        <v>105070.51229932588</v>
      </c>
      <c r="L31" s="20">
        <f t="shared" si="11"/>
        <v>260529.53500703542</v>
      </c>
      <c r="M31" s="21">
        <f t="shared" si="12"/>
        <v>155459.02270770952</v>
      </c>
      <c r="N31" s="12">
        <f t="shared" si="13"/>
        <v>5.9119549260120428</v>
      </c>
      <c r="O31" s="12">
        <f t="shared" si="14"/>
        <v>6.0169125160677108</v>
      </c>
      <c r="P31" s="12">
        <v>3.86</v>
      </c>
    </row>
    <row r="32" spans="1:16" x14ac:dyDescent="0.3">
      <c r="A32" s="38">
        <v>11</v>
      </c>
      <c r="B32" s="47">
        <f>-K8*COS(C32+C33-C$3)+0.5*C$17*C$7*C$5*(C33-C$8)*G8^2*SIN(C32)+0.5*C$17*C$7*(C$11+1/PI()/C$10*C$5^2*(C33-C$8)^2)*G8^2*COS(C32)</f>
        <v>-3.2845783380253124E-5</v>
      </c>
      <c r="C32" s="39">
        <v>7.5515852671297609E-2</v>
      </c>
      <c r="D32" s="40">
        <f t="shared" si="7"/>
        <v>4.3267396443970769</v>
      </c>
      <c r="F32" s="11">
        <v>0.56899999999999995</v>
      </c>
      <c r="G32" s="12">
        <v>116.14</v>
      </c>
      <c r="H32" s="12">
        <f t="shared" si="8"/>
        <v>65.65225417585259</v>
      </c>
      <c r="I32" s="12">
        <f t="shared" si="9"/>
        <v>0.8313274212874886</v>
      </c>
      <c r="J32" s="11">
        <f t="shared" si="15"/>
        <v>0.78281464562287761</v>
      </c>
      <c r="K32" s="21">
        <f t="shared" si="10"/>
        <v>120836.93014345365</v>
      </c>
      <c r="L32" s="20">
        <f t="shared" si="11"/>
        <v>278318.4878654161</v>
      </c>
      <c r="M32" s="21">
        <f t="shared" si="12"/>
        <v>157481.55772196245</v>
      </c>
      <c r="N32" s="12">
        <f t="shared" si="13"/>
        <v>5.9888699588758865</v>
      </c>
      <c r="O32" s="12">
        <f t="shared" si="14"/>
        <v>5.2338591885178651</v>
      </c>
      <c r="P32" s="12">
        <v>2.0419999999999998</v>
      </c>
    </row>
    <row r="33" spans="1:16" x14ac:dyDescent="0.3">
      <c r="A33" s="41">
        <v>12</v>
      </c>
      <c r="B33" s="48">
        <f>K8*SIN(C32+C33-C$3)+0.5*C$17*C$7*C$5*(C33-C$8)*G8^2*COS(C32)-0.5*C$17*C$7*(C$11+1/PI()/C$10*C$5^2*(C33-C$8)^2)*G8^2*SIN(C32)-C$15</f>
        <v>6.7600194597616792E-6</v>
      </c>
      <c r="C33" s="42">
        <v>2.0931506098632795E-2</v>
      </c>
      <c r="D33" s="43">
        <f t="shared" si="7"/>
        <v>1.1992869583040027</v>
      </c>
      <c r="F33" s="11">
        <v>0.47099999999999997</v>
      </c>
      <c r="G33" s="12">
        <v>88.53</v>
      </c>
      <c r="H33" s="12">
        <f t="shared" si="8"/>
        <v>72.159800169447564</v>
      </c>
      <c r="I33" s="12">
        <f t="shared" si="9"/>
        <v>0.9137297926557949</v>
      </c>
      <c r="J33" s="11">
        <f t="shared" si="15"/>
        <v>0.8090211410737882</v>
      </c>
      <c r="K33" s="21">
        <f t="shared" si="10"/>
        <v>138402.95485285157</v>
      </c>
      <c r="L33" s="20">
        <f t="shared" si="11"/>
        <v>287635.83038951486</v>
      </c>
      <c r="M33" s="21">
        <f t="shared" si="12"/>
        <v>149232.87553666328</v>
      </c>
      <c r="N33" s="12">
        <f t="shared" si="13"/>
        <v>5.675180624998009</v>
      </c>
      <c r="O33" s="12">
        <f t="shared" si="14"/>
        <v>4.5108224482908401</v>
      </c>
      <c r="P33" s="12">
        <v>1.198</v>
      </c>
    </row>
    <row r="34" spans="1:16" x14ac:dyDescent="0.3">
      <c r="A34" s="32">
        <v>13</v>
      </c>
      <c r="B34" s="47">
        <f>-K9*COS(C34+C35-C$3)+0.5*C$17*C$7*C$5*(C35-C$8)*G9^2*SIN(C34)+0.5*C$17*C$7*(C$11+1/PI()/C$10*C$5^2*(C35-C$8)^2)*G9^2*COS(C34)</f>
        <v>-4.3015548362745903E-4</v>
      </c>
      <c r="C34" s="33">
        <v>5.9822228352277788E-2</v>
      </c>
      <c r="D34" s="34">
        <f t="shared" si="7"/>
        <v>3.4275612056533702</v>
      </c>
      <c r="F34" s="28">
        <v>0.371</v>
      </c>
      <c r="G34" s="28">
        <v>56.77</v>
      </c>
      <c r="H34" s="12">
        <f t="shared" si="8"/>
        <v>81.305293260097159</v>
      </c>
      <c r="I34" s="12">
        <f t="shared" si="9"/>
        <v>1.0295354002909503</v>
      </c>
      <c r="J34" s="11">
        <f t="shared" si="15"/>
        <v>0.83468941974365085</v>
      </c>
      <c r="K34" s="21">
        <f t="shared" si="10"/>
        <v>172834.7824202569</v>
      </c>
      <c r="L34" s="20">
        <f t="shared" si="11"/>
        <v>296761.81767839583</v>
      </c>
      <c r="M34" s="21">
        <f t="shared" si="12"/>
        <v>123927.03525813893</v>
      </c>
      <c r="N34" s="12">
        <f t="shared" si="13"/>
        <v>4.7128242143779344</v>
      </c>
      <c r="O34" s="12">
        <f t="shared" si="14"/>
        <v>3.3229862934452847</v>
      </c>
      <c r="P34" s="12">
        <v>0.42</v>
      </c>
    </row>
    <row r="35" spans="1:16" x14ac:dyDescent="0.3">
      <c r="A35" s="35">
        <v>14</v>
      </c>
      <c r="B35" s="48">
        <f>K9*SIN(C34+C35-C$3)+0.5*C$17*C$7*C$5*(C35-C$8)*G9^2*COS(C34)-0.5*C$17*C$7*(C$11+1/PI()/C$10*C$5^2*(C35-C$8)^2)*G9^2*SIN(C34)-C$15</f>
        <v>1.2558310118038207E-5</v>
      </c>
      <c r="C35" s="36">
        <v>9.0652133034946451E-3</v>
      </c>
      <c r="D35" s="37">
        <f t="shared" si="7"/>
        <v>0.5193984626760898</v>
      </c>
      <c r="F35" s="28">
        <v>0.27600000000000002</v>
      </c>
      <c r="G35" s="28">
        <v>29.74</v>
      </c>
      <c r="H35" s="12">
        <f t="shared" si="8"/>
        <v>94.265165507918979</v>
      </c>
      <c r="I35" s="12">
        <f t="shared" si="9"/>
        <v>1.1936409182391783</v>
      </c>
      <c r="J35" s="11">
        <f t="shared" si="15"/>
        <v>0.85189903222163221</v>
      </c>
      <c r="K35" s="21">
        <f t="shared" si="10"/>
        <v>238792.18655016948</v>
      </c>
      <c r="L35" s="20">
        <f t="shared" si="11"/>
        <v>302880.44786550791</v>
      </c>
      <c r="M35" s="21">
        <f t="shared" si="12"/>
        <v>64088.26131533843</v>
      </c>
      <c r="N35" s="12">
        <f t="shared" si="13"/>
        <v>2.4372140361073575</v>
      </c>
      <c r="O35" s="12">
        <f t="shared" si="14"/>
        <v>1.4815402893607115</v>
      </c>
      <c r="P35" s="12">
        <v>-0.29199999999999998</v>
      </c>
    </row>
    <row r="36" spans="1:16" x14ac:dyDescent="0.3">
      <c r="A36" s="38">
        <v>15</v>
      </c>
      <c r="B36" s="47">
        <f>-K10*COS(C36+C37-C$3)+0.5*C$17*C$7*C$5*(C37-C$8)*G10^2*SIN(C36)+0.5*C$17*C$7*(C$11+1/PI()/C$10*C$5^2*(C37-C$8)^2)*G10^2*COS(C36)</f>
        <v>1.8738118342298549E-5</v>
      </c>
      <c r="C36" s="39">
        <v>4.0406534535490236E-2</v>
      </c>
      <c r="D36" s="40">
        <f t="shared" si="7"/>
        <v>2.3151238936331948</v>
      </c>
      <c r="F36" s="28">
        <v>0.186</v>
      </c>
      <c r="G36" s="28">
        <v>10.85</v>
      </c>
      <c r="H36" s="12">
        <f t="shared" si="8"/>
        <v>114.82839731091957</v>
      </c>
      <c r="I36" s="12">
        <f t="shared" si="9"/>
        <v>1.4540246428000472</v>
      </c>
      <c r="J36" s="11">
        <f t="shared" si="15"/>
        <v>0.84447388964847381</v>
      </c>
      <c r="K36" s="21">
        <f t="shared" si="10"/>
        <v>395344.5218113084</v>
      </c>
      <c r="L36" s="20">
        <f t="shared" si="11"/>
        <v>300240.54522099078</v>
      </c>
      <c r="M36" s="21">
        <f t="shared" si="12"/>
        <v>-95103.976590317616</v>
      </c>
      <c r="N36" s="12">
        <f t="shared" si="13"/>
        <v>-3.6167114207555038</v>
      </c>
      <c r="O36" s="12">
        <f t="shared" si="14"/>
        <v>-1.8049244125415036</v>
      </c>
      <c r="P36" s="12">
        <v>-1.071</v>
      </c>
    </row>
    <row r="37" spans="1:16" x14ac:dyDescent="0.3">
      <c r="A37" s="41">
        <v>16</v>
      </c>
      <c r="B37" s="48">
        <f>K10*SIN(C36+C37-C$3)+0.5*C$17*C$7*C$5*(C37-C$8)*G10^2*COS(C36)-0.5*C$17*C$7*(C$11+1/PI()/C$10*C$5^2*(C37-C$8)^2)*G10^2*SIN(C36)-C$15</f>
        <v>-9.2439950094558299E-7</v>
      </c>
      <c r="C37" s="42">
        <v>-1.2794369933409775E-3</v>
      </c>
      <c r="D37" s="43">
        <f t="shared" si="7"/>
        <v>-7.3306339871345619E-2</v>
      </c>
      <c r="F37" s="15">
        <v>7.0999999999999994E-2</v>
      </c>
      <c r="G37" s="16">
        <v>0.71</v>
      </c>
      <c r="H37" s="16">
        <f t="shared" si="8"/>
        <v>185.85600643906642</v>
      </c>
      <c r="I37" s="12">
        <f t="shared" si="9"/>
        <v>2.3534179671870112</v>
      </c>
      <c r="J37" s="11">
        <f t="shared" si="15"/>
        <v>0.75426582591754832</v>
      </c>
      <c r="K37" s="20">
        <f t="shared" si="10"/>
        <v>1545472.9922544388</v>
      </c>
      <c r="L37" s="20">
        <f t="shared" si="11"/>
        <v>268168.36564279546</v>
      </c>
      <c r="M37" s="20">
        <f t="shared" si="12"/>
        <v>-1277304.6266116435</v>
      </c>
      <c r="N37" s="16">
        <f t="shared" si="13"/>
        <v>-48.574648468700246</v>
      </c>
      <c r="O37" s="16">
        <f t="shared" si="14"/>
        <v>-15.150558699186597</v>
      </c>
      <c r="P37" s="16">
        <v>-2.044</v>
      </c>
    </row>
    <row r="38" spans="1:16" ht="15.6" thickBot="1" x14ac:dyDescent="0.35">
      <c r="A38" s="32">
        <v>17</v>
      </c>
      <c r="B38" s="47">
        <f>-K11*COS(C38+C39-C$3)+0.5*C$17*C$7*C$5*(C39-C$8)*G11^2*SIN(C38)+0.5*C$17*C$7*(C$11+1/PI()/C$10*C$5^2*(C39-C$8)^2)*G11^2*COS(C38)</f>
        <v>1.5779314708197489E-5</v>
      </c>
      <c r="C38" s="33">
        <v>2.2385732255369752E-2</v>
      </c>
      <c r="D38" s="34">
        <f t="shared" si="7"/>
        <v>1.2826079795425605</v>
      </c>
    </row>
    <row r="39" spans="1:16" ht="18.600000000000001" thickBot="1" x14ac:dyDescent="0.35">
      <c r="A39" s="35">
        <v>18</v>
      </c>
      <c r="B39" s="48">
        <f>K11*SIN(C38+C39-C$3)+0.5*C$17*C$7*C$5*(C39-C$8)*G11^2*COS(C38)-0.5*C$17*C$7*(C$11+1/PI()/C$10*C$5^2*(C39-C$8)^2)*G11^2*SIN(C38)-C$15</f>
        <v>-2.5659173843450844E-6</v>
      </c>
      <c r="C39" s="36">
        <v>-8.3292552254958085E-3</v>
      </c>
      <c r="D39" s="37">
        <f t="shared" si="7"/>
        <v>-0.47723117090819661</v>
      </c>
      <c r="F39" s="132" t="s">
        <v>186</v>
      </c>
      <c r="G39" s="133"/>
      <c r="H39" s="133"/>
      <c r="I39" s="133"/>
      <c r="J39" s="133"/>
      <c r="K39" s="133"/>
      <c r="L39" s="133"/>
      <c r="M39" s="133"/>
      <c r="N39" s="133"/>
      <c r="O39" s="133"/>
      <c r="P39" s="134"/>
    </row>
    <row r="40" spans="1:16" ht="18.600000000000001" thickBot="1" x14ac:dyDescent="0.35">
      <c r="A40" s="38">
        <v>19</v>
      </c>
      <c r="B40" s="47">
        <f>-K12*COS(C40+C41-C$3)+0.5*C$17*C$7*C$5*(C41-C$8)*G12^2*SIN(C40)+0.5*C$17*C$7*(C$11+1/PI()/C$10*C$5^2*(C41-C$8)^2)*G12^2*COS(C40)</f>
        <v>8.8849680605562753E-4</v>
      </c>
      <c r="C40" s="39">
        <v>3.5612324744452688E-3</v>
      </c>
      <c r="D40" s="40">
        <f t="shared" si="7"/>
        <v>0.2040435906506447</v>
      </c>
      <c r="F40" s="97" t="s">
        <v>1</v>
      </c>
      <c r="G40" s="97" t="s">
        <v>2</v>
      </c>
      <c r="H40" s="97" t="s">
        <v>67</v>
      </c>
      <c r="I40" s="97" t="s">
        <v>15</v>
      </c>
      <c r="J40" s="97" t="s">
        <v>74</v>
      </c>
      <c r="K40" s="97" t="s">
        <v>72</v>
      </c>
      <c r="L40" s="97" t="s">
        <v>73</v>
      </c>
      <c r="M40" s="97" t="s">
        <v>71</v>
      </c>
      <c r="N40" s="97" t="s">
        <v>69</v>
      </c>
      <c r="O40" s="97" t="s">
        <v>87</v>
      </c>
      <c r="P40" s="97" t="s">
        <v>70</v>
      </c>
    </row>
    <row r="41" spans="1:16" x14ac:dyDescent="0.3">
      <c r="A41" s="41">
        <v>20</v>
      </c>
      <c r="B41" s="48">
        <f>K12*SIN(C40+C41-C$3)+0.5*C$17*C$7*C$5*(C41-C$8)*G12^2*COS(C40)-0.5*C$17*C$7*(C$11+1/PI()/C$10*C$5^2*(C41-C$8)^2)*G12^2*SIN(C40)-C$15</f>
        <v>-9.1835903731407598E-5</v>
      </c>
      <c r="C41" s="42">
        <v>-1.4016573880712204E-2</v>
      </c>
      <c r="D41" s="43">
        <f t="shared" si="7"/>
        <v>-0.80309052659811508</v>
      </c>
      <c r="F41" s="93">
        <f t="shared" ref="F41:P56" si="16">F22</f>
        <v>1.63</v>
      </c>
      <c r="G41" s="99">
        <f t="shared" si="16"/>
        <v>156.18</v>
      </c>
      <c r="H41" s="92">
        <f>SQRT((2*C$20)/(C$7*C$17*F41))</f>
        <v>40.730481978293845</v>
      </c>
      <c r="I41" s="92">
        <f>H41/C$12/C$4</f>
        <v>0.51575329706296147</v>
      </c>
      <c r="J41" s="93">
        <f>0.185*I41^3-0.9822*I41^2+1.6209*I41</f>
        <v>0.60009824120794697</v>
      </c>
      <c r="K41" s="94">
        <f>C$20*SQRT((2*C$20)/(C$17*C$7*G41))</f>
        <v>120642.57918751622</v>
      </c>
      <c r="L41" s="94">
        <f>C$18*J41</f>
        <v>213356.29832371959</v>
      </c>
      <c r="M41" s="94">
        <f>(L41-K41)</f>
        <v>92713.719136203363</v>
      </c>
      <c r="N41" s="92">
        <f>M41/C$20</f>
        <v>3.1977464961041502</v>
      </c>
      <c r="O41" s="92">
        <f>DEGREES(ASIN(N41/H41))</f>
        <v>4.502920482617915</v>
      </c>
      <c r="P41" s="99">
        <f t="shared" si="16"/>
        <v>15.276999999999999</v>
      </c>
    </row>
    <row r="42" spans="1:16" x14ac:dyDescent="0.3">
      <c r="A42" s="32">
        <v>21</v>
      </c>
      <c r="B42" s="47">
        <f>-K13*COS(C42+C43-C$3)+0.5*C$17*C$7*C$5*(C43-C$8)*G13^2*SIN(C42)+0.5*C$17*C$7*(C$11+1/PI()/C$10*C$5^2*(C43-C$8)^2)*G13^2*COS(C42)</f>
        <v>1.9811385436696582E-4</v>
      </c>
      <c r="C42" s="33">
        <v>-1.8809007888903578E-2</v>
      </c>
      <c r="D42" s="34">
        <f t="shared" si="7"/>
        <v>-1.0776767688624453</v>
      </c>
      <c r="F42" s="11">
        <f t="shared" si="16"/>
        <v>1.571</v>
      </c>
      <c r="G42" s="28">
        <f t="shared" si="16"/>
        <v>158.85</v>
      </c>
      <c r="H42" s="12">
        <f t="shared" ref="H42:H56" si="17">SQRT((2*C$20)/(C$7*C$17*F42))</f>
        <v>41.488263618188093</v>
      </c>
      <c r="I42" s="12">
        <f t="shared" ref="I42:I56" si="18">H42/C$12/C$4</f>
        <v>0.52534877347881914</v>
      </c>
      <c r="J42" s="11">
        <f t="shared" ref="J42:J56" si="19">0.185*I42^3-0.9822*I42^2+1.6209*I42</f>
        <v>0.60728260498724729</v>
      </c>
      <c r="K42" s="21">
        <f t="shared" ref="K42:K56" si="20">C$20*SQRT((2*C$20)/(C$17*C$7*G42))</f>
        <v>119624.38360080248</v>
      </c>
      <c r="L42" s="21">
        <f t="shared" ref="L42:L56" si="21">C$18*J42</f>
        <v>215910.59553125192</v>
      </c>
      <c r="M42" s="21">
        <f t="shared" ref="M42:M56" si="22">(L42-K42)</f>
        <v>96286.211930449441</v>
      </c>
      <c r="N42" s="12">
        <f t="shared" ref="N42:N56" si="23">M42/C$20</f>
        <v>3.3209637116531794</v>
      </c>
      <c r="O42" s="12">
        <f t="shared" ref="O42:O56" si="24">DEGREES(ASIN(N42/H42))</f>
        <v>4.5912017329784218</v>
      </c>
      <c r="P42" s="28">
        <f t="shared" si="16"/>
        <v>12.122999999999999</v>
      </c>
    </row>
    <row r="43" spans="1:16" x14ac:dyDescent="0.3">
      <c r="A43" s="35">
        <v>22</v>
      </c>
      <c r="B43" s="48">
        <f>K13*SIN(C42+C43-C$3)+0.5*C$17*C$7*C$5*(C43-C$8)*G13^2*COS(C42)-0.5*C$17*C$7*(C$11+1/PI()/C$10*C$5^2*(C43-C$8)^2)*G13^2*SIN(C42)-C$15</f>
        <v>-2.3260574380401522E-5</v>
      </c>
      <c r="C43" s="36">
        <v>-1.9268376016297335E-2</v>
      </c>
      <c r="D43" s="37">
        <f t="shared" si="7"/>
        <v>-1.1039966238049357</v>
      </c>
      <c r="F43" s="11">
        <f t="shared" si="16"/>
        <v>1.474</v>
      </c>
      <c r="G43" s="28">
        <f t="shared" si="16"/>
        <v>163.07</v>
      </c>
      <c r="H43" s="12">
        <f t="shared" si="17"/>
        <v>42.831630739814578</v>
      </c>
      <c r="I43" s="12">
        <f t="shared" si="18"/>
        <v>0.54235927736910139</v>
      </c>
      <c r="J43" s="11">
        <f t="shared" si="19"/>
        <v>0.6197068321129322</v>
      </c>
      <c r="K43" s="21">
        <f t="shared" si="20"/>
        <v>118066.390678839</v>
      </c>
      <c r="L43" s="21">
        <f t="shared" si="21"/>
        <v>220327.8507855474</v>
      </c>
      <c r="M43" s="21">
        <f t="shared" si="22"/>
        <v>102261.4601067084</v>
      </c>
      <c r="N43" s="12">
        <f t="shared" si="23"/>
        <v>3.5270532644939485</v>
      </c>
      <c r="O43" s="12">
        <f t="shared" si="24"/>
        <v>4.7234801249666303</v>
      </c>
      <c r="P43" s="28">
        <f t="shared" si="16"/>
        <v>11.015000000000001</v>
      </c>
    </row>
    <row r="44" spans="1:16" x14ac:dyDescent="0.3">
      <c r="A44" s="38">
        <v>23</v>
      </c>
      <c r="B44" s="47">
        <f>-K14*COS(C44+C45-C$3)+0.5*C$17*C$7*C$5*(C45-C$8)*G14^2*SIN(C44)+0.5*C$17*C$7*(C$11+1/PI()/C$10*C$5^2*(C45-C$8)^2)*G14^2*COS(C44)</f>
        <v>4.1595487664380926E-4</v>
      </c>
      <c r="C44" s="39">
        <v>-3.9057528921993948E-2</v>
      </c>
      <c r="D44" s="40">
        <f t="shared" si="7"/>
        <v>-2.2378315654404011</v>
      </c>
      <c r="F44" s="11">
        <f t="shared" si="16"/>
        <v>1.379</v>
      </c>
      <c r="G44" s="28">
        <f t="shared" si="16"/>
        <v>167.61</v>
      </c>
      <c r="H44" s="12">
        <f t="shared" si="17"/>
        <v>44.28240691586889</v>
      </c>
      <c r="I44" s="12">
        <f t="shared" si="18"/>
        <v>0.56072985782280593</v>
      </c>
      <c r="J44" s="11">
        <f t="shared" si="19"/>
        <v>0.63268184894556356</v>
      </c>
      <c r="K44" s="21">
        <f t="shared" si="20"/>
        <v>116456.39968039133</v>
      </c>
      <c r="L44" s="21">
        <f t="shared" si="21"/>
        <v>224940.93139802484</v>
      </c>
      <c r="M44" s="21">
        <f t="shared" si="22"/>
        <v>108484.53171763351</v>
      </c>
      <c r="N44" s="12">
        <f t="shared" si="23"/>
        <v>3.7416903821098071</v>
      </c>
      <c r="O44" s="12">
        <f t="shared" si="24"/>
        <v>4.847048893086396</v>
      </c>
      <c r="P44" s="28">
        <f t="shared" si="16"/>
        <v>9.5779999999999994</v>
      </c>
    </row>
    <row r="45" spans="1:16" x14ac:dyDescent="0.3">
      <c r="A45" s="41">
        <v>24</v>
      </c>
      <c r="B45" s="48">
        <f>K14*SIN(C44+C45-C$3)+0.5*C$17*C$7*C$5*(C45-C$8)*G14^2*COS(C44)-0.5*C$17*C$7*(C$11+1/PI()/C$10*C$5^2*(C45-C$8)^2)*G14^2*SIN(C44)-C$15</f>
        <v>-3.8076501368777826E-5</v>
      </c>
      <c r="C45" s="42">
        <v>-2.3031572149134979E-2</v>
      </c>
      <c r="D45" s="43">
        <f t="shared" si="7"/>
        <v>-1.3196118796964853</v>
      </c>
      <c r="F45" s="11">
        <f t="shared" si="16"/>
        <v>1.272</v>
      </c>
      <c r="G45" s="28">
        <f t="shared" si="16"/>
        <v>169.65</v>
      </c>
      <c r="H45" s="12">
        <f t="shared" si="17"/>
        <v>46.107311119256231</v>
      </c>
      <c r="I45" s="12">
        <f t="shared" si="18"/>
        <v>0.58383786720562303</v>
      </c>
      <c r="J45" s="11">
        <f t="shared" si="19"/>
        <v>0.64836057951092574</v>
      </c>
      <c r="K45" s="21">
        <f t="shared" si="20"/>
        <v>115754.10211075157</v>
      </c>
      <c r="L45" s="21">
        <f t="shared" si="21"/>
        <v>230515.27854009796</v>
      </c>
      <c r="M45" s="21">
        <f t="shared" si="22"/>
        <v>114761.17642934639</v>
      </c>
      <c r="N45" s="12">
        <f t="shared" si="23"/>
        <v>3.9581752650502118</v>
      </c>
      <c r="O45" s="12">
        <f t="shared" si="24"/>
        <v>4.9247335922537205</v>
      </c>
      <c r="P45" s="28">
        <f t="shared" si="16"/>
        <v>8.4719999999999995</v>
      </c>
    </row>
    <row r="46" spans="1:16" x14ac:dyDescent="0.3">
      <c r="A46" s="32">
        <v>25</v>
      </c>
      <c r="B46" s="47">
        <f>-K15*COS(C46+C47-C$3)+0.5*C$17*C$7*C$5*(C47-C$8)*G15^2*SIN(C46)+0.5*C$17*C$7*(C$11+1/PI()/C$10*C$5^2*(C47-C$8)^2)*G15^2*COS(C46)</f>
        <v>1.3757801116298651E-4</v>
      </c>
      <c r="C46" s="33">
        <v>-5.9889251691746324E-2</v>
      </c>
      <c r="D46" s="34">
        <f t="shared" si="7"/>
        <v>-3.43140136013379</v>
      </c>
      <c r="F46" s="11">
        <f t="shared" si="16"/>
        <v>1.1779999999999999</v>
      </c>
      <c r="G46" s="28">
        <f t="shared" si="16"/>
        <v>170.58</v>
      </c>
      <c r="H46" s="12">
        <f t="shared" si="17"/>
        <v>47.911603525951229</v>
      </c>
      <c r="I46" s="12">
        <f t="shared" si="18"/>
        <v>0.60668487790671244</v>
      </c>
      <c r="J46" s="11">
        <f t="shared" si="19"/>
        <v>0.66317113678890349</v>
      </c>
      <c r="K46" s="21">
        <f t="shared" si="20"/>
        <v>115438.12589808492</v>
      </c>
      <c r="L46" s="21">
        <f t="shared" si="21"/>
        <v>235780.95915695847</v>
      </c>
      <c r="M46" s="21">
        <f t="shared" si="22"/>
        <v>120342.83325887355</v>
      </c>
      <c r="N46" s="12">
        <f t="shared" si="23"/>
        <v>4.1506896387089274</v>
      </c>
      <c r="O46" s="12">
        <f t="shared" si="24"/>
        <v>4.9698917425641893</v>
      </c>
      <c r="P46" s="28">
        <f t="shared" si="16"/>
        <v>7.694</v>
      </c>
    </row>
    <row r="47" spans="1:16" x14ac:dyDescent="0.3">
      <c r="A47" s="35">
        <v>26</v>
      </c>
      <c r="B47" s="48">
        <f>K15*SIN(C46+C47-C$3)+0.5*C$17*C$7*C$5*(C47-C$8)*G15^2*COS(C46)-0.5*C$17*C$7*(C$11+1/PI()/C$10*C$5^2*(C47-C$8)^2)*G15^2*SIN(C46)-C$15</f>
        <v>-9.2260124802123755E-6</v>
      </c>
      <c r="C47" s="36">
        <v>-2.619320543676032E-2</v>
      </c>
      <c r="D47" s="37">
        <f t="shared" si="7"/>
        <v>-1.5007601234454884</v>
      </c>
      <c r="F47" s="11">
        <f t="shared" si="16"/>
        <v>1.08</v>
      </c>
      <c r="G47" s="28">
        <f t="shared" si="16"/>
        <v>169.97</v>
      </c>
      <c r="H47" s="12">
        <f t="shared" si="17"/>
        <v>50.038176391928353</v>
      </c>
      <c r="I47" s="12">
        <f t="shared" si="18"/>
        <v>0.63361279316332142</v>
      </c>
      <c r="J47" s="11">
        <f t="shared" si="19"/>
        <v>0.67976297655683804</v>
      </c>
      <c r="K47" s="21">
        <f t="shared" si="20"/>
        <v>115645.08650979548</v>
      </c>
      <c r="L47" s="21">
        <f t="shared" si="21"/>
        <v>241679.94914256671</v>
      </c>
      <c r="M47" s="21">
        <f t="shared" si="22"/>
        <v>126034.86263277123</v>
      </c>
      <c r="N47" s="12">
        <f t="shared" si="23"/>
        <v>4.3470108213309251</v>
      </c>
      <c r="O47" s="12">
        <f t="shared" si="24"/>
        <v>4.9837892993086435</v>
      </c>
      <c r="P47" s="28">
        <f t="shared" si="16"/>
        <v>7.048</v>
      </c>
    </row>
    <row r="48" spans="1:16" x14ac:dyDescent="0.3">
      <c r="A48" s="38">
        <v>27</v>
      </c>
      <c r="B48" s="47">
        <f>-K16*COS(C48+C49-C$3)+0.5*C$17*C$7*C$5*(C49-C$8)*G16^2*SIN(C48)+0.5*C$17*C$7*(C$11+1/PI()/C$10*C$5^2*(C49-C$8)^2)*G16^2*COS(C48)</f>
        <v>1.2250221971044084E-4</v>
      </c>
      <c r="C48" s="39">
        <v>-8.1275509266618098E-2</v>
      </c>
      <c r="D48" s="40">
        <f t="shared" si="7"/>
        <v>-4.6567436587536299</v>
      </c>
      <c r="F48" s="11">
        <f t="shared" si="16"/>
        <v>0.96899999999999997</v>
      </c>
      <c r="G48" s="28">
        <f t="shared" si="16"/>
        <v>164.23</v>
      </c>
      <c r="H48" s="12">
        <f t="shared" si="17"/>
        <v>52.826454426407807</v>
      </c>
      <c r="I48" s="12">
        <f t="shared" si="18"/>
        <v>0.66891960809807693</v>
      </c>
      <c r="J48" s="11">
        <f t="shared" si="19"/>
        <v>0.70013544244655557</v>
      </c>
      <c r="K48" s="21">
        <f t="shared" si="20"/>
        <v>117648.68468119238</v>
      </c>
      <c r="L48" s="21">
        <f t="shared" si="21"/>
        <v>248923.08636824336</v>
      </c>
      <c r="M48" s="21">
        <f t="shared" si="22"/>
        <v>131274.40168705099</v>
      </c>
      <c r="N48" s="12">
        <f t="shared" si="23"/>
        <v>4.5277253672268785</v>
      </c>
      <c r="O48" s="12">
        <f t="shared" si="24"/>
        <v>4.9168211715527335</v>
      </c>
      <c r="P48" s="28">
        <f t="shared" si="16"/>
        <v>6.0739999999999998</v>
      </c>
    </row>
    <row r="49" spans="1:16" x14ac:dyDescent="0.3">
      <c r="A49" s="41">
        <v>28</v>
      </c>
      <c r="B49" s="48">
        <f>K16*SIN(C48+C49-C$3)+0.5*C$17*C$7*C$5*(C49-C$8)*G16^2*COS(C48)-0.5*C$17*C$7*(C$11+1/PI()/C$10*C$5^2*(C49-C$8)^2)*G16^2*SIN(C48)-C$15</f>
        <v>-1.1292006092844531E-5</v>
      </c>
      <c r="C49" s="42">
        <v>-2.8876263642087126E-2</v>
      </c>
      <c r="D49" s="43">
        <f t="shared" si="7"/>
        <v>-1.6544880347986595</v>
      </c>
      <c r="F49" s="11">
        <f t="shared" si="16"/>
        <v>0.86799999999999999</v>
      </c>
      <c r="G49" s="28">
        <f t="shared" si="16"/>
        <v>160.72999999999999</v>
      </c>
      <c r="H49" s="12">
        <f t="shared" si="17"/>
        <v>55.815328985177857</v>
      </c>
      <c r="I49" s="12">
        <f t="shared" si="18"/>
        <v>0.70676649409895376</v>
      </c>
      <c r="J49" s="11">
        <f t="shared" si="19"/>
        <v>0.72028336214674904</v>
      </c>
      <c r="K49" s="21">
        <f t="shared" si="20"/>
        <v>118922.72448065774</v>
      </c>
      <c r="L49" s="21">
        <f t="shared" si="21"/>
        <v>256086.38942592929</v>
      </c>
      <c r="M49" s="21">
        <f t="shared" si="22"/>
        <v>137163.66494527156</v>
      </c>
      <c r="N49" s="12">
        <f t="shared" si="23"/>
        <v>4.7308492535736617</v>
      </c>
      <c r="O49" s="12">
        <f t="shared" si="24"/>
        <v>4.8621642923600996</v>
      </c>
      <c r="P49" s="28">
        <f t="shared" si="16"/>
        <v>5.0990000000000002</v>
      </c>
    </row>
    <row r="50" spans="1:16" x14ac:dyDescent="0.3">
      <c r="A50" s="32">
        <v>29</v>
      </c>
      <c r="B50" s="47">
        <f>-K17*COS(C50+C51-C$3)+0.5*C$17*C$7*C$5*(C51-C$8)*G17^2*SIN(C50)+0.5*C$17*C$7*(C$11+1/PI()/C$10*C$5^2*(C51-C$8)^2)*G17^2*COS(C50)</f>
        <v>1.464314964323421E-4</v>
      </c>
      <c r="C50" s="33">
        <v>-0.10637379050971409</v>
      </c>
      <c r="D50" s="34">
        <f t="shared" si="7"/>
        <v>-6.0947692470153871</v>
      </c>
      <c r="F50" s="11">
        <f t="shared" si="16"/>
        <v>0.77100000000000002</v>
      </c>
      <c r="G50" s="28">
        <f t="shared" si="16"/>
        <v>153.61000000000001</v>
      </c>
      <c r="H50" s="12">
        <f t="shared" si="17"/>
        <v>59.222421705238411</v>
      </c>
      <c r="I50" s="12">
        <f t="shared" si="18"/>
        <v>0.74990910421358248</v>
      </c>
      <c r="J50" s="11">
        <f t="shared" si="19"/>
        <v>0.74119257757755985</v>
      </c>
      <c r="K50" s="21">
        <f t="shared" si="20"/>
        <v>121647.60920504527</v>
      </c>
      <c r="L50" s="21">
        <f t="shared" si="21"/>
        <v>263520.36023076141</v>
      </c>
      <c r="M50" s="21">
        <f t="shared" si="22"/>
        <v>141872.75102571613</v>
      </c>
      <c r="N50" s="12">
        <f t="shared" si="23"/>
        <v>4.8932681884830949</v>
      </c>
      <c r="O50" s="12">
        <f t="shared" si="24"/>
        <v>4.7394820264502027</v>
      </c>
      <c r="P50" s="28">
        <f t="shared" si="16"/>
        <v>3.86</v>
      </c>
    </row>
    <row r="51" spans="1:16" x14ac:dyDescent="0.3">
      <c r="A51" s="35">
        <v>30</v>
      </c>
      <c r="B51" s="48">
        <f>K17*SIN(C50+C51-C$3)+0.5*C$17*C$7*C$5*(C51-C$8)*G17^2*COS(C50)-0.5*C$17*C$7*(C$11+1/PI()/C$10*C$5^2*(C51-C$8)^2)*G17^2*SIN(C50)-C$15</f>
        <v>-1.0688905604183674E-5</v>
      </c>
      <c r="C51" s="36">
        <v>-3.1475025809740861E-2</v>
      </c>
      <c r="D51" s="37">
        <f t="shared" si="7"/>
        <v>-1.8033861389634878</v>
      </c>
      <c r="F51" s="11">
        <f t="shared" si="16"/>
        <v>0.56899999999999995</v>
      </c>
      <c r="G51" s="28">
        <f t="shared" si="16"/>
        <v>116.14</v>
      </c>
      <c r="H51" s="12">
        <f t="shared" si="17"/>
        <v>68.937768023307456</v>
      </c>
      <c r="I51" s="12">
        <f t="shared" si="18"/>
        <v>0.87293052827438633</v>
      </c>
      <c r="J51" s="11">
        <f t="shared" si="19"/>
        <v>0.78954738449665141</v>
      </c>
      <c r="K51" s="21">
        <f t="shared" si="20"/>
        <v>139901.51312627146</v>
      </c>
      <c r="L51" s="21">
        <f t="shared" si="21"/>
        <v>280712.21633360337</v>
      </c>
      <c r="M51" s="21">
        <f t="shared" si="22"/>
        <v>140810.70320733191</v>
      </c>
      <c r="N51" s="12">
        <f t="shared" si="23"/>
        <v>4.8566375827693493</v>
      </c>
      <c r="O51" s="12">
        <f t="shared" si="24"/>
        <v>4.0398106557217526</v>
      </c>
      <c r="P51" s="28">
        <f t="shared" si="16"/>
        <v>2.0419999999999998</v>
      </c>
    </row>
    <row r="52" spans="1:16" x14ac:dyDescent="0.3">
      <c r="F52" s="11">
        <f t="shared" si="16"/>
        <v>0.47099999999999997</v>
      </c>
      <c r="G52" s="28">
        <f t="shared" si="16"/>
        <v>88.53</v>
      </c>
      <c r="H52" s="12">
        <f t="shared" si="17"/>
        <v>75.770978881624927</v>
      </c>
      <c r="I52" s="12">
        <f t="shared" si="18"/>
        <v>0.95945665952865955</v>
      </c>
      <c r="J52" s="11">
        <f t="shared" si="19"/>
        <v>0.81441053909899042</v>
      </c>
      <c r="K52" s="21">
        <f t="shared" si="20"/>
        <v>160238.94998055729</v>
      </c>
      <c r="L52" s="21">
        <f t="shared" si="21"/>
        <v>289551.9533405432</v>
      </c>
      <c r="M52" s="21">
        <f t="shared" si="22"/>
        <v>129313.00335998592</v>
      </c>
      <c r="N52" s="12">
        <f t="shared" si="23"/>
        <v>4.4600756743198042</v>
      </c>
      <c r="O52" s="12">
        <f t="shared" si="24"/>
        <v>3.3745282799009586</v>
      </c>
      <c r="P52" s="28">
        <f t="shared" si="16"/>
        <v>1.198</v>
      </c>
    </row>
    <row r="53" spans="1:16" x14ac:dyDescent="0.3">
      <c r="B53" s="53"/>
      <c r="C53" s="53"/>
      <c r="D53" s="53"/>
      <c r="F53" s="11">
        <f t="shared" si="16"/>
        <v>0.371</v>
      </c>
      <c r="G53" s="28">
        <f t="shared" si="16"/>
        <v>56.77</v>
      </c>
      <c r="H53" s="12">
        <f t="shared" si="17"/>
        <v>85.374150761347749</v>
      </c>
      <c r="I53" s="12">
        <f t="shared" si="18"/>
        <v>1.0810576649346071</v>
      </c>
      <c r="J53" s="11">
        <f t="shared" si="19"/>
        <v>0.83813537144361427</v>
      </c>
      <c r="K53" s="21">
        <f t="shared" si="20"/>
        <v>200103.12702199831</v>
      </c>
      <c r="L53" s="21">
        <f t="shared" si="21"/>
        <v>297986.97624147811</v>
      </c>
      <c r="M53" s="21">
        <f t="shared" si="22"/>
        <v>97883.849219479802</v>
      </c>
      <c r="N53" s="12">
        <f t="shared" si="23"/>
        <v>3.3760670889164399</v>
      </c>
      <c r="O53" s="12">
        <f t="shared" si="24"/>
        <v>2.2663164834477563</v>
      </c>
      <c r="P53" s="28">
        <f t="shared" si="16"/>
        <v>0.42</v>
      </c>
    </row>
    <row r="54" spans="1:16" x14ac:dyDescent="0.3">
      <c r="B54" s="53"/>
      <c r="C54" s="53"/>
      <c r="D54" s="53"/>
      <c r="F54" s="11">
        <f t="shared" si="16"/>
        <v>0.27600000000000002</v>
      </c>
      <c r="G54" s="28">
        <f t="shared" si="16"/>
        <v>29.74</v>
      </c>
      <c r="H54" s="12">
        <f t="shared" si="17"/>
        <v>98.982589311514843</v>
      </c>
      <c r="I54" s="12">
        <f t="shared" si="18"/>
        <v>1.2533757105169732</v>
      </c>
      <c r="J54" s="11">
        <f t="shared" si="19"/>
        <v>0.852872351073656</v>
      </c>
      <c r="K54" s="21">
        <f t="shared" si="20"/>
        <v>276466.70749943284</v>
      </c>
      <c r="L54" s="21">
        <f t="shared" si="21"/>
        <v>303226.4973838976</v>
      </c>
      <c r="M54" s="21">
        <f t="shared" si="22"/>
        <v>26759.789884464757</v>
      </c>
      <c r="N54" s="12">
        <f t="shared" si="23"/>
        <v>0.92295967777778654</v>
      </c>
      <c r="O54" s="12">
        <f t="shared" si="24"/>
        <v>0.53426022597246547</v>
      </c>
      <c r="P54" s="28">
        <f t="shared" si="16"/>
        <v>-0.29199999999999998</v>
      </c>
    </row>
    <row r="55" spans="1:16" x14ac:dyDescent="0.3">
      <c r="B55" s="53"/>
      <c r="C55" s="53"/>
      <c r="D55" s="53"/>
      <c r="F55" s="11">
        <f t="shared" si="16"/>
        <v>0.186</v>
      </c>
      <c r="G55" s="28">
        <f t="shared" si="16"/>
        <v>10.85</v>
      </c>
      <c r="H55" s="12">
        <f t="shared" si="17"/>
        <v>120.57489138308867</v>
      </c>
      <c r="I55" s="12">
        <f t="shared" si="18"/>
        <v>1.5267901275260427</v>
      </c>
      <c r="J55" s="11">
        <f t="shared" si="19"/>
        <v>0.84360961546019375</v>
      </c>
      <c r="K55" s="21">
        <f t="shared" si="20"/>
        <v>457718.48674012889</v>
      </c>
      <c r="L55" s="21">
        <f t="shared" si="21"/>
        <v>299933.26496438315</v>
      </c>
      <c r="M55" s="21">
        <f t="shared" si="22"/>
        <v>-157785.22177574574</v>
      </c>
      <c r="N55" s="12">
        <f t="shared" si="23"/>
        <v>-5.4420979416128823</v>
      </c>
      <c r="O55" s="12">
        <f t="shared" si="24"/>
        <v>-2.5869001695405229</v>
      </c>
      <c r="P55" s="28">
        <f t="shared" si="16"/>
        <v>-1.071</v>
      </c>
    </row>
    <row r="56" spans="1:16" x14ac:dyDescent="0.3">
      <c r="B56" s="53"/>
      <c r="C56" s="53"/>
      <c r="D56" s="53"/>
      <c r="F56" s="11">
        <f t="shared" si="16"/>
        <v>7.0999999999999994E-2</v>
      </c>
      <c r="G56" s="28">
        <f t="shared" si="16"/>
        <v>0.71</v>
      </c>
      <c r="H56" s="12">
        <f t="shared" si="17"/>
        <v>195.1570196404198</v>
      </c>
      <c r="I56" s="12">
        <f t="shared" si="18"/>
        <v>2.4711928618514194</v>
      </c>
      <c r="J56" s="11">
        <f t="shared" si="19"/>
        <v>0.79931052092138088</v>
      </c>
      <c r="K56" s="21">
        <f t="shared" si="20"/>
        <v>1789304.0633811222</v>
      </c>
      <c r="L56" s="21">
        <f t="shared" si="21"/>
        <v>284183.35906419496</v>
      </c>
      <c r="M56" s="21">
        <f t="shared" si="22"/>
        <v>-1505120.7043169271</v>
      </c>
      <c r="N56" s="12">
        <f t="shared" si="23"/>
        <v>-51.912430040397979</v>
      </c>
      <c r="O56" s="12">
        <f t="shared" si="24"/>
        <v>-15.426583290377135</v>
      </c>
      <c r="P56" s="28">
        <f t="shared" si="16"/>
        <v>-2.044</v>
      </c>
    </row>
    <row r="57" spans="1:16" ht="15.6" thickBot="1" x14ac:dyDescent="0.35">
      <c r="B57" s="53"/>
      <c r="C57" s="53"/>
      <c r="D57" s="53"/>
    </row>
    <row r="58" spans="1:16" ht="18.600000000000001" thickBot="1" x14ac:dyDescent="0.35">
      <c r="G58" s="132" t="s">
        <v>187</v>
      </c>
      <c r="H58" s="133"/>
      <c r="I58" s="133"/>
      <c r="J58" s="133"/>
      <c r="K58" s="133"/>
      <c r="L58" s="133"/>
      <c r="M58" s="133"/>
      <c r="N58" s="134"/>
    </row>
    <row r="59" spans="1:16" ht="18.600000000000001" thickBot="1" x14ac:dyDescent="0.35">
      <c r="B59" s="54" t="s">
        <v>154</v>
      </c>
      <c r="C59" s="54" t="s">
        <v>156</v>
      </c>
      <c r="D59" s="30" t="s">
        <v>157</v>
      </c>
      <c r="E59" s="30" t="s">
        <v>155</v>
      </c>
      <c r="G59" s="97" t="s">
        <v>67</v>
      </c>
      <c r="H59" s="97" t="s">
        <v>15</v>
      </c>
      <c r="I59" s="96" t="s">
        <v>74</v>
      </c>
      <c r="J59" s="96" t="s">
        <v>73</v>
      </c>
      <c r="K59" s="96" t="s">
        <v>68</v>
      </c>
      <c r="L59" s="96" t="s">
        <v>70</v>
      </c>
      <c r="M59" s="96" t="s">
        <v>87</v>
      </c>
      <c r="N59" s="96" t="s">
        <v>69</v>
      </c>
    </row>
    <row r="60" spans="1:16" x14ac:dyDescent="0.3">
      <c r="B60" s="100">
        <f>-K60*COS(C60+D60-C$3)+0.5*C$17*C$7*C$5*(D60-C$8)*G60^2*SIN(C60)+0.5*C$17*C$7*(C$11+1/PI()/C$10*C$5^2*(D60-C$8)^2)*G60^2*COS(C60)</f>
        <v>1.1838820682896767E-4</v>
      </c>
      <c r="C60" s="56">
        <v>8.2251731000750908E-2</v>
      </c>
      <c r="D60" s="55">
        <v>0.20408892075548082</v>
      </c>
      <c r="E60" s="100">
        <f>K60*SIN(C60+D60-C$3)+0.5*C$17*C$7*C$5*(D60-C$8)*G60^2*COS(C60)-0.5*C$17*C$7*(C$11+1/PI()/C$10*C$5^2*(D60-C$8)^2)*G60^2*SIN(C60)-C$20</f>
        <v>-3.2359821489080787E-8</v>
      </c>
      <c r="G60" s="91">
        <f>SQRT(2*C$20/C$7/C$16/C17)</f>
        <v>40.730481978293845</v>
      </c>
      <c r="H60" s="92">
        <f>G60/C$12/C$4</f>
        <v>0.51575329706296147</v>
      </c>
      <c r="I60" s="93">
        <f>0.185*H60^3-0.9822*H60^2+1.6209*H60</f>
        <v>0.60009824120794697</v>
      </c>
      <c r="J60" s="94">
        <f>C$18*I60</f>
        <v>213356.29832371959</v>
      </c>
      <c r="K60" s="94">
        <f>J60/G60</f>
        <v>5238.2463442839144</v>
      </c>
      <c r="L60" s="92">
        <f t="shared" ref="L60:L74" si="25">DEGREES(D60)</f>
        <v>11.69343380466896</v>
      </c>
      <c r="M60" s="92">
        <f t="shared" ref="M60:M74" si="26">DEGREES(C60)</f>
        <v>4.7126770439883821</v>
      </c>
      <c r="N60" s="92">
        <f>G60*SIN(RADIANS(M60))</f>
        <v>3.3463764338043913</v>
      </c>
    </row>
    <row r="61" spans="1:16" x14ac:dyDescent="0.3">
      <c r="B61" s="100">
        <f t="shared" ref="B61:B74" si="27">-K61*COS(C61+D61-C$3)+0.5*C$17*C$7*C$5*(D61-C$8)*G61^2*SIN(C61)+0.5*C$17*C$7*(C$11+1/PI()/C$10*C$5^2*(D61-C$8)^2)*G61^2*COS(C61)</f>
        <v>6.7450970345817041E-4</v>
      </c>
      <c r="C61" s="56">
        <v>8.7707408997537414E-2</v>
      </c>
      <c r="D61" s="55">
        <v>0.15965482270246337</v>
      </c>
      <c r="E61" s="100">
        <f t="shared" ref="E61:E74" si="28">K61*SIN(C61+D61-C$3)+0.5*C$17*C$7*C$5*(D61-C$8)*G61^2*COS(C61)-0.5*C$17*C$7*(C$11+1/PI()/C$10*C$5^2*(D61-C$8)^2)*G61^2*SIN(C61)-C$20</f>
        <v>6.6938810050487518E-10</v>
      </c>
      <c r="G61" s="95">
        <f t="shared" ref="G61:G73" si="29">G4</f>
        <v>45</v>
      </c>
      <c r="H61" s="12">
        <f t="shared" ref="H61:H74" si="30">G61/C$12/C$4</f>
        <v>0.56981644312978641</v>
      </c>
      <c r="I61" s="11">
        <f t="shared" ref="I61:I74" si="31">0.185*H61^3-0.9822*H61^2+1.6209*H61</f>
        <v>0.63893180644633429</v>
      </c>
      <c r="J61" s="21">
        <f t="shared" ref="J61:J74" si="32">C$18*I61</f>
        <v>227163.01389298573</v>
      </c>
      <c r="K61" s="21">
        <f t="shared" ref="K61:K74" si="33">J61/G61</f>
        <v>5048.0669753996826</v>
      </c>
      <c r="L61" s="12">
        <f t="shared" si="25"/>
        <v>9.1475475197605913</v>
      </c>
      <c r="M61" s="12">
        <f t="shared" si="26"/>
        <v>5.0252643675866366</v>
      </c>
      <c r="N61" s="12">
        <f t="shared" ref="N61:N74" si="34">G61*SIN(RADIANS(M61))</f>
        <v>3.9417751225830382</v>
      </c>
    </row>
    <row r="62" spans="1:16" x14ac:dyDescent="0.3">
      <c r="B62" s="100">
        <f t="shared" si="27"/>
        <v>-1.3371395289141219E-4</v>
      </c>
      <c r="C62" s="56">
        <v>8.8937862156950265E-2</v>
      </c>
      <c r="D62" s="55">
        <v>0.10813547624076986</v>
      </c>
      <c r="E62" s="100">
        <f t="shared" si="28"/>
        <v>-2.9103830456733704E-11</v>
      </c>
      <c r="G62" s="95">
        <f t="shared" si="29"/>
        <v>52</v>
      </c>
      <c r="H62" s="12">
        <f t="shared" si="30"/>
        <v>0.65845455650553097</v>
      </c>
      <c r="I62" s="11">
        <f t="shared" si="31"/>
        <v>0.69425800928812653</v>
      </c>
      <c r="J62" s="21">
        <f t="shared" si="32"/>
        <v>246833.449545107</v>
      </c>
      <c r="K62" s="21">
        <f t="shared" si="33"/>
        <v>4746.7971066366727</v>
      </c>
      <c r="L62" s="12">
        <f t="shared" si="25"/>
        <v>6.1957064042333014</v>
      </c>
      <c r="M62" s="12">
        <f t="shared" si="26"/>
        <v>5.0957641405095302</v>
      </c>
      <c r="N62" s="12">
        <f t="shared" si="34"/>
        <v>4.6186742998054608</v>
      </c>
    </row>
    <row r="63" spans="1:16" x14ac:dyDescent="0.3">
      <c r="B63" s="100">
        <f t="shared" si="27"/>
        <v>1.2652336622522853E-3</v>
      </c>
      <c r="C63" s="56">
        <v>8.4126996577894908E-2</v>
      </c>
      <c r="D63" s="55">
        <v>7.3271672351540848E-2</v>
      </c>
      <c r="E63" s="100">
        <f t="shared" si="28"/>
        <v>-2.35741026699543E-8</v>
      </c>
      <c r="G63" s="95">
        <f t="shared" si="29"/>
        <v>59</v>
      </c>
      <c r="H63" s="12">
        <f t="shared" si="30"/>
        <v>0.74709266988127543</v>
      </c>
      <c r="I63" s="11">
        <f t="shared" si="31"/>
        <v>0.73989283267567485</v>
      </c>
      <c r="J63" s="21">
        <f t="shared" si="32"/>
        <v>263058.25462539733</v>
      </c>
      <c r="K63" s="21">
        <f t="shared" si="33"/>
        <v>4458.6144851762256</v>
      </c>
      <c r="L63" s="12">
        <f t="shared" si="25"/>
        <v>4.1981575836086948</v>
      </c>
      <c r="M63" s="12">
        <f t="shared" si="26"/>
        <v>4.8201218470248977</v>
      </c>
      <c r="N63" s="12">
        <f t="shared" si="34"/>
        <v>4.9576401389687144</v>
      </c>
    </row>
    <row r="64" spans="1:16" x14ac:dyDescent="0.3">
      <c r="B64" s="100">
        <f t="shared" si="27"/>
        <v>-3.7184304801485268E-4</v>
      </c>
      <c r="C64" s="56">
        <v>7.4082982237911293E-2</v>
      </c>
      <c r="D64" s="55">
        <v>4.5702705716664738E-2</v>
      </c>
      <c r="E64" s="100">
        <f t="shared" si="28"/>
        <v>1.8189894035458565E-10</v>
      </c>
      <c r="G64" s="95">
        <f t="shared" si="29"/>
        <v>67</v>
      </c>
      <c r="H64" s="12">
        <f t="shared" si="30"/>
        <v>0.84839337088212652</v>
      </c>
      <c r="I64" s="11">
        <f t="shared" si="31"/>
        <v>0.78117153620279789</v>
      </c>
      <c r="J64" s="21">
        <f t="shared" si="32"/>
        <v>277734.30394429114</v>
      </c>
      <c r="K64" s="21">
        <f t="shared" si="33"/>
        <v>4145.2881185715096</v>
      </c>
      <c r="L64" s="12">
        <f t="shared" si="25"/>
        <v>2.6185721498933097</v>
      </c>
      <c r="M64" s="12">
        <f t="shared" si="26"/>
        <v>4.2446422159749595</v>
      </c>
      <c r="N64" s="12">
        <f t="shared" si="34"/>
        <v>4.959020814515025</v>
      </c>
    </row>
    <row r="65" spans="1:14" x14ac:dyDescent="0.3">
      <c r="B65" s="100">
        <f t="shared" si="27"/>
        <v>1.0133223063348851E-3</v>
      </c>
      <c r="C65" s="56">
        <v>6.2668006696210976E-2</v>
      </c>
      <c r="D65" s="55">
        <v>2.8392066813982788E-2</v>
      </c>
      <c r="E65" s="100">
        <f t="shared" si="28"/>
        <v>2.6120687834918499E-9</v>
      </c>
      <c r="G65" s="95">
        <f t="shared" si="29"/>
        <v>74</v>
      </c>
      <c r="H65" s="12">
        <f t="shared" si="30"/>
        <v>0.93703148425787097</v>
      </c>
      <c r="I65" s="11">
        <f t="shared" si="31"/>
        <v>0.80864210703023176</v>
      </c>
      <c r="J65" s="21">
        <f t="shared" si="32"/>
        <v>287501.07028705376</v>
      </c>
      <c r="K65" s="21">
        <f t="shared" si="33"/>
        <v>3885.1495984736994</v>
      </c>
      <c r="L65" s="12">
        <f t="shared" si="25"/>
        <v>1.6267456000946596</v>
      </c>
      <c r="M65" s="12">
        <f t="shared" si="26"/>
        <v>3.5906122941904708</v>
      </c>
      <c r="N65" s="12">
        <f t="shared" si="34"/>
        <v>4.6343976762521857</v>
      </c>
    </row>
    <row r="66" spans="1:14" x14ac:dyDescent="0.3">
      <c r="B66" s="100">
        <f t="shared" si="27"/>
        <v>1.2882304417871637E-4</v>
      </c>
      <c r="C66" s="56">
        <v>4.9527999022810562E-2</v>
      </c>
      <c r="D66" s="55">
        <v>1.5290835973096099E-2</v>
      </c>
      <c r="E66" s="100">
        <f t="shared" si="28"/>
        <v>2.0263541955500841E-9</v>
      </c>
      <c r="G66" s="95">
        <f t="shared" si="29"/>
        <v>81</v>
      </c>
      <c r="H66" s="12">
        <f t="shared" si="30"/>
        <v>1.0256695976336156</v>
      </c>
      <c r="I66" s="11">
        <f t="shared" si="31"/>
        <v>0.82885075492246929</v>
      </c>
      <c r="J66" s="21">
        <f t="shared" si="32"/>
        <v>294685.96437995473</v>
      </c>
      <c r="K66" s="21">
        <f t="shared" si="33"/>
        <v>3638.0983256784534</v>
      </c>
      <c r="L66" s="12">
        <f t="shared" si="25"/>
        <v>0.87610036648522172</v>
      </c>
      <c r="M66" s="12">
        <f t="shared" si="26"/>
        <v>2.8377453117351106</v>
      </c>
      <c r="N66" s="12">
        <f t="shared" si="34"/>
        <v>4.0101279623824055</v>
      </c>
    </row>
    <row r="67" spans="1:14" x14ac:dyDescent="0.3">
      <c r="B67" s="100">
        <f t="shared" si="27"/>
        <v>-3.7383716971817194E-5</v>
      </c>
      <c r="C67" s="56">
        <v>3.2930105960720157E-2</v>
      </c>
      <c r="D67" s="55">
        <v>3.8762560250371592E-3</v>
      </c>
      <c r="E67" s="100">
        <f t="shared" si="28"/>
        <v>-1.0979784638038836E-3</v>
      </c>
      <c r="G67" s="95">
        <f t="shared" si="29"/>
        <v>89</v>
      </c>
      <c r="H67" s="12">
        <f t="shared" si="30"/>
        <v>1.1269702986344665</v>
      </c>
      <c r="I67" s="11">
        <f t="shared" si="31"/>
        <v>0.84404581688643843</v>
      </c>
      <c r="J67" s="21">
        <f t="shared" si="32"/>
        <v>300088.35010750865</v>
      </c>
      <c r="K67" s="21">
        <f t="shared" si="33"/>
        <v>3371.7792146911083</v>
      </c>
      <c r="L67" s="12">
        <f t="shared" si="25"/>
        <v>0.22209311054678599</v>
      </c>
      <c r="M67" s="12">
        <f t="shared" si="26"/>
        <v>1.88675609046786</v>
      </c>
      <c r="N67" s="12">
        <f t="shared" si="34"/>
        <v>2.9302497736539621</v>
      </c>
    </row>
    <row r="68" spans="1:14" x14ac:dyDescent="0.3">
      <c r="B68" s="100">
        <f t="shared" si="27"/>
        <v>-2.858490825019544E-5</v>
      </c>
      <c r="C68" s="56">
        <v>1.7318856063887368E-2</v>
      </c>
      <c r="D68" s="55">
        <v>-3.8979876740838923E-3</v>
      </c>
      <c r="E68" s="100">
        <f t="shared" si="28"/>
        <v>-8.8641213733353652E-4</v>
      </c>
      <c r="G68" s="95">
        <f t="shared" si="29"/>
        <v>96</v>
      </c>
      <c r="H68" s="12">
        <f t="shared" si="30"/>
        <v>1.2156084120102111</v>
      </c>
      <c r="I68" s="11">
        <f t="shared" si="31"/>
        <v>0.85129619047366378</v>
      </c>
      <c r="J68" s="21">
        <f t="shared" si="32"/>
        <v>302666.11615281593</v>
      </c>
      <c r="K68" s="21">
        <f t="shared" si="33"/>
        <v>3152.7720432584993</v>
      </c>
      <c r="L68" s="12">
        <f t="shared" si="25"/>
        <v>-0.2233382423190233</v>
      </c>
      <c r="M68" s="12">
        <f t="shared" si="26"/>
        <v>0.99229735845529943</v>
      </c>
      <c r="N68" s="12">
        <f t="shared" si="34"/>
        <v>1.6625270687275981</v>
      </c>
    </row>
    <row r="69" spans="1:14" x14ac:dyDescent="0.3">
      <c r="B69" s="100">
        <f t="shared" si="27"/>
        <v>-2.1601826119876932E-5</v>
      </c>
      <c r="C69" s="56">
        <v>8.7224978836109761E-4</v>
      </c>
      <c r="D69" s="55">
        <v>-1.0166077684015829E-2</v>
      </c>
      <c r="E69" s="100">
        <f t="shared" si="28"/>
        <v>-4.2163489342783578E-4</v>
      </c>
      <c r="G69" s="95">
        <f t="shared" si="29"/>
        <v>103</v>
      </c>
      <c r="H69" s="12">
        <f t="shared" si="30"/>
        <v>1.3042465253859556</v>
      </c>
      <c r="I69" s="11">
        <f t="shared" si="31"/>
        <v>0.8537140976447406</v>
      </c>
      <c r="J69" s="21">
        <f t="shared" si="32"/>
        <v>303525.76827023079</v>
      </c>
      <c r="K69" s="21">
        <f t="shared" si="33"/>
        <v>2946.8521191284544</v>
      </c>
      <c r="L69" s="12">
        <f t="shared" si="25"/>
        <v>-0.58247334549623753</v>
      </c>
      <c r="M69" s="12">
        <f t="shared" si="26"/>
        <v>4.9976231554270167E-2</v>
      </c>
      <c r="N69" s="12">
        <f t="shared" si="34"/>
        <v>8.9841716808967478E-2</v>
      </c>
    </row>
    <row r="70" spans="1:14" x14ac:dyDescent="0.3">
      <c r="B70" s="100">
        <f t="shared" si="27"/>
        <v>-5.1251527111162432E-6</v>
      </c>
      <c r="C70" s="56">
        <v>-1.8800790057661165E-2</v>
      </c>
      <c r="D70" s="55">
        <v>-1.5950464757602478E-2</v>
      </c>
      <c r="E70" s="100">
        <f t="shared" si="28"/>
        <v>-1.7346516324323602E-4</v>
      </c>
      <c r="G70" s="95">
        <f t="shared" si="29"/>
        <v>111</v>
      </c>
      <c r="H70" s="12">
        <f t="shared" si="30"/>
        <v>1.4055472263868065</v>
      </c>
      <c r="I70" s="11">
        <f t="shared" si="31"/>
        <v>0.85155172921601352</v>
      </c>
      <c r="J70" s="21">
        <f t="shared" si="32"/>
        <v>302756.96927719156</v>
      </c>
      <c r="K70" s="21">
        <f t="shared" si="33"/>
        <v>2727.5402637584825</v>
      </c>
      <c r="L70" s="12">
        <f t="shared" si="25"/>
        <v>-0.9138943118827817</v>
      </c>
      <c r="M70" s="12">
        <f t="shared" si="26"/>
        <v>-1.0772059218155043</v>
      </c>
      <c r="N70" s="12">
        <f t="shared" si="34"/>
        <v>-2.0867647566428245</v>
      </c>
    </row>
    <row r="71" spans="1:14" x14ac:dyDescent="0.3">
      <c r="B71" s="100">
        <f t="shared" si="27"/>
        <v>-3.6682092286355328E-5</v>
      </c>
      <c r="C71" s="56">
        <v>-3.6694901305413294E-2</v>
      </c>
      <c r="D71" s="55">
        <v>-2.0092497671884691E-2</v>
      </c>
      <c r="E71" s="100">
        <f t="shared" si="28"/>
        <v>6.5915446612052619E-7</v>
      </c>
      <c r="G71" s="95">
        <f t="shared" si="29"/>
        <v>118</v>
      </c>
      <c r="H71" s="12">
        <f t="shared" si="30"/>
        <v>1.4941853397625509</v>
      </c>
      <c r="I71" s="11">
        <f t="shared" si="31"/>
        <v>0.84621734033718043</v>
      </c>
      <c r="J71" s="21">
        <f t="shared" si="32"/>
        <v>300860.40403694671</v>
      </c>
      <c r="K71" s="21">
        <f t="shared" si="33"/>
        <v>2549.6644409910737</v>
      </c>
      <c r="L71" s="12">
        <f t="shared" si="25"/>
        <v>-1.1512153164754251</v>
      </c>
      <c r="M71" s="12">
        <f t="shared" si="26"/>
        <v>-2.1024629744492769</v>
      </c>
      <c r="N71" s="12">
        <f t="shared" si="34"/>
        <v>-4.3290266842730194</v>
      </c>
    </row>
    <row r="72" spans="1:14" x14ac:dyDescent="0.3">
      <c r="B72" s="100">
        <f t="shared" si="27"/>
        <v>1.5181560229393654E-4</v>
      </c>
      <c r="C72" s="56">
        <v>-5.5168132806511561E-2</v>
      </c>
      <c r="D72" s="55">
        <v>-2.357013832921279E-2</v>
      </c>
      <c r="E72" s="100">
        <f t="shared" si="28"/>
        <v>2.801243681460619E-10</v>
      </c>
      <c r="G72" s="95">
        <f t="shared" si="29"/>
        <v>125</v>
      </c>
      <c r="H72" s="12">
        <f t="shared" si="30"/>
        <v>1.5828234531382954</v>
      </c>
      <c r="I72" s="11">
        <f t="shared" si="31"/>
        <v>0.8384799415612465</v>
      </c>
      <c r="J72" s="21">
        <f t="shared" si="32"/>
        <v>298109.48319077864</v>
      </c>
      <c r="K72" s="21">
        <f t="shared" si="33"/>
        <v>2384.8758655262291</v>
      </c>
      <c r="L72" s="12">
        <f t="shared" si="25"/>
        <v>-1.3504694488034266</v>
      </c>
      <c r="M72" s="12">
        <f t="shared" si="26"/>
        <v>-3.1609011734303301</v>
      </c>
      <c r="N72" s="12">
        <f t="shared" si="34"/>
        <v>-6.8925191023776637</v>
      </c>
    </row>
    <row r="73" spans="1:14" x14ac:dyDescent="0.3">
      <c r="B73" s="100">
        <f t="shared" si="27"/>
        <v>2.3827862187317805E-3</v>
      </c>
      <c r="C73" s="56">
        <v>-7.4184282908832527E-2</v>
      </c>
      <c r="D73" s="55">
        <v>-2.6519379756014635E-2</v>
      </c>
      <c r="E73" s="100">
        <f t="shared" si="28"/>
        <v>-2.9321386129595339E-2</v>
      </c>
      <c r="G73" s="95">
        <f t="shared" si="29"/>
        <v>132</v>
      </c>
      <c r="H73" s="12">
        <f t="shared" si="30"/>
        <v>1.6714615665140402</v>
      </c>
      <c r="I73" s="11">
        <f t="shared" si="31"/>
        <v>0.82911254178063665</v>
      </c>
      <c r="J73" s="21">
        <f t="shared" si="32"/>
        <v>294779.03893204138</v>
      </c>
      <c r="K73" s="21">
        <f t="shared" si="33"/>
        <v>2233.1745373639496</v>
      </c>
      <c r="L73" s="12">
        <f t="shared" si="25"/>
        <v>-1.5194485353243135</v>
      </c>
      <c r="M73" s="12">
        <f t="shared" si="26"/>
        <v>-4.2504463168805895</v>
      </c>
      <c r="N73" s="12">
        <f t="shared" si="34"/>
        <v>-9.7833461183031645</v>
      </c>
    </row>
    <row r="74" spans="1:14" x14ac:dyDescent="0.3">
      <c r="A74" s="54"/>
      <c r="B74" s="100">
        <f t="shared" si="27"/>
        <v>-1.0581895276118303E-4</v>
      </c>
      <c r="C74" s="56">
        <v>-9.6550997937301833E-2</v>
      </c>
      <c r="D74" s="55">
        <v>-2.9373716049319733E-2</v>
      </c>
      <c r="E74" s="100">
        <f t="shared" si="28"/>
        <v>3.8395918818423524E-4</v>
      </c>
      <c r="G74" s="95">
        <f>G17</f>
        <v>140</v>
      </c>
      <c r="H74" s="12">
        <f t="shared" si="30"/>
        <v>1.7727622675148911</v>
      </c>
      <c r="I74" s="11">
        <f t="shared" si="31"/>
        <v>0.81740263733953844</v>
      </c>
      <c r="J74" s="21">
        <f t="shared" si="32"/>
        <v>290615.75083399902</v>
      </c>
      <c r="K74" s="21">
        <f t="shared" si="33"/>
        <v>2075.8267916714217</v>
      </c>
      <c r="L74" s="12">
        <f t="shared" si="25"/>
        <v>-1.6829899582417109</v>
      </c>
      <c r="M74" s="12">
        <f t="shared" si="26"/>
        <v>-5.5319646895837122</v>
      </c>
      <c r="N74" s="12">
        <f t="shared" si="34"/>
        <v>-13.496148154000203</v>
      </c>
    </row>
    <row r="75" spans="1:14" x14ac:dyDescent="0.3">
      <c r="B75" s="53"/>
      <c r="C75" s="53"/>
      <c r="D75" s="53"/>
    </row>
    <row r="76" spans="1:14" x14ac:dyDescent="0.3">
      <c r="B76" s="53"/>
      <c r="C76" s="53"/>
      <c r="D76" s="53"/>
    </row>
    <row r="77" spans="1:14" x14ac:dyDescent="0.3">
      <c r="B77" s="53"/>
      <c r="C77" s="53"/>
      <c r="D77" s="53"/>
    </row>
    <row r="78" spans="1:14" x14ac:dyDescent="0.3">
      <c r="B78" s="53"/>
      <c r="C78" s="53"/>
      <c r="D78" s="53"/>
    </row>
    <row r="79" spans="1:14" x14ac:dyDescent="0.3">
      <c r="B79" s="53"/>
      <c r="C79" s="53"/>
      <c r="D79" s="53"/>
    </row>
    <row r="80" spans="1:14" x14ac:dyDescent="0.3">
      <c r="B80" s="53"/>
      <c r="C80" s="53"/>
      <c r="D80" s="53"/>
    </row>
    <row r="81" spans="2:4" x14ac:dyDescent="0.3">
      <c r="B81" s="53"/>
      <c r="C81" s="53"/>
      <c r="D81" s="53"/>
    </row>
    <row r="82" spans="2:4" x14ac:dyDescent="0.3">
      <c r="B82" s="53"/>
      <c r="C82" s="53"/>
      <c r="D82" s="53"/>
    </row>
  </sheetData>
  <mergeCells count="4">
    <mergeCell ref="G1:N1"/>
    <mergeCell ref="F20:P20"/>
    <mergeCell ref="F39:P39"/>
    <mergeCell ref="G58:N5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8C174-6A48-4047-8923-01EEA04ED2E3}">
  <dimension ref="A1:P82"/>
  <sheetViews>
    <sheetView workbookViewId="0"/>
  </sheetViews>
  <sheetFormatPr defaultRowHeight="15" x14ac:dyDescent="0.3"/>
  <cols>
    <col min="1" max="1" width="34.77734375" style="30" customWidth="1"/>
    <col min="2" max="2" width="12.77734375" style="30" customWidth="1"/>
    <col min="3" max="4" width="8.88671875" style="30"/>
    <col min="5" max="5" width="11" style="30" bestFit="1" customWidth="1"/>
    <col min="6" max="6" width="8.88671875" style="30"/>
    <col min="7" max="7" width="9.6640625" style="30" customWidth="1"/>
    <col min="8" max="8" width="9" style="30" bestFit="1" customWidth="1"/>
    <col min="9" max="10" width="8.109375" style="30" customWidth="1"/>
    <col min="11" max="11" width="10.21875" style="30" customWidth="1"/>
    <col min="12" max="12" width="11.44140625" style="30" bestFit="1" customWidth="1"/>
    <col min="13" max="13" width="10.33203125" style="30" bestFit="1" customWidth="1"/>
    <col min="14" max="16384" width="8.88671875" style="30"/>
  </cols>
  <sheetData>
    <row r="1" spans="1:14" ht="18.600000000000001" thickBot="1" x14ac:dyDescent="0.35">
      <c r="A1" s="29" t="s">
        <v>9</v>
      </c>
      <c r="B1" s="29" t="s">
        <v>6</v>
      </c>
      <c r="C1" s="29">
        <v>3000</v>
      </c>
      <c r="D1" s="29" t="s">
        <v>3</v>
      </c>
      <c r="G1" s="132" t="s">
        <v>165</v>
      </c>
      <c r="H1" s="133"/>
      <c r="I1" s="133"/>
      <c r="J1" s="133"/>
      <c r="K1" s="133"/>
      <c r="L1" s="133"/>
      <c r="M1" s="133"/>
      <c r="N1" s="134"/>
    </row>
    <row r="2" spans="1:14" ht="19.2" thickBot="1" x14ac:dyDescent="0.35">
      <c r="A2" s="30" t="s">
        <v>139</v>
      </c>
      <c r="B2" s="30" t="s">
        <v>141</v>
      </c>
      <c r="C2" s="30">
        <f>Podsumowanie!B31</f>
        <v>28993.455000000002</v>
      </c>
      <c r="D2" s="30" t="s">
        <v>39</v>
      </c>
      <c r="G2" s="96" t="s">
        <v>67</v>
      </c>
      <c r="H2" s="96" t="s">
        <v>15</v>
      </c>
      <c r="I2" s="96" t="s">
        <v>74</v>
      </c>
      <c r="J2" s="96" t="s">
        <v>73</v>
      </c>
      <c r="K2" s="96" t="s">
        <v>68</v>
      </c>
      <c r="L2" s="96" t="s">
        <v>70</v>
      </c>
      <c r="M2" s="96" t="s">
        <v>87</v>
      </c>
      <c r="N2" s="96" t="s">
        <v>69</v>
      </c>
    </row>
    <row r="3" spans="1:14" ht="15.6" x14ac:dyDescent="0.3">
      <c r="A3" s="31" t="s">
        <v>10</v>
      </c>
      <c r="B3" s="31" t="s">
        <v>30</v>
      </c>
      <c r="C3" s="31">
        <f>Podsumowanie!B29</f>
        <v>1.7453292519943295E-2</v>
      </c>
      <c r="D3" s="31" t="s">
        <v>40</v>
      </c>
      <c r="F3" s="46"/>
      <c r="G3" s="91">
        <f>SQRT(2*C$15/C$7/C$16/C17)</f>
        <v>40.815259783159711</v>
      </c>
      <c r="H3" s="92">
        <f t="shared" ref="H3:H17" si="0">G3/C$12/C$4</f>
        <v>0.51682680344573961</v>
      </c>
      <c r="I3" s="93">
        <f>0.1962*H3^3-1.039*H3^2+1.6751*H3</f>
        <v>0.61529467323025766</v>
      </c>
      <c r="J3" s="94">
        <f t="shared" ref="J3:J17" si="1">C$18*I3</f>
        <v>193958.19672082685</v>
      </c>
      <c r="K3" s="94">
        <f>J3/G3</f>
        <v>4752.1000172796548</v>
      </c>
      <c r="L3" s="92">
        <f t="shared" ref="L3:L17" ca="1" si="2">OFFSET(D23,A23-2,0,1,1)</f>
        <v>11.693246021043887</v>
      </c>
      <c r="M3" s="92">
        <f t="shared" ref="M3:M17" ca="1" si="3">OFFSET(D22,A23-2,0,1,1)</f>
        <v>4.7155021420850671</v>
      </c>
      <c r="N3" s="92">
        <f ca="1">G3*SIN(RADIANS(M3))</f>
        <v>3.3553473760019381</v>
      </c>
    </row>
    <row r="4" spans="1:14" ht="15.6" x14ac:dyDescent="0.3">
      <c r="A4" s="31" t="s">
        <v>11</v>
      </c>
      <c r="B4" s="31" t="s">
        <v>18</v>
      </c>
      <c r="C4" s="31">
        <f>Podsumowanie!B12</f>
        <v>1.84</v>
      </c>
      <c r="D4" s="31" t="s">
        <v>3</v>
      </c>
      <c r="F4" s="46"/>
      <c r="G4" s="95">
        <v>45</v>
      </c>
      <c r="H4" s="12">
        <f t="shared" si="0"/>
        <v>0.56981644312978641</v>
      </c>
      <c r="I4" s="11">
        <f t="shared" ref="I4:I17" si="4">0.1962*H4^3-1.039*H4^2+1.6751*H4</f>
        <v>0.65344557984560914</v>
      </c>
      <c r="J4" s="21">
        <f t="shared" si="1"/>
        <v>205984.43613474924</v>
      </c>
      <c r="K4" s="21">
        <f t="shared" ref="K4:K17" si="5">J4/G4</f>
        <v>4577.4319141055385</v>
      </c>
      <c r="L4" s="12">
        <f t="shared" ca="1" si="2"/>
        <v>9.1965408670249875</v>
      </c>
      <c r="M4" s="12">
        <f t="shared" ca="1" si="3"/>
        <v>5.0106249187064318</v>
      </c>
      <c r="N4" s="12">
        <f t="shared" ref="N4:N17" ca="1" si="6">G4*SIN(RADIANS(M4))</f>
        <v>3.9303213933488417</v>
      </c>
    </row>
    <row r="5" spans="1:14" ht="18" x14ac:dyDescent="0.3">
      <c r="A5" s="31" t="s">
        <v>24</v>
      </c>
      <c r="B5" s="31" t="s">
        <v>75</v>
      </c>
      <c r="C5" s="31">
        <f>Podsumowanie!B16</f>
        <v>6.1340000000000003</v>
      </c>
      <c r="D5" s="31" t="s">
        <v>34</v>
      </c>
      <c r="F5" s="46"/>
      <c r="G5" s="95">
        <v>52</v>
      </c>
      <c r="H5" s="12">
        <f t="shared" si="0"/>
        <v>0.65845455650553097</v>
      </c>
      <c r="I5" s="11">
        <f t="shared" si="4"/>
        <v>0.70851729052676204</v>
      </c>
      <c r="J5" s="21">
        <f t="shared" si="1"/>
        <v>223344.58917811909</v>
      </c>
      <c r="K5" s="21">
        <f t="shared" si="5"/>
        <v>4295.0882534253669</v>
      </c>
      <c r="L5" s="12">
        <f t="shared" ca="1" si="2"/>
        <v>6.233642737946246</v>
      </c>
      <c r="M5" s="12">
        <f t="shared" ca="1" si="3"/>
        <v>5.0663077074092255</v>
      </c>
      <c r="N5" s="12">
        <f t="shared" ca="1" si="6"/>
        <v>4.5920455417216868</v>
      </c>
    </row>
    <row r="6" spans="1:14" ht="18" x14ac:dyDescent="0.3">
      <c r="A6" s="31" t="s">
        <v>23</v>
      </c>
      <c r="B6" s="31" t="s">
        <v>76</v>
      </c>
      <c r="C6" s="31">
        <f>Podsumowanie!B9</f>
        <v>446000</v>
      </c>
      <c r="D6" s="31" t="s">
        <v>35</v>
      </c>
      <c r="F6" s="46"/>
      <c r="G6" s="95">
        <v>59</v>
      </c>
      <c r="H6" s="12">
        <f t="shared" si="0"/>
        <v>0.74709266988127543</v>
      </c>
      <c r="I6" s="11">
        <f t="shared" si="4"/>
        <v>0.7533527439937161</v>
      </c>
      <c r="J6" s="21">
        <f t="shared" si="1"/>
        <v>237477.9858772266</v>
      </c>
      <c r="K6" s="21">
        <f t="shared" si="5"/>
        <v>4025.0506080885866</v>
      </c>
      <c r="L6" s="12">
        <f t="shared" ca="1" si="2"/>
        <v>4.2282044127459333</v>
      </c>
      <c r="M6" s="12">
        <f t="shared" ca="1" si="3"/>
        <v>4.7758856294232563</v>
      </c>
      <c r="N6" s="12">
        <f t="shared" ca="1" si="6"/>
        <v>4.9122477734625996</v>
      </c>
    </row>
    <row r="7" spans="1:14" ht="18" x14ac:dyDescent="0.3">
      <c r="A7" s="31" t="s">
        <v>22</v>
      </c>
      <c r="B7" s="31" t="s">
        <v>5</v>
      </c>
      <c r="C7" s="31">
        <f>Podsumowanie!B3</f>
        <v>21.3</v>
      </c>
      <c r="D7" s="31" t="s">
        <v>77</v>
      </c>
      <c r="F7" s="46"/>
      <c r="G7" s="95">
        <v>67</v>
      </c>
      <c r="H7" s="12">
        <f t="shared" si="0"/>
        <v>0.84839337088212652</v>
      </c>
      <c r="I7" s="11">
        <f t="shared" si="4"/>
        <v>0.79311071754261653</v>
      </c>
      <c r="J7" s="21">
        <f t="shared" si="1"/>
        <v>250010.81801493189</v>
      </c>
      <c r="K7" s="21">
        <f t="shared" si="5"/>
        <v>3731.504746491521</v>
      </c>
      <c r="L7" s="12">
        <f t="shared" ca="1" si="2"/>
        <v>2.6421402602401414</v>
      </c>
      <c r="M7" s="12">
        <f t="shared" ca="1" si="3"/>
        <v>4.1841100538177205</v>
      </c>
      <c r="N7" s="12">
        <f t="shared" ca="1" si="6"/>
        <v>4.8884276835339815</v>
      </c>
    </row>
    <row r="8" spans="1:14" ht="18" x14ac:dyDescent="0.3">
      <c r="A8" s="31" t="s">
        <v>41</v>
      </c>
      <c r="B8" s="31" t="s">
        <v>78</v>
      </c>
      <c r="C8" s="31">
        <f>Podsumowanie!B30</f>
        <v>-5.1836278784231589E-2</v>
      </c>
      <c r="D8" s="31" t="s">
        <v>40</v>
      </c>
      <c r="G8" s="95">
        <v>74</v>
      </c>
      <c r="H8" s="12">
        <f t="shared" si="0"/>
        <v>0.93703148425787097</v>
      </c>
      <c r="I8" s="11">
        <f t="shared" si="4"/>
        <v>0.81877190961835655</v>
      </c>
      <c r="J8" s="21">
        <f t="shared" si="1"/>
        <v>258099.94791847444</v>
      </c>
      <c r="K8" s="21">
        <f t="shared" si="5"/>
        <v>3487.8371340334384</v>
      </c>
      <c r="L8" s="12">
        <f t="shared" ca="1" si="2"/>
        <v>1.6461331931779546</v>
      </c>
      <c r="M8" s="12">
        <f t="shared" ca="1" si="3"/>
        <v>3.5165865625335631</v>
      </c>
      <c r="N8" s="12">
        <f t="shared" ca="1" si="6"/>
        <v>4.5389740485897088</v>
      </c>
    </row>
    <row r="9" spans="1:14" ht="15.6" x14ac:dyDescent="0.3">
      <c r="A9" s="31" t="s">
        <v>12</v>
      </c>
      <c r="B9" s="31" t="s">
        <v>3</v>
      </c>
      <c r="C9" s="31">
        <f>Podsumowanie!B7</f>
        <v>2405.5</v>
      </c>
      <c r="D9" s="31" t="s">
        <v>0</v>
      </c>
      <c r="G9" s="95">
        <v>81</v>
      </c>
      <c r="H9" s="12">
        <f t="shared" si="0"/>
        <v>1.0256695976336156</v>
      </c>
      <c r="I9" s="11">
        <f t="shared" si="4"/>
        <v>0.83677338160982839</v>
      </c>
      <c r="J9" s="21">
        <f t="shared" si="1"/>
        <v>263774.5184904185</v>
      </c>
      <c r="K9" s="21">
        <f t="shared" si="5"/>
        <v>3256.4755369187469</v>
      </c>
      <c r="L9" s="12">
        <f t="shared" ca="1" si="2"/>
        <v>0.89226413370884605</v>
      </c>
      <c r="M9" s="12">
        <f t="shared" ca="1" si="3"/>
        <v>2.7510841711383014</v>
      </c>
      <c r="N9" s="12">
        <f t="shared" ca="1" si="6"/>
        <v>3.8877593552800054</v>
      </c>
    </row>
    <row r="10" spans="1:14" ht="18" x14ac:dyDescent="0.3">
      <c r="A10" s="31" t="s">
        <v>21</v>
      </c>
      <c r="B10" s="31" t="s">
        <v>79</v>
      </c>
      <c r="C10" s="31">
        <f>Podsumowanie!B13</f>
        <v>5.8840000000000003</v>
      </c>
      <c r="D10" s="31" t="s">
        <v>7</v>
      </c>
      <c r="G10" s="95">
        <v>89</v>
      </c>
      <c r="H10" s="12">
        <f t="shared" si="0"/>
        <v>1.1269702986344665</v>
      </c>
      <c r="I10" s="11">
        <f t="shared" si="4"/>
        <v>0.849018891182582</v>
      </c>
      <c r="J10" s="21">
        <f t="shared" si="1"/>
        <v>267634.64772279048</v>
      </c>
      <c r="K10" s="21">
        <f t="shared" si="5"/>
        <v>3007.1308732897805</v>
      </c>
      <c r="L10" s="12">
        <f t="shared" ca="1" si="2"/>
        <v>0.23540514224280346</v>
      </c>
      <c r="M10" s="12">
        <f t="shared" ca="1" si="3"/>
        <v>1.7867918990009153</v>
      </c>
      <c r="N10" s="12">
        <f t="shared" ca="1" si="6"/>
        <v>2.7750508959304754</v>
      </c>
    </row>
    <row r="11" spans="1:14" ht="18" x14ac:dyDescent="0.3">
      <c r="A11" s="31" t="s">
        <v>25</v>
      </c>
      <c r="B11" s="31" t="s">
        <v>80</v>
      </c>
      <c r="C11" s="31">
        <f>Podsumowanie!B14</f>
        <v>2.214E-2</v>
      </c>
      <c r="D11" s="31" t="s">
        <v>7</v>
      </c>
      <c r="G11" s="95">
        <v>96</v>
      </c>
      <c r="H11" s="12">
        <f t="shared" si="0"/>
        <v>1.2156084120102111</v>
      </c>
      <c r="I11" s="11">
        <f t="shared" si="4"/>
        <v>0.85336725277554804</v>
      </c>
      <c r="J11" s="21">
        <f t="shared" si="1"/>
        <v>269005.3736691635</v>
      </c>
      <c r="K11" s="21">
        <f t="shared" si="5"/>
        <v>2802.1393090537863</v>
      </c>
      <c r="L11" s="12">
        <f t="shared" ca="1" si="2"/>
        <v>-0.21199147692420112</v>
      </c>
      <c r="M11" s="12">
        <f t="shared" ca="1" si="3"/>
        <v>0.88173688595107613</v>
      </c>
      <c r="N11" s="12">
        <f t="shared" ca="1" si="6"/>
        <v>1.477306019618247</v>
      </c>
    </row>
    <row r="12" spans="1:14" ht="18" x14ac:dyDescent="0.3">
      <c r="A12" s="31" t="s">
        <v>19</v>
      </c>
      <c r="B12" s="31" t="s">
        <v>81</v>
      </c>
      <c r="C12" s="31">
        <f>Podsumowanie!B11</f>
        <v>42.92</v>
      </c>
      <c r="D12" s="31" t="s">
        <v>37</v>
      </c>
      <c r="G12" s="95">
        <v>103</v>
      </c>
      <c r="H12" s="12">
        <f t="shared" si="0"/>
        <v>1.3042465253859556</v>
      </c>
      <c r="I12" s="11">
        <f t="shared" si="4"/>
        <v>0.85263243141417644</v>
      </c>
      <c r="J12" s="21">
        <f t="shared" si="1"/>
        <v>268773.73729660182</v>
      </c>
      <c r="K12" s="21">
        <f t="shared" si="5"/>
        <v>2609.4537601611828</v>
      </c>
      <c r="L12" s="12">
        <f t="shared" ca="1" si="2"/>
        <v>-0.57272394117731718</v>
      </c>
      <c r="M12" s="12">
        <f t="shared" ca="1" si="3"/>
        <v>-7.0181434537836929E-2</v>
      </c>
      <c r="N12" s="12">
        <f t="shared" ca="1" si="6"/>
        <v>-0.12616437041624659</v>
      </c>
    </row>
    <row r="13" spans="1:14" ht="15.6" x14ac:dyDescent="0.3">
      <c r="A13" s="31" t="s">
        <v>20</v>
      </c>
      <c r="B13" s="31" t="s">
        <v>14</v>
      </c>
      <c r="C13" s="31">
        <f>Podsumowanie!B17</f>
        <v>0.12</v>
      </c>
      <c r="D13" s="31" t="s">
        <v>7</v>
      </c>
      <c r="G13" s="95">
        <v>111</v>
      </c>
      <c r="H13" s="12">
        <f t="shared" si="0"/>
        <v>1.4055472263868065</v>
      </c>
      <c r="I13" s="11">
        <f t="shared" si="4"/>
        <v>0.8466199777223713</v>
      </c>
      <c r="J13" s="21">
        <f t="shared" si="1"/>
        <v>266878.44268953538</v>
      </c>
      <c r="K13" s="21">
        <f t="shared" si="5"/>
        <v>2404.3102945003188</v>
      </c>
      <c r="L13" s="12">
        <f t="shared" ca="1" si="2"/>
        <v>-0.90562781448003993</v>
      </c>
      <c r="M13" s="12">
        <f t="shared" ca="1" si="3"/>
        <v>-1.2070915635626569</v>
      </c>
      <c r="N13" s="12">
        <f t="shared" ca="1" si="6"/>
        <v>-2.3383441719051747</v>
      </c>
    </row>
    <row r="14" spans="1:14" ht="18" x14ac:dyDescent="0.3">
      <c r="A14" s="31" t="s">
        <v>33</v>
      </c>
      <c r="B14" s="31" t="s">
        <v>32</v>
      </c>
      <c r="C14" s="31">
        <f>Podsumowanie!B2</f>
        <v>1.2255</v>
      </c>
      <c r="D14" s="31" t="s">
        <v>82</v>
      </c>
      <c r="G14" s="95">
        <v>118</v>
      </c>
      <c r="H14" s="12">
        <f t="shared" si="0"/>
        <v>1.4941853397625509</v>
      </c>
      <c r="I14" s="11">
        <f t="shared" si="4"/>
        <v>0.83775319695520278</v>
      </c>
      <c r="J14" s="21">
        <f t="shared" si="1"/>
        <v>264083.38386139675</v>
      </c>
      <c r="K14" s="21">
        <f t="shared" si="5"/>
        <v>2237.994778486413</v>
      </c>
      <c r="L14" s="12">
        <f t="shared" ca="1" si="2"/>
        <v>-1.1440144638330518</v>
      </c>
      <c r="M14" s="12">
        <f t="shared" ca="1" si="3"/>
        <v>-2.2397657395751462</v>
      </c>
      <c r="N14" s="12">
        <f t="shared" ca="1" si="6"/>
        <v>-4.6115970938161945</v>
      </c>
    </row>
    <row r="15" spans="1:14" ht="15.6" x14ac:dyDescent="0.3">
      <c r="A15" s="31" t="s">
        <v>26</v>
      </c>
      <c r="B15" s="31" t="s">
        <v>13</v>
      </c>
      <c r="C15" s="31">
        <f>Podsumowanie!B8</f>
        <v>26295.705000000002</v>
      </c>
      <c r="D15" s="31" t="s">
        <v>39</v>
      </c>
      <c r="G15" s="95">
        <v>125</v>
      </c>
      <c r="H15" s="12">
        <f t="shared" si="0"/>
        <v>1.5828234531382954</v>
      </c>
      <c r="I15" s="11">
        <f t="shared" si="4"/>
        <v>0.82637977036362731</v>
      </c>
      <c r="J15" s="21">
        <f t="shared" si="1"/>
        <v>260498.15972698733</v>
      </c>
      <c r="K15" s="21">
        <f t="shared" si="5"/>
        <v>2083.9852778158988</v>
      </c>
      <c r="L15" s="12">
        <f t="shared" ca="1" si="2"/>
        <v>-1.3441642340766227</v>
      </c>
      <c r="M15" s="12">
        <f t="shared" ca="1" si="3"/>
        <v>-3.304596907104512</v>
      </c>
      <c r="N15" s="12">
        <f t="shared" ca="1" si="6"/>
        <v>-7.205515612576078</v>
      </c>
    </row>
    <row r="16" spans="1:14" x14ac:dyDescent="0.3">
      <c r="A16" s="30" t="s">
        <v>102</v>
      </c>
      <c r="B16" s="30" t="s">
        <v>89</v>
      </c>
      <c r="C16" s="30">
        <f>Podsumowanie!B15</f>
        <v>1.63</v>
      </c>
      <c r="D16" s="30" t="s">
        <v>7</v>
      </c>
      <c r="G16" s="95">
        <v>132</v>
      </c>
      <c r="H16" s="12">
        <f t="shared" si="0"/>
        <v>1.6714615665140402</v>
      </c>
      <c r="I16" s="11">
        <f t="shared" si="4"/>
        <v>0.81331950521625873</v>
      </c>
      <c r="J16" s="21">
        <f t="shared" si="1"/>
        <v>256381.19660851822</v>
      </c>
      <c r="K16" s="21">
        <f t="shared" si="5"/>
        <v>1942.2817924887745</v>
      </c>
      <c r="L16" s="12">
        <f t="shared" ca="1" si="2"/>
        <v>-1.5139005469030624</v>
      </c>
      <c r="M16" s="12">
        <f t="shared" ca="1" si="3"/>
        <v>-4.3995080667678108</v>
      </c>
      <c r="N16" s="12">
        <f t="shared" ca="1" si="6"/>
        <v>-10.125781719771982</v>
      </c>
    </row>
    <row r="17" spans="1:16" ht="18.600000000000001" x14ac:dyDescent="0.3">
      <c r="A17" s="30" t="s">
        <v>29</v>
      </c>
      <c r="B17" s="30" t="s">
        <v>83</v>
      </c>
      <c r="C17" s="30">
        <f>C14*(1-C1/44300)^4.256</f>
        <v>0.90929012920776553</v>
      </c>
      <c r="D17" s="30" t="s">
        <v>84</v>
      </c>
      <c r="G17" s="95">
        <v>140</v>
      </c>
      <c r="H17" s="12">
        <f t="shared" si="0"/>
        <v>1.7727622675148911</v>
      </c>
      <c r="I17" s="11">
        <f t="shared" si="4"/>
        <v>0.79737961911418553</v>
      </c>
      <c r="J17" s="21">
        <f t="shared" si="1"/>
        <v>251356.49592638423</v>
      </c>
      <c r="K17" s="21">
        <f t="shared" si="5"/>
        <v>1795.403542331316</v>
      </c>
      <c r="L17" s="12">
        <f t="shared" ca="1" si="2"/>
        <v>-1.678175012109608</v>
      </c>
      <c r="M17" s="12">
        <f t="shared" ca="1" si="3"/>
        <v>-5.6858969352714821</v>
      </c>
      <c r="N17" s="12">
        <f t="shared" ca="1" si="6"/>
        <v>-13.870474641733701</v>
      </c>
    </row>
    <row r="18" spans="1:16" ht="18.600000000000001" x14ac:dyDescent="0.3">
      <c r="A18" s="30" t="s">
        <v>27</v>
      </c>
      <c r="B18" s="30" t="s">
        <v>85</v>
      </c>
      <c r="C18" s="30">
        <f>C6*((C17/C14)-C13)/(1-C13)</f>
        <v>315228.1421559506</v>
      </c>
      <c r="D18" s="30" t="s">
        <v>35</v>
      </c>
    </row>
    <row r="19" spans="1:16" ht="19.2" thickBot="1" x14ac:dyDescent="0.35">
      <c r="A19" s="30" t="s">
        <v>28</v>
      </c>
      <c r="B19" s="30" t="s">
        <v>86</v>
      </c>
      <c r="C19" s="30">
        <f>C18/C17/C12^3/C4^5</f>
        <v>0.20789988583801147</v>
      </c>
      <c r="D19" s="30" t="s">
        <v>7</v>
      </c>
    </row>
    <row r="20" spans="1:16" ht="18.600000000000001" thickBot="1" x14ac:dyDescent="0.35">
      <c r="A20" s="30" t="s">
        <v>153</v>
      </c>
      <c r="B20" s="30" t="s">
        <v>140</v>
      </c>
      <c r="C20" s="30">
        <f>Podsumowanie!B31</f>
        <v>28993.455000000002</v>
      </c>
      <c r="D20" s="30" t="s">
        <v>39</v>
      </c>
      <c r="F20" s="132" t="s">
        <v>173</v>
      </c>
      <c r="G20" s="133"/>
      <c r="H20" s="133"/>
      <c r="I20" s="133"/>
      <c r="J20" s="133"/>
      <c r="K20" s="133"/>
      <c r="L20" s="133"/>
      <c r="M20" s="133"/>
      <c r="N20" s="133"/>
      <c r="O20" s="133"/>
      <c r="P20" s="134"/>
    </row>
    <row r="21" spans="1:16" ht="18.600000000000001" thickBot="1" x14ac:dyDescent="0.35">
      <c r="B21" s="30" t="s">
        <v>16</v>
      </c>
      <c r="C21" s="30" t="s">
        <v>66</v>
      </c>
      <c r="D21" s="30" t="s">
        <v>17</v>
      </c>
      <c r="F21" s="97" t="s">
        <v>1</v>
      </c>
      <c r="G21" s="97" t="s">
        <v>2</v>
      </c>
      <c r="H21" s="97" t="s">
        <v>67</v>
      </c>
      <c r="I21" s="97" t="s">
        <v>15</v>
      </c>
      <c r="J21" s="97" t="s">
        <v>74</v>
      </c>
      <c r="K21" s="97" t="s">
        <v>72</v>
      </c>
      <c r="L21" s="97" t="s">
        <v>73</v>
      </c>
      <c r="M21" s="97" t="s">
        <v>71</v>
      </c>
      <c r="N21" s="97" t="s">
        <v>69</v>
      </c>
      <c r="O21" s="97" t="s">
        <v>87</v>
      </c>
      <c r="P21" s="97" t="s">
        <v>70</v>
      </c>
    </row>
    <row r="22" spans="1:16" x14ac:dyDescent="0.3">
      <c r="A22" s="32">
        <v>1</v>
      </c>
      <c r="B22" s="47">
        <f>-K3*COS(C22+C23-C$3)+0.5*C$17*C$7*C$5*(C23-C$8)*G3^2*SIN(C22)+0.5*C$17*C$7*(C$11+1/PI()/C$10*C$5^2*(C23-C$8)^2)*G3^2*COS(C22)</f>
        <v>7.1030833169061225E-5</v>
      </c>
      <c r="C22" s="33">
        <v>8.2301038264229895E-2</v>
      </c>
      <c r="D22" s="34">
        <f t="shared" ref="D22:D51" si="7">DEGREES(C22)</f>
        <v>4.7155021420850671</v>
      </c>
      <c r="F22" s="11">
        <v>1.63</v>
      </c>
      <c r="G22" s="12">
        <v>156.18</v>
      </c>
      <c r="H22" s="12">
        <f t="shared" ref="H22:H37" si="8">SQRT((2*C$15)/(C$7*C$17*F22))</f>
        <v>40.815259783159711</v>
      </c>
      <c r="I22" s="92">
        <f t="shared" ref="I22:I37" si="9">H22/C$12/C$4</f>
        <v>0.51682680344573961</v>
      </c>
      <c r="J22" s="93">
        <f>0.1962*I22^3-1.039*I22^2+1.6751*I22</f>
        <v>0.61529467323025766</v>
      </c>
      <c r="K22" s="21">
        <f t="shared" ref="K22:K37" si="10">C$15*SQRT((2*C$15)/(C$17*C$7*G22))</f>
        <v>109644.91039190756</v>
      </c>
      <c r="L22" s="20">
        <f t="shared" ref="L22:L37" si="11">C$18*J22</f>
        <v>193958.19672082685</v>
      </c>
      <c r="M22" s="21">
        <f t="shared" ref="M22:M37" si="12">(L22-K22)</f>
        <v>84313.28632891929</v>
      </c>
      <c r="N22" s="12">
        <f t="shared" ref="N22:N37" si="13">M22/C$15</f>
        <v>3.206352000409165</v>
      </c>
      <c r="O22" s="12">
        <f t="shared" ref="O22:O37" si="14">DEGREES(ASIN(N22/H22))</f>
        <v>4.505665786542127</v>
      </c>
      <c r="P22" s="12">
        <v>15.276999999999999</v>
      </c>
    </row>
    <row r="23" spans="1:16" x14ac:dyDescent="0.3">
      <c r="A23" s="35">
        <v>2</v>
      </c>
      <c r="B23" s="48">
        <f>K3*SIN(C22+C23-C$3)+0.5*C$17*C$7*C$5*(C23-C$8)*G3^2*COS(C22)-0.5*C$17*C$7*(C$11+1/PI()/C$10*C$5^2*(C23-C$8)^2)*G3^2*SIN(C22)-C$15</f>
        <v>-2.1529558580368757E-8</v>
      </c>
      <c r="C23" s="36">
        <v>0.20408564331294196</v>
      </c>
      <c r="D23" s="37">
        <f t="shared" si="7"/>
        <v>11.693246021043887</v>
      </c>
      <c r="F23" s="11">
        <v>1.571</v>
      </c>
      <c r="G23" s="12">
        <v>158.85</v>
      </c>
      <c r="H23" s="12">
        <f t="shared" si="8"/>
        <v>41.574618695427802</v>
      </c>
      <c r="I23" s="12">
        <f t="shared" si="9"/>
        <v>0.52644225221123986</v>
      </c>
      <c r="J23" s="11">
        <f t="shared" ref="J23:J37" si="15">0.1962*I23^3-1.039*I23^2+1.6751*I23</f>
        <v>0.62251883262995311</v>
      </c>
      <c r="K23" s="21">
        <f t="shared" si="10"/>
        <v>108719.5325972805</v>
      </c>
      <c r="L23" s="20">
        <f t="shared" si="11"/>
        <v>196235.45506703129</v>
      </c>
      <c r="M23" s="21">
        <f t="shared" si="12"/>
        <v>87515.922469750789</v>
      </c>
      <c r="N23" s="12">
        <f t="shared" si="13"/>
        <v>3.3281451274932841</v>
      </c>
      <c r="O23" s="12">
        <f t="shared" si="14"/>
        <v>4.5915737154179777</v>
      </c>
      <c r="P23" s="12">
        <v>12.122999999999999</v>
      </c>
    </row>
    <row r="24" spans="1:16" x14ac:dyDescent="0.3">
      <c r="A24" s="38">
        <v>3</v>
      </c>
      <c r="B24" s="47">
        <f>-K4*COS(C24+C25-C$3)+0.5*C$17*C$7*C$5*(C25-C$8)*G4^2*SIN(C24)+0.5*C$17*C$7*(C$11+1/PI()/C$10*C$5^2*(C25-C$8)^2)*G4^2*COS(C24)</f>
        <v>-5.3513185775955208E-5</v>
      </c>
      <c r="C24" s="39">
        <v>8.7451902413900454E-2</v>
      </c>
      <c r="D24" s="40">
        <f t="shared" si="7"/>
        <v>5.0106249187064318</v>
      </c>
      <c r="F24" s="11">
        <v>1.474</v>
      </c>
      <c r="G24" s="12">
        <v>163.07</v>
      </c>
      <c r="H24" s="12">
        <f t="shared" si="8"/>
        <v>42.920781946885526</v>
      </c>
      <c r="I24" s="12">
        <f t="shared" si="9"/>
        <v>0.54348816234052133</v>
      </c>
      <c r="J24" s="11">
        <f t="shared" si="15"/>
        <v>0.63499484802792838</v>
      </c>
      <c r="K24" s="21">
        <f t="shared" si="10"/>
        <v>107303.56490601957</v>
      </c>
      <c r="L24" s="20">
        <f t="shared" si="11"/>
        <v>200168.24622244405</v>
      </c>
      <c r="M24" s="21">
        <f t="shared" si="12"/>
        <v>92864.681316424481</v>
      </c>
      <c r="N24" s="12">
        <f t="shared" si="13"/>
        <v>3.5315532067470516</v>
      </c>
      <c r="O24" s="12">
        <f t="shared" si="14"/>
        <v>4.719674188552486</v>
      </c>
      <c r="P24" s="12">
        <v>11.015000000000001</v>
      </c>
    </row>
    <row r="25" spans="1:16" x14ac:dyDescent="0.3">
      <c r="A25" s="41">
        <v>4</v>
      </c>
      <c r="B25" s="48">
        <f>K4*SIN(C24+C25-C$3)+0.5*C$17*C$7*C$5*(C25-C$8)*G4^2*COS(C24)-0.5*C$17*C$7*(C$11+1/PI()/C$10*C$5^2*(C25-C$8)^2)*G4^2*SIN(C24)-C$15</f>
        <v>1.7554171790834516E-5</v>
      </c>
      <c r="C25" s="42">
        <v>0.16050991792380004</v>
      </c>
      <c r="D25" s="43">
        <f>DEGREES(C25)</f>
        <v>9.1965408670249875</v>
      </c>
      <c r="F25" s="11">
        <v>1.379</v>
      </c>
      <c r="G25" s="12">
        <v>167.61</v>
      </c>
      <c r="H25" s="12">
        <f t="shared" si="8"/>
        <v>44.374577817615268</v>
      </c>
      <c r="I25" s="12">
        <f t="shared" si="9"/>
        <v>0.56189697994265453</v>
      </c>
      <c r="J25" s="11">
        <f t="shared" si="15"/>
        <v>0.64799921524677218</v>
      </c>
      <c r="K25" s="21">
        <f t="shared" si="10"/>
        <v>105840.33923606607</v>
      </c>
      <c r="L25" s="20">
        <f t="shared" si="11"/>
        <v>204267.58874075394</v>
      </c>
      <c r="M25" s="21">
        <f t="shared" si="12"/>
        <v>98427.249504687876</v>
      </c>
      <c r="N25" s="12">
        <f t="shared" si="13"/>
        <v>3.7430922466116754</v>
      </c>
      <c r="O25" s="12">
        <f t="shared" si="14"/>
        <v>4.8387735637261571</v>
      </c>
      <c r="P25" s="12">
        <v>9.5779999999999994</v>
      </c>
    </row>
    <row r="26" spans="1:16" x14ac:dyDescent="0.3">
      <c r="A26" s="32">
        <v>5</v>
      </c>
      <c r="B26" s="47">
        <f>-K5*COS(C26+C27-C$3)+0.5*C$17*C$7*C$5*(C27-C$8)*G5^2*SIN(C26)+0.5*C$17*C$7*(C$11+1/PI()/C$10*C$5^2*(C27-C$8)^2)*G5^2*COS(C26)</f>
        <v>-2.7904375428988715E-5</v>
      </c>
      <c r="C26" s="33">
        <v>8.8423750413456501E-2</v>
      </c>
      <c r="D26" s="34">
        <f t="shared" si="7"/>
        <v>5.0663077074092255</v>
      </c>
      <c r="F26" s="11">
        <v>1.272</v>
      </c>
      <c r="G26" s="12">
        <v>169.65</v>
      </c>
      <c r="H26" s="12">
        <f t="shared" si="8"/>
        <v>46.203280438427093</v>
      </c>
      <c r="I26" s="12">
        <f t="shared" si="9"/>
        <v>0.58505308711894588</v>
      </c>
      <c r="J26" s="11">
        <f t="shared" si="15"/>
        <v>0.66367636733716684</v>
      </c>
      <c r="K26" s="21">
        <f t="shared" si="10"/>
        <v>105202.06247996389</v>
      </c>
      <c r="L26" s="20">
        <f t="shared" si="11"/>
        <v>209209.46826850533</v>
      </c>
      <c r="M26" s="21">
        <f t="shared" si="12"/>
        <v>104007.40578854144</v>
      </c>
      <c r="N26" s="12">
        <f t="shared" si="13"/>
        <v>3.9553001445879254</v>
      </c>
      <c r="O26" s="12">
        <f t="shared" si="14"/>
        <v>4.9109006633691532</v>
      </c>
      <c r="P26" s="12">
        <v>8.4719999999999995</v>
      </c>
    </row>
    <row r="27" spans="1:16" x14ac:dyDescent="0.3">
      <c r="A27" s="35">
        <v>6</v>
      </c>
      <c r="B27" s="48">
        <f>K5*SIN(C26+C27-C$3)+0.5*C$17*C$7*C$5*(C27-C$8)*G5^2*COS(C26)-0.5*C$17*C$7*(C$11+1/PI()/C$10*C$5^2*(C27-C$8)^2)*G5^2*SIN(C26)-C$15</f>
        <v>7.2455186455044895E-6</v>
      </c>
      <c r="C27" s="36">
        <v>0.10879759017019605</v>
      </c>
      <c r="D27" s="37">
        <f t="shared" si="7"/>
        <v>6.233642737946246</v>
      </c>
      <c r="F27" s="11">
        <v>1.1779999999999999</v>
      </c>
      <c r="G27" s="12">
        <v>170.58</v>
      </c>
      <c r="H27" s="12">
        <f t="shared" si="8"/>
        <v>48.011328360454733</v>
      </c>
      <c r="I27" s="12">
        <f t="shared" si="9"/>
        <v>0.60794765236201231</v>
      </c>
      <c r="J27" s="11">
        <f t="shared" si="15"/>
        <v>0.67844403254114405</v>
      </c>
      <c r="K27" s="21">
        <f t="shared" si="10"/>
        <v>104914.8903740861</v>
      </c>
      <c r="L27" s="20">
        <f t="shared" si="11"/>
        <v>213864.65193473612</v>
      </c>
      <c r="M27" s="21">
        <f t="shared" si="12"/>
        <v>108949.76156065002</v>
      </c>
      <c r="N27" s="12">
        <f t="shared" si="13"/>
        <v>4.1432531115119371</v>
      </c>
      <c r="O27" s="12">
        <f t="shared" si="14"/>
        <v>4.9506349437553769</v>
      </c>
      <c r="P27" s="12">
        <v>7.694</v>
      </c>
    </row>
    <row r="28" spans="1:16" x14ac:dyDescent="0.3">
      <c r="A28" s="38">
        <v>7</v>
      </c>
      <c r="B28" s="47">
        <f>-K6*COS(C28+C29-C$3)+0.5*C$17*C$7*C$5*(C29-C$8)*G6^2*SIN(C28)+0.5*C$17*C$7*(C$11+1/PI()/C$10*C$5^2*(C29-C$8)^2)*G6^2*COS(C28)</f>
        <v>1.9903900692952448E-5</v>
      </c>
      <c r="C28" s="39">
        <v>8.33549289321176E-2</v>
      </c>
      <c r="D28" s="40">
        <f t="shared" si="7"/>
        <v>4.7758856294232563</v>
      </c>
      <c r="F28" s="11">
        <v>1.08</v>
      </c>
      <c r="G28" s="12">
        <v>169.97</v>
      </c>
      <c r="H28" s="12">
        <f t="shared" si="8"/>
        <v>50.142327547229172</v>
      </c>
      <c r="I28" s="12">
        <f t="shared" si="9"/>
        <v>0.63493161629357409</v>
      </c>
      <c r="J28" s="11">
        <f t="shared" si="15"/>
        <v>0.69493376970137954</v>
      </c>
      <c r="K28" s="21">
        <f t="shared" si="10"/>
        <v>105102.98464294609</v>
      </c>
      <c r="L28" s="20">
        <f t="shared" si="11"/>
        <v>219062.68114439709</v>
      </c>
      <c r="M28" s="21">
        <f t="shared" si="12"/>
        <v>113959.69650145101</v>
      </c>
      <c r="N28" s="12">
        <f t="shared" si="13"/>
        <v>4.3337760482729406</v>
      </c>
      <c r="O28" s="12">
        <f t="shared" si="14"/>
        <v>4.9582314507404384</v>
      </c>
      <c r="P28" s="12">
        <v>7.048</v>
      </c>
    </row>
    <row r="29" spans="1:16" x14ac:dyDescent="0.3">
      <c r="A29" s="41">
        <v>8</v>
      </c>
      <c r="B29" s="48">
        <f>K6*SIN(C28+C29-C$3)+0.5*C$17*C$7*C$5*(C29-C$8)*G6^2*COS(C28)-0.5*C$17*C$7*(C$11+1/PI()/C$10*C$5^2*(C29-C$8)^2)*G6^2*SIN(C28)-C$15</f>
        <v>-1.1437550710979849E-6</v>
      </c>
      <c r="C29" s="42">
        <v>7.3796088449769828E-2</v>
      </c>
      <c r="D29" s="43">
        <f t="shared" si="7"/>
        <v>4.2282044127459333</v>
      </c>
      <c r="F29" s="11">
        <v>0.96899999999999997</v>
      </c>
      <c r="G29" s="12">
        <v>164.23</v>
      </c>
      <c r="H29" s="12">
        <f t="shared" si="8"/>
        <v>52.936409198057795</v>
      </c>
      <c r="I29" s="12">
        <f t="shared" si="9"/>
        <v>0.67031192002889339</v>
      </c>
      <c r="J29" s="11">
        <f t="shared" si="15"/>
        <v>0.71509017764976091</v>
      </c>
      <c r="K29" s="21">
        <f t="shared" si="10"/>
        <v>106923.93661068165</v>
      </c>
      <c r="L29" s="20">
        <f t="shared" si="11"/>
        <v>225416.54817450279</v>
      </c>
      <c r="M29" s="21">
        <f t="shared" si="12"/>
        <v>118492.61156382115</v>
      </c>
      <c r="N29" s="12">
        <f t="shared" si="13"/>
        <v>4.5061583845658877</v>
      </c>
      <c r="O29" s="12">
        <f t="shared" si="14"/>
        <v>4.8831548335124291</v>
      </c>
      <c r="P29" s="12">
        <v>6.0739999999999998</v>
      </c>
    </row>
    <row r="30" spans="1:16" x14ac:dyDescent="0.3">
      <c r="A30" s="32">
        <v>9</v>
      </c>
      <c r="B30" s="47">
        <f>-K7*COS(C30+C31-C$3)+0.5*C$17*C$7*C$5*(C31-C$8)*G7^2*SIN(C30)+0.5*C$17*C$7*(C$11+1/PI()/C$10*C$5^2*(C31-C$8)^2)*G7^2*COS(C30)</f>
        <v>2.162759506063594E-5</v>
      </c>
      <c r="C30" s="33">
        <v>7.3026496704916358E-2</v>
      </c>
      <c r="D30" s="34">
        <f t="shared" si="7"/>
        <v>4.1841100538177205</v>
      </c>
      <c r="F30" s="11">
        <v>0.86799999999999999</v>
      </c>
      <c r="G30" s="12">
        <v>160.72999999999999</v>
      </c>
      <c r="H30" s="12">
        <f t="shared" si="8"/>
        <v>55.931504901577547</v>
      </c>
      <c r="I30" s="12">
        <f t="shared" si="9"/>
        <v>0.70823758182029184</v>
      </c>
      <c r="J30" s="11">
        <f t="shared" si="15"/>
        <v>0.73490638493235694</v>
      </c>
      <c r="K30" s="21">
        <f t="shared" si="10"/>
        <v>108081.83609019277</v>
      </c>
      <c r="L30" s="20">
        <f t="shared" si="11"/>
        <v>231663.17438077278</v>
      </c>
      <c r="M30" s="21">
        <f t="shared" si="12"/>
        <v>123581.33829058001</v>
      </c>
      <c r="N30" s="12">
        <f t="shared" si="13"/>
        <v>4.6996776960564475</v>
      </c>
      <c r="O30" s="12">
        <f t="shared" si="14"/>
        <v>4.8199948304701099</v>
      </c>
      <c r="P30" s="12">
        <v>5.0990000000000002</v>
      </c>
    </row>
    <row r="31" spans="1:16" x14ac:dyDescent="0.3">
      <c r="A31" s="35">
        <v>10</v>
      </c>
      <c r="B31" s="48">
        <f>K7*SIN(C30+C31-C$3)+0.5*C$17*C$7*C$5*(C31-C$8)*G7^2*COS(C30)-0.5*C$17*C$7*(C$11+1/PI()/C$10*C$5^2*(C31-C$8)^2)*G7^2*SIN(C30)-C$15</f>
        <v>-1.1856573109980673E-6</v>
      </c>
      <c r="C31" s="36">
        <v>4.6114046840690294E-2</v>
      </c>
      <c r="D31" s="37">
        <f t="shared" si="7"/>
        <v>2.6421402602401414</v>
      </c>
      <c r="F31" s="11">
        <v>0.77100000000000002</v>
      </c>
      <c r="G31" s="12">
        <v>153.61000000000001</v>
      </c>
      <c r="H31" s="12">
        <f t="shared" si="8"/>
        <v>59.34568925983514</v>
      </c>
      <c r="I31" s="12">
        <f t="shared" si="9"/>
        <v>0.75146999042499607</v>
      </c>
      <c r="J31" s="11">
        <f t="shared" si="15"/>
        <v>0.75531618073263829</v>
      </c>
      <c r="K31" s="21">
        <f t="shared" si="10"/>
        <v>110558.32277877198</v>
      </c>
      <c r="L31" s="20">
        <f t="shared" si="11"/>
        <v>238096.91639267778</v>
      </c>
      <c r="M31" s="21">
        <f t="shared" si="12"/>
        <v>127538.5936139058</v>
      </c>
      <c r="N31" s="12">
        <f t="shared" si="13"/>
        <v>4.8501682542417397</v>
      </c>
      <c r="O31" s="12">
        <f t="shared" si="14"/>
        <v>4.687863051451612</v>
      </c>
      <c r="P31" s="12">
        <v>3.86</v>
      </c>
    </row>
    <row r="32" spans="1:16" x14ac:dyDescent="0.3">
      <c r="A32" s="38">
        <v>11</v>
      </c>
      <c r="B32" s="47">
        <f>-K8*COS(C32+C33-C$3)+0.5*C$17*C$7*C$5*(C33-C$8)*G8^2*SIN(C32)+0.5*C$17*C$7*(C$11+1/PI()/C$10*C$5^2*(C33-C$8)^2)*G8^2*COS(C32)</f>
        <v>-2.6171298713961733E-5</v>
      </c>
      <c r="C32" s="39">
        <v>6.1376013947600144E-2</v>
      </c>
      <c r="D32" s="40">
        <f t="shared" si="7"/>
        <v>3.5165865625335631</v>
      </c>
      <c r="F32" s="11">
        <v>0.56899999999999995</v>
      </c>
      <c r="G32" s="12">
        <v>116.14</v>
      </c>
      <c r="H32" s="12">
        <f t="shared" si="8"/>
        <v>69.081257428821559</v>
      </c>
      <c r="I32" s="12">
        <f t="shared" si="9"/>
        <v>0.87474747544498299</v>
      </c>
      <c r="J32" s="11">
        <f t="shared" si="15"/>
        <v>0.80158911294713331</v>
      </c>
      <c r="K32" s="21">
        <f t="shared" si="10"/>
        <v>127148.2172689624</v>
      </c>
      <c r="L32" s="20">
        <f t="shared" si="11"/>
        <v>252683.44684676128</v>
      </c>
      <c r="M32" s="21">
        <f t="shared" si="12"/>
        <v>125535.22957779888</v>
      </c>
      <c r="N32" s="12">
        <f t="shared" si="13"/>
        <v>4.7739822749684357</v>
      </c>
      <c r="O32" s="12">
        <f t="shared" si="14"/>
        <v>3.9626844202529941</v>
      </c>
      <c r="P32" s="12">
        <v>2.0419999999999998</v>
      </c>
    </row>
    <row r="33" spans="1:16" x14ac:dyDescent="0.3">
      <c r="A33" s="41">
        <v>12</v>
      </c>
      <c r="B33" s="48">
        <f>K8*SIN(C32+C33-C$3)+0.5*C$17*C$7*C$5*(C33-C$8)*G8^2*COS(C32)-0.5*C$17*C$7*(C$11+1/PI()/C$10*C$5^2*(C33-C$8)^2)*G8^2*SIN(C32)-C$15</f>
        <v>1.7231795936822891E-6</v>
      </c>
      <c r="C33" s="42">
        <v>2.8730444147323165E-2</v>
      </c>
      <c r="D33" s="43">
        <f t="shared" si="7"/>
        <v>1.6461331931779546</v>
      </c>
      <c r="F33" s="11">
        <v>0.47099999999999997</v>
      </c>
      <c r="G33" s="12">
        <v>88.53</v>
      </c>
      <c r="H33" s="12">
        <f t="shared" si="8"/>
        <v>75.928691163682998</v>
      </c>
      <c r="I33" s="12">
        <f t="shared" si="9"/>
        <v>0.96145370511977535</v>
      </c>
      <c r="J33" s="11">
        <f t="shared" si="15"/>
        <v>0.82446150422146669</v>
      </c>
      <c r="K33" s="21">
        <f t="shared" si="10"/>
        <v>145631.71170771521</v>
      </c>
      <c r="L33" s="20">
        <f t="shared" si="11"/>
        <v>259893.46825483337</v>
      </c>
      <c r="M33" s="21">
        <f t="shared" si="12"/>
        <v>114261.75654711816</v>
      </c>
      <c r="N33" s="12">
        <f t="shared" si="13"/>
        <v>4.3452630970387807</v>
      </c>
      <c r="O33" s="12">
        <f t="shared" si="14"/>
        <v>3.2807273447941303</v>
      </c>
      <c r="P33" s="12">
        <v>1.198</v>
      </c>
    </row>
    <row r="34" spans="1:16" x14ac:dyDescent="0.3">
      <c r="A34" s="32">
        <v>13</v>
      </c>
      <c r="B34" s="47">
        <f>-K9*COS(C34+C35-C$3)+0.5*C$17*C$7*C$5*(C35-C$8)*G9^2*SIN(C34)+0.5*C$17*C$7*(C$11+1/PI()/C$10*C$5^2*(C35-C$8)^2)*G9^2*COS(C34)</f>
        <v>-1.6582637886131124E-4</v>
      </c>
      <c r="C34" s="33">
        <v>4.8015476785862515E-2</v>
      </c>
      <c r="D34" s="34">
        <f t="shared" si="7"/>
        <v>2.7510841711383014</v>
      </c>
      <c r="F34" s="28">
        <v>0.371</v>
      </c>
      <c r="G34" s="28">
        <v>56.77</v>
      </c>
      <c r="H34" s="12">
        <f t="shared" si="8"/>
        <v>85.551851410647487</v>
      </c>
      <c r="I34" s="12">
        <f t="shared" si="9"/>
        <v>1.0833078149774034</v>
      </c>
      <c r="J34" s="11">
        <f t="shared" si="15"/>
        <v>0.84475783614047451</v>
      </c>
      <c r="K34" s="21">
        <f t="shared" si="10"/>
        <v>181861.90629566569</v>
      </c>
      <c r="L34" s="20">
        <f t="shared" si="11"/>
        <v>266291.44325824274</v>
      </c>
      <c r="M34" s="21">
        <f t="shared" si="12"/>
        <v>84429.536962577055</v>
      </c>
      <c r="N34" s="12">
        <f t="shared" si="13"/>
        <v>3.2107728985618391</v>
      </c>
      <c r="O34" s="12">
        <f t="shared" si="14"/>
        <v>2.1508236964967726</v>
      </c>
      <c r="P34" s="12">
        <v>0.42</v>
      </c>
    </row>
    <row r="35" spans="1:16" x14ac:dyDescent="0.3">
      <c r="A35" s="35">
        <v>14</v>
      </c>
      <c r="B35" s="48">
        <f>K9*SIN(C34+C35-C$3)+0.5*C$17*C$7*C$5*(C35-C$8)*G9^2*COS(C34)-0.5*C$17*C$7*(C$11+1/PI()/C$10*C$5^2*(C35-C$8)^2)*G9^2*SIN(C34)-C$15</f>
        <v>8.2374790508765727E-6</v>
      </c>
      <c r="C35" s="36">
        <v>1.5572946930674287E-2</v>
      </c>
      <c r="D35" s="37">
        <f t="shared" si="7"/>
        <v>0.89226413370884605</v>
      </c>
      <c r="F35" s="28">
        <v>0.27600000000000002</v>
      </c>
      <c r="G35" s="28">
        <v>29.74</v>
      </c>
      <c r="H35" s="12">
        <f t="shared" si="8"/>
        <v>99.188615025775746</v>
      </c>
      <c r="I35" s="12">
        <f t="shared" si="9"/>
        <v>1.2559845291768272</v>
      </c>
      <c r="J35" s="11">
        <f t="shared" si="15"/>
        <v>0.85361357324257603</v>
      </c>
      <c r="K35" s="21">
        <f t="shared" si="10"/>
        <v>251264.25159565679</v>
      </c>
      <c r="L35" s="20">
        <f t="shared" si="11"/>
        <v>269083.0208123597</v>
      </c>
      <c r="M35" s="21">
        <f t="shared" si="12"/>
        <v>17818.769216702902</v>
      </c>
      <c r="N35" s="12">
        <f t="shared" si="13"/>
        <v>0.67763040453575596</v>
      </c>
      <c r="O35" s="12">
        <f t="shared" si="14"/>
        <v>0.39143266855185899</v>
      </c>
      <c r="P35" s="12">
        <v>-0.29199999999999998</v>
      </c>
    </row>
    <row r="36" spans="1:16" x14ac:dyDescent="0.3">
      <c r="A36" s="38">
        <v>15</v>
      </c>
      <c r="B36" s="47">
        <f>-K10*COS(C36+C37-C$3)+0.5*C$17*C$7*C$5*(C37-C$8)*G10^2*SIN(C36)+0.5*C$17*C$7*(C$11+1/PI()/C$10*C$5^2*(C37-C$8)^2)*G10^2*COS(C36)</f>
        <v>1.3388366824074183E-6</v>
      </c>
      <c r="C36" s="39">
        <v>3.1185401685527952E-2</v>
      </c>
      <c r="D36" s="40">
        <f t="shared" si="7"/>
        <v>1.7867918990009153</v>
      </c>
      <c r="F36" s="28">
        <v>0.186</v>
      </c>
      <c r="G36" s="28">
        <v>10.85</v>
      </c>
      <c r="H36" s="12">
        <f t="shared" si="8"/>
        <v>120.82586004628411</v>
      </c>
      <c r="I36" s="12">
        <f t="shared" si="9"/>
        <v>1.5299680402149107</v>
      </c>
      <c r="J36" s="11">
        <f t="shared" si="15"/>
        <v>0.83341734653629307</v>
      </c>
      <c r="K36" s="21">
        <f t="shared" si="10"/>
        <v>415993.28198492399</v>
      </c>
      <c r="L36" s="20">
        <f t="shared" si="11"/>
        <v>262716.60178917774</v>
      </c>
      <c r="M36" s="21">
        <f t="shared" si="12"/>
        <v>-153276.68019574624</v>
      </c>
      <c r="N36" s="12">
        <f t="shared" si="13"/>
        <v>-5.8289625699613774</v>
      </c>
      <c r="O36" s="12">
        <f t="shared" si="14"/>
        <v>-2.7651749083081394</v>
      </c>
      <c r="P36" s="12">
        <v>-1.071</v>
      </c>
    </row>
    <row r="37" spans="1:16" x14ac:dyDescent="0.3">
      <c r="A37" s="41">
        <v>16</v>
      </c>
      <c r="B37" s="48">
        <f>K10*SIN(C36+C37-C$3)+0.5*C$17*C$7*C$5*(C37-C$8)*G10^2*COS(C36)-0.5*C$17*C$7*(C$11+1/PI()/C$10*C$5^2*(C37-C$8)^2)*G10^2*SIN(C36)-C$15</f>
        <v>-4.7413777792826295E-8</v>
      </c>
      <c r="C37" s="42">
        <v>4.1085948082625091E-3</v>
      </c>
      <c r="D37" s="43">
        <f t="shared" si="7"/>
        <v>0.23540514224280346</v>
      </c>
      <c r="F37" s="15">
        <v>7.0999999999999994E-2</v>
      </c>
      <c r="G37" s="16">
        <v>0.71</v>
      </c>
      <c r="H37" s="16">
        <f t="shared" si="8"/>
        <v>195.56322607171359</v>
      </c>
      <c r="I37" s="12">
        <f t="shared" si="9"/>
        <v>2.4763364863815589</v>
      </c>
      <c r="J37" s="11">
        <f t="shared" si="15"/>
        <v>0.7561056345928443</v>
      </c>
      <c r="K37" s="20">
        <f t="shared" si="10"/>
        <v>1626192.7174846097</v>
      </c>
      <c r="L37" s="20">
        <f t="shared" si="11"/>
        <v>238345.77446634838</v>
      </c>
      <c r="M37" s="20">
        <f t="shared" si="12"/>
        <v>-1387846.9430182613</v>
      </c>
      <c r="N37" s="16">
        <f t="shared" si="13"/>
        <v>-52.778464886880244</v>
      </c>
      <c r="O37" s="16">
        <f t="shared" si="14"/>
        <v>-15.657084118342688</v>
      </c>
      <c r="P37" s="16">
        <v>-2.044</v>
      </c>
    </row>
    <row r="38" spans="1:16" ht="15.6" thickBot="1" x14ac:dyDescent="0.35">
      <c r="A38" s="32">
        <v>17</v>
      </c>
      <c r="B38" s="47">
        <f>-K11*COS(C38+C39-C$3)+0.5*C$17*C$7*C$5*(C39-C$8)*G11^2*SIN(C38)+0.5*C$17*C$7*(C$11+1/PI()/C$10*C$5^2*(C39-C$8)^2)*G11^2*COS(C38)</f>
        <v>3.2990127238008427E-4</v>
      </c>
      <c r="C38" s="33">
        <v>1.5389211796128012E-2</v>
      </c>
      <c r="D38" s="34">
        <f t="shared" si="7"/>
        <v>0.88173688595107613</v>
      </c>
    </row>
    <row r="39" spans="1:16" ht="18.600000000000001" thickBot="1" x14ac:dyDescent="0.35">
      <c r="A39" s="35">
        <v>18</v>
      </c>
      <c r="B39" s="48">
        <f>K11*SIN(C38+C39-C$3)+0.5*C$17*C$7*C$5*(C39-C$8)*G11^2*COS(C38)-0.5*C$17*C$7*(C$11+1/PI()/C$10*C$5^2*(C39-C$8)^2)*G11^2*SIN(C38)-C$15</f>
        <v>-3.8902100641280413E-5</v>
      </c>
      <c r="C39" s="36">
        <v>-3.6999492584928908E-3</v>
      </c>
      <c r="D39" s="37">
        <f t="shared" si="7"/>
        <v>-0.21199147692420112</v>
      </c>
      <c r="F39" s="132" t="s">
        <v>189</v>
      </c>
      <c r="G39" s="133"/>
      <c r="H39" s="133"/>
      <c r="I39" s="133"/>
      <c r="J39" s="133"/>
      <c r="K39" s="133"/>
      <c r="L39" s="133"/>
      <c r="M39" s="133"/>
      <c r="N39" s="133"/>
      <c r="O39" s="133"/>
      <c r="P39" s="134"/>
    </row>
    <row r="40" spans="1:16" ht="18.600000000000001" thickBot="1" x14ac:dyDescent="0.35">
      <c r="A40" s="38">
        <v>19</v>
      </c>
      <c r="B40" s="47">
        <f>-K12*COS(C40+C41-C$3)+0.5*C$17*C$7*C$5*(C41-C$8)*G12^2*SIN(C40)+0.5*C$17*C$7*(C$11+1/PI()/C$10*C$5^2*(C41-C$8)^2)*G12^2*COS(C40)</f>
        <v>4.482112549339945E-4</v>
      </c>
      <c r="C40" s="39">
        <v>-1.2248971064581194E-3</v>
      </c>
      <c r="D40" s="40">
        <f t="shared" si="7"/>
        <v>-7.0181434537836929E-2</v>
      </c>
      <c r="F40" s="97" t="s">
        <v>1</v>
      </c>
      <c r="G40" s="97" t="s">
        <v>2</v>
      </c>
      <c r="H40" s="97" t="s">
        <v>67</v>
      </c>
      <c r="I40" s="97" t="s">
        <v>15</v>
      </c>
      <c r="J40" s="97" t="s">
        <v>74</v>
      </c>
      <c r="K40" s="97" t="s">
        <v>72</v>
      </c>
      <c r="L40" s="97" t="s">
        <v>73</v>
      </c>
      <c r="M40" s="97" t="s">
        <v>71</v>
      </c>
      <c r="N40" s="97" t="s">
        <v>69</v>
      </c>
      <c r="O40" s="97" t="s">
        <v>87</v>
      </c>
      <c r="P40" s="97" t="s">
        <v>70</v>
      </c>
    </row>
    <row r="41" spans="1:16" x14ac:dyDescent="0.3">
      <c r="A41" s="41">
        <v>20</v>
      </c>
      <c r="B41" s="48">
        <f>K12*SIN(C40+C41-C$3)+0.5*C$17*C$7*C$5*(C41-C$8)*G12^2*COS(C40)-0.5*C$17*C$7*(C$11+1/PI()/C$10*C$5^2*(C41-C$8)^2)*G12^2*SIN(C40)-C$15</f>
        <v>-3.7869718653382733E-5</v>
      </c>
      <c r="C41" s="42">
        <v>-9.9959184785425141E-3</v>
      </c>
      <c r="D41" s="43">
        <f t="shared" si="7"/>
        <v>-0.57272394117731718</v>
      </c>
      <c r="F41" s="93">
        <f t="shared" ref="F41:P56" si="16">F22</f>
        <v>1.63</v>
      </c>
      <c r="G41" s="99">
        <f t="shared" si="16"/>
        <v>156.18</v>
      </c>
      <c r="H41" s="92">
        <f>SQRT((2*C$20)/(C$7*C$17*F41))</f>
        <v>42.857826377230467</v>
      </c>
      <c r="I41" s="92">
        <f>H41/C$12/C$4</f>
        <v>0.54269098192327569</v>
      </c>
      <c r="J41" s="93">
        <f>0.185*I41^3-0.9822*I41^2+1.6209*I41</f>
        <v>0.61994516805189903</v>
      </c>
      <c r="K41" s="94">
        <f>C$20*SQRT((2*C$20)/(C$17*C$7*G41))</f>
        <v>126943.71540398928</v>
      </c>
      <c r="L41" s="94">
        <f>C$18*J41</f>
        <v>195424.16356355872</v>
      </c>
      <c r="M41" s="94">
        <f>(L41-K41)</f>
        <v>68480.448159569438</v>
      </c>
      <c r="N41" s="92">
        <f>M41/C$20</f>
        <v>2.3619278267998567</v>
      </c>
      <c r="O41" s="92">
        <f>DEGREES(ASIN(N41/H41))</f>
        <v>3.1592151177050201</v>
      </c>
      <c r="P41" s="99">
        <f t="shared" si="16"/>
        <v>15.276999999999999</v>
      </c>
    </row>
    <row r="42" spans="1:16" x14ac:dyDescent="0.3">
      <c r="A42" s="32">
        <v>21</v>
      </c>
      <c r="B42" s="47">
        <f>-K13*COS(C42+C43-C$3)+0.5*C$17*C$7*C$5*(C43-C$8)*G13^2*SIN(C42)+0.5*C$17*C$7*(C$11+1/PI()/C$10*C$5^2*(C43-C$8)^2)*G13^2*COS(C42)</f>
        <v>1.8172040336139617E-4</v>
      </c>
      <c r="C42" s="33">
        <v>-2.1067722157214776E-2</v>
      </c>
      <c r="D42" s="34">
        <f t="shared" si="7"/>
        <v>-1.2070915635626569</v>
      </c>
      <c r="F42" s="11">
        <f t="shared" si="16"/>
        <v>1.571</v>
      </c>
      <c r="G42" s="28">
        <f t="shared" si="16"/>
        <v>158.85</v>
      </c>
      <c r="H42" s="12">
        <f t="shared" ref="H42:H56" si="17">SQRT((2*C$20)/(C$7*C$17*F42))</f>
        <v>43.655186790783837</v>
      </c>
      <c r="I42" s="12">
        <f t="shared" ref="I42:I56" si="18">H42/C$12/C$4</f>
        <v>0.55278762802868631</v>
      </c>
      <c r="J42" s="11">
        <f t="shared" ref="J42:J56" si="19">0.185*I42^3-0.9822*I42^2+1.6209*I42</f>
        <v>0.62712828361467077</v>
      </c>
      <c r="K42" s="21">
        <f t="shared" ref="K42:K56" si="20">C$20*SQRT((2*C$20)/(C$17*C$7*G42))</f>
        <v>125872.33967863706</v>
      </c>
      <c r="L42" s="21">
        <f t="shared" ref="L42:L56" si="21">C$18*J42</f>
        <v>197688.48373730274</v>
      </c>
      <c r="M42" s="21">
        <f t="shared" ref="M42:M56" si="22">(L42-K42)</f>
        <v>71816.144058665683</v>
      </c>
      <c r="N42" s="12">
        <f t="shared" ref="N42:N56" si="23">M42/C$20</f>
        <v>2.4769777889066922</v>
      </c>
      <c r="O42" s="12">
        <f t="shared" ref="O42:O56" si="24">DEGREES(ASIN(N42/H42))</f>
        <v>3.2526864168837242</v>
      </c>
      <c r="P42" s="28">
        <f t="shared" si="16"/>
        <v>12.122999999999999</v>
      </c>
    </row>
    <row r="43" spans="1:16" x14ac:dyDescent="0.3">
      <c r="A43" s="35">
        <v>22</v>
      </c>
      <c r="B43" s="48">
        <f>K13*SIN(C42+C43-C$3)+0.5*C$17*C$7*C$5*(C43-C$8)*G13^2*COS(C42)-0.5*C$17*C$7*(C$11+1/PI()/C$10*C$5^2*(C43-C$8)^2)*G13^2*SIN(C42)-C$15</f>
        <v>-1.8158389138989151E-5</v>
      </c>
      <c r="C43" s="36">
        <v>-1.5806187160317075E-2</v>
      </c>
      <c r="D43" s="37">
        <f t="shared" si="7"/>
        <v>-0.90562781448003993</v>
      </c>
      <c r="F43" s="11">
        <f t="shared" si="16"/>
        <v>1.474</v>
      </c>
      <c r="G43" s="28">
        <f t="shared" si="16"/>
        <v>163.07</v>
      </c>
      <c r="H43" s="12">
        <f t="shared" si="17"/>
        <v>45.068717691062162</v>
      </c>
      <c r="I43" s="12">
        <f t="shared" si="18"/>
        <v>0.570686586914256</v>
      </c>
      <c r="J43" s="11">
        <f t="shared" si="19"/>
        <v>0.63952452805494253</v>
      </c>
      <c r="K43" s="21">
        <f t="shared" si="20"/>
        <v>124232.97311818121</v>
      </c>
      <c r="L43" s="21">
        <f t="shared" si="21"/>
        <v>201596.12884192064</v>
      </c>
      <c r="M43" s="21">
        <f t="shared" si="22"/>
        <v>77363.15572373943</v>
      </c>
      <c r="N43" s="12">
        <f t="shared" si="23"/>
        <v>2.6682972320387282</v>
      </c>
      <c r="O43" s="12">
        <f t="shared" si="24"/>
        <v>3.3941863387631273</v>
      </c>
      <c r="P43" s="28">
        <f t="shared" si="16"/>
        <v>11.015000000000001</v>
      </c>
    </row>
    <row r="44" spans="1:16" x14ac:dyDescent="0.3">
      <c r="A44" s="38">
        <v>23</v>
      </c>
      <c r="B44" s="47">
        <f>-K14*COS(C44+C45-C$3)+0.5*C$17*C$7*C$5*(C45-C$8)*G14^2*SIN(C44)+0.5*C$17*C$7*(C$11+1/PI()/C$10*C$5^2*(C45-C$8)^2)*G14^2*COS(C44)</f>
        <v>2.2538342454936355E-4</v>
      </c>
      <c r="C44" s="39">
        <v>-3.9091286628952164E-2</v>
      </c>
      <c r="D44" s="40">
        <f t="shared" si="7"/>
        <v>-2.2397657395751462</v>
      </c>
      <c r="F44" s="11">
        <f t="shared" si="16"/>
        <v>1.379</v>
      </c>
      <c r="G44" s="28">
        <f t="shared" si="16"/>
        <v>167.61</v>
      </c>
      <c r="H44" s="12">
        <f t="shared" si="17"/>
        <v>46.595267597805069</v>
      </c>
      <c r="I44" s="12">
        <f t="shared" si="18"/>
        <v>0.590016658872486</v>
      </c>
      <c r="J44" s="11">
        <f t="shared" si="19"/>
        <v>0.65243320803733207</v>
      </c>
      <c r="K44" s="21">
        <f t="shared" si="20"/>
        <v>122538.89263278096</v>
      </c>
      <c r="L44" s="21">
        <f t="shared" si="21"/>
        <v>205665.308050455</v>
      </c>
      <c r="M44" s="21">
        <f t="shared" si="22"/>
        <v>83126.415417674041</v>
      </c>
      <c r="N44" s="12">
        <f t="shared" si="23"/>
        <v>2.8670751870611499</v>
      </c>
      <c r="O44" s="12">
        <f t="shared" si="24"/>
        <v>3.5277218431891013</v>
      </c>
      <c r="P44" s="28">
        <f t="shared" si="16"/>
        <v>9.5779999999999994</v>
      </c>
    </row>
    <row r="45" spans="1:16" x14ac:dyDescent="0.3">
      <c r="A45" s="41">
        <v>24</v>
      </c>
      <c r="B45" s="48">
        <f>K14*SIN(C44+C45-C$3)+0.5*C$17*C$7*C$5*(C45-C$8)*G14^2*COS(C44)-0.5*C$17*C$7*(C$11+1/PI()/C$10*C$5^2*(C45-C$8)^2)*G14^2*SIN(C44)-C$15</f>
        <v>-1.738747232593596E-5</v>
      </c>
      <c r="C45" s="42">
        <v>-1.9966819084324343E-2</v>
      </c>
      <c r="D45" s="43">
        <f t="shared" si="7"/>
        <v>-1.1440144638330518</v>
      </c>
      <c r="F45" s="11">
        <f t="shared" si="16"/>
        <v>1.272</v>
      </c>
      <c r="G45" s="28">
        <f t="shared" si="16"/>
        <v>169.65</v>
      </c>
      <c r="H45" s="12">
        <f t="shared" si="17"/>
        <v>48.515486159066711</v>
      </c>
      <c r="I45" s="12">
        <f t="shared" si="18"/>
        <v>0.61433159466381726</v>
      </c>
      <c r="J45" s="11">
        <f t="shared" si="19"/>
        <v>0.66797694606385305</v>
      </c>
      <c r="K45" s="21">
        <f t="shared" si="20"/>
        <v>121799.91421065443</v>
      </c>
      <c r="L45" s="21">
        <f t="shared" si="21"/>
        <v>210565.13171071402</v>
      </c>
      <c r="M45" s="21">
        <f t="shared" si="22"/>
        <v>88765.217500059589</v>
      </c>
      <c r="N45" s="12">
        <f t="shared" si="23"/>
        <v>3.0615605315082175</v>
      </c>
      <c r="O45" s="12">
        <f t="shared" si="24"/>
        <v>3.6180432950685133</v>
      </c>
      <c r="P45" s="28">
        <f t="shared" si="16"/>
        <v>8.4719999999999995</v>
      </c>
    </row>
    <row r="46" spans="1:16" x14ac:dyDescent="0.3">
      <c r="A46" s="32">
        <v>25</v>
      </c>
      <c r="B46" s="47">
        <f>-K15*COS(C46+C47-C$3)+0.5*C$17*C$7*C$5*(C47-C$8)*G15^2*SIN(C46)+0.5*C$17*C$7*(C$11+1/PI()/C$10*C$5^2*(C47-C$8)^2)*G15^2*COS(C46)</f>
        <v>2.1509931684704497E-5</v>
      </c>
      <c r="C46" s="33">
        <v>-5.7676096480194929E-2</v>
      </c>
      <c r="D46" s="34">
        <f t="shared" si="7"/>
        <v>-3.304596907104512</v>
      </c>
      <c r="F46" s="11">
        <f t="shared" si="16"/>
        <v>1.1779999999999999</v>
      </c>
      <c r="G46" s="28">
        <f t="shared" si="16"/>
        <v>170.58</v>
      </c>
      <c r="H46" s="12">
        <f t="shared" si="17"/>
        <v>50.414016373884678</v>
      </c>
      <c r="I46" s="12">
        <f t="shared" si="18"/>
        <v>0.63837189986786169</v>
      </c>
      <c r="J46" s="11">
        <f t="shared" si="19"/>
        <v>0.68259963049111949</v>
      </c>
      <c r="K46" s="21">
        <f t="shared" si="20"/>
        <v>121467.43462769693</v>
      </c>
      <c r="L46" s="21">
        <f t="shared" si="21"/>
        <v>215174.61335605397</v>
      </c>
      <c r="M46" s="21">
        <f t="shared" si="22"/>
        <v>93707.178728357045</v>
      </c>
      <c r="N46" s="12">
        <f t="shared" si="23"/>
        <v>3.2320114566669282</v>
      </c>
      <c r="O46" s="12">
        <f t="shared" si="24"/>
        <v>3.675717854632583</v>
      </c>
      <c r="P46" s="28">
        <f t="shared" si="16"/>
        <v>7.694</v>
      </c>
    </row>
    <row r="47" spans="1:16" x14ac:dyDescent="0.3">
      <c r="A47" s="35">
        <v>26</v>
      </c>
      <c r="B47" s="48">
        <f>K15*SIN(C46+C47-C$3)+0.5*C$17*C$7*C$5*(C47-C$8)*G15^2*COS(C46)-0.5*C$17*C$7*(C$11+1/PI()/C$10*C$5^2*(C47-C$8)^2)*G15^2*SIN(C46)-C$15</f>
        <v>-1.2362397683318704E-6</v>
      </c>
      <c r="C47" s="36">
        <v>-2.3460091572184826E-2</v>
      </c>
      <c r="D47" s="37">
        <f t="shared" si="7"/>
        <v>-1.3441642340766227</v>
      </c>
      <c r="F47" s="11">
        <f t="shared" si="16"/>
        <v>1.08</v>
      </c>
      <c r="G47" s="28">
        <f t="shared" si="16"/>
        <v>169.97</v>
      </c>
      <c r="H47" s="12">
        <f t="shared" si="17"/>
        <v>52.651659687733698</v>
      </c>
      <c r="I47" s="12">
        <f t="shared" si="18"/>
        <v>0.66670625440320841</v>
      </c>
      <c r="J47" s="11">
        <f t="shared" si="19"/>
        <v>0.69890356915945895</v>
      </c>
      <c r="K47" s="21">
        <f t="shared" si="20"/>
        <v>121685.20474807858</v>
      </c>
      <c r="L47" s="21">
        <f t="shared" si="21"/>
        <v>220314.07365229918</v>
      </c>
      <c r="M47" s="21">
        <f t="shared" si="22"/>
        <v>98628.868904220595</v>
      </c>
      <c r="N47" s="12">
        <f t="shared" si="23"/>
        <v>3.4017632222244845</v>
      </c>
      <c r="O47" s="12">
        <f t="shared" si="24"/>
        <v>3.7043947329108904</v>
      </c>
      <c r="P47" s="28">
        <f t="shared" si="16"/>
        <v>7.048</v>
      </c>
    </row>
    <row r="48" spans="1:16" x14ac:dyDescent="0.3">
      <c r="A48" s="38">
        <v>27</v>
      </c>
      <c r="B48" s="47">
        <f>-K16*COS(C48+C49-C$3)+0.5*C$17*C$7*C$5*(C49-C$8)*G16^2*SIN(C48)+0.5*C$17*C$7*(C$11+1/PI()/C$10*C$5^2*(C49-C$8)^2)*G16^2*COS(C48)</f>
        <v>8.0107943176699337E-5</v>
      </c>
      <c r="C48" s="39">
        <v>-7.6785901233148823E-2</v>
      </c>
      <c r="D48" s="40">
        <f t="shared" si="7"/>
        <v>-4.3995080667678108</v>
      </c>
      <c r="F48" s="11">
        <f t="shared" si="16"/>
        <v>0.96899999999999997</v>
      </c>
      <c r="G48" s="28">
        <f t="shared" si="16"/>
        <v>164.23</v>
      </c>
      <c r="H48" s="12">
        <f t="shared" si="17"/>
        <v>55.585568890105762</v>
      </c>
      <c r="I48" s="12">
        <f t="shared" si="18"/>
        <v>0.70385713676235062</v>
      </c>
      <c r="J48" s="11">
        <f t="shared" si="19"/>
        <v>0.71879528754346056</v>
      </c>
      <c r="K48" s="21">
        <f t="shared" si="20"/>
        <v>123793.45042524062</v>
      </c>
      <c r="L48" s="21">
        <f t="shared" si="21"/>
        <v>226584.50308277737</v>
      </c>
      <c r="M48" s="21">
        <f t="shared" si="22"/>
        <v>102791.05265753675</v>
      </c>
      <c r="N48" s="12">
        <f t="shared" si="23"/>
        <v>3.5453191990239437</v>
      </c>
      <c r="O48" s="12">
        <f t="shared" si="24"/>
        <v>3.6568808971329361</v>
      </c>
      <c r="P48" s="28">
        <f t="shared" si="16"/>
        <v>6.0739999999999998</v>
      </c>
    </row>
    <row r="49" spans="1:16" x14ac:dyDescent="0.3">
      <c r="A49" s="41">
        <v>28</v>
      </c>
      <c r="B49" s="48">
        <f>K16*SIN(C48+C49-C$3)+0.5*C$17*C$7*C$5*(C49-C$8)*G16^2*COS(C48)-0.5*C$17*C$7*(C$11+1/PI()/C$10*C$5^2*(C49-C$8)^2)*G16^2*SIN(C48)-C$15</f>
        <v>-6.323120032902807E-6</v>
      </c>
      <c r="C49" s="42">
        <v>-2.6422549091201283E-2</v>
      </c>
      <c r="D49" s="43">
        <f t="shared" si="7"/>
        <v>-1.5139005469030624</v>
      </c>
      <c r="F49" s="11">
        <f t="shared" si="16"/>
        <v>0.86799999999999999</v>
      </c>
      <c r="G49" s="28">
        <f t="shared" si="16"/>
        <v>160.72999999999999</v>
      </c>
      <c r="H49" s="12">
        <f t="shared" si="17"/>
        <v>58.730551730509013</v>
      </c>
      <c r="I49" s="12">
        <f t="shared" si="18"/>
        <v>0.74368075755841268</v>
      </c>
      <c r="J49" s="11">
        <f t="shared" si="19"/>
        <v>0.73830621964969745</v>
      </c>
      <c r="K49" s="21">
        <f t="shared" si="20"/>
        <v>125134.03305208671</v>
      </c>
      <c r="L49" s="21">
        <f t="shared" si="21"/>
        <v>232734.89796235733</v>
      </c>
      <c r="M49" s="21">
        <f t="shared" si="22"/>
        <v>107600.86491027061</v>
      </c>
      <c r="N49" s="12">
        <f t="shared" si="23"/>
        <v>3.711212234287725</v>
      </c>
      <c r="O49" s="12">
        <f t="shared" si="24"/>
        <v>3.6229621150077156</v>
      </c>
      <c r="P49" s="28">
        <f t="shared" si="16"/>
        <v>5.0990000000000002</v>
      </c>
    </row>
    <row r="50" spans="1:16" x14ac:dyDescent="0.3">
      <c r="A50" s="32">
        <v>29</v>
      </c>
      <c r="B50" s="47">
        <f>-K17*COS(C50+C51-C$3)+0.5*C$17*C$7*C$5*(C51-C$8)*G17^2*SIN(C50)+0.5*C$17*C$7*(C$11+1/PI()/C$10*C$5^2*(C51-C$8)^2)*G17^2*COS(C50)</f>
        <v>7.5804025073011871E-5</v>
      </c>
      <c r="C50" s="33">
        <v>-9.9237622449542262E-2</v>
      </c>
      <c r="D50" s="34">
        <f t="shared" si="7"/>
        <v>-5.6858969352714821</v>
      </c>
      <c r="F50" s="11">
        <f t="shared" si="16"/>
        <v>0.77100000000000002</v>
      </c>
      <c r="G50" s="28">
        <f t="shared" si="16"/>
        <v>153.61000000000001</v>
      </c>
      <c r="H50" s="12">
        <f t="shared" si="17"/>
        <v>62.315596177694751</v>
      </c>
      <c r="I50" s="12">
        <f t="shared" si="18"/>
        <v>0.78907669701080307</v>
      </c>
      <c r="J50" s="11">
        <f t="shared" si="19"/>
        <v>0.75834819171375178</v>
      </c>
      <c r="K50" s="21">
        <f t="shared" si="20"/>
        <v>128001.23792528232</v>
      </c>
      <c r="L50" s="21">
        <f t="shared" si="21"/>
        <v>239052.69158125063</v>
      </c>
      <c r="M50" s="21">
        <f t="shared" si="22"/>
        <v>111051.45365596832</v>
      </c>
      <c r="N50" s="12">
        <f t="shared" si="23"/>
        <v>3.8302249130353148</v>
      </c>
      <c r="O50" s="12">
        <f t="shared" si="24"/>
        <v>3.5239033689115833</v>
      </c>
      <c r="P50" s="28">
        <f t="shared" si="16"/>
        <v>3.86</v>
      </c>
    </row>
    <row r="51" spans="1:16" x14ac:dyDescent="0.3">
      <c r="A51" s="35">
        <v>30</v>
      </c>
      <c r="B51" s="48">
        <f>K17*SIN(C50+C51-C$3)+0.5*C$17*C$7*C$5*(C51-C$8)*G17^2*COS(C50)-0.5*C$17*C$7*(C$11+1/PI()/C$10*C$5^2*(C51-C$8)^2)*G17^2*SIN(C50)-C$15</f>
        <v>-4.6847380872350186E-6</v>
      </c>
      <c r="C51" s="36">
        <v>-2.928967938600837E-2</v>
      </c>
      <c r="D51" s="37">
        <f t="shared" si="7"/>
        <v>-1.678175012109608</v>
      </c>
      <c r="F51" s="11">
        <f t="shared" si="16"/>
        <v>0.56899999999999995</v>
      </c>
      <c r="G51" s="28">
        <f t="shared" si="16"/>
        <v>116.14</v>
      </c>
      <c r="H51" s="12">
        <f t="shared" si="17"/>
        <v>72.538372964779313</v>
      </c>
      <c r="I51" s="12">
        <f t="shared" si="18"/>
        <v>0.91852350384916459</v>
      </c>
      <c r="J51" s="11">
        <f t="shared" si="19"/>
        <v>0.8035317263821059</v>
      </c>
      <c r="K51" s="21">
        <f t="shared" si="20"/>
        <v>147208.53936059246</v>
      </c>
      <c r="L51" s="21">
        <f t="shared" si="21"/>
        <v>253295.81327079487</v>
      </c>
      <c r="M51" s="21">
        <f t="shared" si="22"/>
        <v>106087.27391020241</v>
      </c>
      <c r="N51" s="12">
        <f t="shared" si="23"/>
        <v>3.659007659149363</v>
      </c>
      <c r="O51" s="12">
        <f t="shared" si="24"/>
        <v>2.8913621074911595</v>
      </c>
      <c r="P51" s="28">
        <f t="shared" si="16"/>
        <v>2.0419999999999998</v>
      </c>
    </row>
    <row r="52" spans="1:16" x14ac:dyDescent="0.3">
      <c r="F52" s="11">
        <f t="shared" si="16"/>
        <v>0.47099999999999997</v>
      </c>
      <c r="G52" s="28">
        <f t="shared" si="16"/>
        <v>88.53</v>
      </c>
      <c r="H52" s="12">
        <f t="shared" si="17"/>
        <v>79.728480970887503</v>
      </c>
      <c r="I52" s="12">
        <f t="shared" si="18"/>
        <v>1.0095688765104884</v>
      </c>
      <c r="J52" s="11">
        <f t="shared" si="19"/>
        <v>0.82568486358786886</v>
      </c>
      <c r="K52" s="21">
        <f t="shared" si="20"/>
        <v>168608.19621030457</v>
      </c>
      <c r="L52" s="21">
        <f t="shared" si="21"/>
        <v>260279.10555509341</v>
      </c>
      <c r="M52" s="21">
        <f t="shared" si="22"/>
        <v>91670.909344788844</v>
      </c>
      <c r="N52" s="12">
        <f t="shared" si="23"/>
        <v>3.1617794203825946</v>
      </c>
      <c r="O52" s="12">
        <f t="shared" si="24"/>
        <v>2.2727654041889664</v>
      </c>
      <c r="P52" s="28">
        <f t="shared" si="16"/>
        <v>1.198</v>
      </c>
    </row>
    <row r="53" spans="1:16" x14ac:dyDescent="0.3">
      <c r="B53" s="53"/>
      <c r="C53" s="53"/>
      <c r="D53" s="53"/>
      <c r="F53" s="11">
        <f t="shared" si="16"/>
        <v>0.371</v>
      </c>
      <c r="G53" s="28">
        <f t="shared" si="16"/>
        <v>56.77</v>
      </c>
      <c r="H53" s="12">
        <f t="shared" si="17"/>
        <v>89.83322447260197</v>
      </c>
      <c r="I53" s="12">
        <f t="shared" si="18"/>
        <v>1.137521076530172</v>
      </c>
      <c r="J53" s="11">
        <f t="shared" si="19"/>
        <v>0.84518763034924471</v>
      </c>
      <c r="K53" s="21">
        <f t="shared" si="20"/>
        <v>210554.47072833625</v>
      </c>
      <c r="L53" s="21">
        <f t="shared" si="21"/>
        <v>266426.92648818274</v>
      </c>
      <c r="M53" s="21">
        <f t="shared" si="22"/>
        <v>55872.455759846489</v>
      </c>
      <c r="N53" s="12">
        <f t="shared" si="23"/>
        <v>1.9270713255749095</v>
      </c>
      <c r="O53" s="12">
        <f t="shared" si="24"/>
        <v>1.2291835718014221</v>
      </c>
      <c r="P53" s="28">
        <f t="shared" si="16"/>
        <v>0.42</v>
      </c>
    </row>
    <row r="54" spans="1:16" x14ac:dyDescent="0.3">
      <c r="B54" s="53"/>
      <c r="C54" s="53"/>
      <c r="D54" s="53"/>
      <c r="F54" s="11">
        <f t="shared" si="16"/>
        <v>0.27600000000000002</v>
      </c>
      <c r="G54" s="28">
        <f t="shared" si="16"/>
        <v>29.74</v>
      </c>
      <c r="H54" s="12">
        <f t="shared" si="17"/>
        <v>104.15242886991516</v>
      </c>
      <c r="I54" s="12">
        <f t="shared" si="18"/>
        <v>1.3188392569329586</v>
      </c>
      <c r="J54" s="11">
        <f t="shared" si="19"/>
        <v>0.85370235535030026</v>
      </c>
      <c r="K54" s="21">
        <f t="shared" si="20"/>
        <v>290906.50475016999</v>
      </c>
      <c r="L54" s="21">
        <f t="shared" si="21"/>
        <v>269111.00743123429</v>
      </c>
      <c r="M54" s="21">
        <f t="shared" si="22"/>
        <v>-21795.497318935697</v>
      </c>
      <c r="N54" s="12">
        <f t="shared" si="23"/>
        <v>-0.75173853267696777</v>
      </c>
      <c r="O54" s="12">
        <f t="shared" si="24"/>
        <v>-0.41354598891861277</v>
      </c>
      <c r="P54" s="28">
        <f t="shared" si="16"/>
        <v>-0.29199999999999998</v>
      </c>
    </row>
    <row r="55" spans="1:16" x14ac:dyDescent="0.3">
      <c r="B55" s="53"/>
      <c r="C55" s="53"/>
      <c r="D55" s="53"/>
      <c r="F55" s="11">
        <f t="shared" si="16"/>
        <v>0.186</v>
      </c>
      <c r="G55" s="28">
        <f t="shared" si="16"/>
        <v>10.85</v>
      </c>
      <c r="H55" s="12">
        <f t="shared" si="17"/>
        <v>126.87249227995264</v>
      </c>
      <c r="I55" s="12">
        <f t="shared" si="18"/>
        <v>1.6065340507105312</v>
      </c>
      <c r="J55" s="11">
        <f t="shared" si="19"/>
        <v>0.83610186915153606</v>
      </c>
      <c r="K55" s="21">
        <f t="shared" si="20"/>
        <v>481625.025817552</v>
      </c>
      <c r="L55" s="21">
        <f t="shared" si="21"/>
        <v>263562.83886575641</v>
      </c>
      <c r="M55" s="21">
        <f t="shared" si="22"/>
        <v>-218062.18695179559</v>
      </c>
      <c r="N55" s="12">
        <f t="shared" si="23"/>
        <v>-7.5210831876296078</v>
      </c>
      <c r="O55" s="12">
        <f t="shared" si="24"/>
        <v>-3.3985232686641877</v>
      </c>
      <c r="P55" s="28">
        <f t="shared" si="16"/>
        <v>-1.071</v>
      </c>
    </row>
    <row r="56" spans="1:16" x14ac:dyDescent="0.3">
      <c r="B56" s="53"/>
      <c r="C56" s="53"/>
      <c r="D56" s="53"/>
      <c r="F56" s="11">
        <f t="shared" si="16"/>
        <v>7.0999999999999994E-2</v>
      </c>
      <c r="G56" s="28">
        <f t="shared" si="16"/>
        <v>0.71</v>
      </c>
      <c r="H56" s="12">
        <f t="shared" si="17"/>
        <v>205.35002921164124</v>
      </c>
      <c r="I56" s="12">
        <f t="shared" si="18"/>
        <v>2.6002627387105588</v>
      </c>
      <c r="J56" s="11">
        <f t="shared" si="19"/>
        <v>0.82629772588349359</v>
      </c>
      <c r="K56" s="21">
        <f t="shared" si="20"/>
        <v>1882759.0335250283</v>
      </c>
      <c r="L56" s="21">
        <f t="shared" si="21"/>
        <v>260472.2969979406</v>
      </c>
      <c r="M56" s="21">
        <f t="shared" si="22"/>
        <v>-1622286.7365270876</v>
      </c>
      <c r="N56" s="12">
        <f t="shared" si="23"/>
        <v>-55.953550086634642</v>
      </c>
      <c r="O56" s="12">
        <f t="shared" si="24"/>
        <v>-15.811829244703006</v>
      </c>
      <c r="P56" s="28">
        <f t="shared" si="16"/>
        <v>-2.044</v>
      </c>
    </row>
    <row r="57" spans="1:16" ht="15.6" thickBot="1" x14ac:dyDescent="0.35">
      <c r="B57" s="53"/>
      <c r="C57" s="53"/>
      <c r="D57" s="53"/>
    </row>
    <row r="58" spans="1:16" ht="18.600000000000001" thickBot="1" x14ac:dyDescent="0.35">
      <c r="G58" s="132" t="s">
        <v>188</v>
      </c>
      <c r="H58" s="133"/>
      <c r="I58" s="133"/>
      <c r="J58" s="133"/>
      <c r="K58" s="133"/>
      <c r="L58" s="133"/>
      <c r="M58" s="133"/>
      <c r="N58" s="134"/>
    </row>
    <row r="59" spans="1:16" ht="18.600000000000001" thickBot="1" x14ac:dyDescent="0.35">
      <c r="B59" s="54" t="s">
        <v>154</v>
      </c>
      <c r="C59" s="54" t="s">
        <v>156</v>
      </c>
      <c r="D59" s="30" t="s">
        <v>157</v>
      </c>
      <c r="E59" s="30" t="s">
        <v>155</v>
      </c>
      <c r="G59" s="97" t="s">
        <v>67</v>
      </c>
      <c r="H59" s="97" t="s">
        <v>15</v>
      </c>
      <c r="I59" s="96" t="s">
        <v>74</v>
      </c>
      <c r="J59" s="96" t="s">
        <v>73</v>
      </c>
      <c r="K59" s="96" t="s">
        <v>68</v>
      </c>
      <c r="L59" s="96" t="s">
        <v>70</v>
      </c>
      <c r="M59" s="96" t="s">
        <v>87</v>
      </c>
      <c r="N59" s="96" t="s">
        <v>69</v>
      </c>
    </row>
    <row r="60" spans="1:16" x14ac:dyDescent="0.3">
      <c r="B60" s="100">
        <f>-K60*COS(C60+D60-C$3)+0.5*C$17*C$7*C$5*(D60-C$8)*G60^2*SIN(C60)+0.5*C$17*C$7*(C$11+1/PI()/C$10*C$5^2*(D60-C$8)^2)*G60^2*COS(C60)</f>
        <v>1.2148430614615791E-3</v>
      </c>
      <c r="C60" s="56">
        <v>5.8166971677348814E-2</v>
      </c>
      <c r="D60" s="55">
        <v>0.20562843133597813</v>
      </c>
      <c r="E60" s="100">
        <f>K60*SIN(C60+D60-C$3)+0.5*C$17*C$7*C$5*(D60-C$8)*G60^2*COS(C60)-0.5*C$17*C$7*(C$11+1/PI()/C$10*C$5^2*(D60-C$8)^2)*G60^2*SIN(C60)-C$20</f>
        <v>8.9494278654456139E-10</v>
      </c>
      <c r="G60" s="91">
        <f>SQRT(2*C$20/C$7/C$16/C17)</f>
        <v>42.857826377230474</v>
      </c>
      <c r="H60" s="92">
        <f>G60/C$12/C$4</f>
        <v>0.54269098192327569</v>
      </c>
      <c r="I60" s="93">
        <f>0.185*H60^3-0.9822*H60^2+1.6209*H60</f>
        <v>0.61994516805189903</v>
      </c>
      <c r="J60" s="94">
        <f>C$18*I60</f>
        <v>195424.16356355872</v>
      </c>
      <c r="K60" s="94">
        <f>J60/G60</f>
        <v>4559.8244260792417</v>
      </c>
      <c r="L60" s="92">
        <f t="shared" ref="L60:L74" si="25">DEGREES(D60)</f>
        <v>11.781641263447192</v>
      </c>
      <c r="M60" s="92">
        <f t="shared" ref="M60:M74" si="26">DEGREES(C60)</f>
        <v>3.3327219841690821</v>
      </c>
      <c r="N60" s="92">
        <f>G60*SIN(RADIANS(M60))</f>
        <v>2.4915044603098164</v>
      </c>
    </row>
    <row r="61" spans="1:16" x14ac:dyDescent="0.3">
      <c r="B61" s="100">
        <f t="shared" ref="B61:B74" si="27">-K61*COS(C61+D61-C$3)+0.5*C$17*C$7*C$5*(D61-C$8)*G61^2*SIN(C61)+0.5*C$17*C$7*(C$11+1/PI()/C$10*C$5^2*(D61-C$8)^2)*G61^2*COS(C61)</f>
        <v>3.4036323722830275E-4</v>
      </c>
      <c r="C61" s="56">
        <v>6.165619932633469E-2</v>
      </c>
      <c r="D61" s="55">
        <v>0.18262231276477778</v>
      </c>
      <c r="E61" s="100">
        <f t="shared" ref="E61:E74" si="28">K61*SIN(C61+D61-C$3)+0.5*C$17*C$7*C$5*(D61-C$8)*G61^2*COS(C61)-0.5*C$17*C$7*(C$11+1/PI()/C$10*C$5^2*(D61-C$8)^2)*G61^2*SIN(C61)-C$20</f>
        <v>-4.0410668589174747E-8</v>
      </c>
      <c r="G61" s="95">
        <f t="shared" ref="G61:G73" si="29">G4</f>
        <v>45</v>
      </c>
      <c r="H61" s="12">
        <f t="shared" ref="H61:H74" si="30">G61/C$12/C$4</f>
        <v>0.56981644312978641</v>
      </c>
      <c r="I61" s="11">
        <f t="shared" ref="I61:I74" si="31">0.185*H61^3-0.9822*H61^2+1.6209*H61</f>
        <v>0.63893180644633429</v>
      </c>
      <c r="J61" s="21">
        <f t="shared" ref="J61:J74" si="32">C$18*I61</f>
        <v>201409.28631042337</v>
      </c>
      <c r="K61" s="21">
        <f t="shared" ref="K61:K74" si="33">J61/G61</f>
        <v>4475.761918009408</v>
      </c>
      <c r="L61" s="12">
        <f t="shared" si="25"/>
        <v>10.463487766339867</v>
      </c>
      <c r="M61" s="12">
        <f t="shared" si="26"/>
        <v>3.5326400022163273</v>
      </c>
      <c r="N61" s="12">
        <f t="shared" ref="N61:N74" si="34">G61*SIN(RADIANS(M61))</f>
        <v>2.7727714145220435</v>
      </c>
    </row>
    <row r="62" spans="1:16" x14ac:dyDescent="0.3">
      <c r="B62" s="100">
        <f t="shared" si="27"/>
        <v>4.9689160005073063E-4</v>
      </c>
      <c r="C62" s="56">
        <v>6.6588247073282592E-2</v>
      </c>
      <c r="D62" s="55">
        <v>0.12544787420085721</v>
      </c>
      <c r="E62" s="100">
        <f t="shared" si="28"/>
        <v>8.0763129517436028E-10</v>
      </c>
      <c r="G62" s="95">
        <f t="shared" si="29"/>
        <v>52</v>
      </c>
      <c r="H62" s="12">
        <f t="shared" si="30"/>
        <v>0.65845455650553097</v>
      </c>
      <c r="I62" s="11">
        <f t="shared" si="31"/>
        <v>0.69425800928812653</v>
      </c>
      <c r="J62" s="21">
        <f t="shared" si="32"/>
        <v>218849.66244478483</v>
      </c>
      <c r="K62" s="21">
        <f t="shared" si="33"/>
        <v>4208.6473547074002</v>
      </c>
      <c r="L62" s="12">
        <f t="shared" si="25"/>
        <v>7.1876337405972031</v>
      </c>
      <c r="M62" s="12">
        <f t="shared" si="26"/>
        <v>3.8152255224734488</v>
      </c>
      <c r="N62" s="12">
        <f t="shared" si="34"/>
        <v>3.4600305649771124</v>
      </c>
    </row>
    <row r="63" spans="1:16" x14ac:dyDescent="0.3">
      <c r="B63" s="100">
        <f t="shared" si="27"/>
        <v>2.3142175768953166E-4</v>
      </c>
      <c r="C63" s="56">
        <v>6.4861869462012472E-2</v>
      </c>
      <c r="D63" s="55">
        <v>8.6761711144343445E-2</v>
      </c>
      <c r="E63" s="100">
        <f t="shared" si="28"/>
        <v>-2.2628228180110455E-9</v>
      </c>
      <c r="G63" s="95">
        <f t="shared" si="29"/>
        <v>59</v>
      </c>
      <c r="H63" s="12">
        <f t="shared" si="30"/>
        <v>0.74709266988127543</v>
      </c>
      <c r="I63" s="11">
        <f t="shared" si="31"/>
        <v>0.73989283267567485</v>
      </c>
      <c r="J63" s="21">
        <f t="shared" si="32"/>
        <v>233235.04303885659</v>
      </c>
      <c r="K63" s="21">
        <f t="shared" si="33"/>
        <v>3953.1363226924846</v>
      </c>
      <c r="L63" s="12">
        <f t="shared" si="25"/>
        <v>4.9710798719040392</v>
      </c>
      <c r="M63" s="12">
        <f t="shared" si="26"/>
        <v>3.7163113715017944</v>
      </c>
      <c r="N63" s="12">
        <f t="shared" si="34"/>
        <v>3.8241675631607697</v>
      </c>
    </row>
    <row r="64" spans="1:16" x14ac:dyDescent="0.3">
      <c r="B64" s="100">
        <f t="shared" si="27"/>
        <v>9.973074213576183E-4</v>
      </c>
      <c r="C64" s="56">
        <v>5.7898771661192151E-2</v>
      </c>
      <c r="D64" s="55">
        <v>5.6179171946298553E-2</v>
      </c>
      <c r="E64" s="100">
        <f t="shared" si="28"/>
        <v>1.3169483281672001E-9</v>
      </c>
      <c r="G64" s="95">
        <f t="shared" si="29"/>
        <v>67</v>
      </c>
      <c r="H64" s="12">
        <f t="shared" si="30"/>
        <v>0.84839337088212652</v>
      </c>
      <c r="I64" s="11">
        <f t="shared" si="31"/>
        <v>0.78117153620279789</v>
      </c>
      <c r="J64" s="21">
        <f t="shared" si="32"/>
        <v>246247.25206231789</v>
      </c>
      <c r="K64" s="21">
        <f t="shared" si="33"/>
        <v>3675.3321203331029</v>
      </c>
      <c r="L64" s="12">
        <f t="shared" si="25"/>
        <v>3.2188294490626617</v>
      </c>
      <c r="M64" s="12">
        <f t="shared" si="26"/>
        <v>3.3173552551779646</v>
      </c>
      <c r="N64" s="12">
        <f t="shared" si="34"/>
        <v>3.8770507018109579</v>
      </c>
    </row>
    <row r="65" spans="1:14" x14ac:dyDescent="0.3">
      <c r="B65" s="100">
        <f t="shared" si="27"/>
        <v>-1.003670901127407E-3</v>
      </c>
      <c r="C65" s="56">
        <v>4.8941884349430483E-2</v>
      </c>
      <c r="D65" s="55">
        <v>3.6983622551672091E-2</v>
      </c>
      <c r="E65" s="100">
        <f>K65*SIN(C65+D65-C$3)+0.5*C$17*C$7*C$5*(D65-C$8)*G65^2*COS(C65)-0.5*C$17*C$7*(C$11+1/PI()/C$10*C$5^2*(D65-C$8)^2)*G65^2*SIN(C65)-C$20</f>
        <v>5.5180862545967102E-7</v>
      </c>
      <c r="G65" s="95">
        <f t="shared" si="29"/>
        <v>74</v>
      </c>
      <c r="H65" s="12">
        <f t="shared" si="30"/>
        <v>0.93703148425787097</v>
      </c>
      <c r="I65" s="11">
        <f t="shared" si="31"/>
        <v>0.80864210703023176</v>
      </c>
      <c r="J65" s="21">
        <f t="shared" si="32"/>
        <v>254906.74906821331</v>
      </c>
      <c r="K65" s="21">
        <f t="shared" si="33"/>
        <v>3444.6857982190986</v>
      </c>
      <c r="L65" s="12">
        <f t="shared" si="25"/>
        <v>2.1190054833156631</v>
      </c>
      <c r="M65" s="12">
        <f t="shared" si="26"/>
        <v>2.8041634146397434</v>
      </c>
      <c r="N65" s="12">
        <f t="shared" si="34"/>
        <v>3.6202537673763624</v>
      </c>
    </row>
    <row r="66" spans="1:14" x14ac:dyDescent="0.3">
      <c r="B66" s="100">
        <f t="shared" si="27"/>
        <v>4.4454871795096551E-4</v>
      </c>
      <c r="C66" s="56">
        <v>3.812145885260658E-2</v>
      </c>
      <c r="D66" s="55">
        <v>2.2461564159222965E-2</v>
      </c>
      <c r="E66" s="100">
        <f t="shared" si="28"/>
        <v>2.8376234695315361E-10</v>
      </c>
      <c r="G66" s="95">
        <f t="shared" si="29"/>
        <v>81</v>
      </c>
      <c r="H66" s="12">
        <f t="shared" si="30"/>
        <v>1.0256695976336156</v>
      </c>
      <c r="I66" s="11">
        <f t="shared" si="31"/>
        <v>0.82885075492246929</v>
      </c>
      <c r="J66" s="21">
        <f t="shared" si="32"/>
        <v>261277.08359876712</v>
      </c>
      <c r="K66" s="21">
        <f t="shared" si="33"/>
        <v>3225.6430073921865</v>
      </c>
      <c r="L66" s="12">
        <f t="shared" si="25"/>
        <v>1.2869528275857913</v>
      </c>
      <c r="M66" s="12">
        <f t="shared" si="26"/>
        <v>2.1841987011359869</v>
      </c>
      <c r="N66" s="12">
        <f t="shared" si="34"/>
        <v>3.0870903235186944</v>
      </c>
    </row>
    <row r="67" spans="1:14" x14ac:dyDescent="0.3">
      <c r="B67" s="100">
        <f t="shared" si="27"/>
        <v>-2.2244564661377808E-5</v>
      </c>
      <c r="C67" s="56">
        <v>2.4066604176200771E-2</v>
      </c>
      <c r="D67" s="55">
        <v>9.8147496225264429E-3</v>
      </c>
      <c r="E67" s="100">
        <f t="shared" si="28"/>
        <v>-5.3842047418584116E-4</v>
      </c>
      <c r="G67" s="95">
        <f t="shared" si="29"/>
        <v>89</v>
      </c>
      <c r="H67" s="12">
        <f t="shared" si="30"/>
        <v>1.1269702986344665</v>
      </c>
      <c r="I67" s="11">
        <f t="shared" si="31"/>
        <v>0.84404581688643843</v>
      </c>
      <c r="J67" s="21">
        <f t="shared" si="32"/>
        <v>266066.99475161365</v>
      </c>
      <c r="K67" s="21">
        <f t="shared" si="33"/>
        <v>2989.5167949619513</v>
      </c>
      <c r="L67" s="12">
        <f t="shared" si="25"/>
        <v>0.56234373034838303</v>
      </c>
      <c r="M67" s="12">
        <f t="shared" si="26"/>
        <v>1.3789148465082257</v>
      </c>
      <c r="N67" s="12">
        <f t="shared" si="34"/>
        <v>2.1417210097294013</v>
      </c>
    </row>
    <row r="68" spans="1:14" x14ac:dyDescent="0.3">
      <c r="B68" s="100">
        <f t="shared" si="27"/>
        <v>-1.1547034773684572E-5</v>
      </c>
      <c r="C68" s="56">
        <v>1.0621616955988029E-2</v>
      </c>
      <c r="D68" s="55">
        <v>1.2053615095627603E-3</v>
      </c>
      <c r="E68" s="100">
        <f t="shared" si="28"/>
        <v>-3.980608016718179E-4</v>
      </c>
      <c r="G68" s="95">
        <f t="shared" si="29"/>
        <v>96</v>
      </c>
      <c r="H68" s="12">
        <f t="shared" si="30"/>
        <v>1.2156084120102111</v>
      </c>
      <c r="I68" s="11">
        <f t="shared" si="31"/>
        <v>0.85129619047366378</v>
      </c>
      <c r="J68" s="21">
        <f t="shared" si="32"/>
        <v>268352.51654745126</v>
      </c>
      <c r="K68" s="21">
        <f t="shared" si="33"/>
        <v>2795.3387140359505</v>
      </c>
      <c r="L68" s="12">
        <f t="shared" si="25"/>
        <v>6.9062127285463987E-2</v>
      </c>
      <c r="M68" s="12">
        <f t="shared" si="26"/>
        <v>0.6085738231827067</v>
      </c>
      <c r="N68" s="12">
        <f t="shared" si="34"/>
        <v>1.019656054802788</v>
      </c>
    </row>
    <row r="69" spans="1:14" x14ac:dyDescent="0.3">
      <c r="B69" s="100">
        <f>-K69*COS(C69+D69-C$3)+0.5*C$17*C$7*C$5*(D69-C$8)*G69^2*SIN(C69)+0.5*C$17*C$7*(C$11+1/PI()/C$10*C$5^2*(D69-C$8)^2)*G69^2*COS(C69)</f>
        <v>-8.1686903286026791E-7</v>
      </c>
      <c r="C69" s="56">
        <v>-3.691157224702527E-3</v>
      </c>
      <c r="D69" s="55">
        <v>-5.7328617255440794E-3</v>
      </c>
      <c r="E69" s="100">
        <f t="shared" si="28"/>
        <v>-2.5284971343353391E-5</v>
      </c>
      <c r="G69" s="95">
        <f t="shared" si="29"/>
        <v>103</v>
      </c>
      <c r="H69" s="12">
        <f t="shared" si="30"/>
        <v>1.3042465253859556</v>
      </c>
      <c r="I69" s="11">
        <f t="shared" si="31"/>
        <v>0.8537140976447406</v>
      </c>
      <c r="J69" s="21">
        <f t="shared" si="32"/>
        <v>269114.70893289539</v>
      </c>
      <c r="K69" s="21">
        <f t="shared" si="33"/>
        <v>2612.7641643970428</v>
      </c>
      <c r="L69" s="12">
        <f t="shared" si="25"/>
        <v>-0.32846878140576224</v>
      </c>
      <c r="M69" s="12">
        <f t="shared" si="26"/>
        <v>-0.21148773049467684</v>
      </c>
      <c r="N69" s="12">
        <f t="shared" si="34"/>
        <v>-0.38018833082135972</v>
      </c>
    </row>
    <row r="70" spans="1:14" x14ac:dyDescent="0.3">
      <c r="B70" s="110">
        <f t="shared" si="27"/>
        <v>-1.9278763829788659E-6</v>
      </c>
      <c r="C70" s="56">
        <v>-2.0945764377112142E-2</v>
      </c>
      <c r="D70" s="55">
        <v>-1.213236180170915E-2</v>
      </c>
      <c r="E70" s="100">
        <f t="shared" si="28"/>
        <v>2.2179629013407975E-6</v>
      </c>
      <c r="G70" s="95">
        <f t="shared" si="29"/>
        <v>111</v>
      </c>
      <c r="H70" s="12">
        <f t="shared" si="30"/>
        <v>1.4055472263868065</v>
      </c>
      <c r="I70" s="11">
        <f t="shared" si="31"/>
        <v>0.85155172921601352</v>
      </c>
      <c r="J70" s="21">
        <f t="shared" si="32"/>
        <v>268433.06955045107</v>
      </c>
      <c r="K70" s="21">
        <f t="shared" si="33"/>
        <v>2418.3159418959553</v>
      </c>
      <c r="L70" s="12">
        <f t="shared" si="25"/>
        <v>-0.69513312676366967</v>
      </c>
      <c r="M70" s="12">
        <f t="shared" si="26"/>
        <v>-1.2001038974839915</v>
      </c>
      <c r="N70" s="12">
        <f t="shared" si="34"/>
        <v>-2.3248098451072883</v>
      </c>
    </row>
    <row r="71" spans="1:14" x14ac:dyDescent="0.3">
      <c r="B71" s="100">
        <f t="shared" si="27"/>
        <v>-2.9574359632533742E-4</v>
      </c>
      <c r="C71" s="56">
        <v>-3.6728718447815271E-2</v>
      </c>
      <c r="D71" s="55">
        <v>-1.6712354896907713E-2</v>
      </c>
      <c r="E71" s="100">
        <f t="shared" si="28"/>
        <v>0</v>
      </c>
      <c r="G71" s="95">
        <f t="shared" si="29"/>
        <v>118</v>
      </c>
      <c r="H71" s="12">
        <f t="shared" si="30"/>
        <v>1.4941853397625509</v>
      </c>
      <c r="I71" s="11">
        <f t="shared" si="31"/>
        <v>0.84621734033718043</v>
      </c>
      <c r="J71" s="21">
        <f t="shared" si="32"/>
        <v>266751.52005463914</v>
      </c>
      <c r="K71" s="21">
        <f t="shared" si="33"/>
        <v>2260.606102157959</v>
      </c>
      <c r="L71" s="12">
        <f t="shared" si="25"/>
        <v>-0.95754740131760596</v>
      </c>
      <c r="M71" s="12">
        <f t="shared" si="26"/>
        <v>-2.1044005539841031</v>
      </c>
      <c r="N71" s="12">
        <f t="shared" si="34"/>
        <v>-4.3330144183181636</v>
      </c>
    </row>
    <row r="72" spans="1:14" x14ac:dyDescent="0.3">
      <c r="B72" s="100">
        <f t="shared" si="27"/>
        <v>6.5754246588767273E-4</v>
      </c>
      <c r="C72" s="56">
        <v>-5.3086091405650196E-2</v>
      </c>
      <c r="D72" s="55">
        <v>-2.0555651418334039E-2</v>
      </c>
      <c r="E72" s="100">
        <f t="shared" si="28"/>
        <v>5.7378929341211915E-7</v>
      </c>
      <c r="G72" s="95">
        <f t="shared" si="29"/>
        <v>125</v>
      </c>
      <c r="H72" s="12">
        <f t="shared" si="30"/>
        <v>1.5828234531382954</v>
      </c>
      <c r="I72" s="11">
        <f t="shared" si="31"/>
        <v>0.8384799415612465</v>
      </c>
      <c r="J72" s="21">
        <f t="shared" si="32"/>
        <v>264312.47421338176</v>
      </c>
      <c r="K72" s="21">
        <f t="shared" si="33"/>
        <v>2114.4997937070543</v>
      </c>
      <c r="L72" s="12">
        <f t="shared" si="25"/>
        <v>-1.177752071412645</v>
      </c>
      <c r="M72" s="12">
        <f t="shared" si="26"/>
        <v>-3.0416089883894681</v>
      </c>
      <c r="N72" s="12">
        <f t="shared" si="34"/>
        <v>-6.6326451216929403</v>
      </c>
    </row>
    <row r="73" spans="1:14" x14ac:dyDescent="0.3">
      <c r="B73" s="100">
        <f t="shared" si="27"/>
        <v>1.799307981855236E-3</v>
      </c>
      <c r="C73" s="56">
        <v>-6.997449501407145E-2</v>
      </c>
      <c r="D73" s="55">
        <v>-2.381315138685168E-2</v>
      </c>
      <c r="E73" s="100">
        <f t="shared" si="28"/>
        <v>-2.4097897119645495E-2</v>
      </c>
      <c r="G73" s="95">
        <f t="shared" si="29"/>
        <v>132</v>
      </c>
      <c r="H73" s="12">
        <f t="shared" si="30"/>
        <v>1.6714615665140402</v>
      </c>
      <c r="I73" s="11">
        <f t="shared" si="31"/>
        <v>0.82911254178063665</v>
      </c>
      <c r="J73" s="21">
        <f t="shared" si="32"/>
        <v>261359.60618370806</v>
      </c>
      <c r="K73" s="21">
        <f t="shared" si="33"/>
        <v>1979.9970165432428</v>
      </c>
      <c r="L73" s="12">
        <f t="shared" si="25"/>
        <v>-1.3643930713727044</v>
      </c>
      <c r="M73" s="12">
        <f t="shared" si="26"/>
        <v>-4.0092432378655163</v>
      </c>
      <c r="N73" s="12">
        <f t="shared" si="34"/>
        <v>-9.2290974323541839</v>
      </c>
    </row>
    <row r="74" spans="1:14" x14ac:dyDescent="0.3">
      <c r="A74" s="54"/>
      <c r="B74" s="100">
        <f t="shared" si="27"/>
        <v>-8.7919435827643611E-5</v>
      </c>
      <c r="C74" s="56">
        <v>-8.9886829944842372E-2</v>
      </c>
      <c r="D74" s="55">
        <v>-2.6963829275782111E-2</v>
      </c>
      <c r="E74" s="100">
        <f t="shared" si="28"/>
        <v>3.4823901660274714E-4</v>
      </c>
      <c r="G74" s="95">
        <f>G17</f>
        <v>140</v>
      </c>
      <c r="H74" s="12">
        <f t="shared" si="30"/>
        <v>1.7727622675148911</v>
      </c>
      <c r="I74" s="11">
        <f t="shared" si="31"/>
        <v>0.81740263733953844</v>
      </c>
      <c r="J74" s="21">
        <f t="shared" si="32"/>
        <v>257668.31476191696</v>
      </c>
      <c r="K74" s="21">
        <f t="shared" si="33"/>
        <v>1840.4879625851211</v>
      </c>
      <c r="L74" s="12">
        <f t="shared" si="25"/>
        <v>-1.544913617013606</v>
      </c>
      <c r="M74" s="12">
        <f t="shared" si="26"/>
        <v>-5.1501359896496144</v>
      </c>
      <c r="N74" s="12">
        <f t="shared" si="34"/>
        <v>-12.567217123574997</v>
      </c>
    </row>
    <row r="75" spans="1:14" x14ac:dyDescent="0.3">
      <c r="B75" s="53"/>
      <c r="C75" s="53"/>
      <c r="D75" s="53"/>
    </row>
    <row r="76" spans="1:14" x14ac:dyDescent="0.3">
      <c r="B76" s="53"/>
      <c r="C76" s="53"/>
      <c r="D76" s="53"/>
    </row>
    <row r="77" spans="1:14" x14ac:dyDescent="0.3">
      <c r="B77" s="53"/>
      <c r="C77" s="53"/>
      <c r="D77" s="53"/>
    </row>
    <row r="78" spans="1:14" x14ac:dyDescent="0.3">
      <c r="B78" s="53"/>
      <c r="C78" s="53"/>
      <c r="D78" s="53"/>
    </row>
    <row r="79" spans="1:14" x14ac:dyDescent="0.3">
      <c r="B79" s="53"/>
      <c r="C79" s="53"/>
      <c r="D79" s="53"/>
    </row>
    <row r="80" spans="1:14" x14ac:dyDescent="0.3">
      <c r="B80" s="53"/>
      <c r="C80" s="53"/>
      <c r="D80" s="53"/>
    </row>
    <row r="81" spans="2:4" x14ac:dyDescent="0.3">
      <c r="B81" s="53"/>
      <c r="C81" s="53"/>
      <c r="D81" s="53"/>
    </row>
    <row r="82" spans="2:4" x14ac:dyDescent="0.3">
      <c r="B82" s="53"/>
      <c r="C82" s="53"/>
      <c r="D82" s="53"/>
    </row>
  </sheetData>
  <mergeCells count="4">
    <mergeCell ref="G1:N1"/>
    <mergeCell ref="F20:P20"/>
    <mergeCell ref="F39:P39"/>
    <mergeCell ref="G58:N5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01266-12DD-4617-84F5-8890B86CD36E}">
  <dimension ref="A1:P82"/>
  <sheetViews>
    <sheetView workbookViewId="0"/>
  </sheetViews>
  <sheetFormatPr defaultRowHeight="15" x14ac:dyDescent="0.3"/>
  <cols>
    <col min="1" max="1" width="34.77734375" style="30" customWidth="1"/>
    <col min="2" max="2" width="12.77734375" style="30" customWidth="1"/>
    <col min="3" max="4" width="8.88671875" style="30"/>
    <col min="5" max="5" width="11" style="30" bestFit="1" customWidth="1"/>
    <col min="6" max="6" width="8.88671875" style="30"/>
    <col min="7" max="7" width="9.6640625" style="30" customWidth="1"/>
    <col min="8" max="8" width="9" style="30" bestFit="1" customWidth="1"/>
    <col min="9" max="10" width="9.5546875" style="30" customWidth="1"/>
    <col min="11" max="11" width="10.21875" style="30" customWidth="1"/>
    <col min="12" max="12" width="11.44140625" style="30" bestFit="1" customWidth="1"/>
    <col min="13" max="13" width="10.33203125" style="30" bestFit="1" customWidth="1"/>
    <col min="14" max="16384" width="8.88671875" style="30"/>
  </cols>
  <sheetData>
    <row r="1" spans="1:14" ht="18.600000000000001" thickBot="1" x14ac:dyDescent="0.35">
      <c r="A1" s="29" t="s">
        <v>9</v>
      </c>
      <c r="B1" s="29" t="s">
        <v>6</v>
      </c>
      <c r="C1" s="29">
        <v>4000</v>
      </c>
      <c r="D1" s="29" t="s">
        <v>3</v>
      </c>
      <c r="G1" s="132" t="s">
        <v>164</v>
      </c>
      <c r="H1" s="133"/>
      <c r="I1" s="133"/>
      <c r="J1" s="133"/>
      <c r="K1" s="133"/>
      <c r="L1" s="133"/>
      <c r="M1" s="133"/>
      <c r="N1" s="134"/>
    </row>
    <row r="2" spans="1:14" ht="19.2" thickBot="1" x14ac:dyDescent="0.35">
      <c r="A2" s="30" t="s">
        <v>139</v>
      </c>
      <c r="B2" s="30" t="s">
        <v>141</v>
      </c>
      <c r="C2" s="30">
        <f>Podsumowanie!B31</f>
        <v>28993.455000000002</v>
      </c>
      <c r="D2" s="30" t="s">
        <v>39</v>
      </c>
      <c r="G2" s="96" t="s">
        <v>67</v>
      </c>
      <c r="H2" s="96" t="s">
        <v>15</v>
      </c>
      <c r="I2" s="96" t="s">
        <v>74</v>
      </c>
      <c r="J2" s="96" t="s">
        <v>73</v>
      </c>
      <c r="K2" s="96" t="s">
        <v>68</v>
      </c>
      <c r="L2" s="96" t="s">
        <v>70</v>
      </c>
      <c r="M2" s="96" t="s">
        <v>87</v>
      </c>
      <c r="N2" s="96" t="s">
        <v>69</v>
      </c>
    </row>
    <row r="3" spans="1:14" ht="15.6" x14ac:dyDescent="0.3">
      <c r="A3" s="31" t="s">
        <v>10</v>
      </c>
      <c r="B3" s="31" t="s">
        <v>30</v>
      </c>
      <c r="C3" s="31">
        <f>Podsumowanie!B29</f>
        <v>1.7453292519943295E-2</v>
      </c>
      <c r="D3" s="31" t="s">
        <v>40</v>
      </c>
      <c r="F3" s="46"/>
      <c r="G3" s="91">
        <f>SQRT(2*C$15/C$7/C$16/C17)</f>
        <v>43.00066152062773</v>
      </c>
      <c r="H3" s="92">
        <f t="shared" ref="H3:H17" si="0">G3/C$12/C$4</f>
        <v>0.54449964444248811</v>
      </c>
      <c r="I3" s="93">
        <f>0.2132*H3^3-1.0928*H3^2+1.7147*H3</f>
        <v>0.64407790020984534</v>
      </c>
      <c r="J3" s="94">
        <f t="shared" ref="J3:J17" si="1">C$18*I3</f>
        <v>179038.32934571354</v>
      </c>
      <c r="K3" s="94">
        <f>J3/G3</f>
        <v>4163.6180238722036</v>
      </c>
      <c r="L3" s="92">
        <f t="shared" ref="L3:L17" ca="1" si="2">OFFSET(D23,A23-2,0,1,1)</f>
        <v>11.777781290754369</v>
      </c>
      <c r="M3" s="92">
        <f t="shared" ref="M3:M17" ca="1" si="3">OFFSET(D22,A23-2,0,1,1)</f>
        <v>3.3955081169054093</v>
      </c>
      <c r="N3" s="92">
        <f ca="1">G3*SIN(RADIANS(M3))</f>
        <v>2.5468480498700123</v>
      </c>
    </row>
    <row r="4" spans="1:14" ht="15.6" x14ac:dyDescent="0.3">
      <c r="A4" s="31" t="s">
        <v>11</v>
      </c>
      <c r="B4" s="31" t="s">
        <v>18</v>
      </c>
      <c r="C4" s="31">
        <f>Podsumowanie!B12</f>
        <v>1.84</v>
      </c>
      <c r="D4" s="31" t="s">
        <v>3</v>
      </c>
      <c r="F4" s="46"/>
      <c r="G4" s="95">
        <v>45</v>
      </c>
      <c r="H4" s="12">
        <f t="shared" si="0"/>
        <v>0.56981644312978641</v>
      </c>
      <c r="I4" s="11">
        <f t="shared" ref="I4:I17" si="4">0.2132*H4^3-1.0928*H4^2+1.7147*H4</f>
        <v>0.6616871875511926</v>
      </c>
      <c r="J4" s="21">
        <f t="shared" si="1"/>
        <v>183933.29218411594</v>
      </c>
      <c r="K4" s="21">
        <f t="shared" ref="K4:K17" si="5">J4/G4</f>
        <v>4087.4064929803544</v>
      </c>
      <c r="L4" s="12">
        <f t="shared" ca="1" si="2"/>
        <v>10.54704089131641</v>
      </c>
      <c r="M4" s="12">
        <f t="shared" ca="1" si="3"/>
        <v>3.5716650722539751</v>
      </c>
      <c r="N4" s="12">
        <f t="shared" ref="N4:N17" ca="1" si="6">G4*SIN(RADIANS(M4))</f>
        <v>2.8033627475714549</v>
      </c>
    </row>
    <row r="5" spans="1:14" ht="18" x14ac:dyDescent="0.3">
      <c r="A5" s="31" t="s">
        <v>24</v>
      </c>
      <c r="B5" s="31" t="s">
        <v>75</v>
      </c>
      <c r="C5" s="31">
        <f>Podsumowanie!B16</f>
        <v>6.1340000000000003</v>
      </c>
      <c r="D5" s="31" t="s">
        <v>34</v>
      </c>
      <c r="F5" s="46"/>
      <c r="G5" s="95">
        <v>52</v>
      </c>
      <c r="H5" s="12">
        <f t="shared" si="0"/>
        <v>0.65845455650553097</v>
      </c>
      <c r="I5" s="11">
        <f t="shared" si="4"/>
        <v>0.71611961306005179</v>
      </c>
      <c r="J5" s="21">
        <f t="shared" si="1"/>
        <v>199064.21116482618</v>
      </c>
      <c r="K5" s="21">
        <f t="shared" si="5"/>
        <v>3828.1579070158882</v>
      </c>
      <c r="L5" s="12">
        <f t="shared" ca="1" si="2"/>
        <v>7.2531340348467594</v>
      </c>
      <c r="M5" s="12">
        <f t="shared" ca="1" si="3"/>
        <v>3.8252915773319751</v>
      </c>
      <c r="N5" s="12">
        <f t="shared" ca="1" si="6"/>
        <v>3.4691459268760747</v>
      </c>
    </row>
    <row r="6" spans="1:14" ht="18" x14ac:dyDescent="0.3">
      <c r="A6" s="31" t="s">
        <v>23</v>
      </c>
      <c r="B6" s="31" t="s">
        <v>76</v>
      </c>
      <c r="C6" s="31">
        <f>Podsumowanie!B9</f>
        <v>446000</v>
      </c>
      <c r="D6" s="31" t="s">
        <v>35</v>
      </c>
      <c r="F6" s="46"/>
      <c r="G6" s="95">
        <v>59</v>
      </c>
      <c r="H6" s="12">
        <f t="shared" si="0"/>
        <v>0.74709266988127543</v>
      </c>
      <c r="I6" s="11">
        <f t="shared" si="4"/>
        <v>0.75999807437361078</v>
      </c>
      <c r="J6" s="21">
        <f t="shared" si="1"/>
        <v>211261.37924850147</v>
      </c>
      <c r="K6" s="21">
        <f t="shared" si="5"/>
        <v>3580.7013431949404</v>
      </c>
      <c r="L6" s="12">
        <f t="shared" ca="1" si="2"/>
        <v>5.0233566676366923</v>
      </c>
      <c r="M6" s="12">
        <f t="shared" ca="1" si="3"/>
        <v>3.6986399641599248</v>
      </c>
      <c r="N6" s="12">
        <f t="shared" ca="1" si="6"/>
        <v>3.8060086159079836</v>
      </c>
    </row>
    <row r="7" spans="1:14" ht="18" x14ac:dyDescent="0.3">
      <c r="A7" s="31" t="s">
        <v>22</v>
      </c>
      <c r="B7" s="31" t="s">
        <v>5</v>
      </c>
      <c r="C7" s="31">
        <f>Podsumowanie!B3</f>
        <v>21.3</v>
      </c>
      <c r="D7" s="31" t="s">
        <v>77</v>
      </c>
      <c r="F7" s="46"/>
      <c r="G7" s="95">
        <v>67</v>
      </c>
      <c r="H7" s="12">
        <f t="shared" si="0"/>
        <v>0.84839337088212652</v>
      </c>
      <c r="I7" s="11">
        <f t="shared" si="4"/>
        <v>0.79836443501761045</v>
      </c>
      <c r="J7" s="21">
        <f t="shared" si="1"/>
        <v>221926.31451570883</v>
      </c>
      <c r="K7" s="21">
        <f t="shared" si="5"/>
        <v>3312.333052473266</v>
      </c>
      <c r="L7" s="12">
        <f t="shared" ca="1" si="2"/>
        <v>3.2600715521552859</v>
      </c>
      <c r="M7" s="12">
        <f t="shared" ca="1" si="3"/>
        <v>3.2703493136080914</v>
      </c>
      <c r="N7" s="12">
        <f t="shared" ca="1" si="6"/>
        <v>3.8221741440907335</v>
      </c>
    </row>
    <row r="8" spans="1:14" ht="18" x14ac:dyDescent="0.3">
      <c r="A8" s="31" t="s">
        <v>41</v>
      </c>
      <c r="B8" s="31" t="s">
        <v>78</v>
      </c>
      <c r="C8" s="31">
        <f>Podsumowanie!B30</f>
        <v>-5.1836278784231589E-2</v>
      </c>
      <c r="D8" s="31" t="s">
        <v>40</v>
      </c>
      <c r="G8" s="95">
        <v>74</v>
      </c>
      <c r="H8" s="12">
        <f t="shared" si="0"/>
        <v>0.93703148425787097</v>
      </c>
      <c r="I8" s="11">
        <f t="shared" si="4"/>
        <v>0.82262702786167041</v>
      </c>
      <c r="J8" s="21">
        <f t="shared" si="1"/>
        <v>228670.737957315</v>
      </c>
      <c r="K8" s="21">
        <f t="shared" si="5"/>
        <v>3090.1451075312839</v>
      </c>
      <c r="L8" s="12">
        <f t="shared" ca="1" si="2"/>
        <v>2.1530580677377982</v>
      </c>
      <c r="M8" s="12">
        <f t="shared" ca="1" si="3"/>
        <v>2.7339874190878701</v>
      </c>
      <c r="N8" s="12">
        <f t="shared" ca="1" si="6"/>
        <v>3.5297242415150278</v>
      </c>
    </row>
    <row r="9" spans="1:14" ht="15.6" x14ac:dyDescent="0.3">
      <c r="A9" s="31" t="s">
        <v>12</v>
      </c>
      <c r="B9" s="31" t="s">
        <v>3</v>
      </c>
      <c r="C9" s="31">
        <f>Podsumowanie!B7</f>
        <v>2405.5</v>
      </c>
      <c r="D9" s="31" t="s">
        <v>0</v>
      </c>
      <c r="G9" s="95">
        <v>81</v>
      </c>
      <c r="H9" s="12">
        <f t="shared" si="0"/>
        <v>1.0256695976336156</v>
      </c>
      <c r="I9" s="11">
        <f t="shared" si="4"/>
        <v>0.83913544099616555</v>
      </c>
      <c r="J9" s="21">
        <f t="shared" si="1"/>
        <v>233259.68396335846</v>
      </c>
      <c r="K9" s="21">
        <f t="shared" si="5"/>
        <v>2879.7491847328206</v>
      </c>
      <c r="L9" s="12">
        <f t="shared" ca="1" si="2"/>
        <v>1.3154325789054842</v>
      </c>
      <c r="M9" s="12">
        <f t="shared" ca="1" si="3"/>
        <v>2.0933947944515308</v>
      </c>
      <c r="N9" s="12">
        <f t="shared" ca="1" si="6"/>
        <v>2.9588087675609729</v>
      </c>
    </row>
    <row r="10" spans="1:14" ht="18" x14ac:dyDescent="0.3">
      <c r="A10" s="31" t="s">
        <v>21</v>
      </c>
      <c r="B10" s="31" t="s">
        <v>79</v>
      </c>
      <c r="C10" s="31">
        <f>Podsumowanie!B13</f>
        <v>5.8840000000000003</v>
      </c>
      <c r="D10" s="31" t="s">
        <v>7</v>
      </c>
      <c r="G10" s="95">
        <v>89</v>
      </c>
      <c r="H10" s="12">
        <f t="shared" si="0"/>
        <v>1.1269702986344665</v>
      </c>
      <c r="I10" s="11">
        <f t="shared" si="4"/>
        <v>0.84965005411193095</v>
      </c>
      <c r="J10" s="21">
        <f t="shared" si="1"/>
        <v>236182.49619670762</v>
      </c>
      <c r="K10" s="21">
        <f t="shared" si="5"/>
        <v>2653.7359123225574</v>
      </c>
      <c r="L10" s="12">
        <f t="shared" ca="1" si="2"/>
        <v>0.5858803121152476</v>
      </c>
      <c r="M10" s="12">
        <f t="shared" ca="1" si="3"/>
        <v>1.2678277046193025</v>
      </c>
      <c r="N10" s="12">
        <f t="shared" ca="1" si="6"/>
        <v>1.969210624356913</v>
      </c>
    </row>
    <row r="11" spans="1:14" ht="18" x14ac:dyDescent="0.3">
      <c r="A11" s="31" t="s">
        <v>25</v>
      </c>
      <c r="B11" s="31" t="s">
        <v>80</v>
      </c>
      <c r="C11" s="31">
        <f>Podsumowanie!B14</f>
        <v>2.214E-2</v>
      </c>
      <c r="D11" s="31" t="s">
        <v>7</v>
      </c>
      <c r="G11" s="95">
        <v>96</v>
      </c>
      <c r="H11" s="12">
        <f t="shared" si="0"/>
        <v>1.2156084120102111</v>
      </c>
      <c r="I11" s="11">
        <f t="shared" si="4"/>
        <v>0.85254213696064474</v>
      </c>
      <c r="J11" s="21">
        <f t="shared" si="1"/>
        <v>236986.4264066937</v>
      </c>
      <c r="K11" s="21">
        <f t="shared" si="5"/>
        <v>2468.6086084030594</v>
      </c>
      <c r="L11" s="12">
        <f t="shared" ca="1" si="2"/>
        <v>8.9190308680419508E-2</v>
      </c>
      <c r="M11" s="12">
        <f t="shared" ca="1" si="3"/>
        <v>0.48269485291158104</v>
      </c>
      <c r="N11" s="12">
        <f t="shared" ca="1" si="6"/>
        <v>0.8087534218699175</v>
      </c>
    </row>
    <row r="12" spans="1:14" ht="18" x14ac:dyDescent="0.3">
      <c r="A12" s="31" t="s">
        <v>19</v>
      </c>
      <c r="B12" s="31" t="s">
        <v>81</v>
      </c>
      <c r="C12" s="31">
        <f>Podsumowanie!B11</f>
        <v>42.92</v>
      </c>
      <c r="D12" s="31" t="s">
        <v>37</v>
      </c>
      <c r="G12" s="95">
        <v>103</v>
      </c>
      <c r="H12" s="12">
        <f t="shared" si="0"/>
        <v>1.3042465253859556</v>
      </c>
      <c r="I12" s="11">
        <f t="shared" si="4"/>
        <v>0.85047982458552829</v>
      </c>
      <c r="J12" s="21">
        <f t="shared" si="1"/>
        <v>236413.15264258918</v>
      </c>
      <c r="K12" s="21">
        <f t="shared" si="5"/>
        <v>2295.2733266270793</v>
      </c>
      <c r="L12" s="12">
        <f t="shared" ca="1" si="2"/>
        <v>-0.31110766571251813</v>
      </c>
      <c r="M12" s="12">
        <f t="shared" ca="1" si="3"/>
        <v>-0.34934947596558885</v>
      </c>
      <c r="N12" s="12">
        <f t="shared" ca="1" si="6"/>
        <v>-0.62801786403329729</v>
      </c>
    </row>
    <row r="13" spans="1:14" ht="15.6" x14ac:dyDescent="0.3">
      <c r="A13" s="31" t="s">
        <v>20</v>
      </c>
      <c r="B13" s="31" t="s">
        <v>14</v>
      </c>
      <c r="C13" s="31">
        <f>Podsumowanie!B17</f>
        <v>0.12</v>
      </c>
      <c r="D13" s="31" t="s">
        <v>7</v>
      </c>
      <c r="G13" s="95">
        <v>111</v>
      </c>
      <c r="H13" s="12">
        <f t="shared" si="0"/>
        <v>1.4055472263868065</v>
      </c>
      <c r="I13" s="11">
        <f t="shared" si="4"/>
        <v>0.84319905893814906</v>
      </c>
      <c r="J13" s="21">
        <f t="shared" si="1"/>
        <v>234389.2730506334</v>
      </c>
      <c r="K13" s="21">
        <f t="shared" si="5"/>
        <v>2111.6150725282287</v>
      </c>
      <c r="L13" s="12">
        <f t="shared" ca="1" si="2"/>
        <v>-0.68033330312472395</v>
      </c>
      <c r="M13" s="12">
        <f t="shared" ca="1" si="3"/>
        <v>-1.3481789554156642</v>
      </c>
      <c r="N13" s="12">
        <f t="shared" ca="1" si="6"/>
        <v>-2.611606936615118</v>
      </c>
    </row>
    <row r="14" spans="1:14" ht="18" x14ac:dyDescent="0.3">
      <c r="A14" s="31" t="s">
        <v>33</v>
      </c>
      <c r="B14" s="31" t="s">
        <v>32</v>
      </c>
      <c r="C14" s="31">
        <f>Podsumowanie!B2</f>
        <v>1.2255</v>
      </c>
      <c r="D14" s="31" t="s">
        <v>82</v>
      </c>
      <c r="G14" s="95">
        <v>118</v>
      </c>
      <c r="H14" s="12">
        <f t="shared" si="0"/>
        <v>1.4941853397625509</v>
      </c>
      <c r="I14" s="11">
        <f t="shared" si="4"/>
        <v>0.83351995446096971</v>
      </c>
      <c r="J14" s="21">
        <f t="shared" si="1"/>
        <v>231698.71233648344</v>
      </c>
      <c r="K14" s="21">
        <f t="shared" si="5"/>
        <v>1963.5484096312157</v>
      </c>
      <c r="L14" s="12">
        <f t="shared" ca="1" si="2"/>
        <v>-0.9445796538670056</v>
      </c>
      <c r="M14" s="12">
        <f t="shared" ca="1" si="3"/>
        <v>-2.2583406843186027</v>
      </c>
      <c r="N14" s="12">
        <f t="shared" ca="1" si="6"/>
        <v>-4.6498225107408473</v>
      </c>
    </row>
    <row r="15" spans="1:14" ht="15.6" x14ac:dyDescent="0.3">
      <c r="A15" s="31" t="s">
        <v>26</v>
      </c>
      <c r="B15" s="31" t="s">
        <v>13</v>
      </c>
      <c r="C15" s="31">
        <f>Podsumowanie!B8</f>
        <v>26295.705000000002</v>
      </c>
      <c r="D15" s="31" t="s">
        <v>39</v>
      </c>
      <c r="G15" s="95">
        <v>125</v>
      </c>
      <c r="H15" s="12">
        <f t="shared" si="0"/>
        <v>1.5828234531382954</v>
      </c>
      <c r="I15" s="11">
        <f t="shared" si="4"/>
        <v>0.82168623924569495</v>
      </c>
      <c r="J15" s="21">
        <f t="shared" si="1"/>
        <v>228409.22110971497</v>
      </c>
      <c r="K15" s="21">
        <f t="shared" si="5"/>
        <v>1827.2737688777197</v>
      </c>
      <c r="L15" s="12">
        <f t="shared" ca="1" si="2"/>
        <v>-1.1663150146959667</v>
      </c>
      <c r="M15" s="12">
        <f t="shared" ca="1" si="3"/>
        <v>-3.1985310772221016</v>
      </c>
      <c r="N15" s="12">
        <f t="shared" ca="1" si="6"/>
        <v>-6.9744884263573068</v>
      </c>
    </row>
    <row r="16" spans="1:14" x14ac:dyDescent="0.3">
      <c r="A16" s="30" t="s">
        <v>102</v>
      </c>
      <c r="B16" s="30" t="s">
        <v>89</v>
      </c>
      <c r="C16" s="30">
        <f>Podsumowanie!B15</f>
        <v>1.63</v>
      </c>
      <c r="D16" s="30" t="s">
        <v>7</v>
      </c>
      <c r="G16" s="95">
        <v>132</v>
      </c>
      <c r="H16" s="12">
        <f t="shared" si="0"/>
        <v>1.6714615665140402</v>
      </c>
      <c r="I16" s="11">
        <f t="shared" si="4"/>
        <v>0.80858875381051387</v>
      </c>
      <c r="J16" s="21">
        <f t="shared" si="1"/>
        <v>224768.43183534205</v>
      </c>
      <c r="K16" s="21">
        <f t="shared" si="5"/>
        <v>1702.7911502677428</v>
      </c>
      <c r="L16" s="12">
        <f t="shared" ca="1" si="2"/>
        <v>-1.3542414597505494</v>
      </c>
      <c r="M16" s="12">
        <f t="shared" ca="1" si="3"/>
        <v>-4.1662413913920417</v>
      </c>
      <c r="N16" s="12">
        <f t="shared" ca="1" si="6"/>
        <v>-9.589874960820433</v>
      </c>
    </row>
    <row r="17" spans="1:16" ht="18.600000000000001" x14ac:dyDescent="0.3">
      <c r="A17" s="30" t="s">
        <v>29</v>
      </c>
      <c r="B17" s="30" t="s">
        <v>83</v>
      </c>
      <c r="C17" s="30">
        <f>C14*(1-C1/44300)^4.256</f>
        <v>0.81921393881961735</v>
      </c>
      <c r="D17" s="30" t="s">
        <v>84</v>
      </c>
      <c r="G17" s="95">
        <v>140</v>
      </c>
      <c r="H17" s="12">
        <f t="shared" si="0"/>
        <v>1.7727622675148911</v>
      </c>
      <c r="I17" s="11">
        <f t="shared" si="4"/>
        <v>0.79321549446663919</v>
      </c>
      <c r="J17" s="21">
        <f t="shared" si="1"/>
        <v>220495.03157020494</v>
      </c>
      <c r="K17" s="21">
        <f t="shared" si="5"/>
        <v>1574.9645112157496</v>
      </c>
      <c r="L17" s="12">
        <f t="shared" ca="1" si="2"/>
        <v>-1.5359914455834829</v>
      </c>
      <c r="M17" s="12">
        <f t="shared" ca="1" si="3"/>
        <v>-5.3036399498526361</v>
      </c>
      <c r="N17" s="12">
        <f t="shared" ca="1" si="6"/>
        <v>-12.940738266895075</v>
      </c>
    </row>
    <row r="18" spans="1:16" ht="18.600000000000001" x14ac:dyDescent="0.3">
      <c r="A18" s="30" t="s">
        <v>27</v>
      </c>
      <c r="B18" s="30" t="s">
        <v>85</v>
      </c>
      <c r="C18" s="30">
        <f>C6*((C17/C14)-C13)/(1-C13)</f>
        <v>277976.20332475548</v>
      </c>
      <c r="D18" s="30" t="s">
        <v>35</v>
      </c>
    </row>
    <row r="19" spans="1:16" ht="19.2" thickBot="1" x14ac:dyDescent="0.35">
      <c r="A19" s="30" t="s">
        <v>28</v>
      </c>
      <c r="B19" s="30" t="s">
        <v>86</v>
      </c>
      <c r="C19" s="30">
        <f>C18/C17/C12^3/C4^5</f>
        <v>0.20348951225596171</v>
      </c>
      <c r="D19" s="30" t="s">
        <v>7</v>
      </c>
    </row>
    <row r="20" spans="1:16" ht="18.600000000000001" thickBot="1" x14ac:dyDescent="0.35">
      <c r="A20" s="30" t="s">
        <v>153</v>
      </c>
      <c r="B20" s="30" t="s">
        <v>140</v>
      </c>
      <c r="C20" s="30">
        <f>Podsumowanie!B31</f>
        <v>28993.455000000002</v>
      </c>
      <c r="D20" s="30" t="s">
        <v>39</v>
      </c>
      <c r="F20" s="132" t="s">
        <v>172</v>
      </c>
      <c r="G20" s="133"/>
      <c r="H20" s="133"/>
      <c r="I20" s="133"/>
      <c r="J20" s="133"/>
      <c r="K20" s="133"/>
      <c r="L20" s="133"/>
      <c r="M20" s="133"/>
      <c r="N20" s="133"/>
      <c r="O20" s="133"/>
      <c r="P20" s="134"/>
    </row>
    <row r="21" spans="1:16" ht="18.600000000000001" thickBot="1" x14ac:dyDescent="0.35">
      <c r="B21" s="30" t="s">
        <v>16</v>
      </c>
      <c r="C21" s="30" t="s">
        <v>66</v>
      </c>
      <c r="D21" s="30" t="s">
        <v>17</v>
      </c>
      <c r="F21" s="97" t="s">
        <v>1</v>
      </c>
      <c r="G21" s="97" t="s">
        <v>2</v>
      </c>
      <c r="H21" s="97" t="s">
        <v>67</v>
      </c>
      <c r="I21" s="97" t="s">
        <v>15</v>
      </c>
      <c r="J21" s="97" t="s">
        <v>74</v>
      </c>
      <c r="K21" s="97" t="s">
        <v>72</v>
      </c>
      <c r="L21" s="97" t="s">
        <v>73</v>
      </c>
      <c r="M21" s="97" t="s">
        <v>71</v>
      </c>
      <c r="N21" s="97" t="s">
        <v>69</v>
      </c>
      <c r="O21" s="97" t="s">
        <v>87</v>
      </c>
      <c r="P21" s="97" t="s">
        <v>70</v>
      </c>
    </row>
    <row r="22" spans="1:16" x14ac:dyDescent="0.3">
      <c r="A22" s="32">
        <v>1</v>
      </c>
      <c r="B22" s="47">
        <f>-K3*COS(C22+C23-C$3)+0.5*C$17*C$7*C$5*(C23-C$8)*G3^2*SIN(C22)+0.5*C$17*C$7*(C$11+1/PI()/C$10*C$5^2*(C23-C$8)^2)*G3^2*COS(C22)</f>
        <v>6.6835624238592573E-5</v>
      </c>
      <c r="C22" s="33">
        <v>5.9262796418191925E-2</v>
      </c>
      <c r="D22" s="34">
        <f t="shared" ref="D22:D51" si="7">DEGREES(C22)</f>
        <v>3.3955081169054093</v>
      </c>
      <c r="F22" s="11">
        <v>1.63</v>
      </c>
      <c r="G22" s="12">
        <v>156.18</v>
      </c>
      <c r="H22" s="12">
        <f t="shared" ref="H22:H37" si="8">SQRT((2*C$15)/(C$7*C$17*F22))</f>
        <v>43.00066152062773</v>
      </c>
      <c r="I22" s="92">
        <f t="shared" ref="I22:I37" si="9">H22/C$12/C$4</f>
        <v>0.54449964444248811</v>
      </c>
      <c r="J22" s="93">
        <f>0.2132*I22^3-1.0928*I22^2+1.7147*I22</f>
        <v>0.64407790020984534</v>
      </c>
      <c r="K22" s="21">
        <f t="shared" ref="K22:K37" si="10">C$15*SQRT((2*C$15)/(C$17*C$7*G22))</f>
        <v>115515.70918010653</v>
      </c>
      <c r="L22" s="20">
        <f t="shared" ref="L22:L37" si="11">C$18*J22</f>
        <v>179038.32934571354</v>
      </c>
      <c r="M22" s="21">
        <f t="shared" ref="M22:M37" si="12">(L22-K22)</f>
        <v>63522.620165607019</v>
      </c>
      <c r="N22" s="12">
        <f t="shared" ref="N22:N37" si="13">M22/C$15</f>
        <v>2.4157032551744484</v>
      </c>
      <c r="O22" s="12">
        <f t="shared" ref="O22:O37" si="14">DEGREES(ASIN(N22/H22))</f>
        <v>3.2204738997957039</v>
      </c>
      <c r="P22" s="12">
        <v>15.276999999999999</v>
      </c>
    </row>
    <row r="23" spans="1:16" x14ac:dyDescent="0.3">
      <c r="A23" s="35">
        <v>2</v>
      </c>
      <c r="B23" s="48">
        <f>K3*SIN(C22+C23-C$3)+0.5*C$17*C$7*C$5*(C23-C$8)*G3^2*COS(C22)-0.5*C$17*C$7*(C$11+1/PI()/C$10*C$5^2*(C23-C$8)^2)*G3^2*SIN(C22)-C$15</f>
        <v>-1.4679244486615062E-8</v>
      </c>
      <c r="C23" s="36">
        <v>0.20556106210345132</v>
      </c>
      <c r="D23" s="37">
        <f t="shared" si="7"/>
        <v>11.777781290754369</v>
      </c>
      <c r="F23" s="11">
        <v>1.571</v>
      </c>
      <c r="G23" s="12">
        <v>158.85</v>
      </c>
      <c r="H23" s="12">
        <f t="shared" si="8"/>
        <v>43.80067935054204</v>
      </c>
      <c r="I23" s="12">
        <f t="shared" si="9"/>
        <v>0.55462994031542556</v>
      </c>
      <c r="J23" s="11">
        <f t="shared" ref="J23:J37" si="15">0.2132*I23^3-1.0928*I23^2+1.7147*I23</f>
        <v>0.65123748262457593</v>
      </c>
      <c r="K23" s="21">
        <f t="shared" si="10"/>
        <v>114540.78319563734</v>
      </c>
      <c r="L23" s="20">
        <f t="shared" si="11"/>
        <v>181028.52288275104</v>
      </c>
      <c r="M23" s="21">
        <f t="shared" si="12"/>
        <v>66487.739687113703</v>
      </c>
      <c r="N23" s="12">
        <f t="shared" si="13"/>
        <v>2.5284638570106295</v>
      </c>
      <c r="O23" s="12">
        <f t="shared" si="14"/>
        <v>3.3093296881557173</v>
      </c>
      <c r="P23" s="12">
        <v>12.122999999999999</v>
      </c>
    </row>
    <row r="24" spans="1:16" x14ac:dyDescent="0.3">
      <c r="A24" s="38">
        <v>3</v>
      </c>
      <c r="B24" s="47">
        <f>-K4*COS(C24+C25-C$3)+0.5*C$17*C$7*C$5*(C25-C$8)*G4^2*SIN(C24)+0.5*C$17*C$7*(C$11+1/PI()/C$10*C$5^2*(C25-C$8)^2)*G4^2*COS(C24)</f>
        <v>8.5603892330254894E-6</v>
      </c>
      <c r="C24" s="39">
        <v>6.2337315289313036E-2</v>
      </c>
      <c r="D24" s="40">
        <f t="shared" si="7"/>
        <v>3.5716650722539751</v>
      </c>
      <c r="F24" s="11">
        <v>1.474</v>
      </c>
      <c r="G24" s="12">
        <v>163.07</v>
      </c>
      <c r="H24" s="12">
        <f t="shared" si="8"/>
        <v>45.218921219758926</v>
      </c>
      <c r="I24" s="12">
        <f t="shared" si="9"/>
        <v>0.572588552257979</v>
      </c>
      <c r="J24" s="11">
        <f t="shared" si="15"/>
        <v>0.6635582613876021</v>
      </c>
      <c r="K24" s="21">
        <f t="shared" si="10"/>
        <v>113048.99929570542</v>
      </c>
      <c r="L24" s="20">
        <f t="shared" si="11"/>
        <v>184453.40618530131</v>
      </c>
      <c r="M24" s="21">
        <f t="shared" si="12"/>
        <v>71404.406889595892</v>
      </c>
      <c r="N24" s="12">
        <f t="shared" si="13"/>
        <v>2.7154399127004156</v>
      </c>
      <c r="O24" s="12">
        <f t="shared" si="14"/>
        <v>3.4427381943867479</v>
      </c>
      <c r="P24" s="12">
        <v>11.015000000000001</v>
      </c>
    </row>
    <row r="25" spans="1:16" x14ac:dyDescent="0.3">
      <c r="A25" s="41">
        <v>4</v>
      </c>
      <c r="B25" s="48">
        <f>K4*SIN(C24+C25-C$3)+0.5*C$17*C$7*C$5*(C25-C$8)*G4^2*COS(C24)-0.5*C$17*C$7*(C$11+1/PI()/C$10*C$5^2*(C25-C$8)^2)*G4^2*SIN(C24)-C$15</f>
        <v>-8.2218321040272713E-10</v>
      </c>
      <c r="C25" s="42">
        <v>0.18408058989594878</v>
      </c>
      <c r="D25" s="43">
        <f>DEGREES(C25)</f>
        <v>10.54704089131641</v>
      </c>
      <c r="F25" s="11">
        <v>1.379</v>
      </c>
      <c r="G25" s="12">
        <v>167.61</v>
      </c>
      <c r="H25" s="12">
        <f t="shared" si="8"/>
        <v>46.750558761439585</v>
      </c>
      <c r="I25" s="12">
        <f t="shared" si="9"/>
        <v>0.59198304683941283</v>
      </c>
      <c r="J25" s="11">
        <f t="shared" si="15"/>
        <v>0.67633800960013668</v>
      </c>
      <c r="K25" s="21">
        <f t="shared" si="10"/>
        <v>111507.42704806471</v>
      </c>
      <c r="L25" s="20">
        <f t="shared" si="11"/>
        <v>188005.87207286802</v>
      </c>
      <c r="M25" s="21">
        <f t="shared" si="12"/>
        <v>76498.44502480331</v>
      </c>
      <c r="N25" s="12">
        <f t="shared" si="13"/>
        <v>2.9091612118710377</v>
      </c>
      <c r="O25" s="12">
        <f t="shared" si="14"/>
        <v>3.5676668713660744</v>
      </c>
      <c r="P25" s="12">
        <v>9.5779999999999994</v>
      </c>
    </row>
    <row r="26" spans="1:16" x14ac:dyDescent="0.3">
      <c r="A26" s="32">
        <v>5</v>
      </c>
      <c r="B26" s="47">
        <f>-K5*COS(C26+C27-C$3)+0.5*C$17*C$7*C$5*(C27-C$8)*G5^2*SIN(C26)+0.5*C$17*C$7*(C$11+1/PI()/C$10*C$5^2*(C27-C$8)^2)*G5^2*COS(C26)</f>
        <v>3.6776653132619685E-5</v>
      </c>
      <c r="C26" s="33">
        <v>6.6763932873250248E-2</v>
      </c>
      <c r="D26" s="34">
        <f t="shared" si="7"/>
        <v>3.8252915773319751</v>
      </c>
      <c r="F26" s="11">
        <v>1.272</v>
      </c>
      <c r="G26" s="12">
        <v>169.65</v>
      </c>
      <c r="H26" s="12">
        <f t="shared" si="8"/>
        <v>48.677176963484172</v>
      </c>
      <c r="I26" s="12">
        <f t="shared" si="9"/>
        <v>0.61637901864292721</v>
      </c>
      <c r="J26" s="11">
        <f t="shared" si="15"/>
        <v>0.69165160174725526</v>
      </c>
      <c r="K26" s="21">
        <f t="shared" si="10"/>
        <v>110834.9745660409</v>
      </c>
      <c r="L26" s="20">
        <f t="shared" si="11"/>
        <v>192262.68627718784</v>
      </c>
      <c r="M26" s="21">
        <f t="shared" si="12"/>
        <v>81427.711711146942</v>
      </c>
      <c r="N26" s="12">
        <f t="shared" si="13"/>
        <v>3.0966164136366352</v>
      </c>
      <c r="O26" s="12">
        <f t="shared" si="14"/>
        <v>3.6473548823590702</v>
      </c>
      <c r="P26" s="12">
        <v>8.4719999999999995</v>
      </c>
    </row>
    <row r="27" spans="1:16" x14ac:dyDescent="0.3">
      <c r="A27" s="35">
        <v>6</v>
      </c>
      <c r="B27" s="48">
        <f>K5*SIN(C26+C27-C$3)+0.5*C$17*C$7*C$5*(C27-C$8)*G5^2*COS(C26)-0.5*C$17*C$7*(C$11+1/PI()/C$10*C$5^2*(C27-C$8)^2)*G5^2*SIN(C26)-C$15</f>
        <v>1.5556788639514707E-4</v>
      </c>
      <c r="C27" s="36">
        <v>0.12659106999653708</v>
      </c>
      <c r="D27" s="37">
        <f t="shared" si="7"/>
        <v>7.2531340348467594</v>
      </c>
      <c r="F27" s="11">
        <v>1.1779999999999999</v>
      </c>
      <c r="G27" s="12">
        <v>170.58</v>
      </c>
      <c r="H27" s="12">
        <f t="shared" si="8"/>
        <v>50.582034536882823</v>
      </c>
      <c r="I27" s="12">
        <f t="shared" si="9"/>
        <v>0.64049944457943508</v>
      </c>
      <c r="J27" s="11">
        <f t="shared" si="15"/>
        <v>0.70597467744654407</v>
      </c>
      <c r="K27" s="21">
        <f t="shared" si="10"/>
        <v>110532.42619103059</v>
      </c>
      <c r="L27" s="20">
        <f t="shared" si="11"/>
        <v>196244.16048000919</v>
      </c>
      <c r="M27" s="21">
        <f t="shared" si="12"/>
        <v>85711.734288978594</v>
      </c>
      <c r="N27" s="12">
        <f t="shared" si="13"/>
        <v>3.2595336116289175</v>
      </c>
      <c r="O27" s="12">
        <f t="shared" si="14"/>
        <v>3.6947310903012034</v>
      </c>
      <c r="P27" s="12">
        <v>7.694</v>
      </c>
    </row>
    <row r="28" spans="1:16" x14ac:dyDescent="0.3">
      <c r="A28" s="38">
        <v>7</v>
      </c>
      <c r="B28" s="47">
        <f>-K6*COS(C28+C29-C$3)+0.5*C$17*C$7*C$5*(C29-C$8)*G6^2*SIN(C28)+0.5*C$17*C$7*(C$11+1/PI()/C$10*C$5^2*(C29-C$8)^2)*G6^2*COS(C28)</f>
        <v>-2.2630119929090142E-6</v>
      </c>
      <c r="C28" s="39">
        <v>6.4553445220435754E-2</v>
      </c>
      <c r="D28" s="40">
        <f t="shared" si="7"/>
        <v>3.6986399641599248</v>
      </c>
      <c r="F28" s="11">
        <v>1.08</v>
      </c>
      <c r="G28" s="12">
        <v>169.97</v>
      </c>
      <c r="H28" s="12">
        <f t="shared" si="8"/>
        <v>52.827135394210416</v>
      </c>
      <c r="I28" s="12">
        <f t="shared" si="9"/>
        <v>0.66892823091254727</v>
      </c>
      <c r="J28" s="11">
        <f t="shared" si="15"/>
        <v>0.72183695052779673</v>
      </c>
      <c r="K28" s="21">
        <f t="shared" si="10"/>
        <v>110730.59173088479</v>
      </c>
      <c r="L28" s="20">
        <f t="shared" si="11"/>
        <v>200653.49492723629</v>
      </c>
      <c r="M28" s="21">
        <f t="shared" si="12"/>
        <v>89922.903196351501</v>
      </c>
      <c r="N28" s="12">
        <f t="shared" si="13"/>
        <v>3.4196802556292556</v>
      </c>
      <c r="O28" s="12">
        <f t="shared" si="14"/>
        <v>3.7115460335166985</v>
      </c>
      <c r="P28" s="12">
        <v>7.048</v>
      </c>
    </row>
    <row r="29" spans="1:16" x14ac:dyDescent="0.3">
      <c r="A29" s="41">
        <v>8</v>
      </c>
      <c r="B29" s="48">
        <f>K6*SIN(C28+C29-C$3)+0.5*C$17*C$7*C$5*(C29-C$8)*G6^2*COS(C28)-0.5*C$17*C$7*(C$11+1/PI()/C$10*C$5^2*(C29-C$8)^2)*G6^2*SIN(C28)-C$15</f>
        <v>-6.1096961871953681E-5</v>
      </c>
      <c r="C29" s="42">
        <v>8.7674113352270752E-2</v>
      </c>
      <c r="D29" s="43">
        <f t="shared" si="7"/>
        <v>5.0233566676366923</v>
      </c>
      <c r="F29" s="11">
        <v>0.96899999999999997</v>
      </c>
      <c r="G29" s="12">
        <v>164.23</v>
      </c>
      <c r="H29" s="12">
        <f t="shared" si="8"/>
        <v>55.770822631939353</v>
      </c>
      <c r="I29" s="12">
        <f t="shared" si="9"/>
        <v>0.70620292850119726</v>
      </c>
      <c r="J29" s="11">
        <f t="shared" si="15"/>
        <v>0.74101103031021498</v>
      </c>
      <c r="K29" s="21">
        <f t="shared" si="10"/>
        <v>112649.04428088485</v>
      </c>
      <c r="L29" s="20">
        <f t="shared" si="11"/>
        <v>205983.43282739885</v>
      </c>
      <c r="M29" s="21">
        <f t="shared" si="12"/>
        <v>93334.388546514005</v>
      </c>
      <c r="N29" s="12">
        <f t="shared" si="13"/>
        <v>3.5494157143348692</v>
      </c>
      <c r="O29" s="12">
        <f t="shared" si="14"/>
        <v>3.6489344771423848</v>
      </c>
      <c r="P29" s="12">
        <v>6.0739999999999998</v>
      </c>
    </row>
    <row r="30" spans="1:16" x14ac:dyDescent="0.3">
      <c r="A30" s="32">
        <v>9</v>
      </c>
      <c r="B30" s="47">
        <f>-K7*COS(C30+C31-C$3)+0.5*C$17*C$7*C$5*(C31-C$8)*G7^2*SIN(C30)+0.5*C$17*C$7*(C$11+1/PI()/C$10*C$5^2*(C31-C$8)^2)*G7^2*COS(C30)</f>
        <v>5.4215524869505316E-6</v>
      </c>
      <c r="C30" s="33">
        <v>5.7078363212797793E-2</v>
      </c>
      <c r="D30" s="34">
        <f t="shared" si="7"/>
        <v>3.2703493136080914</v>
      </c>
      <c r="F30" s="11">
        <v>0.86799999999999999</v>
      </c>
      <c r="G30" s="12">
        <v>160.72999999999999</v>
      </c>
      <c r="H30" s="12">
        <f t="shared" si="8"/>
        <v>58.926286966925112</v>
      </c>
      <c r="I30" s="12">
        <f t="shared" si="9"/>
        <v>0.74615927214085243</v>
      </c>
      <c r="J30" s="11">
        <f t="shared" si="15"/>
        <v>0.75958792114730966</v>
      </c>
      <c r="K30" s="21">
        <f t="shared" si="10"/>
        <v>113868.94203133142</v>
      </c>
      <c r="L30" s="20">
        <f t="shared" si="11"/>
        <v>211147.36641187288</v>
      </c>
      <c r="M30" s="21">
        <f t="shared" si="12"/>
        <v>97278.424380541459</v>
      </c>
      <c r="N30" s="12">
        <f t="shared" si="13"/>
        <v>3.6994035482426293</v>
      </c>
      <c r="O30" s="12">
        <f t="shared" si="14"/>
        <v>3.5994070466027073</v>
      </c>
      <c r="P30" s="12">
        <v>5.0990000000000002</v>
      </c>
    </row>
    <row r="31" spans="1:16" x14ac:dyDescent="0.3">
      <c r="A31" s="35">
        <v>10</v>
      </c>
      <c r="B31" s="48">
        <f>K7*SIN(C30+C31-C$3)+0.5*C$17*C$7*C$5*(C31-C$8)*G7^2*COS(C30)-0.5*C$17*C$7*(C$11+1/PI()/C$10*C$5^2*(C31-C$8)^2)*G7^2*SIN(C30)-C$15</f>
        <v>-3.0678711482323706E-7</v>
      </c>
      <c r="C31" s="36">
        <v>5.689898243571178E-2</v>
      </c>
      <c r="D31" s="37">
        <f t="shared" si="7"/>
        <v>3.2600715521552859</v>
      </c>
      <c r="F31" s="11">
        <v>0.77100000000000002</v>
      </c>
      <c r="G31" s="12">
        <v>153.61000000000001</v>
      </c>
      <c r="H31" s="12">
        <f t="shared" si="8"/>
        <v>62.523279531432344</v>
      </c>
      <c r="I31" s="12">
        <f t="shared" si="9"/>
        <v>0.79170650567578127</v>
      </c>
      <c r="J31" s="11">
        <f t="shared" si="15"/>
        <v>0.77837156985526412</v>
      </c>
      <c r="K31" s="21">
        <f t="shared" si="10"/>
        <v>116478.02908410752</v>
      </c>
      <c r="L31" s="20">
        <f t="shared" si="11"/>
        <v>216368.773764296</v>
      </c>
      <c r="M31" s="21">
        <f t="shared" si="12"/>
        <v>99890.74468018848</v>
      </c>
      <c r="N31" s="12">
        <f t="shared" si="13"/>
        <v>3.7987475399571329</v>
      </c>
      <c r="O31" s="12">
        <f t="shared" si="14"/>
        <v>3.4832839041534216</v>
      </c>
      <c r="P31" s="12">
        <v>3.86</v>
      </c>
    </row>
    <row r="32" spans="1:16" x14ac:dyDescent="0.3">
      <c r="A32" s="38">
        <v>11</v>
      </c>
      <c r="B32" s="47">
        <f>-K8*COS(C32+C33-C$3)+0.5*C$17*C$7*C$5*(C33-C$8)*G8^2*SIN(C32)+0.5*C$17*C$7*(C$11+1/PI()/C$10*C$5^2*(C33-C$8)^2)*G8^2*COS(C32)</f>
        <v>-5.4762116633355618E-5</v>
      </c>
      <c r="C32" s="39">
        <v>4.77170821711854E-2</v>
      </c>
      <c r="D32" s="40">
        <f t="shared" si="7"/>
        <v>2.7339874190878701</v>
      </c>
      <c r="F32" s="11">
        <v>0.56899999999999995</v>
      </c>
      <c r="G32" s="12">
        <v>116.14</v>
      </c>
      <c r="H32" s="12">
        <f t="shared" si="8"/>
        <v>72.780126450199489</v>
      </c>
      <c r="I32" s="12">
        <f t="shared" si="9"/>
        <v>0.92158472854197238</v>
      </c>
      <c r="J32" s="11">
        <f t="shared" si="15"/>
        <v>0.81898183832885296</v>
      </c>
      <c r="K32" s="21">
        <f t="shared" si="10"/>
        <v>133956.20860386503</v>
      </c>
      <c r="L32" s="20">
        <f t="shared" si="11"/>
        <v>227657.46201058326</v>
      </c>
      <c r="M32" s="21">
        <f t="shared" si="12"/>
        <v>93701.253406718228</v>
      </c>
      <c r="N32" s="12">
        <f t="shared" si="13"/>
        <v>3.5633672269565779</v>
      </c>
      <c r="O32" s="12">
        <f t="shared" si="14"/>
        <v>2.8063644635485847</v>
      </c>
      <c r="P32" s="12">
        <v>2.0419999999999998</v>
      </c>
    </row>
    <row r="33" spans="1:16" x14ac:dyDescent="0.3">
      <c r="A33" s="41">
        <v>12</v>
      </c>
      <c r="B33" s="48">
        <f>K8*SIN(C32+C33-C$3)+0.5*C$17*C$7*C$5*(C33-C$8)*G8^2*COS(C32)-0.5*C$17*C$7*(C$11+1/PI()/C$10*C$5^2*(C33-C$8)^2)*G8^2*SIN(C32)-C$15</f>
        <v>5.4206102504394948E-6</v>
      </c>
      <c r="C33" s="42">
        <v>3.7577952268651675E-2</v>
      </c>
      <c r="D33" s="43">
        <f t="shared" si="7"/>
        <v>2.1530580677377982</v>
      </c>
      <c r="F33" s="11">
        <v>0.47099999999999997</v>
      </c>
      <c r="G33" s="12">
        <v>88.53</v>
      </c>
      <c r="H33" s="12">
        <f t="shared" si="8"/>
        <v>79.994197409982817</v>
      </c>
      <c r="I33" s="12">
        <f t="shared" si="9"/>
        <v>1.012933534203964</v>
      </c>
      <c r="J33" s="11">
        <f t="shared" si="15"/>
        <v>0.83720653885049634</v>
      </c>
      <c r="K33" s="21">
        <f t="shared" si="10"/>
        <v>153429.37849918805</v>
      </c>
      <c r="L33" s="20">
        <f t="shared" si="11"/>
        <v>232723.49506832036</v>
      </c>
      <c r="M33" s="21">
        <f t="shared" si="12"/>
        <v>79294.116569132311</v>
      </c>
      <c r="N33" s="12">
        <f t="shared" si="13"/>
        <v>3.015477872494094</v>
      </c>
      <c r="O33" s="12">
        <f t="shared" si="14"/>
        <v>2.1603454486491263</v>
      </c>
      <c r="P33" s="12">
        <v>1.198</v>
      </c>
    </row>
    <row r="34" spans="1:16" x14ac:dyDescent="0.3">
      <c r="A34" s="32">
        <v>13</v>
      </c>
      <c r="B34" s="47">
        <f>-K9*COS(C34+C35-C$3)+0.5*C$17*C$7*C$5*(C35-C$8)*G9^2*SIN(C34)+0.5*C$17*C$7*(C$11+1/PI()/C$10*C$5^2*(C35-C$8)^2)*G9^2*COS(C34)</f>
        <v>-1.0004761873005918E-3</v>
      </c>
      <c r="C34" s="33">
        <v>3.653663170728913E-2</v>
      </c>
      <c r="D34" s="34">
        <f t="shared" si="7"/>
        <v>2.0933947944515308</v>
      </c>
      <c r="F34" s="28">
        <v>0.371</v>
      </c>
      <c r="G34" s="28">
        <v>56.77</v>
      </c>
      <c r="H34" s="12">
        <f t="shared" si="8"/>
        <v>90.132617665958122</v>
      </c>
      <c r="I34" s="12">
        <f t="shared" si="9"/>
        <v>1.1413121690754047</v>
      </c>
      <c r="J34" s="11">
        <f t="shared" si="15"/>
        <v>0.85049097862076084</v>
      </c>
      <c r="K34" s="21">
        <f t="shared" si="10"/>
        <v>191599.47327696855</v>
      </c>
      <c r="L34" s="20">
        <f t="shared" si="11"/>
        <v>236416.25319895489</v>
      </c>
      <c r="M34" s="21">
        <f t="shared" si="12"/>
        <v>44816.779921986337</v>
      </c>
      <c r="N34" s="12">
        <f t="shared" si="13"/>
        <v>1.7043384051496751</v>
      </c>
      <c r="O34" s="12">
        <f t="shared" si="14"/>
        <v>1.0834836521815148</v>
      </c>
      <c r="P34" s="12">
        <v>0.42</v>
      </c>
    </row>
    <row r="35" spans="1:16" x14ac:dyDescent="0.3">
      <c r="A35" s="35">
        <v>14</v>
      </c>
      <c r="B35" s="48">
        <f>K9*SIN(C34+C35-C$3)+0.5*C$17*C$7*C$5*(C35-C$8)*G9^2*COS(C34)-0.5*C$17*C$7*(C$11+1/PI()/C$10*C$5^2*(C35-C$8)^2)*G9^2*SIN(C34)-C$15</f>
        <v>1.5433466614922509E-5</v>
      </c>
      <c r="C35" s="36">
        <v>2.2958629589900803E-2</v>
      </c>
      <c r="D35" s="37">
        <f t="shared" si="7"/>
        <v>1.3154325789054842</v>
      </c>
      <c r="F35" s="28">
        <v>0.27600000000000002</v>
      </c>
      <c r="G35" s="28">
        <v>29.74</v>
      </c>
      <c r="H35" s="12">
        <f t="shared" si="8"/>
        <v>104.49954463313341</v>
      </c>
      <c r="I35" s="12">
        <f t="shared" si="9"/>
        <v>1.3232346407007654</v>
      </c>
      <c r="J35" s="11">
        <f t="shared" si="15"/>
        <v>0.84947920023408097</v>
      </c>
      <c r="K35" s="21">
        <f t="shared" si="10"/>
        <v>264717.87984445493</v>
      </c>
      <c r="L35" s="20">
        <f t="shared" si="11"/>
        <v>236135.00288441958</v>
      </c>
      <c r="M35" s="21">
        <f t="shared" si="12"/>
        <v>-28582.876960035355</v>
      </c>
      <c r="N35" s="12">
        <f t="shared" si="13"/>
        <v>-1.0869789176610916</v>
      </c>
      <c r="O35" s="12">
        <f t="shared" si="14"/>
        <v>-0.59598754944570509</v>
      </c>
      <c r="P35" s="12">
        <v>-0.29199999999999998</v>
      </c>
    </row>
    <row r="36" spans="1:16" x14ac:dyDescent="0.3">
      <c r="A36" s="38">
        <v>15</v>
      </c>
      <c r="B36" s="47">
        <f>-K10*COS(C36+C37-C$3)+0.5*C$17*C$7*C$5*(C37-C$8)*G10^2*SIN(C36)+0.5*C$17*C$7*(C$11+1/PI()/C$10*C$5^2*(C37-C$8)^2)*G10^2*COS(C36)</f>
        <v>-8.2102475062129088E-5</v>
      </c>
      <c r="C36" s="39">
        <v>2.2127767793608949E-2</v>
      </c>
      <c r="D36" s="40">
        <f t="shared" si="7"/>
        <v>1.2678277046193025</v>
      </c>
      <c r="F36" s="28">
        <v>0.186</v>
      </c>
      <c r="G36" s="28">
        <v>10.85</v>
      </c>
      <c r="H36" s="12">
        <f t="shared" si="8"/>
        <v>127.29532871753742</v>
      </c>
      <c r="I36" s="12">
        <f t="shared" si="9"/>
        <v>1.6118882541525361</v>
      </c>
      <c r="J36" s="11">
        <f t="shared" si="15"/>
        <v>0.81748732640249999</v>
      </c>
      <c r="K36" s="21">
        <f t="shared" si="10"/>
        <v>438267.11892862455</v>
      </c>
      <c r="L36" s="20">
        <f t="shared" si="11"/>
        <v>227242.02325947207</v>
      </c>
      <c r="M36" s="21">
        <f t="shared" si="12"/>
        <v>-211025.09566915248</v>
      </c>
      <c r="N36" s="12">
        <f t="shared" si="13"/>
        <v>-8.0250784555558585</v>
      </c>
      <c r="O36" s="12">
        <f t="shared" si="14"/>
        <v>-3.6144943530967866</v>
      </c>
      <c r="P36" s="12">
        <v>-1.071</v>
      </c>
    </row>
    <row r="37" spans="1:16" x14ac:dyDescent="0.3">
      <c r="A37" s="41">
        <v>16</v>
      </c>
      <c r="B37" s="48">
        <f>K10*SIN(C36+C37-C$3)+0.5*C$17*C$7*C$5*(C37-C$8)*G10^2*COS(C36)-0.5*C$17*C$7*(C$11+1/PI()/C$10*C$5^2*(C37-C$8)^2)*G10^2*SIN(C36)-C$15</f>
        <v>7.1159593062475324E-6</v>
      </c>
      <c r="C37" s="42">
        <v>1.0225540469023095E-2</v>
      </c>
      <c r="D37" s="43">
        <f t="shared" si="7"/>
        <v>0.5858803121152476</v>
      </c>
      <c r="F37" s="15">
        <v>7.0999999999999994E-2</v>
      </c>
      <c r="G37" s="16">
        <v>0.71</v>
      </c>
      <c r="H37" s="16">
        <f t="shared" si="8"/>
        <v>206.03441298348505</v>
      </c>
      <c r="I37" s="12">
        <f t="shared" si="9"/>
        <v>2.6089288081907318</v>
      </c>
      <c r="J37" s="11">
        <f t="shared" si="15"/>
        <v>0.82131799837170938</v>
      </c>
      <c r="K37" s="20">
        <f t="shared" si="10"/>
        <v>1713265.1607112244</v>
      </c>
      <c r="L37" s="20">
        <f t="shared" si="11"/>
        <v>228306.85890965548</v>
      </c>
      <c r="M37" s="20">
        <f t="shared" si="12"/>
        <v>-1484958.3018015688</v>
      </c>
      <c r="N37" s="16">
        <f t="shared" si="13"/>
        <v>-56.471515093494119</v>
      </c>
      <c r="O37" s="16">
        <f t="shared" si="14"/>
        <v>-15.907659259254011</v>
      </c>
      <c r="P37" s="16">
        <v>-2.044</v>
      </c>
    </row>
    <row r="38" spans="1:16" ht="15.6" thickBot="1" x14ac:dyDescent="0.35">
      <c r="A38" s="32">
        <v>17</v>
      </c>
      <c r="B38" s="47">
        <f>-K11*COS(C38+C39-C$3)+0.5*C$17*C$7*C$5*(C39-C$8)*G11^2*SIN(C38)+0.5*C$17*C$7*(C$11+1/PI()/C$10*C$5^2*(C39-C$8)^2)*G11^2*COS(C38)</f>
        <v>3.0858430636726553E-4</v>
      </c>
      <c r="C38" s="33">
        <v>8.4246144657368262E-3</v>
      </c>
      <c r="D38" s="34">
        <f t="shared" si="7"/>
        <v>0.48269485291158104</v>
      </c>
    </row>
    <row r="39" spans="1:16" ht="18.600000000000001" thickBot="1" x14ac:dyDescent="0.35">
      <c r="A39" s="35">
        <v>18</v>
      </c>
      <c r="B39" s="48">
        <f>K11*SIN(C38+C39-C$3)+0.5*C$17*C$7*C$5*(C39-C$8)*G11^2*COS(C38)-0.5*C$17*C$7*(C$11+1/PI()/C$10*C$5^2*(C39-C$8)^2)*G11^2*SIN(C38)-C$15</f>
        <v>-2.8970782295800745E-5</v>
      </c>
      <c r="C39" s="36">
        <v>1.5566645473433993E-3</v>
      </c>
      <c r="D39" s="37">
        <f t="shared" si="7"/>
        <v>8.9190308680419508E-2</v>
      </c>
      <c r="F39" s="132" t="s">
        <v>190</v>
      </c>
      <c r="G39" s="133"/>
      <c r="H39" s="133"/>
      <c r="I39" s="133"/>
      <c r="J39" s="133"/>
      <c r="K39" s="133"/>
      <c r="L39" s="133"/>
      <c r="M39" s="133"/>
      <c r="N39" s="133"/>
      <c r="O39" s="133"/>
      <c r="P39" s="134"/>
    </row>
    <row r="40" spans="1:16" ht="18.600000000000001" thickBot="1" x14ac:dyDescent="0.35">
      <c r="A40" s="38">
        <v>19</v>
      </c>
      <c r="B40" s="47">
        <f>-K12*COS(C40+C41-C$3)+0.5*C$17*C$7*C$5*(C41-C$8)*G12^2*SIN(C40)+0.5*C$17*C$7*(C$11+1/PI()/C$10*C$5^2*(C41-C$8)^2)*G12^2*COS(C40)</f>
        <v>1.4658577129011974E-4</v>
      </c>
      <c r="C40" s="39">
        <v>-6.0972985957163219E-3</v>
      </c>
      <c r="D40" s="40">
        <f t="shared" si="7"/>
        <v>-0.34934947596558885</v>
      </c>
      <c r="F40" s="97" t="s">
        <v>1</v>
      </c>
      <c r="G40" s="97" t="s">
        <v>2</v>
      </c>
      <c r="H40" s="97" t="s">
        <v>67</v>
      </c>
      <c r="I40" s="97" t="s">
        <v>15</v>
      </c>
      <c r="J40" s="97" t="s">
        <v>74</v>
      </c>
      <c r="K40" s="97" t="s">
        <v>72</v>
      </c>
      <c r="L40" s="97" t="s">
        <v>73</v>
      </c>
      <c r="M40" s="97" t="s">
        <v>71</v>
      </c>
      <c r="N40" s="97" t="s">
        <v>69</v>
      </c>
      <c r="O40" s="97" t="s">
        <v>87</v>
      </c>
      <c r="P40" s="97" t="s">
        <v>70</v>
      </c>
    </row>
    <row r="41" spans="1:16" x14ac:dyDescent="0.3">
      <c r="A41" s="41">
        <v>20</v>
      </c>
      <c r="B41" s="48">
        <f>K12*SIN(C40+C41-C$3)+0.5*C$17*C$7*C$5*(C41-C$8)*G12^2*COS(C40)-0.5*C$17*C$7*(C$11+1/PI()/C$10*C$5^2*(C41-C$8)^2)*G12^2*SIN(C40)-C$15</f>
        <v>-9.7297743195667863E-6</v>
      </c>
      <c r="C41" s="42">
        <v>-5.4298530948773118E-3</v>
      </c>
      <c r="D41" s="43">
        <f t="shared" si="7"/>
        <v>-0.31110766571251813</v>
      </c>
      <c r="F41" s="93">
        <f t="shared" ref="F41:P56" si="16">F22</f>
        <v>1.63</v>
      </c>
      <c r="G41" s="99">
        <f t="shared" si="16"/>
        <v>156.18</v>
      </c>
      <c r="H41" s="92">
        <f>SQRT((2*C$20)/(C$7*C$17*F41))</f>
        <v>45.15259477332792</v>
      </c>
      <c r="I41" s="92">
        <f>H41/C$12/C$4</f>
        <v>0.57174868781818444</v>
      </c>
      <c r="J41" s="93">
        <f>0.185*I41^3-0.9822*I41^2+1.6209*I41</f>
        <v>0.64024664073849391</v>
      </c>
      <c r="K41" s="94">
        <f>C$20*SQRT((2*C$20)/(C$17*C$7*G41))</f>
        <v>133740.75694380543</v>
      </c>
      <c r="L41" s="94">
        <f>C$18*J41</f>
        <v>177973.33038391525</v>
      </c>
      <c r="M41" s="94">
        <f>(L41-K41)</f>
        <v>44232.573440109816</v>
      </c>
      <c r="N41" s="92">
        <f>M41/C$20</f>
        <v>1.5256054664788936</v>
      </c>
      <c r="O41" s="92">
        <f>DEGREES(ASIN(N41/H41))</f>
        <v>1.9362651242472615</v>
      </c>
      <c r="P41" s="99">
        <f t="shared" si="16"/>
        <v>15.276999999999999</v>
      </c>
    </row>
    <row r="42" spans="1:16" x14ac:dyDescent="0.3">
      <c r="A42" s="32">
        <v>21</v>
      </c>
      <c r="B42" s="47">
        <f>-K13*COS(C42+C43-C$3)+0.5*C$17*C$7*C$5*(C43-C$8)*G13^2*SIN(C42)+0.5*C$17*C$7*(C$11+1/PI()/C$10*C$5^2*(C43-C$8)^2)*G13^2*COS(C42)</f>
        <v>1.331213247794949E-4</v>
      </c>
      <c r="C42" s="33">
        <v>-2.3530161678101177E-2</v>
      </c>
      <c r="D42" s="34">
        <f t="shared" si="7"/>
        <v>-1.3481789554156642</v>
      </c>
      <c r="F42" s="11">
        <f t="shared" si="16"/>
        <v>1.571</v>
      </c>
      <c r="G42" s="28">
        <f t="shared" si="16"/>
        <v>158.85</v>
      </c>
      <c r="H42" s="12">
        <f t="shared" ref="H42:H56" si="17">SQRT((2*C$20)/(C$7*C$17*F42))</f>
        <v>45.992648847106054</v>
      </c>
      <c r="I42" s="12">
        <f t="shared" ref="I42:I56" si="18">H42/C$12/C$4</f>
        <v>0.58238594613722761</v>
      </c>
      <c r="J42" s="11">
        <f t="shared" ref="J42:J56" si="19">0.185*I42^3-0.9822*I42^2+1.6209*I42</f>
        <v>0.64739629210343586</v>
      </c>
      <c r="K42" s="21">
        <f t="shared" ref="K42:K56" si="20">C$20*SQRT((2*C$20)/(C$17*C$7*G42))</f>
        <v>132612.01575308305</v>
      </c>
      <c r="L42" s="21">
        <f t="shared" ref="L42:L56" si="21">C$18*J42</f>
        <v>179960.76332543747</v>
      </c>
      <c r="M42" s="21">
        <f t="shared" ref="M42:M56" si="22">(L42-K42)</f>
        <v>47348.747572354419</v>
      </c>
      <c r="N42" s="12">
        <f t="shared" ref="N42:N56" si="23">M42/C$20</f>
        <v>1.6330840036951242</v>
      </c>
      <c r="O42" s="12">
        <f t="shared" ref="O42:O56" si="24">DEGREES(ASIN(N42/H42))</f>
        <v>2.0348576602633779</v>
      </c>
      <c r="P42" s="28">
        <f t="shared" si="16"/>
        <v>12.122999999999999</v>
      </c>
    </row>
    <row r="43" spans="1:16" x14ac:dyDescent="0.3">
      <c r="A43" s="35">
        <v>22</v>
      </c>
      <c r="B43" s="48">
        <f>K13*SIN(C42+C43-C$3)+0.5*C$17*C$7*C$5*(C43-C$8)*G13^2*COS(C42)-0.5*C$17*C$7*(C$11+1/PI()/C$10*C$5^2*(C43-C$8)^2)*G13^2*SIN(C42)-C$15</f>
        <v>-1.1119282135041431E-5</v>
      </c>
      <c r="C43" s="36">
        <v>-1.1874056150495058E-2</v>
      </c>
      <c r="D43" s="37">
        <f t="shared" si="7"/>
        <v>-0.68033330312472395</v>
      </c>
      <c r="F43" s="11">
        <f t="shared" si="16"/>
        <v>1.474</v>
      </c>
      <c r="G43" s="28">
        <f t="shared" si="16"/>
        <v>163.07</v>
      </c>
      <c r="H43" s="12">
        <f t="shared" si="17"/>
        <v>47.481865481147793</v>
      </c>
      <c r="I43" s="12">
        <f t="shared" si="18"/>
        <v>0.60124328225854717</v>
      </c>
      <c r="J43" s="11">
        <f t="shared" si="19"/>
        <v>0.65970525866105389</v>
      </c>
      <c r="K43" s="21">
        <f t="shared" si="20"/>
        <v>130884.87137255202</v>
      </c>
      <c r="L43" s="21">
        <f t="shared" si="21"/>
        <v>183382.36311597552</v>
      </c>
      <c r="M43" s="21">
        <f t="shared" si="22"/>
        <v>52497.491743423496</v>
      </c>
      <c r="N43" s="12">
        <f t="shared" si="23"/>
        <v>1.8106669847875492</v>
      </c>
      <c r="O43" s="12">
        <f t="shared" si="24"/>
        <v>2.1854393374678769</v>
      </c>
      <c r="P43" s="28">
        <f t="shared" si="16"/>
        <v>11.015000000000001</v>
      </c>
    </row>
    <row r="44" spans="1:16" x14ac:dyDescent="0.3">
      <c r="A44" s="38">
        <v>23</v>
      </c>
      <c r="B44" s="47">
        <f>-K14*COS(C44+C45-C$3)+0.5*C$17*C$7*C$5*(C45-C$8)*G14^2*SIN(C44)+0.5*C$17*C$7*(C$11+1/PI()/C$10*C$5^2*(C45-C$8)^2)*G14^2*COS(C44)</f>
        <v>1.0777334000522387E-4</v>
      </c>
      <c r="C44" s="39">
        <v>-3.9415480573101493E-2</v>
      </c>
      <c r="D44" s="40">
        <f t="shared" si="7"/>
        <v>-2.2583406843186027</v>
      </c>
      <c r="F44" s="11">
        <f t="shared" si="16"/>
        <v>1.379</v>
      </c>
      <c r="G44" s="28">
        <f t="shared" si="16"/>
        <v>167.61</v>
      </c>
      <c r="H44" s="12">
        <f t="shared" si="17"/>
        <v>49.090152582171754</v>
      </c>
      <c r="I44" s="12">
        <f t="shared" si="18"/>
        <v>0.62160835860159136</v>
      </c>
      <c r="J44" s="11">
        <f t="shared" si="19"/>
        <v>0.67248060404470189</v>
      </c>
      <c r="K44" s="21">
        <f t="shared" si="20"/>
        <v>129100.08347879829</v>
      </c>
      <c r="L44" s="21">
        <f t="shared" si="21"/>
        <v>186933.60512188444</v>
      </c>
      <c r="M44" s="21">
        <f t="shared" si="22"/>
        <v>57833.521643086147</v>
      </c>
      <c r="N44" s="12">
        <f t="shared" si="23"/>
        <v>1.9947095523140013</v>
      </c>
      <c r="O44" s="12">
        <f t="shared" si="24"/>
        <v>2.3287748387221781</v>
      </c>
      <c r="P44" s="28">
        <f t="shared" si="16"/>
        <v>9.5779999999999994</v>
      </c>
    </row>
    <row r="45" spans="1:16" x14ac:dyDescent="0.3">
      <c r="A45" s="41">
        <v>24</v>
      </c>
      <c r="B45" s="48">
        <f>K14*SIN(C44+C45-C$3)+0.5*C$17*C$7*C$5*(C45-C$8)*G14^2*COS(C44)-0.5*C$17*C$7*(C$11+1/PI()/C$10*C$5^2*(C45-C$8)^2)*G14^2*SIN(C44)-C$15</f>
        <v>-6.8556873884517699E-6</v>
      </c>
      <c r="C45" s="42">
        <v>-1.6486025007327636E-2</v>
      </c>
      <c r="D45" s="43">
        <f t="shared" si="7"/>
        <v>-0.9445796538670056</v>
      </c>
      <c r="F45" s="11">
        <f t="shared" si="16"/>
        <v>1.272</v>
      </c>
      <c r="G45" s="28">
        <f t="shared" si="16"/>
        <v>169.65</v>
      </c>
      <c r="H45" s="12">
        <f t="shared" si="17"/>
        <v>51.113186830565958</v>
      </c>
      <c r="I45" s="12">
        <f t="shared" si="18"/>
        <v>0.64722520704047404</v>
      </c>
      <c r="J45" s="11">
        <f t="shared" si="19"/>
        <v>0.6878010421743439</v>
      </c>
      <c r="K45" s="21">
        <f t="shared" si="20"/>
        <v>128321.53738673052</v>
      </c>
      <c r="L45" s="21">
        <f t="shared" si="21"/>
        <v>191192.32234643414</v>
      </c>
      <c r="M45" s="21">
        <f t="shared" si="22"/>
        <v>62870.784959703626</v>
      </c>
      <c r="N45" s="12">
        <f t="shared" si="23"/>
        <v>2.1684474982268798</v>
      </c>
      <c r="O45" s="12">
        <f t="shared" si="24"/>
        <v>2.4314701753268797</v>
      </c>
      <c r="P45" s="28">
        <f t="shared" si="16"/>
        <v>8.4719999999999995</v>
      </c>
    </row>
    <row r="46" spans="1:16" x14ac:dyDescent="0.3">
      <c r="A46" s="32">
        <v>25</v>
      </c>
      <c r="B46" s="47">
        <f>-K15*COS(C46+C47-C$3)+0.5*C$17*C$7*C$5*(C47-C$8)*G15^2*SIN(C46)+0.5*C$17*C$7*(C$11+1/PI()/C$10*C$5^2*(C47-C$8)^2)*G15^2*COS(C46)</f>
        <v>1.3655648217536509E-5</v>
      </c>
      <c r="C46" s="33">
        <v>-5.5824898524886674E-2</v>
      </c>
      <c r="D46" s="34">
        <f t="shared" si="7"/>
        <v>-3.1985310772221016</v>
      </c>
      <c r="F46" s="11">
        <f t="shared" si="16"/>
        <v>1.1779999999999999</v>
      </c>
      <c r="G46" s="28">
        <f t="shared" si="16"/>
        <v>170.58</v>
      </c>
      <c r="H46" s="12">
        <f t="shared" si="17"/>
        <v>53.113371457291173</v>
      </c>
      <c r="I46" s="12">
        <f t="shared" si="18"/>
        <v>0.6725527201427729</v>
      </c>
      <c r="J46" s="11">
        <f t="shared" si="19"/>
        <v>0.70214453079373162</v>
      </c>
      <c r="K46" s="21">
        <f t="shared" si="20"/>
        <v>127971.25560277935</v>
      </c>
      <c r="L46" s="21">
        <f t="shared" si="21"/>
        <v>195179.47085528338</v>
      </c>
      <c r="M46" s="21">
        <f t="shared" si="22"/>
        <v>67208.215252504029</v>
      </c>
      <c r="N46" s="12">
        <f t="shared" si="23"/>
        <v>2.3180478232933615</v>
      </c>
      <c r="O46" s="12">
        <f t="shared" si="24"/>
        <v>2.5013768181649088</v>
      </c>
      <c r="P46" s="28">
        <f t="shared" si="16"/>
        <v>7.694</v>
      </c>
    </row>
    <row r="47" spans="1:16" x14ac:dyDescent="0.3">
      <c r="A47" s="35">
        <v>26</v>
      </c>
      <c r="B47" s="48">
        <f>K15*SIN(C46+C47-C$3)+0.5*C$17*C$7*C$5*(C47-C$8)*G15^2*COS(C46)-0.5*C$17*C$7*(C$11+1/PI()/C$10*C$5^2*(C47-C$8)^2)*G15^2*SIN(C46)-C$15</f>
        <v>-1.1300362530164421E-6</v>
      </c>
      <c r="C47" s="36">
        <v>-2.0356037121890668E-2</v>
      </c>
      <c r="D47" s="37">
        <f t="shared" si="7"/>
        <v>-1.1663150146959667</v>
      </c>
      <c r="F47" s="11">
        <f t="shared" si="16"/>
        <v>1.08</v>
      </c>
      <c r="G47" s="28">
        <f t="shared" si="16"/>
        <v>169.97</v>
      </c>
      <c r="H47" s="12">
        <f t="shared" si="17"/>
        <v>55.470826567313956</v>
      </c>
      <c r="I47" s="12">
        <f t="shared" si="18"/>
        <v>0.7024042020456911</v>
      </c>
      <c r="J47" s="11">
        <f t="shared" si="19"/>
        <v>0.71804839456678948</v>
      </c>
      <c r="K47" s="21">
        <f t="shared" si="20"/>
        <v>128200.68595029124</v>
      </c>
      <c r="L47" s="21">
        <f t="shared" si="21"/>
        <v>199600.36652511213</v>
      </c>
      <c r="M47" s="21">
        <f t="shared" si="22"/>
        <v>71399.680574820886</v>
      </c>
      <c r="N47" s="12">
        <f t="shared" si="23"/>
        <v>2.462613737301087</v>
      </c>
      <c r="O47" s="12">
        <f t="shared" si="24"/>
        <v>2.5444683558431396</v>
      </c>
      <c r="P47" s="28">
        <f t="shared" si="16"/>
        <v>7.048</v>
      </c>
    </row>
    <row r="48" spans="1:16" x14ac:dyDescent="0.3">
      <c r="A48" s="38">
        <v>27</v>
      </c>
      <c r="B48" s="47">
        <f>-K16*COS(C48+C49-C$3)+0.5*C$17*C$7*C$5*(C49-C$8)*G16^2*SIN(C48)+0.5*C$17*C$7*(C$11+1/PI()/C$10*C$5^2*(C49-C$8)^2)*G16^2*COS(C48)</f>
        <v>4.8793208407005295E-5</v>
      </c>
      <c r="C48" s="39">
        <v>-7.2714629712660864E-2</v>
      </c>
      <c r="D48" s="40">
        <f t="shared" si="7"/>
        <v>-4.1662413913920417</v>
      </c>
      <c r="F48" s="11">
        <f t="shared" si="16"/>
        <v>0.96899999999999997</v>
      </c>
      <c r="G48" s="28">
        <f t="shared" si="16"/>
        <v>164.23</v>
      </c>
      <c r="H48" s="12">
        <f t="shared" si="17"/>
        <v>58.561828246923731</v>
      </c>
      <c r="I48" s="12">
        <f t="shared" si="18"/>
        <v>0.74154428166310082</v>
      </c>
      <c r="J48" s="11">
        <f t="shared" si="19"/>
        <v>0.73730596460172404</v>
      </c>
      <c r="K48" s="21">
        <f t="shared" si="20"/>
        <v>130421.81498995927</v>
      </c>
      <c r="L48" s="21">
        <f t="shared" si="21"/>
        <v>204953.5127286838</v>
      </c>
      <c r="M48" s="21">
        <f t="shared" si="22"/>
        <v>74531.697738724528</v>
      </c>
      <c r="N48" s="12">
        <f t="shared" si="23"/>
        <v>2.5706387092785086</v>
      </c>
      <c r="O48" s="12">
        <f t="shared" si="24"/>
        <v>2.5158724482225923</v>
      </c>
      <c r="P48" s="28">
        <f t="shared" si="16"/>
        <v>6.0739999999999998</v>
      </c>
    </row>
    <row r="49" spans="1:16" x14ac:dyDescent="0.3">
      <c r="A49" s="41">
        <v>28</v>
      </c>
      <c r="B49" s="48">
        <f>K16*SIN(C48+C49-C$3)+0.5*C$17*C$7*C$5*(C49-C$8)*G16^2*COS(C48)-0.5*C$17*C$7*(C$11+1/PI()/C$10*C$5^2*(C49-C$8)^2)*G16^2*SIN(C48)-C$15</f>
        <v>-3.2650823413860053E-6</v>
      </c>
      <c r="C49" s="42">
        <v>-2.3635972339661353E-2</v>
      </c>
      <c r="D49" s="43">
        <f t="shared" si="7"/>
        <v>-1.3542414597505494</v>
      </c>
      <c r="F49" s="11">
        <f t="shared" si="16"/>
        <v>0.86799999999999999</v>
      </c>
      <c r="G49" s="28">
        <f t="shared" si="16"/>
        <v>160.72999999999999</v>
      </c>
      <c r="H49" s="12">
        <f t="shared" si="17"/>
        <v>61.875205236971972</v>
      </c>
      <c r="I49" s="12">
        <f t="shared" si="18"/>
        <v>0.78350020813459786</v>
      </c>
      <c r="J49" s="11">
        <f t="shared" si="19"/>
        <v>0.75600916194199119</v>
      </c>
      <c r="K49" s="21">
        <f t="shared" si="20"/>
        <v>131834.17742704041</v>
      </c>
      <c r="L49" s="21">
        <f t="shared" si="21"/>
        <v>210152.55651536494</v>
      </c>
      <c r="M49" s="21">
        <f t="shared" si="22"/>
        <v>78318.379088324524</v>
      </c>
      <c r="N49" s="12">
        <f t="shared" si="23"/>
        <v>2.7012434043588294</v>
      </c>
      <c r="O49" s="12">
        <f t="shared" si="24"/>
        <v>2.5021177722312111</v>
      </c>
      <c r="P49" s="28">
        <f t="shared" si="16"/>
        <v>5.0990000000000002</v>
      </c>
    </row>
    <row r="50" spans="1:16" x14ac:dyDescent="0.3">
      <c r="A50" s="32">
        <v>29</v>
      </c>
      <c r="B50" s="47">
        <f>-K17*COS(C50+C51-C$3)+0.5*C$17*C$7*C$5*(C51-C$8)*G17^2*SIN(C50)+0.5*C$17*C$7*(C$11+1/PI()/C$10*C$5^2*(C51-C$8)^2)*G17^2*COS(C50)</f>
        <v>3.6924976029695245E-5</v>
      </c>
      <c r="C50" s="33">
        <v>-9.2565979465235454E-2</v>
      </c>
      <c r="D50" s="34">
        <f t="shared" si="7"/>
        <v>-5.3036399498526361</v>
      </c>
      <c r="F50" s="11">
        <f t="shared" si="16"/>
        <v>0.77100000000000002</v>
      </c>
      <c r="G50" s="28">
        <f t="shared" si="16"/>
        <v>153.61000000000001</v>
      </c>
      <c r="H50" s="12">
        <f t="shared" si="17"/>
        <v>65.652206378918535</v>
      </c>
      <c r="I50" s="12">
        <f t="shared" si="18"/>
        <v>0.831326816054623</v>
      </c>
      <c r="J50" s="11">
        <f t="shared" si="19"/>
        <v>0.77498371771416086</v>
      </c>
      <c r="K50" s="21">
        <f t="shared" si="20"/>
        <v>134854.90317808531</v>
      </c>
      <c r="L50" s="21">
        <f t="shared" si="21"/>
        <v>215427.03148868648</v>
      </c>
      <c r="M50" s="21">
        <f t="shared" si="22"/>
        <v>80572.128310601169</v>
      </c>
      <c r="N50" s="12">
        <f t="shared" si="23"/>
        <v>2.7789764383237929</v>
      </c>
      <c r="O50" s="12">
        <f t="shared" si="24"/>
        <v>2.4259840743283032</v>
      </c>
      <c r="P50" s="28">
        <f t="shared" si="16"/>
        <v>3.86</v>
      </c>
    </row>
    <row r="51" spans="1:16" x14ac:dyDescent="0.3">
      <c r="A51" s="35">
        <v>30</v>
      </c>
      <c r="B51" s="48">
        <f>K17*SIN(C50+C51-C$3)+0.5*C$17*C$7*C$5*(C51-C$8)*G17^2*COS(C50)-0.5*C$17*C$7*(C$11+1/PI()/C$10*C$5^2*(C51-C$8)^2)*G17^2*SIN(C50)-C$15</f>
        <v>-1.9188446458429098E-6</v>
      </c>
      <c r="C51" s="36">
        <v>-2.6808108007899092E-2</v>
      </c>
      <c r="D51" s="37">
        <f t="shared" si="7"/>
        <v>-1.5359914455834829</v>
      </c>
      <c r="F51" s="11">
        <f t="shared" si="16"/>
        <v>0.56899999999999995</v>
      </c>
      <c r="G51" s="28">
        <f t="shared" si="16"/>
        <v>116.14</v>
      </c>
      <c r="H51" s="12">
        <f t="shared" si="17"/>
        <v>76.422348888307297</v>
      </c>
      <c r="I51" s="12">
        <f t="shared" si="18"/>
        <v>0.96770468931464115</v>
      </c>
      <c r="J51" s="11">
        <f t="shared" si="19"/>
        <v>0.81641774623967733</v>
      </c>
      <c r="K51" s="21">
        <f t="shared" si="20"/>
        <v>155090.63540501124</v>
      </c>
      <c r="L51" s="21">
        <f t="shared" si="21"/>
        <v>226944.70542665917</v>
      </c>
      <c r="M51" s="21">
        <f t="shared" si="22"/>
        <v>71854.070021647931</v>
      </c>
      <c r="N51" s="12">
        <f t="shared" si="23"/>
        <v>2.4782858759553812</v>
      </c>
      <c r="O51" s="12">
        <f t="shared" si="24"/>
        <v>1.8583597949234787</v>
      </c>
      <c r="P51" s="28">
        <f t="shared" si="16"/>
        <v>2.0419999999999998</v>
      </c>
    </row>
    <row r="52" spans="1:16" x14ac:dyDescent="0.3">
      <c r="F52" s="11">
        <f t="shared" si="16"/>
        <v>0.47099999999999997</v>
      </c>
      <c r="G52" s="28">
        <f t="shared" si="16"/>
        <v>88.53</v>
      </c>
      <c r="H52" s="12">
        <f t="shared" si="17"/>
        <v>83.99744218209004</v>
      </c>
      <c r="I52" s="12">
        <f t="shared" si="18"/>
        <v>1.0636249719155206</v>
      </c>
      <c r="J52" s="11">
        <f t="shared" si="19"/>
        <v>0.83547496649398445</v>
      </c>
      <c r="K52" s="21">
        <f t="shared" si="20"/>
        <v>177636.10995891143</v>
      </c>
      <c r="L52" s="21">
        <f t="shared" si="21"/>
        <v>232242.15915887509</v>
      </c>
      <c r="M52" s="21">
        <f t="shared" si="22"/>
        <v>54606.049199963658</v>
      </c>
      <c r="N52" s="12">
        <f t="shared" si="23"/>
        <v>1.8833922759451627</v>
      </c>
      <c r="O52" s="12">
        <f t="shared" si="24"/>
        <v>1.2847947480511488</v>
      </c>
      <c r="P52" s="28">
        <f t="shared" si="16"/>
        <v>1.198</v>
      </c>
    </row>
    <row r="53" spans="1:16" x14ac:dyDescent="0.3">
      <c r="B53" s="53"/>
      <c r="C53" s="53"/>
      <c r="D53" s="53"/>
      <c r="F53" s="11">
        <f t="shared" si="16"/>
        <v>0.371</v>
      </c>
      <c r="G53" s="28">
        <f t="shared" si="16"/>
        <v>56.77</v>
      </c>
      <c r="H53" s="12">
        <f t="shared" si="17"/>
        <v>94.64323146233528</v>
      </c>
      <c r="I53" s="12">
        <f t="shared" si="18"/>
        <v>1.198428211515044</v>
      </c>
      <c r="J53" s="11">
        <f t="shared" si="19"/>
        <v>0.85029247835087474</v>
      </c>
      <c r="K53" s="21">
        <f t="shared" si="20"/>
        <v>221828.34497551722</v>
      </c>
      <c r="L53" s="21">
        <f t="shared" si="21"/>
        <v>236361.07484757301</v>
      </c>
      <c r="M53" s="21">
        <f t="shared" si="22"/>
        <v>14532.729872055788</v>
      </c>
      <c r="N53" s="12">
        <f t="shared" si="23"/>
        <v>0.50124174135354993</v>
      </c>
      <c r="O53" s="12">
        <f t="shared" si="24"/>
        <v>0.30344663965269353</v>
      </c>
      <c r="P53" s="28">
        <f t="shared" si="16"/>
        <v>0.42</v>
      </c>
    </row>
    <row r="54" spans="1:16" x14ac:dyDescent="0.3">
      <c r="B54" s="53"/>
      <c r="C54" s="53"/>
      <c r="D54" s="53"/>
      <c r="F54" s="11">
        <f t="shared" si="16"/>
        <v>0.27600000000000002</v>
      </c>
      <c r="G54" s="28">
        <f t="shared" si="16"/>
        <v>29.74</v>
      </c>
      <c r="H54" s="12">
        <f t="shared" si="17"/>
        <v>109.72913964483324</v>
      </c>
      <c r="I54" s="12">
        <f t="shared" si="18"/>
        <v>1.3894548457802336</v>
      </c>
      <c r="J54" s="11">
        <f t="shared" si="19"/>
        <v>0.85220216686155092</v>
      </c>
      <c r="K54" s="21">
        <f t="shared" si="20"/>
        <v>306482.72757220577</v>
      </c>
      <c r="L54" s="21">
        <f t="shared" si="21"/>
        <v>236891.92280930368</v>
      </c>
      <c r="M54" s="21">
        <f t="shared" si="22"/>
        <v>-69590.804762902088</v>
      </c>
      <c r="N54" s="12">
        <f t="shared" si="23"/>
        <v>-2.4002246287274862</v>
      </c>
      <c r="O54" s="12">
        <f t="shared" si="24"/>
        <v>-1.2533927705689123</v>
      </c>
      <c r="P54" s="28">
        <f t="shared" si="16"/>
        <v>-0.29199999999999998</v>
      </c>
    </row>
    <row r="55" spans="1:16" x14ac:dyDescent="0.3">
      <c r="B55" s="53"/>
      <c r="C55" s="53"/>
      <c r="D55" s="53"/>
      <c r="F55" s="11">
        <f t="shared" si="16"/>
        <v>0.186</v>
      </c>
      <c r="G55" s="28">
        <f t="shared" si="16"/>
        <v>10.85</v>
      </c>
      <c r="H55" s="12">
        <f t="shared" si="17"/>
        <v>133.66572026719447</v>
      </c>
      <c r="I55" s="12">
        <f t="shared" si="18"/>
        <v>1.6925538953563057</v>
      </c>
      <c r="J55" s="11">
        <f t="shared" si="19"/>
        <v>0.82672832489775727</v>
      </c>
      <c r="K55" s="21">
        <f t="shared" si="20"/>
        <v>507413.03191678145</v>
      </c>
      <c r="L55" s="21">
        <f t="shared" si="21"/>
        <v>229810.80093611349</v>
      </c>
      <c r="M55" s="21">
        <f t="shared" si="22"/>
        <v>-277602.23098066798</v>
      </c>
      <c r="N55" s="12">
        <f t="shared" si="23"/>
        <v>-9.5746516232945673</v>
      </c>
      <c r="O55" s="12">
        <f t="shared" si="24"/>
        <v>-4.1076900746673068</v>
      </c>
      <c r="P55" s="28">
        <f t="shared" si="16"/>
        <v>-1.071</v>
      </c>
    </row>
    <row r="56" spans="1:16" x14ac:dyDescent="0.3">
      <c r="B56" s="53"/>
      <c r="C56" s="53"/>
      <c r="D56" s="53"/>
      <c r="F56" s="11">
        <f t="shared" si="16"/>
        <v>7.0999999999999994E-2</v>
      </c>
      <c r="G56" s="28">
        <f t="shared" si="16"/>
        <v>0.71</v>
      </c>
      <c r="H56" s="12">
        <f t="shared" si="17"/>
        <v>216.34523818525633</v>
      </c>
      <c r="I56" s="12">
        <f t="shared" si="18"/>
        <v>2.7394905357953157</v>
      </c>
      <c r="J56" s="11">
        <f t="shared" si="19"/>
        <v>0.8726974442091473</v>
      </c>
      <c r="K56" s="21">
        <f t="shared" si="20"/>
        <v>1983568.9973708761</v>
      </c>
      <c r="L56" s="21">
        <f t="shared" si="21"/>
        <v>242589.12219247638</v>
      </c>
      <c r="M56" s="21">
        <f t="shared" si="22"/>
        <v>-1740979.8751783997</v>
      </c>
      <c r="N56" s="12">
        <f t="shared" si="23"/>
        <v>-60.047340862908527</v>
      </c>
      <c r="O56" s="12">
        <f t="shared" si="24"/>
        <v>-16.114233807275184</v>
      </c>
      <c r="P56" s="28">
        <f t="shared" si="16"/>
        <v>-2.044</v>
      </c>
    </row>
    <row r="57" spans="1:16" ht="15.6" thickBot="1" x14ac:dyDescent="0.35">
      <c r="B57" s="53"/>
      <c r="C57" s="53"/>
      <c r="D57" s="53"/>
    </row>
    <row r="58" spans="1:16" ht="18.600000000000001" thickBot="1" x14ac:dyDescent="0.35">
      <c r="G58" s="132" t="s">
        <v>191</v>
      </c>
      <c r="H58" s="133"/>
      <c r="I58" s="133"/>
      <c r="J58" s="133"/>
      <c r="K58" s="133"/>
      <c r="L58" s="133"/>
      <c r="M58" s="133"/>
      <c r="N58" s="134"/>
    </row>
    <row r="59" spans="1:16" ht="18.600000000000001" thickBot="1" x14ac:dyDescent="0.35">
      <c r="B59" s="54" t="s">
        <v>154</v>
      </c>
      <c r="C59" s="54" t="s">
        <v>156</v>
      </c>
      <c r="D59" s="30" t="s">
        <v>157</v>
      </c>
      <c r="E59" s="30" t="s">
        <v>155</v>
      </c>
      <c r="G59" s="97" t="s">
        <v>67</v>
      </c>
      <c r="H59" s="97" t="s">
        <v>15</v>
      </c>
      <c r="I59" s="96" t="s">
        <v>74</v>
      </c>
      <c r="J59" s="96" t="s">
        <v>73</v>
      </c>
      <c r="K59" s="96" t="s">
        <v>68</v>
      </c>
      <c r="L59" s="96" t="s">
        <v>70</v>
      </c>
      <c r="M59" s="96" t="s">
        <v>87</v>
      </c>
      <c r="N59" s="96" t="s">
        <v>69</v>
      </c>
    </row>
    <row r="60" spans="1:16" x14ac:dyDescent="0.3">
      <c r="B60" s="100">
        <f>-K60*COS(C60+D60-C$3)+0.5*C$17*C$7*C$5*(D60-C$8)*G60^2*SIN(C60)+0.5*C$17*C$7*(C$11+1/PI()/C$10*C$5^2*(D60-C$8)^2)*G60^2*COS(C60)</f>
        <v>5.9018849515268812E-4</v>
      </c>
      <c r="C60" s="56">
        <v>3.6332215181383173E-2</v>
      </c>
      <c r="D60" s="55">
        <v>0.20691671880128393</v>
      </c>
      <c r="E60" s="100">
        <f>K60*SIN(C60+D60-C$3)+0.5*C$17*C$7*C$5*(D60-C$8)*G60^2*COS(C60)-0.5*C$17*C$7*(C$11+1/PI()/C$10*C$5^2*(D60-C$8)^2)*G60^2*SIN(C60)-C$20</f>
        <v>3.2378011383116245E-10</v>
      </c>
      <c r="G60" s="91">
        <f>SQRT(2*C$20/C$7/C$16/C17)</f>
        <v>45.15259477332792</v>
      </c>
      <c r="H60" s="92">
        <f>G60/C$12/C$4</f>
        <v>0.57174868781818444</v>
      </c>
      <c r="I60" s="93">
        <f>0.185*H60^3-0.9822*H60^2+1.6209*H60</f>
        <v>0.64024664073849391</v>
      </c>
      <c r="J60" s="94">
        <f>C$18*I60</f>
        <v>177973.33038391525</v>
      </c>
      <c r="K60" s="94">
        <f>J60/G60</f>
        <v>3941.5969619767197</v>
      </c>
      <c r="L60" s="92">
        <f t="shared" ref="L60:L74" si="25">DEGREES(D60)</f>
        <v>11.855454698008819</v>
      </c>
      <c r="M60" s="92">
        <f t="shared" ref="M60:M74" si="26">DEGREES(C60)</f>
        <v>2.0816825902543927</v>
      </c>
      <c r="N60" s="92">
        <f>G60*SIN(RADIANS(M60))</f>
        <v>1.6401328963248125</v>
      </c>
    </row>
    <row r="61" spans="1:16" x14ac:dyDescent="0.3">
      <c r="B61" s="100">
        <f t="shared" ref="B61:B74" si="27">-K61*COS(C61+D61-C$3)+0.5*C$17*C$7*C$5*(D61-C$8)*G61^2*SIN(C61)+0.5*C$17*C$7*(C$11+1/PI()/C$10*C$5^2*(D61-C$8)^2)*G61^2*COS(C61)</f>
        <v>-1.029903951803135E-3</v>
      </c>
      <c r="C61" s="56">
        <v>3.6032799998001692E-2</v>
      </c>
      <c r="D61" s="55">
        <v>0.20860786008298773</v>
      </c>
      <c r="E61" s="100">
        <f t="shared" ref="E61:E74" si="28">K61*SIN(C61+D61-C$3)+0.5*C$17*C$7*C$5*(D61-C$8)*G61^2*COS(C61)-0.5*C$17*C$7*(C$11+1/PI()/C$10*C$5^2*(D61-C$8)^2)*G61^2*SIN(C61)-C$20</f>
        <v>-3.383320290595293E-10</v>
      </c>
      <c r="G61" s="95">
        <f t="shared" ref="G61:G73" si="29">G4</f>
        <v>45</v>
      </c>
      <c r="H61" s="12">
        <f t="shared" ref="H61:H74" si="30">G61/C$12/C$4</f>
        <v>0.56981644312978641</v>
      </c>
      <c r="I61" s="11">
        <f t="shared" ref="I61:I74" si="31">0.185*H61^3-0.9822*H61^2+1.6209*H61</f>
        <v>0.63893180644633429</v>
      </c>
      <c r="J61" s="21">
        <f t="shared" ref="J61:J74" si="32">C$18*I61</f>
        <v>177607.83773937952</v>
      </c>
      <c r="K61" s="21">
        <f t="shared" ref="K61:K74" si="33">J61/G61</f>
        <v>3946.8408386528781</v>
      </c>
      <c r="L61" s="12">
        <f t="shared" si="25"/>
        <v>11.952349956010792</v>
      </c>
      <c r="M61" s="12">
        <f t="shared" si="26"/>
        <v>2.0645273639244981</v>
      </c>
      <c r="N61" s="12">
        <f t="shared" ref="N61:N74" si="34">G61*SIN(RADIANS(M61))</f>
        <v>1.6211251453680362</v>
      </c>
    </row>
    <row r="62" spans="1:16" x14ac:dyDescent="0.3">
      <c r="B62" s="100">
        <f t="shared" si="27"/>
        <v>9.6824663023653557E-4</v>
      </c>
      <c r="C62" s="56">
        <v>4.4758164413368606E-2</v>
      </c>
      <c r="D62" s="55">
        <v>0.14505549596704068</v>
      </c>
      <c r="E62" s="100">
        <f t="shared" si="28"/>
        <v>6.3664629124104977E-10</v>
      </c>
      <c r="G62" s="95">
        <f t="shared" si="29"/>
        <v>52</v>
      </c>
      <c r="H62" s="12">
        <f t="shared" si="30"/>
        <v>0.65845455650553097</v>
      </c>
      <c r="I62" s="11">
        <f t="shared" si="31"/>
        <v>0.69425800928812653</v>
      </c>
      <c r="J62" s="21">
        <f t="shared" si="32"/>
        <v>192987.20554971625</v>
      </c>
      <c r="K62" s="21">
        <f t="shared" si="33"/>
        <v>3711.2924144176204</v>
      </c>
      <c r="L62" s="12">
        <f t="shared" si="25"/>
        <v>8.3110677140883649</v>
      </c>
      <c r="M62" s="12">
        <f t="shared" si="26"/>
        <v>2.5644539196386553</v>
      </c>
      <c r="N62" s="12">
        <f t="shared" si="34"/>
        <v>2.326647541667386</v>
      </c>
    </row>
    <row r="63" spans="1:16" x14ac:dyDescent="0.3">
      <c r="B63" s="100">
        <f t="shared" si="27"/>
        <v>1.2081628133273625E-3</v>
      </c>
      <c r="C63" s="56">
        <v>4.613612023047834E-2</v>
      </c>
      <c r="D63" s="55">
        <v>0.1020512408758085</v>
      </c>
      <c r="E63" s="100">
        <f t="shared" si="28"/>
        <v>-9.8916643764823675E-9</v>
      </c>
      <c r="G63" s="95">
        <f t="shared" si="29"/>
        <v>59</v>
      </c>
      <c r="H63" s="12">
        <f t="shared" si="30"/>
        <v>0.74709266988127543</v>
      </c>
      <c r="I63" s="11">
        <f t="shared" si="31"/>
        <v>0.73989283267567485</v>
      </c>
      <c r="J63" s="21">
        <f t="shared" si="32"/>
        <v>205672.60049438267</v>
      </c>
      <c r="K63" s="21">
        <f t="shared" si="33"/>
        <v>3485.976279565808</v>
      </c>
      <c r="L63" s="12">
        <f t="shared" si="25"/>
        <v>5.8471053962567776</v>
      </c>
      <c r="M63" s="12">
        <f t="shared" si="26"/>
        <v>2.6434049723145439</v>
      </c>
      <c r="N63" s="12">
        <f t="shared" si="34"/>
        <v>2.7210655369666932</v>
      </c>
    </row>
    <row r="64" spans="1:16" x14ac:dyDescent="0.3">
      <c r="B64" s="100">
        <f t="shared" si="27"/>
        <v>-4.7651474733356736E-4</v>
      </c>
      <c r="C64" s="56">
        <v>4.2220792767473973E-2</v>
      </c>
      <c r="D64" s="55">
        <v>6.8060494042677916E-2</v>
      </c>
      <c r="E64" s="100">
        <f t="shared" si="28"/>
        <v>3.5652192309498787E-10</v>
      </c>
      <c r="G64" s="95">
        <f t="shared" si="29"/>
        <v>67</v>
      </c>
      <c r="H64" s="12">
        <f t="shared" si="30"/>
        <v>0.84839337088212652</v>
      </c>
      <c r="I64" s="11">
        <f t="shared" si="31"/>
        <v>0.78117153620279789</v>
      </c>
      <c r="J64" s="21">
        <f t="shared" si="32"/>
        <v>217147.09777902052</v>
      </c>
      <c r="K64" s="21">
        <f t="shared" si="33"/>
        <v>3241.0014593883661</v>
      </c>
      <c r="L64" s="12">
        <f t="shared" si="25"/>
        <v>3.8995790602207268</v>
      </c>
      <c r="M64" s="12">
        <f t="shared" si="26"/>
        <v>2.4190732332727296</v>
      </c>
      <c r="N64" s="12">
        <f t="shared" si="34"/>
        <v>2.8279527580866421</v>
      </c>
    </row>
    <row r="65" spans="1:14" x14ac:dyDescent="0.3">
      <c r="B65" s="100">
        <f t="shared" si="27"/>
        <v>1.0050533087451186E-3</v>
      </c>
      <c r="C65" s="56">
        <v>3.5661741904896217E-2</v>
      </c>
      <c r="D65" s="55">
        <v>4.6731444089947893E-2</v>
      </c>
      <c r="E65" s="100">
        <f t="shared" si="28"/>
        <v>4.296452971175313E-9</v>
      </c>
      <c r="G65" s="95">
        <f t="shared" si="29"/>
        <v>74</v>
      </c>
      <c r="H65" s="12">
        <f t="shared" si="30"/>
        <v>0.93703148425787097</v>
      </c>
      <c r="I65" s="11">
        <f t="shared" si="31"/>
        <v>0.80864210703023176</v>
      </c>
      <c r="J65" s="21">
        <f t="shared" si="32"/>
        <v>224783.26276079437</v>
      </c>
      <c r="K65" s="21">
        <f t="shared" si="33"/>
        <v>3037.6116589296535</v>
      </c>
      <c r="L65" s="12">
        <f t="shared" si="25"/>
        <v>2.6775145169055885</v>
      </c>
      <c r="M65" s="12">
        <f t="shared" si="26"/>
        <v>2.0432673012353821</v>
      </c>
      <c r="N65" s="12">
        <f t="shared" si="34"/>
        <v>2.638409580753573</v>
      </c>
    </row>
    <row r="66" spans="1:14" x14ac:dyDescent="0.3">
      <c r="B66" s="100">
        <f t="shared" si="27"/>
        <v>1.7787382148526376E-5</v>
      </c>
      <c r="C66" s="56">
        <v>2.7080282743408842E-2</v>
      </c>
      <c r="D66" s="55">
        <v>3.0600166262412708E-2</v>
      </c>
      <c r="E66" s="100">
        <f t="shared" si="28"/>
        <v>9.4587448984384537E-11</v>
      </c>
      <c r="G66" s="95">
        <f t="shared" si="29"/>
        <v>81</v>
      </c>
      <c r="H66" s="12">
        <f t="shared" si="30"/>
        <v>1.0256695976336156</v>
      </c>
      <c r="I66" s="11">
        <f t="shared" si="31"/>
        <v>0.82885075492246929</v>
      </c>
      <c r="J66" s="21">
        <f t="shared" si="32"/>
        <v>230400.7859762054</v>
      </c>
      <c r="K66" s="21">
        <f t="shared" si="33"/>
        <v>2844.4541478543874</v>
      </c>
      <c r="L66" s="12">
        <f t="shared" si="25"/>
        <v>1.7532603792348589</v>
      </c>
      <c r="M66" s="12">
        <f t="shared" si="26"/>
        <v>1.5515859092182811</v>
      </c>
      <c r="N66" s="12">
        <f t="shared" si="34"/>
        <v>2.1932348141835125</v>
      </c>
    </row>
    <row r="67" spans="1:14" x14ac:dyDescent="0.3">
      <c r="B67" s="100">
        <f>-K67*COS(C67+D67-C$3)+0.5*C$17*C$7*C$5*(D67-C$8)*G67^2*SIN(C67)+0.5*C$17*C$7*(C$11+1/PI()/C$10*C$5^2*(D67-C$8)^2)*G67^2*COS(C67)</f>
        <v>-3.5697166822501458E-7</v>
      </c>
      <c r="C67" s="56">
        <v>1.5459189867262689E-2</v>
      </c>
      <c r="D67" s="55">
        <v>1.6556893416559033E-2</v>
      </c>
      <c r="E67" s="100">
        <f t="shared" si="28"/>
        <v>-2.0273771951906383E-5</v>
      </c>
      <c r="G67" s="95">
        <f t="shared" si="29"/>
        <v>89</v>
      </c>
      <c r="H67" s="12">
        <f t="shared" si="30"/>
        <v>1.1269702986344665</v>
      </c>
      <c r="I67" s="11">
        <f t="shared" si="31"/>
        <v>0.84404581688643843</v>
      </c>
      <c r="J67" s="21">
        <f t="shared" si="32"/>
        <v>234624.65161023394</v>
      </c>
      <c r="K67" s="21">
        <f t="shared" si="33"/>
        <v>2636.2320405644264</v>
      </c>
      <c r="L67" s="12">
        <f t="shared" si="25"/>
        <v>0.94864011461677067</v>
      </c>
      <c r="M67" s="12">
        <f t="shared" si="26"/>
        <v>0.88574633408555936</v>
      </c>
      <c r="N67" s="12">
        <f t="shared" si="34"/>
        <v>1.3758130965205426</v>
      </c>
    </row>
    <row r="68" spans="1:14" x14ac:dyDescent="0.3">
      <c r="B68" s="110">
        <f t="shared" si="27"/>
        <v>-2.2543250315720798E-4</v>
      </c>
      <c r="C68" s="56">
        <v>4.073511574896699E-3</v>
      </c>
      <c r="D68" s="55">
        <v>7.0005105850358624E-3</v>
      </c>
      <c r="E68" s="100">
        <f>K68*SIN(C68+D68-C$3)+0.5*C$17*C$7*C$5*(D68-C$8)*G68^2*COS(C68)-0.5*C$17*C$7*(C$11+1/PI()/C$10*C$5^2*(D68-C$8)^2)*G68^2*SIN(C68)-C$20</f>
        <v>-3.1802119337953627E-7</v>
      </c>
      <c r="G68" s="95">
        <f t="shared" si="29"/>
        <v>96</v>
      </c>
      <c r="H68" s="12">
        <f t="shared" si="30"/>
        <v>1.2156084120102111</v>
      </c>
      <c r="I68" s="11">
        <f t="shared" si="31"/>
        <v>0.85129619047366378</v>
      </c>
      <c r="J68" s="21">
        <f t="shared" si="32"/>
        <v>236640.08293269694</v>
      </c>
      <c r="K68" s="21">
        <f t="shared" si="33"/>
        <v>2465.0008638822596</v>
      </c>
      <c r="L68" s="12">
        <f t="shared" si="25"/>
        <v>0.40109971095921371</v>
      </c>
      <c r="M68" s="12">
        <f t="shared" si="26"/>
        <v>0.23339502103926998</v>
      </c>
      <c r="N68" s="12">
        <f t="shared" si="34"/>
        <v>0.39105602969017617</v>
      </c>
    </row>
    <row r="69" spans="1:14" x14ac:dyDescent="0.3">
      <c r="B69" s="100">
        <f t="shared" si="27"/>
        <v>5.8564912706060568E-4</v>
      </c>
      <c r="C69" s="56">
        <v>-8.2206256969814366E-3</v>
      </c>
      <c r="D69" s="55">
        <v>-6.9800041181795316E-4</v>
      </c>
      <c r="E69" s="100">
        <f t="shared" si="28"/>
        <v>1.0950316209346056E-9</v>
      </c>
      <c r="G69" s="95">
        <f t="shared" si="29"/>
        <v>103</v>
      </c>
      <c r="H69" s="12">
        <f t="shared" si="30"/>
        <v>1.3042465253859556</v>
      </c>
      <c r="I69" s="11">
        <f t="shared" si="31"/>
        <v>0.8537140976447406</v>
      </c>
      <c r="J69" s="21">
        <f t="shared" si="32"/>
        <v>237312.20358810457</v>
      </c>
      <c r="K69" s="21">
        <f t="shared" si="33"/>
        <v>2304.0019765835395</v>
      </c>
      <c r="L69" s="12">
        <f t="shared" si="25"/>
        <v>-3.9992477695562106E-2</v>
      </c>
      <c r="M69" s="12">
        <f t="shared" si="26"/>
        <v>-0.47100715739382709</v>
      </c>
      <c r="N69" s="12">
        <f t="shared" si="34"/>
        <v>-0.84671491006693911</v>
      </c>
    </row>
    <row r="70" spans="1:14" x14ac:dyDescent="0.3">
      <c r="B70" s="100">
        <f t="shared" si="27"/>
        <v>-1.211777080243337E-4</v>
      </c>
      <c r="C70" s="56">
        <v>-2.3196953510917315E-2</v>
      </c>
      <c r="D70" s="55">
        <v>-7.795766142323665E-3</v>
      </c>
      <c r="E70" s="100">
        <f t="shared" si="28"/>
        <v>0</v>
      </c>
      <c r="G70" s="95">
        <f t="shared" si="29"/>
        <v>111</v>
      </c>
      <c r="H70" s="12">
        <f t="shared" si="30"/>
        <v>1.4055472263868065</v>
      </c>
      <c r="I70" s="11">
        <f t="shared" si="31"/>
        <v>0.85155172921601352</v>
      </c>
      <c r="J70" s="21">
        <f t="shared" si="32"/>
        <v>236711.1166220977</v>
      </c>
      <c r="K70" s="21">
        <f t="shared" si="33"/>
        <v>2132.5325821810602</v>
      </c>
      <c r="L70" s="12">
        <f t="shared" si="25"/>
        <v>-0.44666449802612906</v>
      </c>
      <c r="M70" s="12">
        <f t="shared" si="26"/>
        <v>-1.3290875337367394</v>
      </c>
      <c r="N70" s="12">
        <f t="shared" si="34"/>
        <v>-2.5746309243104197</v>
      </c>
    </row>
    <row r="71" spans="1:14" x14ac:dyDescent="0.3">
      <c r="B71" s="100">
        <f t="shared" si="27"/>
        <v>3.9286253604586818E-4</v>
      </c>
      <c r="C71" s="56">
        <v>-3.6997858345128358E-2</v>
      </c>
      <c r="D71" s="55">
        <v>-1.2873221487358734E-2</v>
      </c>
      <c r="E71" s="100">
        <f t="shared" si="28"/>
        <v>6.0390448197722435E-10</v>
      </c>
      <c r="G71" s="95">
        <f t="shared" si="29"/>
        <v>118</v>
      </c>
      <c r="H71" s="12">
        <f t="shared" si="30"/>
        <v>1.4941853397625509</v>
      </c>
      <c r="I71" s="11">
        <f t="shared" si="31"/>
        <v>0.84621734033718043</v>
      </c>
      <c r="J71" s="21">
        <f t="shared" si="32"/>
        <v>235228.28345450188</v>
      </c>
      <c r="K71" s="21">
        <f t="shared" si="33"/>
        <v>1993.4600292754396</v>
      </c>
      <c r="L71" s="12">
        <f t="shared" si="25"/>
        <v>-0.73758125996277968</v>
      </c>
      <c r="M71" s="12">
        <f t="shared" si="26"/>
        <v>-2.1198211341987272</v>
      </c>
      <c r="N71" s="12">
        <f t="shared" si="34"/>
        <v>-4.3647513501983433</v>
      </c>
    </row>
    <row r="72" spans="1:14" x14ac:dyDescent="0.3">
      <c r="B72" s="100">
        <f t="shared" si="27"/>
        <v>1.1466886553535005E-4</v>
      </c>
      <c r="C72" s="56">
        <v>-5.1374290523125553E-2</v>
      </c>
      <c r="D72" s="55">
        <v>-1.7132094101599712E-2</v>
      </c>
      <c r="E72" s="100">
        <f t="shared" si="28"/>
        <v>6.5483618527650833E-11</v>
      </c>
      <c r="G72" s="95">
        <f t="shared" si="29"/>
        <v>125</v>
      </c>
      <c r="H72" s="12">
        <f t="shared" si="30"/>
        <v>1.5828234531382954</v>
      </c>
      <c r="I72" s="11">
        <f t="shared" si="31"/>
        <v>0.8384799415612465</v>
      </c>
      <c r="J72" s="21">
        <f t="shared" si="32"/>
        <v>233077.47071915815</v>
      </c>
      <c r="K72" s="21">
        <f t="shared" si="33"/>
        <v>1864.6197657532653</v>
      </c>
      <c r="L72" s="12">
        <f t="shared" si="25"/>
        <v>-0.9815966862426353</v>
      </c>
      <c r="M72" s="12">
        <f t="shared" si="26"/>
        <v>-2.9435300224540364</v>
      </c>
      <c r="N72" s="12">
        <f t="shared" si="34"/>
        <v>-6.4189618324085878</v>
      </c>
    </row>
    <row r="73" spans="1:14" x14ac:dyDescent="0.3">
      <c r="B73" s="100">
        <f t="shared" si="27"/>
        <v>-1.1968839653491159E-3</v>
      </c>
      <c r="C73" s="56">
        <v>-6.6275436570757948E-2</v>
      </c>
      <c r="D73" s="55">
        <v>-2.0740131104340229E-2</v>
      </c>
      <c r="E73" s="100">
        <f t="shared" si="28"/>
        <v>-1.1953287321375683E-4</v>
      </c>
      <c r="G73" s="95">
        <f t="shared" si="29"/>
        <v>132</v>
      </c>
      <c r="H73" s="12">
        <f t="shared" si="30"/>
        <v>1.6714615665140402</v>
      </c>
      <c r="I73" s="11">
        <f t="shared" si="31"/>
        <v>0.82911254178063665</v>
      </c>
      <c r="J73" s="21">
        <f t="shared" si="32"/>
        <v>230473.55649311907</v>
      </c>
      <c r="K73" s="21">
        <f t="shared" si="33"/>
        <v>1746.0117916145384</v>
      </c>
      <c r="L73" s="12">
        <f t="shared" si="25"/>
        <v>-1.1883219788266983</v>
      </c>
      <c r="M73" s="12">
        <f t="shared" si="26"/>
        <v>-3.79730280089142</v>
      </c>
      <c r="N73" s="12">
        <f t="shared" si="34"/>
        <v>-8.7419546039032383</v>
      </c>
    </row>
    <row r="74" spans="1:14" x14ac:dyDescent="0.3">
      <c r="A74" s="54"/>
      <c r="B74" s="100">
        <f t="shared" si="27"/>
        <v>-6.8535278387571452E-5</v>
      </c>
      <c r="C74" s="56">
        <v>-8.3900937558181524E-2</v>
      </c>
      <c r="D74" s="55">
        <v>-2.4228070722033403E-2</v>
      </c>
      <c r="E74" s="100">
        <f t="shared" si="28"/>
        <v>2.9400542916846462E-4</v>
      </c>
      <c r="G74" s="95">
        <f>G17</f>
        <v>140</v>
      </c>
      <c r="H74" s="12">
        <f t="shared" si="30"/>
        <v>1.7727622675148911</v>
      </c>
      <c r="I74" s="11">
        <f t="shared" si="31"/>
        <v>0.81740263733953844</v>
      </c>
      <c r="J74" s="21">
        <f t="shared" si="32"/>
        <v>227218.48171528691</v>
      </c>
      <c r="K74" s="21">
        <f t="shared" si="33"/>
        <v>1622.9891551091921</v>
      </c>
      <c r="L74" s="12">
        <f t="shared" si="25"/>
        <v>-1.388166198116991</v>
      </c>
      <c r="M74" s="12">
        <f t="shared" si="26"/>
        <v>-4.8071696192744557</v>
      </c>
      <c r="N74" s="12">
        <f t="shared" si="34"/>
        <v>-11.732355219010786</v>
      </c>
    </row>
    <row r="75" spans="1:14" x14ac:dyDescent="0.3">
      <c r="B75" s="53"/>
      <c r="C75" s="53"/>
      <c r="D75" s="53"/>
    </row>
    <row r="76" spans="1:14" x14ac:dyDescent="0.3">
      <c r="B76" s="53"/>
      <c r="C76" s="53"/>
      <c r="D76" s="53"/>
    </row>
    <row r="77" spans="1:14" x14ac:dyDescent="0.3">
      <c r="B77" s="53"/>
      <c r="C77" s="53"/>
      <c r="D77" s="53"/>
    </row>
    <row r="78" spans="1:14" x14ac:dyDescent="0.3">
      <c r="B78" s="53"/>
      <c r="C78" s="53"/>
      <c r="D78" s="53"/>
    </row>
    <row r="79" spans="1:14" x14ac:dyDescent="0.3">
      <c r="B79" s="53"/>
      <c r="C79" s="53"/>
      <c r="D79" s="53"/>
    </row>
    <row r="80" spans="1:14" x14ac:dyDescent="0.3">
      <c r="B80" s="53"/>
      <c r="C80" s="53"/>
      <c r="D80" s="53"/>
    </row>
    <row r="81" spans="2:4" x14ac:dyDescent="0.3">
      <c r="B81" s="53"/>
      <c r="C81" s="53"/>
      <c r="D81" s="53"/>
    </row>
    <row r="82" spans="2:4" x14ac:dyDescent="0.3">
      <c r="B82" s="53"/>
      <c r="C82" s="53"/>
      <c r="D82" s="53"/>
    </row>
  </sheetData>
  <mergeCells count="4">
    <mergeCell ref="G1:N1"/>
    <mergeCell ref="F20:P20"/>
    <mergeCell ref="F39:P39"/>
    <mergeCell ref="G58:N5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10A55-19A9-4F94-B1BE-0BE52F27EBC3}">
  <dimension ref="A1:P82"/>
  <sheetViews>
    <sheetView workbookViewId="0"/>
  </sheetViews>
  <sheetFormatPr defaultRowHeight="15" x14ac:dyDescent="0.3"/>
  <cols>
    <col min="1" max="1" width="34.77734375" style="30" customWidth="1"/>
    <col min="2" max="2" width="12.77734375" style="30" customWidth="1"/>
    <col min="3" max="4" width="8.88671875" style="30"/>
    <col min="5" max="5" width="11" style="30" bestFit="1" customWidth="1"/>
    <col min="6" max="6" width="8.88671875" style="30"/>
    <col min="7" max="7" width="9.6640625" style="30" customWidth="1"/>
    <col min="8" max="8" width="9" style="30" bestFit="1" customWidth="1"/>
    <col min="9" max="10" width="8.21875" style="30" customWidth="1"/>
    <col min="11" max="11" width="10.21875" style="30" customWidth="1"/>
    <col min="12" max="12" width="11.44140625" style="30" bestFit="1" customWidth="1"/>
    <col min="13" max="13" width="10.33203125" style="30" bestFit="1" customWidth="1"/>
    <col min="14" max="16384" width="8.88671875" style="30"/>
  </cols>
  <sheetData>
    <row r="1" spans="1:14" ht="18.600000000000001" thickBot="1" x14ac:dyDescent="0.35">
      <c r="A1" s="29" t="s">
        <v>9</v>
      </c>
      <c r="B1" s="29" t="s">
        <v>6</v>
      </c>
      <c r="C1" s="29">
        <v>5000</v>
      </c>
      <c r="D1" s="29" t="s">
        <v>3</v>
      </c>
      <c r="G1" s="132" t="s">
        <v>163</v>
      </c>
      <c r="H1" s="133"/>
      <c r="I1" s="133"/>
      <c r="J1" s="133"/>
      <c r="K1" s="133"/>
      <c r="L1" s="133"/>
      <c r="M1" s="133"/>
      <c r="N1" s="134"/>
    </row>
    <row r="2" spans="1:14" ht="19.2" thickBot="1" x14ac:dyDescent="0.35">
      <c r="A2" s="30" t="s">
        <v>139</v>
      </c>
      <c r="B2" s="30" t="s">
        <v>141</v>
      </c>
      <c r="C2" s="30">
        <f>Podsumowanie!B31</f>
        <v>28993.455000000002</v>
      </c>
      <c r="D2" s="30" t="s">
        <v>39</v>
      </c>
      <c r="G2" s="96" t="s">
        <v>67</v>
      </c>
      <c r="H2" s="96" t="s">
        <v>15</v>
      </c>
      <c r="I2" s="96" t="s">
        <v>74</v>
      </c>
      <c r="J2" s="96" t="s">
        <v>73</v>
      </c>
      <c r="K2" s="96" t="s">
        <v>68</v>
      </c>
      <c r="L2" s="96" t="s">
        <v>70</v>
      </c>
      <c r="M2" s="96" t="s">
        <v>87</v>
      </c>
      <c r="N2" s="96" t="s">
        <v>69</v>
      </c>
    </row>
    <row r="3" spans="1:14" ht="15.6" x14ac:dyDescent="0.3">
      <c r="A3" s="31" t="s">
        <v>10</v>
      </c>
      <c r="B3" s="31" t="s">
        <v>30</v>
      </c>
      <c r="C3" s="31">
        <f>Podsumowanie!B29</f>
        <v>1.7453292519943295E-2</v>
      </c>
      <c r="D3" s="31" t="s">
        <v>40</v>
      </c>
      <c r="F3" s="46"/>
      <c r="G3" s="91">
        <f>SQRT(2*C$15/C$7/C$16/C17)</f>
        <v>45.362494420478008</v>
      </c>
      <c r="H3" s="92">
        <f t="shared" ref="H3:H17" si="0">G3/C$12/C$4</f>
        <v>0.57440656049270145</v>
      </c>
      <c r="I3" s="93">
        <f>0.2202*H3^3-1.1245*H3^2+1.7429*H3</f>
        <v>0.67184501135902586</v>
      </c>
      <c r="J3" s="94">
        <f t="shared" ref="J3:J17" si="1">C$18*I3</f>
        <v>163671.82167257689</v>
      </c>
      <c r="K3" s="94">
        <f>J3/G3</f>
        <v>3608.086895651189</v>
      </c>
      <c r="L3" s="92">
        <f t="shared" ref="L3:L17" ca="1" si="2">OFFSET(D23,A23-2,0,1,1)</f>
        <v>11.851253066075381</v>
      </c>
      <c r="M3" s="92">
        <f t="shared" ref="M3:M17" ca="1" si="3">OFFSET(D22,A23-2,0,1,1)</f>
        <v>2.1556925431565483</v>
      </c>
      <c r="N3" s="92">
        <f ca="1">G3*SIN(RADIANS(M3))</f>
        <v>1.7063127985974098</v>
      </c>
    </row>
    <row r="4" spans="1:14" ht="15.6" x14ac:dyDescent="0.3">
      <c r="A4" s="31" t="s">
        <v>11</v>
      </c>
      <c r="B4" s="31" t="s">
        <v>18</v>
      </c>
      <c r="C4" s="31">
        <f>Podsumowanie!B12</f>
        <v>1.84</v>
      </c>
      <c r="D4" s="31" t="s">
        <v>3</v>
      </c>
      <c r="F4" s="46"/>
      <c r="G4" s="95">
        <v>50</v>
      </c>
      <c r="H4" s="12">
        <f t="shared" si="0"/>
        <v>0.63312938125531826</v>
      </c>
      <c r="I4" s="11">
        <f t="shared" ref="I4:I17" si="4">0.2202*H4^3-1.1245*H4^2+1.7429*H4</f>
        <v>0.7086071408706538</v>
      </c>
      <c r="J4" s="21">
        <f t="shared" si="1"/>
        <v>172627.64422688916</v>
      </c>
      <c r="K4" s="21">
        <f t="shared" ref="K4:K17" si="5">J4/G4</f>
        <v>3452.552884537783</v>
      </c>
      <c r="L4" s="12">
        <f t="shared" ca="1" si="2"/>
        <v>9.3121541462445538</v>
      </c>
      <c r="M4" s="12">
        <f t="shared" ca="1" si="3"/>
        <v>2.5046689794699857</v>
      </c>
      <c r="N4" s="12">
        <f t="shared" ref="N4:N17" ca="1" si="6">G4*SIN(RADIANS(M4))</f>
        <v>2.1850399362672865</v>
      </c>
    </row>
    <row r="5" spans="1:14" ht="18" x14ac:dyDescent="0.3">
      <c r="A5" s="31" t="s">
        <v>24</v>
      </c>
      <c r="B5" s="31" t="s">
        <v>75</v>
      </c>
      <c r="C5" s="31">
        <f>Podsumowanie!B16</f>
        <v>6.1340000000000003</v>
      </c>
      <c r="D5" s="31" t="s">
        <v>34</v>
      </c>
      <c r="F5" s="46"/>
      <c r="G5" s="95">
        <v>52</v>
      </c>
      <c r="H5" s="12">
        <f t="shared" si="0"/>
        <v>0.65845455650553097</v>
      </c>
      <c r="I5" s="11">
        <f t="shared" si="4"/>
        <v>0.72294247135736489</v>
      </c>
      <c r="J5" s="21">
        <f t="shared" si="1"/>
        <v>176119.95214816448</v>
      </c>
      <c r="K5" s="21">
        <f t="shared" si="5"/>
        <v>3386.9221566954707</v>
      </c>
      <c r="L5" s="12">
        <f t="shared" ca="1" si="2"/>
        <v>8.4122125985145662</v>
      </c>
      <c r="M5" s="12">
        <f t="shared" ca="1" si="3"/>
        <v>2.5859350191743031</v>
      </c>
      <c r="N5" s="12">
        <f t="shared" ca="1" si="6"/>
        <v>2.3461234807419946</v>
      </c>
    </row>
    <row r="6" spans="1:14" ht="18" x14ac:dyDescent="0.3">
      <c r="A6" s="31" t="s">
        <v>23</v>
      </c>
      <c r="B6" s="31" t="s">
        <v>76</v>
      </c>
      <c r="C6" s="31">
        <f>Podsumowanie!B9</f>
        <v>446000</v>
      </c>
      <c r="D6" s="31" t="s">
        <v>35</v>
      </c>
      <c r="F6" s="46"/>
      <c r="G6" s="95">
        <v>59</v>
      </c>
      <c r="H6" s="12">
        <f t="shared" si="0"/>
        <v>0.74709266988127543</v>
      </c>
      <c r="I6" s="11">
        <f t="shared" si="4"/>
        <v>0.76629172838389359</v>
      </c>
      <c r="J6" s="21">
        <f t="shared" si="1"/>
        <v>186680.50070583352</v>
      </c>
      <c r="K6" s="21">
        <f t="shared" si="5"/>
        <v>3164.0762831497204</v>
      </c>
      <c r="L6" s="12">
        <f t="shared" ca="1" si="2"/>
        <v>5.9277482219725908</v>
      </c>
      <c r="M6" s="12">
        <f t="shared" ca="1" si="3"/>
        <v>2.6342136596798955</v>
      </c>
      <c r="N6" s="12">
        <f t="shared" ca="1" si="6"/>
        <v>2.7116108717985514</v>
      </c>
    </row>
    <row r="7" spans="1:14" ht="18" x14ac:dyDescent="0.3">
      <c r="A7" s="31" t="s">
        <v>22</v>
      </c>
      <c r="B7" s="31" t="s">
        <v>5</v>
      </c>
      <c r="C7" s="31">
        <f>Podsumowanie!B3</f>
        <v>21.3</v>
      </c>
      <c r="D7" s="31" t="s">
        <v>77</v>
      </c>
      <c r="F7" s="46"/>
      <c r="G7" s="95">
        <v>67</v>
      </c>
      <c r="H7" s="12">
        <f t="shared" si="0"/>
        <v>0.84839337088212652</v>
      </c>
      <c r="I7" s="11">
        <f t="shared" si="4"/>
        <v>0.80374692195991659</v>
      </c>
      <c r="J7" s="21">
        <f t="shared" si="1"/>
        <v>195805.16437087441</v>
      </c>
      <c r="K7" s="21">
        <f t="shared" si="5"/>
        <v>2922.465139863797</v>
      </c>
      <c r="L7" s="12">
        <f t="shared" ca="1" si="2"/>
        <v>3.9631801036274901</v>
      </c>
      <c r="M7" s="12">
        <f t="shared" ca="1" si="3"/>
        <v>2.3767354872946713</v>
      </c>
      <c r="N7" s="12">
        <f t="shared" ca="1" si="6"/>
        <v>2.7784875954278729</v>
      </c>
    </row>
    <row r="8" spans="1:14" ht="18" x14ac:dyDescent="0.3">
      <c r="A8" s="31" t="s">
        <v>41</v>
      </c>
      <c r="B8" s="31" t="s">
        <v>78</v>
      </c>
      <c r="C8" s="31">
        <f>Podsumowanie!B30</f>
        <v>-5.1836278784231589E-2</v>
      </c>
      <c r="D8" s="31" t="s">
        <v>40</v>
      </c>
      <c r="G8" s="95">
        <v>74</v>
      </c>
      <c r="H8" s="12">
        <f t="shared" si="0"/>
        <v>0.93703148425787097</v>
      </c>
      <c r="I8" s="11">
        <f t="shared" si="4"/>
        <v>0.82697700721554901</v>
      </c>
      <c r="J8" s="21">
        <f t="shared" si="1"/>
        <v>201464.37193677956</v>
      </c>
      <c r="K8" s="21">
        <f t="shared" si="5"/>
        <v>2722.4915126591832</v>
      </c>
      <c r="L8" s="12">
        <f t="shared" ca="1" si="2"/>
        <v>2.7300488974199095</v>
      </c>
      <c r="M8" s="12">
        <f t="shared" ca="1" si="3"/>
        <v>1.9742836875456553</v>
      </c>
      <c r="N8" s="12">
        <f t="shared" ca="1" si="6"/>
        <v>2.5493689899198047</v>
      </c>
    </row>
    <row r="9" spans="1:14" ht="15.6" x14ac:dyDescent="0.3">
      <c r="A9" s="31" t="s">
        <v>12</v>
      </c>
      <c r="B9" s="31" t="s">
        <v>3</v>
      </c>
      <c r="C9" s="31">
        <f>Podsumowanie!B7</f>
        <v>2405.5</v>
      </c>
      <c r="D9" s="31" t="s">
        <v>0</v>
      </c>
      <c r="G9" s="95">
        <v>81</v>
      </c>
      <c r="H9" s="12">
        <f t="shared" si="0"/>
        <v>1.0256695976336156</v>
      </c>
      <c r="I9" s="11">
        <f t="shared" si="4"/>
        <v>0.84226400057853157</v>
      </c>
      <c r="J9" s="21">
        <f t="shared" si="1"/>
        <v>205188.51963351504</v>
      </c>
      <c r="K9" s="21">
        <f t="shared" si="5"/>
        <v>2533.1916004137661</v>
      </c>
      <c r="L9" s="12">
        <f t="shared" ca="1" si="2"/>
        <v>1.7972380836036854</v>
      </c>
      <c r="M9" s="12">
        <f t="shared" ca="1" si="3"/>
        <v>1.458546346081748</v>
      </c>
      <c r="N9" s="12">
        <f t="shared" ca="1" si="6"/>
        <v>2.0617486225537891</v>
      </c>
    </row>
    <row r="10" spans="1:14" ht="18" x14ac:dyDescent="0.3">
      <c r="A10" s="31" t="s">
        <v>21</v>
      </c>
      <c r="B10" s="31" t="s">
        <v>79</v>
      </c>
      <c r="C10" s="31">
        <f>Podsumowanie!B13</f>
        <v>5.8840000000000003</v>
      </c>
      <c r="D10" s="31" t="s">
        <v>7</v>
      </c>
      <c r="G10" s="95">
        <v>89</v>
      </c>
      <c r="H10" s="12">
        <f t="shared" si="0"/>
        <v>1.1269702986344665</v>
      </c>
      <c r="I10" s="11">
        <f t="shared" si="4"/>
        <v>0.85118890490748611</v>
      </c>
      <c r="J10" s="21">
        <f t="shared" si="1"/>
        <v>207362.76417664054</v>
      </c>
      <c r="K10" s="21">
        <f t="shared" si="5"/>
        <v>2329.9186986139389</v>
      </c>
      <c r="L10" s="12">
        <f t="shared" ca="1" si="2"/>
        <v>0.98504355466834292</v>
      </c>
      <c r="M10" s="12">
        <f t="shared" ca="1" si="3"/>
        <v>0.76865417679971082</v>
      </c>
      <c r="N10" s="12">
        <f t="shared" ca="1" si="6"/>
        <v>1.1939477967130097</v>
      </c>
    </row>
    <row r="11" spans="1:14" ht="18" x14ac:dyDescent="0.3">
      <c r="A11" s="31" t="s">
        <v>25</v>
      </c>
      <c r="B11" s="31" t="s">
        <v>80</v>
      </c>
      <c r="C11" s="31">
        <f>Podsumowanie!B14</f>
        <v>2.214E-2</v>
      </c>
      <c r="D11" s="31" t="s">
        <v>7</v>
      </c>
      <c r="G11" s="95">
        <v>96</v>
      </c>
      <c r="H11" s="12">
        <f t="shared" si="0"/>
        <v>1.2156084120102111</v>
      </c>
      <c r="I11" s="11">
        <f t="shared" si="4"/>
        <v>0.8525532476442943</v>
      </c>
      <c r="J11" s="21">
        <f t="shared" si="1"/>
        <v>207695.1391401272</v>
      </c>
      <c r="K11" s="21">
        <f t="shared" si="5"/>
        <v>2163.4910327096582</v>
      </c>
      <c r="L11" s="12">
        <f t="shared" ca="1" si="2"/>
        <v>0.43228829087569892</v>
      </c>
      <c r="M11" s="12">
        <f t="shared" ca="1" si="3"/>
        <v>9.8421045738329327E-2</v>
      </c>
      <c r="N11" s="12">
        <f t="shared" ca="1" si="6"/>
        <v>0.16490596383433528</v>
      </c>
    </row>
    <row r="12" spans="1:14" ht="18" x14ac:dyDescent="0.3">
      <c r="A12" s="31" t="s">
        <v>19</v>
      </c>
      <c r="B12" s="31" t="s">
        <v>81</v>
      </c>
      <c r="C12" s="31">
        <f>Podsumowanie!B11</f>
        <v>42.92</v>
      </c>
      <c r="D12" s="31" t="s">
        <v>37</v>
      </c>
      <c r="G12" s="95">
        <v>103</v>
      </c>
      <c r="H12" s="12">
        <f t="shared" si="0"/>
        <v>1.3042465253859556</v>
      </c>
      <c r="I12" s="11">
        <f t="shared" si="4"/>
        <v>0.84886620835598925</v>
      </c>
      <c r="J12" s="21">
        <f t="shared" si="1"/>
        <v>206796.91942175117</v>
      </c>
      <c r="K12" s="21">
        <f t="shared" si="5"/>
        <v>2007.7370817645744</v>
      </c>
      <c r="L12" s="12">
        <f t="shared" ca="1" si="2"/>
        <v>-1.3034421837478794E-2</v>
      </c>
      <c r="M12" s="12">
        <f t="shared" ca="1" si="3"/>
        <v>-0.62082039128495536</v>
      </c>
      <c r="N12" s="12">
        <f t="shared" ca="1" si="6"/>
        <v>-1.1160202307890776</v>
      </c>
    </row>
    <row r="13" spans="1:14" ht="15.6" x14ac:dyDescent="0.3">
      <c r="A13" s="31" t="s">
        <v>20</v>
      </c>
      <c r="B13" s="31" t="s">
        <v>14</v>
      </c>
      <c r="C13" s="31">
        <f>Podsumowanie!B17</f>
        <v>0.12</v>
      </c>
      <c r="D13" s="31" t="s">
        <v>7</v>
      </c>
      <c r="G13" s="95">
        <v>111</v>
      </c>
      <c r="H13" s="12">
        <f t="shared" si="0"/>
        <v>1.4055472263868065</v>
      </c>
      <c r="I13" s="11">
        <f t="shared" si="4"/>
        <v>0.83964737316617111</v>
      </c>
      <c r="J13" s="21">
        <f t="shared" si="1"/>
        <v>204551.06878104369</v>
      </c>
      <c r="K13" s="21">
        <f t="shared" si="5"/>
        <v>1842.8024214508441</v>
      </c>
      <c r="L13" s="12">
        <f t="shared" ca="1" si="2"/>
        <v>-0.42362223483995276</v>
      </c>
      <c r="M13" s="12">
        <f t="shared" ca="1" si="3"/>
        <v>-1.492054003371873</v>
      </c>
      <c r="N13" s="12">
        <f t="shared" ca="1" si="6"/>
        <v>-2.8902526071967083</v>
      </c>
    </row>
    <row r="14" spans="1:14" ht="18" x14ac:dyDescent="0.3">
      <c r="A14" s="31" t="s">
        <v>33</v>
      </c>
      <c r="B14" s="31" t="s">
        <v>32</v>
      </c>
      <c r="C14" s="31">
        <f>Podsumowanie!B2</f>
        <v>1.2255</v>
      </c>
      <c r="D14" s="31" t="s">
        <v>82</v>
      </c>
      <c r="G14" s="95">
        <v>118</v>
      </c>
      <c r="H14" s="12">
        <f t="shared" si="0"/>
        <v>1.4941853397625509</v>
      </c>
      <c r="I14" s="11">
        <f t="shared" si="4"/>
        <v>0.82823420439641393</v>
      </c>
      <c r="J14" s="21">
        <f t="shared" si="1"/>
        <v>201770.64458793396</v>
      </c>
      <c r="K14" s="21">
        <f t="shared" si="5"/>
        <v>1709.9207168468979</v>
      </c>
      <c r="L14" s="12">
        <f t="shared" ca="1" si="2"/>
        <v>-0.71734209136393035</v>
      </c>
      <c r="M14" s="12">
        <f t="shared" ca="1" si="3"/>
        <v>-2.290925152272266</v>
      </c>
      <c r="N14" s="12">
        <f t="shared" ca="1" si="6"/>
        <v>-4.716876971218344</v>
      </c>
    </row>
    <row r="15" spans="1:14" ht="15.6" x14ac:dyDescent="0.3">
      <c r="A15" s="31" t="s">
        <v>26</v>
      </c>
      <c r="B15" s="31" t="s">
        <v>13</v>
      </c>
      <c r="C15" s="31">
        <f>Podsumowanie!B8</f>
        <v>26295.705000000002</v>
      </c>
      <c r="D15" s="31" t="s">
        <v>39</v>
      </c>
      <c r="G15" s="95">
        <v>125</v>
      </c>
      <c r="H15" s="12">
        <f t="shared" si="0"/>
        <v>1.5828234531382954</v>
      </c>
      <c r="I15" s="11">
        <f t="shared" si="4"/>
        <v>0.8146613634690798</v>
      </c>
      <c r="J15" s="21">
        <f t="shared" si="1"/>
        <v>198464.09090026841</v>
      </c>
      <c r="K15" s="21">
        <f t="shared" si="5"/>
        <v>1587.7127272021473</v>
      </c>
      <c r="L15" s="12">
        <f t="shared" ca="1" si="2"/>
        <v>-0.96370313871356339</v>
      </c>
      <c r="M15" s="12">
        <f t="shared" ca="1" si="3"/>
        <v>-3.1195879854109241</v>
      </c>
      <c r="N15" s="12">
        <f t="shared" ca="1" si="6"/>
        <v>-6.802523047682369</v>
      </c>
    </row>
    <row r="16" spans="1:14" x14ac:dyDescent="0.3">
      <c r="A16" s="30" t="s">
        <v>102</v>
      </c>
      <c r="B16" s="30" t="s">
        <v>89</v>
      </c>
      <c r="C16" s="30">
        <f>Podsumowanie!B15</f>
        <v>1.63</v>
      </c>
      <c r="D16" s="30" t="s">
        <v>7</v>
      </c>
      <c r="G16" s="95">
        <v>132</v>
      </c>
      <c r="H16" s="12">
        <f t="shared" si="0"/>
        <v>1.6714615665140402</v>
      </c>
      <c r="I16" s="11">
        <f t="shared" si="4"/>
        <v>0.79984893988747796</v>
      </c>
      <c r="J16" s="21">
        <f t="shared" si="1"/>
        <v>194855.5557321907</v>
      </c>
      <c r="K16" s="21">
        <f t="shared" si="5"/>
        <v>1476.1784525165963</v>
      </c>
      <c r="L16" s="12">
        <f t="shared" ca="1" si="2"/>
        <v>-1.1724051463131897</v>
      </c>
      <c r="M16" s="12">
        <f t="shared" ca="1" si="3"/>
        <v>-3.9751040367667545</v>
      </c>
      <c r="N16" s="12">
        <f t="shared" ca="1" si="6"/>
        <v>-9.1506372017469015</v>
      </c>
    </row>
    <row r="17" spans="1:16" ht="18.600000000000001" x14ac:dyDescent="0.3">
      <c r="A17" s="30" t="s">
        <v>29</v>
      </c>
      <c r="B17" s="30" t="s">
        <v>83</v>
      </c>
      <c r="C17" s="30">
        <f>C14*(1-C1/44300)^4.256</f>
        <v>0.7361287016189566</v>
      </c>
      <c r="D17" s="30" t="s">
        <v>84</v>
      </c>
      <c r="G17" s="95">
        <v>140</v>
      </c>
      <c r="H17" s="12">
        <f t="shared" si="0"/>
        <v>1.7727622675148911</v>
      </c>
      <c r="I17" s="11">
        <f t="shared" si="4"/>
        <v>0.7825828892247193</v>
      </c>
      <c r="J17" s="21">
        <f t="shared" si="1"/>
        <v>190649.27910992588</v>
      </c>
      <c r="K17" s="21">
        <f t="shared" si="5"/>
        <v>1361.780565070899</v>
      </c>
      <c r="L17" s="12">
        <f t="shared" ca="1" si="2"/>
        <v>-1.3741431434161246</v>
      </c>
      <c r="M17" s="12">
        <f t="shared" ca="1" si="3"/>
        <v>-4.9830069853283616</v>
      </c>
      <c r="N17" s="12">
        <f t="shared" ca="1" si="6"/>
        <v>-12.16043968367234</v>
      </c>
    </row>
    <row r="18" spans="1:16" ht="18.600000000000001" x14ac:dyDescent="0.3">
      <c r="A18" s="30" t="s">
        <v>27</v>
      </c>
      <c r="B18" s="30" t="s">
        <v>85</v>
      </c>
      <c r="C18" s="30">
        <f>C6*((C17/C14)-C13)/(1-C13)</f>
        <v>243615.44538597853</v>
      </c>
      <c r="D18" s="30" t="s">
        <v>35</v>
      </c>
    </row>
    <row r="19" spans="1:16" ht="19.2" thickBot="1" x14ac:dyDescent="0.35">
      <c r="A19" s="30" t="s">
        <v>28</v>
      </c>
      <c r="B19" s="30" t="s">
        <v>86</v>
      </c>
      <c r="C19" s="30">
        <f>C18/C17/C12^3/C4^5</f>
        <v>0.19846449037238559</v>
      </c>
      <c r="D19" s="30" t="s">
        <v>7</v>
      </c>
    </row>
    <row r="20" spans="1:16" ht="18.600000000000001" thickBot="1" x14ac:dyDescent="0.35">
      <c r="A20" s="30" t="s">
        <v>153</v>
      </c>
      <c r="B20" s="30" t="s">
        <v>140</v>
      </c>
      <c r="C20" s="30">
        <f>Podsumowanie!B31</f>
        <v>28993.455000000002</v>
      </c>
      <c r="D20" s="30" t="s">
        <v>39</v>
      </c>
      <c r="F20" s="132" t="s">
        <v>171</v>
      </c>
      <c r="G20" s="133"/>
      <c r="H20" s="133"/>
      <c r="I20" s="133"/>
      <c r="J20" s="133"/>
      <c r="K20" s="133"/>
      <c r="L20" s="133"/>
      <c r="M20" s="133"/>
      <c r="N20" s="133"/>
      <c r="O20" s="133"/>
      <c r="P20" s="134"/>
    </row>
    <row r="21" spans="1:16" ht="18.600000000000001" thickBot="1" x14ac:dyDescent="0.35">
      <c r="B21" s="30" t="s">
        <v>16</v>
      </c>
      <c r="C21" s="30" t="s">
        <v>66</v>
      </c>
      <c r="D21" s="30" t="s">
        <v>17</v>
      </c>
      <c r="F21" s="97" t="s">
        <v>1</v>
      </c>
      <c r="G21" s="97" t="s">
        <v>2</v>
      </c>
      <c r="H21" s="97" t="s">
        <v>67</v>
      </c>
      <c r="I21" s="97" t="s">
        <v>15</v>
      </c>
      <c r="J21" s="97" t="s">
        <v>74</v>
      </c>
      <c r="K21" s="97" t="s">
        <v>72</v>
      </c>
      <c r="L21" s="97" t="s">
        <v>73</v>
      </c>
      <c r="M21" s="97" t="s">
        <v>71</v>
      </c>
      <c r="N21" s="97" t="s">
        <v>69</v>
      </c>
      <c r="O21" s="97" t="s">
        <v>87</v>
      </c>
      <c r="P21" s="97" t="s">
        <v>70</v>
      </c>
    </row>
    <row r="22" spans="1:16" x14ac:dyDescent="0.3">
      <c r="A22" s="32">
        <v>1</v>
      </c>
      <c r="B22" s="47">
        <f>-K3*COS(C22+C23-C$3)+0.5*C$17*C$7*C$5*(C23-C$8)*G3^2*SIN(C22)+0.5*C$17*C$7*(C$11+1/PI()/C$10*C$5^2*(C23-C$8)^2)*G3^2*COS(C22)</f>
        <v>-1.6044439507822972E-4</v>
      </c>
      <c r="C22" s="33">
        <v>3.7623932538771727E-2</v>
      </c>
      <c r="D22" s="34">
        <f t="shared" ref="D22:D51" si="7">DEGREES(C22)</f>
        <v>2.1556925431565483</v>
      </c>
      <c r="F22" s="11">
        <v>1.63</v>
      </c>
      <c r="G22" s="12">
        <v>156.18</v>
      </c>
      <c r="H22" s="12">
        <f t="shared" ref="H22:H36" si="8">SQRT((2*C$15)/(C$7*C$17*F22))</f>
        <v>45.362494420478008</v>
      </c>
      <c r="I22" s="92">
        <f t="shared" ref="I22:I36" si="9">H22/C$12/C$4</f>
        <v>0.57440656049270145</v>
      </c>
      <c r="J22" s="93">
        <f>0.2202*I22^3-1.1245*I22^2+1.7429*I22</f>
        <v>0.67184501135902586</v>
      </c>
      <c r="K22" s="21">
        <f t="shared" ref="K22:K36" si="10">C$15*SQRT((2*C$15)/(C$17*C$7*G22))</f>
        <v>121860.46744063315</v>
      </c>
      <c r="L22" s="20">
        <f t="shared" ref="L22:L36" si="11">C$18*J22</f>
        <v>163671.82167257689</v>
      </c>
      <c r="M22" s="21">
        <f t="shared" ref="M22:M36" si="12">(L22-K22)</f>
        <v>41811.35423194374</v>
      </c>
      <c r="N22" s="12">
        <f t="shared" ref="N22:N36" si="13">M22/C$15</f>
        <v>1.5900449990575927</v>
      </c>
      <c r="O22" s="12">
        <f t="shared" ref="O22:O36" si="14">DEGREES(ASIN(N22/H22))</f>
        <v>2.008741684507501</v>
      </c>
      <c r="P22" s="12">
        <v>15.276999999999999</v>
      </c>
    </row>
    <row r="23" spans="1:16" x14ac:dyDescent="0.3">
      <c r="A23" s="35">
        <v>2</v>
      </c>
      <c r="B23" s="48">
        <f>K3*SIN(C22+C23-C$3)+0.5*C$17*C$7*C$5*(C23-C$8)*G3^2*COS(C22)-0.5*C$17*C$7*(C$11+1/PI()/C$10*C$5^2*(C23-C$8)^2)*G3^2*SIN(C22)-C$15</f>
        <v>-7.9359961091540754E-7</v>
      </c>
      <c r="C23" s="36">
        <v>0.20684338649008849</v>
      </c>
      <c r="D23" s="37">
        <f t="shared" si="7"/>
        <v>11.851253066075381</v>
      </c>
      <c r="F23" s="11">
        <v>1.571</v>
      </c>
      <c r="G23" s="12">
        <v>158.85</v>
      </c>
      <c r="H23" s="12">
        <f t="shared" si="8"/>
        <v>46.206453630927868</v>
      </c>
      <c r="I23" s="12">
        <f t="shared" si="9"/>
        <v>0.58509326794703831</v>
      </c>
      <c r="J23" s="11">
        <f t="shared" ref="J23:J36" si="15">0.2202*I23^3-1.1245*I23^2+1.7429*I23</f>
        <v>0.67890981167877928</v>
      </c>
      <c r="K23" s="21">
        <f t="shared" si="10"/>
        <v>120831.99315751897</v>
      </c>
      <c r="L23" s="20">
        <f t="shared" si="11"/>
        <v>165392.91614903661</v>
      </c>
      <c r="M23" s="21">
        <f t="shared" si="12"/>
        <v>44560.92299151764</v>
      </c>
      <c r="N23" s="12">
        <f t="shared" si="13"/>
        <v>1.6946084157666674</v>
      </c>
      <c r="O23" s="12">
        <f t="shared" si="14"/>
        <v>2.1017775977472759</v>
      </c>
      <c r="P23" s="12">
        <v>12.122999999999999</v>
      </c>
    </row>
    <row r="24" spans="1:16" x14ac:dyDescent="0.3">
      <c r="A24" s="38">
        <v>3</v>
      </c>
      <c r="B24" s="47">
        <f>-K4*COS(C24+C25-C$3)+0.5*C$17*C$7*C$5*(C25-C$8)*G4^2*SIN(C24)+0.5*C$17*C$7*(C$11+1/PI()/C$10*C$5^2*(C25-C$8)^2)*G4^2*COS(C24)</f>
        <v>2.1451977545439149E-4</v>
      </c>
      <c r="C24" s="39">
        <v>4.3714720364317505E-2</v>
      </c>
      <c r="D24" s="40">
        <f t="shared" si="7"/>
        <v>2.5046689794699857</v>
      </c>
      <c r="F24" s="11">
        <v>1.474</v>
      </c>
      <c r="G24" s="12">
        <v>163.07</v>
      </c>
      <c r="H24" s="12">
        <f t="shared" si="8"/>
        <v>47.70259314609271</v>
      </c>
      <c r="I24" s="12">
        <f t="shared" si="9"/>
        <v>0.60403826565719732</v>
      </c>
      <c r="J24" s="11">
        <f t="shared" si="15"/>
        <v>0.69102076201454166</v>
      </c>
      <c r="K24" s="21">
        <f t="shared" si="10"/>
        <v>119258.27227871906</v>
      </c>
      <c r="L24" s="20">
        <f t="shared" si="11"/>
        <v>168343.33070913085</v>
      </c>
      <c r="M24" s="21">
        <f t="shared" si="12"/>
        <v>49085.058430411795</v>
      </c>
      <c r="N24" s="12">
        <f t="shared" si="13"/>
        <v>1.8666568715465812</v>
      </c>
      <c r="O24" s="12">
        <f t="shared" si="14"/>
        <v>2.2426217773314288</v>
      </c>
      <c r="P24" s="12">
        <v>11.015000000000001</v>
      </c>
    </row>
    <row r="25" spans="1:16" x14ac:dyDescent="0.3">
      <c r="A25" s="41">
        <v>4</v>
      </c>
      <c r="B25" s="48">
        <f>K4*SIN(C24+C25-C$3)+0.5*C$17*C$7*C$5*(C25-C$8)*G4^2*COS(C24)-0.5*C$17*C$7*(C$11+1/PI()/C$10*C$5^2*(C25-C$8)^2)*G4^2*SIN(C24)-C$15</f>
        <v>-2.6706402422860265E-8</v>
      </c>
      <c r="C25" s="42">
        <v>0.16252775030520902</v>
      </c>
      <c r="D25" s="43">
        <f>DEGREES(C25)</f>
        <v>9.3121541462445538</v>
      </c>
      <c r="F25" s="11">
        <v>1.379</v>
      </c>
      <c r="G25" s="12">
        <v>167.61</v>
      </c>
      <c r="H25" s="12">
        <f t="shared" si="8"/>
        <v>49.31835664790195</v>
      </c>
      <c r="I25" s="12">
        <f t="shared" si="9"/>
        <v>0.62449801258030535</v>
      </c>
      <c r="J25" s="11">
        <f t="shared" si="15"/>
        <v>0.70351542968186798</v>
      </c>
      <c r="K25" s="21">
        <f t="shared" si="10"/>
        <v>117632.02840224243</v>
      </c>
      <c r="L25" s="20">
        <f t="shared" si="11"/>
        <v>171387.22473785633</v>
      </c>
      <c r="M25" s="21">
        <f t="shared" si="12"/>
        <v>53755.196335613902</v>
      </c>
      <c r="N25" s="12">
        <f t="shared" si="13"/>
        <v>2.0442576586409795</v>
      </c>
      <c r="O25" s="12">
        <f t="shared" si="14"/>
        <v>2.3756043357204852</v>
      </c>
      <c r="P25" s="12">
        <v>9.5779999999999994</v>
      </c>
    </row>
    <row r="26" spans="1:16" x14ac:dyDescent="0.3">
      <c r="A26" s="32">
        <v>5</v>
      </c>
      <c r="B26" s="47">
        <f>-K5*COS(C26+C27-C$3)+0.5*C$17*C$7*C$5*(C27-C$8)*G5^2*SIN(C26)+0.5*C$17*C$7*(C$11+1/PI()/C$10*C$5^2*(C27-C$8)^2)*G5^2*COS(C26)</f>
        <v>-7.3673618317116052E-9</v>
      </c>
      <c r="C26" s="33">
        <v>4.5133080327214282E-2</v>
      </c>
      <c r="D26" s="34">
        <f t="shared" si="7"/>
        <v>2.5859350191743031</v>
      </c>
      <c r="F26" s="11">
        <v>1.272</v>
      </c>
      <c r="G26" s="12">
        <v>169.65</v>
      </c>
      <c r="H26" s="12">
        <f t="shared" si="8"/>
        <v>51.350795320937586</v>
      </c>
      <c r="I26" s="12">
        <f t="shared" si="9"/>
        <v>0.65023394537027412</v>
      </c>
      <c r="J26" s="11">
        <f t="shared" si="15"/>
        <v>0.71838718227711351</v>
      </c>
      <c r="K26" s="21">
        <f t="shared" si="10"/>
        <v>116922.64113039289</v>
      </c>
      <c r="L26" s="20">
        <f t="shared" si="11"/>
        <v>175010.21337001715</v>
      </c>
      <c r="M26" s="21">
        <f t="shared" si="12"/>
        <v>58087.572239624264</v>
      </c>
      <c r="N26" s="12">
        <f t="shared" si="13"/>
        <v>2.209013686441351</v>
      </c>
      <c r="O26" s="12">
        <f t="shared" si="14"/>
        <v>2.4655164442192148</v>
      </c>
      <c r="P26" s="12">
        <v>8.4719999999999995</v>
      </c>
    </row>
    <row r="27" spans="1:16" x14ac:dyDescent="0.3">
      <c r="A27" s="35">
        <v>6</v>
      </c>
      <c r="B27" s="48">
        <f>K5*SIN(C26+C27-C$3)+0.5*C$17*C$7*C$5*(C27-C$8)*G5^2*COS(C26)-0.5*C$17*C$7*(C$11+1/PI()/C$10*C$5^2*(C27-C$8)^2)*G5^2*SIN(C26)-C$15</f>
        <v>-7.9139135777950287E-7</v>
      </c>
      <c r="C27" s="36">
        <v>0.14682080722182703</v>
      </c>
      <c r="D27" s="37">
        <f t="shared" si="7"/>
        <v>8.4122125985145662</v>
      </c>
      <c r="F27" s="11">
        <v>1.1779999999999999</v>
      </c>
      <c r="G27" s="12">
        <v>170.58</v>
      </c>
      <c r="H27" s="12">
        <f t="shared" si="8"/>
        <v>53.360278151885439</v>
      </c>
      <c r="I27" s="12">
        <f t="shared" si="9"/>
        <v>0.67567919779829799</v>
      </c>
      <c r="J27" s="11">
        <f t="shared" si="15"/>
        <v>0.73218582599019288</v>
      </c>
      <c r="K27" s="21">
        <f t="shared" si="10"/>
        <v>116603.47513415015</v>
      </c>
      <c r="L27" s="20">
        <f t="shared" si="11"/>
        <v>178371.77610390141</v>
      </c>
      <c r="M27" s="21">
        <f t="shared" si="12"/>
        <v>61768.300969751261</v>
      </c>
      <c r="N27" s="12">
        <f t="shared" si="13"/>
        <v>2.348988208140883</v>
      </c>
      <c r="O27" s="12">
        <f t="shared" si="14"/>
        <v>2.523049389413647</v>
      </c>
      <c r="P27" s="12">
        <v>7.694</v>
      </c>
    </row>
    <row r="28" spans="1:16" x14ac:dyDescent="0.3">
      <c r="A28" s="38">
        <v>7</v>
      </c>
      <c r="B28" s="47">
        <f>-K6*COS(C28+C29-C$3)+0.5*C$17*C$7*C$5*(C29-C$8)*G6^2*SIN(C28)+0.5*C$17*C$7*(C$11+1/PI()/C$10*C$5^2*(C29-C$8)^2)*G6^2*COS(C28)</f>
        <v>-2.895675925174146E-5</v>
      </c>
      <c r="C28" s="39">
        <v>4.5975701562423574E-2</v>
      </c>
      <c r="D28" s="40">
        <f t="shared" si="7"/>
        <v>2.6342136596798955</v>
      </c>
      <c r="F28" s="11">
        <v>1.08</v>
      </c>
      <c r="G28" s="12">
        <v>169.97</v>
      </c>
      <c r="H28" s="12">
        <f t="shared" si="8"/>
        <v>55.728692299771943</v>
      </c>
      <c r="I28" s="12">
        <f t="shared" si="9"/>
        <v>0.70566944947845256</v>
      </c>
      <c r="J28" s="11">
        <f t="shared" si="15"/>
        <v>0.74732339507824541</v>
      </c>
      <c r="K28" s="21">
        <f t="shared" si="10"/>
        <v>116812.52501566544</v>
      </c>
      <c r="L28" s="20">
        <f t="shared" si="11"/>
        <v>182059.52173934836</v>
      </c>
      <c r="M28" s="21">
        <f t="shared" si="12"/>
        <v>65246.996723682925</v>
      </c>
      <c r="N28" s="12">
        <f t="shared" si="13"/>
        <v>2.4812796129133226</v>
      </c>
      <c r="O28" s="12">
        <f t="shared" si="14"/>
        <v>2.5518966601342874</v>
      </c>
      <c r="P28" s="12">
        <v>7.048</v>
      </c>
    </row>
    <row r="29" spans="1:16" x14ac:dyDescent="0.3">
      <c r="A29" s="41">
        <v>8</v>
      </c>
      <c r="B29" s="48">
        <f>K6*SIN(C28+C29-C$3)+0.5*C$17*C$7*C$5*(C29-C$8)*G6^2*COS(C28)-0.5*C$17*C$7*(C$11+1/PI()/C$10*C$5^2*(C29-C$8)^2)*G6^2*SIN(C28)-C$15</f>
        <v>4.7637149691581726E-7</v>
      </c>
      <c r="C29" s="42">
        <v>0.10345872370266139</v>
      </c>
      <c r="D29" s="43">
        <f t="shared" si="7"/>
        <v>5.9277482219725908</v>
      </c>
      <c r="F29" s="11">
        <v>0.96899999999999997</v>
      </c>
      <c r="G29" s="12">
        <v>164.23</v>
      </c>
      <c r="H29" s="12">
        <f t="shared" si="8"/>
        <v>58.834063035360614</v>
      </c>
      <c r="I29" s="12">
        <f t="shared" si="9"/>
        <v>0.74499147852628511</v>
      </c>
      <c r="J29" s="11">
        <f t="shared" si="15"/>
        <v>0.76538248498015549</v>
      </c>
      <c r="K29" s="21">
        <f t="shared" si="10"/>
        <v>118836.34953412274</v>
      </c>
      <c r="L29" s="20">
        <f t="shared" si="11"/>
        <v>186458.9949690676</v>
      </c>
      <c r="M29" s="21">
        <f t="shared" si="12"/>
        <v>67622.645434944861</v>
      </c>
      <c r="N29" s="12">
        <f t="shared" si="13"/>
        <v>2.5716232150818872</v>
      </c>
      <c r="O29" s="12">
        <f t="shared" si="14"/>
        <v>2.5051833426550152</v>
      </c>
      <c r="P29" s="12">
        <v>6.0739999999999998</v>
      </c>
    </row>
    <row r="30" spans="1:16" x14ac:dyDescent="0.3">
      <c r="A30" s="32">
        <v>9</v>
      </c>
      <c r="B30" s="47">
        <f>-K7*COS(C30+C31-C$3)+0.5*C$17*C$7*C$5*(C31-C$8)*G7^2*SIN(C30)+0.5*C$17*C$7*(C$11+1/PI()/C$10*C$5^2*(C31-C$8)^2)*G7^2*COS(C30)</f>
        <v>-3.5575431866163854E-5</v>
      </c>
      <c r="C30" s="33">
        <v>4.1481859702283873E-2</v>
      </c>
      <c r="D30" s="34">
        <f t="shared" si="7"/>
        <v>2.3767354872946713</v>
      </c>
      <c r="F30" s="11">
        <v>0.86799999999999999</v>
      </c>
      <c r="G30" s="12">
        <v>160.72999999999999</v>
      </c>
      <c r="H30" s="12">
        <f t="shared" si="8"/>
        <v>62.16284283148407</v>
      </c>
      <c r="I30" s="12">
        <f t="shared" si="9"/>
        <v>0.78714244437938208</v>
      </c>
      <c r="J30" s="11">
        <f t="shared" si="15"/>
        <v>0.78257131145429881</v>
      </c>
      <c r="K30" s="21">
        <f t="shared" si="10"/>
        <v>120123.25078031963</v>
      </c>
      <c r="L30" s="20">
        <f t="shared" si="11"/>
        <v>190646.45858622831</v>
      </c>
      <c r="M30" s="21">
        <f t="shared" si="12"/>
        <v>70523.207805908678</v>
      </c>
      <c r="N30" s="12">
        <f t="shared" si="13"/>
        <v>2.6819287714822124</v>
      </c>
      <c r="O30" s="12">
        <f t="shared" si="14"/>
        <v>2.4727136536112662</v>
      </c>
      <c r="P30" s="12">
        <v>5.0990000000000002</v>
      </c>
    </row>
    <row r="31" spans="1:16" x14ac:dyDescent="0.3">
      <c r="A31" s="35">
        <v>10</v>
      </c>
      <c r="B31" s="48">
        <f>K7*SIN(C30+C31-C$3)+0.5*C$17*C$7*C$5*(C31-C$8)*G7^2*COS(C30)-0.5*C$17*C$7*(C$11+1/PI()/C$10*C$5^2*(C31-C$8)^2)*G7^2*SIN(C30)-C$15</f>
        <v>2.7421992854215205E-7</v>
      </c>
      <c r="C31" s="36">
        <v>6.9170541657829765E-2</v>
      </c>
      <c r="D31" s="37">
        <f t="shared" si="7"/>
        <v>3.9631801036274901</v>
      </c>
      <c r="F31" s="11">
        <v>0.77100000000000002</v>
      </c>
      <c r="G31" s="12">
        <v>153.61000000000001</v>
      </c>
      <c r="H31" s="12">
        <f t="shared" si="8"/>
        <v>65.957402016572118</v>
      </c>
      <c r="I31" s="12">
        <f t="shared" si="9"/>
        <v>0.83519138255921166</v>
      </c>
      <c r="J31" s="11">
        <f t="shared" si="15"/>
        <v>0.79955094436379848</v>
      </c>
      <c r="K31" s="21">
        <f t="shared" si="10"/>
        <v>122875.64324798719</v>
      </c>
      <c r="L31" s="20">
        <f t="shared" si="11"/>
        <v>194782.9594199665</v>
      </c>
      <c r="M31" s="21">
        <f t="shared" si="12"/>
        <v>71907.316171979313</v>
      </c>
      <c r="N31" s="12">
        <f t="shared" si="13"/>
        <v>2.7345650619361339</v>
      </c>
      <c r="O31" s="12">
        <f t="shared" si="14"/>
        <v>2.3761390325830818</v>
      </c>
      <c r="P31" s="12">
        <v>3.86</v>
      </c>
    </row>
    <row r="32" spans="1:16" x14ac:dyDescent="0.3">
      <c r="A32" s="38">
        <v>11</v>
      </c>
      <c r="B32" s="47">
        <f>-K8*COS(C32+C33-C$3)+0.5*C$17*C$7*C$5*(C33-C$8)*G8^2*SIN(C32)+0.5*C$17*C$7*(C$11+1/PI()/C$10*C$5^2*(C33-C$8)^2)*G8^2*COS(C32)</f>
        <v>-1.5803662108737626E-5</v>
      </c>
      <c r="C32" s="39">
        <v>3.4457750716086651E-2</v>
      </c>
      <c r="D32" s="40">
        <f t="shared" si="7"/>
        <v>1.9742836875456553</v>
      </c>
      <c r="F32" s="11">
        <v>0.56899999999999995</v>
      </c>
      <c r="G32" s="12">
        <v>116.14</v>
      </c>
      <c r="H32" s="12">
        <f t="shared" si="8"/>
        <v>76.777611396399351</v>
      </c>
      <c r="I32" s="12">
        <f t="shared" si="9"/>
        <v>0.97220323195327185</v>
      </c>
      <c r="J32" s="11">
        <f t="shared" si="15"/>
        <v>0.83394223288060132</v>
      </c>
      <c r="K32" s="21">
        <f t="shared" si="10"/>
        <v>141313.82054358008</v>
      </c>
      <c r="L32" s="20">
        <f t="shared" si="11"/>
        <v>203161.20848938511</v>
      </c>
      <c r="M32" s="21">
        <f t="shared" si="12"/>
        <v>61847.387945805036</v>
      </c>
      <c r="N32" s="12">
        <f t="shared" si="13"/>
        <v>2.3519958086617199</v>
      </c>
      <c r="O32" s="12">
        <f t="shared" si="14"/>
        <v>1.7554664292093718</v>
      </c>
      <c r="P32" s="12">
        <v>2.0419999999999998</v>
      </c>
    </row>
    <row r="33" spans="1:16" x14ac:dyDescent="0.3">
      <c r="A33" s="41">
        <v>12</v>
      </c>
      <c r="B33" s="48">
        <f>K8*SIN(C32+C33-C$3)+0.5*C$17*C$7*C$5*(C33-C$8)*G8^2*COS(C32)-0.5*C$17*C$7*(C$11+1/PI()/C$10*C$5^2*(C33-C$8)^2)*G8^2*SIN(C32)-C$15</f>
        <v>1.2898817658424377E-7</v>
      </c>
      <c r="C33" s="42">
        <v>4.7648342000418349E-2</v>
      </c>
      <c r="D33" s="43">
        <f t="shared" si="7"/>
        <v>2.7300488974199095</v>
      </c>
      <c r="F33" s="11">
        <v>0.47099999999999997</v>
      </c>
      <c r="G33" s="12">
        <v>88.53</v>
      </c>
      <c r="H33" s="12">
        <f t="shared" si="8"/>
        <v>84.387918821672784</v>
      </c>
      <c r="I33" s="12">
        <f t="shared" si="9"/>
        <v>1.0685694165797943</v>
      </c>
      <c r="J33" s="11">
        <f t="shared" si="15"/>
        <v>0.84708381800910892</v>
      </c>
      <c r="K33" s="21">
        <f t="shared" si="10"/>
        <v>161856.56406165037</v>
      </c>
      <c r="L33" s="20">
        <f t="shared" si="11"/>
        <v>206362.70160354424</v>
      </c>
      <c r="M33" s="21">
        <f t="shared" si="12"/>
        <v>44506.13754189387</v>
      </c>
      <c r="N33" s="12">
        <f t="shared" si="13"/>
        <v>1.6925249785808696</v>
      </c>
      <c r="O33" s="12">
        <f t="shared" si="14"/>
        <v>1.1492289662106281</v>
      </c>
      <c r="P33" s="12">
        <v>1.198</v>
      </c>
    </row>
    <row r="34" spans="1:16" x14ac:dyDescent="0.3">
      <c r="A34" s="32">
        <v>13</v>
      </c>
      <c r="B34" s="47">
        <f>-K9*COS(C34+C35-C$3)+0.5*C$17*C$7*C$5*(C35-C$8)*G9^2*SIN(C34)+0.5*C$17*C$7*(C$11+1/PI()/C$10*C$5^2*(C35-C$8)^2)*G9^2*COS(C34)</f>
        <v>-3.8475141082017217E-6</v>
      </c>
      <c r="C34" s="33">
        <v>2.5456436032059198E-2</v>
      </c>
      <c r="D34" s="34">
        <f t="shared" si="7"/>
        <v>1.458546346081748</v>
      </c>
      <c r="F34" s="28">
        <v>0.371</v>
      </c>
      <c r="G34" s="28">
        <v>56.77</v>
      </c>
      <c r="H34" s="12">
        <f t="shared" si="8"/>
        <v>95.083196894860606</v>
      </c>
      <c r="I34" s="12">
        <f t="shared" si="9"/>
        <v>1.2039993123564139</v>
      </c>
      <c r="J34" s="11">
        <f t="shared" si="15"/>
        <v>0.85268176661846273</v>
      </c>
      <c r="K34" s="21">
        <f t="shared" si="10"/>
        <v>202123.17043828891</v>
      </c>
      <c r="L34" s="20">
        <f t="shared" si="11"/>
        <v>207726.44834725981</v>
      </c>
      <c r="M34" s="21">
        <f t="shared" si="12"/>
        <v>5603.2779089708929</v>
      </c>
      <c r="N34" s="12">
        <f t="shared" si="13"/>
        <v>0.21308719081579644</v>
      </c>
      <c r="O34" s="12">
        <f t="shared" si="14"/>
        <v>0.12840341217401002</v>
      </c>
      <c r="P34" s="12">
        <v>0.42</v>
      </c>
    </row>
    <row r="35" spans="1:16" x14ac:dyDescent="0.3">
      <c r="A35" s="35">
        <v>14</v>
      </c>
      <c r="B35" s="48">
        <f>K9*SIN(C34+C35-C$3)+0.5*C$17*C$7*C$5*(C35-C$8)*G9^2*COS(C34)-0.5*C$17*C$7*(C$11+1/PI()/C$10*C$5^2*(C35-C$8)^2)*G9^2*SIN(C34)-C$15</f>
        <v>5.292531568557024E-8</v>
      </c>
      <c r="C35" s="36">
        <v>3.1367722001117426E-2</v>
      </c>
      <c r="D35" s="37">
        <f t="shared" si="7"/>
        <v>1.7972380836036854</v>
      </c>
      <c r="F35" s="28">
        <v>0.27600000000000002</v>
      </c>
      <c r="G35" s="28">
        <v>29.74</v>
      </c>
      <c r="H35" s="12">
        <f t="shared" si="8"/>
        <v>110.23923453105532</v>
      </c>
      <c r="I35" s="12">
        <f t="shared" si="9"/>
        <v>1.3959139669741392</v>
      </c>
      <c r="J35" s="11">
        <f t="shared" si="15"/>
        <v>0.84071869064887617</v>
      </c>
      <c r="K35" s="21">
        <f t="shared" si="10"/>
        <v>279257.64215707243</v>
      </c>
      <c r="L35" s="20">
        <f t="shared" si="11"/>
        <v>204812.05826674268</v>
      </c>
      <c r="M35" s="21">
        <f t="shared" si="12"/>
        <v>-74445.583890329755</v>
      </c>
      <c r="N35" s="12">
        <f t="shared" si="13"/>
        <v>-2.8310929062495092</v>
      </c>
      <c r="O35" s="12">
        <f t="shared" si="14"/>
        <v>-1.4715950390365511</v>
      </c>
      <c r="P35" s="12">
        <v>-0.29199999999999998</v>
      </c>
    </row>
    <row r="36" spans="1:16" x14ac:dyDescent="0.3">
      <c r="A36" s="38">
        <v>15</v>
      </c>
      <c r="B36" s="47">
        <f>-K10*COS(C36+C37-C$3)+0.5*C$17*C$7*C$5*(C37-C$8)*G10^2*SIN(C36)+0.5*C$17*C$7*(C$11+1/PI()/C$10*C$5^2*(C37-C$8)^2)*G10^2*COS(C36)</f>
        <v>-1.8460627870808821E-7</v>
      </c>
      <c r="C36" s="39">
        <v>1.3415546194361564E-2</v>
      </c>
      <c r="D36" s="40">
        <f t="shared" si="7"/>
        <v>0.76865417679971082</v>
      </c>
      <c r="F36" s="101">
        <v>0.186</v>
      </c>
      <c r="G36" s="101">
        <v>10.85</v>
      </c>
      <c r="H36" s="102">
        <f t="shared" si="8"/>
        <v>134.28708848891003</v>
      </c>
      <c r="I36" s="12">
        <f t="shared" si="9"/>
        <v>1.7004220249112356</v>
      </c>
      <c r="J36" s="11">
        <f t="shared" si="15"/>
        <v>0.79489532123450779</v>
      </c>
      <c r="K36" s="104">
        <f t="shared" si="10"/>
        <v>462339.16023691156</v>
      </c>
      <c r="L36" s="108">
        <f t="shared" si="11"/>
        <v>193648.77771777508</v>
      </c>
      <c r="M36" s="104">
        <f t="shared" si="12"/>
        <v>-268690.38251913647</v>
      </c>
      <c r="N36" s="102">
        <f t="shared" si="13"/>
        <v>-10.218033040724196</v>
      </c>
      <c r="O36" s="102">
        <f t="shared" si="14"/>
        <v>-4.3639086597843955</v>
      </c>
      <c r="P36" s="102">
        <v>-1.071</v>
      </c>
    </row>
    <row r="37" spans="1:16" ht="15.6" thickBot="1" x14ac:dyDescent="0.35">
      <c r="A37" s="41">
        <v>16</v>
      </c>
      <c r="B37" s="48">
        <f>K10*SIN(C36+C37-C$3)+0.5*C$17*C$7*C$5*(C37-C$8)*G10^2*COS(C36)-0.5*C$17*C$7*(C$11+1/PI()/C$10*C$5^2*(C37-C$8)^2)*G10^2*SIN(C36)-C$15</f>
        <v>1.1845258995890617E-8</v>
      </c>
      <c r="C37" s="42">
        <v>1.7192253304511344E-2</v>
      </c>
      <c r="D37" s="43">
        <f t="shared" si="7"/>
        <v>0.98504355466834292</v>
      </c>
      <c r="F37" s="49"/>
      <c r="G37" s="50"/>
      <c r="H37" s="50"/>
      <c r="I37" s="50"/>
      <c r="J37" s="49"/>
      <c r="K37" s="51"/>
      <c r="L37" s="51"/>
      <c r="M37" s="51"/>
      <c r="N37" s="50"/>
      <c r="O37" s="50"/>
      <c r="P37" s="50"/>
    </row>
    <row r="38" spans="1:16" ht="16.2" customHeight="1" thickBot="1" x14ac:dyDescent="0.35">
      <c r="A38" s="32">
        <v>17</v>
      </c>
      <c r="B38" s="47">
        <f>-K11*COS(C38+C39-C$3)+0.5*C$17*C$7*C$5*(C39-C$8)*G11^2*SIN(C38)+0.5*C$17*C$7*(C$11+1/PI()/C$10*C$5^2*(C39-C$8)^2)*G11^2*COS(C38)</f>
        <v>-1.0600160749163479E-9</v>
      </c>
      <c r="C38" s="33">
        <v>1.7177713013897802E-3</v>
      </c>
      <c r="D38" s="34">
        <f t="shared" si="7"/>
        <v>9.8421045738329327E-2</v>
      </c>
      <c r="F38" s="132" t="s">
        <v>193</v>
      </c>
      <c r="G38" s="133"/>
      <c r="H38" s="133"/>
      <c r="I38" s="133"/>
      <c r="J38" s="133"/>
      <c r="K38" s="133"/>
      <c r="L38" s="133"/>
      <c r="M38" s="133"/>
      <c r="N38" s="133"/>
      <c r="O38" s="133"/>
      <c r="P38" s="134"/>
    </row>
    <row r="39" spans="1:16" ht="15" customHeight="1" thickBot="1" x14ac:dyDescent="0.35">
      <c r="A39" s="35">
        <v>18</v>
      </c>
      <c r="B39" s="48">
        <f>K11*SIN(C38+C39-C$3)+0.5*C$17*C$7*C$5*(C39-C$8)*G11^2*COS(C38)-0.5*C$17*C$7*(C$11+1/PI()/C$10*C$5^2*(C39-C$8)^2)*G11^2*SIN(C38)-C$15</f>
        <v>2.2919266484677792E-10</v>
      </c>
      <c r="C39" s="36">
        <v>7.5448539935999079E-3</v>
      </c>
      <c r="D39" s="37">
        <f t="shared" si="7"/>
        <v>0.43228829087569892</v>
      </c>
      <c r="F39" s="97" t="s">
        <v>1</v>
      </c>
      <c r="G39" s="97" t="s">
        <v>2</v>
      </c>
      <c r="H39" s="97" t="s">
        <v>67</v>
      </c>
      <c r="I39" s="97" t="s">
        <v>15</v>
      </c>
      <c r="J39" s="97" t="s">
        <v>74</v>
      </c>
      <c r="K39" s="97" t="s">
        <v>72</v>
      </c>
      <c r="L39" s="97" t="s">
        <v>73</v>
      </c>
      <c r="M39" s="97" t="s">
        <v>71</v>
      </c>
      <c r="N39" s="97" t="s">
        <v>69</v>
      </c>
      <c r="O39" s="97" t="s">
        <v>87</v>
      </c>
      <c r="P39" s="97" t="s">
        <v>70</v>
      </c>
    </row>
    <row r="40" spans="1:16" ht="15" customHeight="1" x14ac:dyDescent="0.3">
      <c r="A40" s="38">
        <v>19</v>
      </c>
      <c r="B40" s="47">
        <f>-K12*COS(C40+C41-C$3)+0.5*C$17*C$7*C$5*(C41-C$8)*G12^2*SIN(C40)+0.5*C$17*C$7*(C$11+1/PI()/C$10*C$5^2*(C41-C$8)^2)*G12^2*COS(C40)</f>
        <v>2.3435040930053219E-7</v>
      </c>
      <c r="C40" s="39">
        <v>-1.083535989144198E-2</v>
      </c>
      <c r="D40" s="40">
        <f t="shared" si="7"/>
        <v>-0.62082039128495536</v>
      </c>
      <c r="F40" s="93">
        <f t="shared" ref="F40:G54" si="16">F22</f>
        <v>1.63</v>
      </c>
      <c r="G40" s="99">
        <f t="shared" si="16"/>
        <v>156.18</v>
      </c>
      <c r="H40" s="92">
        <f t="shared" ref="H40:H54" si="17">SQRT((2*C$20)/(C$7*C$17*F40))</f>
        <v>47.632623686327229</v>
      </c>
      <c r="I40" s="92">
        <f t="shared" ref="I40:I54" si="18">H40/C$12/C$4</f>
        <v>0.60315227124183557</v>
      </c>
      <c r="J40" s="93">
        <f t="shared" ref="J40:J54" si="19">0.185*I40^3-0.9822*I40^2+1.6209*I40</f>
        <v>0.66092550208874934</v>
      </c>
      <c r="K40" s="94">
        <f t="shared" ref="K40:K54" si="20">C$20*SQRT((2*C$20)/(C$17*C$7*G40))</f>
        <v>141086.53509303767</v>
      </c>
      <c r="L40" s="94">
        <f t="shared" ref="L40:L54" si="21">C$18*J40</f>
        <v>161011.66055830216</v>
      </c>
      <c r="M40" s="94">
        <f t="shared" ref="M40:M54" si="22">(L40-K40)</f>
        <v>19925.125465264486</v>
      </c>
      <c r="N40" s="92">
        <f t="shared" ref="N40:N54" si="23">M40/C$20</f>
        <v>0.68722839224454224</v>
      </c>
      <c r="O40" s="92">
        <f t="shared" ref="O40:O54" si="24">DEGREES(ASIN(N40/H40))</f>
        <v>0.82667402223098274</v>
      </c>
      <c r="P40" s="99">
        <f t="shared" ref="P40:P54" si="25">P22</f>
        <v>15.276999999999999</v>
      </c>
    </row>
    <row r="41" spans="1:16" ht="15" customHeight="1" x14ac:dyDescent="0.3">
      <c r="A41" s="41">
        <v>20</v>
      </c>
      <c r="B41" s="48">
        <f>K12*SIN(C40+C41-C$3)+0.5*C$17*C$7*C$5*(C41-C$8)*G12^2*COS(C40)-0.5*C$17*C$7*(C$11+1/PI()/C$10*C$5^2*(C41-C$8)^2)*G12^2*SIN(C40)-C$15</f>
        <v>4.7621142584830523E-9</v>
      </c>
      <c r="C41" s="42">
        <v>-2.2749357715785417E-4</v>
      </c>
      <c r="D41" s="43">
        <f t="shared" si="7"/>
        <v>-1.3034421837478794E-2</v>
      </c>
      <c r="F41" s="11">
        <f t="shared" si="16"/>
        <v>1.571</v>
      </c>
      <c r="G41" s="28">
        <f t="shared" si="16"/>
        <v>158.85</v>
      </c>
      <c r="H41" s="12">
        <f t="shared" si="17"/>
        <v>48.518818151414244</v>
      </c>
      <c r="I41" s="12">
        <f t="shared" si="18"/>
        <v>0.61437378630888406</v>
      </c>
      <c r="J41" s="11">
        <f t="shared" si="19"/>
        <v>0.66800325419144468</v>
      </c>
      <c r="K41" s="21">
        <f t="shared" si="20"/>
        <v>139895.79722632494</v>
      </c>
      <c r="L41" s="21">
        <f t="shared" si="21"/>
        <v>162735.91028913183</v>
      </c>
      <c r="M41" s="21">
        <f t="shared" si="22"/>
        <v>22840.113062806893</v>
      </c>
      <c r="N41" s="12">
        <f t="shared" si="23"/>
        <v>0.78776789667898817</v>
      </c>
      <c r="O41" s="12">
        <f t="shared" si="24"/>
        <v>0.93031447953654034</v>
      </c>
      <c r="P41" s="28">
        <f t="shared" si="25"/>
        <v>12.122999999999999</v>
      </c>
    </row>
    <row r="42" spans="1:16" ht="15" customHeight="1" x14ac:dyDescent="0.3">
      <c r="A42" s="32">
        <v>21</v>
      </c>
      <c r="B42" s="47">
        <f>-K13*COS(C42+C43-C$3)+0.5*C$17*C$7*C$5*(C43-C$8)*G13^2*SIN(C42)+0.5*C$17*C$7*(C$11+1/PI()/C$10*C$5^2*(C43-C$8)^2)*G13^2*COS(C42)</f>
        <v>3.6880578591080848E-6</v>
      </c>
      <c r="C42" s="33">
        <v>-2.6041254976401758E-2</v>
      </c>
      <c r="D42" s="34">
        <f t="shared" si="7"/>
        <v>-1.492054003371873</v>
      </c>
      <c r="F42" s="11">
        <f t="shared" si="16"/>
        <v>1.474</v>
      </c>
      <c r="G42" s="28">
        <f t="shared" si="16"/>
        <v>163.07</v>
      </c>
      <c r="H42" s="12">
        <f t="shared" si="17"/>
        <v>50.089830755957429</v>
      </c>
      <c r="I42" s="12">
        <f t="shared" si="18"/>
        <v>0.63426687107405877</v>
      </c>
      <c r="J42" s="11">
        <f t="shared" si="19"/>
        <v>0.68015452842857327</v>
      </c>
      <c r="K42" s="21">
        <f t="shared" si="20"/>
        <v>138073.78857449029</v>
      </c>
      <c r="L42" s="21">
        <f t="shared" si="21"/>
        <v>165696.14837441707</v>
      </c>
      <c r="M42" s="21">
        <f t="shared" si="22"/>
        <v>27622.35979992678</v>
      </c>
      <c r="N42" s="12">
        <f t="shared" si="23"/>
        <v>0.95271018234724969</v>
      </c>
      <c r="O42" s="12">
        <f t="shared" si="24"/>
        <v>1.0898332747924584</v>
      </c>
      <c r="P42" s="28">
        <f t="shared" si="25"/>
        <v>11.015000000000001</v>
      </c>
    </row>
    <row r="43" spans="1:16" ht="15" customHeight="1" x14ac:dyDescent="0.3">
      <c r="A43" s="35">
        <v>22</v>
      </c>
      <c r="B43" s="48">
        <f>K13*SIN(C42+C43-C$3)+0.5*C$17*C$7*C$5*(C43-C$8)*G13^2*COS(C42)-0.5*C$17*C$7*(C$11+1/PI()/C$10*C$5^2*(C43-C$8)^2)*G13^2*SIN(C42)-C$15</f>
        <v>2.6029738364741206E-8</v>
      </c>
      <c r="C43" s="36">
        <v>-7.3936027826138097E-3</v>
      </c>
      <c r="D43" s="37">
        <f t="shared" si="7"/>
        <v>-0.42362223483995276</v>
      </c>
      <c r="F43" s="11">
        <f t="shared" si="16"/>
        <v>1.379</v>
      </c>
      <c r="G43" s="28">
        <f t="shared" si="16"/>
        <v>167.61</v>
      </c>
      <c r="H43" s="12">
        <f t="shared" si="17"/>
        <v>51.78645383259844</v>
      </c>
      <c r="I43" s="12">
        <f t="shared" si="18"/>
        <v>0.65575050944880309</v>
      </c>
      <c r="J43" s="11">
        <f t="shared" si="19"/>
        <v>0.69271743770307448</v>
      </c>
      <c r="K43" s="21">
        <f t="shared" si="20"/>
        <v>136190.97031055955</v>
      </c>
      <c r="L43" s="21">
        <f t="shared" si="21"/>
        <v>168756.66711266834</v>
      </c>
      <c r="M43" s="21">
        <f t="shared" si="22"/>
        <v>32565.696802108781</v>
      </c>
      <c r="N43" s="12">
        <f t="shared" si="23"/>
        <v>1.1232085586939804</v>
      </c>
      <c r="O43" s="12">
        <f t="shared" si="24"/>
        <v>1.2427990703694676</v>
      </c>
      <c r="P43" s="28">
        <f t="shared" si="25"/>
        <v>9.5779999999999994</v>
      </c>
    </row>
    <row r="44" spans="1:16" ht="15" customHeight="1" x14ac:dyDescent="0.3">
      <c r="A44" s="38">
        <v>23</v>
      </c>
      <c r="B44" s="47">
        <f>-K14*COS(C44+C45-C$3)+0.5*C$17*C$7*C$5*(C45-C$8)*G14^2*SIN(C44)+0.5*C$17*C$7*(C$11+1/PI()/C$10*C$5^2*(C45-C$8)^2)*G14^2*COS(C44)</f>
        <v>1.4059221939533018E-5</v>
      </c>
      <c r="C44" s="39">
        <v>-3.9984186823903492E-2</v>
      </c>
      <c r="D44" s="40">
        <f t="shared" si="7"/>
        <v>-2.290925152272266</v>
      </c>
      <c r="F44" s="11">
        <f t="shared" si="16"/>
        <v>1.272</v>
      </c>
      <c r="G44" s="28">
        <f t="shared" si="16"/>
        <v>169.65</v>
      </c>
      <c r="H44" s="12">
        <f t="shared" si="17"/>
        <v>53.920604251684331</v>
      </c>
      <c r="I44" s="12">
        <f t="shared" si="18"/>
        <v>0.68277437613563563</v>
      </c>
      <c r="J44" s="11">
        <f t="shared" si="19"/>
        <v>0.70771097923421455</v>
      </c>
      <c r="K44" s="21">
        <f t="shared" si="20"/>
        <v>135369.66218392603</v>
      </c>
      <c r="L44" s="21">
        <f t="shared" si="21"/>
        <v>172409.32541069019</v>
      </c>
      <c r="M44" s="21">
        <f t="shared" si="22"/>
        <v>37039.663226764154</v>
      </c>
      <c r="N44" s="12">
        <f t="shared" si="23"/>
        <v>1.2775180890571389</v>
      </c>
      <c r="O44" s="12">
        <f t="shared" si="24"/>
        <v>1.3576117235691274</v>
      </c>
      <c r="P44" s="28">
        <f t="shared" si="25"/>
        <v>8.4719999999999995</v>
      </c>
    </row>
    <row r="45" spans="1:16" ht="15" customHeight="1" x14ac:dyDescent="0.3">
      <c r="A45" s="41">
        <v>24</v>
      </c>
      <c r="B45" s="48">
        <f>K14*SIN(C44+C45-C$3)+0.5*C$17*C$7*C$5*(C45-C$8)*G14^2*COS(C44)-0.5*C$17*C$7*(C$11+1/PI()/C$10*C$5^2*(C45-C$8)^2)*G14^2*SIN(C44)-C$15</f>
        <v>6.1285390984266996E-8</v>
      </c>
      <c r="C45" s="42">
        <v>-1.2519981357442565E-2</v>
      </c>
      <c r="D45" s="43">
        <f t="shared" si="7"/>
        <v>-0.71734209136393035</v>
      </c>
      <c r="F45" s="11">
        <f t="shared" si="16"/>
        <v>1.1779999999999999</v>
      </c>
      <c r="G45" s="28">
        <f t="shared" si="16"/>
        <v>170.58</v>
      </c>
      <c r="H45" s="12">
        <f t="shared" si="17"/>
        <v>56.030650022171436</v>
      </c>
      <c r="I45" s="12">
        <f t="shared" si="18"/>
        <v>0.70949301559741373</v>
      </c>
      <c r="J45" s="11">
        <f t="shared" si="19"/>
        <v>0.72166885428285987</v>
      </c>
      <c r="K45" s="21">
        <f t="shared" si="20"/>
        <v>135000.14099731692</v>
      </c>
      <c r="L45" s="21">
        <f t="shared" si="21"/>
        <v>175809.67935730776</v>
      </c>
      <c r="M45" s="21">
        <f t="shared" si="22"/>
        <v>40809.538359990838</v>
      </c>
      <c r="N45" s="12">
        <f t="shared" si="23"/>
        <v>1.4075431286126761</v>
      </c>
      <c r="O45" s="12">
        <f t="shared" si="24"/>
        <v>1.4394758094922735</v>
      </c>
      <c r="P45" s="28">
        <f t="shared" si="25"/>
        <v>7.694</v>
      </c>
    </row>
    <row r="46" spans="1:16" ht="15" customHeight="1" x14ac:dyDescent="0.3">
      <c r="A46" s="32">
        <v>25</v>
      </c>
      <c r="B46" s="47">
        <f>-K15*COS(C46+C47-C$3)+0.5*C$17*C$7*C$5*(C47-C$8)*G15^2*SIN(C46)+0.5*C$17*C$7*(C$11+1/PI()/C$10*C$5^2*(C47-C$8)^2)*G15^2*COS(C46)</f>
        <v>3.534843199304305E-5</v>
      </c>
      <c r="C46" s="33">
        <v>-5.4447081651077457E-2</v>
      </c>
      <c r="D46" s="34">
        <f t="shared" si="7"/>
        <v>-3.1195879854109241</v>
      </c>
      <c r="F46" s="11">
        <f t="shared" si="16"/>
        <v>1.08</v>
      </c>
      <c r="G46" s="28">
        <f t="shared" si="16"/>
        <v>169.97</v>
      </c>
      <c r="H46" s="12">
        <f t="shared" si="17"/>
        <v>58.517589536430684</v>
      </c>
      <c r="I46" s="12">
        <f t="shared" si="18"/>
        <v>0.74098410511506096</v>
      </c>
      <c r="J46" s="11">
        <f t="shared" si="19"/>
        <v>0.73704283963400585</v>
      </c>
      <c r="K46" s="21">
        <f t="shared" si="20"/>
        <v>135242.17292173053</v>
      </c>
      <c r="L46" s="21">
        <f t="shared" si="21"/>
        <v>179555.01964598469</v>
      </c>
      <c r="M46" s="21">
        <f t="shared" si="22"/>
        <v>44312.846724254166</v>
      </c>
      <c r="N46" s="12">
        <f t="shared" si="23"/>
        <v>1.5283741356197171</v>
      </c>
      <c r="O46" s="12">
        <f t="shared" si="24"/>
        <v>1.4966328466463794</v>
      </c>
      <c r="P46" s="28">
        <f t="shared" si="25"/>
        <v>7.048</v>
      </c>
    </row>
    <row r="47" spans="1:16" ht="15" customHeight="1" x14ac:dyDescent="0.3">
      <c r="A47" s="35">
        <v>26</v>
      </c>
      <c r="B47" s="48">
        <f>K15*SIN(C46+C47-C$3)+0.5*C$17*C$7*C$5*(C47-C$8)*G15^2*COS(C46)-0.5*C$17*C$7*(C$11+1/PI()/C$10*C$5^2*(C47-C$8)^2)*G15^2*SIN(C46)-C$15</f>
        <v>1.1401061783544719E-7</v>
      </c>
      <c r="C47" s="36">
        <v>-1.6819792782355313E-2</v>
      </c>
      <c r="D47" s="37">
        <f t="shared" si="7"/>
        <v>-0.96370313871356339</v>
      </c>
      <c r="F47" s="11">
        <f t="shared" si="16"/>
        <v>0.96899999999999997</v>
      </c>
      <c r="G47" s="28">
        <f t="shared" si="16"/>
        <v>164.23</v>
      </c>
      <c r="H47" s="12">
        <f t="shared" si="17"/>
        <v>61.77836603350211</v>
      </c>
      <c r="I47" s="12">
        <f t="shared" si="18"/>
        <v>0.78227397323511516</v>
      </c>
      <c r="J47" s="11">
        <f t="shared" si="19"/>
        <v>0.755490264779487</v>
      </c>
      <c r="K47" s="21">
        <f t="shared" si="20"/>
        <v>137585.29858785009</v>
      </c>
      <c r="L47" s="21">
        <f t="shared" si="21"/>
        <v>184049.09733902558</v>
      </c>
      <c r="M47" s="21">
        <f t="shared" si="22"/>
        <v>46463.798751175491</v>
      </c>
      <c r="N47" s="12">
        <f t="shared" si="23"/>
        <v>1.602561638520676</v>
      </c>
      <c r="O47" s="12">
        <f t="shared" si="24"/>
        <v>1.4864478469164948</v>
      </c>
      <c r="P47" s="28">
        <f t="shared" si="25"/>
        <v>6.0739999999999998</v>
      </c>
    </row>
    <row r="48" spans="1:16" ht="15" customHeight="1" x14ac:dyDescent="0.3">
      <c r="A48" s="38">
        <v>27</v>
      </c>
      <c r="B48" s="47">
        <f>-K16*COS(C48+C49-C$3)+0.5*C$17*C$7*C$5*(C49-C$8)*G16^2*SIN(C48)+0.5*C$17*C$7*(C$11+1/PI()/C$10*C$5^2*(C49-C$8)^2)*G16^2*COS(C48)</f>
        <v>5.9208105085417628E-10</v>
      </c>
      <c r="C48" s="39">
        <v>-6.937865355089759E-2</v>
      </c>
      <c r="D48" s="40">
        <f t="shared" si="7"/>
        <v>-3.9751040367667545</v>
      </c>
      <c r="F48" s="11">
        <f t="shared" si="16"/>
        <v>0.86799999999999999</v>
      </c>
      <c r="G48" s="28">
        <f t="shared" si="16"/>
        <v>160.72999999999999</v>
      </c>
      <c r="H48" s="12">
        <f t="shared" si="17"/>
        <v>65.273731916464214</v>
      </c>
      <c r="I48" s="12">
        <f t="shared" si="18"/>
        <v>0.82653435000993014</v>
      </c>
      <c r="J48" s="11">
        <f t="shared" si="19"/>
        <v>0.77319179210754918</v>
      </c>
      <c r="K48" s="21">
        <f t="shared" si="20"/>
        <v>139075.23574012046</v>
      </c>
      <c r="L48" s="21">
        <f t="shared" si="21"/>
        <v>188361.46280306351</v>
      </c>
      <c r="M48" s="21">
        <f t="shared" si="22"/>
        <v>49286.227062943042</v>
      </c>
      <c r="N48" s="12">
        <f t="shared" si="23"/>
        <v>1.6999087229494738</v>
      </c>
      <c r="O48" s="12">
        <f t="shared" si="24"/>
        <v>1.4923094708696523</v>
      </c>
      <c r="P48" s="28">
        <f t="shared" si="25"/>
        <v>5.0990000000000002</v>
      </c>
    </row>
    <row r="49" spans="1:16" ht="15" customHeight="1" x14ac:dyDescent="0.3">
      <c r="A49" s="41">
        <v>28</v>
      </c>
      <c r="B49" s="48">
        <f>K16*SIN(C48+C49-C$3)+0.5*C$17*C$7*C$5*(C49-C$8)*G16^2*COS(C48)-0.5*C$17*C$7*(C$11+1/PI()/C$10*C$5^2*(C49-C$8)^2)*G16^2*SIN(C48)-C$15</f>
        <v>-1.3228782336227596E-7</v>
      </c>
      <c r="C49" s="42">
        <v>-2.0462329970491019E-2</v>
      </c>
      <c r="D49" s="43">
        <f t="shared" si="7"/>
        <v>-1.1724051463131897</v>
      </c>
      <c r="F49" s="11">
        <f t="shared" si="16"/>
        <v>0.77100000000000002</v>
      </c>
      <c r="G49" s="28">
        <f t="shared" si="16"/>
        <v>153.61000000000001</v>
      </c>
      <c r="H49" s="12">
        <f t="shared" si="17"/>
        <v>69.258186740385923</v>
      </c>
      <c r="I49" s="12">
        <f t="shared" si="18"/>
        <v>0.87698785835611659</v>
      </c>
      <c r="J49" s="11">
        <f t="shared" si="19"/>
        <v>0.79087418484588512</v>
      </c>
      <c r="K49" s="21">
        <f t="shared" si="20"/>
        <v>142261.87636800556</v>
      </c>
      <c r="L49" s="21">
        <f t="shared" si="21"/>
        <v>192669.16678550301</v>
      </c>
      <c r="M49" s="21">
        <f t="shared" si="22"/>
        <v>50407.290417497454</v>
      </c>
      <c r="N49" s="12">
        <f t="shared" si="23"/>
        <v>1.7385748065381463</v>
      </c>
      <c r="O49" s="12">
        <f t="shared" si="24"/>
        <v>1.4384359208393165</v>
      </c>
      <c r="P49" s="28">
        <f t="shared" si="25"/>
        <v>3.86</v>
      </c>
    </row>
    <row r="50" spans="1:16" ht="15" customHeight="1" x14ac:dyDescent="0.3">
      <c r="A50" s="32">
        <v>29</v>
      </c>
      <c r="B50" s="47">
        <f>-K17*COS(C50+C51-C$3)+0.5*C$17*C$7*C$5*(C51-C$8)*G17^2*SIN(C50)+0.5*C$17*C$7*(C$11+1/PI()/C$10*C$5^2*(C51-C$8)^2)*G17^2*COS(C50)</f>
        <v>1.0868461686186492E-9</v>
      </c>
      <c r="C50" s="33">
        <v>-8.6969878543856682E-2</v>
      </c>
      <c r="D50" s="34">
        <f t="shared" si="7"/>
        <v>-4.9830069853283616</v>
      </c>
      <c r="F50" s="11">
        <f t="shared" si="16"/>
        <v>0.56899999999999995</v>
      </c>
      <c r="G50" s="28">
        <f t="shared" si="16"/>
        <v>116.14</v>
      </c>
      <c r="H50" s="12">
        <f t="shared" si="17"/>
        <v>80.619884728579308</v>
      </c>
      <c r="I50" s="12">
        <f t="shared" si="18"/>
        <v>1.0208563547016098</v>
      </c>
      <c r="J50" s="11">
        <f t="shared" si="19"/>
        <v>0.82792697071299515</v>
      </c>
      <c r="K50" s="21">
        <f t="shared" si="20"/>
        <v>163609.0663361848</v>
      </c>
      <c r="L50" s="21">
        <f t="shared" si="21"/>
        <v>201695.79771731031</v>
      </c>
      <c r="M50" s="21">
        <f t="shared" si="22"/>
        <v>38086.731381125515</v>
      </c>
      <c r="N50" s="12">
        <f t="shared" si="23"/>
        <v>1.313632038028083</v>
      </c>
      <c r="O50" s="12">
        <f t="shared" si="24"/>
        <v>0.93362701713487339</v>
      </c>
      <c r="P50" s="28">
        <f t="shared" si="25"/>
        <v>2.0419999999999998</v>
      </c>
    </row>
    <row r="51" spans="1:16" ht="15" customHeight="1" x14ac:dyDescent="0.3">
      <c r="A51" s="35">
        <v>30</v>
      </c>
      <c r="B51" s="48">
        <f>K17*SIN(C50+C51-C$3)+0.5*C$17*C$7*C$5*(C51-C$8)*G17^2*COS(C50)-0.5*C$17*C$7*(C$11+1/PI()/C$10*C$5^2*(C51-C$8)^2)*G17^2*SIN(C50)-C$15</f>
        <v>-2.6481211534701288E-7</v>
      </c>
      <c r="C51" s="36">
        <v>-2.3983322246316014E-2</v>
      </c>
      <c r="D51" s="37">
        <f t="shared" si="7"/>
        <v>-1.3741431434161246</v>
      </c>
      <c r="F51" s="11">
        <f t="shared" si="16"/>
        <v>0.47099999999999997</v>
      </c>
      <c r="G51" s="28">
        <f t="shared" si="16"/>
        <v>88.53</v>
      </c>
      <c r="H51" s="12">
        <f t="shared" si="17"/>
        <v>88.611043820608174</v>
      </c>
      <c r="I51" s="12">
        <f t="shared" si="18"/>
        <v>1.122045106930591</v>
      </c>
      <c r="J51" s="11">
        <f t="shared" si="19"/>
        <v>0.84348569727351652</v>
      </c>
      <c r="K51" s="21">
        <f t="shared" si="20"/>
        <v>187392.86238703673</v>
      </c>
      <c r="L51" s="21">
        <f t="shared" si="21"/>
        <v>205486.14381799038</v>
      </c>
      <c r="M51" s="21">
        <f t="shared" si="22"/>
        <v>18093.281430953648</v>
      </c>
      <c r="N51" s="12">
        <f t="shared" si="23"/>
        <v>0.62404709721396245</v>
      </c>
      <c r="O51" s="12">
        <f t="shared" si="24"/>
        <v>0.40351133351027146</v>
      </c>
      <c r="P51" s="28">
        <f t="shared" si="25"/>
        <v>1.198</v>
      </c>
    </row>
    <row r="52" spans="1:16" ht="15" customHeight="1" x14ac:dyDescent="0.3">
      <c r="F52" s="11">
        <f t="shared" si="16"/>
        <v>0.371</v>
      </c>
      <c r="G52" s="28">
        <f t="shared" si="16"/>
        <v>56.77</v>
      </c>
      <c r="H52" s="12">
        <f t="shared" si="17"/>
        <v>99.8415584161813</v>
      </c>
      <c r="I52" s="12">
        <f t="shared" si="18"/>
        <v>1.2642524820720715</v>
      </c>
      <c r="J52" s="11">
        <f t="shared" si="19"/>
        <v>0.85317201957823441</v>
      </c>
      <c r="K52" s="21">
        <f t="shared" si="20"/>
        <v>234012.37807536114</v>
      </c>
      <c r="L52" s="21">
        <f t="shared" si="21"/>
        <v>207845.88154040638</v>
      </c>
      <c r="M52" s="21">
        <f t="shared" si="22"/>
        <v>-26166.496534954756</v>
      </c>
      <c r="N52" s="12">
        <f t="shared" si="23"/>
        <v>-0.90249666812578067</v>
      </c>
      <c r="O52" s="12">
        <f t="shared" si="24"/>
        <v>-0.51792014404977382</v>
      </c>
      <c r="P52" s="28">
        <f t="shared" si="25"/>
        <v>0.42</v>
      </c>
    </row>
    <row r="53" spans="1:16" ht="15" customHeight="1" x14ac:dyDescent="0.3">
      <c r="B53" s="53"/>
      <c r="C53" s="53"/>
      <c r="D53" s="53"/>
      <c r="F53" s="11">
        <f t="shared" si="16"/>
        <v>0.27600000000000002</v>
      </c>
      <c r="G53" s="28">
        <f t="shared" si="16"/>
        <v>29.74</v>
      </c>
      <c r="H53" s="12">
        <f t="shared" si="17"/>
        <v>115.75606767153603</v>
      </c>
      <c r="I53" s="12">
        <f t="shared" si="18"/>
        <v>1.465771350028567</v>
      </c>
      <c r="J53" s="11">
        <f t="shared" si="19"/>
        <v>0.8482260870976166</v>
      </c>
      <c r="K53" s="21">
        <f t="shared" si="20"/>
        <v>323316.44509231049</v>
      </c>
      <c r="L53" s="21">
        <f t="shared" si="21"/>
        <v>206640.97599629167</v>
      </c>
      <c r="M53" s="21">
        <f t="shared" si="22"/>
        <v>-116675.46909601882</v>
      </c>
      <c r="N53" s="12">
        <f t="shared" si="23"/>
        <v>-4.0242002581623613</v>
      </c>
      <c r="O53" s="12">
        <f t="shared" si="24"/>
        <v>-1.9922597914215834</v>
      </c>
      <c r="P53" s="28">
        <f t="shared" si="25"/>
        <v>-0.29199999999999998</v>
      </c>
    </row>
    <row r="54" spans="1:16" ht="15" customHeight="1" x14ac:dyDescent="0.3">
      <c r="B54" s="53"/>
      <c r="C54" s="53"/>
      <c r="D54" s="53"/>
      <c r="F54" s="11">
        <f t="shared" si="16"/>
        <v>0.186</v>
      </c>
      <c r="G54" s="28">
        <f t="shared" si="16"/>
        <v>10.85</v>
      </c>
      <c r="H54" s="12">
        <f t="shared" si="17"/>
        <v>141.00737698933125</v>
      </c>
      <c r="I54" s="12">
        <f t="shared" si="18"/>
        <v>1.7855182669138139</v>
      </c>
      <c r="J54" s="11">
        <f t="shared" si="19"/>
        <v>0.81590671749832788</v>
      </c>
      <c r="K54" s="21">
        <f t="shared" si="20"/>
        <v>535282.94717422326</v>
      </c>
      <c r="L54" s="21">
        <f t="shared" si="21"/>
        <v>198767.4783767669</v>
      </c>
      <c r="M54" s="21">
        <f t="shared" si="22"/>
        <v>-336515.46879745636</v>
      </c>
      <c r="N54" s="12">
        <f t="shared" si="23"/>
        <v>-11.606601172487251</v>
      </c>
      <c r="O54" s="12">
        <f t="shared" si="24"/>
        <v>-4.7214728096250616</v>
      </c>
      <c r="P54" s="28">
        <f t="shared" si="25"/>
        <v>-1.071</v>
      </c>
    </row>
    <row r="55" spans="1:16" ht="15" customHeight="1" thickBot="1" x14ac:dyDescent="0.35">
      <c r="B55" s="53"/>
      <c r="C55" s="53"/>
      <c r="D55" s="53"/>
    </row>
    <row r="56" spans="1:16" ht="18.600000000000001" thickBot="1" x14ac:dyDescent="0.35">
      <c r="G56" s="132" t="s">
        <v>192</v>
      </c>
      <c r="H56" s="133"/>
      <c r="I56" s="133"/>
      <c r="J56" s="133"/>
      <c r="K56" s="133"/>
      <c r="L56" s="133"/>
      <c r="M56" s="133"/>
      <c r="N56" s="134"/>
      <c r="O56" s="53"/>
      <c r="P56" s="54"/>
    </row>
    <row r="57" spans="1:16" ht="18.600000000000001" thickBot="1" x14ac:dyDescent="0.35">
      <c r="B57" s="54" t="s">
        <v>154</v>
      </c>
      <c r="C57" s="54" t="s">
        <v>156</v>
      </c>
      <c r="D57" s="30" t="s">
        <v>157</v>
      </c>
      <c r="E57" s="30" t="s">
        <v>155</v>
      </c>
      <c r="G57" s="97" t="s">
        <v>67</v>
      </c>
      <c r="H57" s="97" t="s">
        <v>15</v>
      </c>
      <c r="I57" s="96" t="s">
        <v>74</v>
      </c>
      <c r="J57" s="96" t="s">
        <v>73</v>
      </c>
      <c r="K57" s="96" t="s">
        <v>68</v>
      </c>
      <c r="L57" s="96" t="s">
        <v>70</v>
      </c>
      <c r="M57" s="96" t="s">
        <v>87</v>
      </c>
      <c r="N57" s="96" t="s">
        <v>69</v>
      </c>
    </row>
    <row r="58" spans="1:16" x14ac:dyDescent="0.3">
      <c r="B58" s="100">
        <f>-K58*COS(C58+D58-C$3)+0.5*C$17*C$7*C$5*(D58-C$8)*G58^2*SIN(C58)+0.5*C$17*C$7*(C$11+1/PI()/C$10*C$5^2*(D58-C$8)^2)*G58^2*COS(C58)</f>
        <v>-1.4635248498962028E-4</v>
      </c>
      <c r="C58" s="39">
        <v>2.1897531638237079E-2</v>
      </c>
      <c r="D58" s="55">
        <v>0.20771123047068898</v>
      </c>
      <c r="E58" s="100">
        <f>K58*SIN(C58+D58-C$3)+0.5*C$17*C$7*C$5*(D58-C$8)*G58^2*COS(C58)-0.5*C$17*C$7*(C$11+1/PI()/C$10*C$5^2*(D58-C$8)^2)*G58^2*SIN(C58)-C$20</f>
        <v>-4.3655745685100555E-11</v>
      </c>
      <c r="G58" s="91">
        <f>SQRT(2*C$2/C$7/C$16/C$17)</f>
        <v>47.632623686327229</v>
      </c>
      <c r="H58" s="92">
        <f>G58/C$12/C$4</f>
        <v>0.60315227124183557</v>
      </c>
      <c r="I58" s="93">
        <f>0.2202*H58^3-1.1245*H58^2+1.7429*H58</f>
        <v>0.69046605077701972</v>
      </c>
      <c r="J58" s="94">
        <f>C$18*I58</f>
        <v>168208.19448394133</v>
      </c>
      <c r="K58" s="94">
        <f>J58/G58</f>
        <v>3531.3653010515332</v>
      </c>
      <c r="L58" s="92">
        <f>DEGREES(D58)</f>
        <v>11.900976863439622</v>
      </c>
      <c r="M58" s="92">
        <f>DEGREES(C58)</f>
        <v>1.2546361446251761</v>
      </c>
      <c r="N58" s="92">
        <f>G58*SIN(RADIANS(M58))</f>
        <v>1.042953529822173</v>
      </c>
    </row>
    <row r="59" spans="1:16" x14ac:dyDescent="0.3">
      <c r="B59" s="100">
        <f t="shared" ref="B59:B72" si="26">-K59*COS(C59+D59-C$3)+0.5*C$17*C$7*C$5*(D59-C$8)*G59^2*SIN(C59)+0.5*C$17*C$7*(C$11+1/PI()/C$10*C$5^2*(D59-C$8)^2)*G59^2*COS(C59)</f>
        <v>-6.5338634158251807E-5</v>
      </c>
      <c r="C59" s="56">
        <v>2.5621701671027584E-2</v>
      </c>
      <c r="D59" s="55">
        <v>0.18447452761383704</v>
      </c>
      <c r="E59" s="100">
        <f t="shared" ref="E59:E72" si="27">K59*SIN(C59+D59-C$3)+0.5*C$17*C$7*C$5*(D59-C$8)*G59^2*COS(C59)-0.5*C$17*C$7*(C$11+1/PI()/C$10*C$5^2*(D59-C$8)^2)*G59^2*SIN(C59)-C$20</f>
        <v>0</v>
      </c>
      <c r="G59" s="95">
        <f>G4</f>
        <v>50</v>
      </c>
      <c r="H59" s="12">
        <f t="shared" ref="H59" si="28">G59/C$12/C$4</f>
        <v>0.63312938125531826</v>
      </c>
      <c r="I59" s="11">
        <f t="shared" ref="I59:I72" si="29">0.2202*H59^3-1.1245*H59^2+1.7429*H59</f>
        <v>0.7086071408706538</v>
      </c>
      <c r="J59" s="21">
        <f t="shared" ref="J59" si="30">C$18*I59</f>
        <v>172627.64422688916</v>
      </c>
      <c r="K59" s="21">
        <f t="shared" ref="K59" si="31">J59/G59</f>
        <v>3452.552884537783</v>
      </c>
      <c r="L59" s="12">
        <f t="shared" ref="L59" si="32">DEGREES(D59)</f>
        <v>10.569611859942423</v>
      </c>
      <c r="M59" s="12">
        <f t="shared" ref="M59" si="33">DEGREES(C59)</f>
        <v>1.4680153696931695</v>
      </c>
      <c r="N59" s="12">
        <f t="shared" ref="N59" si="34">G59*SIN(RADIANS(M59))</f>
        <v>1.2809449221570446</v>
      </c>
    </row>
    <row r="60" spans="1:16" x14ac:dyDescent="0.3">
      <c r="B60" s="100">
        <f t="shared" si="26"/>
        <v>-1.818919149627618E-4</v>
      </c>
      <c r="C60" s="56">
        <v>2.7949508268625686E-2</v>
      </c>
      <c r="D60" s="55">
        <v>0.16716164632020886</v>
      </c>
      <c r="E60" s="100">
        <f t="shared" si="27"/>
        <v>0</v>
      </c>
      <c r="G60" s="95">
        <f t="shared" ref="G60:G72" si="35">G5</f>
        <v>52</v>
      </c>
      <c r="H60" s="12">
        <f t="shared" ref="H60:H72" si="36">G60/C$12/C$4</f>
        <v>0.65845455650553097</v>
      </c>
      <c r="I60" s="11">
        <f t="shared" si="29"/>
        <v>0.72294247135736489</v>
      </c>
      <c r="J60" s="21">
        <f t="shared" ref="J60:J72" si="37">C$18*I60</f>
        <v>176119.95214816448</v>
      </c>
      <c r="K60" s="21">
        <f t="shared" ref="K60:K72" si="38">J60/G60</f>
        <v>3386.9221566954707</v>
      </c>
      <c r="L60" s="12">
        <f t="shared" ref="L60:L72" si="39">DEGREES(D60)</f>
        <v>9.5776568306065357</v>
      </c>
      <c r="M60" s="12">
        <f t="shared" ref="M60:M71" si="40">DEGREES(C60)</f>
        <v>1.6013888632582485</v>
      </c>
      <c r="N60" s="12">
        <f t="shared" ref="N60:N72" si="41">G60*SIN(RADIANS(M60))</f>
        <v>1.453185214061151</v>
      </c>
    </row>
    <row r="61" spans="1:16" x14ac:dyDescent="0.3">
      <c r="B61" s="100">
        <f t="shared" si="26"/>
        <v>4.2973513245669892E-4</v>
      </c>
      <c r="C61" s="56">
        <v>3.15823137061449E-2</v>
      </c>
      <c r="D61" s="55">
        <v>0.1193549598949795</v>
      </c>
      <c r="E61" s="100">
        <f t="shared" si="27"/>
        <v>4.220055416226387E-10</v>
      </c>
      <c r="G61" s="95">
        <f t="shared" si="35"/>
        <v>59</v>
      </c>
      <c r="H61" s="12">
        <f t="shared" si="36"/>
        <v>0.74709266988127543</v>
      </c>
      <c r="I61" s="11">
        <f t="shared" si="29"/>
        <v>0.76629172838389359</v>
      </c>
      <c r="J61" s="21">
        <f t="shared" si="37"/>
        <v>186680.50070583352</v>
      </c>
      <c r="K61" s="21">
        <f t="shared" si="38"/>
        <v>3164.0762831497204</v>
      </c>
      <c r="L61" s="12">
        <f t="shared" si="39"/>
        <v>6.8385354659355286</v>
      </c>
      <c r="M61" s="12">
        <f t="shared" si="40"/>
        <v>1.8095332826202761</v>
      </c>
      <c r="N61" s="12">
        <f t="shared" si="41"/>
        <v>1.8630467589363093</v>
      </c>
    </row>
    <row r="62" spans="1:16" x14ac:dyDescent="0.3">
      <c r="B62" s="100">
        <f t="shared" si="26"/>
        <v>1.7000196203298401E-4</v>
      </c>
      <c r="C62" s="56">
        <v>2.9765640441938891E-2</v>
      </c>
      <c r="D62" s="55">
        <v>8.1545562468533533E-2</v>
      </c>
      <c r="E62" s="100">
        <f t="shared" si="27"/>
        <v>7.6397554948925972E-11</v>
      </c>
      <c r="G62" s="95">
        <f t="shared" si="35"/>
        <v>67</v>
      </c>
      <c r="H62" s="12">
        <f t="shared" si="36"/>
        <v>0.84839337088212652</v>
      </c>
      <c r="I62" s="11">
        <f t="shared" si="29"/>
        <v>0.80374692195991659</v>
      </c>
      <c r="J62" s="21">
        <f t="shared" si="37"/>
        <v>195805.16437087441</v>
      </c>
      <c r="K62" s="21">
        <f t="shared" si="38"/>
        <v>2922.465139863797</v>
      </c>
      <c r="L62" s="12">
        <f t="shared" si="39"/>
        <v>4.6722165674673786</v>
      </c>
      <c r="M62" s="12">
        <f t="shared" si="40"/>
        <v>1.7054455718270169</v>
      </c>
      <c r="N62" s="12">
        <f t="shared" si="41"/>
        <v>1.9940034335407895</v>
      </c>
    </row>
    <row r="63" spans="1:16" x14ac:dyDescent="0.3">
      <c r="B63" s="100">
        <f t="shared" si="26"/>
        <v>-2.2165716177369177E-4</v>
      </c>
      <c r="C63" s="56">
        <v>2.4807187727758761E-2</v>
      </c>
      <c r="D63" s="55">
        <v>5.7813226614179709E-2</v>
      </c>
      <c r="E63" s="100">
        <f t="shared" si="27"/>
        <v>3.637978807091713E-11</v>
      </c>
      <c r="G63" s="95">
        <f t="shared" si="35"/>
        <v>74</v>
      </c>
      <c r="H63" s="12">
        <f t="shared" si="36"/>
        <v>0.93703148425787097</v>
      </c>
      <c r="I63" s="11">
        <f t="shared" si="29"/>
        <v>0.82697700721554901</v>
      </c>
      <c r="J63" s="21">
        <f t="shared" si="37"/>
        <v>201464.37193677956</v>
      </c>
      <c r="K63" s="21">
        <f t="shared" si="38"/>
        <v>2722.4915126591832</v>
      </c>
      <c r="L63" s="12">
        <f t="shared" si="39"/>
        <v>3.3124538850259033</v>
      </c>
      <c r="M63" s="12">
        <f t="shared" si="40"/>
        <v>1.4213471583893076</v>
      </c>
      <c r="N63" s="12">
        <f t="shared" si="41"/>
        <v>1.8355436137980645</v>
      </c>
    </row>
    <row r="64" spans="1:16" x14ac:dyDescent="0.3">
      <c r="B64" s="100">
        <f t="shared" si="26"/>
        <v>1.6664430404489394E-5</v>
      </c>
      <c r="C64" s="56">
        <v>1.7707539547768276E-2</v>
      </c>
      <c r="D64" s="55">
        <v>3.986248959305945E-2</v>
      </c>
      <c r="E64" s="100">
        <f>K64*SIN(C64+D64-C$3)+0.5*C$17*C$7*C$5*(D64-C$8)*G64^2*COS(C64)-0.5*C$17*C$7*(C$11+1/PI()/C$10*C$5^2*(D64-C$8)^2)*G64^2*SIN(C64)-C$20</f>
        <v>1.0913936421275139E-10</v>
      </c>
      <c r="G64" s="95">
        <f t="shared" si="35"/>
        <v>81</v>
      </c>
      <c r="H64" s="12">
        <f t="shared" si="36"/>
        <v>1.0256695976336156</v>
      </c>
      <c r="I64" s="11">
        <f t="shared" si="29"/>
        <v>0.84226400057853157</v>
      </c>
      <c r="J64" s="21">
        <f t="shared" si="37"/>
        <v>205188.51963351504</v>
      </c>
      <c r="K64" s="21">
        <f t="shared" si="38"/>
        <v>2533.1916004137661</v>
      </c>
      <c r="L64" s="12">
        <f t="shared" si="39"/>
        <v>2.2839524145664729</v>
      </c>
      <c r="M64" s="12">
        <f t="shared" si="40"/>
        <v>1.0145672816481166</v>
      </c>
      <c r="N64" s="12">
        <f t="shared" si="41"/>
        <v>1.4342357481944916</v>
      </c>
    </row>
    <row r="65" spans="1:14" x14ac:dyDescent="0.3">
      <c r="B65" s="100">
        <f t="shared" si="26"/>
        <v>-2.3042983048071619E-4</v>
      </c>
      <c r="C65" s="56">
        <v>7.7097480249819477E-3</v>
      </c>
      <c r="D65" s="55">
        <v>2.4235426828046958E-2</v>
      </c>
      <c r="E65" s="110">
        <f t="shared" si="27"/>
        <v>3.3563010219950229E-6</v>
      </c>
      <c r="G65" s="95">
        <f t="shared" si="35"/>
        <v>89</v>
      </c>
      <c r="H65" s="12">
        <f t="shared" si="36"/>
        <v>1.1269702986344665</v>
      </c>
      <c r="I65" s="11">
        <f t="shared" si="29"/>
        <v>0.85118890490748611</v>
      </c>
      <c r="J65" s="21">
        <f t="shared" si="37"/>
        <v>207362.76417664054</v>
      </c>
      <c r="K65" s="21">
        <f t="shared" si="38"/>
        <v>2329.9186986139389</v>
      </c>
      <c r="L65" s="12">
        <f t="shared" si="39"/>
        <v>1.3885876719452186</v>
      </c>
      <c r="M65" s="12">
        <f t="shared" si="40"/>
        <v>0.44173602294078756</v>
      </c>
      <c r="N65" s="12">
        <f t="shared" si="41"/>
        <v>0.6861607765856178</v>
      </c>
    </row>
    <row r="66" spans="1:14" x14ac:dyDescent="0.3">
      <c r="B66" s="100">
        <f t="shared" si="26"/>
        <v>1.8186148463428253E-4</v>
      </c>
      <c r="C66" s="56">
        <v>-2.2741269406478548E-3</v>
      </c>
      <c r="D66" s="55">
        <v>1.3602326108947627E-2</v>
      </c>
      <c r="E66" s="100">
        <f t="shared" si="27"/>
        <v>4.7293724492192268E-11</v>
      </c>
      <c r="G66" s="95">
        <f t="shared" si="35"/>
        <v>96</v>
      </c>
      <c r="H66" s="12">
        <f t="shared" si="36"/>
        <v>1.2156084120102111</v>
      </c>
      <c r="I66" s="11">
        <f t="shared" si="29"/>
        <v>0.8525532476442943</v>
      </c>
      <c r="J66" s="21">
        <f t="shared" si="37"/>
        <v>207695.1391401272</v>
      </c>
      <c r="K66" s="21">
        <f t="shared" si="38"/>
        <v>2163.4910327096582</v>
      </c>
      <c r="L66" s="12">
        <f t="shared" si="39"/>
        <v>0.77935587760330627</v>
      </c>
      <c r="M66" s="12">
        <f t="shared" si="40"/>
        <v>-0.13029787577611993</v>
      </c>
      <c r="N66" s="12">
        <f t="shared" si="41"/>
        <v>-0.21831599812630365</v>
      </c>
    </row>
    <row r="67" spans="1:14" x14ac:dyDescent="0.3">
      <c r="B67" s="100">
        <f t="shared" si="26"/>
        <v>-6.096844708736171E-5</v>
      </c>
      <c r="C67" s="56">
        <v>-1.3157074117312539E-2</v>
      </c>
      <c r="D67" s="55">
        <v>5.0377570151513319E-3</v>
      </c>
      <c r="E67" s="100">
        <f t="shared" si="27"/>
        <v>0</v>
      </c>
      <c r="G67" s="95">
        <f t="shared" si="35"/>
        <v>103</v>
      </c>
      <c r="H67" s="12">
        <f t="shared" si="36"/>
        <v>1.3042465253859556</v>
      </c>
      <c r="I67" s="11">
        <f t="shared" si="29"/>
        <v>0.84886620835598925</v>
      </c>
      <c r="J67" s="21">
        <f t="shared" si="37"/>
        <v>206796.91942175117</v>
      </c>
      <c r="K67" s="21">
        <f t="shared" si="38"/>
        <v>2007.7370817645744</v>
      </c>
      <c r="L67" s="12">
        <f t="shared" si="39"/>
        <v>0.28864221518059446</v>
      </c>
      <c r="M67" s="12">
        <f t="shared" si="40"/>
        <v>-0.75384481766282152</v>
      </c>
      <c r="N67" s="12">
        <f t="shared" si="41"/>
        <v>-1.3551395355757434</v>
      </c>
    </row>
    <row r="68" spans="1:14" x14ac:dyDescent="0.3">
      <c r="B68" s="100">
        <f t="shared" si="26"/>
        <v>4.6530552481272025E-5</v>
      </c>
      <c r="C68" s="56">
        <v>-2.6486354174879545E-2</v>
      </c>
      <c r="D68" s="55">
        <v>-2.8567105225535262E-3</v>
      </c>
      <c r="E68" s="100">
        <f t="shared" si="27"/>
        <v>3.2741809263825417E-11</v>
      </c>
      <c r="G68" s="95">
        <f t="shared" si="35"/>
        <v>111</v>
      </c>
      <c r="H68" s="12">
        <f t="shared" si="36"/>
        <v>1.4055472263868065</v>
      </c>
      <c r="I68" s="11">
        <f t="shared" si="29"/>
        <v>0.83964737316617111</v>
      </c>
      <c r="J68" s="21">
        <f t="shared" si="37"/>
        <v>204551.06878104369</v>
      </c>
      <c r="K68" s="21">
        <f t="shared" si="38"/>
        <v>1842.8024214508441</v>
      </c>
      <c r="L68" s="12">
        <f t="shared" si="39"/>
        <v>-0.16367745623292904</v>
      </c>
      <c r="M68" s="12">
        <f t="shared" si="40"/>
        <v>-1.5175563089093058</v>
      </c>
      <c r="N68" s="12">
        <f t="shared" si="41"/>
        <v>-2.9396415789768087</v>
      </c>
    </row>
    <row r="69" spans="1:14" x14ac:dyDescent="0.3">
      <c r="B69" s="100">
        <f t="shared" si="26"/>
        <v>-1.0504608053452102E-4</v>
      </c>
      <c r="C69" s="56">
        <v>-3.8801893580795277E-2</v>
      </c>
      <c r="D69" s="55">
        <v>-8.5025029407232965E-3</v>
      </c>
      <c r="E69" s="100">
        <f t="shared" si="27"/>
        <v>0</v>
      </c>
      <c r="G69" s="95">
        <f t="shared" si="35"/>
        <v>118</v>
      </c>
      <c r="H69" s="12">
        <f t="shared" si="36"/>
        <v>1.4941853397625509</v>
      </c>
      <c r="I69" s="11">
        <f t="shared" si="29"/>
        <v>0.82823420439641393</v>
      </c>
      <c r="J69" s="21">
        <f t="shared" si="37"/>
        <v>201770.64458793396</v>
      </c>
      <c r="K69" s="21">
        <f t="shared" si="38"/>
        <v>1709.9207168468979</v>
      </c>
      <c r="L69" s="12">
        <f t="shared" si="39"/>
        <v>-0.48715753380101606</v>
      </c>
      <c r="M69" s="12">
        <f t="shared" si="40"/>
        <v>-2.2231847392953306</v>
      </c>
      <c r="N69" s="12">
        <f t="shared" si="41"/>
        <v>-4.5774746097400971</v>
      </c>
    </row>
    <row r="70" spans="1:14" x14ac:dyDescent="0.3">
      <c r="B70" s="100">
        <f t="shared" si="26"/>
        <v>-4.9909324843611103E-5</v>
      </c>
      <c r="C70" s="56">
        <v>-5.1641595035181495E-2</v>
      </c>
      <c r="D70" s="55">
        <v>-1.3236609574723019E-2</v>
      </c>
      <c r="E70" s="100">
        <f t="shared" si="27"/>
        <v>-3.2741809263825417E-11</v>
      </c>
      <c r="G70" s="95">
        <f t="shared" si="35"/>
        <v>125</v>
      </c>
      <c r="H70" s="12">
        <f t="shared" si="36"/>
        <v>1.5828234531382954</v>
      </c>
      <c r="I70" s="11">
        <f t="shared" si="29"/>
        <v>0.8146613634690798</v>
      </c>
      <c r="J70" s="21">
        <f t="shared" si="37"/>
        <v>198464.09090026841</v>
      </c>
      <c r="K70" s="21">
        <f t="shared" si="38"/>
        <v>1587.7127272021473</v>
      </c>
      <c r="L70" s="12">
        <f t="shared" si="39"/>
        <v>-0.75840186369408447</v>
      </c>
      <c r="M70" s="12">
        <f t="shared" si="40"/>
        <v>-2.9588454428396456</v>
      </c>
      <c r="N70" s="12">
        <f t="shared" si="41"/>
        <v>-6.4523305825465451</v>
      </c>
    </row>
    <row r="71" spans="1:14" x14ac:dyDescent="0.3">
      <c r="B71" s="100">
        <f t="shared" si="26"/>
        <v>1.1174668452440528E-4</v>
      </c>
      <c r="C71" s="56">
        <v>-6.4947176086158395E-2</v>
      </c>
      <c r="D71" s="55">
        <v>-1.7245812049649003E-2</v>
      </c>
      <c r="E71" s="100">
        <f t="shared" si="27"/>
        <v>1.4551915228366852E-10</v>
      </c>
      <c r="G71" s="95">
        <f t="shared" si="35"/>
        <v>132</v>
      </c>
      <c r="H71" s="12">
        <f t="shared" si="36"/>
        <v>1.6714615665140402</v>
      </c>
      <c r="I71" s="11">
        <f t="shared" si="29"/>
        <v>0.79984893988747796</v>
      </c>
      <c r="J71" s="21">
        <f t="shared" si="37"/>
        <v>194855.5557321907</v>
      </c>
      <c r="K71" s="21">
        <f t="shared" si="38"/>
        <v>1476.1784525165963</v>
      </c>
      <c r="L71" s="12">
        <f t="shared" si="39"/>
        <v>-0.98811224472074766</v>
      </c>
      <c r="M71" s="12">
        <f t="shared" si="40"/>
        <v>-3.7211990810298645</v>
      </c>
      <c r="N71" s="12">
        <f t="shared" si="41"/>
        <v>-8.5670014823681413</v>
      </c>
    </row>
    <row r="72" spans="1:14" x14ac:dyDescent="0.3">
      <c r="A72" s="54"/>
      <c r="B72" s="100">
        <f t="shared" si="26"/>
        <v>-6.2358878494706005E-5</v>
      </c>
      <c r="C72" s="56">
        <v>-8.0669495735531921E-2</v>
      </c>
      <c r="D72" s="55">
        <v>-2.1119857531612819E-2</v>
      </c>
      <c r="E72" s="100">
        <f t="shared" si="27"/>
        <v>2.7463522928883322E-4</v>
      </c>
      <c r="G72" s="95">
        <f t="shared" si="35"/>
        <v>140</v>
      </c>
      <c r="H72" s="12">
        <f t="shared" si="36"/>
        <v>1.7727622675148911</v>
      </c>
      <c r="I72" s="11">
        <f t="shared" si="29"/>
        <v>0.7825828892247193</v>
      </c>
      <c r="J72" s="21">
        <f t="shared" si="37"/>
        <v>190649.27910992588</v>
      </c>
      <c r="K72" s="21">
        <f t="shared" si="38"/>
        <v>1361.780565070899</v>
      </c>
      <c r="L72" s="12">
        <f t="shared" si="39"/>
        <v>-1.2100787004789992</v>
      </c>
      <c r="M72" s="12">
        <f>DEGREES(C72)</f>
        <v>-4.6220216410945714</v>
      </c>
      <c r="N72" s="12">
        <f t="shared" si="41"/>
        <v>-11.281484270139487</v>
      </c>
    </row>
    <row r="73" spans="1:14" x14ac:dyDescent="0.3">
      <c r="B73" s="53"/>
      <c r="C73" s="53"/>
      <c r="D73" s="53"/>
      <c r="G73" s="107"/>
      <c r="H73" s="50"/>
      <c r="I73" s="49"/>
      <c r="J73" s="51"/>
      <c r="K73" s="51"/>
      <c r="L73" s="50"/>
      <c r="M73" s="50"/>
      <c r="N73" s="50"/>
    </row>
    <row r="74" spans="1:14" x14ac:dyDescent="0.3">
      <c r="B74" s="53"/>
      <c r="C74" s="53"/>
      <c r="D74" s="53"/>
      <c r="G74" s="106"/>
      <c r="H74" s="53"/>
      <c r="I74" s="52"/>
      <c r="J74" s="100"/>
      <c r="K74" s="100"/>
      <c r="L74" s="53"/>
      <c r="M74" s="53"/>
      <c r="N74" s="53"/>
    </row>
    <row r="75" spans="1:14" x14ac:dyDescent="0.3">
      <c r="B75" s="53"/>
      <c r="C75" s="53"/>
      <c r="D75" s="53"/>
    </row>
    <row r="76" spans="1:14" x14ac:dyDescent="0.3">
      <c r="B76" s="53"/>
      <c r="C76" s="53"/>
      <c r="D76" s="53"/>
    </row>
    <row r="77" spans="1:14" x14ac:dyDescent="0.3">
      <c r="B77" s="53"/>
      <c r="C77" s="53"/>
      <c r="D77" s="53"/>
    </row>
    <row r="78" spans="1:14" x14ac:dyDescent="0.3">
      <c r="B78" s="53"/>
      <c r="C78" s="53"/>
      <c r="D78" s="53"/>
    </row>
    <row r="79" spans="1:14" x14ac:dyDescent="0.3">
      <c r="B79" s="53"/>
      <c r="C79" s="53"/>
      <c r="D79" s="53"/>
    </row>
    <row r="80" spans="1:14" x14ac:dyDescent="0.3">
      <c r="B80" s="53"/>
      <c r="C80" s="53"/>
      <c r="D80" s="53"/>
    </row>
    <row r="81" spans="2:4" x14ac:dyDescent="0.3">
      <c r="B81" s="53"/>
      <c r="C81" s="53"/>
      <c r="D81" s="53"/>
    </row>
    <row r="82" spans="2:4" x14ac:dyDescent="0.3">
      <c r="B82" s="53"/>
      <c r="C82" s="53"/>
      <c r="D82" s="53"/>
    </row>
  </sheetData>
  <mergeCells count="4">
    <mergeCell ref="G1:N1"/>
    <mergeCell ref="F20:P20"/>
    <mergeCell ref="F38:P38"/>
    <mergeCell ref="G56:N5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4B9E8-5948-451E-B523-4A43C983DF16}">
  <dimension ref="A1:P82"/>
  <sheetViews>
    <sheetView workbookViewId="0"/>
  </sheetViews>
  <sheetFormatPr defaultRowHeight="15" x14ac:dyDescent="0.3"/>
  <cols>
    <col min="1" max="1" width="34.77734375" style="30" customWidth="1"/>
    <col min="2" max="2" width="12.77734375" style="30" customWidth="1"/>
    <col min="3" max="4" width="8.88671875" style="30"/>
    <col min="5" max="5" width="11" style="30" bestFit="1" customWidth="1"/>
    <col min="6" max="6" width="8.88671875" style="30"/>
    <col min="7" max="7" width="9.6640625" style="30" customWidth="1"/>
    <col min="8" max="8" width="9" style="30" bestFit="1" customWidth="1"/>
    <col min="9" max="10" width="8.21875" style="30" customWidth="1"/>
    <col min="11" max="11" width="10.21875" style="30" customWidth="1"/>
    <col min="12" max="12" width="11.44140625" style="30" bestFit="1" customWidth="1"/>
    <col min="13" max="13" width="10.33203125" style="30" bestFit="1" customWidth="1"/>
    <col min="14" max="16384" width="8.88671875" style="30"/>
  </cols>
  <sheetData>
    <row r="1" spans="1:14" ht="18.600000000000001" thickBot="1" x14ac:dyDescent="0.35">
      <c r="A1" s="29" t="s">
        <v>9</v>
      </c>
      <c r="B1" s="29" t="s">
        <v>6</v>
      </c>
      <c r="C1" s="29">
        <v>6000</v>
      </c>
      <c r="D1" s="29" t="s">
        <v>3</v>
      </c>
      <c r="G1" s="132" t="s">
        <v>162</v>
      </c>
      <c r="H1" s="133"/>
      <c r="I1" s="133"/>
      <c r="J1" s="133"/>
      <c r="K1" s="133"/>
      <c r="L1" s="133"/>
      <c r="M1" s="133"/>
      <c r="N1" s="134"/>
    </row>
    <row r="2" spans="1:14" ht="19.2" thickBot="1" x14ac:dyDescent="0.35">
      <c r="A2" s="30" t="s">
        <v>139</v>
      </c>
      <c r="B2" s="30" t="s">
        <v>141</v>
      </c>
      <c r="C2" s="30">
        <f>Podsumowanie!B31</f>
        <v>28993.455000000002</v>
      </c>
      <c r="D2" s="30" t="s">
        <v>39</v>
      </c>
      <c r="G2" s="96" t="s">
        <v>67</v>
      </c>
      <c r="H2" s="96" t="s">
        <v>15</v>
      </c>
      <c r="I2" s="96" t="s">
        <v>74</v>
      </c>
      <c r="J2" s="96" t="s">
        <v>73</v>
      </c>
      <c r="K2" s="96" t="s">
        <v>68</v>
      </c>
      <c r="L2" s="96" t="s">
        <v>70</v>
      </c>
      <c r="M2" s="96" t="s">
        <v>87</v>
      </c>
      <c r="N2" s="96" t="s">
        <v>69</v>
      </c>
    </row>
    <row r="3" spans="1:14" ht="15.6" x14ac:dyDescent="0.3">
      <c r="A3" s="31" t="s">
        <v>10</v>
      </c>
      <c r="B3" s="31" t="s">
        <v>30</v>
      </c>
      <c r="C3" s="31">
        <f>Podsumowanie!B29</f>
        <v>1.7453292519943295E-2</v>
      </c>
      <c r="D3" s="31" t="s">
        <v>40</v>
      </c>
      <c r="F3" s="46"/>
      <c r="G3" s="91">
        <f>SQRT(2*C$15/C$7/C$16/C17)</f>
        <v>47.92005236771405</v>
      </c>
      <c r="H3" s="92">
        <f t="shared" ref="H3:H17" si="0">G3/C$12/C$4</f>
        <v>0.60679186210586489</v>
      </c>
      <c r="I3" s="93">
        <f>0.2361*H3^3-1.1789*H3^2+1.7849*H3</f>
        <v>0.70174522262430594</v>
      </c>
      <c r="J3" s="94">
        <f t="shared" ref="J3:J17" si="1">C$18*I3</f>
        <v>148760.55350473622</v>
      </c>
      <c r="K3" s="94">
        <f>J3/G3</f>
        <v>3104.348725732259</v>
      </c>
      <c r="L3" s="92">
        <f t="shared" ref="L3:L17" ca="1" si="2">OFFSET(D23,A23-2,0,1,1)</f>
        <v>11.912558565521321</v>
      </c>
      <c r="M3" s="92">
        <f t="shared" ref="M3:M17" ca="1" si="3">OFFSET(D22,A23-2,0,1,1)</f>
        <v>1.0362153700521985</v>
      </c>
      <c r="N3" s="92">
        <f ca="1">G3*SIN(RADIANS(M3))</f>
        <v>0.86660463251923536</v>
      </c>
    </row>
    <row r="4" spans="1:14" ht="15.6" x14ac:dyDescent="0.3">
      <c r="A4" s="31" t="s">
        <v>11</v>
      </c>
      <c r="B4" s="31" t="s">
        <v>18</v>
      </c>
      <c r="C4" s="31">
        <f>Podsumowanie!B12</f>
        <v>1.84</v>
      </c>
      <c r="D4" s="31" t="s">
        <v>3</v>
      </c>
      <c r="F4" s="46"/>
      <c r="G4" s="95">
        <v>51</v>
      </c>
      <c r="H4" s="12">
        <f t="shared" si="0"/>
        <v>0.64579196888042456</v>
      </c>
      <c r="I4" s="11">
        <f t="shared" ref="I4:I17" si="4">0.2361*H4^3-1.1789*H4^2+1.7849*H4</f>
        <v>0.72460487775224236</v>
      </c>
      <c r="J4" s="21">
        <f t="shared" si="1"/>
        <v>153606.49308526088</v>
      </c>
      <c r="K4" s="21">
        <f t="shared" ref="K4:K17" si="5">J4/G4</f>
        <v>3011.8920212796252</v>
      </c>
      <c r="L4" s="12">
        <f t="shared" ca="1" si="2"/>
        <v>10.221705498523841</v>
      </c>
      <c r="M4" s="12">
        <f t="shared" ca="1" si="3"/>
        <v>1.3004396695731559</v>
      </c>
      <c r="N4" s="12">
        <f t="shared" ref="N4:N17" ca="1" si="6">G4*SIN(RADIANS(M4))</f>
        <v>1.1574452692112311</v>
      </c>
    </row>
    <row r="5" spans="1:14" ht="18" x14ac:dyDescent="0.3">
      <c r="A5" s="31" t="s">
        <v>24</v>
      </c>
      <c r="B5" s="31" t="s">
        <v>75</v>
      </c>
      <c r="C5" s="31">
        <f>Podsumowanie!B16</f>
        <v>6.1340000000000003</v>
      </c>
      <c r="D5" s="31" t="s">
        <v>34</v>
      </c>
      <c r="F5" s="46"/>
      <c r="G5" s="95">
        <v>52</v>
      </c>
      <c r="H5" s="12">
        <f t="shared" si="0"/>
        <v>0.65845455650553097</v>
      </c>
      <c r="I5" s="11">
        <f t="shared" si="4"/>
        <v>0.73155091813072759</v>
      </c>
      <c r="J5" s="21">
        <f t="shared" si="1"/>
        <v>155078.96026858632</v>
      </c>
      <c r="K5" s="21">
        <f t="shared" si="5"/>
        <v>2982.2876974728138</v>
      </c>
      <c r="L5" s="12">
        <f t="shared" ca="1" si="2"/>
        <v>9.7335465184839496</v>
      </c>
      <c r="M5" s="12">
        <f t="shared" ca="1" si="3"/>
        <v>1.3648167097353179</v>
      </c>
      <c r="N5" s="12">
        <f t="shared" ca="1" si="6"/>
        <v>1.238551216890236</v>
      </c>
    </row>
    <row r="6" spans="1:14" ht="18" x14ac:dyDescent="0.3">
      <c r="A6" s="31" t="s">
        <v>23</v>
      </c>
      <c r="B6" s="31" t="s">
        <v>76</v>
      </c>
      <c r="C6" s="31">
        <f>Podsumowanie!B9</f>
        <v>446000</v>
      </c>
      <c r="D6" s="31" t="s">
        <v>35</v>
      </c>
      <c r="F6" s="46"/>
      <c r="G6" s="95">
        <v>59</v>
      </c>
      <c r="H6" s="12">
        <f t="shared" si="0"/>
        <v>0.74709266988127543</v>
      </c>
      <c r="I6" s="11">
        <f t="shared" si="4"/>
        <v>0.77393650603552722</v>
      </c>
      <c r="J6" s="21">
        <f t="shared" si="1"/>
        <v>164064.13510705804</v>
      </c>
      <c r="K6" s="21">
        <f t="shared" si="5"/>
        <v>2780.7480526620006</v>
      </c>
      <c r="L6" s="12">
        <f t="shared" ca="1" si="2"/>
        <v>6.9596370182389169</v>
      </c>
      <c r="M6" s="12">
        <f t="shared" ca="1" si="3"/>
        <v>1.5891606329757579</v>
      </c>
      <c r="N6" s="12">
        <f t="shared" ca="1" si="6"/>
        <v>1.6362192311249206</v>
      </c>
    </row>
    <row r="7" spans="1:14" ht="18" x14ac:dyDescent="0.3">
      <c r="A7" s="31" t="s">
        <v>22</v>
      </c>
      <c r="B7" s="31" t="s">
        <v>5</v>
      </c>
      <c r="C7" s="31">
        <f>Podsumowanie!B3</f>
        <v>21.3</v>
      </c>
      <c r="D7" s="31" t="s">
        <v>77</v>
      </c>
      <c r="F7" s="46"/>
      <c r="G7" s="95">
        <v>67</v>
      </c>
      <c r="H7" s="12">
        <f t="shared" si="0"/>
        <v>0.84839337088212652</v>
      </c>
      <c r="I7" s="11">
        <f t="shared" si="4"/>
        <v>0.80993320660758372</v>
      </c>
      <c r="J7" s="21">
        <f t="shared" si="1"/>
        <v>171694.95171798955</v>
      </c>
      <c r="K7" s="21">
        <f t="shared" si="5"/>
        <v>2562.6112196714857</v>
      </c>
      <c r="L7" s="12">
        <f t="shared" ca="1" si="2"/>
        <v>4.7659331194928178</v>
      </c>
      <c r="M7" s="12">
        <f t="shared" ca="1" si="3"/>
        <v>1.5007115509508593</v>
      </c>
      <c r="N7" s="12">
        <f t="shared" ca="1" si="6"/>
        <v>1.7546873181252427</v>
      </c>
    </row>
    <row r="8" spans="1:14" ht="18" x14ac:dyDescent="0.3">
      <c r="A8" s="31" t="s">
        <v>41</v>
      </c>
      <c r="B8" s="31" t="s">
        <v>78</v>
      </c>
      <c r="C8" s="31">
        <f>Podsumowanie!B30</f>
        <v>-5.1836278784231589E-2</v>
      </c>
      <c r="D8" s="31" t="s">
        <v>40</v>
      </c>
      <c r="G8" s="95">
        <v>74</v>
      </c>
      <c r="H8" s="12">
        <f t="shared" si="0"/>
        <v>0.93703148425787097</v>
      </c>
      <c r="I8" s="11">
        <f t="shared" si="4"/>
        <v>0.83164917034895502</v>
      </c>
      <c r="J8" s="21">
        <f t="shared" si="1"/>
        <v>176298.44409941853</v>
      </c>
      <c r="K8" s="21">
        <f t="shared" si="5"/>
        <v>2382.411406748899</v>
      </c>
      <c r="L8" s="12">
        <f t="shared" ca="1" si="2"/>
        <v>3.389075391964429</v>
      </c>
      <c r="M8" s="12">
        <f t="shared" ca="1" si="3"/>
        <v>1.2290761584127374</v>
      </c>
      <c r="N8" s="12">
        <f t="shared" ca="1" si="6"/>
        <v>1.5872837618447613</v>
      </c>
    </row>
    <row r="9" spans="1:14" ht="15.6" x14ac:dyDescent="0.3">
      <c r="A9" s="31" t="s">
        <v>12</v>
      </c>
      <c r="B9" s="31" t="s">
        <v>3</v>
      </c>
      <c r="C9" s="31">
        <f>Podsumowanie!B7</f>
        <v>2405.5</v>
      </c>
      <c r="D9" s="31" t="s">
        <v>0</v>
      </c>
      <c r="G9" s="95">
        <v>81</v>
      </c>
      <c r="H9" s="12">
        <f t="shared" si="0"/>
        <v>1.0256695976336156</v>
      </c>
      <c r="I9" s="11">
        <f t="shared" si="4"/>
        <v>0.84526956538382714</v>
      </c>
      <c r="J9" s="21">
        <f t="shared" si="1"/>
        <v>179185.78474530633</v>
      </c>
      <c r="K9" s="21">
        <f t="shared" si="5"/>
        <v>2212.1701820408189</v>
      </c>
      <c r="L9" s="12">
        <f t="shared" ca="1" si="2"/>
        <v>2.3477105270882563</v>
      </c>
      <c r="M9" s="12">
        <f t="shared" ca="1" si="3"/>
        <v>0.83432330861856985</v>
      </c>
      <c r="N9" s="12">
        <f t="shared" ca="1" si="6"/>
        <v>1.1794551061626435</v>
      </c>
    </row>
    <row r="10" spans="1:14" ht="18" x14ac:dyDescent="0.3">
      <c r="A10" s="31" t="s">
        <v>21</v>
      </c>
      <c r="B10" s="31" t="s">
        <v>79</v>
      </c>
      <c r="C10" s="31">
        <f>Podsumowanie!B13</f>
        <v>5.8840000000000003</v>
      </c>
      <c r="D10" s="31" t="s">
        <v>7</v>
      </c>
      <c r="G10" s="95">
        <v>89</v>
      </c>
      <c r="H10" s="12">
        <f t="shared" si="0"/>
        <v>1.1269702986344665</v>
      </c>
      <c r="I10" s="11">
        <f t="shared" si="4"/>
        <v>0.8521883048876413</v>
      </c>
      <c r="J10" s="21">
        <f t="shared" si="1"/>
        <v>180652.46451021224</v>
      </c>
      <c r="K10" s="21">
        <f t="shared" si="5"/>
        <v>2029.8029720248567</v>
      </c>
      <c r="L10" s="12">
        <f t="shared" ca="1" si="2"/>
        <v>1.4412104628286548</v>
      </c>
      <c r="M10" s="12">
        <f t="shared" ca="1" si="3"/>
        <v>0.27524099526675422</v>
      </c>
      <c r="N10" s="12">
        <f t="shared" ca="1" si="6"/>
        <v>0.42754203833600424</v>
      </c>
    </row>
    <row r="11" spans="1:14" ht="18" x14ac:dyDescent="0.3">
      <c r="A11" s="31" t="s">
        <v>25</v>
      </c>
      <c r="B11" s="31" t="s">
        <v>80</v>
      </c>
      <c r="C11" s="31">
        <f>Podsumowanie!B14</f>
        <v>2.214E-2</v>
      </c>
      <c r="D11" s="31" t="s">
        <v>7</v>
      </c>
      <c r="G11" s="95">
        <v>96</v>
      </c>
      <c r="H11" s="12">
        <f t="shared" si="0"/>
        <v>1.2156084120102111</v>
      </c>
      <c r="I11" s="11">
        <f t="shared" si="4"/>
        <v>0.85178302962951569</v>
      </c>
      <c r="J11" s="21">
        <f t="shared" si="1"/>
        <v>180566.55160368033</v>
      </c>
      <c r="K11" s="21">
        <f t="shared" si="5"/>
        <v>1880.9015792050034</v>
      </c>
      <c r="L11" s="12">
        <f t="shared" ca="1" si="2"/>
        <v>0.82444609104664657</v>
      </c>
      <c r="M11" s="12">
        <f t="shared" ca="1" si="3"/>
        <v>-0.28445592856469232</v>
      </c>
      <c r="N11" s="12">
        <f t="shared" ca="1" si="6"/>
        <v>-0.47660852497897299</v>
      </c>
    </row>
    <row r="12" spans="1:14" ht="18" x14ac:dyDescent="0.3">
      <c r="A12" s="31" t="s">
        <v>19</v>
      </c>
      <c r="B12" s="31" t="s">
        <v>81</v>
      </c>
      <c r="C12" s="31">
        <f>Podsumowanie!B11</f>
        <v>42.92</v>
      </c>
      <c r="D12" s="31" t="s">
        <v>37</v>
      </c>
      <c r="G12" s="95">
        <v>103</v>
      </c>
      <c r="H12" s="12">
        <f t="shared" si="0"/>
        <v>1.3042465253859556</v>
      </c>
      <c r="I12" s="11">
        <f t="shared" si="4"/>
        <v>0.84638269747109174</v>
      </c>
      <c r="J12" s="21">
        <f t="shared" si="1"/>
        <v>179421.75378376464</v>
      </c>
      <c r="K12" s="21">
        <f t="shared" si="5"/>
        <v>1741.9587745996566</v>
      </c>
      <c r="L12" s="12">
        <f t="shared" ca="1" si="2"/>
        <v>0.32769933997950168</v>
      </c>
      <c r="M12" s="12">
        <f t="shared" ca="1" si="3"/>
        <v>-0.89518867845215133</v>
      </c>
      <c r="N12" s="12">
        <f t="shared" ca="1" si="6"/>
        <v>-1.6092054840159591</v>
      </c>
    </row>
    <row r="13" spans="1:14" ht="15.6" x14ac:dyDescent="0.3">
      <c r="A13" s="31" t="s">
        <v>20</v>
      </c>
      <c r="B13" s="31" t="s">
        <v>14</v>
      </c>
      <c r="C13" s="31">
        <f>Podsumowanie!B17</f>
        <v>0.12</v>
      </c>
      <c r="D13" s="31" t="s">
        <v>7</v>
      </c>
      <c r="G13" s="95">
        <v>111</v>
      </c>
      <c r="H13" s="12">
        <f t="shared" si="0"/>
        <v>1.4055472263868065</v>
      </c>
      <c r="I13" s="11">
        <f t="shared" si="4"/>
        <v>0.83536000810852795</v>
      </c>
      <c r="J13" s="21">
        <f t="shared" si="1"/>
        <v>177085.09181896545</v>
      </c>
      <c r="K13" s="21">
        <f t="shared" si="5"/>
        <v>1595.3611875582474</v>
      </c>
      <c r="L13" s="12">
        <f t="shared" ca="1" si="2"/>
        <v>-0.13014628410692475</v>
      </c>
      <c r="M13" s="12">
        <f t="shared" ca="1" si="3"/>
        <v>-1.6435152059529161</v>
      </c>
      <c r="N13" s="12">
        <f t="shared" ca="1" si="6"/>
        <v>-3.1835708096650794</v>
      </c>
    </row>
    <row r="14" spans="1:14" ht="18" x14ac:dyDescent="0.3">
      <c r="A14" s="31" t="s">
        <v>33</v>
      </c>
      <c r="B14" s="31" t="s">
        <v>32</v>
      </c>
      <c r="C14" s="31">
        <f>Podsumowanie!B2</f>
        <v>1.2255</v>
      </c>
      <c r="D14" s="31" t="s">
        <v>82</v>
      </c>
      <c r="G14" s="95">
        <v>118</v>
      </c>
      <c r="H14" s="12">
        <f t="shared" si="0"/>
        <v>1.4941853397625509</v>
      </c>
      <c r="I14" s="11">
        <f t="shared" si="4"/>
        <v>0.82257795952753776</v>
      </c>
      <c r="J14" s="21">
        <f t="shared" si="1"/>
        <v>174375.46935125321</v>
      </c>
      <c r="K14" s="21">
        <f t="shared" si="5"/>
        <v>1477.7582148411288</v>
      </c>
      <c r="L14" s="12">
        <f t="shared" ca="1" si="2"/>
        <v>-0.45755147013539499</v>
      </c>
      <c r="M14" s="12">
        <f t="shared" ca="1" si="3"/>
        <v>-2.3349280831312824</v>
      </c>
      <c r="N14" s="12">
        <f t="shared" ca="1" si="6"/>
        <v>-4.8074266702383417</v>
      </c>
    </row>
    <row r="15" spans="1:14" ht="15.6" x14ac:dyDescent="0.3">
      <c r="A15" s="31" t="s">
        <v>26</v>
      </c>
      <c r="B15" s="31" t="s">
        <v>13</v>
      </c>
      <c r="C15" s="31">
        <f>Podsumowanie!B8</f>
        <v>26295.705000000002</v>
      </c>
      <c r="D15" s="31" t="s">
        <v>39</v>
      </c>
      <c r="G15" s="95">
        <v>125</v>
      </c>
      <c r="H15" s="12">
        <f t="shared" si="0"/>
        <v>1.5828234531382954</v>
      </c>
      <c r="I15" s="11">
        <f t="shared" si="4"/>
        <v>0.80790136585244943</v>
      </c>
      <c r="J15" s="21">
        <f t="shared" si="1"/>
        <v>171264.22879231445</v>
      </c>
      <c r="K15" s="21">
        <f t="shared" si="5"/>
        <v>1370.1138303385155</v>
      </c>
      <c r="L15" s="12">
        <f t="shared" ca="1" si="2"/>
        <v>-0.73206474296291291</v>
      </c>
      <c r="M15" s="12">
        <f t="shared" ca="1" si="3"/>
        <v>-3.0555970058866935</v>
      </c>
      <c r="N15" s="12">
        <f t="shared" ca="1" si="6"/>
        <v>-6.6631190533163736</v>
      </c>
    </row>
    <row r="16" spans="1:14" x14ac:dyDescent="0.3">
      <c r="A16" s="30" t="s">
        <v>102</v>
      </c>
      <c r="B16" s="30" t="s">
        <v>89</v>
      </c>
      <c r="C16" s="30">
        <f>Podsumowanie!B15</f>
        <v>1.63</v>
      </c>
      <c r="D16" s="30" t="s">
        <v>7</v>
      </c>
      <c r="G16" s="95">
        <v>132</v>
      </c>
      <c r="H16" s="12">
        <f t="shared" si="0"/>
        <v>1.6714615665140402</v>
      </c>
      <c r="I16" s="11">
        <f t="shared" si="4"/>
        <v>0.79231675356705455</v>
      </c>
      <c r="J16" s="21">
        <f t="shared" si="1"/>
        <v>167960.50049465385</v>
      </c>
      <c r="K16" s="21">
        <f t="shared" si="5"/>
        <v>1272.4280340504081</v>
      </c>
      <c r="L16" s="12">
        <f t="shared" ca="1" si="2"/>
        <v>-0.96452320854211615</v>
      </c>
      <c r="M16" s="12">
        <f t="shared" ca="1" si="3"/>
        <v>-3.8021310066409542</v>
      </c>
      <c r="N16" s="12">
        <f t="shared" ca="1" si="6"/>
        <v>-8.7530535399447675</v>
      </c>
    </row>
    <row r="17" spans="1:16" ht="18.600000000000001" x14ac:dyDescent="0.3">
      <c r="A17" s="30" t="s">
        <v>29</v>
      </c>
      <c r="B17" s="30" t="s">
        <v>83</v>
      </c>
      <c r="C17" s="30">
        <f>C14*(1-C1/44300)^4.256</f>
        <v>0.65964919805020483</v>
      </c>
      <c r="D17" s="30" t="s">
        <v>84</v>
      </c>
      <c r="G17" s="95">
        <v>140</v>
      </c>
      <c r="H17" s="12">
        <f t="shared" si="0"/>
        <v>1.7727622675148911</v>
      </c>
      <c r="I17" s="11">
        <f t="shared" si="4"/>
        <v>0.77465942359814699</v>
      </c>
      <c r="J17" s="21">
        <f t="shared" si="1"/>
        <v>164217.38391201812</v>
      </c>
      <c r="K17" s="21">
        <f t="shared" si="5"/>
        <v>1172.9813136572723</v>
      </c>
      <c r="L17" s="12">
        <f t="shared" ca="1" si="2"/>
        <v>-1.1891224351114233</v>
      </c>
      <c r="M17" s="12">
        <f t="shared" ca="1" si="3"/>
        <v>-4.6837978715374238</v>
      </c>
      <c r="N17" s="12">
        <f t="shared" ca="1" si="6"/>
        <v>-11.431934605222663</v>
      </c>
    </row>
    <row r="18" spans="1:16" ht="18.600000000000001" x14ac:dyDescent="0.3">
      <c r="A18" s="30" t="s">
        <v>27</v>
      </c>
      <c r="B18" s="30" t="s">
        <v>85</v>
      </c>
      <c r="C18" s="30">
        <f>C6*((C17/C14)-C13)/(1-C13)</f>
        <v>211986.55681390839</v>
      </c>
      <c r="D18" s="30" t="s">
        <v>35</v>
      </c>
    </row>
    <row r="19" spans="1:16" ht="19.2" thickBot="1" x14ac:dyDescent="0.35">
      <c r="A19" s="30" t="s">
        <v>28</v>
      </c>
      <c r="B19" s="30" t="s">
        <v>86</v>
      </c>
      <c r="C19" s="30">
        <f>C18/C17/C12^3/C4^5</f>
        <v>0.19272010658290351</v>
      </c>
      <c r="D19" s="30" t="s">
        <v>7</v>
      </c>
    </row>
    <row r="20" spans="1:16" ht="18.600000000000001" thickBot="1" x14ac:dyDescent="0.35">
      <c r="A20" s="30" t="s">
        <v>153</v>
      </c>
      <c r="B20" s="30" t="s">
        <v>140</v>
      </c>
      <c r="C20" s="30">
        <f>Podsumowanie!B31</f>
        <v>28993.455000000002</v>
      </c>
      <c r="D20" s="30" t="s">
        <v>39</v>
      </c>
      <c r="F20" s="132" t="s">
        <v>170</v>
      </c>
      <c r="G20" s="133"/>
      <c r="H20" s="133"/>
      <c r="I20" s="133"/>
      <c r="J20" s="133"/>
      <c r="K20" s="133"/>
      <c r="L20" s="133"/>
      <c r="M20" s="133"/>
      <c r="N20" s="133"/>
      <c r="O20" s="133"/>
      <c r="P20" s="134"/>
    </row>
    <row r="21" spans="1:16" ht="18.600000000000001" thickBot="1" x14ac:dyDescent="0.35">
      <c r="B21" s="30" t="s">
        <v>16</v>
      </c>
      <c r="C21" s="30" t="s">
        <v>66</v>
      </c>
      <c r="D21" s="30" t="s">
        <v>17</v>
      </c>
      <c r="F21" s="97" t="s">
        <v>1</v>
      </c>
      <c r="G21" s="97" t="s">
        <v>2</v>
      </c>
      <c r="H21" s="97" t="s">
        <v>67</v>
      </c>
      <c r="I21" s="97" t="s">
        <v>15</v>
      </c>
      <c r="J21" s="97" t="s">
        <v>74</v>
      </c>
      <c r="K21" s="97" t="s">
        <v>72</v>
      </c>
      <c r="L21" s="97" t="s">
        <v>73</v>
      </c>
      <c r="M21" s="97" t="s">
        <v>71</v>
      </c>
      <c r="N21" s="97" t="s">
        <v>69</v>
      </c>
      <c r="O21" s="97" t="s">
        <v>87</v>
      </c>
      <c r="P21" s="97" t="s">
        <v>70</v>
      </c>
    </row>
    <row r="22" spans="1:16" x14ac:dyDescent="0.3">
      <c r="A22" s="32">
        <v>1</v>
      </c>
      <c r="B22" s="47">
        <f>-K3*COS(C22+C23-C$3)+0.5*C$17*C$7*C$5*(C23-C$8)*G3^2*SIN(C22)+0.5*C$17*C$7*(C$11+1/PI()/C$10*C$5^2*(C23-C$8)^2)*G3^2*COS(C22)</f>
        <v>2.6796566089615226E-5</v>
      </c>
      <c r="C22" s="33">
        <v>1.808536996718231E-2</v>
      </c>
      <c r="D22" s="34">
        <f t="shared" ref="D22:D51" si="7">DEGREES(C22)</f>
        <v>1.0362153700521985</v>
      </c>
      <c r="F22" s="11">
        <v>1.63</v>
      </c>
      <c r="G22" s="12">
        <v>156.18</v>
      </c>
      <c r="H22" s="12">
        <f t="shared" ref="H22:H36" si="8">SQRT((2*C$15)/(C$7*C$17*F22))</f>
        <v>47.92005236771405</v>
      </c>
      <c r="I22" s="92">
        <f t="shared" ref="I22:I36" si="9">H22/C$12/C$4</f>
        <v>0.60679186210586489</v>
      </c>
      <c r="J22" s="93">
        <f>0.2361*I22^3-1.1789*I22^2+1.7849*I22</f>
        <v>0.70174522262430594</v>
      </c>
      <c r="K22" s="21">
        <f t="shared" ref="K22:K36" si="10">C$15*SQRT((2*C$15)/(C$17*C$7*G22))</f>
        <v>128731.01569725625</v>
      </c>
      <c r="L22" s="20">
        <f t="shared" ref="L22:L36" si="11">C$18*J22</f>
        <v>148760.55350473622</v>
      </c>
      <c r="M22" s="21">
        <f t="shared" ref="M22:M36" si="12">(L22-K22)</f>
        <v>20029.537807479966</v>
      </c>
      <c r="N22" s="12">
        <f t="shared" ref="N22:N36" si="13">M22/C$15</f>
        <v>0.76170377662359556</v>
      </c>
      <c r="O22" s="12">
        <f t="shared" ref="O22:O36" si="14">DEGREES(ASIN(N22/H22))</f>
        <v>0.91077216069467448</v>
      </c>
      <c r="P22" s="12">
        <v>15.276999999999999</v>
      </c>
    </row>
    <row r="23" spans="1:16" x14ac:dyDescent="0.3">
      <c r="A23" s="35">
        <v>2</v>
      </c>
      <c r="B23" s="48">
        <f>K3*SIN(C22+C23-C$3)+0.5*C$17*C$7*C$5*(C23-C$8)*G3^2*COS(C22)-0.5*C$17*C$7*(C$11+1/PI()/C$10*C$5^2*(C23-C$8)^2)*G3^2*SIN(C22)-C$15</f>
        <v>-2.9758666642010212E-9</v>
      </c>
      <c r="C23" s="36">
        <v>0.20791336930499971</v>
      </c>
      <c r="D23" s="37">
        <f t="shared" si="7"/>
        <v>11.912558565521321</v>
      </c>
      <c r="F23" s="11">
        <v>1.571</v>
      </c>
      <c r="G23" s="12">
        <v>158.85</v>
      </c>
      <c r="H23" s="12">
        <f t="shared" si="8"/>
        <v>48.811594380066772</v>
      </c>
      <c r="I23" s="12">
        <f t="shared" si="9"/>
        <v>0.61808109095874486</v>
      </c>
      <c r="J23" s="11">
        <f t="shared" ref="J23:J36" si="15">0.2361*I23^3-1.1789*I23^2+1.7849*I23</f>
        <v>0.70859296240777003</v>
      </c>
      <c r="K23" s="21">
        <f t="shared" si="10"/>
        <v>127644.55556900922</v>
      </c>
      <c r="L23" s="20">
        <f t="shared" si="11"/>
        <v>150212.1822833904</v>
      </c>
      <c r="M23" s="21">
        <f t="shared" si="12"/>
        <v>22567.626714381186</v>
      </c>
      <c r="N23" s="12">
        <f t="shared" si="13"/>
        <v>0.85822482091205332</v>
      </c>
      <c r="O23" s="12">
        <f t="shared" si="14"/>
        <v>1.0074490422532985</v>
      </c>
      <c r="P23" s="12">
        <v>12.122999999999999</v>
      </c>
    </row>
    <row r="24" spans="1:16" x14ac:dyDescent="0.3">
      <c r="A24" s="38">
        <v>3</v>
      </c>
      <c r="B24" s="47">
        <f>-K4*COS(C24+C25-C$3)+0.5*C$17*C$7*C$5*(C25-C$8)*G4^2*SIN(C24)+0.5*C$17*C$7*(C$11+1/PI()/C$10*C$5^2*(C25-C$8)^2)*G4^2*COS(C24)</f>
        <v>2.4169335620172205E-4</v>
      </c>
      <c r="C24" s="39">
        <v>2.2696953957598694E-2</v>
      </c>
      <c r="D24" s="40">
        <f t="shared" si="7"/>
        <v>1.3004396695731559</v>
      </c>
      <c r="F24" s="11">
        <v>1.474</v>
      </c>
      <c r="G24" s="12">
        <v>163.07</v>
      </c>
      <c r="H24" s="12">
        <f t="shared" si="8"/>
        <v>50.392086917614265</v>
      </c>
      <c r="I24" s="12">
        <f t="shared" si="9"/>
        <v>0.63809421620626672</v>
      </c>
      <c r="J24" s="11">
        <f t="shared" si="15"/>
        <v>0.72026939504217991</v>
      </c>
      <c r="K24" s="21">
        <f t="shared" si="10"/>
        <v>125982.10759546448</v>
      </c>
      <c r="L24" s="20">
        <f t="shared" si="11"/>
        <v>152687.42903342849</v>
      </c>
      <c r="M24" s="21">
        <f t="shared" si="12"/>
        <v>26705.321437964012</v>
      </c>
      <c r="N24" s="12">
        <f t="shared" si="13"/>
        <v>1.0155773134039954</v>
      </c>
      <c r="O24" s="12">
        <f t="shared" si="14"/>
        <v>1.1547891167849704</v>
      </c>
      <c r="P24" s="12">
        <v>11.015000000000001</v>
      </c>
    </row>
    <row r="25" spans="1:16" x14ac:dyDescent="0.3">
      <c r="A25" s="41">
        <v>4</v>
      </c>
      <c r="B25" s="48">
        <f>K4*SIN(C24+C25-C$3)+0.5*C$17*C$7*C$5*(C25-C$8)*G4^2*COS(C24)-0.5*C$17*C$7*(C$11+1/PI()/C$10*C$5^2*(C25-C$8)^2)*G4^2*SIN(C24)-C$15</f>
        <v>-1.5643308870494366E-10</v>
      </c>
      <c r="C25" s="42">
        <v>0.1784024161184494</v>
      </c>
      <c r="D25" s="43">
        <f>DEGREES(C25)</f>
        <v>10.221705498523841</v>
      </c>
      <c r="F25" s="11">
        <v>1.379</v>
      </c>
      <c r="G25" s="12">
        <v>167.61</v>
      </c>
      <c r="H25" s="12">
        <f t="shared" si="8"/>
        <v>52.098947896264214</v>
      </c>
      <c r="I25" s="12">
        <f t="shared" si="9"/>
        <v>0.65970749291229658</v>
      </c>
      <c r="J25" s="11">
        <f t="shared" si="15"/>
        <v>0.73222574432850851</v>
      </c>
      <c r="K25" s="21">
        <f t="shared" si="10"/>
        <v>124264.17535388445</v>
      </c>
      <c r="L25" s="20">
        <f t="shared" si="11"/>
        <v>155222.01435070173</v>
      </c>
      <c r="M25" s="21">
        <f t="shared" si="12"/>
        <v>30957.838996817285</v>
      </c>
      <c r="N25" s="12">
        <f t="shared" si="13"/>
        <v>1.1772964062692854</v>
      </c>
      <c r="O25" s="12">
        <f t="shared" si="14"/>
        <v>1.2948410695237993</v>
      </c>
      <c r="P25" s="12">
        <v>9.5779999999999994</v>
      </c>
    </row>
    <row r="26" spans="1:16" x14ac:dyDescent="0.3">
      <c r="A26" s="32">
        <v>5</v>
      </c>
      <c r="B26" s="47">
        <f>-K5*COS(C26+C27-C$3)+0.5*C$17*C$7*C$5*(C27-C$8)*G5^2*SIN(C26)+0.5*C$17*C$7*(C$11+1/PI()/C$10*C$5^2*(C27-C$8)^2)*G5^2*COS(C26)</f>
        <v>1.0328311918783584E-4</v>
      </c>
      <c r="C26" s="33">
        <v>2.3820545271117044E-2</v>
      </c>
      <c r="D26" s="34">
        <f t="shared" si="7"/>
        <v>1.3648167097353179</v>
      </c>
      <c r="F26" s="11">
        <v>1.272</v>
      </c>
      <c r="G26" s="12">
        <v>169.65</v>
      </c>
      <c r="H26" s="12">
        <f t="shared" si="8"/>
        <v>54.245976380704612</v>
      </c>
      <c r="I26" s="12">
        <f t="shared" si="9"/>
        <v>0.68689442923012245</v>
      </c>
      <c r="J26" s="11">
        <f t="shared" si="15"/>
        <v>0.74632301968766757</v>
      </c>
      <c r="K26" s="21">
        <f t="shared" si="10"/>
        <v>123514.79250688049</v>
      </c>
      <c r="L26" s="20">
        <f t="shared" si="11"/>
        <v>158210.4472145474</v>
      </c>
      <c r="M26" s="21">
        <f t="shared" si="12"/>
        <v>34695.654707666909</v>
      </c>
      <c r="N26" s="12">
        <f t="shared" si="13"/>
        <v>1.3194418901363134</v>
      </c>
      <c r="O26" s="12">
        <f t="shared" si="14"/>
        <v>1.3937606611900448</v>
      </c>
      <c r="P26" s="12">
        <v>8.4719999999999995</v>
      </c>
    </row>
    <row r="27" spans="1:16" x14ac:dyDescent="0.3">
      <c r="A27" s="35">
        <v>6</v>
      </c>
      <c r="B27" s="48">
        <f>K5*SIN(C26+C27-C$3)+0.5*C$17*C$7*C$5*(C27-C$8)*G5^2*COS(C26)-0.5*C$17*C$7*(C$11+1/PI()/C$10*C$5^2*(C27-C$8)^2)*G5^2*SIN(C26)-C$15</f>
        <v>-4.4165062718093395E-9</v>
      </c>
      <c r="C27" s="36">
        <v>0.16988243464357602</v>
      </c>
      <c r="D27" s="37">
        <f t="shared" si="7"/>
        <v>9.7335465184839496</v>
      </c>
      <c r="F27" s="11">
        <v>1.1779999999999999</v>
      </c>
      <c r="G27" s="12">
        <v>170.58</v>
      </c>
      <c r="H27" s="12">
        <f t="shared" si="8"/>
        <v>56.368754762300249</v>
      </c>
      <c r="I27" s="12">
        <f t="shared" si="9"/>
        <v>0.71377429649575863</v>
      </c>
      <c r="J27" s="11">
        <f t="shared" si="15"/>
        <v>0.75925473369449314</v>
      </c>
      <c r="K27" s="21">
        <f t="shared" si="10"/>
        <v>123177.63178745052</v>
      </c>
      <c r="L27" s="20">
        <f t="shared" si="11"/>
        <v>160951.79674055654</v>
      </c>
      <c r="M27" s="21">
        <f t="shared" si="12"/>
        <v>37774.164953106025</v>
      </c>
      <c r="N27" s="12">
        <f t="shared" si="13"/>
        <v>1.4365146305492102</v>
      </c>
      <c r="O27" s="12">
        <f t="shared" si="14"/>
        <v>1.4602972409599635</v>
      </c>
      <c r="P27" s="12">
        <v>7.694</v>
      </c>
    </row>
    <row r="28" spans="1:16" x14ac:dyDescent="0.3">
      <c r="A28" s="38">
        <v>7</v>
      </c>
      <c r="B28" s="47">
        <f>-K6*COS(C28+C29-C$3)+0.5*C$17*C$7*C$5*(C29-C$8)*G6^2*SIN(C28)+0.5*C$17*C$7*(C$11+1/PI()/C$10*C$5^2*(C29-C$8)^2)*G6^2*COS(C28)</f>
        <v>1.2920204533202195E-3</v>
      </c>
      <c r="C28" s="39">
        <v>2.773608538850415E-2</v>
      </c>
      <c r="D28" s="40">
        <f t="shared" si="7"/>
        <v>1.5891606329757579</v>
      </c>
      <c r="F28" s="11">
        <v>1.08</v>
      </c>
      <c r="G28" s="12">
        <v>169.97</v>
      </c>
      <c r="H28" s="12">
        <f t="shared" si="8"/>
        <v>58.870701170783491</v>
      </c>
      <c r="I28" s="12">
        <f t="shared" si="9"/>
        <v>0.7454554121264978</v>
      </c>
      <c r="J28" s="11">
        <f t="shared" si="15"/>
        <v>0.77324917677793281</v>
      </c>
      <c r="K28" s="21">
        <f t="shared" si="10"/>
        <v>123398.46799581287</v>
      </c>
      <c r="L28" s="20">
        <f t="shared" si="11"/>
        <v>163918.43054434314</v>
      </c>
      <c r="M28" s="21">
        <f t="shared" si="12"/>
        <v>40519.962548530268</v>
      </c>
      <c r="N28" s="12">
        <f t="shared" si="13"/>
        <v>1.5409346335658338</v>
      </c>
      <c r="O28" s="12">
        <f t="shared" si="14"/>
        <v>1.4998825200474319</v>
      </c>
      <c r="P28" s="12">
        <v>7.048</v>
      </c>
    </row>
    <row r="29" spans="1:16" x14ac:dyDescent="0.3">
      <c r="A29" s="41">
        <v>8</v>
      </c>
      <c r="B29" s="48">
        <f>K6*SIN(C28+C29-C$3)+0.5*C$17*C$7*C$5*(C29-C$8)*G6^2*COS(C28)-0.5*C$17*C$7*(C$11+1/PI()/C$10*C$5^2*(C29-C$8)^2)*G6^2*SIN(C28)-C$15</f>
        <v>5.0303511416132096E-3</v>
      </c>
      <c r="C29" s="42">
        <v>0.12146858071194974</v>
      </c>
      <c r="D29" s="43">
        <f t="shared" si="7"/>
        <v>6.9596370182389169</v>
      </c>
      <c r="F29" s="11">
        <v>0.96899999999999997</v>
      </c>
      <c r="G29" s="12">
        <v>164.23</v>
      </c>
      <c r="H29" s="12">
        <f t="shared" si="8"/>
        <v>62.151154112617277</v>
      </c>
      <c r="I29" s="12">
        <f t="shared" si="9"/>
        <v>0.78699443495250598</v>
      </c>
      <c r="J29" s="11">
        <f t="shared" si="15"/>
        <v>0.78962552533334995</v>
      </c>
      <c r="K29" s="21">
        <f t="shared" si="10"/>
        <v>125536.39665574468</v>
      </c>
      <c r="L29" s="20">
        <f t="shared" si="11"/>
        <v>167389.99628779045</v>
      </c>
      <c r="M29" s="21">
        <f t="shared" si="12"/>
        <v>41853.599632045763</v>
      </c>
      <c r="N29" s="12">
        <f t="shared" si="13"/>
        <v>1.5916515503975177</v>
      </c>
      <c r="O29" s="12">
        <f t="shared" si="14"/>
        <v>1.4674689270672967</v>
      </c>
      <c r="P29" s="12">
        <v>6.0739999999999998</v>
      </c>
    </row>
    <row r="30" spans="1:16" x14ac:dyDescent="0.3">
      <c r="A30" s="32">
        <v>9</v>
      </c>
      <c r="B30" s="47">
        <f>-K7*COS(C30+C31-C$3)+0.5*C$17*C$7*C$5*(C31-C$8)*G7^2*SIN(C30)+0.5*C$17*C$7*(C$11+1/PI()/C$10*C$5^2*(C31-C$8)^2)*G7^2*COS(C30)</f>
        <v>-1.1283567650934856E-3</v>
      </c>
      <c r="C30" s="33">
        <v>2.6192357686803135E-2</v>
      </c>
      <c r="D30" s="34">
        <f t="shared" si="7"/>
        <v>1.5007115509508593</v>
      </c>
      <c r="F30" s="11">
        <v>0.86799999999999999</v>
      </c>
      <c r="G30" s="12">
        <v>160.72999999999999</v>
      </c>
      <c r="H30" s="12">
        <f t="shared" si="8"/>
        <v>65.667612018838909</v>
      </c>
      <c r="I30" s="12">
        <f t="shared" si="9"/>
        <v>0.83152189132003551</v>
      </c>
      <c r="J30" s="11">
        <f t="shared" si="15"/>
        <v>0.80480105836120297</v>
      </c>
      <c r="K30" s="21">
        <f t="shared" si="10"/>
        <v>126895.85397610741</v>
      </c>
      <c r="L30" s="20">
        <f t="shared" si="11"/>
        <v>170607.00528218076</v>
      </c>
      <c r="M30" s="21">
        <f t="shared" si="12"/>
        <v>43711.151306073356</v>
      </c>
      <c r="N30" s="12">
        <f t="shared" si="13"/>
        <v>1.6622924278346352</v>
      </c>
      <c r="O30" s="12">
        <f t="shared" si="14"/>
        <v>1.4505250317884131</v>
      </c>
      <c r="P30" s="12">
        <v>5.0990000000000002</v>
      </c>
    </row>
    <row r="31" spans="1:16" x14ac:dyDescent="0.3">
      <c r="A31" s="35">
        <v>10</v>
      </c>
      <c r="B31" s="48">
        <f>K7*SIN(C30+C31-C$3)+0.5*C$17*C$7*C$5*(C31-C$8)*G7^2*COS(C30)-0.5*C$17*C$7*(C$11+1/PI()/C$10*C$5^2*(C31-C$8)^2)*G7^2*SIN(C30)-C$15</f>
        <v>1.3333650713320822E-5</v>
      </c>
      <c r="C31" s="36">
        <v>8.3181224864994005E-2</v>
      </c>
      <c r="D31" s="37">
        <f t="shared" si="7"/>
        <v>4.7659331194928178</v>
      </c>
      <c r="F31" s="11">
        <v>0.77100000000000002</v>
      </c>
      <c r="G31" s="12">
        <v>153.61000000000001</v>
      </c>
      <c r="H31" s="12">
        <f t="shared" si="8"/>
        <v>69.676110166588984</v>
      </c>
      <c r="I31" s="12">
        <f t="shared" si="9"/>
        <v>0.88227985036099743</v>
      </c>
      <c r="J31" s="11">
        <f t="shared" si="15"/>
        <v>0.81925393470404906</v>
      </c>
      <c r="K31" s="21">
        <f t="shared" si="10"/>
        <v>129803.42757566654</v>
      </c>
      <c r="L31" s="20">
        <f t="shared" si="11"/>
        <v>173670.82077415788</v>
      </c>
      <c r="M31" s="21">
        <f t="shared" si="12"/>
        <v>43867.393198491336</v>
      </c>
      <c r="N31" s="12">
        <f t="shared" si="13"/>
        <v>1.6682341545317509</v>
      </c>
      <c r="O31" s="12">
        <f t="shared" si="14"/>
        <v>1.3719467204099727</v>
      </c>
      <c r="P31" s="12">
        <v>3.86</v>
      </c>
    </row>
    <row r="32" spans="1:16" x14ac:dyDescent="0.3">
      <c r="A32" s="38">
        <v>11</v>
      </c>
      <c r="B32" s="47">
        <f>-K8*COS(C32+C33-C$3)+0.5*C$17*C$7*C$5*(C33-C$8)*G8^2*SIN(C32)+0.5*C$17*C$7*(C$11+1/PI()/C$10*C$5^2*(C33-C$8)^2)*G8^2*COS(C32)</f>
        <v>-2.3000577584753046E-6</v>
      </c>
      <c r="C32" s="39">
        <v>2.1451425722065671E-2</v>
      </c>
      <c r="D32" s="40">
        <f t="shared" si="7"/>
        <v>1.2290761584127374</v>
      </c>
      <c r="F32" s="11">
        <v>0.56899999999999995</v>
      </c>
      <c r="G32" s="12">
        <v>116.14</v>
      </c>
      <c r="H32" s="12">
        <f t="shared" si="8"/>
        <v>81.106367843884669</v>
      </c>
      <c r="I32" s="12">
        <f t="shared" si="9"/>
        <v>1.0270164897772989</v>
      </c>
      <c r="J32" s="11">
        <f t="shared" si="15"/>
        <v>0.8454192018190767</v>
      </c>
      <c r="K32" s="21">
        <f t="shared" si="10"/>
        <v>149281.15764447735</v>
      </c>
      <c r="L32" s="20">
        <f t="shared" si="11"/>
        <v>179217.50565798878</v>
      </c>
      <c r="M32" s="21">
        <f t="shared" si="12"/>
        <v>29936.348013511422</v>
      </c>
      <c r="N32" s="12">
        <f t="shared" si="13"/>
        <v>1.1384501010150296</v>
      </c>
      <c r="O32" s="12">
        <f t="shared" si="14"/>
        <v>0.8042590220661926</v>
      </c>
      <c r="P32" s="12">
        <v>2.0419999999999998</v>
      </c>
    </row>
    <row r="33" spans="1:16" x14ac:dyDescent="0.3">
      <c r="A33" s="41">
        <v>12</v>
      </c>
      <c r="B33" s="48">
        <f>K8*SIN(C32+C33-C$3)+0.5*C$17*C$7*C$5*(C33-C$8)*G8^2*COS(C32)-0.5*C$17*C$7*(C$11+1/PI()/C$10*C$5^2*(C33-C$8)^2)*G8^2*SIN(C32)-C$15</f>
        <v>-1.0617303996696137E-4</v>
      </c>
      <c r="C33" s="42">
        <v>5.9150524188096659E-2</v>
      </c>
      <c r="D33" s="43">
        <f t="shared" si="7"/>
        <v>3.389075391964429</v>
      </c>
      <c r="F33" s="11">
        <v>0.47099999999999997</v>
      </c>
      <c r="G33" s="12">
        <v>88.53</v>
      </c>
      <c r="H33" s="12">
        <f t="shared" si="8"/>
        <v>89.145747842989749</v>
      </c>
      <c r="I33" s="12">
        <f t="shared" si="9"/>
        <v>1.1288158434674944</v>
      </c>
      <c r="J33" s="11">
        <f t="shared" si="15"/>
        <v>0.85223741972448952</v>
      </c>
      <c r="K33" s="21">
        <f t="shared" si="10"/>
        <v>170982.11033102221</v>
      </c>
      <c r="L33" s="20">
        <f t="shared" si="11"/>
        <v>180662.8761953642</v>
      </c>
      <c r="M33" s="21">
        <f t="shared" si="12"/>
        <v>9680.7658643419854</v>
      </c>
      <c r="N33" s="12">
        <f t="shared" si="13"/>
        <v>0.36815007866653449</v>
      </c>
      <c r="O33" s="12">
        <f t="shared" si="14"/>
        <v>0.23661819215754284</v>
      </c>
      <c r="P33" s="12">
        <v>1.198</v>
      </c>
    </row>
    <row r="34" spans="1:16" x14ac:dyDescent="0.3">
      <c r="A34" s="32">
        <v>13</v>
      </c>
      <c r="B34" s="47">
        <f>-K9*COS(C34+C35-C$3)+0.5*C$17*C$7*C$5*(C35-C$8)*G9^2*SIN(C34)+0.5*C$17*C$7*(C$11+1/PI()/C$10*C$5^2*(C35-C$8)^2)*G9^2*COS(C34)</f>
        <v>4.4426172053135815E-5</v>
      </c>
      <c r="C34" s="33">
        <v>1.4561688761526826E-2</v>
      </c>
      <c r="D34" s="34">
        <f t="shared" si="7"/>
        <v>0.83432330861856985</v>
      </c>
      <c r="F34" s="28">
        <v>0.371</v>
      </c>
      <c r="G34" s="28">
        <v>56.77</v>
      </c>
      <c r="H34" s="12">
        <f t="shared" si="8"/>
        <v>100.44403053008682</v>
      </c>
      <c r="I34" s="12">
        <f t="shared" si="9"/>
        <v>1.2718813380060834</v>
      </c>
      <c r="J34" s="11">
        <f t="shared" si="15"/>
        <v>0.84887121214598427</v>
      </c>
      <c r="K34" s="21">
        <f t="shared" si="10"/>
        <v>213518.96618274928</v>
      </c>
      <c r="L34" s="20">
        <f t="shared" si="11"/>
        <v>179949.28544127598</v>
      </c>
      <c r="M34" s="21">
        <f t="shared" si="12"/>
        <v>-33569.680741473305</v>
      </c>
      <c r="N34" s="12">
        <f t="shared" si="13"/>
        <v>-1.2766221990044877</v>
      </c>
      <c r="O34" s="12">
        <f t="shared" si="14"/>
        <v>-0.72823674125396731</v>
      </c>
      <c r="P34" s="12">
        <v>0.42</v>
      </c>
    </row>
    <row r="35" spans="1:16" x14ac:dyDescent="0.3">
      <c r="A35" s="35">
        <v>14</v>
      </c>
      <c r="B35" s="48">
        <f>K9*SIN(C34+C35-C$3)+0.5*C$17*C$7*C$5*(C35-C$8)*G9^2*COS(C34)-0.5*C$17*C$7*(C$11+1/PI()/C$10*C$5^2*(C35-C$8)^2)*G9^2*SIN(C34)-C$15</f>
        <v>9.4587448984384537E-11</v>
      </c>
      <c r="C35" s="36">
        <v>4.0975278581421595E-2</v>
      </c>
      <c r="D35" s="37">
        <f t="shared" si="7"/>
        <v>2.3477105270882563</v>
      </c>
      <c r="F35" s="28">
        <v>0.27600000000000002</v>
      </c>
      <c r="G35" s="28">
        <v>29.74</v>
      </c>
      <c r="H35" s="12">
        <f t="shared" si="8"/>
        <v>116.45457242139939</v>
      </c>
      <c r="I35" s="12">
        <f t="shared" si="9"/>
        <v>1.474616227630265</v>
      </c>
      <c r="J35" s="11">
        <f t="shared" si="15"/>
        <v>0.82559741451538349</v>
      </c>
      <c r="K35" s="21">
        <f t="shared" si="10"/>
        <v>295002.31429535773</v>
      </c>
      <c r="L35" s="20">
        <f t="shared" si="11"/>
        <v>175015.55321758121</v>
      </c>
      <c r="M35" s="21">
        <f t="shared" si="12"/>
        <v>-119986.76107777652</v>
      </c>
      <c r="N35" s="12">
        <f t="shared" si="13"/>
        <v>-4.5629794324881772</v>
      </c>
      <c r="O35" s="12">
        <f t="shared" si="14"/>
        <v>-2.2455658105506595</v>
      </c>
      <c r="P35" s="12">
        <v>-0.29199999999999998</v>
      </c>
    </row>
    <row r="36" spans="1:16" x14ac:dyDescent="0.3">
      <c r="A36" s="38">
        <v>15</v>
      </c>
      <c r="B36" s="47">
        <f>-K10*COS(C36+C37-C$3)+0.5*C$17*C$7*C$5*(C37-C$8)*G10^2*SIN(C36)+0.5*C$17*C$7*(C$11+1/PI()/C$10*C$5^2*(C37-C$8)^2)*G10^2*COS(C36)</f>
        <v>-4.2543728204691433E-4</v>
      </c>
      <c r="C36" s="39">
        <v>4.8038616038709892E-3</v>
      </c>
      <c r="D36" s="40">
        <f t="shared" si="7"/>
        <v>0.27524099526675422</v>
      </c>
      <c r="F36" s="101">
        <v>0.186</v>
      </c>
      <c r="G36" s="101">
        <v>10.85</v>
      </c>
      <c r="H36" s="102">
        <f t="shared" si="8"/>
        <v>141.85825525924881</v>
      </c>
      <c r="I36" s="12">
        <f t="shared" si="9"/>
        <v>1.7962925875649438</v>
      </c>
      <c r="J36" s="11">
        <f t="shared" si="15"/>
        <v>0.77072944310730485</v>
      </c>
      <c r="K36" s="104">
        <f t="shared" si="10"/>
        <v>488406.05114951881</v>
      </c>
      <c r="L36" s="108">
        <f t="shared" si="11"/>
        <v>163384.28087941866</v>
      </c>
      <c r="M36" s="104">
        <f t="shared" si="12"/>
        <v>-325021.77027010015</v>
      </c>
      <c r="N36" s="102">
        <f t="shared" si="13"/>
        <v>-12.360260744866896</v>
      </c>
      <c r="O36" s="102">
        <f t="shared" si="14"/>
        <v>-4.9985806231732282</v>
      </c>
      <c r="P36" s="102">
        <v>-1.071</v>
      </c>
    </row>
    <row r="37" spans="1:16" ht="15.6" thickBot="1" x14ac:dyDescent="0.35">
      <c r="A37" s="41">
        <v>16</v>
      </c>
      <c r="B37" s="48">
        <f>K10*SIN(C36+C37-C$3)+0.5*C$17*C$7*C$5*(C37-C$8)*G10^2*COS(C36)-0.5*C$17*C$7*(C$11+1/PI()/C$10*C$5^2*(C37-C$8)^2)*G10^2*SIN(C36)-C$15</f>
        <v>-2.6719135348685086E-7</v>
      </c>
      <c r="C37" s="42">
        <v>2.5153867790551378E-2</v>
      </c>
      <c r="D37" s="43">
        <f t="shared" si="7"/>
        <v>1.4412104628286548</v>
      </c>
      <c r="F37" s="49"/>
      <c r="G37" s="50"/>
      <c r="H37" s="50"/>
      <c r="I37" s="50"/>
      <c r="J37" s="49"/>
      <c r="K37" s="51"/>
      <c r="L37" s="51"/>
      <c r="M37" s="51"/>
      <c r="N37" s="50"/>
      <c r="O37" s="50"/>
      <c r="P37" s="50"/>
    </row>
    <row r="38" spans="1:16" ht="18.600000000000001" thickBot="1" x14ac:dyDescent="0.35">
      <c r="A38" s="32">
        <v>17</v>
      </c>
      <c r="B38" s="47">
        <f>-K11*COS(C38+C39-C$3)+0.5*C$17*C$7*C$5*(C39-C$8)*G11^2*SIN(C38)+0.5*C$17*C$7*(C$11+1/PI()/C$10*C$5^2*(C39-C$8)^2)*G11^2*COS(C38)</f>
        <v>2.5988971401602612E-5</v>
      </c>
      <c r="C38" s="33">
        <v>-4.9646925302716683E-3</v>
      </c>
      <c r="D38" s="34">
        <f t="shared" si="7"/>
        <v>-0.28445592856469232</v>
      </c>
      <c r="F38" s="132" t="s">
        <v>195</v>
      </c>
      <c r="G38" s="133"/>
      <c r="H38" s="133"/>
      <c r="I38" s="133"/>
      <c r="J38" s="133"/>
      <c r="K38" s="133"/>
      <c r="L38" s="133"/>
      <c r="M38" s="133"/>
      <c r="N38" s="133"/>
      <c r="O38" s="133"/>
      <c r="P38" s="134"/>
    </row>
    <row r="39" spans="1:16" ht="18.600000000000001" thickBot="1" x14ac:dyDescent="0.35">
      <c r="A39" s="35">
        <v>18</v>
      </c>
      <c r="B39" s="48">
        <f>K11*SIN(C38+C39-C$3)+0.5*C$17*C$7*C$5*(C39-C$8)*G11^2*COS(C38)-0.5*C$17*C$7*(C$11+1/PI()/C$10*C$5^2*(C39-C$8)^2)*G11^2*SIN(C38)-C$15</f>
        <v>8.0035533756017685E-11</v>
      </c>
      <c r="C39" s="36">
        <v>1.4389298793960925E-2</v>
      </c>
      <c r="D39" s="37">
        <f t="shared" si="7"/>
        <v>0.82444609104664657</v>
      </c>
      <c r="F39" s="97" t="s">
        <v>1</v>
      </c>
      <c r="G39" s="97" t="s">
        <v>2</v>
      </c>
      <c r="H39" s="97" t="s">
        <v>67</v>
      </c>
      <c r="I39" s="97" t="s">
        <v>15</v>
      </c>
      <c r="J39" s="97" t="s">
        <v>74</v>
      </c>
      <c r="K39" s="97" t="s">
        <v>72</v>
      </c>
      <c r="L39" s="97" t="s">
        <v>73</v>
      </c>
      <c r="M39" s="97" t="s">
        <v>71</v>
      </c>
      <c r="N39" s="97" t="s">
        <v>69</v>
      </c>
      <c r="O39" s="97" t="s">
        <v>87</v>
      </c>
      <c r="P39" s="97" t="s">
        <v>70</v>
      </c>
    </row>
    <row r="40" spans="1:16" x14ac:dyDescent="0.3">
      <c r="A40" s="38">
        <v>19</v>
      </c>
      <c r="B40" s="47">
        <f>-K12*COS(C40+C41-C$3)+0.5*C$17*C$7*C$5*(C41-C$8)*G12^2*SIN(C40)+0.5*C$17*C$7*(C$11+1/PI()/C$10*C$5^2*(C41-C$8)^2)*G12^2*COS(C40)</f>
        <v>5.5511682603537338E-4</v>
      </c>
      <c r="C40" s="39">
        <v>-1.5623989865566856E-2</v>
      </c>
      <c r="D40" s="40">
        <f t="shared" si="7"/>
        <v>-0.89518867845215133</v>
      </c>
      <c r="F40" s="93">
        <f t="shared" ref="F40:G54" si="16">F22</f>
        <v>1.63</v>
      </c>
      <c r="G40" s="99">
        <f t="shared" si="16"/>
        <v>156.18</v>
      </c>
      <c r="H40" s="92">
        <f t="shared" ref="H40:H54" si="17">SQRT((2*C$20)/(C$7*C$17*F40))</f>
        <v>50.318172548068731</v>
      </c>
      <c r="I40" s="92">
        <f t="shared" ref="I40:I54" si="18">H40/C$12/C$4</f>
        <v>0.63715826902514183</v>
      </c>
      <c r="J40" s="93">
        <f t="shared" ref="J40:J54" si="19">0.185*I40^3-0.9822*I40^2+1.6209*I40</f>
        <v>0.68187895534996423</v>
      </c>
      <c r="K40" s="94">
        <f t="shared" ref="K40:K54" si="20">C$20*SQRT((2*C$20)/(C$17*C$7*G40))</f>
        <v>149041.05773746048</v>
      </c>
      <c r="L40" s="94">
        <f t="shared" ref="L40:L54" si="21">C$18*J40</f>
        <v>144549.17190850369</v>
      </c>
      <c r="M40" s="94">
        <f t="shared" ref="M40:M54" si="22">(L40-K40)</f>
        <v>-4491.885828956787</v>
      </c>
      <c r="N40" s="92">
        <f t="shared" ref="N40:N54" si="23">M40/C$20</f>
        <v>-0.15492758034379783</v>
      </c>
      <c r="O40" s="92">
        <f t="shared" ref="O40:O54" si="24">DEGREES(ASIN(N40/H40))</f>
        <v>-0.17641162346695347</v>
      </c>
      <c r="P40" s="99">
        <f t="shared" ref="P40:P54" si="25">P22</f>
        <v>15.276999999999999</v>
      </c>
    </row>
    <row r="41" spans="1:16" x14ac:dyDescent="0.3">
      <c r="A41" s="41">
        <v>20</v>
      </c>
      <c r="B41" s="48">
        <f>K12*SIN(C40+C41-C$3)+0.5*C$17*C$7*C$5*(C41-C$8)*G12^2*COS(C40)-0.5*C$17*C$7*(C$11+1/PI()/C$10*C$5^2*(C41-C$8)^2)*G12^2*SIN(C40)-C$15</f>
        <v>2.255546860396862E-10</v>
      </c>
      <c r="C41" s="42">
        <v>5.7194324392545919E-3</v>
      </c>
      <c r="D41" s="43">
        <f t="shared" si="7"/>
        <v>0.32769933997950168</v>
      </c>
      <c r="F41" s="11">
        <f t="shared" si="16"/>
        <v>1.571</v>
      </c>
      <c r="G41" s="28">
        <f t="shared" si="16"/>
        <v>158.85</v>
      </c>
      <c r="H41" s="12">
        <f t="shared" si="17"/>
        <v>51.254331057812792</v>
      </c>
      <c r="I41" s="12">
        <f t="shared" si="18"/>
        <v>0.64901245818576503</v>
      </c>
      <c r="J41" s="11">
        <f t="shared" si="19"/>
        <v>0.68883919866271981</v>
      </c>
      <c r="K41" s="21">
        <f t="shared" si="20"/>
        <v>147783.18553139997</v>
      </c>
      <c r="L41" s="21">
        <f t="shared" si="21"/>
        <v>146024.64992296178</v>
      </c>
      <c r="M41" s="21">
        <f t="shared" si="22"/>
        <v>-1758.5356084381929</v>
      </c>
      <c r="N41" s="12">
        <f t="shared" si="23"/>
        <v>-6.0652847631929095E-2</v>
      </c>
      <c r="O41" s="12">
        <f t="shared" si="24"/>
        <v>-6.7802133480593538E-2</v>
      </c>
      <c r="P41" s="28">
        <f t="shared" si="25"/>
        <v>12.122999999999999</v>
      </c>
    </row>
    <row r="42" spans="1:16" x14ac:dyDescent="0.3">
      <c r="A42" s="32">
        <v>21</v>
      </c>
      <c r="B42" s="47">
        <f>-K13*COS(C42+C43-C$3)+0.5*C$17*C$7*C$5*(C43-C$8)*G13^2*SIN(C42)+0.5*C$17*C$7*(C$11+1/PI()/C$10*C$5^2*(C43-C$8)^2)*G13^2*COS(C42)</f>
        <v>-2.1373125491663814E-11</v>
      </c>
      <c r="C42" s="33">
        <v>-2.8684751650471095E-2</v>
      </c>
      <c r="D42" s="34">
        <f t="shared" si="7"/>
        <v>-1.6435152059529161</v>
      </c>
      <c r="F42" s="11">
        <f t="shared" si="16"/>
        <v>1.474</v>
      </c>
      <c r="G42" s="28">
        <f t="shared" si="16"/>
        <v>163.07</v>
      </c>
      <c r="H42" s="12">
        <f t="shared" si="17"/>
        <v>52.913918063373565</v>
      </c>
      <c r="I42" s="12">
        <f t="shared" si="18"/>
        <v>0.67002712406516629</v>
      </c>
      <c r="J42" s="11">
        <f t="shared" si="19"/>
        <v>0.70074959834010109</v>
      </c>
      <c r="K42" s="21">
        <f t="shared" si="20"/>
        <v>145858.45120790714</v>
      </c>
      <c r="L42" s="21">
        <f t="shared" si="21"/>
        <v>148549.49454084731</v>
      </c>
      <c r="M42" s="21">
        <f t="shared" si="22"/>
        <v>2691.0433329401712</v>
      </c>
      <c r="N42" s="12">
        <f t="shared" si="23"/>
        <v>9.2815545195982022E-2</v>
      </c>
      <c r="O42" s="12">
        <f t="shared" si="24"/>
        <v>0.10050175709203588</v>
      </c>
      <c r="P42" s="28">
        <f t="shared" si="25"/>
        <v>11.015000000000001</v>
      </c>
    </row>
    <row r="43" spans="1:16" x14ac:dyDescent="0.3">
      <c r="A43" s="35">
        <v>22</v>
      </c>
      <c r="B43" s="48">
        <f>K13*SIN(C42+C43-C$3)+0.5*C$17*C$7*C$5*(C43-C$8)*G13^2*COS(C42)-0.5*C$17*C$7*(C$11+1/PI()/C$10*C$5^2*(C43-C$8)^2)*G13^2*SIN(C42)-C$15</f>
        <v>0</v>
      </c>
      <c r="C43" s="36">
        <v>-2.2714811669018046E-3</v>
      </c>
      <c r="D43" s="37">
        <f t="shared" si="7"/>
        <v>-0.13014628410692475</v>
      </c>
      <c r="F43" s="11">
        <f t="shared" si="16"/>
        <v>1.379</v>
      </c>
      <c r="G43" s="28">
        <f t="shared" si="16"/>
        <v>167.61</v>
      </c>
      <c r="H43" s="12">
        <f t="shared" si="17"/>
        <v>54.706197516247016</v>
      </c>
      <c r="I43" s="12">
        <f t="shared" si="18"/>
        <v>0.69272201968585401</v>
      </c>
      <c r="J43" s="11">
        <f t="shared" si="19"/>
        <v>0.71300716112010243</v>
      </c>
      <c r="K43" s="21">
        <f t="shared" si="20"/>
        <v>143869.47879889171</v>
      </c>
      <c r="L43" s="21">
        <f t="shared" si="21"/>
        <v>151147.93306951012</v>
      </c>
      <c r="M43" s="21">
        <f t="shared" si="22"/>
        <v>7278.4542706184147</v>
      </c>
      <c r="N43" s="12">
        <f t="shared" si="23"/>
        <v>0.25103783838864374</v>
      </c>
      <c r="O43" s="12">
        <f t="shared" si="24"/>
        <v>0.26292193153363858</v>
      </c>
      <c r="P43" s="28">
        <f t="shared" si="25"/>
        <v>9.5779999999999994</v>
      </c>
    </row>
    <row r="44" spans="1:16" x14ac:dyDescent="0.3">
      <c r="A44" s="38">
        <v>23</v>
      </c>
      <c r="B44" s="47">
        <f>-K14*COS(C44+C45-C$3)+0.5*C$17*C$7*C$5*(C45-C$8)*G14^2*SIN(C44)+0.5*C$17*C$7*(C$11+1/PI()/C$10*C$5^2*(C45-C$8)^2)*G14^2*COS(C44)</f>
        <v>-3.7838987373106647E-4</v>
      </c>
      <c r="C44" s="39">
        <v>-4.0752182847920745E-2</v>
      </c>
      <c r="D44" s="40">
        <f t="shared" si="7"/>
        <v>-2.3349280831312824</v>
      </c>
      <c r="F44" s="11">
        <f t="shared" si="16"/>
        <v>1.272</v>
      </c>
      <c r="G44" s="28">
        <f t="shared" si="16"/>
        <v>169.65</v>
      </c>
      <c r="H44" s="12">
        <f t="shared" si="17"/>
        <v>56.960672300971545</v>
      </c>
      <c r="I44" s="12">
        <f t="shared" si="18"/>
        <v>0.72126950419602109</v>
      </c>
      <c r="J44" s="11">
        <f t="shared" si="19"/>
        <v>0.72755290626837499</v>
      </c>
      <c r="K44" s="21">
        <f t="shared" si="20"/>
        <v>143001.86494870318</v>
      </c>
      <c r="L44" s="21">
        <f t="shared" si="21"/>
        <v>154231.43549978503</v>
      </c>
      <c r="M44" s="21">
        <f t="shared" si="22"/>
        <v>11229.570551081852</v>
      </c>
      <c r="N44" s="12">
        <f t="shared" si="23"/>
        <v>0.38731398348633689</v>
      </c>
      <c r="O44" s="12">
        <f t="shared" si="24"/>
        <v>0.38959560540669375</v>
      </c>
      <c r="P44" s="28">
        <f t="shared" si="25"/>
        <v>8.4719999999999995</v>
      </c>
    </row>
    <row r="45" spans="1:16" x14ac:dyDescent="0.3">
      <c r="A45" s="41">
        <v>24</v>
      </c>
      <c r="B45" s="48">
        <f>K14*SIN(C44+C45-C$3)+0.5*C$17*C$7*C$5*(C45-C$8)*G14^2*COS(C44)-0.5*C$17*C$7*(C$11+1/PI()/C$10*C$5^2*(C45-C$8)^2)*G14^2*SIN(C44)-C$15</f>
        <v>4.3655745685100555E-10</v>
      </c>
      <c r="C45" s="42">
        <v>-7.9857796512031471E-3</v>
      </c>
      <c r="D45" s="43">
        <f t="shared" si="7"/>
        <v>-0.45755147013539499</v>
      </c>
      <c r="F45" s="11">
        <f t="shared" si="16"/>
        <v>1.1779999999999999</v>
      </c>
      <c r="G45" s="28">
        <f t="shared" si="16"/>
        <v>170.58</v>
      </c>
      <c r="H45" s="12">
        <f t="shared" si="17"/>
        <v>59.189683406109758</v>
      </c>
      <c r="I45" s="12">
        <f t="shared" si="18"/>
        <v>0.74949455263216891</v>
      </c>
      <c r="J45" s="11">
        <f t="shared" si="19"/>
        <v>0.74100183200724246</v>
      </c>
      <c r="K45" s="21">
        <f t="shared" si="20"/>
        <v>142611.50999050456</v>
      </c>
      <c r="L45" s="21">
        <f t="shared" si="21"/>
        <v>157082.42696001352</v>
      </c>
      <c r="M45" s="21">
        <f t="shared" si="22"/>
        <v>14470.916969508951</v>
      </c>
      <c r="N45" s="12">
        <f t="shared" si="23"/>
        <v>0.49910978079393953</v>
      </c>
      <c r="O45" s="12">
        <f t="shared" si="24"/>
        <v>0.48314539317133248</v>
      </c>
      <c r="P45" s="28">
        <f t="shared" si="25"/>
        <v>7.694</v>
      </c>
    </row>
    <row r="46" spans="1:16" x14ac:dyDescent="0.3">
      <c r="A46" s="32">
        <v>25</v>
      </c>
      <c r="B46" s="47">
        <f>-K15*COS(C46+C47-C$3)+0.5*C$17*C$7*C$5*(C47-C$8)*G15^2*SIN(C46)+0.5*C$17*C$7*(C$11+1/PI()/C$10*C$5^2*(C47-C$8)^2)*G15^2*COS(C46)</f>
        <v>-7.5107545853825286E-5</v>
      </c>
      <c r="C46" s="33">
        <v>-5.3330228366803359E-2</v>
      </c>
      <c r="D46" s="34">
        <f t="shared" si="7"/>
        <v>-3.0555970058866935</v>
      </c>
      <c r="F46" s="11">
        <f t="shared" si="16"/>
        <v>1.08</v>
      </c>
      <c r="G46" s="28">
        <f t="shared" si="16"/>
        <v>169.97</v>
      </c>
      <c r="H46" s="12">
        <f t="shared" si="17"/>
        <v>61.816837694716106</v>
      </c>
      <c r="I46" s="12">
        <f t="shared" si="18"/>
        <v>0.78276112401632081</v>
      </c>
      <c r="J46" s="11">
        <f t="shared" si="19"/>
        <v>0.75569660613963419</v>
      </c>
      <c r="K46" s="21">
        <f t="shared" si="20"/>
        <v>142867.18778425755</v>
      </c>
      <c r="L46" s="21">
        <f t="shared" si="21"/>
        <v>160197.5215314973</v>
      </c>
      <c r="M46" s="21">
        <f t="shared" si="22"/>
        <v>17330.333747239754</v>
      </c>
      <c r="N46" s="12">
        <f t="shared" si="23"/>
        <v>0.5977326174903872</v>
      </c>
      <c r="O46" s="12">
        <f t="shared" si="24"/>
        <v>0.55402526619581927</v>
      </c>
      <c r="P46" s="28">
        <f t="shared" si="25"/>
        <v>7.048</v>
      </c>
    </row>
    <row r="47" spans="1:16" x14ac:dyDescent="0.3">
      <c r="A47" s="35">
        <v>26</v>
      </c>
      <c r="B47" s="48">
        <f>K15*SIN(C46+C47-C$3)+0.5*C$17*C$7*C$5*(C47-C$8)*G15^2*COS(C46)-0.5*C$17*C$7*(C$11+1/PI()/C$10*C$5^2*(C47-C$8)^2)*G15^2*SIN(C46)-C$15</f>
        <v>-5.0931703299283981E-11</v>
      </c>
      <c r="C47" s="36">
        <v>-1.2776940102468819E-2</v>
      </c>
      <c r="D47" s="37">
        <f t="shared" si="7"/>
        <v>-0.73206474296291291</v>
      </c>
      <c r="F47" s="11">
        <f t="shared" si="16"/>
        <v>0.96899999999999997</v>
      </c>
      <c r="G47" s="28">
        <f t="shared" si="16"/>
        <v>164.23</v>
      </c>
      <c r="H47" s="12">
        <f t="shared" si="17"/>
        <v>65.261458245135728</v>
      </c>
      <c r="I47" s="12">
        <f t="shared" si="18"/>
        <v>0.82637893357125136</v>
      </c>
      <c r="J47" s="11">
        <f t="shared" si="19"/>
        <v>0.77313327928764641</v>
      </c>
      <c r="K47" s="21">
        <f t="shared" si="20"/>
        <v>145342.419934937</v>
      </c>
      <c r="L47" s="21">
        <f t="shared" si="21"/>
        <v>163893.86183443395</v>
      </c>
      <c r="M47" s="21">
        <f t="shared" si="22"/>
        <v>18551.441899496946</v>
      </c>
      <c r="N47" s="12">
        <f t="shared" si="23"/>
        <v>0.63984930045408328</v>
      </c>
      <c r="O47" s="12">
        <f t="shared" si="24"/>
        <v>0.56175961729125079</v>
      </c>
      <c r="P47" s="28">
        <f t="shared" si="25"/>
        <v>6.0739999999999998</v>
      </c>
    </row>
    <row r="48" spans="1:16" x14ac:dyDescent="0.3">
      <c r="A48" s="38">
        <v>27</v>
      </c>
      <c r="B48" s="47">
        <f>-K16*COS(C48+C49-C$3)+0.5*C$17*C$7*C$5*(C49-C$8)*G16^2*SIN(C48)+0.5*C$17*C$7*(C$11+1/PI()/C$10*C$5^2*(C49-C$8)^2)*G16^2*COS(C48)</f>
        <v>-4.9946698345593177E-4</v>
      </c>
      <c r="C48" s="39">
        <v>-6.6359704658051036E-2</v>
      </c>
      <c r="D48" s="40">
        <f t="shared" si="7"/>
        <v>-3.8021310066409542</v>
      </c>
      <c r="F48" s="11">
        <f t="shared" si="16"/>
        <v>0.86799999999999999</v>
      </c>
      <c r="G48" s="28">
        <f t="shared" si="16"/>
        <v>160.72999999999999</v>
      </c>
      <c r="H48" s="12">
        <f t="shared" si="17"/>
        <v>68.953894437098114</v>
      </c>
      <c r="I48" s="12">
        <f t="shared" si="18"/>
        <v>0.87313473040208922</v>
      </c>
      <c r="J48" s="11">
        <f t="shared" si="19"/>
        <v>0.78961455227762423</v>
      </c>
      <c r="K48" s="21">
        <f t="shared" si="20"/>
        <v>146916.36041756545</v>
      </c>
      <c r="L48" s="21">
        <f t="shared" si="21"/>
        <v>167387.67014748944</v>
      </c>
      <c r="M48" s="21">
        <f t="shared" si="22"/>
        <v>20471.309729923989</v>
      </c>
      <c r="N48" s="12">
        <f t="shared" si="23"/>
        <v>0.70606658399021394</v>
      </c>
      <c r="O48" s="12">
        <f t="shared" si="24"/>
        <v>0.58670134058159618</v>
      </c>
      <c r="P48" s="28">
        <f t="shared" si="25"/>
        <v>5.0990000000000002</v>
      </c>
    </row>
    <row r="49" spans="1:16" x14ac:dyDescent="0.3">
      <c r="A49" s="41">
        <v>28</v>
      </c>
      <c r="B49" s="48">
        <f>K16*SIN(C48+C49-C$3)+0.5*C$17*C$7*C$5*(C49-C$8)*G16^2*COS(C48)-0.5*C$17*C$7*(C$11+1/PI()/C$10*C$5^2*(C49-C$8)^2)*G16^2*SIN(C48)-C$15</f>
        <v>-5.4569682106375694E-11</v>
      </c>
      <c r="C49" s="42">
        <v>-1.6834105700959823E-2</v>
      </c>
      <c r="D49" s="43">
        <f t="shared" si="7"/>
        <v>-0.96452320854211615</v>
      </c>
      <c r="F49" s="11">
        <f t="shared" si="16"/>
        <v>0.77100000000000002</v>
      </c>
      <c r="G49" s="28">
        <f t="shared" si="16"/>
        <v>153.61000000000001</v>
      </c>
      <c r="H49" s="12">
        <f t="shared" si="17"/>
        <v>73.162994625665476</v>
      </c>
      <c r="I49" s="12">
        <f t="shared" si="18"/>
        <v>0.92643283036267521</v>
      </c>
      <c r="J49" s="11">
        <f t="shared" si="19"/>
        <v>0.80575482367877105</v>
      </c>
      <c r="K49" s="21">
        <f t="shared" si="20"/>
        <v>150282.66528497159</v>
      </c>
      <c r="L49" s="21">
        <f t="shared" si="21"/>
        <v>170809.19070786054</v>
      </c>
      <c r="M49" s="21">
        <f t="shared" si="22"/>
        <v>20526.525422888953</v>
      </c>
      <c r="N49" s="12">
        <f t="shared" si="23"/>
        <v>0.70797100321051598</v>
      </c>
      <c r="O49" s="12">
        <f t="shared" si="24"/>
        <v>0.55443853523507902</v>
      </c>
      <c r="P49" s="28">
        <f t="shared" si="25"/>
        <v>3.86</v>
      </c>
    </row>
    <row r="50" spans="1:16" x14ac:dyDescent="0.3">
      <c r="A50" s="32">
        <v>29</v>
      </c>
      <c r="B50" s="47">
        <f>-K17*COS(C50+C51-C$3)+0.5*C$17*C$7*C$5*(C51-C$8)*G17^2*SIN(C50)+0.5*C$17*C$7*(C$11+1/PI()/C$10*C$5^2*(C51-C$8)^2)*G17^2*COS(C50)</f>
        <v>-2.0385804282341269E-4</v>
      </c>
      <c r="C50" s="33">
        <v>-8.1747694356230444E-2</v>
      </c>
      <c r="D50" s="34">
        <f t="shared" si="7"/>
        <v>-4.6837978715374238</v>
      </c>
      <c r="F50" s="11">
        <f t="shared" si="16"/>
        <v>0.56899999999999995</v>
      </c>
      <c r="G50" s="28">
        <f t="shared" si="16"/>
        <v>116.14</v>
      </c>
      <c r="H50" s="12">
        <f t="shared" si="17"/>
        <v>85.165270283914879</v>
      </c>
      <c r="I50" s="12">
        <f t="shared" si="18"/>
        <v>1.0784126975859394</v>
      </c>
      <c r="J50" s="11">
        <f t="shared" si="19"/>
        <v>0.83774681752031188</v>
      </c>
      <c r="K50" s="21">
        <f t="shared" si="20"/>
        <v>172833.41947623351</v>
      </c>
      <c r="L50" s="21">
        <f t="shared" si="21"/>
        <v>177591.06332794053</v>
      </c>
      <c r="M50" s="21">
        <f t="shared" si="22"/>
        <v>4757.6438517070201</v>
      </c>
      <c r="N50" s="12">
        <f t="shared" si="23"/>
        <v>0.1640937187964325</v>
      </c>
      <c r="O50" s="12">
        <f t="shared" si="24"/>
        <v>0.11039574368306115</v>
      </c>
      <c r="P50" s="28">
        <f t="shared" si="25"/>
        <v>2.0419999999999998</v>
      </c>
    </row>
    <row r="51" spans="1:16" x14ac:dyDescent="0.3">
      <c r="A51" s="35">
        <v>30</v>
      </c>
      <c r="B51" s="48">
        <f>K17*SIN(C50+C51-C$3)+0.5*C$17*C$7*C$5*(C51-C$8)*G17^2*COS(C50)-0.5*C$17*C$7*(C$11+1/PI()/C$10*C$5^2*(C51-C$8)^2)*G17^2*SIN(C50)-C$15</f>
        <v>-2.0372681319713593E-10</v>
      </c>
      <c r="C51" s="36">
        <v>-2.0754101702026961E-2</v>
      </c>
      <c r="D51" s="37">
        <f t="shared" si="7"/>
        <v>-1.1891224351114233</v>
      </c>
      <c r="F51" s="11">
        <f t="shared" si="16"/>
        <v>0.47099999999999997</v>
      </c>
      <c r="G51" s="28">
        <f t="shared" si="16"/>
        <v>88.53</v>
      </c>
      <c r="H51" s="12">
        <f t="shared" si="17"/>
        <v>93.606974538958852</v>
      </c>
      <c r="I51" s="12">
        <f t="shared" si="18"/>
        <v>1.1853065174206669</v>
      </c>
      <c r="J51" s="11">
        <f t="shared" si="19"/>
        <v>0.84940010146523504</v>
      </c>
      <c r="K51" s="21">
        <f t="shared" si="20"/>
        <v>197958.15670288278</v>
      </c>
      <c r="L51" s="21">
        <f t="shared" si="21"/>
        <v>180061.40286699959</v>
      </c>
      <c r="M51" s="21">
        <f t="shared" si="22"/>
        <v>-17896.753835883195</v>
      </c>
      <c r="N51" s="12">
        <f t="shared" si="23"/>
        <v>-0.61726875378885315</v>
      </c>
      <c r="O51" s="12">
        <f t="shared" si="24"/>
        <v>-0.37782602112573677</v>
      </c>
      <c r="P51" s="28">
        <f t="shared" si="25"/>
        <v>1.198</v>
      </c>
    </row>
    <row r="52" spans="1:16" x14ac:dyDescent="0.3">
      <c r="F52" s="11">
        <f t="shared" si="16"/>
        <v>0.371</v>
      </c>
      <c r="G52" s="28">
        <f t="shared" si="16"/>
        <v>56.77</v>
      </c>
      <c r="H52" s="12">
        <f t="shared" si="17"/>
        <v>105.47067062559417</v>
      </c>
      <c r="I52" s="12">
        <f t="shared" si="18"/>
        <v>1.3355316086753179</v>
      </c>
      <c r="J52" s="11">
        <f t="shared" si="19"/>
        <v>0.85355844346983778</v>
      </c>
      <c r="K52" s="21">
        <f t="shared" si="20"/>
        <v>247206.10176591869</v>
      </c>
      <c r="L52" s="21">
        <f t="shared" si="21"/>
        <v>180942.91547060999</v>
      </c>
      <c r="M52" s="21">
        <f t="shared" si="22"/>
        <v>-66263.186295308697</v>
      </c>
      <c r="N52" s="12">
        <f t="shared" si="23"/>
        <v>-2.2854532616174477</v>
      </c>
      <c r="O52" s="12">
        <f t="shared" si="24"/>
        <v>-1.2416444801300865</v>
      </c>
      <c r="P52" s="28">
        <f t="shared" si="25"/>
        <v>0.42</v>
      </c>
    </row>
    <row r="53" spans="1:16" x14ac:dyDescent="0.3">
      <c r="B53" s="53"/>
      <c r="C53" s="53"/>
      <c r="D53" s="53"/>
      <c r="F53" s="11">
        <f t="shared" si="16"/>
        <v>0.27600000000000002</v>
      </c>
      <c r="G53" s="28">
        <f t="shared" si="16"/>
        <v>29.74</v>
      </c>
      <c r="H53" s="12">
        <f t="shared" si="17"/>
        <v>122.28244710891731</v>
      </c>
      <c r="I53" s="12">
        <f t="shared" si="18"/>
        <v>1.5484122015290998</v>
      </c>
      <c r="J53" s="11">
        <f t="shared" si="19"/>
        <v>0.84171981417587993</v>
      </c>
      <c r="K53" s="21">
        <f t="shared" si="20"/>
        <v>341545.17246239656</v>
      </c>
      <c r="L53" s="21">
        <f t="shared" si="21"/>
        <v>178433.2852091876</v>
      </c>
      <c r="M53" s="21">
        <f t="shared" si="22"/>
        <v>-163111.88725320896</v>
      </c>
      <c r="N53" s="12">
        <f t="shared" si="23"/>
        <v>-5.6258175251348606</v>
      </c>
      <c r="O53" s="12">
        <f t="shared" si="24"/>
        <v>-2.6369231801929294</v>
      </c>
      <c r="P53" s="28">
        <f t="shared" si="25"/>
        <v>-0.29199999999999998</v>
      </c>
    </row>
    <row r="54" spans="1:16" x14ac:dyDescent="0.3">
      <c r="B54" s="53"/>
      <c r="C54" s="53"/>
      <c r="D54" s="53"/>
      <c r="F54" s="103">
        <f t="shared" si="16"/>
        <v>0.186</v>
      </c>
      <c r="G54" s="101">
        <f t="shared" si="16"/>
        <v>10.85</v>
      </c>
      <c r="H54" s="102">
        <f t="shared" si="17"/>
        <v>148.9574366640737</v>
      </c>
      <c r="I54" s="102">
        <f t="shared" si="18"/>
        <v>1.8861865941700646</v>
      </c>
      <c r="J54" s="103">
        <f t="shared" si="19"/>
        <v>0.80438691258755224</v>
      </c>
      <c r="K54" s="104">
        <f t="shared" si="20"/>
        <v>565462.44177775085</v>
      </c>
      <c r="L54" s="104">
        <f t="shared" si="21"/>
        <v>170519.21194560549</v>
      </c>
      <c r="M54" s="104">
        <f t="shared" si="22"/>
        <v>-394943.22983214539</v>
      </c>
      <c r="N54" s="102">
        <f t="shared" si="23"/>
        <v>-13.621806363958534</v>
      </c>
      <c r="O54" s="102">
        <f t="shared" si="24"/>
        <v>-5.2468943529986722</v>
      </c>
      <c r="P54" s="101">
        <f t="shared" si="25"/>
        <v>-1.071</v>
      </c>
    </row>
    <row r="55" spans="1:16" ht="15.6" thickBot="1" x14ac:dyDescent="0.35">
      <c r="B55" s="53"/>
      <c r="C55" s="53"/>
      <c r="D55" s="53"/>
      <c r="F55" s="105"/>
      <c r="G55" s="105"/>
      <c r="H55" s="50"/>
      <c r="I55" s="50"/>
      <c r="J55" s="49"/>
      <c r="K55" s="51"/>
      <c r="L55" s="51"/>
      <c r="M55" s="51"/>
      <c r="N55" s="50"/>
      <c r="O55" s="50"/>
      <c r="P55" s="105"/>
    </row>
    <row r="56" spans="1:16" ht="18.600000000000001" thickBot="1" x14ac:dyDescent="0.35">
      <c r="G56" s="132" t="s">
        <v>194</v>
      </c>
      <c r="H56" s="133"/>
      <c r="I56" s="133"/>
      <c r="J56" s="133"/>
      <c r="K56" s="133"/>
      <c r="L56" s="133"/>
      <c r="M56" s="133"/>
      <c r="N56" s="134"/>
    </row>
    <row r="57" spans="1:16" ht="18.600000000000001" thickBot="1" x14ac:dyDescent="0.35">
      <c r="B57" s="54" t="s">
        <v>154</v>
      </c>
      <c r="C57" s="54" t="s">
        <v>156</v>
      </c>
      <c r="D57" s="30" t="s">
        <v>157</v>
      </c>
      <c r="E57" s="30" t="s">
        <v>155</v>
      </c>
      <c r="G57" s="97" t="s">
        <v>67</v>
      </c>
      <c r="H57" s="97" t="s">
        <v>15</v>
      </c>
      <c r="I57" s="96" t="s">
        <v>74</v>
      </c>
      <c r="J57" s="96" t="s">
        <v>73</v>
      </c>
      <c r="K57" s="96" t="s">
        <v>68</v>
      </c>
      <c r="L57" s="96" t="s">
        <v>70</v>
      </c>
      <c r="M57" s="96" t="s">
        <v>87</v>
      </c>
      <c r="N57" s="96" t="s">
        <v>69</v>
      </c>
    </row>
    <row r="58" spans="1:16" x14ac:dyDescent="0.3">
      <c r="B58" s="100">
        <f>-K58*COS(C58+D58-C$3)+0.5*C$17*C$7*C$5*(D58-C$8)*G58^2*SIN(C58)+0.5*C$17*C$7*(C$11+1/PI()/C$10*C$5^2*(D58-C$8)^2)*G58^2*COS(C58)</f>
        <v>-4.4669007365882862E-5</v>
      </c>
      <c r="C58" s="56">
        <v>3.0896348392312617E-3</v>
      </c>
      <c r="D58" s="55">
        <v>0.20867700719807505</v>
      </c>
      <c r="E58" s="110">
        <f>K58*SIN(C58+D58-C$3)+0.5*C$17*C$7*C$5*(D58-C$8)*G58^2*COS(C58)-0.5*C$17*C$7*(C$11+1/PI()/C$10*C$5^2*(D58-C$8)^2)*G58^2*SIN(C58)-C$20</f>
        <v>0</v>
      </c>
      <c r="G58" s="91">
        <f>SQRT(2*C$2/C$7/C$16/C$17)</f>
        <v>50.318172548068731</v>
      </c>
      <c r="H58" s="92">
        <f>G58/C$12/C$4</f>
        <v>0.63715826902514183</v>
      </c>
      <c r="I58" s="93">
        <f>0.2202*H58^3-1.1245*H58^2+1.7429*H58</f>
        <v>0.71094773749617146</v>
      </c>
      <c r="J58" s="94">
        <f>C$18*I58</f>
        <v>150711.36294645179</v>
      </c>
      <c r="K58" s="94">
        <f>J58/G58</f>
        <v>2995.1676564262721</v>
      </c>
      <c r="L58" s="92">
        <f>DEGREES(D58)</f>
        <v>11.956311793870801</v>
      </c>
      <c r="M58" s="92">
        <f>DEGREES(C58)</f>
        <v>0.17702303652453191</v>
      </c>
      <c r="N58" s="92">
        <f>G58*SIN(RADIANS(M58))</f>
        <v>0.15546453161067456</v>
      </c>
    </row>
    <row r="59" spans="1:16" x14ac:dyDescent="0.3">
      <c r="B59" s="100">
        <f t="shared" ref="B59:B72" si="26">-K59*COS(C59+D59-C$3)+0.5*C$17*C$7*C$5*(D59-C$8)*G59^2*SIN(C59)+0.5*C$17*C$7*(C$11+1/PI()/C$10*C$5^2*(D59-C$8)^2)*G59^2*COS(C59)</f>
        <v>-1.8247169009555364E-5</v>
      </c>
      <c r="C59" s="56">
        <v>4.3031227103424163E-3</v>
      </c>
      <c r="D59" s="55">
        <v>0.20196486766714994</v>
      </c>
      <c r="E59" s="110">
        <f t="shared" ref="E59:E72" si="27">K59*SIN(C59+D59-C$3)+0.5*C$17*C$7*C$5*(D59-C$8)*G59^2*COS(C59)-0.5*C$17*C$7*(C$11+1/PI()/C$10*C$5^2*(D59-C$8)^2)*G59^2*SIN(C59)-C$20</f>
        <v>0</v>
      </c>
      <c r="G59" s="95">
        <f>G4</f>
        <v>51</v>
      </c>
      <c r="H59" s="12">
        <f t="shared" ref="H59:H72" si="28">G59/C$12/C$4</f>
        <v>0.64579196888042456</v>
      </c>
      <c r="I59" s="11">
        <f t="shared" ref="I59:I72" si="29">0.2202*H59^3-1.1245*H59^2+1.7429*H59</f>
        <v>0.71588670655398701</v>
      </c>
      <c r="J59" s="21">
        <f t="shared" ref="J59:J72" si="30">C$18*I59</f>
        <v>151758.35799122852</v>
      </c>
      <c r="K59" s="21">
        <f t="shared" ref="K59:K72" si="31">J59/G59</f>
        <v>2975.6540782593829</v>
      </c>
      <c r="L59" s="12">
        <f t="shared" ref="L59:L72" si="32">DEGREES(D59)</f>
        <v>11.571734527245871</v>
      </c>
      <c r="M59" s="12">
        <f t="shared" ref="M59:M71" si="33">DEGREES(C59)</f>
        <v>0.24655077002951631</v>
      </c>
      <c r="N59" s="12">
        <f t="shared" ref="N59:N72" si="34">G59*SIN(RADIANS(M59))</f>
        <v>0.21945858094517848</v>
      </c>
    </row>
    <row r="60" spans="1:16" x14ac:dyDescent="0.3">
      <c r="B60" s="100">
        <f t="shared" si="26"/>
        <v>-2.4223356285801856E-4</v>
      </c>
      <c r="C60" s="56">
        <v>5.9238971005295387E-3</v>
      </c>
      <c r="D60" s="55">
        <v>0.192573595062595</v>
      </c>
      <c r="E60" s="110">
        <f t="shared" si="27"/>
        <v>1.127773430198431E-10</v>
      </c>
      <c r="G60" s="95">
        <f t="shared" ref="G60:G72" si="35">G5</f>
        <v>52</v>
      </c>
      <c r="H60" s="12">
        <f t="shared" si="28"/>
        <v>0.65845455650553097</v>
      </c>
      <c r="I60" s="11">
        <f t="shared" si="29"/>
        <v>0.72294247135736489</v>
      </c>
      <c r="J60" s="21">
        <f t="shared" si="30"/>
        <v>153254.08527758537</v>
      </c>
      <c r="K60" s="21">
        <f t="shared" si="31"/>
        <v>2947.1939476458724</v>
      </c>
      <c r="L60" s="12">
        <f t="shared" si="32"/>
        <v>11.033654242748042</v>
      </c>
      <c r="M60" s="12">
        <f t="shared" si="33"/>
        <v>0.33941430213012813</v>
      </c>
      <c r="N60" s="12">
        <f t="shared" si="34"/>
        <v>0.3080408475633335</v>
      </c>
    </row>
    <row r="61" spans="1:16" x14ac:dyDescent="0.3">
      <c r="B61" s="100">
        <f t="shared" si="26"/>
        <v>6.4833944588826853E-4</v>
      </c>
      <c r="C61" s="56">
        <v>1.2929429043778192E-2</v>
      </c>
      <c r="D61" s="55">
        <v>0.13919966430378725</v>
      </c>
      <c r="E61" s="110">
        <f t="shared" si="27"/>
        <v>4.3655745685100555E-10</v>
      </c>
      <c r="G61" s="95">
        <f t="shared" si="35"/>
        <v>59</v>
      </c>
      <c r="H61" s="12">
        <f t="shared" si="28"/>
        <v>0.74709266988127543</v>
      </c>
      <c r="I61" s="11">
        <f t="shared" si="29"/>
        <v>0.76629172838389359</v>
      </c>
      <c r="J61" s="21">
        <f t="shared" si="30"/>
        <v>162443.54501508031</v>
      </c>
      <c r="K61" s="21">
        <f t="shared" si="31"/>
        <v>2753.2804239844122</v>
      </c>
      <c r="L61" s="12">
        <f t="shared" si="32"/>
        <v>7.97555327424487</v>
      </c>
      <c r="M61" s="12">
        <f t="shared" si="33"/>
        <v>0.74080171572235809</v>
      </c>
      <c r="N61" s="12">
        <f t="shared" si="34"/>
        <v>0.76281505985225884</v>
      </c>
    </row>
    <row r="62" spans="1:16" x14ac:dyDescent="0.3">
      <c r="B62" s="100">
        <f t="shared" si="26"/>
        <v>-5.7248038956458913E-5</v>
      </c>
      <c r="C62" s="56">
        <v>1.4317653333499596E-2</v>
      </c>
      <c r="D62" s="55">
        <v>9.6984032933401645E-2</v>
      </c>
      <c r="E62" s="110">
        <f t="shared" si="27"/>
        <v>0</v>
      </c>
      <c r="G62" s="95">
        <f t="shared" si="35"/>
        <v>67</v>
      </c>
      <c r="H62" s="12">
        <f t="shared" si="28"/>
        <v>0.84839337088212652</v>
      </c>
      <c r="I62" s="11">
        <f t="shared" si="29"/>
        <v>0.80374692195991659</v>
      </c>
      <c r="J62" s="21">
        <f t="shared" si="30"/>
        <v>170383.54253605986</v>
      </c>
      <c r="K62" s="21">
        <f t="shared" si="31"/>
        <v>2543.0379482994008</v>
      </c>
      <c r="L62" s="12">
        <f t="shared" si="32"/>
        <v>5.5567757672416951</v>
      </c>
      <c r="M62" s="12">
        <f t="shared" si="33"/>
        <v>0.820341108540941</v>
      </c>
      <c r="N62" s="12">
        <f t="shared" si="34"/>
        <v>0.95924999895355789</v>
      </c>
    </row>
    <row r="63" spans="1:16" x14ac:dyDescent="0.3">
      <c r="B63" s="100">
        <f t="shared" si="26"/>
        <v>-5.8857143585555605E-5</v>
      </c>
      <c r="C63" s="56">
        <v>1.1804755413423778E-2</v>
      </c>
      <c r="D63" s="55">
        <v>7.0488523039521384E-2</v>
      </c>
      <c r="E63" s="110">
        <f t="shared" si="27"/>
        <v>0</v>
      </c>
      <c r="G63" s="95">
        <f t="shared" si="35"/>
        <v>74</v>
      </c>
      <c r="H63" s="12">
        <f t="shared" si="28"/>
        <v>0.93703148425787097</v>
      </c>
      <c r="I63" s="11">
        <f t="shared" si="29"/>
        <v>0.82697700721554901</v>
      </c>
      <c r="J63" s="21">
        <f t="shared" si="30"/>
        <v>175308.0083238949</v>
      </c>
      <c r="K63" s="21">
        <f t="shared" si="31"/>
        <v>2369.0271395120931</v>
      </c>
      <c r="L63" s="12">
        <f t="shared" si="32"/>
        <v>4.0386948742752402</v>
      </c>
      <c r="M63" s="12">
        <f t="shared" si="33"/>
        <v>0.67636266337339379</v>
      </c>
      <c r="N63" s="12">
        <f t="shared" si="34"/>
        <v>0.87353161216419495</v>
      </c>
    </row>
    <row r="64" spans="1:16" x14ac:dyDescent="0.3">
      <c r="B64" s="100">
        <f t="shared" si="26"/>
        <v>5.2280620707279013E-4</v>
      </c>
      <c r="C64" s="56">
        <v>6.9324186746878638E-3</v>
      </c>
      <c r="D64" s="55">
        <v>5.0451184253578592E-2</v>
      </c>
      <c r="E64" s="110">
        <f t="shared" si="27"/>
        <v>4.1406346535950433E-3</v>
      </c>
      <c r="G64" s="95">
        <f t="shared" si="35"/>
        <v>81</v>
      </c>
      <c r="H64" s="12">
        <f t="shared" si="28"/>
        <v>1.0256695976336156</v>
      </c>
      <c r="I64" s="11">
        <f t="shared" si="29"/>
        <v>0.84226400057853157</v>
      </c>
      <c r="J64" s="21">
        <f t="shared" si="30"/>
        <v>178548.64541095064</v>
      </c>
      <c r="K64" s="21">
        <f t="shared" si="31"/>
        <v>2204.304264332724</v>
      </c>
      <c r="L64" s="12">
        <f t="shared" si="32"/>
        <v>2.8906399291669298</v>
      </c>
      <c r="M64" s="12">
        <f t="shared" si="33"/>
        <v>0.3971983318772902</v>
      </c>
      <c r="N64" s="12">
        <f t="shared" si="34"/>
        <v>0.56152141498502017</v>
      </c>
    </row>
    <row r="65" spans="1:14" x14ac:dyDescent="0.3">
      <c r="B65" s="100">
        <f t="shared" si="26"/>
        <v>-3.9899262446851935E-5</v>
      </c>
      <c r="C65" s="56">
        <v>-6.9962452199525153E-4</v>
      </c>
      <c r="D65" s="55">
        <v>3.3011545139535407E-2</v>
      </c>
      <c r="E65" s="110">
        <f t="shared" si="27"/>
        <v>1.2193740985821933E-6</v>
      </c>
      <c r="G65" s="95">
        <f t="shared" si="35"/>
        <v>89</v>
      </c>
      <c r="H65" s="12">
        <f t="shared" si="28"/>
        <v>1.1269702986344665</v>
      </c>
      <c r="I65" s="11">
        <f t="shared" si="29"/>
        <v>0.85118890490748611</v>
      </c>
      <c r="J65" s="21">
        <f t="shared" si="30"/>
        <v>180440.60514953927</v>
      </c>
      <c r="K65" s="21">
        <f t="shared" si="31"/>
        <v>2027.4225297701041</v>
      </c>
      <c r="L65" s="12">
        <f t="shared" si="32"/>
        <v>1.8914222117009851</v>
      </c>
      <c r="M65" s="12">
        <f t="shared" si="33"/>
        <v>-4.0085532354185542E-2</v>
      </c>
      <c r="N65" s="12">
        <f t="shared" si="34"/>
        <v>-6.2266577377927089E-2</v>
      </c>
    </row>
    <row r="66" spans="1:14" x14ac:dyDescent="0.3">
      <c r="B66" s="100">
        <f t="shared" si="26"/>
        <v>-3.8462780594272772E-5</v>
      </c>
      <c r="C66" s="56">
        <v>-8.7210779790147137E-3</v>
      </c>
      <c r="D66" s="55">
        <v>2.1148174734359235E-2</v>
      </c>
      <c r="E66" s="110">
        <f t="shared" si="27"/>
        <v>0</v>
      </c>
      <c r="G66" s="95">
        <f t="shared" si="35"/>
        <v>96</v>
      </c>
      <c r="H66" s="12">
        <f t="shared" si="28"/>
        <v>1.2156084120102111</v>
      </c>
      <c r="I66" s="11">
        <f t="shared" si="29"/>
        <v>0.8525532476442943</v>
      </c>
      <c r="J66" s="21">
        <f t="shared" si="30"/>
        <v>180729.82746862932</v>
      </c>
      <c r="K66" s="21">
        <f t="shared" si="31"/>
        <v>1882.6023694648886</v>
      </c>
      <c r="L66" s="12">
        <f t="shared" si="32"/>
        <v>1.211701156683985</v>
      </c>
      <c r="M66" s="12">
        <f t="shared" si="33"/>
        <v>-0.49968096100202464</v>
      </c>
      <c r="N66" s="12">
        <f t="shared" si="34"/>
        <v>-0.83721287321326276</v>
      </c>
    </row>
    <row r="67" spans="1:14" x14ac:dyDescent="0.3">
      <c r="B67" s="100">
        <f t="shared" si="26"/>
        <v>-1.4425215613300679E-4</v>
      </c>
      <c r="C67" s="56">
        <v>-1.7710835730641729E-2</v>
      </c>
      <c r="D67" s="55">
        <v>1.1595119898257258E-2</v>
      </c>
      <c r="E67" s="110">
        <f t="shared" si="27"/>
        <v>0</v>
      </c>
      <c r="G67" s="95">
        <f t="shared" si="35"/>
        <v>103</v>
      </c>
      <c r="H67" s="12">
        <f t="shared" si="28"/>
        <v>1.3042465253859556</v>
      </c>
      <c r="I67" s="11">
        <f t="shared" si="29"/>
        <v>0.84886620835598925</v>
      </c>
      <c r="J67" s="21">
        <f t="shared" si="30"/>
        <v>179948.22470506391</v>
      </c>
      <c r="K67" s="21">
        <f t="shared" si="31"/>
        <v>1747.0701427676108</v>
      </c>
      <c r="L67" s="12">
        <f t="shared" si="32"/>
        <v>0.66435143311830136</v>
      </c>
      <c r="M67" s="12">
        <f t="shared" si="33"/>
        <v>-1.0147561390152688</v>
      </c>
      <c r="N67" s="12">
        <f t="shared" si="34"/>
        <v>-1.8241207136498692</v>
      </c>
    </row>
    <row r="68" spans="1:14" x14ac:dyDescent="0.3">
      <c r="B68" s="100">
        <f t="shared" si="26"/>
        <v>9.1446294391062111E-5</v>
      </c>
      <c r="C68" s="56">
        <v>-2.8935045175571075E-2</v>
      </c>
      <c r="D68" s="55">
        <v>2.7920501912150467E-3</v>
      </c>
      <c r="E68" s="110">
        <f t="shared" si="27"/>
        <v>7.2759576141834259E-11</v>
      </c>
      <c r="G68" s="95">
        <f t="shared" si="35"/>
        <v>111</v>
      </c>
      <c r="H68" s="12">
        <f t="shared" si="28"/>
        <v>1.4055472263868065</v>
      </c>
      <c r="I68" s="11">
        <f t="shared" si="29"/>
        <v>0.83964737316617111</v>
      </c>
      <c r="J68" s="21">
        <f t="shared" si="30"/>
        <v>177993.95557533947</v>
      </c>
      <c r="K68" s="21">
        <f t="shared" si="31"/>
        <v>1603.5491493273826</v>
      </c>
      <c r="L68" s="12">
        <f t="shared" si="32"/>
        <v>0.15997269214531665</v>
      </c>
      <c r="M68" s="12">
        <f t="shared" si="33"/>
        <v>-1.6578559685805967</v>
      </c>
      <c r="N68" s="12">
        <f t="shared" si="34"/>
        <v>-3.2113418617625884</v>
      </c>
    </row>
    <row r="69" spans="1:14" x14ac:dyDescent="0.3">
      <c r="B69" s="100">
        <f t="shared" si="26"/>
        <v>-2.6493612040212611E-5</v>
      </c>
      <c r="C69" s="56">
        <v>-3.9443406732922501E-2</v>
      </c>
      <c r="D69" s="55">
        <v>-3.5016118946548705E-3</v>
      </c>
      <c r="E69" s="110">
        <f t="shared" si="27"/>
        <v>0</v>
      </c>
      <c r="G69" s="95">
        <f t="shared" si="35"/>
        <v>118</v>
      </c>
      <c r="H69" s="12">
        <f t="shared" si="28"/>
        <v>1.4941853397625509</v>
      </c>
      <c r="I69" s="11">
        <f t="shared" si="29"/>
        <v>0.82823420439641393</v>
      </c>
      <c r="J69" s="21">
        <f t="shared" si="30"/>
        <v>175574.51722550261</v>
      </c>
      <c r="K69" s="21">
        <f t="shared" si="31"/>
        <v>1487.9196375042595</v>
      </c>
      <c r="L69" s="12">
        <f t="shared" si="32"/>
        <v>-0.20062758305653192</v>
      </c>
      <c r="M69" s="12">
        <f t="shared" si="33"/>
        <v>-2.2599407354143546</v>
      </c>
      <c r="N69" s="12">
        <f t="shared" si="34"/>
        <v>-4.6531152363714927</v>
      </c>
    </row>
    <row r="70" spans="1:14" x14ac:dyDescent="0.3">
      <c r="B70" s="100">
        <f t="shared" si="26"/>
        <v>-9.8498881470732158E-5</v>
      </c>
      <c r="C70" s="56">
        <v>-5.0496975521901376E-2</v>
      </c>
      <c r="D70" s="55">
        <v>-8.7774011005852613E-3</v>
      </c>
      <c r="E70" s="110">
        <f t="shared" si="27"/>
        <v>0</v>
      </c>
      <c r="G70" s="95">
        <f t="shared" si="35"/>
        <v>125</v>
      </c>
      <c r="H70" s="12">
        <f t="shared" si="28"/>
        <v>1.5828234531382954</v>
      </c>
      <c r="I70" s="11">
        <f t="shared" si="29"/>
        <v>0.8146613634690798</v>
      </c>
      <c r="J70" s="21">
        <f t="shared" si="30"/>
        <v>172697.25741113417</v>
      </c>
      <c r="K70" s="21">
        <f t="shared" si="31"/>
        <v>1381.5780592890733</v>
      </c>
      <c r="L70" s="12">
        <f t="shared" si="32"/>
        <v>-0.50290803815701923</v>
      </c>
      <c r="M70" s="12">
        <f t="shared" si="33"/>
        <v>-2.8932635755803764</v>
      </c>
      <c r="N70" s="12">
        <f t="shared" si="34"/>
        <v>-6.3094396887638862</v>
      </c>
    </row>
    <row r="71" spans="1:14" x14ac:dyDescent="0.3">
      <c r="B71" s="100">
        <f t="shared" si="26"/>
        <v>-9.3293012923822971E-5</v>
      </c>
      <c r="C71" s="56">
        <v>-6.2029166887820682E-2</v>
      </c>
      <c r="D71" s="55">
        <v>-1.3243953953774645E-2</v>
      </c>
      <c r="E71" s="110">
        <f t="shared" si="27"/>
        <v>-6.184563972055912E-11</v>
      </c>
      <c r="G71" s="95">
        <f t="shared" si="35"/>
        <v>132</v>
      </c>
      <c r="H71" s="12">
        <f t="shared" si="28"/>
        <v>1.6714615665140402</v>
      </c>
      <c r="I71" s="11">
        <f t="shared" si="29"/>
        <v>0.79984893988747796</v>
      </c>
      <c r="J71" s="21">
        <f t="shared" si="30"/>
        <v>169557.22273800123</v>
      </c>
      <c r="K71" s="21">
        <f t="shared" si="31"/>
        <v>1284.5244146818275</v>
      </c>
      <c r="L71" s="12">
        <f t="shared" si="32"/>
        <v>-0.75882266561688694</v>
      </c>
      <c r="M71" s="12">
        <f t="shared" si="33"/>
        <v>-3.5540094693847606</v>
      </c>
      <c r="N71" s="12">
        <f t="shared" si="34"/>
        <v>-8.1826004199807851</v>
      </c>
    </row>
    <row r="72" spans="1:14" x14ac:dyDescent="0.3">
      <c r="A72" s="54"/>
      <c r="B72" s="100">
        <f t="shared" si="26"/>
        <v>-4.838934410145157E-5</v>
      </c>
      <c r="C72" s="56">
        <v>-7.5731960491306247E-2</v>
      </c>
      <c r="D72" s="55">
        <v>-1.7558430887005025E-2</v>
      </c>
      <c r="E72" s="110">
        <f t="shared" si="27"/>
        <v>2.2740363419870846E-4</v>
      </c>
      <c r="G72" s="95">
        <f t="shared" si="35"/>
        <v>140</v>
      </c>
      <c r="H72" s="12">
        <f t="shared" si="28"/>
        <v>1.7727622675148911</v>
      </c>
      <c r="I72" s="11">
        <f t="shared" si="29"/>
        <v>0.7825828892247193</v>
      </c>
      <c r="J72" s="21">
        <f t="shared" si="30"/>
        <v>165897.05210822853</v>
      </c>
      <c r="K72" s="21">
        <f t="shared" si="31"/>
        <v>1184.9789436302037</v>
      </c>
      <c r="L72" s="12">
        <f t="shared" si="32"/>
        <v>-1.0060239846975343</v>
      </c>
      <c r="M72" s="12">
        <f>DEGREES(C72)</f>
        <v>-4.3391217104033446</v>
      </c>
      <c r="N72" s="12">
        <f t="shared" si="34"/>
        <v>-10.592342593335545</v>
      </c>
    </row>
    <row r="73" spans="1:14" x14ac:dyDescent="0.3">
      <c r="B73" s="53"/>
      <c r="C73" s="53"/>
      <c r="D73" s="53"/>
    </row>
    <row r="74" spans="1:14" x14ac:dyDescent="0.3">
      <c r="B74" s="53"/>
      <c r="C74" s="53"/>
      <c r="D74" s="53"/>
    </row>
    <row r="75" spans="1:14" x14ac:dyDescent="0.3">
      <c r="B75" s="53"/>
      <c r="C75" s="53"/>
      <c r="D75" s="53"/>
    </row>
    <row r="76" spans="1:14" x14ac:dyDescent="0.3">
      <c r="B76" s="53"/>
      <c r="C76" s="53"/>
      <c r="D76" s="53"/>
    </row>
    <row r="77" spans="1:14" x14ac:dyDescent="0.3">
      <c r="B77" s="53"/>
      <c r="C77" s="53"/>
      <c r="D77" s="53"/>
    </row>
    <row r="78" spans="1:14" x14ac:dyDescent="0.3">
      <c r="B78" s="53"/>
      <c r="C78" s="53"/>
      <c r="D78" s="53"/>
    </row>
    <row r="79" spans="1:14" x14ac:dyDescent="0.3">
      <c r="B79" s="53"/>
      <c r="C79" s="53"/>
      <c r="D79" s="53"/>
    </row>
    <row r="80" spans="1:14" x14ac:dyDescent="0.3">
      <c r="B80" s="53"/>
      <c r="C80" s="53"/>
      <c r="D80" s="53"/>
    </row>
    <row r="81" spans="2:4" x14ac:dyDescent="0.3">
      <c r="B81" s="53"/>
      <c r="C81" s="53"/>
      <c r="D81" s="53"/>
    </row>
    <row r="82" spans="2:4" x14ac:dyDescent="0.3">
      <c r="B82" s="53"/>
      <c r="C82" s="53"/>
      <c r="D82" s="53"/>
    </row>
  </sheetData>
  <mergeCells count="4">
    <mergeCell ref="G1:N1"/>
    <mergeCell ref="F20:P20"/>
    <mergeCell ref="F38:P38"/>
    <mergeCell ref="G56:N5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E71E7-7494-4738-A288-F4A0A901DB29}">
  <dimension ref="A1:P82"/>
  <sheetViews>
    <sheetView workbookViewId="0"/>
  </sheetViews>
  <sheetFormatPr defaultRowHeight="15" x14ac:dyDescent="0.3"/>
  <cols>
    <col min="1" max="1" width="34.77734375" style="30" customWidth="1"/>
    <col min="2" max="2" width="12.77734375" style="30" customWidth="1"/>
    <col min="3" max="4" width="8.88671875" style="30"/>
    <col min="5" max="5" width="11" style="30" bestFit="1" customWidth="1"/>
    <col min="6" max="6" width="8.88671875" style="30"/>
    <col min="7" max="7" width="9.6640625" style="30" customWidth="1"/>
    <col min="8" max="8" width="9" style="30" bestFit="1" customWidth="1"/>
    <col min="9" max="10" width="8.5546875" style="30" customWidth="1"/>
    <col min="11" max="11" width="10.21875" style="30" customWidth="1"/>
    <col min="12" max="12" width="11.44140625" style="30" bestFit="1" customWidth="1"/>
    <col min="13" max="13" width="10.33203125" style="30" bestFit="1" customWidth="1"/>
    <col min="14" max="16384" width="8.88671875" style="30"/>
  </cols>
  <sheetData>
    <row r="1" spans="1:14" ht="18.600000000000001" thickBot="1" x14ac:dyDescent="0.35">
      <c r="A1" s="29" t="s">
        <v>9</v>
      </c>
      <c r="B1" s="29" t="s">
        <v>6</v>
      </c>
      <c r="C1" s="29">
        <v>7000</v>
      </c>
      <c r="D1" s="29" t="s">
        <v>3</v>
      </c>
      <c r="G1" s="132" t="s">
        <v>161</v>
      </c>
      <c r="H1" s="133"/>
      <c r="I1" s="133"/>
      <c r="J1" s="133"/>
      <c r="K1" s="133"/>
      <c r="L1" s="133"/>
      <c r="M1" s="133"/>
      <c r="N1" s="134"/>
    </row>
    <row r="2" spans="1:14" ht="19.2" thickBot="1" x14ac:dyDescent="0.35">
      <c r="A2" s="30" t="s">
        <v>139</v>
      </c>
      <c r="B2" s="30" t="s">
        <v>141</v>
      </c>
      <c r="C2" s="30">
        <f>Podsumowanie!B31</f>
        <v>28993.455000000002</v>
      </c>
      <c r="D2" s="30" t="s">
        <v>39</v>
      </c>
      <c r="G2" s="96" t="s">
        <v>67</v>
      </c>
      <c r="H2" s="96" t="s">
        <v>15</v>
      </c>
      <c r="I2" s="96" t="s">
        <v>74</v>
      </c>
      <c r="J2" s="96" t="s">
        <v>73</v>
      </c>
      <c r="K2" s="96" t="s">
        <v>68</v>
      </c>
      <c r="L2" s="96" t="s">
        <v>70</v>
      </c>
      <c r="M2" s="96" t="s">
        <v>87</v>
      </c>
      <c r="N2" s="96" t="s">
        <v>69</v>
      </c>
    </row>
    <row r="3" spans="1:14" ht="15.6" x14ac:dyDescent="0.3">
      <c r="A3" s="31" t="s">
        <v>10</v>
      </c>
      <c r="B3" s="31" t="s">
        <v>30</v>
      </c>
      <c r="C3" s="31">
        <f>Podsumowanie!B29</f>
        <v>1.7453292519943295E-2</v>
      </c>
      <c r="D3" s="31" t="s">
        <v>40</v>
      </c>
      <c r="F3" s="46"/>
      <c r="G3" s="91">
        <f>SQRT(2*C$15/C$7/C$16/C17)</f>
        <v>50.695321417043772</v>
      </c>
      <c r="H3" s="92">
        <f t="shared" ref="H3:H17" si="0">G3/C$12/C$4</f>
        <v>0.64193394962624806</v>
      </c>
      <c r="I3" s="93">
        <f>0.2456*H3^3-1.2145*H3^2+1.8139*H3</f>
        <v>0.72890179292837476</v>
      </c>
      <c r="J3" s="94">
        <f t="shared" ref="J3:J17" si="1">C$18*I3</f>
        <v>133341.82233174931</v>
      </c>
      <c r="K3" s="94">
        <f>J3/G3</f>
        <v>2630.2589391793417</v>
      </c>
      <c r="L3" s="92">
        <f t="shared" ref="L3:L17" ca="1" si="2">OFFSET(D23,A23-2,0,1,1)</f>
        <v>11.965628802424165</v>
      </c>
      <c r="M3" s="92">
        <f t="shared" ref="M3:M17" ca="1" si="3">OFFSET(D22,A23-2,0,1,1)</f>
        <v>-1.3653905772622307E-2</v>
      </c>
      <c r="N3" s="92">
        <f ca="1">G3*SIN(RADIANS(M3))</f>
        <v>-1.2080979455590618E-2</v>
      </c>
    </row>
    <row r="4" spans="1:14" ht="15.6" x14ac:dyDescent="0.3">
      <c r="A4" s="31" t="s">
        <v>11</v>
      </c>
      <c r="B4" s="31" t="s">
        <v>18</v>
      </c>
      <c r="C4" s="31">
        <f>Podsumowanie!B12</f>
        <v>1.84</v>
      </c>
      <c r="D4" s="31" t="s">
        <v>3</v>
      </c>
      <c r="F4" s="46"/>
      <c r="G4" s="95">
        <v>55</v>
      </c>
      <c r="H4" s="12">
        <f t="shared" si="0"/>
        <v>0.69644231938084999</v>
      </c>
      <c r="I4" s="11">
        <f t="shared" ref="I4:I17" si="4">0.2456*H4^3-1.2145*H4^2+1.8139*H4</f>
        <v>0.7571683558569946</v>
      </c>
      <c r="J4" s="21">
        <f t="shared" si="1"/>
        <v>138512.77272386561</v>
      </c>
      <c r="K4" s="21">
        <f t="shared" ref="K4:K17" si="5">J4/G4</f>
        <v>2518.4140495248294</v>
      </c>
      <c r="L4" s="12">
        <f t="shared" ca="1" si="2"/>
        <v>9.7760679221788855</v>
      </c>
      <c r="M4" s="12">
        <f t="shared" ca="1" si="3"/>
        <v>0.33941873436949471</v>
      </c>
      <c r="N4" s="12">
        <f t="shared" ref="N4:N17" ca="1" si="6">G4*SIN(RADIANS(M4))</f>
        <v>0.32581668949246273</v>
      </c>
    </row>
    <row r="5" spans="1:14" ht="18" x14ac:dyDescent="0.3">
      <c r="A5" s="31" t="s">
        <v>24</v>
      </c>
      <c r="B5" s="31" t="s">
        <v>75</v>
      </c>
      <c r="C5" s="31">
        <f>Podsumowanie!B16</f>
        <v>6.1340000000000003</v>
      </c>
      <c r="D5" s="31" t="s">
        <v>34</v>
      </c>
      <c r="F5" s="46"/>
      <c r="G5" s="95">
        <v>57</v>
      </c>
      <c r="H5" s="12">
        <f t="shared" si="0"/>
        <v>0.72176749463106271</v>
      </c>
      <c r="I5" s="11">
        <f t="shared" si="4"/>
        <v>0.76886880296195292</v>
      </c>
      <c r="J5" s="21">
        <f t="shared" si="1"/>
        <v>140653.1967895047</v>
      </c>
      <c r="K5" s="21">
        <f t="shared" si="5"/>
        <v>2467.599943675521</v>
      </c>
      <c r="L5" s="12">
        <f t="shared" ca="1" si="2"/>
        <v>8.9174500794956302</v>
      </c>
      <c r="M5" s="12">
        <f t="shared" ca="1" si="3"/>
        <v>0.44801397227495049</v>
      </c>
      <c r="N5" s="12">
        <f ca="1">G5*SIN(RADIANS(M5))</f>
        <v>0.44569663612379573</v>
      </c>
    </row>
    <row r="6" spans="1:14" ht="18" x14ac:dyDescent="0.3">
      <c r="A6" s="31" t="s">
        <v>23</v>
      </c>
      <c r="B6" s="31" t="s">
        <v>76</v>
      </c>
      <c r="C6" s="31">
        <f>Podsumowanie!B9</f>
        <v>446000</v>
      </c>
      <c r="D6" s="31" t="s">
        <v>35</v>
      </c>
      <c r="F6" s="46"/>
      <c r="G6" s="95">
        <v>59</v>
      </c>
      <c r="H6" s="12">
        <f t="shared" si="0"/>
        <v>0.74709266988127543</v>
      </c>
      <c r="I6" s="11">
        <f t="shared" si="4"/>
        <v>0.77969352878321574</v>
      </c>
      <c r="J6" s="21">
        <f t="shared" si="1"/>
        <v>142633.42057445369</v>
      </c>
      <c r="K6" s="21">
        <f t="shared" si="5"/>
        <v>2417.515602956842</v>
      </c>
      <c r="L6" s="12">
        <f t="shared" ca="1" si="2"/>
        <v>8.1418656650439996</v>
      </c>
      <c r="M6" s="12">
        <f t="shared" ca="1" si="3"/>
        <v>0.52757644003610171</v>
      </c>
      <c r="N6" s="12">
        <f t="shared" ca="1" si="6"/>
        <v>0.54326113321693659</v>
      </c>
    </row>
    <row r="7" spans="1:14" ht="18" x14ac:dyDescent="0.3">
      <c r="A7" s="31" t="s">
        <v>22</v>
      </c>
      <c r="B7" s="31" t="s">
        <v>5</v>
      </c>
      <c r="C7" s="31">
        <f>Podsumowanie!B3</f>
        <v>21.3</v>
      </c>
      <c r="D7" s="31" t="s">
        <v>77</v>
      </c>
      <c r="F7" s="46"/>
      <c r="G7" s="95">
        <v>67</v>
      </c>
      <c r="H7" s="12">
        <f t="shared" si="0"/>
        <v>0.84839337088212652</v>
      </c>
      <c r="I7" s="11">
        <f t="shared" si="4"/>
        <v>0.81471392315435831</v>
      </c>
      <c r="J7" s="21">
        <f t="shared" si="1"/>
        <v>149039.88472302459</v>
      </c>
      <c r="K7" s="21">
        <f t="shared" si="5"/>
        <v>2224.4758913884266</v>
      </c>
      <c r="L7" s="12">
        <f t="shared" ca="1" si="2"/>
        <v>5.6859613593382594</v>
      </c>
      <c r="M7" s="12">
        <f t="shared" ca="1" si="3"/>
        <v>0.6190656127198193</v>
      </c>
      <c r="N7" s="12">
        <f t="shared" ca="1" si="6"/>
        <v>0.72390304106038128</v>
      </c>
    </row>
    <row r="8" spans="1:14" ht="18" x14ac:dyDescent="0.3">
      <c r="A8" s="31" t="s">
        <v>41</v>
      </c>
      <c r="B8" s="31" t="s">
        <v>78</v>
      </c>
      <c r="C8" s="31">
        <f>Podsumowanie!B30</f>
        <v>-5.1836278784231589E-2</v>
      </c>
      <c r="D8" s="31" t="s">
        <v>40</v>
      </c>
      <c r="G8" s="95">
        <v>74</v>
      </c>
      <c r="H8" s="12">
        <f t="shared" si="0"/>
        <v>0.93703148425787097</v>
      </c>
      <c r="I8" s="11">
        <f t="shared" si="4"/>
        <v>0.83538131538651117</v>
      </c>
      <c r="J8" s="21">
        <f t="shared" si="1"/>
        <v>152820.67902181309</v>
      </c>
      <c r="K8" s="21">
        <f t="shared" si="5"/>
        <v>2065.1443111055823</v>
      </c>
      <c r="L8" s="12">
        <f t="shared" ca="1" si="2"/>
        <v>4.1445623713466198</v>
      </c>
      <c r="M8" s="12">
        <f t="shared" ca="1" si="3"/>
        <v>0.4841652436407764</v>
      </c>
      <c r="N8" s="12">
        <f t="shared" ca="1" si="6"/>
        <v>0.62531310223120329</v>
      </c>
    </row>
    <row r="9" spans="1:14" ht="15.6" x14ac:dyDescent="0.3">
      <c r="A9" s="31" t="s">
        <v>12</v>
      </c>
      <c r="B9" s="31" t="s">
        <v>3</v>
      </c>
      <c r="C9" s="31">
        <f>Podsumowanie!B7</f>
        <v>2405.5</v>
      </c>
      <c r="D9" s="31" t="s">
        <v>0</v>
      </c>
      <c r="G9" s="95">
        <v>81</v>
      </c>
      <c r="H9" s="12">
        <f t="shared" si="0"/>
        <v>1.0256695976336156</v>
      </c>
      <c r="I9" s="11">
        <f t="shared" si="4"/>
        <v>0.84781337419274116</v>
      </c>
      <c r="J9" s="21">
        <f t="shared" si="1"/>
        <v>155094.9406475093</v>
      </c>
      <c r="K9" s="21">
        <f t="shared" si="5"/>
        <v>1914.7523536729543</v>
      </c>
      <c r="L9" s="12">
        <f t="shared" ca="1" si="2"/>
        <v>2.9788878334545066</v>
      </c>
      <c r="M9" s="12">
        <f t="shared" ca="1" si="3"/>
        <v>0.21373614802377205</v>
      </c>
      <c r="N9" s="12">
        <f t="shared" ca="1" si="6"/>
        <v>0.30216165978839743</v>
      </c>
    </row>
    <row r="10" spans="1:14" ht="18" x14ac:dyDescent="0.3">
      <c r="A10" s="31" t="s">
        <v>21</v>
      </c>
      <c r="B10" s="31" t="s">
        <v>79</v>
      </c>
      <c r="C10" s="31">
        <f>Podsumowanie!B13</f>
        <v>5.8840000000000003</v>
      </c>
      <c r="D10" s="31" t="s">
        <v>7</v>
      </c>
      <c r="G10" s="95">
        <v>89</v>
      </c>
      <c r="H10" s="12">
        <f t="shared" si="0"/>
        <v>1.1269702986344665</v>
      </c>
      <c r="I10" s="11">
        <f t="shared" si="4"/>
        <v>0.85325379544220148</v>
      </c>
      <c r="J10" s="21">
        <f t="shared" si="1"/>
        <v>156090.18539885085</v>
      </c>
      <c r="K10" s="21">
        <f t="shared" si="5"/>
        <v>1753.8223078522567</v>
      </c>
      <c r="L10" s="12">
        <f t="shared" ca="1" si="2"/>
        <v>1.9643666540239892</v>
      </c>
      <c r="M10" s="12">
        <f t="shared" ca="1" si="3"/>
        <v>-0.21327151975519851</v>
      </c>
      <c r="N10" s="12">
        <f t="shared" ca="1" si="6"/>
        <v>-0.33128306460738227</v>
      </c>
    </row>
    <row r="11" spans="1:14" ht="18" x14ac:dyDescent="0.3">
      <c r="A11" s="31" t="s">
        <v>25</v>
      </c>
      <c r="B11" s="31" t="s">
        <v>80</v>
      </c>
      <c r="C11" s="31">
        <f>Podsumowanie!B14</f>
        <v>2.214E-2</v>
      </c>
      <c r="D11" s="31" t="s">
        <v>7</v>
      </c>
      <c r="G11" s="95">
        <v>96</v>
      </c>
      <c r="H11" s="12">
        <f t="shared" si="0"/>
        <v>1.2156084120102111</v>
      </c>
      <c r="I11" s="11">
        <f t="shared" si="4"/>
        <v>0.85149435513735039</v>
      </c>
      <c r="J11" s="21">
        <f t="shared" si="1"/>
        <v>155768.32176947186</v>
      </c>
      <c r="K11" s="21">
        <f t="shared" si="5"/>
        <v>1622.5866850986652</v>
      </c>
      <c r="L11" s="12">
        <f t="shared" ca="1" si="2"/>
        <v>1.2742637044371559</v>
      </c>
      <c r="M11" s="12">
        <f t="shared" ca="1" si="3"/>
        <v>-0.6632194417350854</v>
      </c>
      <c r="N11" s="12">
        <f t="shared" ca="1" si="6"/>
        <v>-1.1112100250859827</v>
      </c>
    </row>
    <row r="12" spans="1:14" ht="18" x14ac:dyDescent="0.3">
      <c r="A12" s="31" t="s">
        <v>19</v>
      </c>
      <c r="B12" s="31" t="s">
        <v>81</v>
      </c>
      <c r="C12" s="31">
        <f>Podsumowanie!B11</f>
        <v>42.92</v>
      </c>
      <c r="D12" s="31" t="s">
        <v>37</v>
      </c>
      <c r="G12" s="95">
        <v>103</v>
      </c>
      <c r="H12" s="12">
        <f t="shared" si="0"/>
        <v>1.3042465253859556</v>
      </c>
      <c r="I12" s="11">
        <f t="shared" si="4"/>
        <v>0.84472484908807965</v>
      </c>
      <c r="J12" s="21">
        <f t="shared" si="1"/>
        <v>154529.94057511492</v>
      </c>
      <c r="K12" s="21">
        <f t="shared" si="5"/>
        <v>1500.2906851952905</v>
      </c>
      <c r="L12" s="12">
        <f t="shared" ca="1" si="2"/>
        <v>0.71858060506553179</v>
      </c>
      <c r="M12" s="12">
        <f t="shared" ca="1" si="3"/>
        <v>-1.1677806164405178</v>
      </c>
      <c r="N12" s="12">
        <f t="shared" ca="1" si="6"/>
        <v>-2.0991611773064514</v>
      </c>
    </row>
    <row r="13" spans="1:14" ht="15.6" x14ac:dyDescent="0.3">
      <c r="A13" s="31" t="s">
        <v>20</v>
      </c>
      <c r="B13" s="31" t="s">
        <v>14</v>
      </c>
      <c r="C13" s="31">
        <f>Podsumowanie!B17</f>
        <v>0.12</v>
      </c>
      <c r="D13" s="31" t="s">
        <v>7</v>
      </c>
      <c r="G13" s="95">
        <v>111</v>
      </c>
      <c r="H13" s="12">
        <f t="shared" si="0"/>
        <v>1.4055472263868065</v>
      </c>
      <c r="I13" s="11">
        <f t="shared" si="4"/>
        <v>0.83216993215350277</v>
      </c>
      <c r="J13" s="21">
        <f t="shared" si="1"/>
        <v>152233.20386857656</v>
      </c>
      <c r="K13" s="21">
        <f t="shared" si="5"/>
        <v>1371.4703051223114</v>
      </c>
      <c r="L13" s="12">
        <f t="shared" ca="1" si="2"/>
        <v>0.20655367596752991</v>
      </c>
      <c r="M13" s="12">
        <f t="shared" ca="1" si="3"/>
        <v>-1.7975913197128399</v>
      </c>
      <c r="N13" s="12">
        <f t="shared" ca="1" si="6"/>
        <v>-3.4819301835844296</v>
      </c>
    </row>
    <row r="14" spans="1:14" ht="18" x14ac:dyDescent="0.3">
      <c r="A14" s="31" t="s">
        <v>33</v>
      </c>
      <c r="B14" s="31" t="s">
        <v>32</v>
      </c>
      <c r="C14" s="31">
        <f>Podsumowanie!B2</f>
        <v>1.2255</v>
      </c>
      <c r="D14" s="31" t="s">
        <v>82</v>
      </c>
      <c r="G14" s="95">
        <v>118</v>
      </c>
      <c r="H14" s="12">
        <f t="shared" si="0"/>
        <v>1.4941853397625509</v>
      </c>
      <c r="I14" s="11">
        <f t="shared" si="4"/>
        <v>0.81812021488208697</v>
      </c>
      <c r="J14" s="21">
        <f t="shared" si="1"/>
        <v>149663.01550796084</v>
      </c>
      <c r="K14" s="21">
        <f t="shared" si="5"/>
        <v>1268.3306398979732</v>
      </c>
      <c r="L14" s="12">
        <f t="shared" ca="1" si="2"/>
        <v>-0.15948880060250051</v>
      </c>
      <c r="M14" s="12">
        <f t="shared" ca="1" si="3"/>
        <v>-2.3868037330437688</v>
      </c>
      <c r="N14" s="12">
        <f t="shared" ca="1" si="6"/>
        <v>-4.914173288295081</v>
      </c>
    </row>
    <row r="15" spans="1:14" ht="15.6" x14ac:dyDescent="0.3">
      <c r="A15" s="31" t="s">
        <v>26</v>
      </c>
      <c r="B15" s="31" t="s">
        <v>13</v>
      </c>
      <c r="C15" s="31">
        <f>Podsumowanie!B8</f>
        <v>26295.705000000002</v>
      </c>
      <c r="D15" s="31" t="s">
        <v>39</v>
      </c>
      <c r="G15" s="95">
        <v>125</v>
      </c>
      <c r="H15" s="12">
        <f t="shared" si="0"/>
        <v>1.5828234531382954</v>
      </c>
      <c r="I15" s="11">
        <f t="shared" si="4"/>
        <v>0.80228569954775431</v>
      </c>
      <c r="J15" s="21">
        <f t="shared" si="1"/>
        <v>146766.32469048139</v>
      </c>
      <c r="K15" s="21">
        <f t="shared" si="5"/>
        <v>1174.1305975238511</v>
      </c>
      <c r="L15" s="12">
        <f t="shared" ca="1" si="2"/>
        <v>-0.46630836075958559</v>
      </c>
      <c r="M15" s="12">
        <f t="shared" ca="1" si="3"/>
        <v>-3.0059956932456142</v>
      </c>
      <c r="N15" s="12">
        <f t="shared" ca="1" si="6"/>
        <v>-6.555057141563176</v>
      </c>
    </row>
    <row r="16" spans="1:14" x14ac:dyDescent="0.3">
      <c r="A16" s="30" t="s">
        <v>102</v>
      </c>
      <c r="B16" s="30" t="s">
        <v>89</v>
      </c>
      <c r="C16" s="30">
        <f>Podsumowanie!B15</f>
        <v>1.63</v>
      </c>
      <c r="D16" s="30" t="s">
        <v>7</v>
      </c>
      <c r="G16" s="95">
        <v>132</v>
      </c>
      <c r="H16" s="12">
        <f t="shared" si="0"/>
        <v>1.6714615665140402</v>
      </c>
      <c r="I16" s="11">
        <f t="shared" si="4"/>
        <v>0.78569260768553084</v>
      </c>
      <c r="J16" s="21">
        <f t="shared" si="1"/>
        <v>143730.86349599311</v>
      </c>
      <c r="K16" s="21">
        <f t="shared" si="5"/>
        <v>1088.8701779999478</v>
      </c>
      <c r="L16" s="12">
        <f t="shared" ca="1" si="2"/>
        <v>-0.72604396970227736</v>
      </c>
      <c r="M16" s="12">
        <f t="shared" ca="1" si="3"/>
        <v>-3.6512868914252841</v>
      </c>
      <c r="N16" s="12">
        <f t="shared" ca="1" si="6"/>
        <v>-8.4062686023530837</v>
      </c>
    </row>
    <row r="17" spans="1:16" ht="18.600000000000001" x14ac:dyDescent="0.3">
      <c r="A17" s="30" t="s">
        <v>29</v>
      </c>
      <c r="B17" s="30" t="s">
        <v>83</v>
      </c>
      <c r="C17" s="30">
        <f>C14*(1-C1/44300)^4.256</f>
        <v>0.58940232539774051</v>
      </c>
      <c r="D17" s="30" t="s">
        <v>84</v>
      </c>
      <c r="G17" s="95">
        <v>140</v>
      </c>
      <c r="H17" s="12">
        <f t="shared" si="0"/>
        <v>1.7727622675148911</v>
      </c>
      <c r="I17" s="11">
        <f t="shared" si="4"/>
        <v>0.76711664069924312</v>
      </c>
      <c r="J17" s="21">
        <f t="shared" si="1"/>
        <v>140332.66457049066</v>
      </c>
      <c r="K17" s="21">
        <f t="shared" si="5"/>
        <v>1002.3761755035047</v>
      </c>
      <c r="L17" s="12">
        <f t="shared" ca="1" si="2"/>
        <v>-0.97691072298738058</v>
      </c>
      <c r="M17" s="12">
        <f t="shared" ca="1" si="3"/>
        <v>-4.417041574223588</v>
      </c>
      <c r="N17" s="12">
        <f t="shared" ca="1" si="6"/>
        <v>-10.782181158603946</v>
      </c>
    </row>
    <row r="18" spans="1:16" ht="18.600000000000001" x14ac:dyDescent="0.3">
      <c r="A18" s="30" t="s">
        <v>27</v>
      </c>
      <c r="B18" s="30" t="s">
        <v>85</v>
      </c>
      <c r="C18" s="30">
        <f>C6*((C17/C14)-C13)/(1-C13)</f>
        <v>182935.23712713944</v>
      </c>
      <c r="D18" s="30" t="s">
        <v>35</v>
      </c>
    </row>
    <row r="19" spans="1:16" ht="19.2" thickBot="1" x14ac:dyDescent="0.35">
      <c r="A19" s="30" t="s">
        <v>28</v>
      </c>
      <c r="B19" s="30" t="s">
        <v>86</v>
      </c>
      <c r="C19" s="30">
        <f>C18/C17/C12^3/C4^5</f>
        <v>0.18613038162451351</v>
      </c>
      <c r="D19" s="30" t="s">
        <v>7</v>
      </c>
    </row>
    <row r="20" spans="1:16" ht="18.600000000000001" thickBot="1" x14ac:dyDescent="0.35">
      <c r="A20" s="30" t="s">
        <v>153</v>
      </c>
      <c r="B20" s="30" t="s">
        <v>140</v>
      </c>
      <c r="C20" s="30">
        <f>Podsumowanie!B31</f>
        <v>28993.455000000002</v>
      </c>
      <c r="D20" s="30" t="s">
        <v>39</v>
      </c>
      <c r="F20" s="132" t="s">
        <v>169</v>
      </c>
      <c r="G20" s="133"/>
      <c r="H20" s="133"/>
      <c r="I20" s="133"/>
      <c r="J20" s="133"/>
      <c r="K20" s="133"/>
      <c r="L20" s="133"/>
      <c r="M20" s="133"/>
      <c r="N20" s="133"/>
      <c r="O20" s="133"/>
      <c r="P20" s="134"/>
    </row>
    <row r="21" spans="1:16" ht="18.600000000000001" thickBot="1" x14ac:dyDescent="0.35">
      <c r="B21" s="30" t="s">
        <v>16</v>
      </c>
      <c r="C21" s="30" t="s">
        <v>66</v>
      </c>
      <c r="D21" s="30" t="s">
        <v>17</v>
      </c>
      <c r="F21" s="97" t="s">
        <v>1</v>
      </c>
      <c r="G21" s="97" t="s">
        <v>2</v>
      </c>
      <c r="H21" s="97" t="s">
        <v>67</v>
      </c>
      <c r="I21" s="97" t="s">
        <v>15</v>
      </c>
      <c r="J21" s="97" t="s">
        <v>74</v>
      </c>
      <c r="K21" s="97" t="s">
        <v>72</v>
      </c>
      <c r="L21" s="97" t="s">
        <v>73</v>
      </c>
      <c r="M21" s="97" t="s">
        <v>71</v>
      </c>
      <c r="N21" s="97" t="s">
        <v>69</v>
      </c>
      <c r="O21" s="97" t="s">
        <v>87</v>
      </c>
      <c r="P21" s="97" t="s">
        <v>70</v>
      </c>
    </row>
    <row r="22" spans="1:16" x14ac:dyDescent="0.3">
      <c r="A22" s="32">
        <v>1</v>
      </c>
      <c r="B22" s="47">
        <f>-K3*COS(C22+C23-C$3)+0.5*C$17*C$7*C$5*(C23-C$8)*G3^2*SIN(C22)+0.5*C$17*C$7*(C$11+1/PI()/C$10*C$5^2*(C23-C$8)^2)*G3^2*COS(C22)</f>
        <v>8.5353060057968833E-5</v>
      </c>
      <c r="C22" s="33">
        <v>-2.3830561148931948E-4</v>
      </c>
      <c r="D22" s="34">
        <f t="shared" ref="D22:D51" si="7">DEGREES(C22)</f>
        <v>-1.3653905772622307E-2</v>
      </c>
      <c r="F22" s="11">
        <v>1.63</v>
      </c>
      <c r="G22" s="12">
        <v>156.18</v>
      </c>
      <c r="H22" s="12">
        <f t="shared" ref="H22:H36" si="8">SQRT((2*C$15)/(C$7*C$17*F22))</f>
        <v>50.695321417043772</v>
      </c>
      <c r="I22" s="92">
        <f t="shared" ref="I22:I36" si="9">H22/C$12/C$4</f>
        <v>0.64193394962624806</v>
      </c>
      <c r="J22" s="93">
        <f>0.2456*I22^3-1.2145*I22^2+1.8139*I22</f>
        <v>0.72890179292837476</v>
      </c>
      <c r="K22" s="21">
        <f t="shared" ref="K22:K36" si="10">C$15*SQRT((2*C$15)/(C$17*C$7*G22))</f>
        <v>136186.41663905652</v>
      </c>
      <c r="L22" s="20">
        <f t="shared" ref="L22:L36" si="11">C$18*J22</f>
        <v>133341.82233174931</v>
      </c>
      <c r="M22" s="21">
        <f t="shared" ref="M22:M36" si="12">(L22-K22)</f>
        <v>-2844.5943073072121</v>
      </c>
      <c r="N22" s="12">
        <f t="shared" ref="N22:N36" si="13">M22/C$15</f>
        <v>-0.10817714555693456</v>
      </c>
      <c r="O22" s="12">
        <f t="shared" ref="O22:O36" si="14">DEGREES(ASIN(N22/H22))</f>
        <v>-0.12226174744871586</v>
      </c>
      <c r="P22" s="12">
        <v>15.276999999999999</v>
      </c>
    </row>
    <row r="23" spans="1:16" x14ac:dyDescent="0.3">
      <c r="A23" s="35">
        <v>2</v>
      </c>
      <c r="B23" s="48">
        <f>K3*SIN(C22+C23-C$3)+0.5*C$17*C$7*C$5*(C23-C$8)*G3^2*COS(C22)-0.5*C$17*C$7*(C$11+1/PI()/C$10*C$5^2*(C23-C$8)^2)*G3^2*SIN(C22)-C$15</f>
        <v>-1.0011717677116394E-8</v>
      </c>
      <c r="C23" s="36">
        <v>0.20883961967376774</v>
      </c>
      <c r="D23" s="37">
        <f t="shared" si="7"/>
        <v>11.965628802424165</v>
      </c>
      <c r="F23" s="11">
        <v>1.571</v>
      </c>
      <c r="G23" s="12">
        <v>158.85</v>
      </c>
      <c r="H23" s="12">
        <f t="shared" si="8"/>
        <v>51.638496698368591</v>
      </c>
      <c r="I23" s="12">
        <f t="shared" si="9"/>
        <v>0.653876989271858</v>
      </c>
      <c r="J23" s="11">
        <f t="shared" ref="J23:J36" si="15">0.2456*I23^3-1.2145*I23^2+1.8139*I23</f>
        <v>0.73546379311041121</v>
      </c>
      <c r="K23" s="21">
        <f t="shared" si="10"/>
        <v>135037.03464369389</v>
      </c>
      <c r="L23" s="20">
        <f t="shared" si="11"/>
        <v>134542.24339107849</v>
      </c>
      <c r="M23" s="21">
        <f t="shared" si="12"/>
        <v>-494.79125261539593</v>
      </c>
      <c r="N23" s="12">
        <f t="shared" si="13"/>
        <v>-1.8816428485769667E-2</v>
      </c>
      <c r="O23" s="12">
        <f t="shared" si="14"/>
        <v>-2.0877872721583278E-2</v>
      </c>
      <c r="P23" s="12">
        <v>12.122999999999999</v>
      </c>
    </row>
    <row r="24" spans="1:16" x14ac:dyDescent="0.3">
      <c r="A24" s="38">
        <v>3</v>
      </c>
      <c r="B24" s="47">
        <f>-K4*COS(C24+C25-C$3)+0.5*C$17*C$7*C$5*(C25-C$8)*G4^2*SIN(C24)+0.5*C$17*C$7*(C$11+1/PI()/C$10*C$5^2*(C25-C$8)^2)*G4^2*COS(C24)</f>
        <v>5.1658161783052492E-4</v>
      </c>
      <c r="C24" s="39">
        <v>5.9239744576997221E-3</v>
      </c>
      <c r="D24" s="40">
        <f t="shared" si="7"/>
        <v>0.33941873436949471</v>
      </c>
      <c r="F24" s="11">
        <v>1.474</v>
      </c>
      <c r="G24" s="12">
        <v>163.07</v>
      </c>
      <c r="H24" s="12">
        <f t="shared" si="8"/>
        <v>53.310522775748105</v>
      </c>
      <c r="I24" s="12">
        <f t="shared" si="9"/>
        <v>0.67504916598813891</v>
      </c>
      <c r="J24" s="11">
        <f t="shared" si="15"/>
        <v>0.74658452437078993</v>
      </c>
      <c r="K24" s="21">
        <f t="shared" si="10"/>
        <v>133278.30671678646</v>
      </c>
      <c r="L24" s="20">
        <f t="shared" si="11"/>
        <v>136576.61700122306</v>
      </c>
      <c r="M24" s="21">
        <f t="shared" si="12"/>
        <v>3298.3102844365931</v>
      </c>
      <c r="N24" s="12">
        <f t="shared" si="13"/>
        <v>0.12543152140003824</v>
      </c>
      <c r="O24" s="12">
        <f t="shared" si="14"/>
        <v>0.13480834647165468</v>
      </c>
      <c r="P24" s="12">
        <v>11.015000000000001</v>
      </c>
    </row>
    <row r="25" spans="1:16" x14ac:dyDescent="0.3">
      <c r="A25" s="41">
        <v>4</v>
      </c>
      <c r="B25" s="48">
        <f>K4*SIN(C24+C25-C$3)+0.5*C$17*C$7*C$5*(C25-C$8)*G4^2*COS(C24)-0.5*C$17*C$7*(C$11+1/PI()/C$10*C$5^2*(C25-C$8)^2)*G4^2*SIN(C24)-C$15</f>
        <v>5.4205884225666523E-10</v>
      </c>
      <c r="C25" s="42">
        <v>0.17062457314062235</v>
      </c>
      <c r="D25" s="43">
        <f>DEGREES(C25)</f>
        <v>9.7760679221788855</v>
      </c>
      <c r="F25" s="11">
        <v>1.379</v>
      </c>
      <c r="G25" s="12">
        <v>167.61</v>
      </c>
      <c r="H25" s="12">
        <f t="shared" si="8"/>
        <v>55.116235867688886</v>
      </c>
      <c r="I25" s="12">
        <f t="shared" si="9"/>
        <v>0.69791416624064084</v>
      </c>
      <c r="J25" s="11">
        <f t="shared" si="15"/>
        <v>0.75787275431250145</v>
      </c>
      <c r="K25" s="21">
        <f t="shared" si="10"/>
        <v>131460.88117452475</v>
      </c>
      <c r="L25" s="20">
        <f t="shared" si="11"/>
        <v>138641.63202235574</v>
      </c>
      <c r="M25" s="21">
        <f t="shared" si="12"/>
        <v>7180.7508478309901</v>
      </c>
      <c r="N25" s="12">
        <f t="shared" si="13"/>
        <v>0.27307694727450699</v>
      </c>
      <c r="O25" s="12">
        <f t="shared" si="14"/>
        <v>0.283876798341196</v>
      </c>
      <c r="P25" s="12">
        <v>9.5779999999999994</v>
      </c>
    </row>
    <row r="26" spans="1:16" x14ac:dyDescent="0.3">
      <c r="A26" s="32">
        <v>5</v>
      </c>
      <c r="B26" s="47">
        <f>-K5*COS(C26+C27-C$3)+0.5*C$17*C$7*C$5*(C27-C$8)*G5^2*SIN(C26)+0.5*C$17*C$7*(C$11+1/PI()/C$10*C$5^2*(C27-C$8)^2)*G5^2*COS(C26)</f>
        <v>1.7786617945603211E-4</v>
      </c>
      <c r="C26" s="33">
        <v>7.8193189111364757E-3</v>
      </c>
      <c r="D26" s="34">
        <f t="shared" si="7"/>
        <v>0.44801397227495049</v>
      </c>
      <c r="F26" s="11">
        <v>1.272</v>
      </c>
      <c r="G26" s="12">
        <v>169.65</v>
      </c>
      <c r="H26" s="12">
        <f t="shared" si="8"/>
        <v>57.387608575611623</v>
      </c>
      <c r="I26" s="12">
        <f t="shared" si="9"/>
        <v>0.72667562218398751</v>
      </c>
      <c r="J26" s="11">
        <f t="shared" si="15"/>
        <v>0.77103435033460344</v>
      </c>
      <c r="K26" s="21">
        <f t="shared" si="10"/>
        <v>130668.09814495359</v>
      </c>
      <c r="L26" s="20">
        <f t="shared" si="11"/>
        <v>141049.35171163059</v>
      </c>
      <c r="M26" s="21">
        <f t="shared" si="12"/>
        <v>10381.253566676998</v>
      </c>
      <c r="N26" s="12">
        <f t="shared" si="13"/>
        <v>0.39478894240245688</v>
      </c>
      <c r="O26" s="12">
        <f t="shared" si="14"/>
        <v>0.39416032794880979</v>
      </c>
      <c r="P26" s="12">
        <v>8.4719999999999995</v>
      </c>
    </row>
    <row r="27" spans="1:16" x14ac:dyDescent="0.3">
      <c r="A27" s="35">
        <v>6</v>
      </c>
      <c r="B27" s="48">
        <f>K5*SIN(C26+C27-C$3)+0.5*C$17*C$7*C$5*(C27-C$8)*G5^2*COS(C26)-0.5*C$17*C$7*(C$11+1/PI()/C$10*C$5^2*(C27-C$8)^2)*G5^2*SIN(C26)-C$15</f>
        <v>-1.2034433893859386E-8</v>
      </c>
      <c r="C27" s="36">
        <v>0.15563886476942881</v>
      </c>
      <c r="D27" s="37">
        <f t="shared" si="7"/>
        <v>8.9174500794956302</v>
      </c>
      <c r="F27" s="11">
        <v>1.1779999999999999</v>
      </c>
      <c r="G27" s="12">
        <v>170.58</v>
      </c>
      <c r="H27" s="12">
        <f t="shared" si="8"/>
        <v>59.633326746500941</v>
      </c>
      <c r="I27" s="12">
        <f t="shared" si="9"/>
        <v>0.75511222530416722</v>
      </c>
      <c r="J27" s="11">
        <f t="shared" si="15"/>
        <v>0.78294261496700968</v>
      </c>
      <c r="K27" s="21">
        <f t="shared" si="10"/>
        <v>130311.41090868881</v>
      </c>
      <c r="L27" s="20">
        <f t="shared" si="11"/>
        <v>143227.79292593253</v>
      </c>
      <c r="M27" s="21">
        <f t="shared" si="12"/>
        <v>12916.382017243726</v>
      </c>
      <c r="N27" s="12">
        <f t="shared" si="13"/>
        <v>0.49119740342552998</v>
      </c>
      <c r="O27" s="12">
        <f t="shared" si="14"/>
        <v>0.47194845423185755</v>
      </c>
      <c r="P27" s="12">
        <v>7.694</v>
      </c>
    </row>
    <row r="28" spans="1:16" x14ac:dyDescent="0.3">
      <c r="A28" s="38">
        <v>7</v>
      </c>
      <c r="B28" s="47">
        <f>-K6*COS(C28+C29-C$3)+0.5*C$17*C$7*C$5*(C29-C$8)*G6^2*SIN(C28)+0.5*C$17*C$7*(C$11+1/PI()/C$10*C$5^2*(C29-C$8)^2)*G6^2*COS(C28)</f>
        <v>8.1198973020946141E-5</v>
      </c>
      <c r="C28" s="39">
        <v>9.2079459345804065E-3</v>
      </c>
      <c r="D28" s="40">
        <f t="shared" si="7"/>
        <v>0.52757644003610171</v>
      </c>
      <c r="F28" s="11">
        <v>1.08</v>
      </c>
      <c r="G28" s="12">
        <v>169.97</v>
      </c>
      <c r="H28" s="12">
        <f t="shared" si="8"/>
        <v>62.280172296104972</v>
      </c>
      <c r="I28" s="12">
        <f t="shared" si="9"/>
        <v>0.78862813900615103</v>
      </c>
      <c r="J28" s="11">
        <f t="shared" si="15"/>
        <v>0.79561396437852583</v>
      </c>
      <c r="K28" s="21">
        <f t="shared" si="10"/>
        <v>130545.03675027896</v>
      </c>
      <c r="L28" s="20">
        <f t="shared" si="11"/>
        <v>145545.82923524908</v>
      </c>
      <c r="M28" s="21">
        <f t="shared" si="12"/>
        <v>15000.792484970123</v>
      </c>
      <c r="N28" s="12">
        <f t="shared" si="13"/>
        <v>0.57046549940266378</v>
      </c>
      <c r="O28" s="12">
        <f t="shared" si="14"/>
        <v>0.52481747130472411</v>
      </c>
      <c r="P28" s="12">
        <v>7.048</v>
      </c>
    </row>
    <row r="29" spans="1:16" x14ac:dyDescent="0.3">
      <c r="A29" s="41">
        <v>8</v>
      </c>
      <c r="B29" s="48">
        <f>K6*SIN(C28+C29-C$3)+0.5*C$17*C$7*C$5*(C29-C$8)*G6^2*COS(C28)-0.5*C$17*C$7*(C$11+1/PI()/C$10*C$5^2*(C29-C$8)^2)*G6^2*SIN(C28)-C$15</f>
        <v>-9.276845958083868E-10</v>
      </c>
      <c r="C29" s="42">
        <v>0.14210236311009558</v>
      </c>
      <c r="D29" s="43">
        <f t="shared" si="7"/>
        <v>8.1418656650439996</v>
      </c>
      <c r="F29" s="11">
        <v>0.96899999999999997</v>
      </c>
      <c r="G29" s="12">
        <v>164.23</v>
      </c>
      <c r="H29" s="12">
        <f t="shared" si="8"/>
        <v>65.750611247290209</v>
      </c>
      <c r="I29" s="12">
        <f t="shared" si="9"/>
        <v>0.83257287632311638</v>
      </c>
      <c r="J29" s="11">
        <f t="shared" si="15"/>
        <v>0.81008063606823288</v>
      </c>
      <c r="K29" s="21">
        <f t="shared" si="10"/>
        <v>132806.78262130343</v>
      </c>
      <c r="L29" s="20">
        <f t="shared" si="11"/>
        <v>148192.29325124613</v>
      </c>
      <c r="M29" s="21">
        <f t="shared" si="12"/>
        <v>15385.510629942699</v>
      </c>
      <c r="N29" s="12">
        <f t="shared" si="13"/>
        <v>0.58509595502165457</v>
      </c>
      <c r="O29" s="12">
        <f t="shared" si="14"/>
        <v>0.50986554575547305</v>
      </c>
      <c r="P29" s="12">
        <v>6.0739999999999998</v>
      </c>
    </row>
    <row r="30" spans="1:16" x14ac:dyDescent="0.3">
      <c r="A30" s="32">
        <v>9</v>
      </c>
      <c r="B30" s="47">
        <f>-K7*COS(C30+C31-C$3)+0.5*C$17*C$7*C$5*(C31-C$8)*G7^2*SIN(C30)+0.5*C$17*C$7*(C$11+1/PI()/C$10*C$5^2*(C31-C$8)^2)*G7^2*COS(C30)</f>
        <v>-5.7472564094496192E-5</v>
      </c>
      <c r="C30" s="33">
        <v>1.0804733227836935E-2</v>
      </c>
      <c r="D30" s="34">
        <f t="shared" si="7"/>
        <v>0.6190656127198193</v>
      </c>
      <c r="F30" s="11">
        <v>0.86799999999999999</v>
      </c>
      <c r="G30" s="12">
        <v>160.72999999999999</v>
      </c>
      <c r="H30" s="12">
        <f t="shared" si="8"/>
        <v>69.470723288017382</v>
      </c>
      <c r="I30" s="12">
        <f t="shared" si="9"/>
        <v>0.87967912101403745</v>
      </c>
      <c r="J30" s="11">
        <f t="shared" si="15"/>
        <v>0.82301342129575583</v>
      </c>
      <c r="K30" s="21">
        <f t="shared" si="10"/>
        <v>134244.97232276073</v>
      </c>
      <c r="L30" s="20">
        <f t="shared" si="11"/>
        <v>150558.1553835574</v>
      </c>
      <c r="M30" s="21">
        <f t="shared" si="12"/>
        <v>16313.183060796669</v>
      </c>
      <c r="N30" s="12">
        <f t="shared" si="13"/>
        <v>0.62037443228073441</v>
      </c>
      <c r="O30" s="12">
        <f t="shared" si="14"/>
        <v>0.51165883185548067</v>
      </c>
      <c r="P30" s="12">
        <v>5.0990000000000002</v>
      </c>
    </row>
    <row r="31" spans="1:16" x14ac:dyDescent="0.3">
      <c r="A31" s="35">
        <v>10</v>
      </c>
      <c r="B31" s="48">
        <f>K7*SIN(C30+C31-C$3)+0.5*C$17*C$7*C$5*(C31-C$8)*G7^2*COS(C30)-0.5*C$17*C$7*(C$11+1/PI()/C$10*C$5^2*(C31-C$8)^2)*G7^2*SIN(C30)-C$15</f>
        <v>4.7550274757668376E-6</v>
      </c>
      <c r="C31" s="36">
        <v>9.9238746861625052E-2</v>
      </c>
      <c r="D31" s="37">
        <f t="shared" si="7"/>
        <v>5.6859613593382594</v>
      </c>
      <c r="F31" s="11">
        <v>0.77100000000000002</v>
      </c>
      <c r="G31" s="12">
        <v>153.61000000000001</v>
      </c>
      <c r="H31" s="12">
        <f t="shared" si="8"/>
        <v>73.711371867456933</v>
      </c>
      <c r="I31" s="12">
        <f t="shared" si="9"/>
        <v>0.9333767052384736</v>
      </c>
      <c r="J31" s="11">
        <f t="shared" si="15"/>
        <v>0.83469896708479152</v>
      </c>
      <c r="K31" s="21">
        <f t="shared" si="10"/>
        <v>137320.93678628607</v>
      </c>
      <c r="L31" s="20">
        <f t="shared" si="11"/>
        <v>152695.85347343469</v>
      </c>
      <c r="M31" s="21">
        <f t="shared" si="12"/>
        <v>15374.916687148623</v>
      </c>
      <c r="N31" s="12">
        <f t="shared" si="13"/>
        <v>0.58469307771549084</v>
      </c>
      <c r="O31" s="12">
        <f t="shared" si="14"/>
        <v>0.45448614143759414</v>
      </c>
      <c r="P31" s="12">
        <v>3.86</v>
      </c>
    </row>
    <row r="32" spans="1:16" x14ac:dyDescent="0.3">
      <c r="A32" s="38">
        <v>11</v>
      </c>
      <c r="B32" s="47">
        <f>-K8*COS(C32+C33-C$3)+0.5*C$17*C$7*C$5*(C33-C$8)*G8^2*SIN(C32)+0.5*C$17*C$7*(C$11+1/PI()/C$10*C$5^2*(C33-C$8)^2)*G8^2*COS(C32)</f>
        <v>-3.596082933654543E-7</v>
      </c>
      <c r="C32" s="39">
        <v>8.4502776252520853E-3</v>
      </c>
      <c r="D32" s="40">
        <f t="shared" si="7"/>
        <v>0.4841652436407764</v>
      </c>
      <c r="F32" s="11">
        <v>0.56899999999999995</v>
      </c>
      <c r="G32" s="12">
        <v>116.14</v>
      </c>
      <c r="H32" s="12">
        <f t="shared" si="8"/>
        <v>85.803607960682612</v>
      </c>
      <c r="I32" s="12">
        <f t="shared" si="9"/>
        <v>1.0864957043524177</v>
      </c>
      <c r="J32" s="11">
        <f t="shared" si="15"/>
        <v>0.85211154361871833</v>
      </c>
      <c r="K32" s="21">
        <f t="shared" si="10"/>
        <v>157926.71114428862</v>
      </c>
      <c r="L32" s="20">
        <f t="shared" si="11"/>
        <v>155881.22729066305</v>
      </c>
      <c r="M32" s="21">
        <f t="shared" si="12"/>
        <v>-2045.4838536255702</v>
      </c>
      <c r="N32" s="12">
        <f t="shared" si="13"/>
        <v>-7.7787754830135572E-2</v>
      </c>
      <c r="O32" s="12">
        <f t="shared" si="14"/>
        <v>-5.194316143581456E-2</v>
      </c>
      <c r="P32" s="12">
        <v>2.0419999999999998</v>
      </c>
    </row>
    <row r="33" spans="1:16" x14ac:dyDescent="0.3">
      <c r="A33" s="41">
        <v>12</v>
      </c>
      <c r="B33" s="48">
        <f>K8*SIN(C32+C33-C$3)+0.5*C$17*C$7*C$5*(C33-C$8)*G8^2*COS(C32)-0.5*C$17*C$7*(C$11+1/PI()/C$10*C$5^2*(C33-C$8)^2)*G8^2*SIN(C32)-C$15</f>
        <v>-1.637131572351791E-5</v>
      </c>
      <c r="C33" s="42">
        <v>7.2336259434262404E-2</v>
      </c>
      <c r="D33" s="43">
        <f t="shared" si="7"/>
        <v>4.1445623713466198</v>
      </c>
      <c r="F33" s="11">
        <v>0.47099999999999997</v>
      </c>
      <c r="G33" s="12">
        <v>88.53</v>
      </c>
      <c r="H33" s="12">
        <f t="shared" si="8"/>
        <v>94.308585165652786</v>
      </c>
      <c r="I33" s="12">
        <f t="shared" si="9"/>
        <v>1.1941907234598848</v>
      </c>
      <c r="J33" s="11">
        <f t="shared" si="15"/>
        <v>0.85241744024515098</v>
      </c>
      <c r="K33" s="21">
        <f t="shared" si="10"/>
        <v>180884.46509369087</v>
      </c>
      <c r="L33" s="20">
        <f t="shared" si="11"/>
        <v>155937.1865625559</v>
      </c>
      <c r="M33" s="21">
        <f t="shared" si="12"/>
        <v>-24947.278531134973</v>
      </c>
      <c r="N33" s="12">
        <f t="shared" si="13"/>
        <v>-0.94872065727596844</v>
      </c>
      <c r="O33" s="12">
        <f t="shared" si="14"/>
        <v>-0.57639085948415325</v>
      </c>
      <c r="P33" s="12">
        <v>1.198</v>
      </c>
    </row>
    <row r="34" spans="1:16" x14ac:dyDescent="0.3">
      <c r="A34" s="32">
        <v>13</v>
      </c>
      <c r="B34" s="47">
        <f>-K9*COS(C34+C35-C$3)+0.5*C$17*C$7*C$5*(C35-C$8)*G9^2*SIN(C34)+0.5*C$17*C$7*(C$11+1/PI()/C$10*C$5^2*(C35-C$8)^2)*G9^2*COS(C34)</f>
        <v>-2.8719965030177264E-4</v>
      </c>
      <c r="C34" s="33">
        <v>3.7303995135447936E-3</v>
      </c>
      <c r="D34" s="34">
        <f t="shared" si="7"/>
        <v>0.21373614802377205</v>
      </c>
      <c r="F34" s="28">
        <v>0.371</v>
      </c>
      <c r="G34" s="28">
        <v>56.77</v>
      </c>
      <c r="H34" s="12">
        <f t="shared" si="8"/>
        <v>106.26120299436177</v>
      </c>
      <c r="I34" s="12">
        <f t="shared" si="9"/>
        <v>1.3455417940653207</v>
      </c>
      <c r="J34" s="11">
        <f t="shared" si="15"/>
        <v>0.84014828625207105</v>
      </c>
      <c r="K34" s="21">
        <f t="shared" si="10"/>
        <v>225884.82450328628</v>
      </c>
      <c r="L34" s="20">
        <f t="shared" si="11"/>
        <v>153692.72596748243</v>
      </c>
      <c r="M34" s="21">
        <f t="shared" si="12"/>
        <v>-72192.098535803845</v>
      </c>
      <c r="N34" s="12">
        <f t="shared" si="13"/>
        <v>-2.745395057322245</v>
      </c>
      <c r="O34" s="12">
        <f t="shared" si="14"/>
        <v>-1.4804750053886464</v>
      </c>
      <c r="P34" s="12">
        <v>0.42</v>
      </c>
    </row>
    <row r="35" spans="1:16" x14ac:dyDescent="0.3">
      <c r="A35" s="35">
        <v>14</v>
      </c>
      <c r="B35" s="48">
        <f>K9*SIN(C34+C35-C$3)+0.5*C$17*C$7*C$5*(C35-C$8)*G9^2*COS(C34)-0.5*C$17*C$7*(C$11+1/PI()/C$10*C$5^2*(C35-C$8)^2)*G9^2*SIN(C34)-C$15</f>
        <v>-2.1963969629723579E-6</v>
      </c>
      <c r="C35" s="36">
        <v>5.199140074138163E-2</v>
      </c>
      <c r="D35" s="37">
        <f t="shared" si="7"/>
        <v>2.9788878334545066</v>
      </c>
      <c r="F35" s="28">
        <v>0.27600000000000002</v>
      </c>
      <c r="G35" s="28">
        <v>29.74</v>
      </c>
      <c r="H35" s="12">
        <f t="shared" si="8"/>
        <v>123.19898847533064</v>
      </c>
      <c r="I35" s="12">
        <f t="shared" si="9"/>
        <v>1.5600179868933433</v>
      </c>
      <c r="J35" s="11">
        <f t="shared" si="15"/>
        <v>0.80647329122444811</v>
      </c>
      <c r="K35" s="21">
        <f t="shared" si="10"/>
        <v>312087.24538145447</v>
      </c>
      <c r="L35" s="20">
        <f t="shared" si="11"/>
        <v>147532.38276684898</v>
      </c>
      <c r="M35" s="21">
        <f t="shared" si="12"/>
        <v>-164554.86261460549</v>
      </c>
      <c r="N35" s="12">
        <f t="shared" si="13"/>
        <v>-6.2578608413277177</v>
      </c>
      <c r="O35" s="12">
        <f t="shared" si="14"/>
        <v>-2.9115772874117587</v>
      </c>
      <c r="P35" s="12">
        <v>-0.29199999999999998</v>
      </c>
    </row>
    <row r="36" spans="1:16" x14ac:dyDescent="0.3">
      <c r="A36" s="38">
        <v>15</v>
      </c>
      <c r="B36" s="47">
        <f>-K10*COS(C36+C37-C$3)+0.5*C$17*C$7*C$5*(C37-C$8)*G10^2*SIN(C36)+0.5*C$17*C$7*(C$11+1/PI()/C$10*C$5^2*(C37-C$8)^2)*G10^2*COS(C36)</f>
        <v>-1.2606593645614339E-4</v>
      </c>
      <c r="C36" s="39">
        <v>-3.7222902204603449E-3</v>
      </c>
      <c r="D36" s="40">
        <f t="shared" si="7"/>
        <v>-0.21327151975519851</v>
      </c>
      <c r="F36" s="101">
        <v>0.186</v>
      </c>
      <c r="G36" s="101">
        <v>10.85</v>
      </c>
      <c r="H36" s="102">
        <f t="shared" si="8"/>
        <v>150.07391458682832</v>
      </c>
      <c r="I36" s="12">
        <f t="shared" si="9"/>
        <v>1.9003240936984418</v>
      </c>
      <c r="J36" s="11">
        <f t="shared" si="15"/>
        <v>0.74658960819180908</v>
      </c>
      <c r="K36" s="104">
        <f t="shared" si="10"/>
        <v>516691.87577382242</v>
      </c>
      <c r="L36" s="108">
        <f t="shared" si="11"/>
        <v>136577.54701122671</v>
      </c>
      <c r="M36" s="104">
        <f t="shared" si="12"/>
        <v>-380114.32876259572</v>
      </c>
      <c r="N36" s="102">
        <f t="shared" si="13"/>
        <v>-14.455376981244491</v>
      </c>
      <c r="O36" s="102">
        <f t="shared" si="14"/>
        <v>-5.5273974604702296</v>
      </c>
      <c r="P36" s="102">
        <v>-1.071</v>
      </c>
    </row>
    <row r="37" spans="1:16" ht="15.6" thickBot="1" x14ac:dyDescent="0.35">
      <c r="A37" s="41">
        <v>16</v>
      </c>
      <c r="B37" s="48">
        <f>K10*SIN(C36+C37-C$3)+0.5*C$17*C$7*C$5*(C37-C$8)*G10^2*COS(C36)-0.5*C$17*C$7*(C$11+1/PI()/C$10*C$5^2*(C37-C$8)^2)*G10^2*SIN(C36)-C$15</f>
        <v>0</v>
      </c>
      <c r="C37" s="42">
        <v>3.4284665829102931E-2</v>
      </c>
      <c r="D37" s="43">
        <f t="shared" si="7"/>
        <v>1.9643666540239892</v>
      </c>
      <c r="F37" s="49"/>
      <c r="G37" s="50"/>
      <c r="H37" s="50"/>
      <c r="I37" s="50"/>
      <c r="J37" s="49"/>
      <c r="K37" s="51"/>
      <c r="L37" s="51"/>
      <c r="M37" s="51"/>
      <c r="N37" s="50"/>
      <c r="O37" s="50"/>
      <c r="P37" s="50"/>
    </row>
    <row r="38" spans="1:16" ht="18.600000000000001" thickBot="1" x14ac:dyDescent="0.35">
      <c r="A38" s="32">
        <v>17</v>
      </c>
      <c r="B38" s="47">
        <f>-K11*COS(C38+C39-C$3)+0.5*C$17*C$7*C$5*(C39-C$8)*G11^2*SIN(C38)+0.5*C$17*C$7*(C$11+1/PI()/C$10*C$5^2*(C39-C$8)^2)*G11^2*COS(C38)</f>
        <v>-3.8132871054585848E-4</v>
      </c>
      <c r="C38" s="33">
        <v>-1.1575362921515934E-2</v>
      </c>
      <c r="D38" s="34">
        <f t="shared" si="7"/>
        <v>-0.6632194417350854</v>
      </c>
      <c r="F38" s="132" t="s">
        <v>196</v>
      </c>
      <c r="G38" s="133"/>
      <c r="H38" s="133"/>
      <c r="I38" s="133"/>
      <c r="J38" s="133"/>
      <c r="K38" s="133"/>
      <c r="L38" s="133"/>
      <c r="M38" s="133"/>
      <c r="N38" s="133"/>
      <c r="O38" s="133"/>
      <c r="P38" s="134"/>
    </row>
    <row r="39" spans="1:16" ht="18.600000000000001" thickBot="1" x14ac:dyDescent="0.35">
      <c r="A39" s="35">
        <v>18</v>
      </c>
      <c r="B39" s="48">
        <f>K11*SIN(C38+C39-C$3)+0.5*C$17*C$7*C$5*(C39-C$8)*G11^2*COS(C38)-0.5*C$17*C$7*(C$11+1/PI()/C$10*C$5^2*(C39-C$8)^2)*G11^2*SIN(C38)-C$15</f>
        <v>1.8553691916167736E-10</v>
      </c>
      <c r="C39" s="36">
        <v>2.2240097181088245E-2</v>
      </c>
      <c r="D39" s="37">
        <f t="shared" si="7"/>
        <v>1.2742637044371559</v>
      </c>
      <c r="F39" s="97" t="s">
        <v>1</v>
      </c>
      <c r="G39" s="97" t="s">
        <v>2</v>
      </c>
      <c r="H39" s="97" t="s">
        <v>67</v>
      </c>
      <c r="I39" s="97" t="s">
        <v>15</v>
      </c>
      <c r="J39" s="97" t="s">
        <v>74</v>
      </c>
      <c r="K39" s="97" t="s">
        <v>72</v>
      </c>
      <c r="L39" s="97" t="s">
        <v>73</v>
      </c>
      <c r="M39" s="97" t="s">
        <v>71</v>
      </c>
      <c r="N39" s="97" t="s">
        <v>69</v>
      </c>
      <c r="O39" s="97" t="s">
        <v>87</v>
      </c>
      <c r="P39" s="97" t="s">
        <v>70</v>
      </c>
    </row>
    <row r="40" spans="1:16" x14ac:dyDescent="0.3">
      <c r="A40" s="38">
        <v>19</v>
      </c>
      <c r="B40" s="47">
        <f>-K12*COS(C40+C41-C$3)+0.5*C$17*C$7*C$5*(C41-C$8)*G12^2*SIN(C40)+0.5*C$17*C$7*(C$11+1/PI()/C$10*C$5^2*(C41-C$8)^2)*G12^2*COS(C40)</f>
        <v>-3.3167097080877284E-4</v>
      </c>
      <c r="C40" s="39">
        <v>-2.0381616697856059E-2</v>
      </c>
      <c r="D40" s="40">
        <f t="shared" si="7"/>
        <v>-1.1677806164405178</v>
      </c>
      <c r="F40" s="93">
        <f t="shared" ref="F40:G54" si="16">F22</f>
        <v>1.63</v>
      </c>
      <c r="G40" s="99">
        <f t="shared" si="16"/>
        <v>156.18</v>
      </c>
      <c r="H40" s="92">
        <f t="shared" ref="H40:H54" si="17">SQRT((2*C$20)/(C$7*C$17*F40))</f>
        <v>53.232327687547958</v>
      </c>
      <c r="I40" s="92">
        <f t="shared" ref="I40:I54" si="18">H40/C$12/C$4</f>
        <v>0.67405901383195166</v>
      </c>
      <c r="J40" s="93">
        <f t="shared" ref="J40:J54" si="19">0.185*I40^3-0.9822*I40^2+1.6209*I40</f>
        <v>0.70297278475334957</v>
      </c>
      <c r="K40" s="94">
        <f t="shared" ref="K40:K54" si="20">C$20*SQRT((2*C$20)/(C$17*C$7*G40))</f>
        <v>157672.70595529128</v>
      </c>
      <c r="L40" s="94">
        <f t="shared" ref="L40:L54" si="21">C$18*J40</f>
        <v>128598.49307277956</v>
      </c>
      <c r="M40" s="94">
        <f t="shared" ref="M40:M54" si="22">(L40-K40)</f>
        <v>-29074.212882511725</v>
      </c>
      <c r="N40" s="92">
        <f t="shared" ref="N40:N54" si="23">M40/C$20</f>
        <v>-1.0027853832015441</v>
      </c>
      <c r="O40" s="92">
        <f t="shared" ref="O40:O54" si="24">DEGREES(ASIN(N40/H40))</f>
        <v>-1.0793961379973895</v>
      </c>
      <c r="P40" s="99">
        <f t="shared" ref="P40:P54" si="25">P22</f>
        <v>15.276999999999999</v>
      </c>
    </row>
    <row r="41" spans="1:16" x14ac:dyDescent="0.3">
      <c r="A41" s="41">
        <v>20</v>
      </c>
      <c r="B41" s="48">
        <f>K12*SIN(C40+C41-C$3)+0.5*C$17*C$7*C$5*(C41-C$8)*G12^2*COS(C40)-0.5*C$17*C$7*(C$11+1/PI()/C$10*C$5^2*(C41-C$8)^2)*G12^2*SIN(C40)-C$15</f>
        <v>-3.1591844162903726E-7</v>
      </c>
      <c r="C41" s="42">
        <v>1.2541597499366572E-2</v>
      </c>
      <c r="D41" s="43">
        <f t="shared" si="7"/>
        <v>0.71858060506553179</v>
      </c>
      <c r="F41" s="11">
        <f t="shared" si="16"/>
        <v>1.571</v>
      </c>
      <c r="G41" s="28">
        <f t="shared" si="16"/>
        <v>158.85</v>
      </c>
      <c r="H41" s="12">
        <f t="shared" si="17"/>
        <v>54.222703411359795</v>
      </c>
      <c r="I41" s="12">
        <f t="shared" si="18"/>
        <v>0.68659973321649725</v>
      </c>
      <c r="J41" s="11">
        <f t="shared" si="19"/>
        <v>0.70976168969480147</v>
      </c>
      <c r="K41" s="21">
        <f t="shared" si="20"/>
        <v>156341.98462597225</v>
      </c>
      <c r="L41" s="21">
        <f t="shared" si="21"/>
        <v>129840.42300807766</v>
      </c>
      <c r="M41" s="21">
        <f t="shared" si="22"/>
        <v>-26501.561617894593</v>
      </c>
      <c r="N41" s="12">
        <f t="shared" si="23"/>
        <v>-0.91405324470279903</v>
      </c>
      <c r="O41" s="12">
        <f t="shared" si="24"/>
        <v>-0.9659030369982583</v>
      </c>
      <c r="P41" s="28">
        <f t="shared" si="25"/>
        <v>12.122999999999999</v>
      </c>
    </row>
    <row r="42" spans="1:16" x14ac:dyDescent="0.3">
      <c r="A42" s="32">
        <v>21</v>
      </c>
      <c r="B42" s="47">
        <f>-K13*COS(C42+C43-C$3)+0.5*C$17*C$7*C$5*(C43-C$8)*G13^2*SIN(C42)+0.5*C$17*C$7*(C$11+1/PI()/C$10*C$5^2*(C43-C$8)^2)*G13^2*COS(C42)</f>
        <v>5.3110924955035443E-4</v>
      </c>
      <c r="C42" s="33">
        <v>-3.1373887134259107E-2</v>
      </c>
      <c r="D42" s="34">
        <f t="shared" si="7"/>
        <v>-1.7975913197128399</v>
      </c>
      <c r="F42" s="11">
        <f t="shared" si="16"/>
        <v>1.474</v>
      </c>
      <c r="G42" s="28">
        <f t="shared" si="16"/>
        <v>163.07</v>
      </c>
      <c r="H42" s="12">
        <f t="shared" si="17"/>
        <v>55.978404678563273</v>
      </c>
      <c r="I42" s="12">
        <f t="shared" si="18"/>
        <v>0.7088314543559715</v>
      </c>
      <c r="J42" s="11">
        <f t="shared" si="19"/>
        <v>0.72133348416519927</v>
      </c>
      <c r="K42" s="21">
        <f t="shared" si="20"/>
        <v>154305.78014891647</v>
      </c>
      <c r="L42" s="21">
        <f t="shared" si="21"/>
        <v>131957.31197350641</v>
      </c>
      <c r="M42" s="21">
        <f t="shared" si="22"/>
        <v>-22348.46817541006</v>
      </c>
      <c r="N42" s="12">
        <f t="shared" si="23"/>
        <v>-0.77081079765795624</v>
      </c>
      <c r="O42" s="12">
        <f t="shared" si="24"/>
        <v>-0.78897570451683141</v>
      </c>
      <c r="P42" s="28">
        <f t="shared" si="25"/>
        <v>11.015000000000001</v>
      </c>
    </row>
    <row r="43" spans="1:16" x14ac:dyDescent="0.3">
      <c r="A43" s="35">
        <v>22</v>
      </c>
      <c r="B43" s="48">
        <f>K13*SIN(C42+C43-C$3)+0.5*C$17*C$7*C$5*(C43-C$8)*G13^2*COS(C42)-0.5*C$17*C$7*(C$11+1/PI()/C$10*C$5^2*(C43-C$8)^2)*G13^2*SIN(C42)-C$15</f>
        <v>5.2750692702829838E-10</v>
      </c>
      <c r="C43" s="36">
        <v>3.605041727730881E-3</v>
      </c>
      <c r="D43" s="37">
        <f t="shared" si="7"/>
        <v>0.20655367596752991</v>
      </c>
      <c r="F43" s="11">
        <f t="shared" si="16"/>
        <v>1.379</v>
      </c>
      <c r="G43" s="28">
        <f t="shared" si="16"/>
        <v>167.61</v>
      </c>
      <c r="H43" s="12">
        <f t="shared" si="17"/>
        <v>57.874483218615111</v>
      </c>
      <c r="I43" s="12">
        <f t="shared" si="18"/>
        <v>0.7328407150134616</v>
      </c>
      <c r="J43" s="11">
        <f t="shared" si="19"/>
        <v>0.733177176641993</v>
      </c>
      <c r="K43" s="21">
        <f t="shared" si="20"/>
        <v>152201.61726547597</v>
      </c>
      <c r="L43" s="21">
        <f t="shared" si="21"/>
        <v>134123.94066520958</v>
      </c>
      <c r="M43" s="21">
        <f t="shared" si="22"/>
        <v>-18077.676600266394</v>
      </c>
      <c r="N43" s="12">
        <f t="shared" si="23"/>
        <v>-0.62350887813357847</v>
      </c>
      <c r="O43" s="12">
        <f t="shared" si="24"/>
        <v>-0.61728617397649832</v>
      </c>
      <c r="P43" s="28">
        <f t="shared" si="25"/>
        <v>9.5779999999999994</v>
      </c>
    </row>
    <row r="44" spans="1:16" x14ac:dyDescent="0.3">
      <c r="A44" s="38">
        <v>23</v>
      </c>
      <c r="B44" s="47">
        <f>-K14*COS(C44+C45-C$3)+0.5*C$17*C$7*C$5*(C45-C$8)*G14^2*SIN(C44)+0.5*C$17*C$7*(C$11+1/PI()/C$10*C$5^2*(C45-C$8)^2)*G14^2*COS(C44)</f>
        <v>-1.0049467164208181E-4</v>
      </c>
      <c r="C44" s="39">
        <v>-4.1657583740505544E-2</v>
      </c>
      <c r="D44" s="40">
        <f t="shared" si="7"/>
        <v>-2.3868037330437688</v>
      </c>
      <c r="F44" s="11">
        <f t="shared" si="16"/>
        <v>1.272</v>
      </c>
      <c r="G44" s="28">
        <f t="shared" si="16"/>
        <v>169.65</v>
      </c>
      <c r="H44" s="12">
        <f t="shared" si="17"/>
        <v>60.259524932702092</v>
      </c>
      <c r="I44" s="12">
        <f t="shared" si="18"/>
        <v>0.76304151470762194</v>
      </c>
      <c r="J44" s="11">
        <f t="shared" si="19"/>
        <v>0.74713485339308416</v>
      </c>
      <c r="K44" s="21">
        <f t="shared" si="20"/>
        <v>151283.75593544909</v>
      </c>
      <c r="L44" s="21">
        <f t="shared" si="21"/>
        <v>136677.29157141442</v>
      </c>
      <c r="M44" s="21">
        <f t="shared" si="22"/>
        <v>-14606.464364034677</v>
      </c>
      <c r="N44" s="12">
        <f t="shared" si="23"/>
        <v>-0.50378488400346477</v>
      </c>
      <c r="O44" s="12">
        <f t="shared" si="24"/>
        <v>-0.47901280209793534</v>
      </c>
      <c r="P44" s="28">
        <f t="shared" si="25"/>
        <v>8.4719999999999995</v>
      </c>
    </row>
    <row r="45" spans="1:16" x14ac:dyDescent="0.3">
      <c r="A45" s="41">
        <v>24</v>
      </c>
      <c r="B45" s="48">
        <f>K14*SIN(C44+C45-C$3)+0.5*C$17*C$7*C$5*(C45-C$8)*G14^2*COS(C44)-0.5*C$17*C$7*(C$11+1/PI()/C$10*C$5^2*(C45-C$8)^2)*G14^2*SIN(C44)-C$15</f>
        <v>0</v>
      </c>
      <c r="C45" s="42">
        <v>-2.7836046905703499E-3</v>
      </c>
      <c r="D45" s="43">
        <f t="shared" si="7"/>
        <v>-0.15948880060250051</v>
      </c>
      <c r="F45" s="11">
        <f t="shared" si="16"/>
        <v>1.1779999999999999</v>
      </c>
      <c r="G45" s="28">
        <f t="shared" si="16"/>
        <v>170.58</v>
      </c>
      <c r="H45" s="12">
        <f t="shared" si="17"/>
        <v>62.617628249243445</v>
      </c>
      <c r="I45" s="12">
        <f t="shared" si="18"/>
        <v>0.79290120458238078</v>
      </c>
      <c r="J45" s="11">
        <f t="shared" si="19"/>
        <v>0.75993278171326795</v>
      </c>
      <c r="K45" s="21">
        <f t="shared" si="20"/>
        <v>150870.79373914842</v>
      </c>
      <c r="L45" s="21">
        <f t="shared" si="21"/>
        <v>139018.48362340336</v>
      </c>
      <c r="M45" s="21">
        <f t="shared" si="22"/>
        <v>-11852.310115745058</v>
      </c>
      <c r="N45" s="12">
        <f t="shared" si="23"/>
        <v>-0.40879260908177578</v>
      </c>
      <c r="O45" s="12">
        <f t="shared" si="24"/>
        <v>-0.37405213562510231</v>
      </c>
      <c r="P45" s="28">
        <f t="shared" si="25"/>
        <v>7.694</v>
      </c>
    </row>
    <row r="46" spans="1:16" x14ac:dyDescent="0.3">
      <c r="A46" s="32">
        <v>25</v>
      </c>
      <c r="B46" s="47">
        <f>-K15*COS(C46+C47-C$3)+0.5*C$17*C$7*C$5*(C47-C$8)*G15^2*SIN(C46)+0.5*C$17*C$7*(C$11+1/PI()/C$10*C$5^2*(C47-C$8)^2)*G15^2*COS(C46)</f>
        <v>1.78215263531456E-4</v>
      </c>
      <c r="C46" s="33">
        <v>-5.2464522147905437E-2</v>
      </c>
      <c r="D46" s="34">
        <f t="shared" si="7"/>
        <v>-3.0059956932456142</v>
      </c>
      <c r="F46" s="11">
        <f t="shared" si="16"/>
        <v>1.08</v>
      </c>
      <c r="G46" s="28">
        <f t="shared" si="16"/>
        <v>169.97</v>
      </c>
      <c r="H46" s="12">
        <f t="shared" si="17"/>
        <v>65.396933039043631</v>
      </c>
      <c r="I46" s="12">
        <f t="shared" si="18"/>
        <v>0.8280943950201034</v>
      </c>
      <c r="J46" s="11">
        <f t="shared" si="19"/>
        <v>0.77377773408304029</v>
      </c>
      <c r="K46" s="21">
        <f t="shared" si="20"/>
        <v>151141.27900143582</v>
      </c>
      <c r="L46" s="21">
        <f t="shared" si="21"/>
        <v>141551.21326818163</v>
      </c>
      <c r="M46" s="21">
        <f t="shared" si="22"/>
        <v>-9590.0657332541887</v>
      </c>
      <c r="N46" s="12">
        <f t="shared" si="23"/>
        <v>-0.33076657243002561</v>
      </c>
      <c r="O46" s="12">
        <f t="shared" si="24"/>
        <v>-0.28979355034498161</v>
      </c>
      <c r="P46" s="28">
        <f t="shared" si="25"/>
        <v>7.048</v>
      </c>
    </row>
    <row r="47" spans="1:16" x14ac:dyDescent="0.3">
      <c r="A47" s="35">
        <v>26</v>
      </c>
      <c r="B47" s="48">
        <f>K15*SIN(C46+C47-C$3)+0.5*C$17*C$7*C$5*(C47-C$8)*G15^2*COS(C46)-0.5*C$17*C$7*(C$11+1/PI()/C$10*C$5^2*(C47-C$8)^2)*G15^2*SIN(C46)-C$15</f>
        <v>-6.0414095059968531E-7</v>
      </c>
      <c r="C47" s="36">
        <v>-8.1386162248322947E-3</v>
      </c>
      <c r="D47" s="37">
        <f t="shared" si="7"/>
        <v>-0.46630836075958559</v>
      </c>
      <c r="F47" s="11">
        <f t="shared" si="16"/>
        <v>0.96899999999999997</v>
      </c>
      <c r="G47" s="28">
        <f t="shared" si="16"/>
        <v>164.23</v>
      </c>
      <c r="H47" s="12">
        <f t="shared" si="17"/>
        <v>69.041047294664324</v>
      </c>
      <c r="I47" s="12">
        <f t="shared" si="18"/>
        <v>0.8742383110977997</v>
      </c>
      <c r="J47" s="11">
        <f t="shared" si="19"/>
        <v>0.78997683284681797</v>
      </c>
      <c r="K47" s="21">
        <f t="shared" si="20"/>
        <v>153759.86314858173</v>
      </c>
      <c r="L47" s="21">
        <f t="shared" si="21"/>
        <v>144514.59924177924</v>
      </c>
      <c r="M47" s="21">
        <f t="shared" si="22"/>
        <v>-9245.2639068024873</v>
      </c>
      <c r="N47" s="12">
        <f t="shared" si="23"/>
        <v>-0.31887417028437925</v>
      </c>
      <c r="O47" s="12">
        <f t="shared" si="24"/>
        <v>-0.26462821502386463</v>
      </c>
      <c r="P47" s="28">
        <f t="shared" si="25"/>
        <v>6.0739999999999998</v>
      </c>
    </row>
    <row r="48" spans="1:16" x14ac:dyDescent="0.3">
      <c r="A48" s="38">
        <v>27</v>
      </c>
      <c r="B48" s="47">
        <f>-K16*COS(C48+C49-C$3)+0.5*C$17*C$7*C$5*(C49-C$8)*G16^2*SIN(C48)+0.5*C$17*C$7*(C$11+1/PI()/C$10*C$5^2*(C49-C$8)^2)*G16^2*COS(C48)</f>
        <v>-1.5449745342266397E-4</v>
      </c>
      <c r="C48" s="39">
        <v>-6.372697819027992E-2</v>
      </c>
      <c r="D48" s="40">
        <f t="shared" si="7"/>
        <v>-3.6512868914252841</v>
      </c>
      <c r="F48" s="11">
        <f t="shared" si="16"/>
        <v>0.86799999999999999</v>
      </c>
      <c r="G48" s="28">
        <f t="shared" si="16"/>
        <v>160.72999999999999</v>
      </c>
      <c r="H48" s="12">
        <f t="shared" si="17"/>
        <v>72.947329327226896</v>
      </c>
      <c r="I48" s="12">
        <f t="shared" si="18"/>
        <v>0.92370194962350183</v>
      </c>
      <c r="J48" s="11">
        <f t="shared" si="19"/>
        <v>0.80499389370705821</v>
      </c>
      <c r="K48" s="21">
        <f t="shared" si="20"/>
        <v>155424.95771162325</v>
      </c>
      <c r="L48" s="21">
        <f t="shared" si="21"/>
        <v>147261.74883119998</v>
      </c>
      <c r="M48" s="21">
        <f t="shared" si="22"/>
        <v>-8163.2088804232772</v>
      </c>
      <c r="N48" s="12">
        <f t="shared" si="23"/>
        <v>-0.28155350510738636</v>
      </c>
      <c r="O48" s="12">
        <f t="shared" si="24"/>
        <v>-0.22114404669573448</v>
      </c>
      <c r="P48" s="28">
        <f t="shared" si="25"/>
        <v>5.0990000000000002</v>
      </c>
    </row>
    <row r="49" spans="1:16" x14ac:dyDescent="0.3">
      <c r="A49" s="41">
        <v>28</v>
      </c>
      <c r="B49" s="48">
        <f>K16*SIN(C48+C49-C$3)+0.5*C$17*C$7*C$5*(C49-C$8)*G16^2*COS(C48)-0.5*C$17*C$7*(C$11+1/PI()/C$10*C$5^2*(C49-C$8)^2)*G16^2*SIN(C48)-C$15</f>
        <v>3.3105607144534588E-10</v>
      </c>
      <c r="C49" s="42">
        <v>-1.2671857785554694E-2</v>
      </c>
      <c r="D49" s="43">
        <f t="shared" si="7"/>
        <v>-0.72604396970227736</v>
      </c>
      <c r="F49" s="11">
        <f t="shared" si="16"/>
        <v>0.77100000000000002</v>
      </c>
      <c r="G49" s="28">
        <f t="shared" si="16"/>
        <v>153.61000000000001</v>
      </c>
      <c r="H49" s="12">
        <f t="shared" si="17"/>
        <v>77.400197727673941</v>
      </c>
      <c r="I49" s="12">
        <f t="shared" si="18"/>
        <v>0.98008678592722986</v>
      </c>
      <c r="J49" s="11">
        <f t="shared" si="19"/>
        <v>0.81931749418694366</v>
      </c>
      <c r="K49" s="21">
        <f t="shared" si="20"/>
        <v>158986.22066541528</v>
      </c>
      <c r="L49" s="21">
        <f t="shared" si="21"/>
        <v>149882.04008150223</v>
      </c>
      <c r="M49" s="21">
        <f t="shared" si="22"/>
        <v>-9104.1805839130539</v>
      </c>
      <c r="N49" s="12">
        <f t="shared" si="23"/>
        <v>-0.31400812990080185</v>
      </c>
      <c r="O49" s="12">
        <f t="shared" si="24"/>
        <v>-0.23244630449608084</v>
      </c>
      <c r="P49" s="28">
        <f t="shared" si="25"/>
        <v>3.86</v>
      </c>
    </row>
    <row r="50" spans="1:16" x14ac:dyDescent="0.3">
      <c r="A50" s="32">
        <v>29</v>
      </c>
      <c r="B50" s="47">
        <f>-K17*COS(C50+C51-C$3)+0.5*C$17*C$7*C$5*(C51-C$8)*G17^2*SIN(C50)+0.5*C$17*C$7*(C$11+1/PI()/C$10*C$5^2*(C51-C$8)^2)*G17^2*COS(C50)</f>
        <v>2.3508320737164468E-5</v>
      </c>
      <c r="C50" s="33">
        <v>-7.7091918667675105E-2</v>
      </c>
      <c r="D50" s="34">
        <f t="shared" si="7"/>
        <v>-4.417041574223588</v>
      </c>
      <c r="F50" s="11">
        <f t="shared" si="16"/>
        <v>0.56899999999999995</v>
      </c>
      <c r="G50" s="28">
        <f t="shared" si="16"/>
        <v>116.14</v>
      </c>
      <c r="H50" s="12">
        <f t="shared" si="17"/>
        <v>90.097579975128696</v>
      </c>
      <c r="I50" s="12">
        <f t="shared" si="18"/>
        <v>1.1408685012450956</v>
      </c>
      <c r="J50" s="11">
        <f t="shared" si="19"/>
        <v>0.84553350542024597</v>
      </c>
      <c r="K50" s="21">
        <f t="shared" si="20"/>
        <v>182842.99200511037</v>
      </c>
      <c r="L50" s="21">
        <f t="shared" si="21"/>
        <v>154677.87231299412</v>
      </c>
      <c r="M50" s="21">
        <f t="shared" si="22"/>
        <v>-28165.119692116248</v>
      </c>
      <c r="N50" s="12">
        <f t="shared" si="23"/>
        <v>-0.97143026562775103</v>
      </c>
      <c r="O50" s="12">
        <f t="shared" si="24"/>
        <v>-0.61777389341507749</v>
      </c>
      <c r="P50" s="28">
        <f t="shared" si="25"/>
        <v>2.0419999999999998</v>
      </c>
    </row>
    <row r="51" spans="1:16" x14ac:dyDescent="0.3">
      <c r="A51" s="35">
        <v>30</v>
      </c>
      <c r="B51" s="48">
        <f>K17*SIN(C50+C51-C$3)+0.5*C$17*C$7*C$5*(C51-C$8)*G17^2*COS(C50)-0.5*C$17*C$7*(C$11+1/PI()/C$10*C$5^2*(C51-C$8)^2)*G17^2*SIN(C50)-C$15</f>
        <v>1.673470251262188E-10</v>
      </c>
      <c r="C51" s="36">
        <v>-1.7050308614168046E-2</v>
      </c>
      <c r="D51" s="37">
        <f t="shared" si="7"/>
        <v>-0.97691072298738058</v>
      </c>
      <c r="F51" s="11">
        <f t="shared" si="16"/>
        <v>0.47099999999999997</v>
      </c>
      <c r="G51" s="28">
        <f t="shared" si="16"/>
        <v>88.53</v>
      </c>
      <c r="H51" s="12">
        <f t="shared" si="17"/>
        <v>99.028181870827225</v>
      </c>
      <c r="I51" s="12">
        <f t="shared" si="18"/>
        <v>1.2539530302943194</v>
      </c>
      <c r="J51" s="11">
        <f t="shared" si="19"/>
        <v>0.85288994835343157</v>
      </c>
      <c r="K51" s="21">
        <f t="shared" si="20"/>
        <v>209422.8174913176</v>
      </c>
      <c r="L51" s="21">
        <f t="shared" si="21"/>
        <v>156023.6249453887</v>
      </c>
      <c r="M51" s="21">
        <f t="shared" si="22"/>
        <v>-53399.192545928905</v>
      </c>
      <c r="N51" s="12">
        <f t="shared" si="23"/>
        <v>-1.841767134890578</v>
      </c>
      <c r="O51" s="12">
        <f t="shared" si="24"/>
        <v>-1.0656720762759571</v>
      </c>
      <c r="P51" s="28">
        <f t="shared" si="25"/>
        <v>1.198</v>
      </c>
    </row>
    <row r="52" spans="1:16" x14ac:dyDescent="0.3">
      <c r="F52" s="11">
        <f t="shared" si="16"/>
        <v>0.371</v>
      </c>
      <c r="G52" s="28">
        <f t="shared" si="16"/>
        <v>56.77</v>
      </c>
      <c r="H52" s="12">
        <f t="shared" si="17"/>
        <v>111.5789587708816</v>
      </c>
      <c r="I52" s="12">
        <f t="shared" si="18"/>
        <v>1.4128783425544187</v>
      </c>
      <c r="J52" s="11">
        <f t="shared" si="19"/>
        <v>0.85122042628802053</v>
      </c>
      <c r="K52" s="21">
        <f t="shared" si="20"/>
        <v>261522.93593320856</v>
      </c>
      <c r="L52" s="21">
        <f t="shared" si="21"/>
        <v>155718.21053046375</v>
      </c>
      <c r="M52" s="21">
        <f t="shared" si="22"/>
        <v>-105804.72540274481</v>
      </c>
      <c r="N52" s="12">
        <f t="shared" si="23"/>
        <v>-3.6492624077656424</v>
      </c>
      <c r="O52" s="12">
        <f t="shared" si="24"/>
        <v>-1.8742299617771754</v>
      </c>
      <c r="P52" s="28">
        <f t="shared" si="25"/>
        <v>0.42</v>
      </c>
    </row>
    <row r="53" spans="1:16" x14ac:dyDescent="0.3">
      <c r="B53" s="53"/>
      <c r="C53" s="53"/>
      <c r="D53" s="53"/>
      <c r="F53" s="11">
        <f t="shared" si="16"/>
        <v>0.27600000000000002</v>
      </c>
      <c r="G53" s="28">
        <f t="shared" si="16"/>
        <v>29.74</v>
      </c>
      <c r="H53" s="12">
        <f t="shared" si="17"/>
        <v>129.36438199775154</v>
      </c>
      <c r="I53" s="12">
        <f t="shared" si="18"/>
        <v>1.638087822614261</v>
      </c>
      <c r="J53" s="11">
        <f t="shared" si="19"/>
        <v>0.83278174765565183</v>
      </c>
      <c r="K53" s="21">
        <f t="shared" si="20"/>
        <v>361325.61299299792</v>
      </c>
      <c r="L53" s="21">
        <f t="shared" si="21"/>
        <v>152345.12648254028</v>
      </c>
      <c r="M53" s="21">
        <f t="shared" si="22"/>
        <v>-208980.48651045765</v>
      </c>
      <c r="N53" s="12">
        <f t="shared" si="23"/>
        <v>-7.2078504100479792</v>
      </c>
      <c r="O53" s="12">
        <f t="shared" si="24"/>
        <v>-3.1940274305450149</v>
      </c>
      <c r="P53" s="28">
        <f t="shared" si="25"/>
        <v>-0.29199999999999998</v>
      </c>
    </row>
    <row r="54" spans="1:16" x14ac:dyDescent="0.3">
      <c r="B54" s="53"/>
      <c r="C54" s="53"/>
      <c r="D54" s="53"/>
      <c r="F54" s="103">
        <f t="shared" si="16"/>
        <v>0.186</v>
      </c>
      <c r="G54" s="101">
        <f t="shared" si="16"/>
        <v>10.85</v>
      </c>
      <c r="H54" s="102">
        <f t="shared" si="17"/>
        <v>157.58424200370686</v>
      </c>
      <c r="I54" s="102">
        <f t="shared" si="18"/>
        <v>1.9954242727079052</v>
      </c>
      <c r="J54" s="103">
        <f t="shared" si="19"/>
        <v>0.79340486448978398</v>
      </c>
      <c r="K54" s="104">
        <f t="shared" si="20"/>
        <v>598210.9538449354</v>
      </c>
      <c r="L54" s="104">
        <f t="shared" si="21"/>
        <v>145141.70702326458</v>
      </c>
      <c r="M54" s="104">
        <f t="shared" si="22"/>
        <v>-453069.24682167079</v>
      </c>
      <c r="N54" s="102">
        <f t="shared" si="23"/>
        <v>-15.626604239531673</v>
      </c>
      <c r="O54" s="102">
        <f t="shared" si="24"/>
        <v>-5.6910028636226704</v>
      </c>
      <c r="P54" s="101">
        <f t="shared" si="25"/>
        <v>-1.071</v>
      </c>
    </row>
    <row r="55" spans="1:16" ht="15.6" thickBot="1" x14ac:dyDescent="0.35">
      <c r="B55" s="53"/>
      <c r="C55" s="53"/>
      <c r="D55" s="53"/>
      <c r="F55" s="105"/>
      <c r="G55" s="105"/>
      <c r="H55" s="50"/>
      <c r="I55" s="50"/>
      <c r="J55" s="49"/>
      <c r="K55" s="51"/>
      <c r="L55" s="51"/>
      <c r="M55" s="51"/>
      <c r="N55" s="50"/>
      <c r="O55" s="50"/>
      <c r="P55" s="105"/>
    </row>
    <row r="56" spans="1:16" ht="18.600000000000001" thickBot="1" x14ac:dyDescent="0.35">
      <c r="G56" s="132" t="s">
        <v>197</v>
      </c>
      <c r="H56" s="133"/>
      <c r="I56" s="133"/>
      <c r="J56" s="133"/>
      <c r="K56" s="133"/>
      <c r="L56" s="133"/>
      <c r="M56" s="133"/>
      <c r="N56" s="134"/>
    </row>
    <row r="57" spans="1:16" ht="18.600000000000001" thickBot="1" x14ac:dyDescent="0.35">
      <c r="B57" s="54" t="s">
        <v>154</v>
      </c>
      <c r="C57" s="54" t="s">
        <v>156</v>
      </c>
      <c r="D57" s="30" t="s">
        <v>157</v>
      </c>
      <c r="E57" s="30" t="s">
        <v>155</v>
      </c>
      <c r="G57" s="97" t="s">
        <v>67</v>
      </c>
      <c r="H57" s="97" t="s">
        <v>15</v>
      </c>
      <c r="I57" s="96" t="s">
        <v>74</v>
      </c>
      <c r="J57" s="96" t="s">
        <v>73</v>
      </c>
      <c r="K57" s="96" t="s">
        <v>68</v>
      </c>
      <c r="L57" s="96" t="s">
        <v>70</v>
      </c>
      <c r="M57" s="96" t="s">
        <v>87</v>
      </c>
      <c r="N57" s="96" t="s">
        <v>69</v>
      </c>
    </row>
    <row r="58" spans="1:16" x14ac:dyDescent="0.3">
      <c r="B58" s="100">
        <f>-K58*COS(C58+D58-C$3)+0.5*C$17*C$7*C$5*(D58-C$8)*G58^2*SIN(C58)+0.5*C$17*C$7*(C$11+1/PI()/C$10*C$5^2*(D58-C$8)^2)*G58^2*COS(C58)</f>
        <v>-4.0569111661170609E-5</v>
      </c>
      <c r="C58" s="56">
        <v>-1.3761949282514351E-2</v>
      </c>
      <c r="D58" s="55">
        <v>0.20947453626207002</v>
      </c>
      <c r="E58" s="110">
        <f>K58*SIN(C58+D58-C$3)+0.5*C$17*C$7*C$5*(D58-C$8)*G58^2*COS(C58)-0.5*C$17*C$7*(C$11+1/PI()/C$10*C$5^2*(D58-C$8)^2)*G58^2*SIN(C58)-C$20</f>
        <v>0</v>
      </c>
      <c r="G58" s="91">
        <f>SQRT(2*C$2/C$7/C$16/C$17)</f>
        <v>53.232327687547958</v>
      </c>
      <c r="H58" s="92">
        <f>G58/C$12/C$4</f>
        <v>0.67405901383195166</v>
      </c>
      <c r="I58" s="93">
        <f>0.2202*H58^3-1.1245*H58^2+1.7429*H58</f>
        <v>0.73133362756583031</v>
      </c>
      <c r="J58" s="94">
        <f>C$18*I58</f>
        <v>133786.69057780624</v>
      </c>
      <c r="K58" s="94">
        <f>J58/G58</f>
        <v>2513.2602008891949</v>
      </c>
      <c r="L58" s="92">
        <f>DEGREES(D58)</f>
        <v>12.002006843276732</v>
      </c>
      <c r="M58" s="92">
        <f>DEGREES(C58)</f>
        <v>-0.78850161176116373</v>
      </c>
      <c r="N58" s="92">
        <f>G58*SIN(RADIANS(M58))</f>
        <v>-0.73255746998636562</v>
      </c>
    </row>
    <row r="59" spans="1:16" x14ac:dyDescent="0.3">
      <c r="B59" s="100">
        <f t="shared" ref="B59:B72" si="26">-K59*COS(C59+D59-C$3)+0.5*C$17*C$7*C$5*(D59-C$8)*G59^2*SIN(C59)+0.5*C$17*C$7*(C$11+1/PI()/C$10*C$5^2*(D59-C$8)^2)*G59^2*COS(C59)</f>
        <v>-1.3343706905288855E-4</v>
      </c>
      <c r="C59" s="56">
        <v>-1.0750047968476938E-2</v>
      </c>
      <c r="D59" s="55">
        <v>0.19336272902147536</v>
      </c>
      <c r="E59" s="110">
        <f t="shared" ref="E59:E72" si="27">K59*SIN(C59+D59-C$3)+0.5*C$17*C$7*C$5*(D59-C$8)*G59^2*COS(C59)-0.5*C$17*C$7*(C$11+1/PI()/C$10*C$5^2*(D59-C$8)^2)*G59^2*SIN(C59)-C$20</f>
        <v>0</v>
      </c>
      <c r="G59" s="95">
        <f>G4</f>
        <v>55</v>
      </c>
      <c r="H59" s="12">
        <f t="shared" ref="H59:H72" si="28">G59/C$12/C$4</f>
        <v>0.69644231938084999</v>
      </c>
      <c r="I59" s="11">
        <f t="shared" ref="I59:I72" si="29">0.2202*H59^3-1.1245*H59^2+1.7429*H59</f>
        <v>0.74279378525462847</v>
      </c>
      <c r="J59" s="21">
        <f t="shared" ref="J59:J72" si="30">C$18*I59</f>
        <v>135883.15724212094</v>
      </c>
      <c r="K59" s="21">
        <f t="shared" ref="K59:K72" si="31">J59/G59</f>
        <v>2470.6028589476537</v>
      </c>
      <c r="L59" s="12">
        <f t="shared" ref="L59:L72" si="32">DEGREES(D59)</f>
        <v>11.078868288062337</v>
      </c>
      <c r="M59" s="12">
        <f t="shared" ref="M59:M71" si="33">DEGREES(C59)</f>
        <v>-0.61593237815691315</v>
      </c>
      <c r="N59" s="12">
        <f t="shared" ref="N59:N72" si="34">G59*SIN(RADIANS(M59))</f>
        <v>-0.59124125045823539</v>
      </c>
    </row>
    <row r="60" spans="1:16" x14ac:dyDescent="0.3">
      <c r="B60" s="100">
        <f t="shared" si="26"/>
        <v>-9.1688869815698126E-5</v>
      </c>
      <c r="C60" s="56">
        <v>-7.9396015167790233E-3</v>
      </c>
      <c r="D60" s="55">
        <v>0.17684581412281747</v>
      </c>
      <c r="E60" s="110">
        <f t="shared" si="27"/>
        <v>0</v>
      </c>
      <c r="G60" s="95">
        <f t="shared" ref="G60:G72" si="35">G5</f>
        <v>57</v>
      </c>
      <c r="H60" s="12">
        <f t="shared" si="28"/>
        <v>0.72176749463106271</v>
      </c>
      <c r="I60" s="11">
        <f t="shared" si="29"/>
        <v>0.75495816885893885</v>
      </c>
      <c r="J60" s="21">
        <f t="shared" si="30"/>
        <v>138108.45164128096</v>
      </c>
      <c r="K60" s="21">
        <f t="shared" si="31"/>
        <v>2422.9552919522976</v>
      </c>
      <c r="L60" s="12">
        <f t="shared" si="32"/>
        <v>10.132518773792489</v>
      </c>
      <c r="M60" s="12">
        <f t="shared" si="33"/>
        <v>-0.45490565792710491</v>
      </c>
      <c r="N60" s="12">
        <f t="shared" si="34"/>
        <v>-0.45255253180857813</v>
      </c>
    </row>
    <row r="61" spans="1:16" x14ac:dyDescent="0.3">
      <c r="B61" s="100">
        <f t="shared" si="26"/>
        <v>2.5659201264716103E-4</v>
      </c>
      <c r="C61" s="56">
        <v>-5.6865212134932794E-3</v>
      </c>
      <c r="D61" s="55">
        <v>0.16192513646819393</v>
      </c>
      <c r="E61" s="110">
        <f t="shared" si="27"/>
        <v>4.3655745685100555E-11</v>
      </c>
      <c r="G61" s="95">
        <f t="shared" si="35"/>
        <v>59</v>
      </c>
      <c r="H61" s="12">
        <f t="shared" si="28"/>
        <v>0.74709266988127543</v>
      </c>
      <c r="I61" s="11">
        <f t="shared" si="29"/>
        <v>0.76629172838389359</v>
      </c>
      <c r="J61" s="21">
        <f t="shared" si="30"/>
        <v>140181.75904047309</v>
      </c>
      <c r="K61" s="21">
        <f t="shared" si="31"/>
        <v>2375.9620176351373</v>
      </c>
      <c r="L61" s="12">
        <f t="shared" si="32"/>
        <v>9.2776269167074048</v>
      </c>
      <c r="M61" s="12">
        <f t="shared" si="33"/>
        <v>-0.32581366564477626</v>
      </c>
      <c r="N61" s="12">
        <f t="shared" si="34"/>
        <v>-0.33550294342281228</v>
      </c>
    </row>
    <row r="62" spans="1:16" x14ac:dyDescent="0.3">
      <c r="B62" s="100">
        <f t="shared" si="26"/>
        <v>1.1817265794888954E-4</v>
      </c>
      <c r="C62" s="56">
        <v>-1.0321665240445889E-3</v>
      </c>
      <c r="D62" s="55">
        <v>0.11467448205300204</v>
      </c>
      <c r="E62" s="110">
        <f t="shared" si="27"/>
        <v>4.7293724492192268E-11</v>
      </c>
      <c r="G62" s="95">
        <f t="shared" si="35"/>
        <v>67</v>
      </c>
      <c r="H62" s="12">
        <f t="shared" si="28"/>
        <v>0.84839337088212652</v>
      </c>
      <c r="I62" s="11">
        <f t="shared" si="29"/>
        <v>0.80374692195991659</v>
      </c>
      <c r="J62" s="21">
        <f t="shared" si="30"/>
        <v>147033.63375894577</v>
      </c>
      <c r="K62" s="21">
        <f t="shared" si="31"/>
        <v>2194.5318471484443</v>
      </c>
      <c r="L62" s="12">
        <f t="shared" si="32"/>
        <v>6.5703638394857204</v>
      </c>
      <c r="M62" s="12">
        <f t="shared" si="33"/>
        <v>-5.913878558244335E-2</v>
      </c>
      <c r="N62" s="12">
        <f t="shared" si="34"/>
        <v>-6.9155144831709287E-2</v>
      </c>
    </row>
    <row r="63" spans="1:16" x14ac:dyDescent="0.3">
      <c r="B63" s="100">
        <f t="shared" si="26"/>
        <v>-6.5370107222406659E-5</v>
      </c>
      <c r="C63" s="56">
        <v>-1.0946578282251369E-3</v>
      </c>
      <c r="D63" s="55">
        <v>8.5018090243985253E-2</v>
      </c>
      <c r="E63" s="110">
        <f t="shared" si="27"/>
        <v>0</v>
      </c>
      <c r="G63" s="95">
        <f t="shared" si="35"/>
        <v>74</v>
      </c>
      <c r="H63" s="12">
        <f t="shared" si="28"/>
        <v>0.93703148425787097</v>
      </c>
      <c r="I63" s="11">
        <f t="shared" si="29"/>
        <v>0.82697700721554901</v>
      </c>
      <c r="J63" s="21">
        <f t="shared" si="30"/>
        <v>151283.23491366857</v>
      </c>
      <c r="K63" s="21">
        <f t="shared" si="31"/>
        <v>2044.3680393738996</v>
      </c>
      <c r="L63" s="12">
        <f t="shared" si="32"/>
        <v>4.8711777532427147</v>
      </c>
      <c r="M63" s="12">
        <f t="shared" si="33"/>
        <v>-6.2719273568256989E-2</v>
      </c>
      <c r="N63" s="12">
        <f t="shared" si="34"/>
        <v>-8.1004663111003822E-2</v>
      </c>
    </row>
    <row r="64" spans="1:16" x14ac:dyDescent="0.3">
      <c r="B64" s="100">
        <f t="shared" si="26"/>
        <v>-4.6393818138312781E-6</v>
      </c>
      <c r="C64" s="56">
        <v>-3.7660223402061709E-3</v>
      </c>
      <c r="D64" s="55">
        <v>6.2592164020287694E-2</v>
      </c>
      <c r="E64" s="110">
        <f t="shared" si="27"/>
        <v>-1.5270052244886756E-7</v>
      </c>
      <c r="G64" s="95">
        <f t="shared" si="35"/>
        <v>81</v>
      </c>
      <c r="H64" s="12">
        <f t="shared" si="28"/>
        <v>1.0256695976336156</v>
      </c>
      <c r="I64" s="11">
        <f t="shared" si="29"/>
        <v>0.84226400057853157</v>
      </c>
      <c r="J64" s="21">
        <f t="shared" si="30"/>
        <v>154079.76466948679</v>
      </c>
      <c r="K64" s="21">
        <f t="shared" si="31"/>
        <v>1902.2193169072443</v>
      </c>
      <c r="L64" s="12">
        <f t="shared" si="32"/>
        <v>3.5862668289530881</v>
      </c>
      <c r="M64" s="12">
        <f t="shared" si="33"/>
        <v>-0.21577718564579507</v>
      </c>
      <c r="N64" s="12">
        <f t="shared" si="34"/>
        <v>-0.30504708847888107</v>
      </c>
    </row>
    <row r="65" spans="1:14" x14ac:dyDescent="0.3">
      <c r="B65" s="100">
        <f t="shared" si="26"/>
        <v>4.2681358536356129E-5</v>
      </c>
      <c r="C65" s="56">
        <v>-9.089485361616122E-3</v>
      </c>
      <c r="D65" s="55">
        <v>4.3076526592446304E-2</v>
      </c>
      <c r="E65" s="110">
        <f t="shared" si="27"/>
        <v>9.4587448984384537E-11</v>
      </c>
      <c r="G65" s="95">
        <f t="shared" si="35"/>
        <v>89</v>
      </c>
      <c r="H65" s="12">
        <f t="shared" si="28"/>
        <v>1.1269702986344665</v>
      </c>
      <c r="I65" s="11">
        <f t="shared" si="29"/>
        <v>0.85118890490748611</v>
      </c>
      <c r="J65" s="21">
        <f t="shared" si="30"/>
        <v>155712.4441592411</v>
      </c>
      <c r="K65" s="21">
        <f t="shared" si="31"/>
        <v>1749.5780242611361</v>
      </c>
      <c r="L65" s="12">
        <f t="shared" si="32"/>
        <v>2.4681031698302309</v>
      </c>
      <c r="M65" s="12">
        <f t="shared" si="33"/>
        <v>-0.52078914916654673</v>
      </c>
      <c r="N65" s="12">
        <f t="shared" si="34"/>
        <v>-0.80895305796217976</v>
      </c>
    </row>
    <row r="66" spans="1:14" x14ac:dyDescent="0.3">
      <c r="B66" s="100">
        <f t="shared" si="26"/>
        <v>-8.8203646100737387E-5</v>
      </c>
      <c r="C66" s="56">
        <v>-1.5215845176814159E-2</v>
      </c>
      <c r="D66" s="55">
        <v>2.9803408518681445E-2</v>
      </c>
      <c r="E66" s="110">
        <f t="shared" si="27"/>
        <v>0</v>
      </c>
      <c r="G66" s="95">
        <f t="shared" si="35"/>
        <v>96</v>
      </c>
      <c r="H66" s="12">
        <f t="shared" si="28"/>
        <v>1.2156084120102111</v>
      </c>
      <c r="I66" s="11">
        <f t="shared" si="29"/>
        <v>0.8525532476442943</v>
      </c>
      <c r="J66" s="21">
        <f t="shared" si="30"/>
        <v>155962.03052132181</v>
      </c>
      <c r="K66" s="21">
        <f t="shared" si="31"/>
        <v>1624.6044845971021</v>
      </c>
      <c r="L66" s="12">
        <f t="shared" si="32"/>
        <v>1.7076095232246915</v>
      </c>
      <c r="M66" s="12">
        <f t="shared" si="33"/>
        <v>-0.87180371035594117</v>
      </c>
      <c r="N66" s="12">
        <f t="shared" si="34"/>
        <v>-1.4606647727936533</v>
      </c>
    </row>
    <row r="67" spans="1:14" x14ac:dyDescent="0.3">
      <c r="B67" s="100">
        <f t="shared" si="26"/>
        <v>1.8429429064781289E-4</v>
      </c>
      <c r="C67" s="56">
        <v>-2.2391920426934907E-2</v>
      </c>
      <c r="D67" s="55">
        <v>1.9117236188076446E-2</v>
      </c>
      <c r="E67" s="110">
        <f t="shared" si="27"/>
        <v>6.1436419309757184E-3</v>
      </c>
      <c r="G67" s="95">
        <f t="shared" si="35"/>
        <v>103</v>
      </c>
      <c r="H67" s="12">
        <f t="shared" si="28"/>
        <v>1.3042465253859556</v>
      </c>
      <c r="I67" s="11">
        <f t="shared" si="29"/>
        <v>0.84886620835598925</v>
      </c>
      <c r="J67" s="21">
        <f t="shared" si="30"/>
        <v>155287.54111481865</v>
      </c>
      <c r="K67" s="21">
        <f t="shared" si="31"/>
        <v>1507.6460302409578</v>
      </c>
      <c r="L67" s="12">
        <f t="shared" si="32"/>
        <v>1.0953369495315464</v>
      </c>
      <c r="M67" s="12">
        <f t="shared" si="33"/>
        <v>-1.2829625356561467</v>
      </c>
      <c r="N67" s="12">
        <f t="shared" si="34"/>
        <v>-2.3061750740667879</v>
      </c>
    </row>
    <row r="68" spans="1:14" x14ac:dyDescent="0.3">
      <c r="B68" s="100">
        <f t="shared" si="26"/>
        <v>1.6100836091936799E-5</v>
      </c>
      <c r="C68" s="56">
        <v>-3.1613596491435983E-2</v>
      </c>
      <c r="D68" s="55">
        <v>9.2721839861192382E-3</v>
      </c>
      <c r="E68" s="110">
        <f t="shared" si="27"/>
        <v>0</v>
      </c>
      <c r="G68" s="95">
        <f t="shared" si="35"/>
        <v>111</v>
      </c>
      <c r="H68" s="12">
        <f t="shared" si="28"/>
        <v>1.4055472263868065</v>
      </c>
      <c r="I68" s="11">
        <f t="shared" si="29"/>
        <v>0.83964737316617111</v>
      </c>
      <c r="J68" s="21">
        <f t="shared" si="30"/>
        <v>153601.09131333325</v>
      </c>
      <c r="K68" s="21">
        <f t="shared" si="31"/>
        <v>1383.7936154354347</v>
      </c>
      <c r="L68" s="12">
        <f t="shared" si="32"/>
        <v>0.53125700927342068</v>
      </c>
      <c r="M68" s="12">
        <f t="shared" si="33"/>
        <v>-1.8113256541888689</v>
      </c>
      <c r="N68" s="12">
        <f t="shared" si="34"/>
        <v>-3.5085247277384286</v>
      </c>
    </row>
    <row r="69" spans="1:14" x14ac:dyDescent="0.3">
      <c r="B69" s="100">
        <f t="shared" si="26"/>
        <v>1.2548682980195736E-4</v>
      </c>
      <c r="C69" s="56">
        <v>-4.0412743246551419E-2</v>
      </c>
      <c r="D69" s="55">
        <v>2.2352705823264233E-3</v>
      </c>
      <c r="E69" s="110">
        <f t="shared" si="27"/>
        <v>1.3096723705530167E-10</v>
      </c>
      <c r="G69" s="95">
        <f t="shared" si="35"/>
        <v>118</v>
      </c>
      <c r="H69" s="12">
        <f t="shared" si="28"/>
        <v>1.4941853397625509</v>
      </c>
      <c r="I69" s="11">
        <f t="shared" si="29"/>
        <v>0.82823420439641393</v>
      </c>
      <c r="J69" s="21">
        <f t="shared" si="30"/>
        <v>151513.22057806567</v>
      </c>
      <c r="K69" s="21">
        <f t="shared" si="31"/>
        <v>1284.0103438819124</v>
      </c>
      <c r="L69" s="12">
        <f t="shared" si="32"/>
        <v>0.12807157043705389</v>
      </c>
      <c r="M69" s="12">
        <f t="shared" si="33"/>
        <v>-2.3154796265732167</v>
      </c>
      <c r="N69" s="12">
        <f t="shared" si="34"/>
        <v>-4.7674057760311968</v>
      </c>
    </row>
    <row r="70" spans="1:14" x14ac:dyDescent="0.3">
      <c r="B70" s="100">
        <f t="shared" si="26"/>
        <v>-4.2511735045991372E-5</v>
      </c>
      <c r="C70" s="56">
        <v>-4.9784630460495256E-2</v>
      </c>
      <c r="D70" s="55">
        <v>-3.6621725126300101E-3</v>
      </c>
      <c r="E70" s="110">
        <f t="shared" si="27"/>
        <v>-2.9103830456733704E-11</v>
      </c>
      <c r="G70" s="95">
        <f t="shared" si="35"/>
        <v>125</v>
      </c>
      <c r="H70" s="12">
        <f t="shared" si="28"/>
        <v>1.5828234531382954</v>
      </c>
      <c r="I70" s="11">
        <f t="shared" si="29"/>
        <v>0.8146613634690798</v>
      </c>
      <c r="J70" s="21">
        <f t="shared" si="30"/>
        <v>149030.26970453485</v>
      </c>
      <c r="K70" s="21">
        <f t="shared" si="31"/>
        <v>1192.2421576362788</v>
      </c>
      <c r="L70" s="12">
        <f t="shared" si="32"/>
        <v>-0.20982702882251975</v>
      </c>
      <c r="M70" s="12">
        <f t="shared" si="33"/>
        <v>-2.8524492100048184</v>
      </c>
      <c r="N70" s="12">
        <f t="shared" si="34"/>
        <v>-6.2205084661952315</v>
      </c>
    </row>
    <row r="71" spans="1:14" x14ac:dyDescent="0.3">
      <c r="B71" s="100">
        <f t="shared" si="26"/>
        <v>-6.3018690525495913E-5</v>
      </c>
      <c r="C71" s="56">
        <v>-5.9653580149130248E-2</v>
      </c>
      <c r="D71" s="55">
        <v>-8.6537881463639547E-3</v>
      </c>
      <c r="E71" s="110">
        <f t="shared" si="27"/>
        <v>0</v>
      </c>
      <c r="G71" s="95">
        <f t="shared" si="35"/>
        <v>132</v>
      </c>
      <c r="H71" s="12">
        <f t="shared" si="28"/>
        <v>1.6714615665140402</v>
      </c>
      <c r="I71" s="11">
        <f t="shared" si="29"/>
        <v>0.79984893988747796</v>
      </c>
      <c r="J71" s="21">
        <f t="shared" si="30"/>
        <v>146320.55548420688</v>
      </c>
      <c r="K71" s="21">
        <f t="shared" si="31"/>
        <v>1108.4890566985371</v>
      </c>
      <c r="L71" s="12">
        <f t="shared" si="32"/>
        <v>-0.49582553758699455</v>
      </c>
      <c r="M71" s="12">
        <f t="shared" si="33"/>
        <v>-3.4178983753905512</v>
      </c>
      <c r="N71" s="12">
        <f t="shared" si="34"/>
        <v>-7.8696032456100617</v>
      </c>
    </row>
    <row r="72" spans="1:14" x14ac:dyDescent="0.3">
      <c r="A72" s="54"/>
      <c r="B72" s="100">
        <f t="shared" si="26"/>
        <v>-3.8057854908402078E-5</v>
      </c>
      <c r="C72" s="56">
        <v>-7.1469080946145833E-2</v>
      </c>
      <c r="D72" s="55">
        <v>-1.3474107056065001E-2</v>
      </c>
      <c r="E72" s="110">
        <f t="shared" si="27"/>
        <v>1.8912093582912348E-4</v>
      </c>
      <c r="G72" s="95">
        <f t="shared" si="35"/>
        <v>140</v>
      </c>
      <c r="H72" s="12">
        <f t="shared" si="28"/>
        <v>1.7727622675148911</v>
      </c>
      <c r="I72" s="11">
        <f t="shared" si="29"/>
        <v>0.7825828892247193</v>
      </c>
      <c r="J72" s="21">
        <f t="shared" si="30"/>
        <v>143161.98641196592</v>
      </c>
      <c r="K72" s="21">
        <f t="shared" si="31"/>
        <v>1022.585617228328</v>
      </c>
      <c r="L72" s="12">
        <f t="shared" si="32"/>
        <v>-0.77200946701996709</v>
      </c>
      <c r="M72" s="12">
        <f>DEGREES(C72)</f>
        <v>-4.0948767038930045</v>
      </c>
      <c r="N72" s="12">
        <f t="shared" si="34"/>
        <v>-9.9971556303370743</v>
      </c>
    </row>
    <row r="73" spans="1:14" x14ac:dyDescent="0.3">
      <c r="B73" s="53"/>
      <c r="C73" s="53"/>
      <c r="D73" s="53"/>
    </row>
    <row r="74" spans="1:14" x14ac:dyDescent="0.3">
      <c r="B74" s="53"/>
      <c r="C74" s="53"/>
      <c r="D74" s="53"/>
    </row>
    <row r="75" spans="1:14" x14ac:dyDescent="0.3">
      <c r="B75" s="53"/>
      <c r="C75" s="53"/>
      <c r="D75" s="53"/>
    </row>
    <row r="76" spans="1:14" x14ac:dyDescent="0.3">
      <c r="B76" s="53"/>
      <c r="C76" s="53"/>
      <c r="D76" s="53"/>
    </row>
    <row r="77" spans="1:14" x14ac:dyDescent="0.3">
      <c r="B77" s="53"/>
      <c r="C77" s="53"/>
      <c r="D77" s="53"/>
    </row>
    <row r="78" spans="1:14" x14ac:dyDescent="0.3">
      <c r="B78" s="53"/>
      <c r="C78" s="53"/>
      <c r="D78" s="53"/>
    </row>
    <row r="79" spans="1:14" x14ac:dyDescent="0.3">
      <c r="B79" s="53"/>
      <c r="C79" s="53"/>
      <c r="D79" s="53"/>
    </row>
    <row r="80" spans="1:14" x14ac:dyDescent="0.3">
      <c r="B80" s="53"/>
      <c r="C80" s="53"/>
      <c r="D80" s="53"/>
    </row>
    <row r="81" spans="2:4" x14ac:dyDescent="0.3">
      <c r="B81" s="53"/>
      <c r="C81" s="53"/>
      <c r="D81" s="53"/>
    </row>
    <row r="82" spans="2:4" x14ac:dyDescent="0.3">
      <c r="B82" s="53"/>
      <c r="C82" s="53"/>
      <c r="D82" s="53"/>
    </row>
  </sheetData>
  <mergeCells count="4">
    <mergeCell ref="G1:N1"/>
    <mergeCell ref="F20:P20"/>
    <mergeCell ref="F38:P38"/>
    <mergeCell ref="G56:N5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9A8E0-F745-4B55-806A-BD14DC735743}">
  <dimension ref="A1:P82"/>
  <sheetViews>
    <sheetView workbookViewId="0"/>
  </sheetViews>
  <sheetFormatPr defaultRowHeight="15" x14ac:dyDescent="0.3"/>
  <cols>
    <col min="1" max="1" width="34.77734375" style="30" customWidth="1"/>
    <col min="2" max="2" width="12.77734375" style="30" customWidth="1"/>
    <col min="3" max="4" width="8.88671875" style="30"/>
    <col min="5" max="5" width="11" style="30" bestFit="1" customWidth="1"/>
    <col min="6" max="6" width="8.88671875" style="30"/>
    <col min="7" max="7" width="9.6640625" style="30" customWidth="1"/>
    <col min="8" max="8" width="9" style="30" bestFit="1" customWidth="1"/>
    <col min="9" max="10" width="8.6640625" style="30" customWidth="1"/>
    <col min="11" max="11" width="10.21875" style="30" customWidth="1"/>
    <col min="12" max="12" width="11.44140625" style="30" bestFit="1" customWidth="1"/>
    <col min="13" max="13" width="10.33203125" style="30" bestFit="1" customWidth="1"/>
    <col min="14" max="16384" width="8.88671875" style="30"/>
  </cols>
  <sheetData>
    <row r="1" spans="1:14" ht="18.600000000000001" thickBot="1" x14ac:dyDescent="0.35">
      <c r="A1" s="29" t="s">
        <v>9</v>
      </c>
      <c r="B1" s="29" t="s">
        <v>6</v>
      </c>
      <c r="C1" s="29">
        <v>8000</v>
      </c>
      <c r="D1" s="29" t="s">
        <v>3</v>
      </c>
      <c r="G1" s="132" t="s">
        <v>160</v>
      </c>
      <c r="H1" s="133"/>
      <c r="I1" s="133"/>
      <c r="J1" s="133"/>
      <c r="K1" s="133"/>
      <c r="L1" s="133"/>
      <c r="M1" s="133"/>
      <c r="N1" s="134"/>
    </row>
    <row r="2" spans="1:14" ht="19.2" thickBot="1" x14ac:dyDescent="0.35">
      <c r="A2" s="30" t="s">
        <v>139</v>
      </c>
      <c r="B2" s="30" t="s">
        <v>141</v>
      </c>
      <c r="C2" s="30">
        <f>Podsumowanie!B31</f>
        <v>28993.455000000002</v>
      </c>
      <c r="D2" s="30" t="s">
        <v>39</v>
      </c>
      <c r="G2" s="96" t="s">
        <v>67</v>
      </c>
      <c r="H2" s="96" t="s">
        <v>15</v>
      </c>
      <c r="I2" s="96" t="s">
        <v>74</v>
      </c>
      <c r="J2" s="96" t="s">
        <v>73</v>
      </c>
      <c r="K2" s="96" t="s">
        <v>68</v>
      </c>
      <c r="L2" s="96" t="s">
        <v>70</v>
      </c>
      <c r="M2" s="96" t="s">
        <v>87</v>
      </c>
      <c r="N2" s="96" t="s">
        <v>69</v>
      </c>
    </row>
    <row r="3" spans="1:14" ht="15.6" x14ac:dyDescent="0.3">
      <c r="A3" s="31" t="s">
        <v>10</v>
      </c>
      <c r="B3" s="31" t="s">
        <v>30</v>
      </c>
      <c r="C3" s="31">
        <f>Podsumowanie!B29</f>
        <v>1.7453292519943295E-2</v>
      </c>
      <c r="D3" s="31" t="s">
        <v>40</v>
      </c>
      <c r="F3" s="46"/>
      <c r="G3" s="91">
        <f>SQRT(2*C$15/C$7/C$16/C17)</f>
        <v>53.713441222143487</v>
      </c>
      <c r="H3" s="92">
        <f t="shared" ref="H3:H17" si="0">G3/C$12/C$4</f>
        <v>0.68015115612139221</v>
      </c>
      <c r="I3" s="93">
        <f>0.2646*H3^3-1.2784*H3^2+1.8632*H3</f>
        <v>0.75911684307583016</v>
      </c>
      <c r="J3" s="94">
        <f t="shared" ref="J3:J17" si="1">C$18*I3</f>
        <v>118659.1964150795</v>
      </c>
      <c r="K3" s="94">
        <f>J3/G3</f>
        <v>2209.1155158787701</v>
      </c>
      <c r="L3" s="92">
        <f t="shared" ref="L3:L17" ca="1" si="2">OFFSET(D23,A23-2,0,1,1)</f>
        <v>12.008998320377565</v>
      </c>
      <c r="M3" s="92">
        <f t="shared" ref="M3:M17" ca="1" si="3">OFFSET(D22,A23-2,0,1,1)</f>
        <v>-0.94354324880833074</v>
      </c>
      <c r="N3" s="92">
        <f ca="1">G3*SIN(RADIANS(M3))</f>
        <v>-0.88450954987868369</v>
      </c>
    </row>
    <row r="4" spans="1:14" ht="15.6" x14ac:dyDescent="0.3">
      <c r="A4" s="31" t="s">
        <v>11</v>
      </c>
      <c r="B4" s="31" t="s">
        <v>18</v>
      </c>
      <c r="C4" s="31">
        <f>Podsumowanie!B12</f>
        <v>1.84</v>
      </c>
      <c r="D4" s="31" t="s">
        <v>3</v>
      </c>
      <c r="F4" s="46"/>
      <c r="G4" s="95">
        <v>57</v>
      </c>
      <c r="H4" s="12">
        <f t="shared" si="0"/>
        <v>0.72176749463106271</v>
      </c>
      <c r="I4" s="11">
        <f t="shared" ref="I4:I17" si="4">0.2646*H4^3-1.2784*H4^2+1.8632*H4</f>
        <v>0.77830741069606724</v>
      </c>
      <c r="J4" s="21">
        <f t="shared" si="1"/>
        <v>121658.91556679789</v>
      </c>
      <c r="K4" s="21">
        <f t="shared" ref="K4:K17" si="5">J4/G4</f>
        <v>2134.3669397683839</v>
      </c>
      <c r="L4" s="12">
        <f t="shared" ca="1" si="2"/>
        <v>10.37062164516303</v>
      </c>
      <c r="M4" s="12">
        <f t="shared" ca="1" si="3"/>
        <v>-0.65596190203781191</v>
      </c>
      <c r="N4" s="12">
        <f t="shared" ref="N4:N17" ca="1" si="6">G4*SIN(RADIANS(M4))</f>
        <v>-0.6525613569122658</v>
      </c>
    </row>
    <row r="5" spans="1:14" ht="18" x14ac:dyDescent="0.3">
      <c r="A5" s="31" t="s">
        <v>24</v>
      </c>
      <c r="B5" s="31" t="s">
        <v>75</v>
      </c>
      <c r="C5" s="31">
        <f>Podsumowanie!B16</f>
        <v>6.1340000000000003</v>
      </c>
      <c r="D5" s="31" t="s">
        <v>34</v>
      </c>
      <c r="F5" s="46"/>
      <c r="G5" s="95">
        <v>58</v>
      </c>
      <c r="H5" s="12">
        <f t="shared" si="0"/>
        <v>0.73443008225616913</v>
      </c>
      <c r="I5" s="11">
        <f t="shared" si="4"/>
        <v>0.78365638031871843</v>
      </c>
      <c r="J5" s="21">
        <f t="shared" si="1"/>
        <v>122495.02458329755</v>
      </c>
      <c r="K5" s="21">
        <f t="shared" si="5"/>
        <v>2111.9831824706475</v>
      </c>
      <c r="L5" s="12">
        <f t="shared" ca="1" si="2"/>
        <v>9.9246072430928844</v>
      </c>
      <c r="M5" s="12">
        <f t="shared" ca="1" si="3"/>
        <v>-0.58665858377538649</v>
      </c>
      <c r="N5" s="12">
        <f t="shared" ca="1" si="6"/>
        <v>-0.59385880778817413</v>
      </c>
    </row>
    <row r="6" spans="1:14" ht="18" x14ac:dyDescent="0.3">
      <c r="A6" s="31" t="s">
        <v>23</v>
      </c>
      <c r="B6" s="31" t="s">
        <v>76</v>
      </c>
      <c r="C6" s="31">
        <f>Podsumowanie!B9</f>
        <v>446000</v>
      </c>
      <c r="D6" s="31" t="s">
        <v>35</v>
      </c>
      <c r="F6" s="46"/>
      <c r="G6" s="95">
        <v>59</v>
      </c>
      <c r="H6" s="12">
        <f t="shared" si="0"/>
        <v>0.74709266988127543</v>
      </c>
      <c r="I6" s="11">
        <f t="shared" si="4"/>
        <v>0.78878234448957474</v>
      </c>
      <c r="J6" s="21">
        <f t="shared" si="1"/>
        <v>123296.27513505951</v>
      </c>
      <c r="K6" s="21">
        <f t="shared" si="5"/>
        <v>2089.7673751705001</v>
      </c>
      <c r="L6" s="12">
        <f t="shared" ca="1" si="2"/>
        <v>9.5003325501889631</v>
      </c>
      <c r="M6" s="12">
        <f t="shared" ca="1" si="3"/>
        <v>-0.52489535189386682</v>
      </c>
      <c r="N6" s="12">
        <f t="shared" ca="1" si="6"/>
        <v>-0.54050041454131947</v>
      </c>
    </row>
    <row r="7" spans="1:14" ht="18" x14ac:dyDescent="0.3">
      <c r="A7" s="31" t="s">
        <v>22</v>
      </c>
      <c r="B7" s="31" t="s">
        <v>5</v>
      </c>
      <c r="C7" s="31">
        <f>Podsumowanie!B3</f>
        <v>21.3</v>
      </c>
      <c r="D7" s="31" t="s">
        <v>77</v>
      </c>
      <c r="F7" s="46"/>
      <c r="G7" s="95">
        <v>67</v>
      </c>
      <c r="H7" s="12">
        <f t="shared" si="0"/>
        <v>0.84839337088212652</v>
      </c>
      <c r="I7" s="11">
        <f t="shared" si="4"/>
        <v>0.82214866449705692</v>
      </c>
      <c r="J7" s="21">
        <f t="shared" si="1"/>
        <v>128511.83681773017</v>
      </c>
      <c r="K7" s="21">
        <f t="shared" si="5"/>
        <v>1918.08711668254</v>
      </c>
      <c r="L7" s="12">
        <f t="shared" ca="1" si="2"/>
        <v>6.7439626599307942</v>
      </c>
      <c r="M7" s="12">
        <f t="shared" ca="1" si="3"/>
        <v>-0.25238869428547489</v>
      </c>
      <c r="N7" s="12">
        <f t="shared" ca="1" si="6"/>
        <v>-0.29513496410028683</v>
      </c>
    </row>
    <row r="8" spans="1:14" ht="18" x14ac:dyDescent="0.3">
      <c r="A8" s="31" t="s">
        <v>41</v>
      </c>
      <c r="B8" s="31" t="s">
        <v>78</v>
      </c>
      <c r="C8" s="31">
        <f>Podsumowanie!B30</f>
        <v>-5.1836278784231589E-2</v>
      </c>
      <c r="D8" s="31" t="s">
        <v>40</v>
      </c>
      <c r="G8" s="95">
        <v>74</v>
      </c>
      <c r="H8" s="12">
        <f t="shared" si="0"/>
        <v>0.93703148425787097</v>
      </c>
      <c r="I8" s="11">
        <f t="shared" si="4"/>
        <v>0.84110303596675995</v>
      </c>
      <c r="J8" s="21">
        <f t="shared" si="1"/>
        <v>131474.63563804721</v>
      </c>
      <c r="K8" s="21">
        <f t="shared" si="5"/>
        <v>1776.6842653790163</v>
      </c>
      <c r="L8" s="12">
        <f t="shared" ca="1" si="2"/>
        <v>5.0137324697299448</v>
      </c>
      <c r="M8" s="12">
        <f t="shared" ca="1" si="3"/>
        <v>-0.2520940863950068</v>
      </c>
      <c r="N8" s="12">
        <f t="shared" ca="1" si="6"/>
        <v>-0.32558946508774994</v>
      </c>
    </row>
    <row r="9" spans="1:14" ht="15.6" x14ac:dyDescent="0.3">
      <c r="A9" s="31" t="s">
        <v>12</v>
      </c>
      <c r="B9" s="31" t="s">
        <v>3</v>
      </c>
      <c r="C9" s="31">
        <f>Podsumowanie!B7</f>
        <v>2405.5</v>
      </c>
      <c r="D9" s="31" t="s">
        <v>0</v>
      </c>
      <c r="G9" s="95">
        <v>81</v>
      </c>
      <c r="H9" s="12">
        <f t="shared" si="0"/>
        <v>1.0256695976336156</v>
      </c>
      <c r="I9" s="11">
        <f t="shared" si="4"/>
        <v>0.85165725261277814</v>
      </c>
      <c r="J9" s="21">
        <f t="shared" si="1"/>
        <v>133124.38808054713</v>
      </c>
      <c r="K9" s="21">
        <f t="shared" si="5"/>
        <v>1643.510963957372</v>
      </c>
      <c r="L9" s="12">
        <f t="shared" ca="1" si="2"/>
        <v>3.7052673434052714</v>
      </c>
      <c r="M9" s="12">
        <f t="shared" ca="1" si="3"/>
        <v>-0.40120700611470755</v>
      </c>
      <c r="N9" s="12">
        <f t="shared" ca="1" si="6"/>
        <v>-0.56718840712064045</v>
      </c>
    </row>
    <row r="10" spans="1:14" ht="18" x14ac:dyDescent="0.3">
      <c r="A10" s="31" t="s">
        <v>21</v>
      </c>
      <c r="B10" s="31" t="s">
        <v>79</v>
      </c>
      <c r="C10" s="31">
        <f>Podsumowanie!B13</f>
        <v>5.8840000000000003</v>
      </c>
      <c r="D10" s="31" t="s">
        <v>7</v>
      </c>
      <c r="G10" s="95">
        <v>89</v>
      </c>
      <c r="H10" s="12">
        <f t="shared" si="0"/>
        <v>1.1269702986344665</v>
      </c>
      <c r="I10" s="11">
        <f t="shared" si="4"/>
        <v>0.85485158794743255</v>
      </c>
      <c r="J10" s="21">
        <f t="shared" si="1"/>
        <v>133623.70154901739</v>
      </c>
      <c r="K10" s="21">
        <f t="shared" si="5"/>
        <v>1501.3899050451394</v>
      </c>
      <c r="L10" s="12">
        <f t="shared" ca="1" si="2"/>
        <v>2.5665782693015493</v>
      </c>
      <c r="M10" s="12">
        <f t="shared" ca="1" si="3"/>
        <v>-0.70069585503966403</v>
      </c>
      <c r="N10" s="12">
        <f t="shared" ca="1" si="6"/>
        <v>-1.0883938951674577</v>
      </c>
    </row>
    <row r="11" spans="1:14" ht="18" x14ac:dyDescent="0.3">
      <c r="A11" s="31" t="s">
        <v>25</v>
      </c>
      <c r="B11" s="31" t="s">
        <v>80</v>
      </c>
      <c r="C11" s="31">
        <f>Podsumowanie!B14</f>
        <v>2.214E-2</v>
      </c>
      <c r="D11" s="31" t="s">
        <v>7</v>
      </c>
      <c r="G11" s="95">
        <v>96</v>
      </c>
      <c r="H11" s="12">
        <f t="shared" si="0"/>
        <v>1.2156084120102111</v>
      </c>
      <c r="I11" s="11">
        <f t="shared" si="4"/>
        <v>0.85112845079138455</v>
      </c>
      <c r="J11" s="21">
        <f t="shared" si="1"/>
        <v>133041.72992355624</v>
      </c>
      <c r="K11" s="21">
        <f t="shared" si="5"/>
        <v>1385.8513533703774</v>
      </c>
      <c r="L11" s="12">
        <f t="shared" ca="1" si="2"/>
        <v>1.7921278889898438</v>
      </c>
      <c r="M11" s="12">
        <f t="shared" ca="1" si="3"/>
        <v>-1.0454664752532259</v>
      </c>
      <c r="N11" s="12">
        <f t="shared" ca="1" si="6"/>
        <v>-1.7515986903921066</v>
      </c>
    </row>
    <row r="12" spans="1:14" ht="18" x14ac:dyDescent="0.3">
      <c r="A12" s="31" t="s">
        <v>19</v>
      </c>
      <c r="B12" s="31" t="s">
        <v>81</v>
      </c>
      <c r="C12" s="31">
        <f>Podsumowanie!B11</f>
        <v>42.92</v>
      </c>
      <c r="D12" s="31" t="s">
        <v>37</v>
      </c>
      <c r="G12" s="95">
        <v>103</v>
      </c>
      <c r="H12" s="12">
        <f t="shared" si="0"/>
        <v>1.3042465253859556</v>
      </c>
      <c r="I12" s="11">
        <f t="shared" si="4"/>
        <v>0.84247993824375977</v>
      </c>
      <c r="J12" s="21">
        <f t="shared" si="1"/>
        <v>131689.86221248191</v>
      </c>
      <c r="K12" s="21">
        <f t="shared" si="5"/>
        <v>1278.5423515774942</v>
      </c>
      <c r="L12" s="12">
        <f t="shared" ca="1" si="2"/>
        <v>1.1686333272767346</v>
      </c>
      <c r="M12" s="12">
        <f t="shared" ca="1" si="3"/>
        <v>-1.4487320862286495</v>
      </c>
      <c r="N12" s="12">
        <f t="shared" ca="1" si="6"/>
        <v>-2.6040924195714834</v>
      </c>
    </row>
    <row r="13" spans="1:14" ht="15.6" x14ac:dyDescent="0.3">
      <c r="A13" s="31" t="s">
        <v>20</v>
      </c>
      <c r="B13" s="31" t="s">
        <v>14</v>
      </c>
      <c r="C13" s="31">
        <f>Podsumowanie!B17</f>
        <v>0.12</v>
      </c>
      <c r="D13" s="31" t="s">
        <v>7</v>
      </c>
      <c r="G13" s="95">
        <v>111</v>
      </c>
      <c r="H13" s="12">
        <f t="shared" si="0"/>
        <v>1.4055472263868065</v>
      </c>
      <c r="I13" s="11">
        <f t="shared" si="4"/>
        <v>0.82798312931479279</v>
      </c>
      <c r="J13" s="21">
        <f t="shared" si="1"/>
        <v>129423.83463874998</v>
      </c>
      <c r="K13" s="21">
        <f t="shared" si="5"/>
        <v>1165.9804922409908</v>
      </c>
      <c r="L13" s="12">
        <f t="shared" ca="1" si="2"/>
        <v>0.59424240663341188</v>
      </c>
      <c r="M13" s="12">
        <f t="shared" ca="1" si="3"/>
        <v>-1.9657817731731073</v>
      </c>
      <c r="N13" s="12">
        <f t="shared" ca="1" si="6"/>
        <v>-3.8075923298818024</v>
      </c>
    </row>
    <row r="14" spans="1:14" ht="18" x14ac:dyDescent="0.3">
      <c r="A14" s="31" t="s">
        <v>33</v>
      </c>
      <c r="B14" s="31" t="s">
        <v>32</v>
      </c>
      <c r="C14" s="31">
        <f>Podsumowanie!B2</f>
        <v>1.2255</v>
      </c>
      <c r="D14" s="31" t="s">
        <v>82</v>
      </c>
      <c r="G14" s="95">
        <v>118</v>
      </c>
      <c r="H14" s="12">
        <f t="shared" si="0"/>
        <v>1.4941853397625509</v>
      </c>
      <c r="I14" s="11">
        <f t="shared" si="4"/>
        <v>0.81250321889104793</v>
      </c>
      <c r="J14" s="21">
        <f t="shared" si="1"/>
        <v>127004.13634300884</v>
      </c>
      <c r="K14" s="21">
        <f t="shared" si="5"/>
        <v>1076.3062401949901</v>
      </c>
      <c r="L14" s="12">
        <f t="shared" ca="1" si="2"/>
        <v>0.18371243217978145</v>
      </c>
      <c r="M14" s="12">
        <f t="shared" ca="1" si="3"/>
        <v>-2.4578539757836633</v>
      </c>
      <c r="N14" s="12">
        <f t="shared" ca="1" si="6"/>
        <v>-5.0603696851460587</v>
      </c>
    </row>
    <row r="15" spans="1:14" ht="15.6" x14ac:dyDescent="0.3">
      <c r="A15" s="31" t="s">
        <v>26</v>
      </c>
      <c r="B15" s="31" t="s">
        <v>13</v>
      </c>
      <c r="C15" s="31">
        <f>Podsumowanie!B8</f>
        <v>26295.705000000002</v>
      </c>
      <c r="D15" s="31" t="s">
        <v>39</v>
      </c>
      <c r="G15" s="95">
        <v>125</v>
      </c>
      <c r="H15" s="12">
        <f t="shared" si="0"/>
        <v>1.5828234531382954</v>
      </c>
      <c r="I15" s="11">
        <f t="shared" si="4"/>
        <v>0.7955727125078349</v>
      </c>
      <c r="J15" s="21">
        <f t="shared" si="1"/>
        <v>124357.69225385859</v>
      </c>
      <c r="K15" s="21">
        <f t="shared" si="5"/>
        <v>994.8615380308687</v>
      </c>
      <c r="L15" s="12">
        <f t="shared" ca="1" si="2"/>
        <v>-0.16031563341861066</v>
      </c>
      <c r="M15" s="12">
        <f t="shared" ca="1" si="3"/>
        <v>-2.9805851557052141</v>
      </c>
      <c r="N15" s="12">
        <f t="shared" ca="1" si="6"/>
        <v>-6.4996955842840043</v>
      </c>
    </row>
    <row r="16" spans="1:14" x14ac:dyDescent="0.3">
      <c r="A16" s="30" t="s">
        <v>102</v>
      </c>
      <c r="B16" s="30" t="s">
        <v>89</v>
      </c>
      <c r="C16" s="30">
        <f>Podsumowanie!B15</f>
        <v>1.63</v>
      </c>
      <c r="D16" s="30" t="s">
        <v>7</v>
      </c>
      <c r="G16" s="95">
        <v>132</v>
      </c>
      <c r="H16" s="12">
        <f t="shared" si="0"/>
        <v>1.6714615665140402</v>
      </c>
      <c r="I16" s="11">
        <f t="shared" si="4"/>
        <v>0.77829722180264316</v>
      </c>
      <c r="J16" s="21">
        <f t="shared" si="1"/>
        <v>121657.32291881874</v>
      </c>
      <c r="K16" s="21">
        <f t="shared" si="5"/>
        <v>921.64638574862681</v>
      </c>
      <c r="L16" s="12">
        <f t="shared" ca="1" si="2"/>
        <v>-0.45147580667964932</v>
      </c>
      <c r="M16" s="12">
        <f t="shared" ca="1" si="3"/>
        <v>-3.5295524079341196</v>
      </c>
      <c r="N16" s="12">
        <f t="shared" ca="1" si="6"/>
        <v>-8.1263630138361904</v>
      </c>
    </row>
    <row r="17" spans="1:16" ht="18.600000000000001" x14ac:dyDescent="0.3">
      <c r="A17" s="30" t="s">
        <v>29</v>
      </c>
      <c r="B17" s="30" t="s">
        <v>83</v>
      </c>
      <c r="C17" s="30">
        <f>C14*(1-C1/44300)^4.256</f>
        <v>0.52502701808540919</v>
      </c>
      <c r="D17" s="30" t="s">
        <v>84</v>
      </c>
      <c r="G17" s="95">
        <v>140</v>
      </c>
      <c r="H17" s="12">
        <f t="shared" si="0"/>
        <v>1.7727622675148911</v>
      </c>
      <c r="I17" s="11">
        <f t="shared" si="4"/>
        <v>0.75954965139106445</v>
      </c>
      <c r="J17" s="21">
        <f t="shared" si="1"/>
        <v>118726.84961939963</v>
      </c>
      <c r="K17" s="21">
        <f t="shared" si="5"/>
        <v>848.0489258528545</v>
      </c>
      <c r="L17" s="12">
        <f t="shared" ca="1" si="2"/>
        <v>-0.73261207245888338</v>
      </c>
      <c r="M17" s="12">
        <f t="shared" ca="1" si="3"/>
        <v>-4.1848553370811068</v>
      </c>
      <c r="N17" s="12">
        <f t="shared" ca="1" si="6"/>
        <v>-10.216441226450161</v>
      </c>
    </row>
    <row r="18" spans="1:16" ht="18.600000000000001" x14ac:dyDescent="0.3">
      <c r="A18" s="30" t="s">
        <v>27</v>
      </c>
      <c r="B18" s="30" t="s">
        <v>85</v>
      </c>
      <c r="C18" s="30">
        <f>C6*((C17/C14)-C13)/(1-C13)</f>
        <v>156312.1639276107</v>
      </c>
      <c r="D18" s="30" t="s">
        <v>35</v>
      </c>
    </row>
    <row r="19" spans="1:16" ht="19.2" thickBot="1" x14ac:dyDescent="0.35">
      <c r="A19" s="30" t="s">
        <v>28</v>
      </c>
      <c r="B19" s="30" t="s">
        <v>86</v>
      </c>
      <c r="C19" s="30">
        <f>C18/C17/C12^3/C4^5</f>
        <v>0.17854301630669708</v>
      </c>
      <c r="D19" s="30" t="s">
        <v>7</v>
      </c>
    </row>
    <row r="20" spans="1:16" ht="18.600000000000001" thickBot="1" x14ac:dyDescent="0.35">
      <c r="A20" s="30" t="s">
        <v>153</v>
      </c>
      <c r="B20" s="30" t="s">
        <v>140</v>
      </c>
      <c r="C20" s="30">
        <f>Podsumowanie!B31</f>
        <v>28993.455000000002</v>
      </c>
      <c r="D20" s="30" t="s">
        <v>39</v>
      </c>
      <c r="F20" s="132" t="s">
        <v>168</v>
      </c>
      <c r="G20" s="133"/>
      <c r="H20" s="133"/>
      <c r="I20" s="133"/>
      <c r="J20" s="133"/>
      <c r="K20" s="133"/>
      <c r="L20" s="133"/>
      <c r="M20" s="133"/>
      <c r="N20" s="133"/>
      <c r="O20" s="133"/>
      <c r="P20" s="134"/>
    </row>
    <row r="21" spans="1:16" ht="18.600000000000001" thickBot="1" x14ac:dyDescent="0.35">
      <c r="B21" s="30" t="s">
        <v>16</v>
      </c>
      <c r="C21" s="30" t="s">
        <v>66</v>
      </c>
      <c r="D21" s="30" t="s">
        <v>17</v>
      </c>
      <c r="F21" s="97" t="s">
        <v>1</v>
      </c>
      <c r="G21" s="97" t="s">
        <v>2</v>
      </c>
      <c r="H21" s="97" t="s">
        <v>67</v>
      </c>
      <c r="I21" s="97" t="s">
        <v>15</v>
      </c>
      <c r="J21" s="97" t="s">
        <v>74</v>
      </c>
      <c r="K21" s="97" t="s">
        <v>72</v>
      </c>
      <c r="L21" s="97" t="s">
        <v>73</v>
      </c>
      <c r="M21" s="97" t="s">
        <v>71</v>
      </c>
      <c r="N21" s="97" t="s">
        <v>69</v>
      </c>
      <c r="O21" s="97" t="s">
        <v>87</v>
      </c>
      <c r="P21" s="97" t="s">
        <v>70</v>
      </c>
    </row>
    <row r="22" spans="1:16" x14ac:dyDescent="0.3">
      <c r="A22" s="32">
        <v>1</v>
      </c>
      <c r="B22" s="47">
        <f>-K3*COS(C22+C23-C$3)+0.5*C$17*C$7*C$5*(C23-C$8)*G3^2*SIN(C22)+0.5*C$17*C$7*(C$11+1/PI()/C$10*C$5^2*(C23-C$8)^2)*G3^2*COS(C22)</f>
        <v>6.5750412431953009E-5</v>
      </c>
      <c r="C22" s="33">
        <v>-1.6467936326669434E-2</v>
      </c>
      <c r="D22" s="34">
        <f t="shared" ref="D22:D51" si="7">DEGREES(C22)</f>
        <v>-0.94354324880833074</v>
      </c>
      <c r="F22" s="11">
        <v>1.63</v>
      </c>
      <c r="G22" s="12">
        <v>156.18</v>
      </c>
      <c r="H22" s="12">
        <f t="shared" ref="H22:H36" si="8">SQRT((2*C$15)/(C$7*C$17*F22))</f>
        <v>53.713441222143487</v>
      </c>
      <c r="I22" s="92">
        <f t="shared" ref="I22:I36" si="9">H22/C$12/C$4</f>
        <v>0.68015115612139221</v>
      </c>
      <c r="J22" s="93">
        <f>0.2646*I22^3-1.2784*I22^2+1.8632*I22</f>
        <v>0.75911684307583016</v>
      </c>
      <c r="K22" s="21">
        <f t="shared" ref="K22:K36" si="10">C$15*SQRT((2*C$15)/(C$17*C$7*G22))</f>
        <v>144294.20469039556</v>
      </c>
      <c r="L22" s="20">
        <f t="shared" ref="L22:L36" si="11">C$18*J22</f>
        <v>118659.1964150795</v>
      </c>
      <c r="M22" s="21">
        <f t="shared" ref="M22:M36" si="12">(L22-K22)</f>
        <v>-25635.008275316068</v>
      </c>
      <c r="N22" s="12">
        <f t="shared" ref="N22:N36" si="13">M22/C$15</f>
        <v>-0.97487434831338682</v>
      </c>
      <c r="O22" s="12">
        <f t="shared" ref="O22:O36" si="14">DEGREES(ASIN(N22/H22))</f>
        <v>-1.039949246535669</v>
      </c>
      <c r="P22" s="12">
        <v>15.276999999999999</v>
      </c>
    </row>
    <row r="23" spans="1:16" x14ac:dyDescent="0.3">
      <c r="A23" s="35">
        <v>2</v>
      </c>
      <c r="B23" s="48">
        <f>K3*SIN(C22+C23-C$3)+0.5*C$17*C$7*C$5*(C23-C$8)*G3^2*COS(C22)-0.5*C$17*C$7*(C$11+1/PI()/C$10*C$5^2*(C23-C$8)^2)*G3^2*SIN(C22)-C$15</f>
        <v>-6.6320353653281927E-9</v>
      </c>
      <c r="C23" s="36">
        <v>0.20959656055705733</v>
      </c>
      <c r="D23" s="37">
        <f t="shared" si="7"/>
        <v>12.008998320377565</v>
      </c>
      <c r="F23" s="11">
        <v>1.571</v>
      </c>
      <c r="G23" s="12">
        <v>158.85</v>
      </c>
      <c r="H23" s="12">
        <f t="shared" si="8"/>
        <v>54.712767957225346</v>
      </c>
      <c r="I23" s="12">
        <f t="shared" si="9"/>
        <v>0.69280521847047771</v>
      </c>
      <c r="J23" s="11">
        <f t="shared" ref="J23:J36" si="15">0.2646*I23^3-1.2784*I23^2+1.8632*I23</f>
        <v>0.76521740753407264</v>
      </c>
      <c r="K23" s="21">
        <f t="shared" si="10"/>
        <v>143076.39483094474</v>
      </c>
      <c r="L23" s="20">
        <f t="shared" si="11"/>
        <v>119612.78884672724</v>
      </c>
      <c r="M23" s="21">
        <f t="shared" si="12"/>
        <v>-23463.605984217502</v>
      </c>
      <c r="N23" s="12">
        <f t="shared" si="13"/>
        <v>-0.89229803818598896</v>
      </c>
      <c r="O23" s="12">
        <f t="shared" si="14"/>
        <v>-0.93446521113053227</v>
      </c>
      <c r="P23" s="12">
        <v>12.122999999999999</v>
      </c>
    </row>
    <row r="24" spans="1:16" x14ac:dyDescent="0.3">
      <c r="A24" s="38">
        <v>3</v>
      </c>
      <c r="B24" s="47">
        <f>-K4*COS(C24+C25-C$3)+0.5*C$17*C$7*C$5*(C25-C$8)*G4^2*SIN(C24)+0.5*C$17*C$7*(C$11+1/PI()/C$10*C$5^2*(C25-C$8)^2)*G4^2*COS(C24)</f>
        <v>8.6323181631087209E-4</v>
      </c>
      <c r="C24" s="39">
        <v>-1.1448694958204319E-2</v>
      </c>
      <c r="D24" s="40">
        <f t="shared" si="7"/>
        <v>-0.65596190203781191</v>
      </c>
      <c r="F24" s="11">
        <v>1.474</v>
      </c>
      <c r="G24" s="12">
        <v>163.07</v>
      </c>
      <c r="H24" s="12">
        <f t="shared" si="8"/>
        <v>56.484337244465749</v>
      </c>
      <c r="I24" s="12">
        <f t="shared" si="9"/>
        <v>0.71523786980410653</v>
      </c>
      <c r="J24" s="11">
        <f t="shared" si="15"/>
        <v>0.77546094272540556</v>
      </c>
      <c r="K24" s="21">
        <f t="shared" si="10"/>
        <v>141212.96194429731</v>
      </c>
      <c r="L24" s="20">
        <f t="shared" si="11"/>
        <v>121213.97799875312</v>
      </c>
      <c r="M24" s="21">
        <f t="shared" si="12"/>
        <v>-19998.983945544183</v>
      </c>
      <c r="N24" s="12">
        <f t="shared" si="13"/>
        <v>-0.76054184307072892</v>
      </c>
      <c r="O24" s="12">
        <f t="shared" si="14"/>
        <v>-0.7714909420507805</v>
      </c>
      <c r="P24" s="12">
        <v>11.015000000000001</v>
      </c>
    </row>
    <row r="25" spans="1:16" x14ac:dyDescent="0.3">
      <c r="A25" s="41">
        <v>4</v>
      </c>
      <c r="B25" s="48">
        <f>K4*SIN(C24+C25-C$3)+0.5*C$17*C$7*C$5*(C25-C$8)*G4^2*COS(C24)-0.5*C$17*C$7*(C$11+1/PI()/C$10*C$5^2*(C25-C$8)^2)*G4^2*SIN(C24)-C$15</f>
        <v>4.0381564758718014E-10</v>
      </c>
      <c r="C25" s="42">
        <v>0.18100149318668596</v>
      </c>
      <c r="D25" s="43">
        <f>DEGREES(C25)</f>
        <v>10.37062164516303</v>
      </c>
      <c r="F25" s="11">
        <v>1.379</v>
      </c>
      <c r="G25" s="12">
        <v>167.61</v>
      </c>
      <c r="H25" s="12">
        <f t="shared" si="8"/>
        <v>58.397552533705586</v>
      </c>
      <c r="I25" s="12">
        <f t="shared" si="9"/>
        <v>0.73946412604979916</v>
      </c>
      <c r="J25" s="11">
        <f t="shared" si="15"/>
        <v>0.78572074594854746</v>
      </c>
      <c r="K25" s="21">
        <f t="shared" si="10"/>
        <v>139287.33691004952</v>
      </c>
      <c r="L25" s="20">
        <f t="shared" si="11"/>
        <v>122817.71004203391</v>
      </c>
      <c r="M25" s="21">
        <f t="shared" si="12"/>
        <v>-16469.626868015606</v>
      </c>
      <c r="N25" s="12">
        <f t="shared" si="13"/>
        <v>-0.62632383760068822</v>
      </c>
      <c r="O25" s="12">
        <f t="shared" si="14"/>
        <v>-0.61451891331865993</v>
      </c>
      <c r="P25" s="12">
        <v>9.5779999999999994</v>
      </c>
    </row>
    <row r="26" spans="1:16" x14ac:dyDescent="0.3">
      <c r="A26" s="32">
        <v>5</v>
      </c>
      <c r="B26" s="47">
        <f>-K5*COS(C26+C27-C$3)+0.5*C$17*C$7*C$5*(C27-C$8)*G5^2*SIN(C26)+0.5*C$17*C$7*(C$11+1/PI()/C$10*C$5^2*(C27-C$8)^2)*G5^2*COS(C26)</f>
        <v>3.2712631900722045E-4</v>
      </c>
      <c r="C26" s="33">
        <v>-1.023912387196748E-2</v>
      </c>
      <c r="D26" s="34">
        <f t="shared" si="7"/>
        <v>-0.58665858377538649</v>
      </c>
      <c r="F26" s="11">
        <v>1.272</v>
      </c>
      <c r="G26" s="12">
        <v>169.65</v>
      </c>
      <c r="H26" s="12">
        <f t="shared" si="8"/>
        <v>60.804150243915025</v>
      </c>
      <c r="I26" s="12">
        <f t="shared" si="9"/>
        <v>0.76993788043370659</v>
      </c>
      <c r="J26" s="11">
        <f t="shared" si="15"/>
        <v>0.79747658887356598</v>
      </c>
      <c r="K26" s="21">
        <f t="shared" si="10"/>
        <v>138447.35595183694</v>
      </c>
      <c r="L26" s="20">
        <f t="shared" si="11"/>
        <v>124655.29128843665</v>
      </c>
      <c r="M26" s="21">
        <f t="shared" si="12"/>
        <v>-13792.064663400291</v>
      </c>
      <c r="N26" s="12">
        <f t="shared" si="13"/>
        <v>-0.52449875990776029</v>
      </c>
      <c r="O26" s="12">
        <f t="shared" si="14"/>
        <v>-0.49424155878198162</v>
      </c>
      <c r="P26" s="12">
        <v>8.4719999999999995</v>
      </c>
    </row>
    <row r="27" spans="1:16" x14ac:dyDescent="0.3">
      <c r="A27" s="35">
        <v>6</v>
      </c>
      <c r="B27" s="48">
        <f>K5*SIN(C26+C27-C$3)+0.5*C$17*C$7*C$5*(C27-C$8)*G5^2*COS(C26)-0.5*C$17*C$7*(C$11+1/PI()/C$10*C$5^2*(C27-C$8)^2)*G5^2*SIN(C26)-C$15</f>
        <v>6.9121597334742546E-11</v>
      </c>
      <c r="C27" s="36">
        <v>0.1732170733592481</v>
      </c>
      <c r="D27" s="37">
        <f t="shared" si="7"/>
        <v>9.9246072430928844</v>
      </c>
      <c r="F27" s="11">
        <v>1.1779999999999999</v>
      </c>
      <c r="G27" s="12">
        <v>170.58</v>
      </c>
      <c r="H27" s="12">
        <f t="shared" si="8"/>
        <v>63.183566087464804</v>
      </c>
      <c r="I27" s="12">
        <f t="shared" si="9"/>
        <v>0.80006744204922198</v>
      </c>
      <c r="J27" s="11">
        <f t="shared" si="15"/>
        <v>0.80788116915390329</v>
      </c>
      <c r="K27" s="21">
        <f t="shared" si="10"/>
        <v>138069.43352498839</v>
      </c>
      <c r="L27" s="20">
        <f t="shared" si="11"/>
        <v>126281.65374681471</v>
      </c>
      <c r="M27" s="21">
        <f t="shared" si="12"/>
        <v>-11787.779778173674</v>
      </c>
      <c r="N27" s="12">
        <f t="shared" si="13"/>
        <v>-0.44827776164106165</v>
      </c>
      <c r="O27" s="12">
        <f t="shared" si="14"/>
        <v>-0.40650822461974934</v>
      </c>
      <c r="P27" s="12">
        <v>7.694</v>
      </c>
    </row>
    <row r="28" spans="1:16" x14ac:dyDescent="0.3">
      <c r="A28" s="38">
        <v>7</v>
      </c>
      <c r="B28" s="47">
        <f>-K6*COS(C28+C29-C$3)+0.5*C$17*C$7*C$5*(C29-C$8)*G6^2*SIN(C28)+0.5*C$17*C$7*(C$11+1/PI()/C$10*C$5^2*(C29-C$8)^2)*G6^2*COS(C28)</f>
        <v>-5.6561496512586018E-4</v>
      </c>
      <c r="C28" s="39">
        <v>-9.1611521189622295E-3</v>
      </c>
      <c r="D28" s="40">
        <f t="shared" si="7"/>
        <v>-0.52489535189386682</v>
      </c>
      <c r="F28" s="11">
        <v>1.08</v>
      </c>
      <c r="G28" s="12">
        <v>169.97</v>
      </c>
      <c r="H28" s="12">
        <f t="shared" si="8"/>
        <v>65.987990221265662</v>
      </c>
      <c r="I28" s="12">
        <f t="shared" si="9"/>
        <v>0.83557870838143833</v>
      </c>
      <c r="J28" s="11">
        <f t="shared" si="15"/>
        <v>0.81864798166968744</v>
      </c>
      <c r="K28" s="21">
        <f t="shared" si="10"/>
        <v>138316.96816052197</v>
      </c>
      <c r="L28" s="20">
        <f t="shared" si="11"/>
        <v>127964.63750975982</v>
      </c>
      <c r="M28" s="21">
        <f t="shared" si="12"/>
        <v>-10352.330650762146</v>
      </c>
      <c r="N28" s="12">
        <f t="shared" si="13"/>
        <v>-0.39368903213517742</v>
      </c>
      <c r="O28" s="12">
        <f t="shared" si="14"/>
        <v>-0.34183271414139776</v>
      </c>
      <c r="P28" s="12">
        <v>7.048</v>
      </c>
    </row>
    <row r="29" spans="1:16" x14ac:dyDescent="0.3">
      <c r="A29" s="41">
        <v>8</v>
      </c>
      <c r="B29" s="48">
        <f>K6*SIN(C28+C29-C$3)+0.5*C$17*C$7*C$5*(C29-C$8)*G6^2*COS(C28)-0.5*C$17*C$7*(C$11+1/PI()/C$10*C$5^2*(C29-C$8)^2)*G6^2*SIN(C28)-C$15</f>
        <v>1.7389538697898388E-9</v>
      </c>
      <c r="C29" s="42">
        <v>0.16581208303518685</v>
      </c>
      <c r="D29" s="43">
        <f t="shared" si="7"/>
        <v>9.5003325501889631</v>
      </c>
      <c r="F29" s="11">
        <v>0.96899999999999997</v>
      </c>
      <c r="G29" s="12">
        <v>164.23</v>
      </c>
      <c r="H29" s="12">
        <f t="shared" si="8"/>
        <v>69.665039964890596</v>
      </c>
      <c r="I29" s="12">
        <f t="shared" si="9"/>
        <v>0.88213967296196405</v>
      </c>
      <c r="J29" s="11">
        <f t="shared" si="15"/>
        <v>0.83042558485249718</v>
      </c>
      <c r="K29" s="21">
        <f t="shared" si="10"/>
        <v>140713.36590506521</v>
      </c>
      <c r="L29" s="20">
        <f t="shared" si="11"/>
        <v>129805.62014914553</v>
      </c>
      <c r="M29" s="21">
        <f t="shared" si="12"/>
        <v>-10907.745755919677</v>
      </c>
      <c r="N29" s="12">
        <f t="shared" si="13"/>
        <v>-0.41481092657221691</v>
      </c>
      <c r="O29" s="12">
        <f t="shared" si="14"/>
        <v>-0.34116187750917992</v>
      </c>
      <c r="P29" s="12">
        <v>6.0739999999999998</v>
      </c>
    </row>
    <row r="30" spans="1:16" x14ac:dyDescent="0.3">
      <c r="A30" s="32">
        <v>9</v>
      </c>
      <c r="B30" s="47">
        <f>-K7*COS(C30+C31-C$3)+0.5*C$17*C$7*C$5*(C31-C$8)*G7^2*SIN(C30)+0.5*C$17*C$7*(C$11+1/PI()/C$10*C$5^2*(C31-C$8)^2)*G7^2*COS(C30)</f>
        <v>3.4140067782573169E-5</v>
      </c>
      <c r="C30" s="33">
        <v>-4.4050137100909341E-3</v>
      </c>
      <c r="D30" s="34">
        <f t="shared" si="7"/>
        <v>-0.25238869428547489</v>
      </c>
      <c r="F30" s="11">
        <v>0.86799999999999999</v>
      </c>
      <c r="G30" s="12">
        <v>160.72999999999999</v>
      </c>
      <c r="H30" s="12">
        <f t="shared" si="8"/>
        <v>73.606626956628432</v>
      </c>
      <c r="I30" s="12">
        <f t="shared" si="9"/>
        <v>0.9320503636268237</v>
      </c>
      <c r="J30" s="11">
        <f t="shared" si="15"/>
        <v>0.84027096006844781</v>
      </c>
      <c r="K30" s="21">
        <f t="shared" si="10"/>
        <v>142237.1774883871</v>
      </c>
      <c r="L30" s="20">
        <f t="shared" si="11"/>
        <v>131344.57205383005</v>
      </c>
      <c r="M30" s="21">
        <f t="shared" si="12"/>
        <v>-10892.605434557045</v>
      </c>
      <c r="N30" s="12">
        <f t="shared" si="13"/>
        <v>-0.41423515492575858</v>
      </c>
      <c r="O30" s="12">
        <f t="shared" si="14"/>
        <v>-0.32244449128204189</v>
      </c>
      <c r="P30" s="12">
        <v>5.0990000000000002</v>
      </c>
    </row>
    <row r="31" spans="1:16" x14ac:dyDescent="0.3">
      <c r="A31" s="35">
        <v>10</v>
      </c>
      <c r="B31" s="48">
        <f>K7*SIN(C30+C31-C$3)+0.5*C$17*C$7*C$5*(C31-C$8)*G7^2*COS(C30)-0.5*C$17*C$7*(C$11+1/PI()/C$10*C$5^2*(C31-C$8)^2)*G7^2*SIN(C30)-C$15</f>
        <v>6.9121597334742546E-11</v>
      </c>
      <c r="C31" s="36">
        <v>0.11770435304734703</v>
      </c>
      <c r="D31" s="37">
        <f t="shared" si="7"/>
        <v>6.7439626599307942</v>
      </c>
      <c r="F31" s="11">
        <v>0.77100000000000002</v>
      </c>
      <c r="G31" s="12">
        <v>153.61000000000001</v>
      </c>
      <c r="H31" s="12">
        <f t="shared" si="8"/>
        <v>78.099740361348111</v>
      </c>
      <c r="I31" s="12">
        <f t="shared" si="9"/>
        <v>0.98894480582362665</v>
      </c>
      <c r="J31" s="11">
        <f t="shared" si="15"/>
        <v>0.84823268552045561</v>
      </c>
      <c r="K31" s="21">
        <f t="shared" si="10"/>
        <v>145496.26790925232</v>
      </c>
      <c r="L31" s="20">
        <f t="shared" si="11"/>
        <v>132589.08658783091</v>
      </c>
      <c r="M31" s="21">
        <f t="shared" si="12"/>
        <v>-12907.181321421405</v>
      </c>
      <c r="N31" s="12">
        <f t="shared" si="13"/>
        <v>-0.49084750994207627</v>
      </c>
      <c r="O31" s="12">
        <f t="shared" si="14"/>
        <v>-0.36009947949061405</v>
      </c>
      <c r="P31" s="12">
        <v>3.86</v>
      </c>
    </row>
    <row r="32" spans="1:16" x14ac:dyDescent="0.3">
      <c r="A32" s="38">
        <v>11</v>
      </c>
      <c r="B32" s="47">
        <f>-K8*COS(C32+C33-C$3)+0.5*C$17*C$7*C$5*(C33-C$8)*G8^2*SIN(C32)+0.5*C$17*C$7*(C$11+1/PI()/C$10*C$5^2*(C33-C$8)^2)*G8^2*COS(C32)</f>
        <v>7.7732821296194743E-4</v>
      </c>
      <c r="C32" s="39">
        <v>-4.3998718323999108E-3</v>
      </c>
      <c r="D32" s="40">
        <f t="shared" si="7"/>
        <v>-0.2520940863950068</v>
      </c>
      <c r="F32" s="11">
        <v>0.56899999999999995</v>
      </c>
      <c r="G32" s="12">
        <v>116.14</v>
      </c>
      <c r="H32" s="12">
        <f t="shared" si="8"/>
        <v>90.91188149158252</v>
      </c>
      <c r="I32" s="12">
        <f t="shared" si="9"/>
        <v>1.1511796655504491</v>
      </c>
      <c r="J32" s="11">
        <f t="shared" si="15"/>
        <v>0.85438678888587116</v>
      </c>
      <c r="K32" s="21">
        <f t="shared" si="10"/>
        <v>167328.79641242919</v>
      </c>
      <c r="L32" s="20">
        <f t="shared" si="11"/>
        <v>133551.0478019132</v>
      </c>
      <c r="M32" s="21">
        <f t="shared" si="12"/>
        <v>-33777.748610515991</v>
      </c>
      <c r="N32" s="12">
        <f t="shared" si="13"/>
        <v>-1.2845348170173034</v>
      </c>
      <c r="O32" s="12">
        <f t="shared" si="14"/>
        <v>-0.80958474895080568</v>
      </c>
      <c r="P32" s="12">
        <v>2.0419999999999998</v>
      </c>
    </row>
    <row r="33" spans="1:16" x14ac:dyDescent="0.3">
      <c r="A33" s="41">
        <v>12</v>
      </c>
      <c r="B33" s="48">
        <f>K8*SIN(C32+C33-C$3)+0.5*C$17*C$7*C$5*(C33-C$8)*G8^2*COS(C32)-0.5*C$17*C$7*(C$11+1/PI()/C$10*C$5^2*(C33-C$8)^2)*G8^2*SIN(C32)-C$15</f>
        <v>-2.0844171376666054E-4</v>
      </c>
      <c r="C33" s="42">
        <v>8.7506139410934464E-2</v>
      </c>
      <c r="D33" s="43">
        <f t="shared" si="7"/>
        <v>5.0137324697299448</v>
      </c>
      <c r="F33" s="11">
        <v>0.47099999999999997</v>
      </c>
      <c r="G33" s="12">
        <v>88.53</v>
      </c>
      <c r="H33" s="12">
        <f t="shared" si="8"/>
        <v>99.923198126439644</v>
      </c>
      <c r="I33" s="12">
        <f t="shared" si="9"/>
        <v>1.2652862520569061</v>
      </c>
      <c r="J33" s="11">
        <f t="shared" si="15"/>
        <v>0.84681716836782184</v>
      </c>
      <c r="K33" s="21">
        <f t="shared" si="10"/>
        <v>191653.32839851244</v>
      </c>
      <c r="L33" s="20">
        <f t="shared" si="11"/>
        <v>132367.82403862607</v>
      </c>
      <c r="M33" s="21">
        <f t="shared" si="12"/>
        <v>-59285.50435988637</v>
      </c>
      <c r="N33" s="12">
        <f t="shared" si="13"/>
        <v>-2.2545698759507062</v>
      </c>
      <c r="O33" s="12">
        <f t="shared" si="14"/>
        <v>-1.2928759680412365</v>
      </c>
      <c r="P33" s="12">
        <v>1.198</v>
      </c>
    </row>
    <row r="34" spans="1:16" x14ac:dyDescent="0.3">
      <c r="A34" s="32">
        <v>13</v>
      </c>
      <c r="B34" s="47">
        <f>-K9*COS(C34+C35-C$3)+0.5*C$17*C$7*C$5*(C35-C$8)*G9^2*SIN(C34)+0.5*C$17*C$7*(C$11+1/PI()/C$10*C$5^2*(C35-C$8)^2)*G9^2*COS(C34)</f>
        <v>1.3851831636202405E-4</v>
      </c>
      <c r="C34" s="33">
        <v>-7.0023832387706691E-3</v>
      </c>
      <c r="D34" s="34">
        <f t="shared" si="7"/>
        <v>-0.40120700611470755</v>
      </c>
      <c r="F34" s="28">
        <v>0.371</v>
      </c>
      <c r="G34" s="28">
        <v>56.77</v>
      </c>
      <c r="H34" s="12">
        <f t="shared" si="8"/>
        <v>112.58740889081324</v>
      </c>
      <c r="I34" s="12">
        <f t="shared" si="9"/>
        <v>1.4256479305636018</v>
      </c>
      <c r="J34" s="11">
        <f t="shared" si="15"/>
        <v>0.82465718156487733</v>
      </c>
      <c r="K34" s="21">
        <f t="shared" si="10"/>
        <v>239332.7609883213</v>
      </c>
      <c r="L34" s="20">
        <f t="shared" si="11"/>
        <v>128903.94854885053</v>
      </c>
      <c r="M34" s="21">
        <f t="shared" si="12"/>
        <v>-110428.81243947077</v>
      </c>
      <c r="N34" s="12">
        <f t="shared" si="13"/>
        <v>-4.1994999730743388</v>
      </c>
      <c r="O34" s="12">
        <f t="shared" si="14"/>
        <v>-2.1376231628924032</v>
      </c>
      <c r="P34" s="12">
        <v>0.42</v>
      </c>
    </row>
    <row r="35" spans="1:16" x14ac:dyDescent="0.3">
      <c r="A35" s="35">
        <v>14</v>
      </c>
      <c r="B35" s="48">
        <f>K9*SIN(C34+C35-C$3)+0.5*C$17*C$7*C$5*(C35-C$8)*G9^2*COS(C34)-0.5*C$17*C$7*(C$11+1/PI()/C$10*C$5^2*(C35-C$8)^2)*G9^2*SIN(C34)-C$15</f>
        <v>4.0017766878008842E-11</v>
      </c>
      <c r="C35" s="36">
        <v>6.4669114809045386E-2</v>
      </c>
      <c r="D35" s="37">
        <f t="shared" si="7"/>
        <v>3.7052673434052714</v>
      </c>
      <c r="F35" s="28">
        <v>0.27600000000000002</v>
      </c>
      <c r="G35" s="28">
        <v>29.74</v>
      </c>
      <c r="H35" s="12">
        <f t="shared" si="8"/>
        <v>130.53357669160414</v>
      </c>
      <c r="I35" s="12">
        <f t="shared" si="9"/>
        <v>1.6528928528759792</v>
      </c>
      <c r="J35" s="11">
        <f t="shared" si="15"/>
        <v>0.78189017477598188</v>
      </c>
      <c r="K35" s="21">
        <f t="shared" si="10"/>
        <v>330667.19851867063</v>
      </c>
      <c r="L35" s="20">
        <f t="shared" si="11"/>
        <v>122218.94517297146</v>
      </c>
      <c r="M35" s="21">
        <f t="shared" si="12"/>
        <v>-208448.25334569917</v>
      </c>
      <c r="N35" s="12">
        <f t="shared" si="13"/>
        <v>-7.9270836566541627</v>
      </c>
      <c r="O35" s="12">
        <f t="shared" si="14"/>
        <v>-3.4816181570801925</v>
      </c>
      <c r="P35" s="12">
        <v>-0.29199999999999998</v>
      </c>
    </row>
    <row r="36" spans="1:16" x14ac:dyDescent="0.3">
      <c r="A36" s="38">
        <v>15</v>
      </c>
      <c r="B36" s="47">
        <f>-K10*COS(C36+C37-C$3)+0.5*C$17*C$7*C$5*(C37-C$8)*G10^2*SIN(C36)+0.5*C$17*C$7*(C$11+1/PI()/C$10*C$5^2*(C37-C$8)^2)*G10^2*COS(C36)</f>
        <v>1.6634407938909135E-4</v>
      </c>
      <c r="C36" s="39">
        <v>-1.2229449725519039E-2</v>
      </c>
      <c r="D36" s="40">
        <f t="shared" si="7"/>
        <v>-0.70069585503966403</v>
      </c>
      <c r="F36" s="101">
        <v>0.186</v>
      </c>
      <c r="G36" s="101">
        <v>10.85</v>
      </c>
      <c r="H36" s="102">
        <f t="shared" si="8"/>
        <v>159.00848766344899</v>
      </c>
      <c r="I36" s="12">
        <f t="shared" si="9"/>
        <v>2.013458908174067</v>
      </c>
      <c r="J36" s="11">
        <f t="shared" si="15"/>
        <v>0.72864454436495141</v>
      </c>
      <c r="K36" s="104">
        <f t="shared" si="10"/>
        <v>547452.86001886579</v>
      </c>
      <c r="L36" s="108">
        <f t="shared" si="11"/>
        <v>113896.0054637335</v>
      </c>
      <c r="M36" s="104">
        <f t="shared" si="12"/>
        <v>-433556.85455513227</v>
      </c>
      <c r="N36" s="102">
        <f t="shared" si="13"/>
        <v>-16.487744084257571</v>
      </c>
      <c r="O36" s="102">
        <f t="shared" si="14"/>
        <v>-5.9517528990113941</v>
      </c>
      <c r="P36" s="102">
        <v>-1.071</v>
      </c>
    </row>
    <row r="37" spans="1:16" ht="15.6" thickBot="1" x14ac:dyDescent="0.35">
      <c r="A37" s="41">
        <v>16</v>
      </c>
      <c r="B37" s="48">
        <f>K10*SIN(C36+C37-C$3)+0.5*C$17*C$7*C$5*(C37-C$8)*G10^2*COS(C36)-0.5*C$17*C$7*(C$11+1/PI()/C$10*C$5^2*(C37-C$8)^2)*G10^2*SIN(C36)-C$15</f>
        <v>6.9121597334742546E-11</v>
      </c>
      <c r="C37" s="42">
        <v>4.4795241309449736E-2</v>
      </c>
      <c r="D37" s="43">
        <f t="shared" si="7"/>
        <v>2.5665782693015493</v>
      </c>
      <c r="F37" s="49"/>
      <c r="G37" s="50"/>
      <c r="H37" s="50"/>
      <c r="I37" s="50"/>
      <c r="J37" s="49"/>
      <c r="K37" s="51"/>
      <c r="L37" s="51"/>
      <c r="M37" s="51"/>
      <c r="N37" s="50"/>
      <c r="O37" s="50"/>
      <c r="P37" s="50"/>
    </row>
    <row r="38" spans="1:16" ht="18.600000000000001" thickBot="1" x14ac:dyDescent="0.35">
      <c r="A38" s="32">
        <v>17</v>
      </c>
      <c r="B38" s="47">
        <f>-K11*COS(C38+C39-C$3)+0.5*C$17*C$7*C$5*(C39-C$8)*G11^2*SIN(C38)+0.5*C$17*C$7*(C$11+1/PI()/C$10*C$5^2*(C39-C$8)^2)*G11^2*COS(C38)</f>
        <v>-3.0990695358923404E-4</v>
      </c>
      <c r="C38" s="33">
        <v>-1.8246832212388611E-2</v>
      </c>
      <c r="D38" s="34">
        <f t="shared" si="7"/>
        <v>-1.0454664752532259</v>
      </c>
      <c r="F38" s="132" t="s">
        <v>198</v>
      </c>
      <c r="G38" s="133"/>
      <c r="H38" s="133"/>
      <c r="I38" s="133"/>
      <c r="J38" s="133"/>
      <c r="K38" s="133"/>
      <c r="L38" s="133"/>
      <c r="M38" s="133"/>
      <c r="N38" s="133"/>
      <c r="O38" s="133"/>
      <c r="P38" s="134"/>
    </row>
    <row r="39" spans="1:16" ht="18.600000000000001" thickBot="1" x14ac:dyDescent="0.35">
      <c r="A39" s="35">
        <v>18</v>
      </c>
      <c r="B39" s="48">
        <f>K11*SIN(C38+C39-C$3)+0.5*C$17*C$7*C$5*(C39-C$8)*G11^2*COS(C38)-0.5*C$17*C$7*(C$11+1/PI()/C$10*C$5^2*(C39-C$8)^2)*G11^2*SIN(C38)-C$15</f>
        <v>2.9103830456733704E-11</v>
      </c>
      <c r="C39" s="36">
        <v>3.1278532279688208E-2</v>
      </c>
      <c r="D39" s="37">
        <f t="shared" si="7"/>
        <v>1.7921278889898438</v>
      </c>
      <c r="F39" s="97" t="s">
        <v>1</v>
      </c>
      <c r="G39" s="97" t="s">
        <v>2</v>
      </c>
      <c r="H39" s="97" t="s">
        <v>67</v>
      </c>
      <c r="I39" s="97" t="s">
        <v>15</v>
      </c>
      <c r="J39" s="97" t="s">
        <v>74</v>
      </c>
      <c r="K39" s="97" t="s">
        <v>72</v>
      </c>
      <c r="L39" s="97" t="s">
        <v>73</v>
      </c>
      <c r="M39" s="97" t="s">
        <v>71</v>
      </c>
      <c r="N39" s="97" t="s">
        <v>69</v>
      </c>
      <c r="O39" s="97" t="s">
        <v>87</v>
      </c>
      <c r="P39" s="97" t="s">
        <v>70</v>
      </c>
    </row>
    <row r="40" spans="1:16" x14ac:dyDescent="0.3">
      <c r="A40" s="38">
        <v>19</v>
      </c>
      <c r="B40" s="47">
        <f>-K12*COS(C40+C41-C$3)+0.5*C$17*C$7*C$5*(C41-C$8)*G12^2*SIN(C40)+0.5*C$17*C$7*(C$11+1/PI()/C$10*C$5^2*(C41-C$8)^2)*G12^2*COS(C40)</f>
        <v>1.9961775296906126E-4</v>
      </c>
      <c r="C40" s="39">
        <v>-2.5285144883976332E-2</v>
      </c>
      <c r="D40" s="40">
        <f t="shared" si="7"/>
        <v>-1.4487320862286495</v>
      </c>
      <c r="F40" s="93">
        <f t="shared" ref="F40:G54" si="16">F22</f>
        <v>1.63</v>
      </c>
      <c r="G40" s="99">
        <f t="shared" si="16"/>
        <v>156.18</v>
      </c>
      <c r="H40" s="92">
        <f t="shared" ref="H40:H54" si="17">SQRT((2*C$20)/(C$7*C$17*F40))</f>
        <v>56.401486852033145</v>
      </c>
      <c r="I40" s="92">
        <f t="shared" ref="I40:I54" si="18">H40/C$12/C$4</f>
        <v>0.71418876945015419</v>
      </c>
      <c r="J40" s="93">
        <f t="shared" ref="J40:J54" si="19">0.185*I40^3-0.9822*I40^2+1.6209*I40</f>
        <v>0.7240345232269858</v>
      </c>
      <c r="K40" s="94">
        <f t="shared" ref="K40:K54" si="20">C$20*SQRT((2*C$20)/(C$17*C$7*G40))</f>
        <v>167059.66915555496</v>
      </c>
      <c r="L40" s="94">
        <f t="shared" ref="L40:L54" si="21">C$18*J40</f>
        <v>113175.40308390606</v>
      </c>
      <c r="M40" s="94">
        <f t="shared" ref="M40:M54" si="22">(L40-K40)</f>
        <v>-53884.266071648904</v>
      </c>
      <c r="N40" s="92">
        <f t="shared" ref="N40:N54" si="23">M40/C$20</f>
        <v>-1.8584975840805762</v>
      </c>
      <c r="O40" s="92">
        <f t="shared" ref="O40:O54" si="24">DEGREES(ASIN(N40/H40))</f>
        <v>-1.888307435274251</v>
      </c>
      <c r="P40" s="99">
        <f t="shared" ref="P40:P54" si="25">P22</f>
        <v>15.276999999999999</v>
      </c>
    </row>
    <row r="41" spans="1:16" x14ac:dyDescent="0.3">
      <c r="A41" s="41">
        <v>20</v>
      </c>
      <c r="B41" s="48">
        <f>K12*SIN(C40+C41-C$3)+0.5*C$17*C$7*C$5*(C41-C$8)*G12^2*COS(C40)-0.5*C$17*C$7*(C$11+1/PI()/C$10*C$5^2*(C41-C$8)^2)*G12^2*SIN(C40)-C$15</f>
        <v>-4.0617305785417557E-7</v>
      </c>
      <c r="C41" s="42">
        <v>2.0396499309515478E-2</v>
      </c>
      <c r="D41" s="43">
        <f t="shared" si="7"/>
        <v>1.1686333272767346</v>
      </c>
      <c r="F41" s="11">
        <f t="shared" si="16"/>
        <v>1.571</v>
      </c>
      <c r="G41" s="28">
        <f t="shared" si="16"/>
        <v>158.85</v>
      </c>
      <c r="H41" s="12">
        <f t="shared" si="17"/>
        <v>57.45082408359314</v>
      </c>
      <c r="I41" s="12">
        <f t="shared" si="18"/>
        <v>0.72747609409306924</v>
      </c>
      <c r="J41" s="11">
        <f t="shared" si="19"/>
        <v>0.73058892928264285</v>
      </c>
      <c r="K41" s="21">
        <f t="shared" si="20"/>
        <v>165649.72401845988</v>
      </c>
      <c r="L41" s="21">
        <f t="shared" si="21"/>
        <v>114199.93647772605</v>
      </c>
      <c r="M41" s="21">
        <f t="shared" si="22"/>
        <v>-51449.787540733829</v>
      </c>
      <c r="N41" s="12">
        <f t="shared" si="23"/>
        <v>-1.7745310981645279</v>
      </c>
      <c r="O41" s="12">
        <f t="shared" si="24"/>
        <v>-1.7700236352782011</v>
      </c>
      <c r="P41" s="28">
        <f t="shared" si="25"/>
        <v>12.122999999999999</v>
      </c>
    </row>
    <row r="42" spans="1:16" x14ac:dyDescent="0.3">
      <c r="A42" s="32">
        <v>21</v>
      </c>
      <c r="B42" s="47">
        <f>-K13*COS(C42+C43-C$3)+0.5*C$17*C$7*C$5*(C43-C$8)*G13^2*SIN(C42)+0.5*C$17*C$7*(C$11+1/PI()/C$10*C$5^2*(C43-C$8)^2)*G13^2*COS(C42)</f>
        <v>-1.9980776596639771E-4</v>
      </c>
      <c r="C42" s="33">
        <v>-3.4309364317563061E-2</v>
      </c>
      <c r="D42" s="34">
        <f t="shared" si="7"/>
        <v>-1.9657817731731073</v>
      </c>
      <c r="F42" s="11">
        <f t="shared" si="16"/>
        <v>1.474</v>
      </c>
      <c r="G42" s="28">
        <f t="shared" si="16"/>
        <v>163.07</v>
      </c>
      <c r="H42" s="12">
        <f t="shared" si="17"/>
        <v>59.311050119912771</v>
      </c>
      <c r="I42" s="12">
        <f t="shared" si="18"/>
        <v>0.75103136928047087</v>
      </c>
      <c r="J42" s="11">
        <f t="shared" si="19"/>
        <v>0.74170798389220494</v>
      </c>
      <c r="K42" s="21">
        <f t="shared" si="20"/>
        <v>163492.29515841074</v>
      </c>
      <c r="L42" s="21">
        <f t="shared" si="21"/>
        <v>115937.97996457598</v>
      </c>
      <c r="M42" s="21">
        <f t="shared" si="22"/>
        <v>-47554.315193834758</v>
      </c>
      <c r="N42" s="12">
        <f t="shared" si="23"/>
        <v>-1.6401741425378504</v>
      </c>
      <c r="O42" s="12">
        <f t="shared" si="24"/>
        <v>-1.5846463276913867</v>
      </c>
      <c r="P42" s="28">
        <f t="shared" si="25"/>
        <v>11.015000000000001</v>
      </c>
    </row>
    <row r="43" spans="1:16" x14ac:dyDescent="0.3">
      <c r="A43" s="35">
        <v>22</v>
      </c>
      <c r="B43" s="48">
        <f>K13*SIN(C42+C43-C$3)+0.5*C$17*C$7*C$5*(C43-C$8)*G13^2*COS(C42)-0.5*C$17*C$7*(C$11+1/PI()/C$10*C$5^2*(C43-C$8)^2)*G13^2*SIN(C42)-C$15</f>
        <v>0</v>
      </c>
      <c r="C43" s="36">
        <v>1.037148655072803E-2</v>
      </c>
      <c r="D43" s="37">
        <f t="shared" si="7"/>
        <v>0.59424240663341188</v>
      </c>
      <c r="F43" s="11">
        <f t="shared" si="16"/>
        <v>1.379</v>
      </c>
      <c r="G43" s="28">
        <f t="shared" si="16"/>
        <v>167.61</v>
      </c>
      <c r="H43" s="12">
        <f t="shared" si="17"/>
        <v>61.320010717594307</v>
      </c>
      <c r="I43" s="12">
        <f t="shared" si="18"/>
        <v>0.77647000888399931</v>
      </c>
      <c r="J43" s="11">
        <f t="shared" si="19"/>
        <v>0.75301184601206883</v>
      </c>
      <c r="K43" s="21">
        <f t="shared" si="20"/>
        <v>161262.86202331472</v>
      </c>
      <c r="L43" s="21">
        <f t="shared" si="21"/>
        <v>117704.91111327126</v>
      </c>
      <c r="M43" s="21">
        <f t="shared" si="22"/>
        <v>-43557.950910043466</v>
      </c>
      <c r="N43" s="12">
        <f t="shared" si="23"/>
        <v>-1.5023373692456958</v>
      </c>
      <c r="O43" s="12">
        <f t="shared" si="24"/>
        <v>-1.4038843648990815</v>
      </c>
      <c r="P43" s="28">
        <f t="shared" si="25"/>
        <v>9.5779999999999994</v>
      </c>
    </row>
    <row r="44" spans="1:16" x14ac:dyDescent="0.3">
      <c r="A44" s="38">
        <v>23</v>
      </c>
      <c r="B44" s="47">
        <f>-K14*COS(C44+C45-C$3)+0.5*C$17*C$7*C$5*(C45-C$8)*G14^2*SIN(C44)+0.5*C$17*C$7*(C$11+1/PI()/C$10*C$5^2*(C45-C$8)^2)*G14^2*COS(C44)</f>
        <v>6.6414727371011395E-6</v>
      </c>
      <c r="C44" s="39">
        <v>-4.2897644410657895E-2</v>
      </c>
      <c r="D44" s="40">
        <f t="shared" si="7"/>
        <v>-2.4578539757836633</v>
      </c>
      <c r="F44" s="11">
        <f t="shared" si="16"/>
        <v>1.272</v>
      </c>
      <c r="G44" s="28">
        <f t="shared" si="16"/>
        <v>169.65</v>
      </c>
      <c r="H44" s="12">
        <f t="shared" si="17"/>
        <v>63.847044659604215</v>
      </c>
      <c r="I44" s="12">
        <f t="shared" si="18"/>
        <v>0.80846879760631774</v>
      </c>
      <c r="J44" s="11">
        <f t="shared" si="19"/>
        <v>0.76621981851129439</v>
      </c>
      <c r="K44" s="21">
        <f t="shared" si="20"/>
        <v>160290.35629256102</v>
      </c>
      <c r="L44" s="21">
        <f t="shared" si="21"/>
        <v>119769.47787572157</v>
      </c>
      <c r="M44" s="21">
        <f t="shared" si="22"/>
        <v>-40520.878416839449</v>
      </c>
      <c r="N44" s="12">
        <f t="shared" si="23"/>
        <v>-1.397587090494715</v>
      </c>
      <c r="O44" s="12">
        <f t="shared" si="24"/>
        <v>-1.2542826122262001</v>
      </c>
      <c r="P44" s="28">
        <f t="shared" si="25"/>
        <v>8.4719999999999995</v>
      </c>
    </row>
    <row r="45" spans="1:16" x14ac:dyDescent="0.3">
      <c r="A45" s="41">
        <v>24</v>
      </c>
      <c r="B45" s="48">
        <f>K14*SIN(C44+C45-C$3)+0.5*C$17*C$7*C$5*(C45-C$8)*G14^2*COS(C44)-0.5*C$17*C$7*(C$11+1/PI()/C$10*C$5^2*(C45-C$8)^2)*G14^2*SIN(C44)-C$15</f>
        <v>-1.1725205695256591E-8</v>
      </c>
      <c r="C45" s="42">
        <v>3.2063868183839694E-3</v>
      </c>
      <c r="D45" s="43">
        <f t="shared" si="7"/>
        <v>0.18371243217978145</v>
      </c>
      <c r="F45" s="11">
        <f t="shared" si="16"/>
        <v>1.1779999999999999</v>
      </c>
      <c r="G45" s="28">
        <f t="shared" si="16"/>
        <v>170.58</v>
      </c>
      <c r="H45" s="12">
        <f t="shared" si="17"/>
        <v>66.345536440469061</v>
      </c>
      <c r="I45" s="12">
        <f t="shared" si="18"/>
        <v>0.84010616871212696</v>
      </c>
      <c r="J45" s="11">
        <f t="shared" si="19"/>
        <v>0.77820439099927441</v>
      </c>
      <c r="K45" s="21">
        <f t="shared" si="20"/>
        <v>159852.80860496502</v>
      </c>
      <c r="L45" s="21">
        <f t="shared" si="21"/>
        <v>121642.81233506504</v>
      </c>
      <c r="M45" s="21">
        <f t="shared" si="22"/>
        <v>-38209.996269899973</v>
      </c>
      <c r="N45" s="12">
        <f t="shared" si="23"/>
        <v>-1.317883510947556</v>
      </c>
      <c r="O45" s="12">
        <f t="shared" si="24"/>
        <v>-1.1381945747072255</v>
      </c>
      <c r="P45" s="28">
        <f t="shared" si="25"/>
        <v>7.694</v>
      </c>
    </row>
    <row r="46" spans="1:16" x14ac:dyDescent="0.3">
      <c r="A46" s="32">
        <v>25</v>
      </c>
      <c r="B46" s="47">
        <f>-K15*COS(C46+C47-C$3)+0.5*C$17*C$7*C$5*(C47-C$8)*G15^2*SIN(C46)+0.5*C$17*C$7*(C$11+1/PI()/C$10*C$5^2*(C47-C$8)^2)*G15^2*COS(C46)</f>
        <v>8.4511912973539438E-5</v>
      </c>
      <c r="C46" s="33">
        <v>-5.2021024603123835E-2</v>
      </c>
      <c r="D46" s="34">
        <f t="shared" si="7"/>
        <v>-2.9805851557052141</v>
      </c>
      <c r="F46" s="11">
        <f t="shared" si="16"/>
        <v>1.08</v>
      </c>
      <c r="G46" s="28">
        <f t="shared" si="16"/>
        <v>169.97</v>
      </c>
      <c r="H46" s="12">
        <f t="shared" si="17"/>
        <v>69.29030570699085</v>
      </c>
      <c r="I46" s="12">
        <f t="shared" si="18"/>
        <v>0.8773945675851792</v>
      </c>
      <c r="J46" s="11">
        <f t="shared" si="19"/>
        <v>0.79100628333008527</v>
      </c>
      <c r="K46" s="21">
        <f t="shared" si="20"/>
        <v>160139.39706779007</v>
      </c>
      <c r="L46" s="21">
        <f t="shared" si="21"/>
        <v>123643.90382766236</v>
      </c>
      <c r="M46" s="21">
        <f t="shared" si="22"/>
        <v>-36495.493240127704</v>
      </c>
      <c r="N46" s="12">
        <f t="shared" si="23"/>
        <v>-1.2587493708537911</v>
      </c>
      <c r="O46" s="12">
        <f t="shared" si="24"/>
        <v>-1.0409103135539286</v>
      </c>
      <c r="P46" s="28">
        <f t="shared" si="25"/>
        <v>7.048</v>
      </c>
    </row>
    <row r="47" spans="1:16" x14ac:dyDescent="0.3">
      <c r="A47" s="35">
        <v>26</v>
      </c>
      <c r="B47" s="48">
        <f>K15*SIN(C46+C47-C$3)+0.5*C$17*C$7*C$5*(C47-C$8)*G15^2*COS(C46)-0.5*C$17*C$7*(C$11+1/PI()/C$10*C$5^2*(C47-C$8)^2)*G15^2*SIN(C46)-C$15</f>
        <v>1.3096723705530167E-10</v>
      </c>
      <c r="C47" s="36">
        <v>-2.7980356455750087E-3</v>
      </c>
      <c r="D47" s="37">
        <f t="shared" si="7"/>
        <v>-0.16031563341861066</v>
      </c>
      <c r="F47" s="11">
        <f t="shared" si="16"/>
        <v>0.96899999999999997</v>
      </c>
      <c r="G47" s="28">
        <f t="shared" si="16"/>
        <v>164.23</v>
      </c>
      <c r="H47" s="12">
        <f t="shared" si="17"/>
        <v>73.151370424695756</v>
      </c>
      <c r="I47" s="12">
        <f t="shared" si="18"/>
        <v>0.92628563789932417</v>
      </c>
      <c r="J47" s="11">
        <f t="shared" si="19"/>
        <v>0.80571398830689134</v>
      </c>
      <c r="K47" s="21">
        <f t="shared" si="20"/>
        <v>162913.87727111843</v>
      </c>
      <c r="L47" s="21">
        <f t="shared" si="21"/>
        <v>125942.89701899581</v>
      </c>
      <c r="M47" s="21">
        <f t="shared" si="22"/>
        <v>-36970.980252122623</v>
      </c>
      <c r="N47" s="12">
        <f t="shared" si="23"/>
        <v>-1.275149175982049</v>
      </c>
      <c r="O47" s="12">
        <f t="shared" si="24"/>
        <v>-0.99881063308684281</v>
      </c>
      <c r="P47" s="28">
        <f t="shared" si="25"/>
        <v>6.0739999999999998</v>
      </c>
    </row>
    <row r="48" spans="1:16" x14ac:dyDescent="0.3">
      <c r="A48" s="38">
        <v>27</v>
      </c>
      <c r="B48" s="47">
        <f>-K16*COS(C48+C49-C$3)+0.5*C$17*C$7*C$5*(C49-C$8)*G16^2*SIN(C48)+0.5*C$17*C$7*(C$11+1/PI()/C$10*C$5^2*(C49-C$8)^2)*G16^2*COS(C48)</f>
        <v>-9.7124014700966654E-5</v>
      </c>
      <c r="C48" s="39">
        <v>-6.1602310640144417E-2</v>
      </c>
      <c r="D48" s="40">
        <f t="shared" si="7"/>
        <v>-3.5295524079341196</v>
      </c>
      <c r="F48" s="11">
        <f t="shared" si="16"/>
        <v>0.86799999999999999</v>
      </c>
      <c r="G48" s="28">
        <f t="shared" si="16"/>
        <v>160.72999999999999</v>
      </c>
      <c r="H48" s="12">
        <f t="shared" si="17"/>
        <v>77.290210942681369</v>
      </c>
      <c r="I48" s="12">
        <f t="shared" si="18"/>
        <v>0.97869406862465758</v>
      </c>
      <c r="J48" s="11">
        <f t="shared" si="19"/>
        <v>0.81899808192827739</v>
      </c>
      <c r="K48" s="21">
        <f t="shared" si="20"/>
        <v>164678.10237989094</v>
      </c>
      <c r="L48" s="21">
        <f t="shared" si="21"/>
        <v>128019.36243877164</v>
      </c>
      <c r="M48" s="21">
        <f t="shared" si="22"/>
        <v>-36658.739941119304</v>
      </c>
      <c r="N48" s="12">
        <f t="shared" si="23"/>
        <v>-1.2643798381779372</v>
      </c>
      <c r="O48" s="12">
        <f t="shared" si="24"/>
        <v>-0.93733551855323627</v>
      </c>
      <c r="P48" s="28">
        <f t="shared" si="25"/>
        <v>5.0990000000000002</v>
      </c>
    </row>
    <row r="49" spans="1:16" x14ac:dyDescent="0.3">
      <c r="A49" s="41">
        <v>28</v>
      </c>
      <c r="B49" s="48">
        <f>K16*SIN(C48+C49-C$3)+0.5*C$17*C$7*C$5*(C49-C$8)*G16^2*COS(C48)-0.5*C$17*C$7*(C$11+1/PI()/C$10*C$5^2*(C49-C$8)^2)*G16^2*SIN(C48)-C$15</f>
        <v>-8.0035533756017685E-11</v>
      </c>
      <c r="C49" s="42">
        <v>-7.8797393196572887E-3</v>
      </c>
      <c r="D49" s="43">
        <f t="shared" si="7"/>
        <v>-0.45147580667964932</v>
      </c>
      <c r="F49" s="11">
        <f t="shared" si="16"/>
        <v>0.77100000000000002</v>
      </c>
      <c r="G49" s="28">
        <f t="shared" si="16"/>
        <v>153.61000000000001</v>
      </c>
      <c r="H49" s="12">
        <f t="shared" si="17"/>
        <v>82.008178565960719</v>
      </c>
      <c r="I49" s="12">
        <f t="shared" si="18"/>
        <v>1.0384357470668473</v>
      </c>
      <c r="J49" s="11">
        <f t="shared" si="19"/>
        <v>0.83120855965884832</v>
      </c>
      <c r="K49" s="21">
        <f t="shared" si="20"/>
        <v>168451.38328625864</v>
      </c>
      <c r="L49" s="21">
        <f t="shared" si="21"/>
        <v>129928.00863542708</v>
      </c>
      <c r="M49" s="21">
        <f t="shared" si="22"/>
        <v>-38523.374650831567</v>
      </c>
      <c r="N49" s="12">
        <f t="shared" si="23"/>
        <v>-1.328692101401215</v>
      </c>
      <c r="O49" s="12">
        <f t="shared" si="24"/>
        <v>-0.92834375870759211</v>
      </c>
      <c r="P49" s="28">
        <f t="shared" si="25"/>
        <v>3.86</v>
      </c>
    </row>
    <row r="50" spans="1:16" x14ac:dyDescent="0.3">
      <c r="A50" s="32">
        <v>29</v>
      </c>
      <c r="B50" s="47">
        <f>-K17*COS(C50+C51-C$3)+0.5*C$17*C$7*C$5*(C51-C$8)*G17^2*SIN(C50)+0.5*C$17*C$7*(C$11+1/PI()/C$10*C$5^2*(C51-C$8)^2)*G17^2*COS(C50)</f>
        <v>3.4623277315404266E-5</v>
      </c>
      <c r="C50" s="33">
        <v>-7.3039504351722462E-2</v>
      </c>
      <c r="D50" s="34">
        <f t="shared" si="7"/>
        <v>-4.1848553370811068</v>
      </c>
      <c r="F50" s="11">
        <f t="shared" si="16"/>
        <v>0.56899999999999995</v>
      </c>
      <c r="G50" s="28">
        <f t="shared" si="16"/>
        <v>116.14</v>
      </c>
      <c r="H50" s="12">
        <f t="shared" si="17"/>
        <v>95.461492914500454</v>
      </c>
      <c r="I50" s="12">
        <f t="shared" si="18"/>
        <v>1.2087895188533324</v>
      </c>
      <c r="J50" s="11">
        <f t="shared" si="19"/>
        <v>0.85091985496285427</v>
      </c>
      <c r="K50" s="21">
        <f t="shared" si="20"/>
        <v>193728.45519913171</v>
      </c>
      <c r="L50" s="21">
        <f t="shared" si="21"/>
        <v>133009.12385821241</v>
      </c>
      <c r="M50" s="21">
        <f t="shared" si="22"/>
        <v>-60719.331340919307</v>
      </c>
      <c r="N50" s="12">
        <f t="shared" si="23"/>
        <v>-2.0942426951503124</v>
      </c>
      <c r="O50" s="12">
        <f t="shared" si="24"/>
        <v>-1.2570607375169172</v>
      </c>
      <c r="P50" s="28">
        <f t="shared" si="25"/>
        <v>2.0419999999999998</v>
      </c>
    </row>
    <row r="51" spans="1:16" x14ac:dyDescent="0.3">
      <c r="A51" s="35">
        <v>30</v>
      </c>
      <c r="B51" s="48">
        <f>K17*SIN(C50+C51-C$3)+0.5*C$17*C$7*C$5*(C51-C$8)*G17^2*COS(C50)-0.5*C$17*C$7*(C$11+1/PI()/C$10*C$5^2*(C51-C$8)^2)*G17^2*SIN(C50)-C$15</f>
        <v>5.0931703299283981E-11</v>
      </c>
      <c r="C51" s="36">
        <v>-1.2786492804266785E-2</v>
      </c>
      <c r="D51" s="37">
        <f t="shared" si="7"/>
        <v>-0.73261207245888338</v>
      </c>
      <c r="F51" s="11">
        <f t="shared" si="16"/>
        <v>0.47099999999999997</v>
      </c>
      <c r="G51" s="28">
        <f t="shared" si="16"/>
        <v>88.53</v>
      </c>
      <c r="H51" s="12">
        <f t="shared" si="17"/>
        <v>104.92377358645402</v>
      </c>
      <c r="I51" s="12">
        <f t="shared" si="18"/>
        <v>1.3286064769952948</v>
      </c>
      <c r="J51" s="11">
        <f t="shared" si="19"/>
        <v>0.85363474322620947</v>
      </c>
      <c r="K51" s="21">
        <f t="shared" si="20"/>
        <v>221890.69688221201</v>
      </c>
      <c r="L51" s="21">
        <f t="shared" si="21"/>
        <v>133433.49391747912</v>
      </c>
      <c r="M51" s="21">
        <f t="shared" si="22"/>
        <v>-88457.202964732889</v>
      </c>
      <c r="N51" s="12">
        <f t="shared" si="23"/>
        <v>-3.0509369430008562</v>
      </c>
      <c r="O51" s="12">
        <f t="shared" si="24"/>
        <v>-1.6662615833778518</v>
      </c>
      <c r="P51" s="28">
        <f t="shared" si="25"/>
        <v>1.198</v>
      </c>
    </row>
    <row r="52" spans="1:16" x14ac:dyDescent="0.3">
      <c r="F52" s="11">
        <f t="shared" si="16"/>
        <v>0.371</v>
      </c>
      <c r="G52" s="28">
        <f t="shared" si="16"/>
        <v>56.77</v>
      </c>
      <c r="H52" s="12">
        <f t="shared" si="17"/>
        <v>118.22175451387464</v>
      </c>
      <c r="I52" s="12">
        <f t="shared" si="18"/>
        <v>1.4969933257257515</v>
      </c>
      <c r="J52" s="11">
        <f t="shared" si="19"/>
        <v>0.84600500525548972</v>
      </c>
      <c r="K52" s="21">
        <f t="shared" si="20"/>
        <v>277092.56899529375</v>
      </c>
      <c r="L52" s="21">
        <f t="shared" si="21"/>
        <v>132240.87306507525</v>
      </c>
      <c r="M52" s="21">
        <f t="shared" si="22"/>
        <v>-144851.6959302185</v>
      </c>
      <c r="N52" s="12">
        <f t="shared" si="23"/>
        <v>-4.9960136151492982</v>
      </c>
      <c r="O52" s="12">
        <f t="shared" si="24"/>
        <v>-2.4220226285382171</v>
      </c>
      <c r="P52" s="28">
        <f t="shared" si="25"/>
        <v>0.42</v>
      </c>
    </row>
    <row r="53" spans="1:16" x14ac:dyDescent="0.3">
      <c r="B53" s="53"/>
      <c r="C53" s="53"/>
      <c r="D53" s="53"/>
      <c r="F53" s="11">
        <f t="shared" si="16"/>
        <v>0.27600000000000002</v>
      </c>
      <c r="G53" s="28">
        <f t="shared" si="16"/>
        <v>29.74</v>
      </c>
      <c r="H53" s="12">
        <f t="shared" si="17"/>
        <v>137.0660237364433</v>
      </c>
      <c r="I53" s="12">
        <f t="shared" si="18"/>
        <v>1.7356105359876222</v>
      </c>
      <c r="J53" s="11">
        <f t="shared" si="19"/>
        <v>0.82175424263816854</v>
      </c>
      <c r="K53" s="21">
        <f t="shared" si="20"/>
        <v>382836.94694219605</v>
      </c>
      <c r="L53" s="21">
        <f t="shared" si="21"/>
        <v>128450.18388346698</v>
      </c>
      <c r="M53" s="21">
        <f t="shared" si="22"/>
        <v>-254386.76305872906</v>
      </c>
      <c r="N53" s="12">
        <f t="shared" si="23"/>
        <v>-8.7739375337892316</v>
      </c>
      <c r="O53" s="12">
        <f t="shared" si="24"/>
        <v>-3.6701549248192218</v>
      </c>
      <c r="P53" s="28">
        <f t="shared" si="25"/>
        <v>-0.29199999999999998</v>
      </c>
    </row>
    <row r="54" spans="1:16" x14ac:dyDescent="0.3">
      <c r="B54" s="53"/>
      <c r="C54" s="53"/>
      <c r="D54" s="53"/>
      <c r="F54" s="103">
        <f t="shared" si="16"/>
        <v>0.186</v>
      </c>
      <c r="G54" s="101">
        <f t="shared" si="16"/>
        <v>10.85</v>
      </c>
      <c r="H54" s="102">
        <f t="shared" si="17"/>
        <v>166.96593854825457</v>
      </c>
      <c r="I54" s="102">
        <f t="shared" si="18"/>
        <v>2.114220827275398</v>
      </c>
      <c r="J54" s="103">
        <f t="shared" si="19"/>
        <v>0.78490300037399008</v>
      </c>
      <c r="K54" s="104">
        <f t="shared" si="20"/>
        <v>633825.13434443995</v>
      </c>
      <c r="L54" s="104">
        <f t="shared" si="21"/>
        <v>122689.88646173262</v>
      </c>
      <c r="M54" s="104">
        <f t="shared" si="22"/>
        <v>-511135.24788270734</v>
      </c>
      <c r="N54" s="102">
        <f t="shared" si="23"/>
        <v>-17.62933213315582</v>
      </c>
      <c r="O54" s="102">
        <f t="shared" si="24"/>
        <v>-6.060952531863947</v>
      </c>
      <c r="P54" s="101">
        <f t="shared" si="25"/>
        <v>-1.071</v>
      </c>
    </row>
    <row r="55" spans="1:16" ht="15.6" thickBot="1" x14ac:dyDescent="0.35">
      <c r="B55" s="53"/>
      <c r="C55" s="53"/>
      <c r="D55" s="53"/>
      <c r="F55" s="105"/>
      <c r="G55" s="105"/>
      <c r="H55" s="50"/>
      <c r="I55" s="50"/>
      <c r="J55" s="49"/>
      <c r="K55" s="51"/>
      <c r="L55" s="51"/>
      <c r="M55" s="51"/>
      <c r="N55" s="50"/>
      <c r="O55" s="50"/>
      <c r="P55" s="105"/>
    </row>
    <row r="56" spans="1:16" ht="18.600000000000001" thickBot="1" x14ac:dyDescent="0.35">
      <c r="G56" s="132" t="s">
        <v>199</v>
      </c>
      <c r="H56" s="133"/>
      <c r="I56" s="133"/>
      <c r="J56" s="133"/>
      <c r="K56" s="133"/>
      <c r="L56" s="133"/>
      <c r="M56" s="133"/>
      <c r="N56" s="134"/>
    </row>
    <row r="57" spans="1:16" ht="18.600000000000001" thickBot="1" x14ac:dyDescent="0.35">
      <c r="B57" s="54" t="s">
        <v>154</v>
      </c>
      <c r="C57" s="54" t="s">
        <v>156</v>
      </c>
      <c r="D57" s="30" t="s">
        <v>157</v>
      </c>
      <c r="E57" s="30" t="s">
        <v>155</v>
      </c>
      <c r="G57" s="97" t="s">
        <v>67</v>
      </c>
      <c r="H57" s="97" t="s">
        <v>15</v>
      </c>
      <c r="I57" s="96" t="s">
        <v>74</v>
      </c>
      <c r="J57" s="96" t="s">
        <v>73</v>
      </c>
      <c r="K57" s="96" t="s">
        <v>68</v>
      </c>
      <c r="L57" s="96" t="s">
        <v>70</v>
      </c>
      <c r="M57" s="96" t="s">
        <v>87</v>
      </c>
      <c r="N57" s="96" t="s">
        <v>69</v>
      </c>
    </row>
    <row r="58" spans="1:16" x14ac:dyDescent="0.3">
      <c r="B58" s="110">
        <f>-K58*COS(C58+D58-C$3)+0.5*C$17*C$7*C$5*(D58-C$8)*G58^2*SIN(C58)+0.5*C$17*C$7*(C$11+1/PI()/C$10*C$5^2*(D58-C$8)^2)*G58^2*COS(C58)</f>
        <v>3.0632095331384335E-6</v>
      </c>
      <c r="C58" s="56">
        <v>-2.8788751522235836E-2</v>
      </c>
      <c r="D58" s="55">
        <v>0.21013081578896503</v>
      </c>
      <c r="E58" s="100">
        <f>K58*SIN(C58+D58-C$3)+0.5*C$17*C$7*C$5*(D58-C$8)*G58^2*COS(C58)-0.5*C$17*C$7*(C$11+1/PI()/C$10*C$5^2*(D58-C$8)^2)*G58^2*SIN(C58)-C$20</f>
        <v>0</v>
      </c>
      <c r="G58" s="91">
        <f>SQRT(2*C$2/C$7/C$16/C$17)</f>
        <v>56.401486852033145</v>
      </c>
      <c r="H58" s="92">
        <f>G58/C$12/C$4</f>
        <v>0.71418876945015419</v>
      </c>
      <c r="I58" s="93">
        <f>0.2202*H58^3-1.1245*H58^2+1.7429*H58</f>
        <v>0.75140598434307981</v>
      </c>
      <c r="J58" s="94">
        <f>C$18*I58</f>
        <v>117453.89540082317</v>
      </c>
      <c r="K58" s="94">
        <f>J58/G58</f>
        <v>2082.4609767639349</v>
      </c>
      <c r="L58" s="92">
        <f>DEGREES(D58)</f>
        <v>12.039608890348658</v>
      </c>
      <c r="M58" s="92">
        <f>DEGREES(C58)</f>
        <v>-1.6494739596749375</v>
      </c>
      <c r="N58" s="92">
        <f>G58*SIN(RADIANS(M58))</f>
        <v>-1.6235041108540935</v>
      </c>
    </row>
    <row r="59" spans="1:16" x14ac:dyDescent="0.3">
      <c r="B59" s="100">
        <f t="shared" ref="B59:B72" si="26">-K59*COS(C59+D59-C$3)+0.5*C$17*C$7*C$5*(D59-C$8)*G59^2*SIN(C59)+0.5*C$17*C$7*(C$11+1/PI()/C$10*C$5^2*(D59-C$8)^2)*G59^2*COS(C59)</f>
        <v>7.0387886808020994E-6</v>
      </c>
      <c r="C59" s="56">
        <v>-2.7708895503413208E-2</v>
      </c>
      <c r="D59" s="55">
        <v>0.20478457877620365</v>
      </c>
      <c r="E59" s="100">
        <f t="shared" ref="E59:E72" si="27">K59*SIN(C59+D59-C$3)+0.5*C$17*C$7*C$5*(D59-C$8)*G59^2*COS(C59)-0.5*C$17*C$7*(C$11+1/PI()/C$10*C$5^2*(D59-C$8)^2)*G59^2*SIN(C59)-C$20</f>
        <v>0</v>
      </c>
      <c r="G59" s="95">
        <f>G4</f>
        <v>57</v>
      </c>
      <c r="H59" s="12">
        <f t="shared" ref="H59:H72" si="28">G59/C$12/C$4</f>
        <v>0.72176749463106271</v>
      </c>
      <c r="I59" s="11">
        <f t="shared" ref="I59:I72" si="29">0.2202*H59^3-1.1245*H59^2+1.7429*H59</f>
        <v>0.75495816885893885</v>
      </c>
      <c r="J59" s="21">
        <f t="shared" ref="J59:J72" si="30">C$18*I59</f>
        <v>118009.14504916724</v>
      </c>
      <c r="K59" s="21">
        <f t="shared" ref="K59:K72" si="31">J59/G59</f>
        <v>2070.3358780555659</v>
      </c>
      <c r="L59" s="12">
        <f t="shared" ref="L59:L72" si="32">DEGREES(D59)</f>
        <v>11.733292073240802</v>
      </c>
      <c r="M59" s="12">
        <f t="shared" ref="M59:M71" si="33">DEGREES(C59)</f>
        <v>-1.5876027673146014</v>
      </c>
      <c r="N59" s="12">
        <f t="shared" ref="N59:N72" si="34">G59*SIN(RADIANS(M59))</f>
        <v>-1.5792049445023699</v>
      </c>
    </row>
    <row r="60" spans="1:16" x14ac:dyDescent="0.3">
      <c r="B60" s="100">
        <f t="shared" si="26"/>
        <v>1.1622136298683472E-5</v>
      </c>
      <c r="C60" s="56">
        <v>-2.60272502975262E-2</v>
      </c>
      <c r="D60" s="55">
        <v>0.19620563244005404</v>
      </c>
      <c r="E60" s="100">
        <f t="shared" si="27"/>
        <v>0</v>
      </c>
      <c r="G60" s="95">
        <f t="shared" ref="G60:G72" si="35">G5</f>
        <v>58</v>
      </c>
      <c r="H60" s="12">
        <f t="shared" si="28"/>
        <v>0.73443008225616913</v>
      </c>
      <c r="I60" s="11">
        <f t="shared" si="29"/>
        <v>0.76072746039299255</v>
      </c>
      <c r="J60" s="21">
        <f t="shared" si="30"/>
        <v>118910.95549318443</v>
      </c>
      <c r="K60" s="21">
        <f t="shared" si="31"/>
        <v>2050.1888878135246</v>
      </c>
      <c r="L60" s="12">
        <f t="shared" si="32"/>
        <v>11.241754655510208</v>
      </c>
      <c r="M60" s="12">
        <f t="shared" si="33"/>
        <v>-1.4912515943788673</v>
      </c>
      <c r="N60" s="12">
        <f t="shared" si="34"/>
        <v>-1.5094100869209828</v>
      </c>
    </row>
    <row r="61" spans="1:16" x14ac:dyDescent="0.3">
      <c r="B61" s="100">
        <f t="shared" si="26"/>
        <v>-5.0384378346279846E-4</v>
      </c>
      <c r="C61" s="56">
        <v>-2.4490597408462541E-2</v>
      </c>
      <c r="D61" s="55">
        <v>0.1880445680758038</v>
      </c>
      <c r="E61" s="100">
        <f t="shared" si="27"/>
        <v>4.0017766878008842E-11</v>
      </c>
      <c r="G61" s="95">
        <f t="shared" si="35"/>
        <v>59</v>
      </c>
      <c r="H61" s="12">
        <f t="shared" si="28"/>
        <v>0.74709266988127543</v>
      </c>
      <c r="I61" s="11">
        <f t="shared" si="29"/>
        <v>0.76629172838389359</v>
      </c>
      <c r="J61" s="21">
        <f t="shared" si="30"/>
        <v>119780.71826351531</v>
      </c>
      <c r="K61" s="21">
        <f t="shared" si="31"/>
        <v>2030.1816654833103</v>
      </c>
      <c r="L61" s="12">
        <f t="shared" si="32"/>
        <v>10.774160111104054</v>
      </c>
      <c r="M61" s="12">
        <f t="shared" si="33"/>
        <v>-1.4032078692589351</v>
      </c>
      <c r="N61" s="12">
        <f t="shared" si="34"/>
        <v>-1.4448008076331793</v>
      </c>
    </row>
    <row r="62" spans="1:16" x14ac:dyDescent="0.3">
      <c r="B62" s="100">
        <f t="shared" si="26"/>
        <v>2.4648642784086405E-4</v>
      </c>
      <c r="C62" s="56">
        <v>-1.6465939859515062E-2</v>
      </c>
      <c r="D62" s="55">
        <v>0.13502048123424093</v>
      </c>
      <c r="E62" s="100">
        <f t="shared" si="27"/>
        <v>3.637978807091713E-11</v>
      </c>
      <c r="G62" s="95">
        <f t="shared" si="35"/>
        <v>67</v>
      </c>
      <c r="H62" s="12">
        <f t="shared" si="28"/>
        <v>0.84839337088212652</v>
      </c>
      <c r="I62" s="11">
        <f t="shared" si="29"/>
        <v>0.80374692195991659</v>
      </c>
      <c r="J62" s="21">
        <f t="shared" si="30"/>
        <v>125635.420621711</v>
      </c>
      <c r="K62" s="21">
        <f t="shared" si="31"/>
        <v>1875.1555316673284</v>
      </c>
      <c r="L62" s="12">
        <f t="shared" si="32"/>
        <v>7.7361037225473375</v>
      </c>
      <c r="M62" s="12">
        <f t="shared" si="33"/>
        <v>-0.94342885966644874</v>
      </c>
      <c r="N62" s="12">
        <f t="shared" si="34"/>
        <v>-1.1031681192012708</v>
      </c>
    </row>
    <row r="63" spans="1:16" x14ac:dyDescent="0.3">
      <c r="B63" s="100">
        <f t="shared" si="26"/>
        <v>5.4034016557125142E-5</v>
      </c>
      <c r="C63" s="56">
        <v>-1.4042909673685034E-2</v>
      </c>
      <c r="D63" s="55">
        <v>0.10173504868593246</v>
      </c>
      <c r="E63" s="100">
        <f t="shared" si="27"/>
        <v>0</v>
      </c>
      <c r="G63" s="95">
        <f t="shared" si="35"/>
        <v>74</v>
      </c>
      <c r="H63" s="12">
        <f t="shared" si="28"/>
        <v>0.93703148425787097</v>
      </c>
      <c r="I63" s="11">
        <f t="shared" si="29"/>
        <v>0.82697700721554901</v>
      </c>
      <c r="J63" s="21">
        <f t="shared" si="30"/>
        <v>129266.5655162418</v>
      </c>
      <c r="K63" s="21">
        <f t="shared" si="31"/>
        <v>1746.8454799492135</v>
      </c>
      <c r="L63" s="12">
        <f t="shared" si="32"/>
        <v>5.8289889182618815</v>
      </c>
      <c r="M63" s="12">
        <f t="shared" si="33"/>
        <v>-0.8045994563855885</v>
      </c>
      <c r="N63" s="12">
        <f t="shared" si="34"/>
        <v>-1.039141161387106</v>
      </c>
    </row>
    <row r="64" spans="1:16" x14ac:dyDescent="0.3">
      <c r="B64" s="100">
        <f t="shared" si="26"/>
        <v>-4.6360059968719725E-5</v>
      </c>
      <c r="C64" s="56">
        <v>-1.4514532658039753E-2</v>
      </c>
      <c r="D64" s="55">
        <v>7.6564684935776825E-2</v>
      </c>
      <c r="E64" s="100">
        <f t="shared" si="27"/>
        <v>0</v>
      </c>
      <c r="G64" s="95">
        <f t="shared" si="35"/>
        <v>81</v>
      </c>
      <c r="H64" s="12">
        <f t="shared" si="28"/>
        <v>1.0256695976336156</v>
      </c>
      <c r="I64" s="11">
        <f t="shared" si="29"/>
        <v>0.84226400057853157</v>
      </c>
      <c r="J64" s="21">
        <f t="shared" si="30"/>
        <v>131656.10852875662</v>
      </c>
      <c r="K64" s="21">
        <f t="shared" si="31"/>
        <v>1625.3840559105756</v>
      </c>
      <c r="L64" s="12">
        <f t="shared" si="32"/>
        <v>4.3868333065688843</v>
      </c>
      <c r="M64" s="12">
        <f t="shared" si="33"/>
        <v>-0.83162146291047845</v>
      </c>
      <c r="N64" s="12">
        <f t="shared" si="34"/>
        <v>-1.1756358654270802</v>
      </c>
    </row>
    <row r="65" spans="1:14" x14ac:dyDescent="0.3">
      <c r="B65" s="100">
        <f t="shared" si="26"/>
        <v>-9.4470919748346205E-5</v>
      </c>
      <c r="C65" s="56">
        <v>-1.7562563524248297E-2</v>
      </c>
      <c r="D65" s="55">
        <v>5.4662342164752062E-2</v>
      </c>
      <c r="E65" s="100">
        <f t="shared" si="27"/>
        <v>0</v>
      </c>
      <c r="G65" s="95">
        <f t="shared" si="35"/>
        <v>89</v>
      </c>
      <c r="H65" s="12">
        <f t="shared" si="28"/>
        <v>1.1269702986344665</v>
      </c>
      <c r="I65" s="11">
        <f t="shared" si="29"/>
        <v>0.85118890490748611</v>
      </c>
      <c r="J65" s="21">
        <f t="shared" si="30"/>
        <v>133051.17963726239</v>
      </c>
      <c r="K65" s="21">
        <f t="shared" si="31"/>
        <v>1494.957074575982</v>
      </c>
      <c r="L65" s="12">
        <f t="shared" si="32"/>
        <v>3.1319215043402973</v>
      </c>
      <c r="M65" s="12">
        <f t="shared" si="33"/>
        <v>-1.0062607673698325</v>
      </c>
      <c r="N65" s="12">
        <f t="shared" si="34"/>
        <v>-1.5629878018261354</v>
      </c>
    </row>
    <row r="66" spans="1:14" x14ac:dyDescent="0.3">
      <c r="B66" s="100">
        <f t="shared" si="26"/>
        <v>2.5657992864580592E-5</v>
      </c>
      <c r="C66" s="56">
        <v>-2.1843105034637236E-2</v>
      </c>
      <c r="D66" s="55">
        <v>3.9767743385401552E-2</v>
      </c>
      <c r="E66" s="100">
        <f t="shared" si="27"/>
        <v>5.8207660913467407E-11</v>
      </c>
      <c r="G66" s="95">
        <f t="shared" si="35"/>
        <v>96</v>
      </c>
      <c r="H66" s="12">
        <f t="shared" si="28"/>
        <v>1.2156084120102111</v>
      </c>
      <c r="I66" s="11">
        <f t="shared" si="29"/>
        <v>0.8525532476442943</v>
      </c>
      <c r="J66" s="21">
        <f t="shared" si="30"/>
        <v>133264.44300279181</v>
      </c>
      <c r="K66" s="21">
        <f t="shared" si="31"/>
        <v>1388.1712812790813</v>
      </c>
      <c r="L66" s="12">
        <f t="shared" si="32"/>
        <v>2.2785238567428054</v>
      </c>
      <c r="M66" s="12">
        <f t="shared" si="33"/>
        <v>-1.2515177299456735</v>
      </c>
      <c r="N66" s="12">
        <f t="shared" si="34"/>
        <v>-2.0967713383542042</v>
      </c>
    </row>
    <row r="67" spans="1:14" x14ac:dyDescent="0.3">
      <c r="B67" s="100">
        <f t="shared" si="26"/>
        <v>-2.6976770686815144E-4</v>
      </c>
      <c r="C67" s="56">
        <v>-2.7269039940531328E-2</v>
      </c>
      <c r="D67" s="55">
        <v>2.7777759979805909E-2</v>
      </c>
      <c r="E67" s="100">
        <f t="shared" si="27"/>
        <v>0</v>
      </c>
      <c r="G67" s="95">
        <f t="shared" si="35"/>
        <v>103</v>
      </c>
      <c r="H67" s="12">
        <f t="shared" si="28"/>
        <v>1.3042465253859556</v>
      </c>
      <c r="I67" s="11">
        <f t="shared" si="29"/>
        <v>0.84886620835598925</v>
      </c>
      <c r="J67" s="21">
        <f t="shared" si="30"/>
        <v>132688.11391315074</v>
      </c>
      <c r="K67" s="21">
        <f t="shared" si="31"/>
        <v>1288.2341156616576</v>
      </c>
      <c r="L67" s="12">
        <f t="shared" si="32"/>
        <v>1.5915484111702813</v>
      </c>
      <c r="M67" s="12">
        <f t="shared" si="33"/>
        <v>-1.5624008999661185</v>
      </c>
      <c r="N67" s="12">
        <f t="shared" si="34"/>
        <v>-2.8083630336334529</v>
      </c>
    </row>
    <row r="68" spans="1:14" x14ac:dyDescent="0.3">
      <c r="B68" s="100">
        <f t="shared" si="26"/>
        <v>-1.5431996052939212E-4</v>
      </c>
      <c r="C68" s="56">
        <v>-3.457428011016677E-2</v>
      </c>
      <c r="D68" s="55">
        <v>1.6733399764833214E-2</v>
      </c>
      <c r="E68" s="100">
        <f t="shared" si="27"/>
        <v>6.184563972055912E-11</v>
      </c>
      <c r="G68" s="95">
        <f t="shared" si="35"/>
        <v>111</v>
      </c>
      <c r="H68" s="12">
        <f t="shared" si="28"/>
        <v>1.4055472263868065</v>
      </c>
      <c r="I68" s="11">
        <f t="shared" si="29"/>
        <v>0.83964737316617111</v>
      </c>
      <c r="J68" s="21">
        <f t="shared" si="30"/>
        <v>131247.09783573824</v>
      </c>
      <c r="K68" s="21">
        <f t="shared" si="31"/>
        <v>1182.4062868084527</v>
      </c>
      <c r="L68" s="12">
        <f t="shared" si="32"/>
        <v>0.95875318343014737</v>
      </c>
      <c r="M68" s="12">
        <f t="shared" si="33"/>
        <v>-1.9809603300156629</v>
      </c>
      <c r="N68" s="12">
        <f t="shared" si="34"/>
        <v>-3.8369805434309971</v>
      </c>
    </row>
    <row r="69" spans="1:14" x14ac:dyDescent="0.3">
      <c r="B69" s="100">
        <f t="shared" si="26"/>
        <v>3.6364246170705883E-5</v>
      </c>
      <c r="C69" s="56">
        <v>-4.1749013614419683E-2</v>
      </c>
      <c r="D69" s="55">
        <v>8.8407030604852038E-3</v>
      </c>
      <c r="E69" s="100">
        <f t="shared" si="27"/>
        <v>0</v>
      </c>
      <c r="G69" s="95">
        <f t="shared" si="35"/>
        <v>118</v>
      </c>
      <c r="H69" s="12">
        <f t="shared" si="28"/>
        <v>1.4941853397625509</v>
      </c>
      <c r="I69" s="11">
        <f t="shared" si="29"/>
        <v>0.82823420439641393</v>
      </c>
      <c r="J69" s="21">
        <f t="shared" si="30"/>
        <v>129463.08072806649</v>
      </c>
      <c r="K69" s="21">
        <f t="shared" si="31"/>
        <v>1097.1447519327669</v>
      </c>
      <c r="L69" s="12">
        <f t="shared" si="32"/>
        <v>0.50653497329419228</v>
      </c>
      <c r="M69" s="12">
        <f t="shared" si="33"/>
        <v>-2.3920422789404623</v>
      </c>
      <c r="N69" s="12">
        <f t="shared" si="34"/>
        <v>-4.9249526330855939</v>
      </c>
    </row>
    <row r="70" spans="1:14" x14ac:dyDescent="0.3">
      <c r="B70" s="100">
        <f t="shared" si="26"/>
        <v>-1.61079674398934E-5</v>
      </c>
      <c r="C70" s="56">
        <v>-4.9531277502684622E-2</v>
      </c>
      <c r="D70" s="55">
        <v>2.2272656399802433E-3</v>
      </c>
      <c r="E70" s="100">
        <f t="shared" si="27"/>
        <v>0</v>
      </c>
      <c r="G70" s="95">
        <f t="shared" si="35"/>
        <v>125</v>
      </c>
      <c r="H70" s="12">
        <f t="shared" si="28"/>
        <v>1.5828234531382954</v>
      </c>
      <c r="I70" s="11">
        <f t="shared" si="29"/>
        <v>0.8146613634690798</v>
      </c>
      <c r="J70" s="21">
        <f t="shared" si="30"/>
        <v>127341.48059206965</v>
      </c>
      <c r="K70" s="21">
        <f t="shared" si="31"/>
        <v>1018.7318447365573</v>
      </c>
      <c r="L70" s="12">
        <f t="shared" si="32"/>
        <v>0.12761292102537222</v>
      </c>
      <c r="M70" s="12">
        <f t="shared" si="33"/>
        <v>-2.8379331547951128</v>
      </c>
      <c r="N70" s="12">
        <f t="shared" si="34"/>
        <v>-6.1888783851677704</v>
      </c>
    </row>
    <row r="71" spans="1:14" x14ac:dyDescent="0.3">
      <c r="B71" s="100">
        <f t="shared" si="26"/>
        <v>-6.8868666403432144E-5</v>
      </c>
      <c r="C71" s="56">
        <v>-5.78352882293518E-2</v>
      </c>
      <c r="D71" s="55">
        <v>-3.3692800580071678E-3</v>
      </c>
      <c r="E71" s="100">
        <f t="shared" si="27"/>
        <v>-4.0017766878008842E-11</v>
      </c>
      <c r="G71" s="95">
        <f t="shared" si="35"/>
        <v>132</v>
      </c>
      <c r="H71" s="12">
        <f t="shared" si="28"/>
        <v>1.6714615665140402</v>
      </c>
      <c r="I71" s="11">
        <f t="shared" si="29"/>
        <v>0.79984893988747796</v>
      </c>
      <c r="J71" s="21">
        <f t="shared" si="30"/>
        <v>125026.1186090171</v>
      </c>
      <c r="K71" s="21">
        <f t="shared" si="31"/>
        <v>947.16756521982643</v>
      </c>
      <c r="L71" s="12">
        <f t="shared" si="32"/>
        <v>-0.1930455273214039</v>
      </c>
      <c r="M71" s="12">
        <f t="shared" si="33"/>
        <v>-3.3137179224645061</v>
      </c>
      <c r="N71" s="12">
        <f t="shared" si="34"/>
        <v>-7.6300027602274394</v>
      </c>
    </row>
    <row r="72" spans="1:14" x14ac:dyDescent="0.3">
      <c r="A72" s="54"/>
      <c r="B72" s="100">
        <f t="shared" si="26"/>
        <v>-3.0374516882147873E-5</v>
      </c>
      <c r="C72" s="56">
        <v>-6.7882563721280556E-2</v>
      </c>
      <c r="D72" s="55">
        <v>-8.7725786749523159E-3</v>
      </c>
      <c r="E72" s="100">
        <f t="shared" si="27"/>
        <v>1.5847829126869328E-4</v>
      </c>
      <c r="G72" s="95">
        <f t="shared" si="35"/>
        <v>140</v>
      </c>
      <c r="H72" s="12">
        <f t="shared" si="28"/>
        <v>1.7727622675148911</v>
      </c>
      <c r="I72" s="11">
        <f t="shared" si="29"/>
        <v>0.7825828892247193</v>
      </c>
      <c r="J72" s="21">
        <f t="shared" si="30"/>
        <v>122327.22486743753</v>
      </c>
      <c r="K72" s="21">
        <f t="shared" si="31"/>
        <v>873.76589191026812</v>
      </c>
      <c r="L72" s="12">
        <f t="shared" si="32"/>
        <v>-0.5026317335212358</v>
      </c>
      <c r="M72" s="12">
        <f>DEGREES(C72)</f>
        <v>-3.8893844037572518</v>
      </c>
      <c r="N72" s="12">
        <f t="shared" si="34"/>
        <v>-9.4962618019532439</v>
      </c>
    </row>
    <row r="73" spans="1:14" x14ac:dyDescent="0.3">
      <c r="B73" s="53"/>
      <c r="C73" s="53"/>
      <c r="D73" s="53"/>
    </row>
    <row r="74" spans="1:14" x14ac:dyDescent="0.3">
      <c r="B74" s="53"/>
      <c r="C74" s="53"/>
      <c r="D74" s="53"/>
    </row>
    <row r="75" spans="1:14" x14ac:dyDescent="0.3">
      <c r="B75" s="53"/>
      <c r="C75" s="53"/>
      <c r="D75" s="53"/>
    </row>
    <row r="76" spans="1:14" x14ac:dyDescent="0.3">
      <c r="B76" s="53"/>
      <c r="C76" s="53"/>
      <c r="D76" s="53"/>
    </row>
    <row r="77" spans="1:14" x14ac:dyDescent="0.3">
      <c r="B77" s="53"/>
      <c r="C77" s="53"/>
      <c r="D77" s="53"/>
    </row>
    <row r="78" spans="1:14" x14ac:dyDescent="0.3">
      <c r="B78" s="53"/>
      <c r="C78" s="53"/>
      <c r="D78" s="53"/>
    </row>
    <row r="79" spans="1:14" x14ac:dyDescent="0.3">
      <c r="B79" s="53"/>
      <c r="C79" s="53"/>
      <c r="D79" s="53"/>
    </row>
    <row r="80" spans="1:14" x14ac:dyDescent="0.3">
      <c r="B80" s="53"/>
      <c r="C80" s="53"/>
      <c r="D80" s="53"/>
    </row>
    <row r="81" spans="2:4" x14ac:dyDescent="0.3">
      <c r="B81" s="53"/>
      <c r="C81" s="53"/>
      <c r="D81" s="53"/>
    </row>
    <row r="82" spans="2:4" x14ac:dyDescent="0.3">
      <c r="B82" s="53"/>
      <c r="C82" s="53"/>
      <c r="D82" s="53"/>
    </row>
  </sheetData>
  <mergeCells count="4">
    <mergeCell ref="G1:N1"/>
    <mergeCell ref="F20:P20"/>
    <mergeCell ref="F38:P38"/>
    <mergeCell ref="G56:N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11</vt:i4>
      </vt:variant>
      <vt:variant>
        <vt:lpstr>Nazwane zakresy</vt:lpstr>
      </vt:variant>
      <vt:variant>
        <vt:i4>2</vt:i4>
      </vt:variant>
    </vt:vector>
  </HeadingPairs>
  <TitlesOfParts>
    <vt:vector size="13" baseType="lpstr">
      <vt:lpstr>Podsumowanie</vt:lpstr>
      <vt:lpstr>Meotda CIągu, zmienna masa</vt:lpstr>
      <vt:lpstr>h=0m</vt:lpstr>
      <vt:lpstr>h=1km</vt:lpstr>
      <vt:lpstr>h=2km</vt:lpstr>
      <vt:lpstr>h=3km</vt:lpstr>
      <vt:lpstr>h=4km</vt:lpstr>
      <vt:lpstr>h=5km</vt:lpstr>
      <vt:lpstr>h=6km</vt:lpstr>
      <vt:lpstr>h=7m</vt:lpstr>
      <vt:lpstr>h=8km</vt:lpstr>
      <vt:lpstr>Podsumowanie!V_Piper</vt:lpstr>
      <vt:lpstr>Podsumowanie!V2_Piper</vt:lpstr>
    </vt:vector>
  </TitlesOfParts>
  <Company>Polska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Czajkowski</dc:creator>
  <cp:lastModifiedBy>Czajkowski Sebastian (STUD)</cp:lastModifiedBy>
  <dcterms:created xsi:type="dcterms:W3CDTF">2022-04-13T21:31:56Z</dcterms:created>
  <dcterms:modified xsi:type="dcterms:W3CDTF">2024-02-03T10:13:19Z</dcterms:modified>
</cp:coreProperties>
</file>