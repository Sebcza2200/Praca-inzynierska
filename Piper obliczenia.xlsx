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Desktop\Studia\Inżynier\OBRONA\praca\Praca\Piper\"/>
    </mc:Choice>
  </mc:AlternateContent>
  <xr:revisionPtr revIDLastSave="0" documentId="13_ncr:1_{C55DE0A6-16D3-402E-B440-B09A563CB28D}" xr6:coauthVersionLast="47" xr6:coauthVersionMax="47" xr10:uidLastSave="{00000000-0000-0000-0000-000000000000}"/>
  <bookViews>
    <workbookView xWindow="-108" yWindow="-108" windowWidth="23256" windowHeight="12576" xr2:uid="{8149A5FC-CE87-43FF-B57A-8CB287CFCCD0}"/>
  </bookViews>
  <sheets>
    <sheet name="Arkusz1" sheetId="1" r:id="rId1"/>
    <sheet name="projekty 2 i 3" sheetId="2" r:id="rId2"/>
    <sheet name="projekt 4" sheetId="3" r:id="rId3"/>
    <sheet name="projekt 5" sheetId="4" r:id="rId4"/>
  </sheets>
  <definedNames>
    <definedName name="Cx_Cz" localSheetId="1">'projekty 2 i 3'!$E$2:$F$123</definedName>
    <definedName name="Cz_a" localSheetId="1">'projekty 2 i 3'!$A$3:$B$237</definedName>
    <definedName name="Cz_a_1" localSheetId="1">'projekty 2 i 3'!$F$3:$G$237</definedName>
    <definedName name="_xlnm.Print_Area" localSheetId="1">'projekty 2 i 3'!$G$1:$V$45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R18" i="4"/>
  <c r="U17" i="4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3" i="2"/>
  <c r="M25" i="2" l="1"/>
  <c r="Q48" i="4"/>
  <c r="Q37" i="4"/>
  <c r="Q26" i="4"/>
  <c r="Q15" i="4"/>
  <c r="J59" i="4"/>
  <c r="J48" i="4"/>
  <c r="J37" i="4"/>
  <c r="J26" i="4"/>
  <c r="R57" i="4"/>
  <c r="R56" i="4"/>
  <c r="R55" i="4"/>
  <c r="R54" i="4"/>
  <c r="R53" i="4"/>
  <c r="R52" i="4"/>
  <c r="R51" i="4"/>
  <c r="R50" i="4"/>
  <c r="R35" i="4"/>
  <c r="R34" i="4"/>
  <c r="R33" i="4"/>
  <c r="R32" i="4"/>
  <c r="R31" i="4"/>
  <c r="R30" i="4"/>
  <c r="R29" i="4"/>
  <c r="R28" i="4"/>
  <c r="R46" i="4"/>
  <c r="R45" i="4"/>
  <c r="R44" i="4"/>
  <c r="R43" i="4"/>
  <c r="R42" i="4"/>
  <c r="R41" i="4"/>
  <c r="R40" i="4"/>
  <c r="R39" i="4"/>
  <c r="R24" i="4"/>
  <c r="R23" i="4"/>
  <c r="R22" i="4"/>
  <c r="R21" i="4"/>
  <c r="R20" i="4"/>
  <c r="R19" i="4"/>
  <c r="R17" i="4"/>
  <c r="K68" i="4"/>
  <c r="K67" i="4"/>
  <c r="K66" i="4"/>
  <c r="K65" i="4"/>
  <c r="K64" i="4"/>
  <c r="K63" i="4"/>
  <c r="K62" i="4"/>
  <c r="K61" i="4"/>
  <c r="K57" i="4"/>
  <c r="K56" i="4"/>
  <c r="K55" i="4"/>
  <c r="K54" i="4"/>
  <c r="K53" i="4"/>
  <c r="K52" i="4"/>
  <c r="K51" i="4"/>
  <c r="K50" i="4"/>
  <c r="K46" i="4"/>
  <c r="K45" i="4"/>
  <c r="K44" i="4"/>
  <c r="K43" i="4"/>
  <c r="K42" i="4"/>
  <c r="K41" i="4"/>
  <c r="K40" i="4"/>
  <c r="K39" i="4"/>
  <c r="K35" i="4"/>
  <c r="K34" i="4"/>
  <c r="K33" i="4"/>
  <c r="K32" i="4"/>
  <c r="K31" i="4"/>
  <c r="K30" i="4"/>
  <c r="K29" i="4"/>
  <c r="K28" i="4"/>
  <c r="K18" i="4"/>
  <c r="K19" i="4"/>
  <c r="K20" i="4"/>
  <c r="K21" i="4"/>
  <c r="K22" i="4"/>
  <c r="K23" i="4"/>
  <c r="K24" i="4"/>
  <c r="K17" i="4"/>
  <c r="J15" i="4"/>
  <c r="C108" i="1"/>
  <c r="C107" i="1"/>
  <c r="A3" i="4"/>
  <c r="A4" i="4"/>
  <c r="A5" i="4"/>
  <c r="A6" i="4"/>
  <c r="A7" i="4"/>
  <c r="A8" i="4"/>
  <c r="A9" i="4"/>
  <c r="A10" i="4"/>
  <c r="A2" i="4"/>
  <c r="C2" i="4" s="1"/>
  <c r="N15" i="4" s="1"/>
  <c r="C110" i="1"/>
  <c r="C111" i="1" s="1"/>
  <c r="M1" i="3"/>
  <c r="J40" i="3" s="1"/>
  <c r="K1" i="3"/>
  <c r="G40" i="3" s="1"/>
  <c r="I1" i="3"/>
  <c r="D40" i="3" s="1"/>
  <c r="C104" i="1"/>
  <c r="C103" i="1"/>
  <c r="C61" i="1"/>
  <c r="C101" i="1"/>
  <c r="C102" i="1" s="1"/>
  <c r="C97" i="1"/>
  <c r="C98" i="1" s="1"/>
  <c r="C85" i="1"/>
  <c r="C88" i="1"/>
  <c r="C90" i="1" s="1"/>
  <c r="C80" i="1"/>
  <c r="C79" i="1"/>
  <c r="C81" i="1" s="1"/>
  <c r="C82" i="1" s="1"/>
  <c r="C74" i="1"/>
  <c r="C76" i="1" s="1"/>
  <c r="C62" i="1"/>
  <c r="C63" i="1" s="1"/>
  <c r="C57" i="1"/>
  <c r="C54" i="1"/>
  <c r="C53" i="1"/>
  <c r="C65" i="1" s="1"/>
  <c r="C66" i="1" s="1"/>
  <c r="I4" i="2"/>
  <c r="G4" i="2"/>
  <c r="M4" i="2" s="1"/>
  <c r="H4" i="2"/>
  <c r="I5" i="2"/>
  <c r="G5" i="2"/>
  <c r="M5" i="2" s="1"/>
  <c r="H5" i="2"/>
  <c r="I6" i="2"/>
  <c r="G6" i="2"/>
  <c r="M6" i="2" s="1"/>
  <c r="H6" i="2"/>
  <c r="I7" i="2"/>
  <c r="G7" i="2"/>
  <c r="M7" i="2" s="1"/>
  <c r="H7" i="2"/>
  <c r="I8" i="2"/>
  <c r="G8" i="2"/>
  <c r="M8" i="2" s="1"/>
  <c r="H8" i="2"/>
  <c r="I9" i="2"/>
  <c r="G9" i="2"/>
  <c r="M9" i="2" s="1"/>
  <c r="H9" i="2"/>
  <c r="I10" i="2"/>
  <c r="G10" i="2"/>
  <c r="M10" i="2" s="1"/>
  <c r="H10" i="2"/>
  <c r="I11" i="2"/>
  <c r="G11" i="2"/>
  <c r="M11" i="2" s="1"/>
  <c r="H11" i="2"/>
  <c r="I12" i="2"/>
  <c r="G12" i="2"/>
  <c r="M12" i="2" s="1"/>
  <c r="H12" i="2"/>
  <c r="I13" i="2"/>
  <c r="G13" i="2"/>
  <c r="M13" i="2" s="1"/>
  <c r="H13" i="2"/>
  <c r="I14" i="2"/>
  <c r="G14" i="2"/>
  <c r="M14" i="2" s="1"/>
  <c r="H14" i="2"/>
  <c r="I15" i="2"/>
  <c r="G15" i="2"/>
  <c r="M15" i="2" s="1"/>
  <c r="H15" i="2"/>
  <c r="I16" i="2"/>
  <c r="G16" i="2"/>
  <c r="M16" i="2" s="1"/>
  <c r="H16" i="2"/>
  <c r="I17" i="2"/>
  <c r="G17" i="2"/>
  <c r="M17" i="2" s="1"/>
  <c r="H17" i="2"/>
  <c r="I18" i="2"/>
  <c r="G18" i="2"/>
  <c r="M18" i="2" s="1"/>
  <c r="H18" i="2"/>
  <c r="I19" i="2"/>
  <c r="G19" i="2"/>
  <c r="M19" i="2" s="1"/>
  <c r="H19" i="2"/>
  <c r="I20" i="2"/>
  <c r="G20" i="2"/>
  <c r="M20" i="2" s="1"/>
  <c r="H20" i="2"/>
  <c r="I21" i="2"/>
  <c r="G21" i="2"/>
  <c r="M21" i="2" s="1"/>
  <c r="H21" i="2"/>
  <c r="I22" i="2"/>
  <c r="G22" i="2"/>
  <c r="M22" i="2" s="1"/>
  <c r="H22" i="2"/>
  <c r="I23" i="2"/>
  <c r="G23" i="2"/>
  <c r="M23" i="2" s="1"/>
  <c r="H23" i="2"/>
  <c r="I24" i="2"/>
  <c r="G24" i="2"/>
  <c r="M24" i="2" s="1"/>
  <c r="H24" i="2"/>
  <c r="I25" i="2"/>
  <c r="G25" i="2"/>
  <c r="H25" i="2"/>
  <c r="I26" i="2"/>
  <c r="G26" i="2"/>
  <c r="M26" i="2" s="1"/>
  <c r="H26" i="2"/>
  <c r="I27" i="2"/>
  <c r="G27" i="2"/>
  <c r="M27" i="2" s="1"/>
  <c r="H27" i="2"/>
  <c r="I28" i="2"/>
  <c r="G28" i="2"/>
  <c r="M28" i="2" s="1"/>
  <c r="H28" i="2"/>
  <c r="I29" i="2"/>
  <c r="G29" i="2"/>
  <c r="M29" i="2" s="1"/>
  <c r="H29" i="2"/>
  <c r="I30" i="2"/>
  <c r="G30" i="2"/>
  <c r="M30" i="2" s="1"/>
  <c r="H30" i="2"/>
  <c r="I31" i="2"/>
  <c r="G31" i="2"/>
  <c r="M31" i="2" s="1"/>
  <c r="H31" i="2"/>
  <c r="I32" i="2"/>
  <c r="G32" i="2"/>
  <c r="M32" i="2" s="1"/>
  <c r="H32" i="2"/>
  <c r="I33" i="2"/>
  <c r="G33" i="2"/>
  <c r="M33" i="2" s="1"/>
  <c r="H33" i="2"/>
  <c r="I34" i="2"/>
  <c r="G34" i="2"/>
  <c r="M34" i="2" s="1"/>
  <c r="H34" i="2"/>
  <c r="I35" i="2"/>
  <c r="G35" i="2"/>
  <c r="M35" i="2" s="1"/>
  <c r="H35" i="2"/>
  <c r="I36" i="2"/>
  <c r="G36" i="2"/>
  <c r="M36" i="2" s="1"/>
  <c r="H36" i="2"/>
  <c r="I37" i="2"/>
  <c r="G37" i="2"/>
  <c r="M37" i="2" s="1"/>
  <c r="H37" i="2"/>
  <c r="I38" i="2"/>
  <c r="G38" i="2"/>
  <c r="M38" i="2" s="1"/>
  <c r="I39" i="2"/>
  <c r="G39" i="2"/>
  <c r="M39" i="2" s="1"/>
  <c r="I40" i="2"/>
  <c r="G40" i="2"/>
  <c r="M40" i="2" s="1"/>
  <c r="I41" i="2"/>
  <c r="G41" i="2"/>
  <c r="M41" i="2" s="1"/>
  <c r="I42" i="2"/>
  <c r="G42" i="2"/>
  <c r="M42" i="2" s="1"/>
  <c r="I43" i="2"/>
  <c r="G43" i="2"/>
  <c r="M43" i="2" s="1"/>
  <c r="I44" i="2"/>
  <c r="G44" i="2"/>
  <c r="M44" i="2" s="1"/>
  <c r="H3" i="2"/>
  <c r="G3" i="2"/>
  <c r="M3" i="2" s="1"/>
  <c r="I3" i="2"/>
  <c r="C36" i="1"/>
  <c r="C34" i="1"/>
  <c r="C50" i="2"/>
  <c r="C49" i="2"/>
  <c r="C48" i="2"/>
  <c r="C47" i="2"/>
  <c r="C46" i="2"/>
  <c r="C45" i="2"/>
  <c r="D4" i="2"/>
  <c r="D5" i="2"/>
  <c r="D6" i="2"/>
  <c r="D7" i="2"/>
  <c r="AA7" i="2" s="1"/>
  <c r="D8" i="2"/>
  <c r="D9" i="2"/>
  <c r="D10" i="2"/>
  <c r="D11" i="2"/>
  <c r="D12" i="2"/>
  <c r="D13" i="2"/>
  <c r="D14" i="2"/>
  <c r="D15" i="2"/>
  <c r="AA15" i="2" s="1"/>
  <c r="D16" i="2"/>
  <c r="D17" i="2"/>
  <c r="D18" i="2"/>
  <c r="AA18" i="2" s="1"/>
  <c r="D19" i="2"/>
  <c r="D20" i="2"/>
  <c r="D21" i="2"/>
  <c r="D22" i="2"/>
  <c r="D23" i="2"/>
  <c r="AA23" i="2" s="1"/>
  <c r="D24" i="2"/>
  <c r="D25" i="2"/>
  <c r="D26" i="2"/>
  <c r="AA26" i="2" s="1"/>
  <c r="D27" i="2"/>
  <c r="D28" i="2"/>
  <c r="D29" i="2"/>
  <c r="D30" i="2"/>
  <c r="D31" i="2"/>
  <c r="AA31" i="2" s="1"/>
  <c r="D32" i="2"/>
  <c r="D33" i="2"/>
  <c r="D34" i="2"/>
  <c r="AA34" i="2" s="1"/>
  <c r="D35" i="2"/>
  <c r="D36" i="2"/>
  <c r="D37" i="2"/>
  <c r="D38" i="2"/>
  <c r="D39" i="2"/>
  <c r="AA39" i="2" s="1"/>
  <c r="D40" i="2"/>
  <c r="D41" i="2"/>
  <c r="D42" i="2"/>
  <c r="AA42" i="2" s="1"/>
  <c r="D43" i="2"/>
  <c r="D44" i="2"/>
  <c r="D45" i="2"/>
  <c r="D46" i="2"/>
  <c r="D47" i="2"/>
  <c r="D48" i="2"/>
  <c r="D49" i="2"/>
  <c r="D50" i="2"/>
  <c r="D3" i="2"/>
  <c r="C39" i="2"/>
  <c r="H39" i="2" s="1"/>
  <c r="C40" i="2"/>
  <c r="H40" i="2" s="1"/>
  <c r="C41" i="2"/>
  <c r="H41" i="2" s="1"/>
  <c r="C42" i="2"/>
  <c r="H42" i="2" s="1"/>
  <c r="C43" i="2"/>
  <c r="H43" i="2" s="1"/>
  <c r="C44" i="2"/>
  <c r="H44" i="2" s="1"/>
  <c r="C38" i="2"/>
  <c r="C27" i="1"/>
  <c r="C26" i="1"/>
  <c r="C50" i="1" s="1"/>
  <c r="C20" i="1"/>
  <c r="C40" i="1" s="1"/>
  <c r="C19" i="1"/>
  <c r="C22" i="1" s="1"/>
  <c r="N19" i="4" l="1"/>
  <c r="N20" i="4"/>
  <c r="N21" i="4"/>
  <c r="D2" i="4"/>
  <c r="L15" i="4"/>
  <c r="N18" i="4"/>
  <c r="N17" i="4"/>
  <c r="N24" i="4"/>
  <c r="N23" i="4"/>
  <c r="N22" i="4"/>
  <c r="AA10" i="2"/>
  <c r="AA41" i="2"/>
  <c r="AA25" i="2"/>
  <c r="AA40" i="2"/>
  <c r="AA32" i="2"/>
  <c r="AA24" i="2"/>
  <c r="AA16" i="2"/>
  <c r="AA8" i="2"/>
  <c r="AA38" i="2"/>
  <c r="AA30" i="2"/>
  <c r="AA22" i="2"/>
  <c r="AA14" i="2"/>
  <c r="AA6" i="2"/>
  <c r="AA29" i="2"/>
  <c r="AA21" i="2"/>
  <c r="AA13" i="2"/>
  <c r="AA5" i="2"/>
  <c r="AA36" i="2"/>
  <c r="AA4" i="2"/>
  <c r="AA37" i="2"/>
  <c r="AA44" i="2"/>
  <c r="AA28" i="2"/>
  <c r="AA20" i="2"/>
  <c r="AA12" i="2"/>
  <c r="AA3" i="2"/>
  <c r="AA43" i="2"/>
  <c r="AA35" i="2"/>
  <c r="AA27" i="2"/>
  <c r="AA19" i="2"/>
  <c r="AA11" i="2"/>
  <c r="AA33" i="2"/>
  <c r="AA17" i="2"/>
  <c r="AA9" i="2"/>
  <c r="C5" i="4"/>
  <c r="C8" i="4"/>
  <c r="C6" i="4"/>
  <c r="C4" i="4"/>
  <c r="C10" i="4"/>
  <c r="C3" i="4"/>
  <c r="C9" i="4"/>
  <c r="C7" i="4"/>
  <c r="C42" i="3"/>
  <c r="C44" i="3"/>
  <c r="F44" i="3"/>
  <c r="F42" i="3"/>
  <c r="I44" i="3"/>
  <c r="I42" i="3"/>
  <c r="C42" i="1"/>
  <c r="C43" i="1"/>
  <c r="C41" i="1"/>
  <c r="C46" i="1" s="1"/>
  <c r="C39" i="1"/>
  <c r="C44" i="1" s="1"/>
  <c r="C91" i="1"/>
  <c r="C92" i="1" s="1"/>
  <c r="C33" i="1"/>
  <c r="H38" i="2"/>
  <c r="C21" i="1"/>
  <c r="C77" i="1" s="1"/>
  <c r="U20" i="4" l="1"/>
  <c r="S15" i="4"/>
  <c r="U18" i="4"/>
  <c r="U21" i="4"/>
  <c r="U22" i="4"/>
  <c r="D7" i="4"/>
  <c r="U23" i="4"/>
  <c r="U24" i="4"/>
  <c r="U15" i="4"/>
  <c r="U19" i="4"/>
  <c r="N28" i="4"/>
  <c r="D3" i="4"/>
  <c r="N29" i="4"/>
  <c r="N26" i="4"/>
  <c r="N33" i="4"/>
  <c r="N30" i="4"/>
  <c r="L26" i="4"/>
  <c r="N34" i="4"/>
  <c r="N31" i="4"/>
  <c r="N32" i="4"/>
  <c r="N35" i="4"/>
  <c r="U50" i="4"/>
  <c r="U51" i="4"/>
  <c r="U48" i="4"/>
  <c r="U55" i="4"/>
  <c r="U52" i="4"/>
  <c r="S48" i="4"/>
  <c r="U53" i="4"/>
  <c r="U54" i="4"/>
  <c r="U56" i="4"/>
  <c r="U57" i="4"/>
  <c r="D10" i="4"/>
  <c r="N46" i="4"/>
  <c r="N37" i="4"/>
  <c r="N40" i="4"/>
  <c r="N41" i="4"/>
  <c r="N44" i="4"/>
  <c r="N42" i="4"/>
  <c r="D4" i="4"/>
  <c r="N45" i="4"/>
  <c r="N39" i="4"/>
  <c r="L37" i="4"/>
  <c r="N43" i="4"/>
  <c r="D5" i="4"/>
  <c r="N56" i="4"/>
  <c r="N53" i="4"/>
  <c r="N57" i="4"/>
  <c r="N50" i="4"/>
  <c r="N51" i="4"/>
  <c r="N52" i="4"/>
  <c r="N55" i="4"/>
  <c r="N48" i="4"/>
  <c r="N54" i="4"/>
  <c r="L48" i="4"/>
  <c r="N66" i="4"/>
  <c r="N59" i="4"/>
  <c r="D6" i="4"/>
  <c r="N67" i="4"/>
  <c r="N68" i="4"/>
  <c r="N62" i="4"/>
  <c r="L59" i="4"/>
  <c r="N63" i="4"/>
  <c r="N61" i="4"/>
  <c r="N64" i="4"/>
  <c r="N65" i="4"/>
  <c r="U30" i="4"/>
  <c r="U31" i="4"/>
  <c r="U32" i="4"/>
  <c r="U28" i="4"/>
  <c r="U33" i="4"/>
  <c r="U26" i="4"/>
  <c r="D8" i="4"/>
  <c r="U34" i="4"/>
  <c r="S26" i="4"/>
  <c r="U29" i="4"/>
  <c r="U35" i="4"/>
  <c r="U40" i="4"/>
  <c r="U45" i="4"/>
  <c r="U41" i="4"/>
  <c r="U39" i="4"/>
  <c r="U46" i="4"/>
  <c r="U42" i="4"/>
  <c r="U37" i="4"/>
  <c r="U43" i="4"/>
  <c r="U44" i="4"/>
  <c r="S37" i="4"/>
  <c r="D9" i="4"/>
  <c r="K44" i="3"/>
  <c r="I45" i="3"/>
  <c r="K45" i="3" s="1"/>
  <c r="K42" i="3"/>
  <c r="I43" i="3"/>
  <c r="K43" i="3" s="1"/>
  <c r="F43" i="3"/>
  <c r="H43" i="3" s="1"/>
  <c r="H42" i="3"/>
  <c r="H44" i="3"/>
  <c r="F45" i="3"/>
  <c r="H45" i="3" s="1"/>
  <c r="E44" i="3"/>
  <c r="C45" i="3"/>
  <c r="E45" i="3" s="1"/>
  <c r="E42" i="3"/>
  <c r="C43" i="3"/>
  <c r="E43" i="3" s="1"/>
  <c r="C45" i="1"/>
  <c r="O17" i="2"/>
  <c r="O21" i="2"/>
  <c r="O25" i="2"/>
  <c r="O29" i="2"/>
  <c r="O33" i="2"/>
  <c r="O37" i="2"/>
  <c r="O41" i="2"/>
  <c r="O3" i="2"/>
  <c r="O5" i="2"/>
  <c r="O7" i="2"/>
  <c r="O9" i="2"/>
  <c r="O11" i="2"/>
  <c r="O14" i="2"/>
  <c r="O18" i="2"/>
  <c r="O22" i="2"/>
  <c r="O26" i="2"/>
  <c r="O30" i="2"/>
  <c r="O34" i="2"/>
  <c r="O38" i="2"/>
  <c r="O42" i="2"/>
  <c r="O12" i="2"/>
  <c r="O15" i="2"/>
  <c r="O19" i="2"/>
  <c r="O23" i="2"/>
  <c r="O27" i="2"/>
  <c r="O31" i="2"/>
  <c r="O35" i="2"/>
  <c r="O39" i="2"/>
  <c r="O43" i="2"/>
  <c r="O6" i="2"/>
  <c r="O8" i="2"/>
  <c r="O10" i="2"/>
  <c r="O4" i="2"/>
  <c r="O16" i="2"/>
  <c r="O20" i="2"/>
  <c r="O24" i="2"/>
  <c r="O28" i="2"/>
  <c r="O32" i="2"/>
  <c r="O36" i="2"/>
  <c r="O40" i="2"/>
  <c r="O44" i="2"/>
  <c r="O13" i="2"/>
  <c r="C28" i="1"/>
  <c r="C35" i="1" s="1"/>
  <c r="Q14" i="2"/>
  <c r="Q16" i="2"/>
  <c r="Q18" i="2"/>
  <c r="Q20" i="2"/>
  <c r="Q22" i="2"/>
  <c r="Q24" i="2"/>
  <c r="Q26" i="2"/>
  <c r="Q28" i="2"/>
  <c r="Q30" i="2"/>
  <c r="Q32" i="2"/>
  <c r="Q34" i="2"/>
  <c r="Q36" i="2"/>
  <c r="Q38" i="2"/>
  <c r="Q40" i="2"/>
  <c r="Q42" i="2"/>
  <c r="Q44" i="2"/>
  <c r="Q11" i="2"/>
  <c r="Q10" i="2"/>
  <c r="Q4" i="2"/>
  <c r="Q9" i="2"/>
  <c r="Q13" i="2"/>
  <c r="Q8" i="2"/>
  <c r="Q15" i="2"/>
  <c r="Q17" i="2"/>
  <c r="Q19" i="2"/>
  <c r="Q21" i="2"/>
  <c r="Q23" i="2"/>
  <c r="Q25" i="2"/>
  <c r="Q27" i="2"/>
  <c r="Q29" i="2"/>
  <c r="Q31" i="2"/>
  <c r="Q33" i="2"/>
  <c r="Q35" i="2"/>
  <c r="Q37" i="2"/>
  <c r="Q39" i="2"/>
  <c r="Q41" i="2"/>
  <c r="Q43" i="2"/>
  <c r="Q3" i="2"/>
  <c r="Q7" i="2"/>
  <c r="Q6" i="2"/>
  <c r="Q12" i="2"/>
  <c r="Q5" i="2"/>
  <c r="K3" i="2"/>
  <c r="L3" i="2" s="1"/>
  <c r="F3" i="2" s="1"/>
  <c r="K34" i="2"/>
  <c r="L34" i="2" s="1"/>
  <c r="F34" i="2" s="1"/>
  <c r="K18" i="2"/>
  <c r="L18" i="2" s="1"/>
  <c r="F18" i="2" s="1"/>
  <c r="K26" i="2"/>
  <c r="L26" i="2" s="1"/>
  <c r="F26" i="2" s="1"/>
  <c r="K41" i="2"/>
  <c r="L41" i="2" s="1"/>
  <c r="F41" i="2" s="1"/>
  <c r="K20" i="2"/>
  <c r="L20" i="2" s="1"/>
  <c r="F20" i="2" s="1"/>
  <c r="K5" i="2"/>
  <c r="L5" i="2" s="1"/>
  <c r="F5" i="2" s="1"/>
  <c r="K12" i="2"/>
  <c r="L12" i="2" s="1"/>
  <c r="F12" i="2" s="1"/>
  <c r="K35" i="2"/>
  <c r="L35" i="2" s="1"/>
  <c r="F35" i="2" s="1"/>
  <c r="K27" i="2"/>
  <c r="L27" i="2" s="1"/>
  <c r="F27" i="2" s="1"/>
  <c r="K38" i="2"/>
  <c r="L38" i="2" s="1"/>
  <c r="F38" i="2" s="1"/>
  <c r="K22" i="2"/>
  <c r="L22" i="2" s="1"/>
  <c r="F22" i="2" s="1"/>
  <c r="K4" i="2"/>
  <c r="L4" i="2" s="1"/>
  <c r="F4" i="2" s="1"/>
  <c r="K19" i="2"/>
  <c r="L19" i="2" s="1"/>
  <c r="F19" i="2" s="1"/>
  <c r="K32" i="2"/>
  <c r="L32" i="2" s="1"/>
  <c r="F32" i="2" s="1"/>
  <c r="K30" i="2"/>
  <c r="L30" i="2" s="1"/>
  <c r="F30" i="2" s="1"/>
  <c r="K33" i="2"/>
  <c r="L33" i="2" s="1"/>
  <c r="F33" i="2" s="1"/>
  <c r="K6" i="2"/>
  <c r="L6" i="2" s="1"/>
  <c r="F6" i="2" s="1"/>
  <c r="K11" i="2"/>
  <c r="L11" i="2" s="1"/>
  <c r="F11" i="2" s="1"/>
  <c r="K16" i="2"/>
  <c r="L16" i="2" s="1"/>
  <c r="F16" i="2" s="1"/>
  <c r="K14" i="2"/>
  <c r="L14" i="2" s="1"/>
  <c r="F14" i="2" s="1"/>
  <c r="K31" i="2"/>
  <c r="L31" i="2" s="1"/>
  <c r="F31" i="2" s="1"/>
  <c r="K43" i="2"/>
  <c r="L43" i="2" s="1"/>
  <c r="F43" i="2" s="1"/>
  <c r="K25" i="2"/>
  <c r="L25" i="2" s="1"/>
  <c r="F25" i="2" s="1"/>
  <c r="C47" i="1"/>
  <c r="C49" i="1" s="1"/>
  <c r="K29" i="2"/>
  <c r="L29" i="2" s="1"/>
  <c r="F29" i="2" s="1"/>
  <c r="K15" i="2"/>
  <c r="L15" i="2" s="1"/>
  <c r="F15" i="2" s="1"/>
  <c r="K36" i="2"/>
  <c r="L36" i="2" s="1"/>
  <c r="F36" i="2" s="1"/>
  <c r="K9" i="2"/>
  <c r="L9" i="2" s="1"/>
  <c r="F9" i="2" s="1"/>
  <c r="K24" i="2"/>
  <c r="L24" i="2" s="1"/>
  <c r="F24" i="2" s="1"/>
  <c r="K40" i="2"/>
  <c r="L40" i="2" s="1"/>
  <c r="F40" i="2" s="1"/>
  <c r="K28" i="2"/>
  <c r="L28" i="2" s="1"/>
  <c r="F28" i="2" s="1"/>
  <c r="K42" i="2"/>
  <c r="L42" i="2" s="1"/>
  <c r="F42" i="2" s="1"/>
  <c r="K37" i="2"/>
  <c r="L37" i="2" s="1"/>
  <c r="F37" i="2" s="1"/>
  <c r="K10" i="2"/>
  <c r="L10" i="2" s="1"/>
  <c r="F10" i="2" s="1"/>
  <c r="K23" i="2"/>
  <c r="L23" i="2" s="1"/>
  <c r="F23" i="2" s="1"/>
  <c r="K39" i="2"/>
  <c r="L39" i="2" s="1"/>
  <c r="F39" i="2" s="1"/>
  <c r="K17" i="2"/>
  <c r="L17" i="2" s="1"/>
  <c r="F17" i="2" s="1"/>
  <c r="K44" i="2"/>
  <c r="L44" i="2" s="1"/>
  <c r="F44" i="2" s="1"/>
  <c r="K21" i="2"/>
  <c r="L21" i="2" s="1"/>
  <c r="F21" i="2" s="1"/>
  <c r="K7" i="2"/>
  <c r="L7" i="2" s="1"/>
  <c r="F7" i="2" s="1"/>
  <c r="K8" i="2"/>
  <c r="L8" i="2" s="1"/>
  <c r="F8" i="2" s="1"/>
  <c r="K13" i="2"/>
  <c r="L13" i="2" s="1"/>
  <c r="F13" i="2" s="1"/>
  <c r="E35" i="2" l="1"/>
  <c r="J35" i="2" s="1"/>
  <c r="E5" i="2"/>
  <c r="J5" i="2" s="1"/>
  <c r="E30" i="2"/>
  <c r="J30" i="2" s="1"/>
  <c r="E8" i="2"/>
  <c r="J8" i="2" s="1"/>
  <c r="E25" i="2"/>
  <c r="J25" i="2" s="1"/>
  <c r="E43" i="2"/>
  <c r="J43" i="2" s="1"/>
  <c r="E13" i="2"/>
  <c r="J13" i="2" s="1"/>
  <c r="E16" i="2"/>
  <c r="J16" i="2" s="1"/>
  <c r="E33" i="2"/>
  <c r="J33" i="2" s="1"/>
  <c r="E21" i="2"/>
  <c r="J21" i="2" s="1"/>
  <c r="E7" i="2"/>
  <c r="J7" i="2" s="1"/>
  <c r="E24" i="2"/>
  <c r="J24" i="2" s="1"/>
  <c r="E41" i="2"/>
  <c r="J41" i="2" s="1"/>
  <c r="E29" i="2"/>
  <c r="J29" i="2" s="1"/>
  <c r="E15" i="2"/>
  <c r="J15" i="2" s="1"/>
  <c r="E10" i="2"/>
  <c r="J10" i="2" s="1"/>
  <c r="E23" i="2"/>
  <c r="J23" i="2" s="1"/>
  <c r="E22" i="2"/>
  <c r="J22" i="2" s="1"/>
  <c r="E38" i="2"/>
  <c r="J38" i="2" s="1"/>
  <c r="E32" i="2"/>
  <c r="J32" i="2" s="1"/>
  <c r="E20" i="2"/>
  <c r="J20" i="2" s="1"/>
  <c r="E40" i="2"/>
  <c r="J40" i="2" s="1"/>
  <c r="E36" i="2"/>
  <c r="J36" i="2" s="1"/>
  <c r="E4" i="2"/>
  <c r="J4" i="2" s="1"/>
  <c r="E37" i="2"/>
  <c r="J37" i="2" s="1"/>
  <c r="E34" i="2"/>
  <c r="J34" i="2" s="1"/>
  <c r="E39" i="2"/>
  <c r="J39" i="2" s="1"/>
  <c r="E12" i="2"/>
  <c r="J12" i="2" s="1"/>
  <c r="E3" i="2"/>
  <c r="J3" i="2" s="1"/>
  <c r="E19" i="2"/>
  <c r="J19" i="2" s="1"/>
  <c r="E14" i="2"/>
  <c r="J14" i="2" s="1"/>
  <c r="E9" i="2"/>
  <c r="J9" i="2" s="1"/>
  <c r="E26" i="2"/>
  <c r="J26" i="2" s="1"/>
  <c r="E11" i="2"/>
  <c r="J11" i="2" s="1"/>
  <c r="E28" i="2"/>
  <c r="J28" i="2" s="1"/>
  <c r="E6" i="2"/>
  <c r="J6" i="2" s="1"/>
  <c r="E31" i="2"/>
  <c r="J31" i="2" s="1"/>
  <c r="E18" i="2"/>
  <c r="J18" i="2" s="1"/>
  <c r="E42" i="2"/>
  <c r="J42" i="2" s="1"/>
  <c r="E27" i="2"/>
  <c r="J27" i="2" s="1"/>
  <c r="E44" i="2"/>
  <c r="J44" i="2" s="1"/>
  <c r="E17" i="2"/>
  <c r="J17" i="2" s="1"/>
  <c r="S6" i="2"/>
  <c r="T6" i="2" s="1"/>
  <c r="X6" i="2" s="1"/>
  <c r="P6" i="2"/>
  <c r="S28" i="2"/>
  <c r="T28" i="2" s="1"/>
  <c r="P28" i="2"/>
  <c r="S43" i="2"/>
  <c r="T43" i="2" s="1"/>
  <c r="P43" i="2"/>
  <c r="S12" i="2"/>
  <c r="T12" i="2" s="1"/>
  <c r="X12" i="2" s="1"/>
  <c r="P12" i="2"/>
  <c r="S14" i="2"/>
  <c r="T14" i="2" s="1"/>
  <c r="X14" i="2" s="1"/>
  <c r="P14" i="2"/>
  <c r="S33" i="2"/>
  <c r="T33" i="2" s="1"/>
  <c r="P33" i="2"/>
  <c r="S24" i="2"/>
  <c r="T24" i="2" s="1"/>
  <c r="P24" i="2"/>
  <c r="S39" i="2"/>
  <c r="T39" i="2" s="1"/>
  <c r="P39" i="2"/>
  <c r="S42" i="2"/>
  <c r="T42" i="2" s="1"/>
  <c r="P42" i="2"/>
  <c r="S11" i="2"/>
  <c r="T11" i="2" s="1"/>
  <c r="X11" i="2" s="1"/>
  <c r="P11" i="2"/>
  <c r="S29" i="2"/>
  <c r="T29" i="2" s="1"/>
  <c r="P29" i="2"/>
  <c r="S37" i="2"/>
  <c r="T37" i="2" s="1"/>
  <c r="P37" i="2"/>
  <c r="S35" i="2"/>
  <c r="T35" i="2" s="1"/>
  <c r="P35" i="2"/>
  <c r="S13" i="2"/>
  <c r="T13" i="2" s="1"/>
  <c r="X13" i="2" s="1"/>
  <c r="P13" i="2"/>
  <c r="S16" i="2"/>
  <c r="T16" i="2" s="1"/>
  <c r="X16" i="2" s="1"/>
  <c r="P16" i="2"/>
  <c r="S31" i="2"/>
  <c r="T31" i="2" s="1"/>
  <c r="P31" i="2"/>
  <c r="S34" i="2"/>
  <c r="T34" i="2" s="1"/>
  <c r="P34" i="2"/>
  <c r="S7" i="2"/>
  <c r="T7" i="2" s="1"/>
  <c r="X7" i="2" s="1"/>
  <c r="P7" i="2"/>
  <c r="S21" i="2"/>
  <c r="T21" i="2" s="1"/>
  <c r="X21" i="2" s="1"/>
  <c r="P21" i="2"/>
  <c r="S15" i="2"/>
  <c r="T15" i="2" s="1"/>
  <c r="X15" i="2" s="1"/>
  <c r="P15" i="2"/>
  <c r="S25" i="2"/>
  <c r="T25" i="2" s="1"/>
  <c r="P25" i="2"/>
  <c r="S44" i="2"/>
  <c r="T44" i="2" s="1"/>
  <c r="P44" i="2"/>
  <c r="S4" i="2"/>
  <c r="T4" i="2" s="1"/>
  <c r="X4" i="2" s="1"/>
  <c r="P4" i="2"/>
  <c r="S27" i="2"/>
  <c r="T27" i="2" s="1"/>
  <c r="P27" i="2"/>
  <c r="S30" i="2"/>
  <c r="T30" i="2" s="1"/>
  <c r="P30" i="2"/>
  <c r="S5" i="2"/>
  <c r="T5" i="2" s="1"/>
  <c r="X5" i="2" s="1"/>
  <c r="P5" i="2"/>
  <c r="S17" i="2"/>
  <c r="T17" i="2" s="1"/>
  <c r="X17" i="2" s="1"/>
  <c r="P17" i="2"/>
  <c r="S18" i="2"/>
  <c r="T18" i="2" s="1"/>
  <c r="X18" i="2" s="1"/>
  <c r="P18" i="2"/>
  <c r="S9" i="2"/>
  <c r="T9" i="2" s="1"/>
  <c r="X9" i="2" s="1"/>
  <c r="P9" i="2"/>
  <c r="S40" i="2"/>
  <c r="T40" i="2" s="1"/>
  <c r="P40" i="2"/>
  <c r="S10" i="2"/>
  <c r="T10" i="2" s="1"/>
  <c r="X10" i="2" s="1"/>
  <c r="P10" i="2"/>
  <c r="S23" i="2"/>
  <c r="T23" i="2" s="1"/>
  <c r="X23" i="2" s="1"/>
  <c r="P23" i="2"/>
  <c r="S26" i="2"/>
  <c r="T26" i="2" s="1"/>
  <c r="P26" i="2"/>
  <c r="S3" i="2"/>
  <c r="T3" i="2" s="1"/>
  <c r="X3" i="2" s="1"/>
  <c r="P3" i="2"/>
  <c r="S32" i="2"/>
  <c r="T32" i="2" s="1"/>
  <c r="P32" i="2"/>
  <c r="S20" i="2"/>
  <c r="T20" i="2" s="1"/>
  <c r="X20" i="2" s="1"/>
  <c r="P20" i="2"/>
  <c r="S38" i="2"/>
  <c r="T38" i="2" s="1"/>
  <c r="P38" i="2"/>
  <c r="S36" i="2"/>
  <c r="T36" i="2" s="1"/>
  <c r="P36" i="2"/>
  <c r="S8" i="2"/>
  <c r="T8" i="2" s="1"/>
  <c r="X8" i="2" s="1"/>
  <c r="P8" i="2"/>
  <c r="S19" i="2"/>
  <c r="T19" i="2" s="1"/>
  <c r="X19" i="2" s="1"/>
  <c r="P19" i="2"/>
  <c r="S22" i="2"/>
  <c r="T22" i="2" s="1"/>
  <c r="X22" i="2" s="1"/>
  <c r="P22" i="2"/>
  <c r="S41" i="2"/>
  <c r="T41" i="2" s="1"/>
  <c r="P41" i="2"/>
  <c r="X32" i="2" l="1"/>
  <c r="B15" i="3"/>
  <c r="X24" i="2"/>
  <c r="B23" i="3"/>
  <c r="C37" i="1"/>
  <c r="X41" i="2"/>
  <c r="B6" i="3"/>
  <c r="X44" i="2"/>
  <c r="B3" i="3"/>
  <c r="X33" i="2"/>
  <c r="B14" i="3"/>
  <c r="X28" i="2"/>
  <c r="B19" i="3"/>
  <c r="X29" i="2"/>
  <c r="B18" i="3"/>
  <c r="X36" i="2"/>
  <c r="B11" i="3"/>
  <c r="X43" i="2"/>
  <c r="B4" i="3"/>
  <c r="X38" i="2"/>
  <c r="B9" i="3"/>
  <c r="X26" i="2"/>
  <c r="B21" i="3"/>
  <c r="X30" i="2"/>
  <c r="B17" i="3"/>
  <c r="X25" i="2"/>
  <c r="B22" i="3"/>
  <c r="X34" i="2"/>
  <c r="B13" i="3"/>
  <c r="X35" i="2"/>
  <c r="B12" i="3"/>
  <c r="X42" i="2"/>
  <c r="B5" i="3"/>
  <c r="X40" i="2"/>
  <c r="B7" i="3"/>
  <c r="X27" i="2"/>
  <c r="B20" i="3"/>
  <c r="X31" i="2"/>
  <c r="B16" i="3"/>
  <c r="X37" i="2"/>
  <c r="B10" i="3"/>
  <c r="X39" i="2"/>
  <c r="B8" i="3"/>
  <c r="C38" i="1" l="1"/>
  <c r="N21" i="2" s="1"/>
  <c r="R21" i="2" s="1"/>
  <c r="N41" i="2"/>
  <c r="R41" i="2" s="1"/>
  <c r="U41" i="2" s="1"/>
  <c r="N42" i="2"/>
  <c r="R42" i="2" s="1"/>
  <c r="C5" i="3" s="1"/>
  <c r="E5" i="3" s="1"/>
  <c r="N8" i="2"/>
  <c r="R8" i="2" s="1"/>
  <c r="N31" i="2"/>
  <c r="R31" i="2" s="1"/>
  <c r="C16" i="3" s="1"/>
  <c r="E16" i="3" s="1"/>
  <c r="N6" i="2"/>
  <c r="R6" i="2" s="1"/>
  <c r="N10" i="2"/>
  <c r="R10" i="2" s="1"/>
  <c r="U10" i="2" s="1"/>
  <c r="Y10" i="2" s="1"/>
  <c r="N43" i="2"/>
  <c r="R43" i="2" s="1"/>
  <c r="C4" i="3" s="1"/>
  <c r="F4" i="3" s="1"/>
  <c r="M4" i="3" s="1"/>
  <c r="N28" i="2"/>
  <c r="R28" i="2" s="1"/>
  <c r="C19" i="3" s="1"/>
  <c r="F19" i="3" s="1"/>
  <c r="K19" i="3" s="1"/>
  <c r="N39" i="2"/>
  <c r="R39" i="2" s="1"/>
  <c r="C8" i="3" s="1"/>
  <c r="F8" i="3" s="1"/>
  <c r="M8" i="3" s="1"/>
  <c r="N40" i="2"/>
  <c r="R40" i="2" s="1"/>
  <c r="N30" i="2"/>
  <c r="R30" i="2" s="1"/>
  <c r="C17" i="3" s="1"/>
  <c r="F17" i="3" s="1"/>
  <c r="I17" i="3" s="1"/>
  <c r="N19" i="2"/>
  <c r="R19" i="2" s="1"/>
  <c r="N27" i="2"/>
  <c r="R27" i="2" s="1"/>
  <c r="C20" i="3" s="1"/>
  <c r="F20" i="3" s="1"/>
  <c r="K20" i="3" s="1"/>
  <c r="N44" i="2"/>
  <c r="R44" i="2" s="1"/>
  <c r="N34" i="2"/>
  <c r="R34" i="2" s="1"/>
  <c r="C13" i="3" s="1"/>
  <c r="F13" i="3" s="1"/>
  <c r="N24" i="2"/>
  <c r="R24" i="2" s="1"/>
  <c r="C23" i="3" s="1"/>
  <c r="F23" i="3" s="1"/>
  <c r="N29" i="2"/>
  <c r="R29" i="2" s="1"/>
  <c r="C18" i="3" s="1"/>
  <c r="F18" i="3" s="1"/>
  <c r="N14" i="2"/>
  <c r="R14" i="2" s="1"/>
  <c r="U14" i="2" s="1"/>
  <c r="Y14" i="2" s="1"/>
  <c r="N18" i="2"/>
  <c r="R18" i="2" s="1"/>
  <c r="V18" i="2" s="1"/>
  <c r="Z18" i="2" s="1"/>
  <c r="N20" i="2"/>
  <c r="R20" i="2" s="1"/>
  <c r="U20" i="2" s="1"/>
  <c r="Y20" i="2" s="1"/>
  <c r="N17" i="2"/>
  <c r="R17" i="2" s="1"/>
  <c r="U17" i="2" s="1"/>
  <c r="Y17" i="2" s="1"/>
  <c r="N11" i="2"/>
  <c r="R11" i="2" s="1"/>
  <c r="V11" i="2" s="1"/>
  <c r="Z11" i="2" s="1"/>
  <c r="Y41" i="2"/>
  <c r="D6" i="3"/>
  <c r="G6" i="3" s="1"/>
  <c r="U40" i="2"/>
  <c r="C7" i="3"/>
  <c r="F7" i="3" s="1"/>
  <c r="V41" i="2"/>
  <c r="Z41" i="2" s="1"/>
  <c r="C6" i="3"/>
  <c r="F6" i="3" s="1"/>
  <c r="N5" i="2"/>
  <c r="R5" i="2" s="1"/>
  <c r="N33" i="2"/>
  <c r="R33" i="2" s="1"/>
  <c r="U33" i="2" s="1"/>
  <c r="U28" i="2"/>
  <c r="V28" i="2"/>
  <c r="Z28" i="2" s="1"/>
  <c r="V31" i="2"/>
  <c r="Z31" i="2" s="1"/>
  <c r="U31" i="2"/>
  <c r="U27" i="2"/>
  <c r="U8" i="2"/>
  <c r="Y8" i="2" s="1"/>
  <c r="V8" i="2"/>
  <c r="Z8" i="2" s="1"/>
  <c r="U30" i="2"/>
  <c r="V30" i="2"/>
  <c r="Z30" i="2" s="1"/>
  <c r="V40" i="2"/>
  <c r="Z40" i="2" s="1"/>
  <c r="V42" i="2"/>
  <c r="Z42" i="2" s="1"/>
  <c r="U42" i="2"/>
  <c r="V6" i="2"/>
  <c r="Z6" i="2" s="1"/>
  <c r="U6" i="2"/>
  <c r="Y6" i="2" s="1"/>
  <c r="V19" i="2"/>
  <c r="Z19" i="2" s="1"/>
  <c r="U19" i="2"/>
  <c r="Y19" i="2" s="1"/>
  <c r="V39" i="2"/>
  <c r="Z39" i="2" s="1"/>
  <c r="U39" i="2"/>
  <c r="V21" i="2" l="1"/>
  <c r="Z21" i="2" s="1"/>
  <c r="U21" i="2"/>
  <c r="Y21" i="2" s="1"/>
  <c r="C3" i="3"/>
  <c r="F3" i="3" s="1"/>
  <c r="I3" i="3" s="1"/>
  <c r="U44" i="2"/>
  <c r="N38" i="2"/>
  <c r="R38" i="2" s="1"/>
  <c r="N12" i="2"/>
  <c r="R12" i="2" s="1"/>
  <c r="N26" i="2"/>
  <c r="R26" i="2" s="1"/>
  <c r="N16" i="2"/>
  <c r="R16" i="2" s="1"/>
  <c r="N7" i="2"/>
  <c r="R7" i="2" s="1"/>
  <c r="C99" i="1" s="1"/>
  <c r="C100" i="1" s="1"/>
  <c r="N3" i="2"/>
  <c r="R3" i="2" s="1"/>
  <c r="N22" i="2"/>
  <c r="R22" i="2" s="1"/>
  <c r="N32" i="2"/>
  <c r="R32" i="2" s="1"/>
  <c r="N36" i="2"/>
  <c r="R36" i="2" s="1"/>
  <c r="N37" i="2"/>
  <c r="R37" i="2" s="1"/>
  <c r="N35" i="2"/>
  <c r="R35" i="2" s="1"/>
  <c r="N9" i="2"/>
  <c r="R9" i="2" s="1"/>
  <c r="N13" i="2"/>
  <c r="R13" i="2" s="1"/>
  <c r="N15" i="2"/>
  <c r="R15" i="2" s="1"/>
  <c r="N4" i="2"/>
  <c r="R4" i="2" s="1"/>
  <c r="N25" i="2"/>
  <c r="R25" i="2" s="1"/>
  <c r="C22" i="3" s="1"/>
  <c r="E22" i="3" s="1"/>
  <c r="J22" i="3" s="1"/>
  <c r="N23" i="2"/>
  <c r="R23" i="2" s="1"/>
  <c r="E8" i="3"/>
  <c r="J8" i="3" s="1"/>
  <c r="E17" i="3"/>
  <c r="J17" i="3" s="1"/>
  <c r="F16" i="3"/>
  <c r="I16" i="3" s="1"/>
  <c r="F5" i="3"/>
  <c r="K5" i="3" s="1"/>
  <c r="E19" i="3"/>
  <c r="H19" i="3" s="1"/>
  <c r="U34" i="2"/>
  <c r="Y34" i="2" s="1"/>
  <c r="V27" i="2"/>
  <c r="Z27" i="2" s="1"/>
  <c r="V10" i="2"/>
  <c r="Z10" i="2" s="1"/>
  <c r="U25" i="2"/>
  <c r="D22" i="3" s="1"/>
  <c r="G22" i="3" s="1"/>
  <c r="V34" i="2"/>
  <c r="Z34" i="2" s="1"/>
  <c r="V25" i="2"/>
  <c r="Z25" i="2" s="1"/>
  <c r="V24" i="2"/>
  <c r="Z24" i="2" s="1"/>
  <c r="V43" i="2"/>
  <c r="Z43" i="2" s="1"/>
  <c r="U24" i="2"/>
  <c r="D23" i="3" s="1"/>
  <c r="G23" i="3" s="1"/>
  <c r="U43" i="2"/>
  <c r="E4" i="3"/>
  <c r="L4" i="3" s="1"/>
  <c r="V44" i="2"/>
  <c r="Z44" i="2" s="1"/>
  <c r="I19" i="3"/>
  <c r="I8" i="3"/>
  <c r="I4" i="3"/>
  <c r="K4" i="3"/>
  <c r="E20" i="3"/>
  <c r="L20" i="3" s="1"/>
  <c r="I20" i="3"/>
  <c r="M20" i="3"/>
  <c r="V29" i="2"/>
  <c r="Z29" i="2" s="1"/>
  <c r="U18" i="2"/>
  <c r="Y18" i="2" s="1"/>
  <c r="U29" i="2"/>
  <c r="U11" i="2"/>
  <c r="Y11" i="2" s="1"/>
  <c r="M19" i="3"/>
  <c r="E13" i="3"/>
  <c r="L13" i="3" s="1"/>
  <c r="K8" i="3"/>
  <c r="V14" i="2"/>
  <c r="Z14" i="2" s="1"/>
  <c r="M17" i="3"/>
  <c r="K17" i="3"/>
  <c r="E6" i="3"/>
  <c r="J6" i="3" s="1"/>
  <c r="Y33" i="2"/>
  <c r="D14" i="3"/>
  <c r="G14" i="3" s="1"/>
  <c r="Y31" i="2"/>
  <c r="D16" i="3"/>
  <c r="G16" i="3" s="1"/>
  <c r="I13" i="3"/>
  <c r="K13" i="3"/>
  <c r="M13" i="3"/>
  <c r="K6" i="3"/>
  <c r="M6" i="3"/>
  <c r="I6" i="3"/>
  <c r="I18" i="3"/>
  <c r="K18" i="3"/>
  <c r="M18" i="3"/>
  <c r="K7" i="3"/>
  <c r="M7" i="3"/>
  <c r="I7" i="3"/>
  <c r="Y40" i="2"/>
  <c r="D7" i="3"/>
  <c r="G7" i="3" s="1"/>
  <c r="Y30" i="2"/>
  <c r="D17" i="3"/>
  <c r="G17" i="3" s="1"/>
  <c r="V17" i="2"/>
  <c r="Z17" i="2" s="1"/>
  <c r="Y29" i="2"/>
  <c r="D18" i="3"/>
  <c r="G18" i="3" s="1"/>
  <c r="Y27" i="2"/>
  <c r="D20" i="3"/>
  <c r="G20" i="3" s="1"/>
  <c r="V5" i="2"/>
  <c r="Z5" i="2" s="1"/>
  <c r="U5" i="2"/>
  <c r="Y5" i="2" s="1"/>
  <c r="H16" i="3"/>
  <c r="J16" i="3"/>
  <c r="L16" i="3"/>
  <c r="Y28" i="2"/>
  <c r="D19" i="3"/>
  <c r="G19" i="3" s="1"/>
  <c r="Y25" i="2"/>
  <c r="M23" i="3"/>
  <c r="K23" i="3"/>
  <c r="I23" i="3"/>
  <c r="V20" i="2"/>
  <c r="Z20" i="2" s="1"/>
  <c r="J5" i="3"/>
  <c r="L5" i="3"/>
  <c r="H5" i="3"/>
  <c r="Y24" i="2"/>
  <c r="E18" i="3"/>
  <c r="Y39" i="2"/>
  <c r="D8" i="3"/>
  <c r="G8" i="3" s="1"/>
  <c r="Y42" i="2"/>
  <c r="D5" i="3"/>
  <c r="G5" i="3" s="1"/>
  <c r="Y43" i="2"/>
  <c r="D4" i="3"/>
  <c r="G4" i="3" s="1"/>
  <c r="E7" i="3"/>
  <c r="E23" i="3"/>
  <c r="Y44" i="2"/>
  <c r="D3" i="3"/>
  <c r="G3" i="3" s="1"/>
  <c r="V33" i="2"/>
  <c r="Z33" i="2" s="1"/>
  <c r="C14" i="3"/>
  <c r="M3" i="3" l="1"/>
  <c r="E3" i="3"/>
  <c r="L3" i="3" s="1"/>
  <c r="K3" i="3"/>
  <c r="L22" i="3"/>
  <c r="H22" i="3"/>
  <c r="V9" i="2"/>
  <c r="Z9" i="2" s="1"/>
  <c r="U9" i="2"/>
  <c r="Y9" i="2" s="1"/>
  <c r="V16" i="2"/>
  <c r="Z16" i="2" s="1"/>
  <c r="U16" i="2"/>
  <c r="Y16" i="2" s="1"/>
  <c r="C12" i="3"/>
  <c r="V35" i="2"/>
  <c r="Z35" i="2" s="1"/>
  <c r="U35" i="2"/>
  <c r="C10" i="3"/>
  <c r="V37" i="2"/>
  <c r="Z37" i="2" s="1"/>
  <c r="U37" i="2"/>
  <c r="V12" i="2"/>
  <c r="Z12" i="2" s="1"/>
  <c r="U12" i="2"/>
  <c r="Y12" i="2" s="1"/>
  <c r="C21" i="3"/>
  <c r="V26" i="2"/>
  <c r="Z26" i="2" s="1"/>
  <c r="U26" i="2"/>
  <c r="V23" i="2"/>
  <c r="Z23" i="2" s="1"/>
  <c r="U23" i="2"/>
  <c r="Y23" i="2" s="1"/>
  <c r="C11" i="3"/>
  <c r="V36" i="2"/>
  <c r="Z36" i="2" s="1"/>
  <c r="U36" i="2"/>
  <c r="C9" i="3"/>
  <c r="V38" i="2"/>
  <c r="Z38" i="2" s="1"/>
  <c r="U38" i="2"/>
  <c r="U32" i="2"/>
  <c r="V32" i="2"/>
  <c r="Z32" i="2" s="1"/>
  <c r="C15" i="3"/>
  <c r="D13" i="3"/>
  <c r="G13" i="3" s="1"/>
  <c r="U4" i="2"/>
  <c r="Y4" i="2" s="1"/>
  <c r="V4" i="2"/>
  <c r="Z4" i="2" s="1"/>
  <c r="U22" i="2"/>
  <c r="Y22" i="2" s="1"/>
  <c r="V22" i="2"/>
  <c r="Z22" i="2" s="1"/>
  <c r="F22" i="3"/>
  <c r="M22" i="3" s="1"/>
  <c r="V15" i="2"/>
  <c r="Z15" i="2" s="1"/>
  <c r="U15" i="2"/>
  <c r="Y15" i="2" s="1"/>
  <c r="V3" i="2"/>
  <c r="Z3" i="2" s="1"/>
  <c r="U3" i="2"/>
  <c r="Y3" i="2" s="1"/>
  <c r="U13" i="2"/>
  <c r="Y13" i="2" s="1"/>
  <c r="V13" i="2"/>
  <c r="Z13" i="2" s="1"/>
  <c r="V7" i="2"/>
  <c r="Z7" i="2" s="1"/>
  <c r="U7" i="2"/>
  <c r="Y7" i="2" s="1"/>
  <c r="L8" i="3"/>
  <c r="H8" i="3"/>
  <c r="H17" i="3"/>
  <c r="K16" i="3"/>
  <c r="L17" i="3"/>
  <c r="L19" i="3"/>
  <c r="J19" i="3"/>
  <c r="H4" i="3"/>
  <c r="J4" i="3"/>
  <c r="M16" i="3"/>
  <c r="I5" i="3"/>
  <c r="M5" i="3"/>
  <c r="H20" i="3"/>
  <c r="J20" i="3"/>
  <c r="H13" i="3"/>
  <c r="J13" i="3"/>
  <c r="L6" i="3"/>
  <c r="H6" i="3"/>
  <c r="H7" i="3"/>
  <c r="L7" i="3"/>
  <c r="J7" i="3"/>
  <c r="H23" i="3"/>
  <c r="J23" i="3"/>
  <c r="L23" i="3"/>
  <c r="F14" i="3"/>
  <c r="E14" i="3"/>
  <c r="H18" i="3"/>
  <c r="J18" i="3"/>
  <c r="L18" i="3"/>
  <c r="H3" i="3" l="1"/>
  <c r="J3" i="3"/>
  <c r="K22" i="3"/>
  <c r="I22" i="3"/>
  <c r="F9" i="3"/>
  <c r="E9" i="3"/>
  <c r="F21" i="3"/>
  <c r="E21" i="3"/>
  <c r="F12" i="3"/>
  <c r="E12" i="3"/>
  <c r="Y38" i="2"/>
  <c r="D9" i="3"/>
  <c r="G9" i="3" s="1"/>
  <c r="Y36" i="2"/>
  <c r="D11" i="3"/>
  <c r="G11" i="3" s="1"/>
  <c r="Y35" i="2"/>
  <c r="D12" i="3"/>
  <c r="G12" i="3" s="1"/>
  <c r="Y26" i="2"/>
  <c r="D21" i="3"/>
  <c r="G21" i="3" s="1"/>
  <c r="F15" i="3"/>
  <c r="E15" i="3"/>
  <c r="F11" i="3"/>
  <c r="E11" i="3"/>
  <c r="Y37" i="2"/>
  <c r="D10" i="3"/>
  <c r="G10" i="3" s="1"/>
  <c r="D15" i="3"/>
  <c r="G15" i="3" s="1"/>
  <c r="Y32" i="2"/>
  <c r="E10" i="3"/>
  <c r="F10" i="3"/>
  <c r="H14" i="3"/>
  <c r="J14" i="3"/>
  <c r="L14" i="3"/>
  <c r="K14" i="3"/>
  <c r="I14" i="3"/>
  <c r="M14" i="3"/>
  <c r="H15" i="3" l="1"/>
  <c r="L15" i="3"/>
  <c r="J15" i="3"/>
  <c r="C105" i="1"/>
  <c r="P4" i="3" s="1"/>
  <c r="M10" i="3"/>
  <c r="I10" i="3"/>
  <c r="K10" i="3"/>
  <c r="L12" i="3"/>
  <c r="H12" i="3"/>
  <c r="J12" i="3"/>
  <c r="M12" i="3"/>
  <c r="K12" i="3"/>
  <c r="I12" i="3"/>
  <c r="H21" i="3"/>
  <c r="J21" i="3"/>
  <c r="L21" i="3"/>
  <c r="K15" i="3"/>
  <c r="I15" i="3"/>
  <c r="M15" i="3"/>
  <c r="I21" i="3"/>
  <c r="K21" i="3"/>
  <c r="M21" i="3"/>
  <c r="J10" i="3"/>
  <c r="L10" i="3"/>
  <c r="H10" i="3"/>
  <c r="J11" i="3"/>
  <c r="L11" i="3"/>
  <c r="H11" i="3"/>
  <c r="L9" i="3"/>
  <c r="J9" i="3"/>
  <c r="H9" i="3"/>
  <c r="I11" i="3"/>
  <c r="K11" i="3"/>
  <c r="M11" i="3"/>
  <c r="I9" i="3"/>
  <c r="M9" i="3"/>
  <c r="K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7DBD0B-DB26-4560-AD23-FCEBF74A5BDA}" name="Cx(Cz)" type="6" refreshedVersion="8" background="1" saveData="1">
    <textPr codePage="852" sourceFile="C:\Users\Sebastian\Desktop\Semestr 7\OBRONA\praca\Mati ML\Cx(Cz).txt" decimal="," thousands=" " semicolon="1">
      <textFields count="2">
        <textField/>
        <textField/>
      </textFields>
    </textPr>
  </connection>
  <connection id="2" xr16:uid="{E4717F02-0E20-472D-AE9D-6B2255DE8536}" name="Cz(a)" type="6" refreshedVersion="8" background="1" saveData="1">
    <textPr codePage="852" sourceFile="C:\Users\Sebastian\Desktop\Semestr 7\OBRONA\praca\Mati ML\Cz(a).txt" decimal="," thousands=" " semicolon="1">
      <textFields count="2">
        <textField/>
        <textField/>
      </textFields>
    </textPr>
  </connection>
  <connection id="3" xr16:uid="{F5E18B20-7250-4DEA-901A-0DD907322607}" name="Cz(a)1" type="6" refreshedVersion="8" background="1" saveData="1">
    <textPr codePage="852" sourceFile="C:\Users\Sebastian\Desktop\Semestr 7\OBRONA\praca\Mati ML\Cz(a).txt" decimal="," thousands=" 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<sst xmlns="http://schemas.openxmlformats.org/spreadsheetml/2006/main" count="473" uniqueCount="283">
  <si>
    <t>Dana</t>
  </si>
  <si>
    <t>Symbol</t>
  </si>
  <si>
    <t>Wartość</t>
  </si>
  <si>
    <t>Jednostka</t>
  </si>
  <si>
    <t>b</t>
  </si>
  <si>
    <t>S</t>
  </si>
  <si>
    <t>N</t>
  </si>
  <si>
    <t>q</t>
  </si>
  <si>
    <t>pulap</t>
  </si>
  <si>
    <t>Pułap teoretyczny</t>
  </si>
  <si>
    <t>Rozpiętość płata</t>
  </si>
  <si>
    <t>Wysokość samolotu</t>
  </si>
  <si>
    <t>Powierzchnia nośna</t>
  </si>
  <si>
    <t>Masa pustego samolotu</t>
  </si>
  <si>
    <t>Masa maksymalna samolotu</t>
  </si>
  <si>
    <t>Masa paliwa</t>
  </si>
  <si>
    <t>Moc silnika</t>
  </si>
  <si>
    <t>Obroty silnika</t>
  </si>
  <si>
    <t>Zużycie paliwa</t>
  </si>
  <si>
    <t>Prędkość maksymalna</t>
  </si>
  <si>
    <t>Maksymalna prędkość wznoszenia</t>
  </si>
  <si>
    <t>m</t>
  </si>
  <si>
    <t>m2</t>
  </si>
  <si>
    <t>kg</t>
  </si>
  <si>
    <t>W</t>
  </si>
  <si>
    <t>1/min</t>
  </si>
  <si>
    <t>m/s</t>
  </si>
  <si>
    <t>cięciwa na osi symetrii samolotu</t>
  </si>
  <si>
    <t>cięcika końcowa</t>
  </si>
  <si>
    <t>kąt skosu krawędzi natarcia płata</t>
  </si>
  <si>
    <t>położenie noska ca względem początku cięciwy przykadłubowej</t>
  </si>
  <si>
    <t>zbieżność płata</t>
  </si>
  <si>
    <t>wydłużenie geometryczne płata</t>
  </si>
  <si>
    <t>średnia cięciwa aerodynamiczna</t>
  </si>
  <si>
    <t>gęstość powietrza przy ziemii</t>
  </si>
  <si>
    <t>lepkość kinematyczna powietrzna na poziomie morza</t>
  </si>
  <si>
    <t>Liczba Reynoldsa 3M</t>
  </si>
  <si>
    <t>Czmax dla Reynoldsa 3M</t>
  </si>
  <si>
    <t>Obliczona liczba Reynoldsa</t>
  </si>
  <si>
    <t>Re</t>
  </si>
  <si>
    <t>-</t>
  </si>
  <si>
    <t>Prędkość przeciągnięcia</t>
  </si>
  <si>
    <t>środek aerodynamiczny na x</t>
  </si>
  <si>
    <t>środek aerodynamiczny na z</t>
  </si>
  <si>
    <t>Współczynnik kierunkowy prostej Cz(a)</t>
  </si>
  <si>
    <t>Przyspieszenie grawitacyjne</t>
  </si>
  <si>
    <t>g</t>
  </si>
  <si>
    <t>Współczynnik momentu podłużnego względem środka aerodynamicznego</t>
  </si>
  <si>
    <t>Cz</t>
  </si>
  <si>
    <t>Cx</t>
  </si>
  <si>
    <t>dCxRe</t>
  </si>
  <si>
    <t>Cx'</t>
  </si>
  <si>
    <t>δ</t>
  </si>
  <si>
    <t>τ</t>
  </si>
  <si>
    <t>Λ</t>
  </si>
  <si>
    <t>λ</t>
  </si>
  <si>
    <t>ρ</t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</si>
  <si>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</si>
  <si>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r>
      <t>w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</si>
  <si>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p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</si>
  <si>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</si>
  <si>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</si>
  <si>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</si>
  <si>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</si>
  <si>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</si>
  <si>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x0</t>
    </r>
  </si>
  <si>
    <r>
      <t>n</t>
    </r>
    <r>
      <rPr>
        <vertAlign val="subscript"/>
        <sz val="11"/>
        <color theme="1"/>
        <rFont val="Calibri"/>
        <family val="2"/>
        <charset val="238"/>
        <scheme val="minor"/>
      </rPr>
      <t>s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</si>
  <si>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a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</si>
  <si>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N</t>
    </r>
  </si>
  <si>
    <r>
      <t>Re</t>
    </r>
    <r>
      <rPr>
        <vertAlign val="subscript"/>
        <sz val="11"/>
        <color theme="1"/>
        <rFont val="Calibri"/>
        <family val="2"/>
        <charset val="238"/>
        <scheme val="minor"/>
      </rPr>
      <t>3M</t>
    </r>
  </si>
  <si>
    <r>
      <t>Cz</t>
    </r>
    <r>
      <rPr>
        <vertAlign val="subscript"/>
        <sz val="11"/>
        <color theme="1"/>
        <rFont val="Calibri"/>
        <family val="2"/>
        <charset val="238"/>
        <scheme val="minor"/>
      </rPr>
      <t>max re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</si>
  <si>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S1</t>
    </r>
  </si>
  <si>
    <t>ν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</si>
  <si>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kreska</t>
    </r>
  </si>
  <si>
    <r>
      <t>z</t>
    </r>
    <r>
      <rPr>
        <vertAlign val="subscript"/>
        <sz val="11"/>
        <color theme="1"/>
        <rFont val="Calibri"/>
        <family val="2"/>
        <charset val="238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kreska</t>
    </r>
  </si>
  <si>
    <r>
      <t>Cm</t>
    </r>
    <r>
      <rPr>
        <vertAlign val="subscript"/>
        <sz val="11"/>
        <color theme="1"/>
        <rFont val="Calibri"/>
        <family val="2"/>
        <charset val="238"/>
        <scheme val="minor"/>
      </rPr>
      <t>sa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</si>
  <si>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∞</t>
    </r>
  </si>
  <si>
    <r>
      <rPr>
        <sz val="11"/>
        <color theme="1"/>
        <rFont val="Calibri"/>
        <family val="2"/>
        <charset val="238"/>
      </rPr>
      <t>Δ</t>
    </r>
    <r>
      <rPr>
        <sz val="11"/>
        <color theme="1"/>
        <rFont val="Calibri"/>
        <family val="2"/>
        <charset val="238"/>
        <scheme val="minor"/>
      </rPr>
      <t>Cx</t>
    </r>
    <r>
      <rPr>
        <vertAlign val="subscript"/>
        <sz val="11"/>
        <color theme="1"/>
        <rFont val="Calibri"/>
        <family val="2"/>
        <charset val="238"/>
        <scheme val="minor"/>
      </rPr>
      <t>tech</t>
    </r>
  </si>
  <si>
    <r>
      <t>β</t>
    </r>
    <r>
      <rPr>
        <vertAlign val="subscript"/>
        <sz val="11"/>
        <color theme="1"/>
        <rFont val="Calibri"/>
        <family val="2"/>
        <charset val="238"/>
        <scheme val="minor"/>
      </rPr>
      <t>25</t>
    </r>
  </si>
  <si>
    <r>
      <t>τ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</si>
  <si>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r>
      <t>τ</t>
    </r>
    <r>
      <rPr>
        <vertAlign val="subscript"/>
        <sz val="11"/>
        <color theme="1"/>
        <rFont val="Calibri"/>
        <family val="2"/>
        <charset val="238"/>
        <scheme val="minor"/>
      </rPr>
      <t>2</t>
    </r>
  </si>
  <si>
    <r>
      <t>δ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</si>
  <si>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r>
      <t>δ</t>
    </r>
    <r>
      <rPr>
        <vertAlign val="subscript"/>
        <sz val="11"/>
        <color theme="1"/>
        <rFont val="Calibri"/>
        <family val="2"/>
        <charset val="238"/>
        <scheme val="minor"/>
      </rPr>
      <t>2</t>
    </r>
  </si>
  <si>
    <r>
      <t>δ</t>
    </r>
    <r>
      <rPr>
        <vertAlign val="subscript"/>
        <sz val="11"/>
        <color theme="1"/>
        <rFont val="Calibri"/>
        <family val="2"/>
        <charset val="238"/>
        <scheme val="minor"/>
      </rPr>
      <t>3</t>
    </r>
  </si>
  <si>
    <r>
      <t>Cx'</t>
    </r>
    <r>
      <rPr>
        <vertAlign val="subscript"/>
        <sz val="11"/>
        <color theme="1"/>
        <rFont val="Calibri"/>
        <family val="2"/>
        <charset val="238"/>
        <scheme val="minor"/>
      </rPr>
      <t>∞ min</t>
    </r>
  </si>
  <si>
    <r>
      <t>Cz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</si>
  <si>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r>
      <t>Cz</t>
    </r>
    <r>
      <rPr>
        <vertAlign val="subscript"/>
        <sz val="11"/>
        <color theme="1"/>
        <rFont val="Calibri"/>
        <family val="2"/>
        <charset val="238"/>
        <scheme val="minor"/>
      </rPr>
      <t>∞1</t>
    </r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</si>
  <si>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∞ min2</t>
    </r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</si>
  <si>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∞ min1</t>
    </r>
  </si>
  <si>
    <t>1/rad</t>
  </si>
  <si>
    <r>
      <t>m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</si>
  <si>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m</t>
    </r>
    <r>
      <rPr>
        <vertAlign val="super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/h</t>
    </r>
  </si>
  <si>
    <r>
      <t>m/s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</si>
  <si>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kg/m</t>
    </r>
    <r>
      <rPr>
        <vertAlign val="superscript"/>
        <sz val="11"/>
        <color theme="1"/>
        <rFont val="Calibri"/>
        <family val="2"/>
        <charset val="238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</si>
  <si>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/s</t>
    </r>
  </si>
  <si>
    <t>°</t>
  </si>
  <si>
    <t>drugi współczynnik Glauerta</t>
  </si>
  <si>
    <t>Pierwszy współczynnik Glauerta</t>
  </si>
  <si>
    <t>Współczynnik do wyznaczenia tau 1</t>
  </si>
  <si>
    <t>Współczynnik do wyznaczenia tau 2</t>
  </si>
  <si>
    <t>Współczynnik do wyznaczenia delta 1</t>
  </si>
  <si>
    <t>Współczynnik do wyznaczenia delta 2</t>
  </si>
  <si>
    <t>Współczynnik do wyznaczenia delta 3</t>
  </si>
  <si>
    <t>Kąt skosu lini utworzonej z 1/4 cięciwy płata</t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</si>
  <si>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p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</si>
  <si>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p wykres</t>
    </r>
  </si>
  <si>
    <t>błąd</t>
  </si>
  <si>
    <t>%</t>
  </si>
  <si>
    <t>Ma</t>
  </si>
  <si>
    <t>Długość kadłuba</t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</si>
  <si>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</si>
  <si>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Re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</si>
  <si>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f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</si>
  <si>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</si>
  <si>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ck</t>
    </r>
  </si>
  <si>
    <r>
      <t>Λ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</si>
  <si>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Λ</t>
    </r>
    <r>
      <rPr>
        <vertAlign val="subscript"/>
        <sz val="11"/>
        <color theme="1"/>
        <rFont val="Calibri"/>
        <family val="2"/>
        <charset val="238"/>
        <scheme val="minor"/>
      </rPr>
      <t>nk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</si>
  <si>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d</t>
    </r>
  </si>
  <si>
    <r>
      <t>η</t>
    </r>
    <r>
      <rPr>
        <vertAlign val="subscript"/>
        <sz val="11"/>
        <color theme="1"/>
        <rFont val="Calibri"/>
        <family val="2"/>
        <charset val="238"/>
        <scheme val="minor"/>
      </rPr>
      <t>Ma</t>
    </r>
  </si>
  <si>
    <r>
      <rPr>
        <sz val="11"/>
        <color theme="1"/>
        <rFont val="Calibri"/>
        <family val="2"/>
        <charset val="238"/>
      </rPr>
      <t>η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</si>
  <si>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nk</t>
    </r>
  </si>
  <si>
    <t>pole powierzchni zewnętrznej kadłuba omywanej przez powietrze</t>
  </si>
  <si>
    <t>pole maksymalnego przekroju czołowego kadłuba</t>
  </si>
  <si>
    <t>współczynniku oporu tarcia</t>
  </si>
  <si>
    <t>wydłużenie kadłuba</t>
  </si>
  <si>
    <t>K</t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</si>
  <si>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</si>
  <si>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</si>
  <si>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t>prędkość dźwięku na poziomie morza</t>
  </si>
  <si>
    <t>prędkość dźwięku na wysokości prędkości maksymalnej</t>
  </si>
  <si>
    <t>liczba macha osiągana przez samolot</t>
  </si>
  <si>
    <t>temperatura otoczenia na wysokości prędkości maksymalnej</t>
  </si>
  <si>
    <t>temperatura otoczenia na poziomie morza</t>
  </si>
  <si>
    <t>długość części nosowej kadłuba</t>
  </si>
  <si>
    <t>współczynnik oporu kadłuba</t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</si>
  <si>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</si>
  <si>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</si>
  <si>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</si>
  <si>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sc</t>
    </r>
    <r>
      <rPr>
        <sz val="11"/>
        <color theme="1"/>
        <rFont val="Calibri"/>
        <family val="2"/>
        <charset val="238"/>
        <scheme val="minor"/>
      </rPr>
      <t xml:space="preserve"> kreska</t>
    </r>
  </si>
  <si>
    <r>
      <t>b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</si>
  <si>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(V</t>
    </r>
    <r>
      <rPr>
        <vertAlign val="subscript"/>
        <sz val="11"/>
        <color theme="1"/>
        <rFont val="Calibri"/>
        <family val="2"/>
        <charset val="238"/>
        <scheme val="minor"/>
      </rPr>
      <t>H</t>
    </r>
    <r>
      <rPr>
        <sz val="11"/>
        <color theme="1"/>
        <rFont val="Calibri"/>
        <family val="2"/>
        <charset val="238"/>
        <scheme val="minor"/>
      </rPr>
      <t>/V)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</si>
  <si>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e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</si>
  <si>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Λ</t>
    </r>
    <r>
      <rPr>
        <vertAlign val="subscript"/>
        <sz val="11"/>
        <color theme="1"/>
        <rFont val="Calibri"/>
        <family val="2"/>
        <charset val="238"/>
        <scheme val="minor"/>
      </rPr>
      <t>eH</t>
    </r>
  </si>
  <si>
    <r>
      <t>Λ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</si>
  <si>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κ'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</si>
  <si>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ΔCx</t>
    </r>
    <r>
      <rPr>
        <vertAlign val="subscript"/>
        <sz val="11"/>
        <color theme="1"/>
        <rFont val="Calibri"/>
        <family val="2"/>
        <charset val="238"/>
        <scheme val="minor"/>
      </rPr>
      <t>H szcz</t>
    </r>
  </si>
  <si>
    <r>
      <t>(Cx</t>
    </r>
    <r>
      <rPr>
        <vertAlign val="subscript"/>
        <sz val="11"/>
        <color theme="1"/>
        <rFont val="Calibri"/>
        <family val="2"/>
        <charset val="238"/>
        <scheme val="minor"/>
      </rPr>
      <t>H∞</t>
    </r>
    <r>
      <rPr>
        <sz val="11"/>
        <color theme="1"/>
        <rFont val="Calibri"/>
        <family val="2"/>
        <charset val="238"/>
        <scheme val="minor"/>
      </rPr>
      <t>)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</si>
  <si>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Pole powierzchni usterzenia poziomego</t>
  </si>
  <si>
    <t>Środek ciężkości samolotu</t>
  </si>
  <si>
    <t>Ramię usterzenia poziomego</t>
  </si>
  <si>
    <t>Kwadrat stosunku prędkości</t>
  </si>
  <si>
    <t>Rozpiętość usterzenia poziomego</t>
  </si>
  <si>
    <t>wydłużenie usterzenia</t>
  </si>
  <si>
    <t>współczynnik korekcyjny wydłużenia usterzenia</t>
  </si>
  <si>
    <t>wydłużenie usterzenia po korekcji</t>
  </si>
  <si>
    <t>cecha objętościowa usterzenia poziomego</t>
  </si>
  <si>
    <t>Przyrost oporu wynikający ze szczelin</t>
  </si>
  <si>
    <t>Liczba reynoldsa dla kadłuba</t>
  </si>
  <si>
    <t>wspóółczynnik korekcyjny</t>
  </si>
  <si>
    <t>wydłużenie noskowej części kadłuba</t>
  </si>
  <si>
    <t>współczynnik korekcyjny ściśliwości</t>
  </si>
  <si>
    <t>Pole powierzchni usterzenia pionowego</t>
  </si>
  <si>
    <t>minimalny współczynnik oporu profilu usterzenia pionowego</t>
  </si>
  <si>
    <t>minimalny współczynnik oporu profilu usterzenia poziomego</t>
  </si>
  <si>
    <r>
      <t>(Cx</t>
    </r>
    <r>
      <rPr>
        <vertAlign val="subscript"/>
        <sz val="11"/>
        <color theme="1"/>
        <rFont val="Calibri"/>
        <family val="2"/>
        <charset val="238"/>
        <scheme val="minor"/>
      </rPr>
      <t>V∞</t>
    </r>
    <r>
      <rPr>
        <sz val="11"/>
        <color theme="1"/>
        <rFont val="Calibri"/>
        <family val="2"/>
        <charset val="238"/>
        <scheme val="minor"/>
      </rPr>
      <t>)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</si>
  <si>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r>
      <t>ΔCx</t>
    </r>
    <r>
      <rPr>
        <vertAlign val="subscript"/>
        <sz val="11"/>
        <color theme="1"/>
        <rFont val="Calibri"/>
        <family val="2"/>
        <charset val="238"/>
        <scheme val="minor"/>
      </rPr>
      <t>V szcz</t>
    </r>
  </si>
  <si>
    <r>
      <t>S</t>
    </r>
    <r>
      <rPr>
        <vertAlign val="subscript"/>
        <sz val="11"/>
        <color theme="1"/>
        <rFont val="Calibri"/>
        <family val="2"/>
        <charset val="238"/>
      </rPr>
      <t>V</t>
    </r>
  </si>
  <si>
    <t>Współczynnik oporu usterzenia pionowego</t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</si>
  <si>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V</t>
    </r>
  </si>
  <si>
    <t>Powierzchnia 1 gondoli</t>
  </si>
  <si>
    <t>Opór gondoli</t>
  </si>
  <si>
    <t>długość linki</t>
  </si>
  <si>
    <t>grubość linki</t>
  </si>
  <si>
    <t>Powierzchnia liny</t>
  </si>
  <si>
    <t>Opór liny</t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</si>
  <si>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g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</si>
  <si>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g</t>
    </r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</si>
  <si>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L</t>
    </r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</si>
  <si>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L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</si>
  <si>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L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</si>
  <si>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L</t>
    </r>
  </si>
  <si>
    <t>Suma iloczynów oporów i powierzchni</t>
  </si>
  <si>
    <r>
      <rPr>
        <sz val="11"/>
        <color theme="1"/>
        <rFont val="Calibri"/>
        <family val="2"/>
        <charset val="238"/>
      </rPr>
      <t>Σ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j</t>
    </r>
    <r>
      <rPr>
        <sz val="11"/>
        <color theme="1"/>
        <rFont val="Calibri"/>
        <family val="2"/>
        <charset val="238"/>
        <scheme val="minor"/>
      </rPr>
      <t>S</t>
    </r>
    <r>
      <rPr>
        <vertAlign val="subscript"/>
        <sz val="11"/>
        <color theme="1"/>
        <rFont val="Calibri"/>
        <family val="2"/>
        <charset val="238"/>
        <scheme val="minor"/>
      </rPr>
      <t>j</t>
    </r>
  </si>
  <si>
    <t>Iloczyn powierzchni i oporu kadłuba</t>
  </si>
  <si>
    <t>Iloczyn powierzchni i oporu usterzenia pionowego</t>
  </si>
  <si>
    <t>iloczyn powierzchni i oporu dwóch gondoli</t>
  </si>
  <si>
    <t>iloczyn powierzchni i oporu linki</t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</si>
  <si>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g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g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</si>
  <si>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V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V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</si>
  <si>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L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L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</si>
  <si>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k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</si>
  <si>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t>współczynnik</t>
  </si>
  <si>
    <r>
      <t>K</t>
    </r>
    <r>
      <rPr>
        <vertAlign val="subscript"/>
        <sz val="10"/>
        <color theme="1"/>
        <rFont val="Arial"/>
        <family val="2"/>
        <charset val="238"/>
      </rPr>
      <t>int erf</t>
    </r>
  </si>
  <si>
    <t>ζ</t>
  </si>
  <si>
    <t>współczynnik wzrostu oporów na skutek interferencji aerodynamicznej</t>
  </si>
  <si>
    <t>minimalne opory szkodliwe samolotu</t>
  </si>
  <si>
    <r>
      <t>(Cx</t>
    </r>
    <r>
      <rPr>
        <vertAlign val="subscript"/>
        <sz val="11"/>
        <color theme="1"/>
        <rFont val="Calibri"/>
        <family val="2"/>
        <charset val="238"/>
        <scheme val="minor"/>
      </rPr>
      <t>szk</t>
    </r>
    <r>
      <rPr>
        <sz val="11"/>
        <color theme="1"/>
        <rFont val="Calibri"/>
        <family val="2"/>
        <charset val="238"/>
        <scheme val="minor"/>
      </rPr>
      <t>)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</si>
  <si>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Cz'</t>
  </si>
  <si>
    <t>E</t>
  </si>
  <si>
    <t>Cz'2</t>
  </si>
  <si>
    <t>e</t>
  </si>
  <si>
    <t>Λe</t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</si>
  <si>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</si>
  <si>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r>
      <t>dCx/dCz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</si>
  <si>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(Cx)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</si>
  <si>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K/10</t>
  </si>
  <si>
    <t>E/100</t>
  </si>
  <si>
    <t>wysokość przelotowa</t>
  </si>
  <si>
    <t>h</t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</si>
  <si>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</si>
  <si>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rPr>
        <sz val="11"/>
        <color theme="1"/>
        <rFont val="Calibri Light"/>
        <family val="2"/>
        <charset val="238"/>
      </rPr>
      <t>ρ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</si>
  <si>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śr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</si>
  <si>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</si>
  <si>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Masa pustego samolotu z pilotem (80kg)</t>
  </si>
  <si>
    <t>Średnia masa samolotu o maksymalnej i minimalnej wadze</t>
  </si>
  <si>
    <t>gęstość powietrza na wysokości przelotowej</t>
  </si>
  <si>
    <t>współczynnik oswalda</t>
  </si>
  <si>
    <t>wydłużenie Oswalda</t>
  </si>
  <si>
    <t>Minimalny współczynnik Cx z danych</t>
  </si>
  <si>
    <t>Współczynnik Cx0 z biegunowej</t>
  </si>
  <si>
    <t>Współczynnik kierunkowy biegunowej</t>
  </si>
  <si>
    <t>błąd wartości Cx0</t>
  </si>
  <si>
    <t>A</t>
  </si>
  <si>
    <t>B</t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</si>
  <si>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</si>
  <si>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t>V [m/s]</t>
  </si>
  <si>
    <t>w [m/s]</t>
  </si>
  <si>
    <r>
      <t>γ [</t>
    </r>
    <r>
      <rPr>
        <sz val="11"/>
        <color theme="1"/>
        <rFont val="Calibri"/>
        <family val="2"/>
        <charset val="238"/>
      </rPr>
      <t>°</t>
    </r>
    <r>
      <rPr>
        <sz val="11"/>
        <color theme="1"/>
        <rFont val="Calibri"/>
        <family val="2"/>
        <charset val="238"/>
        <scheme val="minor"/>
      </rPr>
      <t>]</t>
    </r>
  </si>
  <si>
    <r>
      <t>γ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</si>
  <si>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obliczone</t>
  </si>
  <si>
    <t>z wykresu</t>
  </si>
  <si>
    <t>obliczone [m/s]</t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</si>
  <si>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opt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</si>
  <si>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ek</t>
    </r>
  </si>
  <si>
    <r>
      <t>w</t>
    </r>
    <r>
      <rPr>
        <vertAlign val="subscript"/>
        <sz val="11"/>
        <color theme="1"/>
        <rFont val="Calibri"/>
        <family val="2"/>
        <charset val="238"/>
        <scheme val="minor"/>
      </rPr>
      <t>opt</t>
    </r>
  </si>
  <si>
    <r>
      <t>w</t>
    </r>
    <r>
      <rPr>
        <vertAlign val="subscript"/>
        <sz val="11"/>
        <color theme="1"/>
        <rFont val="Calibri"/>
        <family val="2"/>
        <charset val="238"/>
        <scheme val="minor"/>
      </rPr>
      <t>ek</t>
    </r>
  </si>
  <si>
    <r>
      <t>m</t>
    </r>
    <r>
      <rPr>
        <vertAlign val="subscript"/>
        <sz val="11"/>
        <color theme="4"/>
        <rFont val="Calibri"/>
        <family val="2"/>
        <charset val="238"/>
        <scheme val="minor"/>
      </rPr>
      <t>min</t>
    </r>
  </si>
  <si>
    <r>
      <t>m</t>
    </r>
    <r>
      <rPr>
        <vertAlign val="subscript"/>
        <sz val="11"/>
        <color theme="5"/>
        <rFont val="Calibri"/>
        <family val="2"/>
        <charset val="238"/>
        <scheme val="minor"/>
      </rPr>
      <t>śr</t>
    </r>
  </si>
  <si>
    <r>
      <rPr>
        <sz val="11"/>
        <color theme="6"/>
        <rFont val="Calibri"/>
        <family val="2"/>
        <charset val="238"/>
        <scheme val="minor"/>
      </rPr>
      <t>m</t>
    </r>
    <r>
      <rPr>
        <vertAlign val="subscript"/>
        <sz val="11"/>
        <color theme="6"/>
        <rFont val="Calibri"/>
        <family val="2"/>
        <charset val="238"/>
        <scheme val="minor"/>
      </rPr>
      <t>max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</si>
  <si>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max2</t>
    </r>
  </si>
  <si>
    <t>Graniczna prędkość dla biegunowej prędkości</t>
  </si>
  <si>
    <t>Minimalny kąt toru lotu</t>
  </si>
  <si>
    <t>J</t>
  </si>
  <si>
    <t>D</t>
  </si>
  <si>
    <t>Średnica śmigła</t>
  </si>
  <si>
    <t>Posuw</t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</si>
  <si>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D</t>
    </r>
  </si>
  <si>
    <t>Cecha bezśrednicowa śmigła</t>
  </si>
  <si>
    <t>Liczba Macha na końcówce łopaty</t>
  </si>
  <si>
    <r>
      <t>Ma</t>
    </r>
    <r>
      <rPr>
        <vertAlign val="subscript"/>
        <sz val="11"/>
        <color theme="1"/>
        <rFont val="Calibri"/>
        <family val="2"/>
        <charset val="238"/>
        <scheme val="minor"/>
      </rPr>
      <t>kl</t>
    </r>
  </si>
  <si>
    <t>k</t>
  </si>
  <si>
    <t>Moc na wysokości przelotowej</t>
  </si>
  <si>
    <t>współczynnik korekcyjny</t>
  </si>
  <si>
    <t>korekta technologiczna współczynnika oporu</t>
  </si>
  <si>
    <t>współczynnik a dla płata obliczony</t>
  </si>
  <si>
    <t>współczynnik a dla płata odczytany z wykresu</t>
  </si>
  <si>
    <t>błąd między wynikami współczynnika a dla płata</t>
  </si>
  <si>
    <t>maksymalny współczynnik Cz</t>
  </si>
  <si>
    <t>Minimalny współczynnik Cx'</t>
  </si>
  <si>
    <t>Korekta dottycząca liczby reynoldsa</t>
  </si>
  <si>
    <t>minimalna wartość Cx</t>
  </si>
  <si>
    <t>Cz odpowiadające minimalnej wartości Cx</t>
  </si>
  <si>
    <t>CN</t>
  </si>
  <si>
    <t>LP</t>
  </si>
  <si>
    <t>V</t>
  </si>
  <si>
    <t>bs</t>
  </si>
  <si>
    <t>etas</t>
  </si>
  <si>
    <t>Nr</t>
  </si>
  <si>
    <t>α [°]</t>
  </si>
  <si>
    <t>samolot</t>
  </si>
  <si>
    <t>płat</t>
  </si>
  <si>
    <t>profil</t>
  </si>
  <si>
    <r>
      <t>α</t>
    </r>
    <r>
      <rPr>
        <vertAlign val="subscript"/>
        <sz val="8"/>
        <color theme="1"/>
        <rFont val="Arial"/>
        <family val="2"/>
        <charset val="238"/>
      </rPr>
      <t>i</t>
    </r>
    <r>
      <rPr>
        <sz val="8"/>
        <color theme="1"/>
        <rFont val="Arial"/>
        <family val="2"/>
        <charset val="238"/>
      </rPr>
      <t xml:space="preserve"> [°]</t>
    </r>
  </si>
  <si>
    <r>
      <t>α</t>
    </r>
    <r>
      <rPr>
        <vertAlign val="subscript"/>
        <sz val="8"/>
        <color theme="1"/>
        <rFont val="Arial"/>
        <family val="2"/>
        <charset val="238"/>
      </rPr>
      <t>p</t>
    </r>
    <r>
      <rPr>
        <sz val="8"/>
        <color theme="1"/>
        <rFont val="Arial"/>
        <family val="2"/>
        <charset val="238"/>
      </rPr>
      <t xml:space="preserve"> [°]</t>
    </r>
  </si>
  <si>
    <r>
      <t>Cx</t>
    </r>
    <r>
      <rPr>
        <vertAlign val="subscript"/>
        <sz val="8"/>
        <color theme="1"/>
        <rFont val="Arial"/>
        <family val="2"/>
        <charset val="238"/>
      </rPr>
      <t>i</t>
    </r>
  </si>
  <si>
    <r>
      <t>C'x</t>
    </r>
    <r>
      <rPr>
        <vertAlign val="subscript"/>
        <sz val="8"/>
        <color theme="1"/>
        <rFont val="Arial"/>
        <family val="2"/>
        <charset val="238"/>
      </rPr>
      <t>p</t>
    </r>
  </si>
  <si>
    <r>
      <t>Cz</t>
    </r>
    <r>
      <rPr>
        <vertAlign val="subscript"/>
        <sz val="8"/>
        <color theme="1"/>
        <rFont val="Arial"/>
        <family val="2"/>
        <charset val="238"/>
      </rPr>
      <t>H</t>
    </r>
  </si>
  <si>
    <r>
      <t>Cx</t>
    </r>
    <r>
      <rPr>
        <vertAlign val="subscript"/>
        <sz val="8"/>
        <color theme="1"/>
        <rFont val="Arial"/>
        <family val="2"/>
        <charset val="238"/>
      </rPr>
      <t>H</t>
    </r>
  </si>
  <si>
    <r>
      <t>Cx'</t>
    </r>
    <r>
      <rPr>
        <vertAlign val="subscript"/>
        <sz val="8"/>
        <color theme="1"/>
        <rFont val="Arial"/>
        <family val="2"/>
        <charset val="238"/>
      </rPr>
      <t>szk</t>
    </r>
  </si>
  <si>
    <r>
      <rPr>
        <sz val="8"/>
        <color theme="1"/>
        <rFont val="Calibri"/>
        <family val="2"/>
        <charset val="238"/>
      </rPr>
      <t>Δ</t>
    </r>
    <r>
      <rPr>
        <sz val="8"/>
        <color theme="1"/>
        <rFont val="Arial"/>
        <family val="2"/>
        <charset val="238"/>
      </rPr>
      <t>Cz</t>
    </r>
    <r>
      <rPr>
        <vertAlign val="subscript"/>
        <sz val="8"/>
        <color theme="1"/>
        <rFont val="Arial"/>
        <family val="2"/>
        <charset val="238"/>
      </rPr>
      <t>H</t>
    </r>
  </si>
  <si>
    <r>
      <rPr>
        <b/>
        <sz val="8"/>
        <color rgb="FF000000"/>
        <rFont val="Arial"/>
        <family val="2"/>
        <charset val="238"/>
      </rPr>
      <t>Tabela 3.3</t>
    </r>
    <r>
      <rPr>
        <sz val="8"/>
        <color rgb="FF000000"/>
        <rFont val="Arial"/>
        <family val="2"/>
        <charset val="238"/>
      </rPr>
      <t xml:space="preserve"> Charakterystyki aerodynamiczne samolotu Piper PA-31 Navajo</t>
    </r>
  </si>
  <si>
    <r>
      <t>N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</si>
  <si>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t>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</si>
</sst>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00000"/>
  </numFmts>
  <fonts count="2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rgb="FF000000"/>
      <name val="Arial"/>
      <family val="2"/>
      <charset val="238"/>
    </font>
    <font>
      <sz val="12"/>
      <color theme="1"/>
      <name val="Arial"/>
      <family val="2"/>
      <charset val="238"/>
    </font>
    <font>
      <sz val="11"/>
      <color theme="1"/>
      <name val="Calibri"/>
      <family val="2"/>
      <charset val="238"/>
    </font>
    <font>
      <sz val="11"/>
      <color theme="1"/>
      <name val="Calibri Light"/>
      <family val="2"/>
      <charset val="238"/>
    </font>
    <font>
      <vertAlign val="subscript"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vertAlign val="subscript"/>
      <sz val="11"/>
      <color theme="1"/>
      <name val="Calibri"/>
      <family val="2"/>
      <charset val="238"/>
    </font>
    <font>
      <vertAlign val="subscript"/>
      <sz val="10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vertAlign val="subscript"/>
      <sz val="11"/>
      <color theme="4"/>
      <name val="Calibri"/>
      <family val="2"/>
      <charset val="238"/>
      <scheme val="minor"/>
    </font>
    <font>
      <sz val="11"/>
      <color theme="5"/>
      <name val="Calibri"/>
      <family val="2"/>
      <charset val="238"/>
      <scheme val="minor"/>
    </font>
    <font>
      <vertAlign val="subscript"/>
      <sz val="11"/>
      <color theme="5"/>
      <name val="Calibri"/>
      <family val="2"/>
      <charset val="238"/>
      <scheme val="minor"/>
    </font>
    <font>
      <sz val="11"/>
      <color theme="6"/>
      <name val="Calibri"/>
      <family val="2"/>
      <charset val="238"/>
      <scheme val="minor"/>
    </font>
    <font>
      <vertAlign val="subscript"/>
      <sz val="11"/>
      <color theme="6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sz val="8"/>
      <color theme="1"/>
      <name val="Calibri"/>
      <family val="2"/>
      <charset val="238"/>
    </font>
    <font>
      <vertAlign val="subscript"/>
      <sz val="8"/>
      <color theme="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8"/>
      <color rgb="FF00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DashDot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Dot">
        <color auto="1"/>
      </bottom>
      <diagonal/>
    </border>
    <border>
      <left style="thin">
        <color auto="1"/>
      </left>
      <right/>
      <top style="thin">
        <color auto="1"/>
      </top>
      <bottom style="mediumDashDotDot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DashDotDot">
        <color auto="1"/>
      </bottom>
      <diagonal/>
    </border>
    <border>
      <left/>
      <right style="thin">
        <color auto="1"/>
      </right>
      <top style="thin">
        <color auto="1"/>
      </top>
      <bottom style="mediumDashDotDot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165" fontId="0" fillId="0" borderId="1" xfId="0" applyNumberFormat="1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8" fillId="0" borderId="1" xfId="0" applyFont="1" applyBorder="1"/>
    <xf numFmtId="0" fontId="8" fillId="0" borderId="0" xfId="0" applyFont="1" applyAlignment="1">
      <alignment horizontal="left" vertical="center" wrapText="1"/>
    </xf>
    <xf numFmtId="0" fontId="8" fillId="0" borderId="2" xfId="0" applyFont="1" applyBorder="1"/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12" fillId="0" borderId="0" xfId="0" applyFont="1"/>
    <xf numFmtId="0" fontId="14" fillId="0" borderId="0" xfId="0" applyFont="1"/>
    <xf numFmtId="0" fontId="16" fillId="0" borderId="0" xfId="0" applyFont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165" fontId="21" fillId="0" borderId="18" xfId="0" applyNumberFormat="1" applyFont="1" applyBorder="1" applyAlignment="1">
      <alignment horizontal="center" vertical="center" wrapText="1"/>
    </xf>
    <xf numFmtId="164" fontId="21" fillId="0" borderId="19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164" fontId="18" fillId="0" borderId="20" xfId="0" applyNumberFormat="1" applyFont="1" applyBorder="1" applyAlignment="1">
      <alignment horizontal="center" vertical="center"/>
    </xf>
    <xf numFmtId="165" fontId="18" fillId="0" borderId="18" xfId="0" applyNumberFormat="1" applyFont="1" applyBorder="1" applyAlignment="1">
      <alignment horizontal="center" vertical="center"/>
    </xf>
    <xf numFmtId="164" fontId="21" fillId="0" borderId="21" xfId="0" applyNumberFormat="1" applyFont="1" applyBorder="1" applyAlignment="1">
      <alignment horizontal="center" vertical="center"/>
    </xf>
    <xf numFmtId="164" fontId="18" fillId="0" borderId="19" xfId="0" applyNumberFormat="1" applyFont="1" applyBorder="1" applyAlignment="1">
      <alignment horizontal="center" vertical="center"/>
    </xf>
    <xf numFmtId="165" fontId="18" fillId="0" borderId="19" xfId="0" applyNumberFormat="1" applyFont="1" applyBorder="1" applyAlignment="1">
      <alignment horizontal="center" vertical="center"/>
    </xf>
    <xf numFmtId="165" fontId="21" fillId="0" borderId="6" xfId="0" applyNumberFormat="1" applyFont="1" applyBorder="1" applyAlignment="1">
      <alignment horizontal="center" vertical="center" wrapText="1"/>
    </xf>
    <xf numFmtId="164" fontId="21" fillId="0" borderId="7" xfId="0" applyNumberFormat="1" applyFont="1" applyBorder="1" applyAlignment="1">
      <alignment horizontal="center" vertical="center"/>
    </xf>
    <xf numFmtId="2" fontId="18" fillId="0" borderId="7" xfId="0" applyNumberFormat="1" applyFont="1" applyBorder="1" applyAlignment="1">
      <alignment horizontal="center" vertical="center"/>
    </xf>
    <xf numFmtId="164" fontId="18" fillId="0" borderId="13" xfId="0" applyNumberFormat="1" applyFont="1" applyBorder="1" applyAlignment="1">
      <alignment horizontal="center" vertical="center"/>
    </xf>
    <xf numFmtId="165" fontId="18" fillId="0" borderId="6" xfId="0" applyNumberFormat="1" applyFont="1" applyBorder="1" applyAlignment="1">
      <alignment horizontal="center" vertical="center"/>
    </xf>
    <xf numFmtId="164" fontId="21" fillId="0" borderId="8" xfId="0" applyNumberFormat="1" applyFont="1" applyBorder="1" applyAlignment="1">
      <alignment horizontal="center" vertical="center"/>
    </xf>
    <xf numFmtId="164" fontId="18" fillId="0" borderId="7" xfId="0" applyNumberFormat="1" applyFont="1" applyBorder="1" applyAlignment="1">
      <alignment horizontal="center" vertical="center"/>
    </xf>
    <xf numFmtId="165" fontId="18" fillId="0" borderId="7" xfId="0" applyNumberFormat="1" applyFont="1" applyBorder="1" applyAlignment="1">
      <alignment horizontal="center" vertical="center"/>
    </xf>
    <xf numFmtId="165" fontId="21" fillId="0" borderId="9" xfId="0" applyNumberFormat="1" applyFont="1" applyBorder="1" applyAlignment="1">
      <alignment horizontal="center" vertical="center" wrapText="1"/>
    </xf>
    <xf numFmtId="164" fontId="21" fillId="0" borderId="10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4" fontId="18" fillId="0" borderId="22" xfId="0" applyNumberFormat="1" applyFont="1" applyBorder="1" applyAlignment="1">
      <alignment horizontal="center" vertical="center"/>
    </xf>
    <xf numFmtId="164" fontId="18" fillId="0" borderId="16" xfId="0" applyNumberFormat="1" applyFont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2" fontId="18" fillId="0" borderId="21" xfId="0" applyNumberFormat="1" applyFont="1" applyBorder="1" applyAlignment="1">
      <alignment horizontal="center" vertical="center"/>
    </xf>
    <xf numFmtId="2" fontId="18" fillId="0" borderId="8" xfId="0" applyNumberFormat="1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8" fillId="2" borderId="3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21" fillId="0" borderId="28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0.17046172353455818"/>
                  <c:y val="-0.10689814814814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'projekty 2 i 3'!$B$3:$B$44</c:f>
              <c:numCache>
                <c:formatCode>General</c:formatCode>
                <c:ptCount val="42"/>
                <c:pt idx="0">
                  <c:v>-1.1343709115506599</c:v>
                </c:pt>
                <c:pt idx="1">
                  <c:v>-1.0339724137378301</c:v>
                </c:pt>
                <c:pt idx="2">
                  <c:v>-0.93373752021259104</c:v>
                </c:pt>
                <c:pt idx="3">
                  <c:v>-0.82687665304027202</c:v>
                </c:pt>
                <c:pt idx="4">
                  <c:v>-0.73334953530588598</c:v>
                </c:pt>
                <c:pt idx="5">
                  <c:v>-0.63319644392442997</c:v>
                </c:pt>
                <c:pt idx="6">
                  <c:v>-0.43943443266479698</c:v>
                </c:pt>
                <c:pt idx="7">
                  <c:v>-0.332628100255005</c:v>
                </c:pt>
                <c:pt idx="8">
                  <c:v>-0.23910098252062001</c:v>
                </c:pt>
                <c:pt idx="9">
                  <c:v>-0.179030941596757</c:v>
                </c:pt>
                <c:pt idx="10">
                  <c:v>-0.135594003243732</c:v>
                </c:pt>
                <c:pt idx="11">
                  <c:v>-9.8810305919042801E-2</c:v>
                </c:pt>
                <c:pt idx="12">
                  <c:v>-5.2155816576904698E-2</c:v>
                </c:pt>
                <c:pt idx="13">
                  <c:v>-3.8794799757706902E-2</c:v>
                </c:pt>
                <c:pt idx="14">
                  <c:v>-8.7734129864074292E-3</c:v>
                </c:pt>
                <c:pt idx="15">
                  <c:v>7.88695696569474E-3</c:v>
                </c:pt>
                <c:pt idx="16">
                  <c:v>2.7928482194491101E-2</c:v>
                </c:pt>
                <c:pt idx="17">
                  <c:v>4.1344033776216503E-2</c:v>
                </c:pt>
                <c:pt idx="18">
                  <c:v>6.1331024242486203E-2</c:v>
                </c:pt>
                <c:pt idx="19">
                  <c:v>8.1345282090019094E-2</c:v>
                </c:pt>
                <c:pt idx="20">
                  <c:v>0.101414074700079</c:v>
                </c:pt>
                <c:pt idx="21">
                  <c:v>0.14815036618600799</c:v>
                </c:pt>
                <c:pt idx="22">
                  <c:v>0.21492818290073401</c:v>
                </c:pt>
                <c:pt idx="23">
                  <c:v>0.25833785387249503</c:v>
                </c:pt>
                <c:pt idx="24">
                  <c:v>0.30507414535842398</c:v>
                </c:pt>
                <c:pt idx="25">
                  <c:v>0.39851946094901802</c:v>
                </c:pt>
                <c:pt idx="26">
                  <c:v>0.49864528494921101</c:v>
                </c:pt>
                <c:pt idx="27">
                  <c:v>0.59547175581650003</c:v>
                </c:pt>
                <c:pt idx="28">
                  <c:v>0.79583247334194096</c:v>
                </c:pt>
                <c:pt idx="29">
                  <c:v>0.89282254849681197</c:v>
                </c:pt>
                <c:pt idx="30">
                  <c:v>0.99303017464079602</c:v>
                </c:pt>
                <c:pt idx="31">
                  <c:v>1.10321766232728</c:v>
                </c:pt>
                <c:pt idx="32">
                  <c:v>1.1999623310507801</c:v>
                </c:pt>
                <c:pt idx="33">
                  <c:v>1.29343491402263</c:v>
                </c:pt>
                <c:pt idx="34">
                  <c:v>1.4003503159574799</c:v>
                </c:pt>
                <c:pt idx="35">
                  <c:v>1.49409557274198</c:v>
                </c:pt>
                <c:pt idx="36">
                  <c:v>1.59103111313432</c:v>
                </c:pt>
                <c:pt idx="37">
                  <c:v>1.6111817078881701</c:v>
                </c:pt>
                <c:pt idx="38">
                  <c:v>1.6212706389557301</c:v>
                </c:pt>
                <c:pt idx="39">
                  <c:v>1.6313868374045499</c:v>
                </c:pt>
                <c:pt idx="40">
                  <c:v>1.64153030323463</c:v>
                </c:pt>
                <c:pt idx="41">
                  <c:v>1.64889249617582</c:v>
                </c:pt>
              </c:numCache>
            </c:numRef>
          </c:xVal>
          <c:yVal>
            <c:numRef>
              <c:f>'projekty 2 i 3'!$C$3:$C$44</c:f>
              <c:numCache>
                <c:formatCode>General</c:formatCode>
                <c:ptCount val="42"/>
                <c:pt idx="0">
                  <c:v>1.33466772614203E-2</c:v>
                </c:pt>
                <c:pt idx="1">
                  <c:v>1.22814023405731E-2</c:v>
                </c:pt>
                <c:pt idx="2">
                  <c:v>1.10900679554798E-2</c:v>
                </c:pt>
                <c:pt idx="3">
                  <c:v>9.9863956116151807E-3</c:v>
                </c:pt>
                <c:pt idx="4">
                  <c:v>9.1236852091771507E-3</c:v>
                </c:pt>
                <c:pt idx="5">
                  <c:v>8.4393417038505104E-3</c:v>
                </c:pt>
                <c:pt idx="6">
                  <c:v>7.3552303113343402E-3</c:v>
                </c:pt>
                <c:pt idx="7">
                  <c:v>7.0863034542760599E-3</c:v>
                </c:pt>
                <c:pt idx="8">
                  <c:v>6.9318443865906496E-3</c:v>
                </c:pt>
                <c:pt idx="9">
                  <c:v>6.8317212948733703E-3</c:v>
                </c:pt>
                <c:pt idx="10">
                  <c:v>6.5990184217938497E-3</c:v>
                </c:pt>
                <c:pt idx="11">
                  <c:v>6.4764364600097398E-3</c:v>
                </c:pt>
                <c:pt idx="12">
                  <c:v>6.3058939434377697E-3</c:v>
                </c:pt>
                <c:pt idx="13">
                  <c:v>6.1772263523452303E-3</c:v>
                </c:pt>
                <c:pt idx="14">
                  <c:v>5.7873113887979104E-3</c:v>
                </c:pt>
                <c:pt idx="15">
                  <c:v>5.7225429054439001E-3</c:v>
                </c:pt>
                <c:pt idx="16">
                  <c:v>5.6374889910617799E-3</c:v>
                </c:pt>
                <c:pt idx="17">
                  <c:v>5.5999609436597902E-3</c:v>
                </c:pt>
                <c:pt idx="18">
                  <c:v>5.4920134714031002E-3</c:v>
                </c:pt>
                <c:pt idx="19">
                  <c:v>5.4518772971546402E-3</c:v>
                </c:pt>
                <c:pt idx="20">
                  <c:v>5.4328959295497801E-3</c:v>
                </c:pt>
                <c:pt idx="21">
                  <c:v>5.3336422134479802E-3</c:v>
                </c:pt>
                <c:pt idx="22">
                  <c:v>5.2775674862488697E-3</c:v>
                </c:pt>
                <c:pt idx="23">
                  <c:v>5.2664104991834203E-3</c:v>
                </c:pt>
                <c:pt idx="24">
                  <c:v>5.2746695675305799E-3</c:v>
                </c:pt>
                <c:pt idx="25">
                  <c:v>5.3162547011381799E-3</c:v>
                </c:pt>
                <c:pt idx="26">
                  <c:v>5.4044963261104199E-3</c:v>
                </c:pt>
                <c:pt idx="27">
                  <c:v>5.7081982077883103E-3</c:v>
                </c:pt>
                <c:pt idx="28">
                  <c:v>7.1136887861640002E-3</c:v>
                </c:pt>
                <c:pt idx="29">
                  <c:v>8.5216425954502406E-3</c:v>
                </c:pt>
                <c:pt idx="30">
                  <c:v>1.0149838227327301E-2</c:v>
                </c:pt>
                <c:pt idx="31">
                  <c:v>1.08737383231587E-2</c:v>
                </c:pt>
                <c:pt idx="32">
                  <c:v>1.2061884997661899E-2</c:v>
                </c:pt>
                <c:pt idx="33">
                  <c:v>1.3315234843326799E-2</c:v>
                </c:pt>
                <c:pt idx="34">
                  <c:v>1.47628901390537E-2</c:v>
                </c:pt>
                <c:pt idx="35">
                  <c:v>1.692264954423061E-2</c:v>
                </c:pt>
                <c:pt idx="36">
                  <c:v>1.9009157703914561E-2</c:v>
                </c:pt>
                <c:pt idx="37">
                  <c:v>1.9469640423407812E-2</c:v>
                </c:pt>
                <c:pt idx="38">
                  <c:v>1.9703719178728762E-2</c:v>
                </c:pt>
                <c:pt idx="39">
                  <c:v>1.9940807201677891E-2</c:v>
                </c:pt>
                <c:pt idx="40">
                  <c:v>2.0180934653793847E-2</c:v>
                </c:pt>
                <c:pt idx="41">
                  <c:v>2.0356732334705599E-2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C-4F1B-B501-068B252AF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730912"/>
        <c:axId val="2045953072"/>
      </c:scatterChart>
      <c:valAx>
        <c:axId val="137073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5953072"/>
        <c:crosses val="autoZero"/>
        <c:crossBetween val="midCat"/>
      </c:valAx>
      <c:valAx>
        <c:axId val="204595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073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Cz(</a:t>
            </a:r>
            <a:r>
              <a:rPr lang="el-GR"/>
              <a:t>α</a:t>
            </a:r>
            <a:r>
              <a:rPr lang="pl-PL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4964238845144355"/>
                  <c:y val="0.11532407407407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'projekty 2 i 3'!$D$3:$D$43</c:f>
              <c:numCache>
                <c:formatCode>General</c:formatCode>
                <c:ptCount val="41"/>
                <c:pt idx="0">
                  <c:v>-0.24097140478941095</c:v>
                </c:pt>
                <c:pt idx="1">
                  <c:v>-0.21590450600340239</c:v>
                </c:pt>
                <c:pt idx="2">
                  <c:v>-0.19773633452605616</c:v>
                </c:pt>
                <c:pt idx="3">
                  <c:v>-0.18073317991209614</c:v>
                </c:pt>
                <c:pt idx="4">
                  <c:v>-0.1648493552256998</c:v>
                </c:pt>
                <c:pt idx="5">
                  <c:v>-0.15013054740268739</c:v>
                </c:pt>
                <c:pt idx="6">
                  <c:v>-0.11607855123894585</c:v>
                </c:pt>
                <c:pt idx="7">
                  <c:v>-0.10137497239453964</c:v>
                </c:pt>
                <c:pt idx="8">
                  <c:v>-8.549114770814327E-2</c:v>
                </c:pt>
                <c:pt idx="9">
                  <c:v>-7.7579693322157653E-2</c:v>
                </c:pt>
                <c:pt idx="10">
                  <c:v>-6.9630166489656461E-2</c:v>
                </c:pt>
                <c:pt idx="11">
                  <c:v>-6.1665410678548728E-2</c:v>
                </c:pt>
                <c:pt idx="12">
                  <c:v>-5.8322649874460376E-2</c:v>
                </c:pt>
                <c:pt idx="13">
                  <c:v>-5.6053532062118112E-2</c:v>
                </c:pt>
                <c:pt idx="14">
                  <c:v>-5.2672698811514186E-2</c:v>
                </c:pt>
                <c:pt idx="15">
                  <c:v>-5.156098337325235E-2</c:v>
                </c:pt>
                <c:pt idx="16">
                  <c:v>-4.8157306654738864E-2</c:v>
                </c:pt>
                <c:pt idx="17">
                  <c:v>-4.3588613072841599E-2</c:v>
                </c:pt>
                <c:pt idx="18">
                  <c:v>-4.2484512123882941E-2</c:v>
                </c:pt>
                <c:pt idx="19">
                  <c:v>-4.0230623290147052E-2</c:v>
                </c:pt>
                <c:pt idx="20">
                  <c:v>-3.5677158686855982E-2</c:v>
                </c:pt>
                <c:pt idx="21">
                  <c:v>-2.8885034228435389E-2</c:v>
                </c:pt>
                <c:pt idx="22">
                  <c:v>-1.868923305150114E-2</c:v>
                </c:pt>
                <c:pt idx="23">
                  <c:v>-1.1889494103777343E-2</c:v>
                </c:pt>
                <c:pt idx="24">
                  <c:v>-5.0973696453567325E-3</c:v>
                </c:pt>
                <c:pt idx="25">
                  <c:v>7.3370913867071797E-3</c:v>
                </c:pt>
                <c:pt idx="26">
                  <c:v>2.0906111324942172E-2</c:v>
                </c:pt>
                <c:pt idx="27">
                  <c:v>3.5632533637257761E-2</c:v>
                </c:pt>
                <c:pt idx="28">
                  <c:v>6.736972505283792E-2</c:v>
                </c:pt>
                <c:pt idx="29">
                  <c:v>8.8994874673818697E-2</c:v>
                </c:pt>
                <c:pt idx="30">
                  <c:v>0.10601325826638627</c:v>
                </c:pt>
                <c:pt idx="31">
                  <c:v>0.12300879839104431</c:v>
                </c:pt>
                <c:pt idx="32">
                  <c:v>0.13428585704902732</c:v>
                </c:pt>
                <c:pt idx="33">
                  <c:v>0.14787010596586883</c:v>
                </c:pt>
                <c:pt idx="34">
                  <c:v>0.16717283634938523</c:v>
                </c:pt>
                <c:pt idx="35">
                  <c:v>0.19225496411400003</c:v>
                </c:pt>
                <c:pt idx="36">
                  <c:v>0.21158053796542614</c:v>
                </c:pt>
                <c:pt idx="37">
                  <c:v>0.21958336622305033</c:v>
                </c:pt>
                <c:pt idx="38">
                  <c:v>0.2241596742942501</c:v>
                </c:pt>
                <c:pt idx="39">
                  <c:v>0.22988577025022863</c:v>
                </c:pt>
                <c:pt idx="40">
                  <c:v>0.23676165409098426</c:v>
                </c:pt>
              </c:numCache>
            </c:numRef>
          </c:xVal>
          <c:yVal>
            <c:numRef>
              <c:f>'projekty 2 i 3'!$B$3:$B$43</c:f>
              <c:numCache>
                <c:formatCode>General</c:formatCode>
                <c:ptCount val="41"/>
                <c:pt idx="0">
                  <c:v>-1.1343709115506599</c:v>
                </c:pt>
                <c:pt idx="1">
                  <c:v>-1.0339724137378301</c:v>
                </c:pt>
                <c:pt idx="2">
                  <c:v>-0.93373752021259104</c:v>
                </c:pt>
                <c:pt idx="3">
                  <c:v>-0.82687665304027202</c:v>
                </c:pt>
                <c:pt idx="4">
                  <c:v>-0.73334953530588598</c:v>
                </c:pt>
                <c:pt idx="5">
                  <c:v>-0.63319644392442997</c:v>
                </c:pt>
                <c:pt idx="6">
                  <c:v>-0.43943443266479698</c:v>
                </c:pt>
                <c:pt idx="7">
                  <c:v>-0.332628100255005</c:v>
                </c:pt>
                <c:pt idx="8">
                  <c:v>-0.23910098252062001</c:v>
                </c:pt>
                <c:pt idx="9">
                  <c:v>-0.179030941596757</c:v>
                </c:pt>
                <c:pt idx="10">
                  <c:v>-0.135594003243732</c:v>
                </c:pt>
                <c:pt idx="11">
                  <c:v>-9.8810305919042801E-2</c:v>
                </c:pt>
                <c:pt idx="12">
                  <c:v>-5.2155816576904698E-2</c:v>
                </c:pt>
                <c:pt idx="13">
                  <c:v>-3.8794799757706902E-2</c:v>
                </c:pt>
                <c:pt idx="14">
                  <c:v>-8.7734129864074292E-3</c:v>
                </c:pt>
                <c:pt idx="15">
                  <c:v>7.88695696569474E-3</c:v>
                </c:pt>
                <c:pt idx="16">
                  <c:v>2.7928482194491101E-2</c:v>
                </c:pt>
                <c:pt idx="17">
                  <c:v>4.1344033776216503E-2</c:v>
                </c:pt>
                <c:pt idx="18">
                  <c:v>6.1331024242486203E-2</c:v>
                </c:pt>
                <c:pt idx="19">
                  <c:v>8.1345282090019094E-2</c:v>
                </c:pt>
                <c:pt idx="20">
                  <c:v>0.101414074700079</c:v>
                </c:pt>
                <c:pt idx="21">
                  <c:v>0.14815036618600799</c:v>
                </c:pt>
                <c:pt idx="22">
                  <c:v>0.21492818290073401</c:v>
                </c:pt>
                <c:pt idx="23">
                  <c:v>0.25833785387249503</c:v>
                </c:pt>
                <c:pt idx="24">
                  <c:v>0.30507414535842398</c:v>
                </c:pt>
                <c:pt idx="25">
                  <c:v>0.39851946094901802</c:v>
                </c:pt>
                <c:pt idx="26">
                  <c:v>0.49864528494921101</c:v>
                </c:pt>
                <c:pt idx="27">
                  <c:v>0.59547175581650003</c:v>
                </c:pt>
                <c:pt idx="28">
                  <c:v>0.79583247334194096</c:v>
                </c:pt>
                <c:pt idx="29">
                  <c:v>0.89282254849681197</c:v>
                </c:pt>
                <c:pt idx="30">
                  <c:v>0.99303017464079602</c:v>
                </c:pt>
                <c:pt idx="31">
                  <c:v>1.10321766232728</c:v>
                </c:pt>
                <c:pt idx="32">
                  <c:v>1.1999623310507801</c:v>
                </c:pt>
                <c:pt idx="33">
                  <c:v>1.29343491402263</c:v>
                </c:pt>
                <c:pt idx="34">
                  <c:v>1.4003503159574799</c:v>
                </c:pt>
                <c:pt idx="35">
                  <c:v>1.49409557274198</c:v>
                </c:pt>
                <c:pt idx="36">
                  <c:v>1.59103111313432</c:v>
                </c:pt>
                <c:pt idx="37">
                  <c:v>1.6111817078881701</c:v>
                </c:pt>
                <c:pt idx="38">
                  <c:v>1.6212706389557301</c:v>
                </c:pt>
                <c:pt idx="39">
                  <c:v>1.6313868374045499</c:v>
                </c:pt>
                <c:pt idx="40">
                  <c:v>1.64153030323463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9-4094-976D-F293D1E92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723664"/>
        <c:axId val="1610484368"/>
      </c:scatterChart>
      <c:valAx>
        <c:axId val="1370723664"/>
        <c:scaling>
          <c:orientation val="minMax"/>
          <c:max val="0.25"/>
          <c:min val="-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</a:t>
                </a:r>
                <a:r>
                  <a:rPr lang="pl-PL"/>
                  <a:t> [rad]</a:t>
                </a:r>
              </a:p>
            </c:rich>
          </c:tx>
          <c:layout>
            <c:manualLayout>
              <c:xMode val="edge"/>
              <c:yMode val="edge"/>
              <c:x val="0.46398250218722659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0484368"/>
        <c:crosses val="autoZero"/>
        <c:crossBetween val="midCat"/>
        <c:majorUnit val="5.000000000000001E-2"/>
      </c:valAx>
      <c:valAx>
        <c:axId val="161048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072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Cz(ap)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6470253718285212E-2"/>
                  <c:y val="-7.38498833479148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'projekty 2 i 3'!$F$3:$F$43</c:f>
              <c:numCache>
                <c:formatCode>General</c:formatCode>
                <c:ptCount val="41"/>
                <c:pt idx="0">
                  <c:v>-0.29139059210209678</c:v>
                </c:pt>
                <c:pt idx="1">
                  <c:v>-0.26186129868343877</c:v>
                </c:pt>
                <c:pt idx="2">
                  <c:v>-0.23923800426486005</c:v>
                </c:pt>
                <c:pt idx="3">
                  <c:v>-0.21748522320729513</c:v>
                </c:pt>
                <c:pt idx="4">
                  <c:v>-0.19744441492774623</c:v>
                </c:pt>
                <c:pt idx="5">
                  <c:v>-0.17827412000920928</c:v>
                </c:pt>
                <c:pt idx="6">
                  <c:v>-0.13561001731108233</c:v>
                </c:pt>
                <c:pt idx="7">
                  <c:v>-0.11615923592021007</c:v>
                </c:pt>
                <c:pt idx="8">
                  <c:v>-9.6118427640661169E-2</c:v>
                </c:pt>
                <c:pt idx="9">
                  <c:v>-8.5537050556216354E-2</c:v>
                </c:pt>
                <c:pt idx="10">
                  <c:v>-7.5656889652609624E-2</c:v>
                </c:pt>
                <c:pt idx="11">
                  <c:v>-6.6057215221337839E-2</c:v>
                </c:pt>
                <c:pt idx="12">
                  <c:v>-6.0640810414950931E-2</c:v>
                </c:pt>
                <c:pt idx="13">
                  <c:v>-5.7777837803586876E-2</c:v>
                </c:pt>
                <c:pt idx="14">
                  <c:v>-5.3062649178038088E-2</c:v>
                </c:pt>
                <c:pt idx="15">
                  <c:v>-5.1210433163853139E-2</c:v>
                </c:pt>
                <c:pt idx="16">
                  <c:v>-4.6915974246806984E-2</c:v>
                </c:pt>
                <c:pt idx="17">
                  <c:v>-4.1751001968749056E-2</c:v>
                </c:pt>
                <c:pt idx="18">
                  <c:v>-3.9758542718396565E-2</c:v>
                </c:pt>
                <c:pt idx="19">
                  <c:v>-3.6615083634697433E-2</c:v>
                </c:pt>
                <c:pt idx="20">
                  <c:v>-3.1169624884304272E-2</c:v>
                </c:pt>
                <c:pt idx="21">
                  <c:v>-2.2300220577876832E-2</c:v>
                </c:pt>
                <c:pt idx="22">
                  <c:v>-9.1363573544030411E-3</c:v>
                </c:pt>
                <c:pt idx="23">
                  <c:v>-4.0719628414315065E-4</c:v>
                </c:pt>
                <c:pt idx="24">
                  <c:v>8.4622080222843E-3</c:v>
                </c:pt>
                <c:pt idx="25">
                  <c:v>2.5050016801792453E-2</c:v>
                </c:pt>
                <c:pt idx="26">
                  <c:v>4.3069311886982591E-2</c:v>
                </c:pt>
                <c:pt idx="27">
                  <c:v>6.2099363569352015E-2</c:v>
                </c:pt>
                <c:pt idx="28">
                  <c:v>0.10274195307312019</c:v>
                </c:pt>
                <c:pt idx="29">
                  <c:v>0.1286780037555714</c:v>
                </c:pt>
                <c:pt idx="30">
                  <c:v>0.15015029834080243</c:v>
                </c:pt>
                <c:pt idx="31">
                  <c:v>0.17204332263453595</c:v>
                </c:pt>
                <c:pt idx="32">
                  <c:v>0.18762037481686458</c:v>
                </c:pt>
                <c:pt idx="33">
                  <c:v>0.20535918342971943</c:v>
                </c:pt>
                <c:pt idx="34">
                  <c:v>0.22941396415397974</c:v>
                </c:pt>
                <c:pt idx="35">
                  <c:v>0.25866277110030278</c:v>
                </c:pt>
                <c:pt idx="36">
                  <c:v>0.28229682211606028</c:v>
                </c:pt>
                <c:pt idx="37">
                  <c:v>0.29119528036649484</c:v>
                </c:pt>
                <c:pt idx="38">
                  <c:v>0.29622000940838461</c:v>
                </c:pt>
                <c:pt idx="39">
                  <c:v>0.30239573828362248</c:v>
                </c:pt>
                <c:pt idx="40">
                  <c:v>0.30972246699220668</c:v>
                </c:pt>
              </c:numCache>
            </c:numRef>
          </c:xVal>
          <c:yVal>
            <c:numRef>
              <c:f>'projekty 2 i 3'!$G$3:$G$43</c:f>
              <c:numCache>
                <c:formatCode>0.000</c:formatCode>
                <c:ptCount val="41"/>
                <c:pt idx="0">
                  <c:v>-1.1343709115506599</c:v>
                </c:pt>
                <c:pt idx="1">
                  <c:v>-1.0339724137378301</c:v>
                </c:pt>
                <c:pt idx="2">
                  <c:v>-0.93373752021259104</c:v>
                </c:pt>
                <c:pt idx="3">
                  <c:v>-0.82687665304027202</c:v>
                </c:pt>
                <c:pt idx="4">
                  <c:v>-0.73334953530588598</c:v>
                </c:pt>
                <c:pt idx="5">
                  <c:v>-0.63319644392442997</c:v>
                </c:pt>
                <c:pt idx="6">
                  <c:v>-0.43943443266479698</c:v>
                </c:pt>
                <c:pt idx="7">
                  <c:v>-0.332628100255005</c:v>
                </c:pt>
                <c:pt idx="8">
                  <c:v>-0.23910098252062001</c:v>
                </c:pt>
                <c:pt idx="9">
                  <c:v>-0.179030941596757</c:v>
                </c:pt>
                <c:pt idx="10">
                  <c:v>-0.135594003243732</c:v>
                </c:pt>
                <c:pt idx="11">
                  <c:v>-9.8810305919042801E-2</c:v>
                </c:pt>
                <c:pt idx="12">
                  <c:v>-5.2155816576904698E-2</c:v>
                </c:pt>
                <c:pt idx="13">
                  <c:v>-3.8794799757706902E-2</c:v>
                </c:pt>
                <c:pt idx="14">
                  <c:v>-8.7734129864074292E-3</c:v>
                </c:pt>
                <c:pt idx="15">
                  <c:v>7.88695696569474E-3</c:v>
                </c:pt>
                <c:pt idx="16">
                  <c:v>2.7928482194491101E-2</c:v>
                </c:pt>
                <c:pt idx="17">
                  <c:v>4.1344033776216503E-2</c:v>
                </c:pt>
                <c:pt idx="18">
                  <c:v>6.1331024242486203E-2</c:v>
                </c:pt>
                <c:pt idx="19">
                  <c:v>8.1345282090019094E-2</c:v>
                </c:pt>
                <c:pt idx="20">
                  <c:v>0.101414074700079</c:v>
                </c:pt>
                <c:pt idx="21">
                  <c:v>0.14815036618600799</c:v>
                </c:pt>
                <c:pt idx="22">
                  <c:v>0.21492818290073401</c:v>
                </c:pt>
                <c:pt idx="23">
                  <c:v>0.25833785387249503</c:v>
                </c:pt>
                <c:pt idx="24">
                  <c:v>0.30507414535842398</c:v>
                </c:pt>
                <c:pt idx="25">
                  <c:v>0.39851946094901802</c:v>
                </c:pt>
                <c:pt idx="26">
                  <c:v>0.49864528494921101</c:v>
                </c:pt>
                <c:pt idx="27">
                  <c:v>0.59547175581650003</c:v>
                </c:pt>
                <c:pt idx="28">
                  <c:v>0.79583247334194096</c:v>
                </c:pt>
                <c:pt idx="29">
                  <c:v>0.89282254849681197</c:v>
                </c:pt>
                <c:pt idx="30">
                  <c:v>0.99303017464079602</c:v>
                </c:pt>
                <c:pt idx="31">
                  <c:v>1.10321766232728</c:v>
                </c:pt>
                <c:pt idx="32">
                  <c:v>1.1999623310507801</c:v>
                </c:pt>
                <c:pt idx="33">
                  <c:v>1.29343491402263</c:v>
                </c:pt>
                <c:pt idx="34">
                  <c:v>1.4003503159574799</c:v>
                </c:pt>
                <c:pt idx="35">
                  <c:v>1.49409557274198</c:v>
                </c:pt>
                <c:pt idx="36">
                  <c:v>1.59103111313432</c:v>
                </c:pt>
                <c:pt idx="37">
                  <c:v>1.6111817078881701</c:v>
                </c:pt>
                <c:pt idx="38">
                  <c:v>1.6212706389557301</c:v>
                </c:pt>
                <c:pt idx="39">
                  <c:v>1.6313868374045499</c:v>
                </c:pt>
                <c:pt idx="40">
                  <c:v>1.64153030323463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92-4573-BD30-9290CF857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424751"/>
        <c:axId val="1612536927"/>
      </c:scatterChart>
      <c:valAx>
        <c:axId val="1608424751"/>
        <c:scaling>
          <c:orientation val="minMax"/>
          <c:max val="0.30000000000000004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ap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2536927"/>
        <c:crosses val="autoZero"/>
        <c:crossBetween val="midCat"/>
        <c:majorUnit val="5.000000000000001E-2"/>
      </c:valAx>
      <c:valAx>
        <c:axId val="161253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842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Cz(Cx)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płat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'projekty 2 i 3'!$J$3:$J$44</c:f>
              <c:numCache>
                <c:formatCode>0.0000</c:formatCode>
                <c:ptCount val="42"/>
                <c:pt idx="0">
                  <c:v>1.3217760536156373E-2</c:v>
                </c:pt>
                <c:pt idx="1">
                  <c:v>1.2127330119512282E-2</c:v>
                </c:pt>
                <c:pt idx="2">
                  <c:v>1.091088123073909E-2</c:v>
                </c:pt>
                <c:pt idx="3">
                  <c:v>9.7804342024562178E-3</c:v>
                </c:pt>
                <c:pt idx="4">
                  <c:v>8.894289973135152E-3</c:v>
                </c:pt>
                <c:pt idx="5">
                  <c:v>8.184852460187117E-3</c:v>
                </c:pt>
                <c:pt idx="6">
                  <c:v>7.0521927371080184E-3</c:v>
                </c:pt>
                <c:pt idx="7">
                  <c:v>6.7565048596704824E-3</c:v>
                </c:pt>
                <c:pt idx="8">
                  <c:v>6.5786119651020372E-3</c:v>
                </c:pt>
                <c:pt idx="9">
                  <c:v>6.4634379344275204E-3</c:v>
                </c:pt>
                <c:pt idx="10">
                  <c:v>6.2198516542854125E-3</c:v>
                </c:pt>
                <c:pt idx="11">
                  <c:v>6.0880532981965755E-3</c:v>
                </c:pt>
                <c:pt idx="12">
                  <c:v>5.9058211962610858E-3</c:v>
                </c:pt>
                <c:pt idx="13">
                  <c:v>5.7738059156138269E-3</c:v>
                </c:pt>
                <c:pt idx="14">
                  <c:v>5.3763688985976376E-3</c:v>
                </c:pt>
                <c:pt idx="15">
                  <c:v>5.3113783079293854E-3</c:v>
                </c:pt>
                <c:pt idx="16">
                  <c:v>5.2313459278793438E-3</c:v>
                </c:pt>
                <c:pt idx="17">
                  <c:v>5.1971792340710721E-3</c:v>
                </c:pt>
                <c:pt idx="18">
                  <c:v>5.0942396321074623E-3</c:v>
                </c:pt>
                <c:pt idx="19">
                  <c:v>5.0591181601715822E-3</c:v>
                </c:pt>
                <c:pt idx="20">
                  <c:v>5.0451651589182994E-3</c:v>
                </c:pt>
                <c:pt idx="21">
                  <c:v>4.9576215242385178E-3</c:v>
                </c:pt>
                <c:pt idx="22">
                  <c:v>4.9182784127935041E-3</c:v>
                </c:pt>
                <c:pt idx="23">
                  <c:v>4.9179980007711425E-3</c:v>
                </c:pt>
                <c:pt idx="24">
                  <c:v>4.9379671505403204E-3</c:v>
                </c:pt>
                <c:pt idx="25">
                  <c:v>5.0029656149724565E-3</c:v>
                </c:pt>
                <c:pt idx="26">
                  <c:v>5.1162944155465923E-3</c:v>
                </c:pt>
                <c:pt idx="27">
                  <c:v>5.4442567984669486E-3</c:v>
                </c:pt>
                <c:pt idx="28">
                  <c:v>6.8999490561244279E-3</c:v>
                </c:pt>
                <c:pt idx="29">
                  <c:v>8.332204358770131E-3</c:v>
                </c:pt>
                <c:pt idx="30">
                  <c:v>9.9855076623075849E-3</c:v>
                </c:pt>
                <c:pt idx="31">
                  <c:v>1.0737015948936168E-2</c:v>
                </c:pt>
                <c:pt idx="32">
                  <c:v>1.1949402628623335E-2</c:v>
                </c:pt>
                <c:pt idx="33">
                  <c:v>1.3226172637132268E-2</c:v>
                </c:pt>
                <c:pt idx="34">
                  <c:v>1.4700616281316423E-2</c:v>
                </c:pt>
                <c:pt idx="35">
                  <c:v>1.6883864169532366E-2</c:v>
                </c:pt>
                <c:pt idx="36">
                  <c:v>1.8994660158536777E-2</c:v>
                </c:pt>
                <c:pt idx="37">
                  <c:v>1.9460191740440107E-2</c:v>
                </c:pt>
                <c:pt idx="38">
                  <c:v>1.9696798342975844E-2</c:v>
                </c:pt>
                <c:pt idx="39">
                  <c:v>1.9936421045159261E-2</c:v>
                </c:pt>
                <c:pt idx="40">
                  <c:v>2.0179090008529001E-2</c:v>
                </c:pt>
                <c:pt idx="41">
                  <c:v>2.0356732334705599E-2</c:v>
                </c:pt>
              </c:numCache>
            </c:numRef>
          </c:xVal>
          <c:yVal>
            <c:numRef>
              <c:f>'projekty 2 i 3'!$G$3:$G$44</c:f>
              <c:numCache>
                <c:formatCode>0.000</c:formatCode>
                <c:ptCount val="42"/>
                <c:pt idx="0">
                  <c:v>-1.1343709115506599</c:v>
                </c:pt>
                <c:pt idx="1">
                  <c:v>-1.0339724137378301</c:v>
                </c:pt>
                <c:pt idx="2">
                  <c:v>-0.93373752021259104</c:v>
                </c:pt>
                <c:pt idx="3">
                  <c:v>-0.82687665304027202</c:v>
                </c:pt>
                <c:pt idx="4">
                  <c:v>-0.73334953530588598</c:v>
                </c:pt>
                <c:pt idx="5">
                  <c:v>-0.63319644392442997</c:v>
                </c:pt>
                <c:pt idx="6">
                  <c:v>-0.43943443266479698</c:v>
                </c:pt>
                <c:pt idx="7">
                  <c:v>-0.332628100255005</c:v>
                </c:pt>
                <c:pt idx="8">
                  <c:v>-0.23910098252062001</c:v>
                </c:pt>
                <c:pt idx="9">
                  <c:v>-0.179030941596757</c:v>
                </c:pt>
                <c:pt idx="10">
                  <c:v>-0.135594003243732</c:v>
                </c:pt>
                <c:pt idx="11">
                  <c:v>-9.8810305919042801E-2</c:v>
                </c:pt>
                <c:pt idx="12">
                  <c:v>-5.2155816576904698E-2</c:v>
                </c:pt>
                <c:pt idx="13">
                  <c:v>-3.8794799757706902E-2</c:v>
                </c:pt>
                <c:pt idx="14">
                  <c:v>-8.7734129864074292E-3</c:v>
                </c:pt>
                <c:pt idx="15">
                  <c:v>7.88695696569474E-3</c:v>
                </c:pt>
                <c:pt idx="16">
                  <c:v>2.7928482194491101E-2</c:v>
                </c:pt>
                <c:pt idx="17">
                  <c:v>4.1344033776216503E-2</c:v>
                </c:pt>
                <c:pt idx="18">
                  <c:v>6.1331024242486203E-2</c:v>
                </c:pt>
                <c:pt idx="19">
                  <c:v>8.1345282090019094E-2</c:v>
                </c:pt>
                <c:pt idx="20">
                  <c:v>0.101414074700079</c:v>
                </c:pt>
                <c:pt idx="21">
                  <c:v>0.14815036618600799</c:v>
                </c:pt>
                <c:pt idx="22">
                  <c:v>0.21492818290073401</c:v>
                </c:pt>
                <c:pt idx="23">
                  <c:v>0.25833785387249503</c:v>
                </c:pt>
                <c:pt idx="24">
                  <c:v>0.30507414535842398</c:v>
                </c:pt>
                <c:pt idx="25">
                  <c:v>0.39851946094901802</c:v>
                </c:pt>
                <c:pt idx="26">
                  <c:v>0.49864528494921101</c:v>
                </c:pt>
                <c:pt idx="27">
                  <c:v>0.59547175581650003</c:v>
                </c:pt>
                <c:pt idx="28">
                  <c:v>0.79583247334194096</c:v>
                </c:pt>
                <c:pt idx="29">
                  <c:v>0.89282254849681197</c:v>
                </c:pt>
                <c:pt idx="30">
                  <c:v>0.99303017464079602</c:v>
                </c:pt>
                <c:pt idx="31">
                  <c:v>1.10321766232728</c:v>
                </c:pt>
                <c:pt idx="32">
                  <c:v>1.1999623310507801</c:v>
                </c:pt>
                <c:pt idx="33">
                  <c:v>1.29343491402263</c:v>
                </c:pt>
                <c:pt idx="34">
                  <c:v>1.4003503159574799</c:v>
                </c:pt>
                <c:pt idx="35">
                  <c:v>1.49409557274198</c:v>
                </c:pt>
                <c:pt idx="36">
                  <c:v>1.59103111313432</c:v>
                </c:pt>
                <c:pt idx="37">
                  <c:v>1.6111817078881701</c:v>
                </c:pt>
                <c:pt idx="38">
                  <c:v>1.6212706389557301</c:v>
                </c:pt>
                <c:pt idx="39">
                  <c:v>1.6313868374045499</c:v>
                </c:pt>
                <c:pt idx="40">
                  <c:v>1.64153030323463</c:v>
                </c:pt>
                <c:pt idx="41">
                  <c:v>1.64889249617582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12-4923-8785-1063B1AF8DFD}"/>
            </c:ext>
          </c:extLst>
        </c:ser>
        <c:ser>
          <c:idx val="1"/>
          <c:order val="1"/>
          <c:tx>
            <c:v>profil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'projekty 2 i 3'!$N$3:$N$44</c:f>
              <c:numCache>
                <c:formatCode>0.0000</c:formatCode>
                <c:ptCount val="42"/>
                <c:pt idx="0">
                  <c:v>7.1013204038336483E-2</c:v>
                </c:pt>
                <c:pt idx="1">
                  <c:v>6.0269831681920273E-2</c:v>
                </c:pt>
                <c:pt idx="2">
                  <c:v>5.0307886837933607E-2</c:v>
                </c:pt>
                <c:pt idx="3">
                  <c:v>4.0835110689686149E-2</c:v>
                </c:pt>
                <c:pt idx="4">
                  <c:v>3.3478590058224567E-2</c:v>
                </c:pt>
                <c:pt idx="5">
                  <c:v>2.6700489291773519E-2</c:v>
                </c:pt>
                <c:pt idx="6">
                  <c:v>1.6352235005116438E-2</c:v>
                </c:pt>
                <c:pt idx="7">
                  <c:v>1.2400145351652948E-2</c:v>
                </c:pt>
                <c:pt idx="8">
                  <c:v>9.8512485646744738E-3</c:v>
                </c:pt>
                <c:pt idx="9">
                  <c:v>8.6223553860142951E-3</c:v>
                </c:pt>
                <c:pt idx="10">
                  <c:v>7.7727911990861697E-3</c:v>
                </c:pt>
                <c:pt idx="11">
                  <c:v>7.2586742640090782E-3</c:v>
                </c:pt>
                <c:pt idx="12">
                  <c:v>6.7641382873983909E-3</c:v>
                </c:pt>
                <c:pt idx="13">
                  <c:v>6.5782402770649603E-3</c:v>
                </c:pt>
                <c:pt idx="14">
                  <c:v>6.1174816402844012E-3</c:v>
                </c:pt>
                <c:pt idx="15">
                  <c:v>6.0518361929290726E-3</c:v>
                </c:pt>
                <c:pt idx="16">
                  <c:v>6.0036315294679961E-3</c:v>
                </c:pt>
                <c:pt idx="17">
                  <c:v>6.0106721135671287E-3</c:v>
                </c:pt>
                <c:pt idx="18">
                  <c:v>5.9987273575269834E-3</c:v>
                </c:pt>
                <c:pt idx="19">
                  <c:v>6.0902239819736774E-3</c:v>
                </c:pt>
                <c:pt idx="20">
                  <c:v>6.2389027166361299E-3</c:v>
                </c:pt>
                <c:pt idx="21">
                  <c:v>6.6685386809476471E-3</c:v>
                </c:pt>
                <c:pt idx="22">
                  <c:v>7.7042667968730046E-3</c:v>
                </c:pt>
                <c:pt idx="23">
                  <c:v>8.6149400025038528E-3</c:v>
                </c:pt>
                <c:pt idx="24">
                  <c:v>9.8024841112477924E-3</c:v>
                </c:pt>
                <c:pt idx="25">
                  <c:v>1.2782786593116286E-2</c:v>
                </c:pt>
                <c:pt idx="26">
                  <c:v>1.6879229376318135E-2</c:v>
                </c:pt>
                <c:pt idx="27">
                  <c:v>2.1904643389659733E-2</c:v>
                </c:pt>
                <c:pt idx="28">
                  <c:v>3.5720923203675398E-2</c:v>
                </c:pt>
                <c:pt idx="29">
                  <c:v>4.4415453057821089E-2</c:v>
                </c:pt>
                <c:pt idx="30">
                  <c:v>5.444815745317548E-2</c:v>
                </c:pt>
                <c:pt idx="31">
                  <c:v>6.5441537656648896E-2</c:v>
                </c:pt>
                <c:pt idx="32">
                  <c:v>7.6533979125145618E-2</c:v>
                </c:pt>
                <c:pt idx="33">
                  <c:v>8.8145027388636943E-2</c:v>
                </c:pt>
                <c:pt idx="34">
                  <c:v>0.10238996428814157</c:v>
                </c:pt>
                <c:pt idx="35">
                  <c:v>0.11660469539479043</c:v>
                </c:pt>
                <c:pt idx="36">
                  <c:v>0.13197600878604554</c:v>
                </c:pt>
                <c:pt idx="37">
                  <c:v>0.13530270266044084</c:v>
                </c:pt>
                <c:pt idx="38">
                  <c:v>0.13698535396166295</c:v>
                </c:pt>
                <c:pt idx="39">
                  <c:v>0.1386839928299895</c:v>
                </c:pt>
                <c:pt idx="40">
                  <c:v>0.14039872281350602</c:v>
                </c:pt>
                <c:pt idx="41">
                  <c:v>0.14165051118117611</c:v>
                </c:pt>
              </c:numCache>
            </c:numRef>
          </c:xVal>
          <c:yVal>
            <c:numRef>
              <c:f>'projekty 2 i 3'!$G$3:$G$44</c:f>
              <c:numCache>
                <c:formatCode>0.000</c:formatCode>
                <c:ptCount val="42"/>
                <c:pt idx="0">
                  <c:v>-1.1343709115506599</c:v>
                </c:pt>
                <c:pt idx="1">
                  <c:v>-1.0339724137378301</c:v>
                </c:pt>
                <c:pt idx="2">
                  <c:v>-0.93373752021259104</c:v>
                </c:pt>
                <c:pt idx="3">
                  <c:v>-0.82687665304027202</c:v>
                </c:pt>
                <c:pt idx="4">
                  <c:v>-0.73334953530588598</c:v>
                </c:pt>
                <c:pt idx="5">
                  <c:v>-0.63319644392442997</c:v>
                </c:pt>
                <c:pt idx="6">
                  <c:v>-0.43943443266479698</c:v>
                </c:pt>
                <c:pt idx="7">
                  <c:v>-0.332628100255005</c:v>
                </c:pt>
                <c:pt idx="8">
                  <c:v>-0.23910098252062001</c:v>
                </c:pt>
                <c:pt idx="9">
                  <c:v>-0.179030941596757</c:v>
                </c:pt>
                <c:pt idx="10">
                  <c:v>-0.135594003243732</c:v>
                </c:pt>
                <c:pt idx="11">
                  <c:v>-9.8810305919042801E-2</c:v>
                </c:pt>
                <c:pt idx="12">
                  <c:v>-5.2155816576904698E-2</c:v>
                </c:pt>
                <c:pt idx="13">
                  <c:v>-3.8794799757706902E-2</c:v>
                </c:pt>
                <c:pt idx="14">
                  <c:v>-8.7734129864074292E-3</c:v>
                </c:pt>
                <c:pt idx="15">
                  <c:v>7.88695696569474E-3</c:v>
                </c:pt>
                <c:pt idx="16">
                  <c:v>2.7928482194491101E-2</c:v>
                </c:pt>
                <c:pt idx="17">
                  <c:v>4.1344033776216503E-2</c:v>
                </c:pt>
                <c:pt idx="18">
                  <c:v>6.1331024242486203E-2</c:v>
                </c:pt>
                <c:pt idx="19">
                  <c:v>8.1345282090019094E-2</c:v>
                </c:pt>
                <c:pt idx="20">
                  <c:v>0.101414074700079</c:v>
                </c:pt>
                <c:pt idx="21">
                  <c:v>0.14815036618600799</c:v>
                </c:pt>
                <c:pt idx="22">
                  <c:v>0.21492818290073401</c:v>
                </c:pt>
                <c:pt idx="23">
                  <c:v>0.25833785387249503</c:v>
                </c:pt>
                <c:pt idx="24">
                  <c:v>0.30507414535842398</c:v>
                </c:pt>
                <c:pt idx="25">
                  <c:v>0.39851946094901802</c:v>
                </c:pt>
                <c:pt idx="26">
                  <c:v>0.49864528494921101</c:v>
                </c:pt>
                <c:pt idx="27">
                  <c:v>0.59547175581650003</c:v>
                </c:pt>
                <c:pt idx="28">
                  <c:v>0.79583247334194096</c:v>
                </c:pt>
                <c:pt idx="29">
                  <c:v>0.89282254849681197</c:v>
                </c:pt>
                <c:pt idx="30">
                  <c:v>0.99303017464079602</c:v>
                </c:pt>
                <c:pt idx="31">
                  <c:v>1.10321766232728</c:v>
                </c:pt>
                <c:pt idx="32">
                  <c:v>1.1999623310507801</c:v>
                </c:pt>
                <c:pt idx="33">
                  <c:v>1.29343491402263</c:v>
                </c:pt>
                <c:pt idx="34">
                  <c:v>1.4003503159574799</c:v>
                </c:pt>
                <c:pt idx="35">
                  <c:v>1.49409557274198</c:v>
                </c:pt>
                <c:pt idx="36">
                  <c:v>1.59103111313432</c:v>
                </c:pt>
                <c:pt idx="37">
                  <c:v>1.6111817078881701</c:v>
                </c:pt>
                <c:pt idx="38">
                  <c:v>1.6212706389557301</c:v>
                </c:pt>
                <c:pt idx="39">
                  <c:v>1.6313868374045499</c:v>
                </c:pt>
                <c:pt idx="40">
                  <c:v>1.64153030323463</c:v>
                </c:pt>
                <c:pt idx="41">
                  <c:v>1.64889249617582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12-4923-8785-1063B1AF8DFD}"/>
            </c:ext>
          </c:extLst>
        </c:ser>
        <c:ser>
          <c:idx val="2"/>
          <c:order val="2"/>
          <c:tx>
            <c:v>samolot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'projekty 2 i 3'!$R$3:$R$44</c:f>
              <c:numCache>
                <c:formatCode>0.0000</c:formatCode>
                <c:ptCount val="42"/>
                <c:pt idx="0">
                  <c:v>9.2292838071035041E-2</c:v>
                </c:pt>
                <c:pt idx="1">
                  <c:v>8.0888296955965722E-2</c:v>
                </c:pt>
                <c:pt idx="2">
                  <c:v>7.0297147648436975E-2</c:v>
                </c:pt>
                <c:pt idx="3">
                  <c:v>6.0199844936564863E-2</c:v>
                </c:pt>
                <c:pt idx="4">
                  <c:v>5.2334402660114777E-2</c:v>
                </c:pt>
                <c:pt idx="5">
                  <c:v>4.5055627657292735E-2</c:v>
                </c:pt>
                <c:pt idx="6">
                  <c:v>3.3850276665798894E-2</c:v>
                </c:pt>
                <c:pt idx="7">
                  <c:v>2.9496346138232064E-2</c:v>
                </c:pt>
                <c:pt idx="8">
                  <c:v>2.6632350010885084E-2</c:v>
                </c:pt>
                <c:pt idx="9">
                  <c:v>2.5217556016338221E-2</c:v>
                </c:pt>
                <c:pt idx="10">
                  <c:v>2.4235202014837653E-2</c:v>
                </c:pt>
                <c:pt idx="11">
                  <c:v>2.3616895903092169E-2</c:v>
                </c:pt>
                <c:pt idx="12">
                  <c:v>2.2996577500806723E-2</c:v>
                </c:pt>
                <c:pt idx="13">
                  <c:v>2.2772899931466004E-2</c:v>
                </c:pt>
                <c:pt idx="14">
                  <c:v>2.2225552026623262E-2</c:v>
                </c:pt>
                <c:pt idx="15">
                  <c:v>2.2153003376398681E-2</c:v>
                </c:pt>
                <c:pt idx="16">
                  <c:v>2.2142611569133754E-2</c:v>
                </c:pt>
                <c:pt idx="17">
                  <c:v>2.2176543310620692E-2</c:v>
                </c:pt>
                <c:pt idx="18">
                  <c:v>2.2203775600490881E-2</c:v>
                </c:pt>
                <c:pt idx="19">
                  <c:v>2.2338654165154001E-2</c:v>
                </c:pt>
                <c:pt idx="20">
                  <c:v>2.2533123561445243E-2</c:v>
                </c:pt>
                <c:pt idx="21">
                  <c:v>2.3072783952139901E-2</c:v>
                </c:pt>
                <c:pt idx="22">
                  <c:v>2.4282715941711625E-2</c:v>
                </c:pt>
                <c:pt idx="23">
                  <c:v>2.531620629881776E-2</c:v>
                </c:pt>
                <c:pt idx="24">
                  <c:v>2.6644331898504448E-2</c:v>
                </c:pt>
                <c:pt idx="25">
                  <c:v>2.9930166618942274E-2</c:v>
                </c:pt>
                <c:pt idx="26">
                  <c:v>3.4390425581635298E-2</c:v>
                </c:pt>
                <c:pt idx="27">
                  <c:v>3.9810538566663951E-2</c:v>
                </c:pt>
                <c:pt idx="28">
                  <c:v>5.4581229261250738E-2</c:v>
                </c:pt>
                <c:pt idx="29">
                  <c:v>6.3818496390470866E-2</c:v>
                </c:pt>
                <c:pt idx="30">
                  <c:v>7.4454256841525013E-2</c:v>
                </c:pt>
                <c:pt idx="31">
                  <c:v>8.6109593062958525E-2</c:v>
                </c:pt>
                <c:pt idx="32">
                  <c:v>9.7841170741333208E-2</c:v>
                </c:pt>
                <c:pt idx="33">
                  <c:v>0.11010578120366955</c:v>
                </c:pt>
                <c:pt idx="34">
                  <c:v>0.12513718592837611</c:v>
                </c:pt>
                <c:pt idx="35">
                  <c:v>0.14011079528898521</c:v>
                </c:pt>
                <c:pt idx="36">
                  <c:v>0.15629402939288775</c:v>
                </c:pt>
                <c:pt idx="37">
                  <c:v>0.15979479553484452</c:v>
                </c:pt>
                <c:pt idx="38">
                  <c:v>0.16156528789483077</c:v>
                </c:pt>
                <c:pt idx="39">
                  <c:v>0.16335246617931104</c:v>
                </c:pt>
                <c:pt idx="40">
                  <c:v>0.16515643810545771</c:v>
                </c:pt>
                <c:pt idx="41">
                  <c:v>0.16647329001739303</c:v>
                </c:pt>
              </c:numCache>
            </c:numRef>
          </c:xVal>
          <c:yVal>
            <c:numRef>
              <c:f>'projekty 2 i 3'!$T$3:$T$44</c:f>
              <c:numCache>
                <c:formatCode>0.000</c:formatCode>
                <c:ptCount val="42"/>
                <c:pt idx="0">
                  <c:v>-1.1731899794248584</c:v>
                </c:pt>
                <c:pt idx="1">
                  <c:v>-1.0720840730596486</c:v>
                </c:pt>
                <c:pt idx="2">
                  <c:v>-0.97114292373904065</c:v>
                </c:pt>
                <c:pt idx="3">
                  <c:v>-0.86352911411240973</c:v>
                </c:pt>
                <c:pt idx="4">
                  <c:v>-0.76934300362010322</c:v>
                </c:pt>
                <c:pt idx="5">
                  <c:v>-0.66848423282178382</c:v>
                </c:pt>
                <c:pt idx="6">
                  <c:v>-0.47335697300886148</c:v>
                </c:pt>
                <c:pt idx="7">
                  <c:v>-0.36579808239709449</c:v>
                </c:pt>
                <c:pt idx="8">
                  <c:v>-0.27161197190478908</c:v>
                </c:pt>
                <c:pt idx="9">
                  <c:v>-0.21111867703174278</c:v>
                </c:pt>
                <c:pt idx="10">
                  <c:v>-0.16737568169231334</c:v>
                </c:pt>
                <c:pt idx="11">
                  <c:v>-0.13033280616633125</c:v>
                </c:pt>
                <c:pt idx="12">
                  <c:v>-8.3349588949906905E-2</c:v>
                </c:pt>
                <c:pt idx="13">
                  <c:v>-6.9894430308149055E-2</c:v>
                </c:pt>
                <c:pt idx="14">
                  <c:v>-3.9661512625342191E-2</c:v>
                </c:pt>
                <c:pt idx="15">
                  <c:v>-2.288375358429268E-2</c:v>
                </c:pt>
                <c:pt idx="16">
                  <c:v>-2.7010156216562345E-3</c:v>
                </c:pt>
                <c:pt idx="17">
                  <c:v>1.0809062034966208E-2</c:v>
                </c:pt>
                <c:pt idx="18">
                  <c:v>3.0936880982739015E-2</c:v>
                </c:pt>
                <c:pt idx="19">
                  <c:v>5.1092159437943499E-2</c:v>
                </c:pt>
                <c:pt idx="20">
                  <c:v>7.1302356908011982E-2</c:v>
                </c:pt>
                <c:pt idx="21">
                  <c:v>0.11836795264673269</c:v>
                </c:pt>
                <c:pt idx="22">
                  <c:v>0.18561628634809052</c:v>
                </c:pt>
                <c:pt idx="23">
                  <c:v>0.22933182218008746</c:v>
                </c:pt>
                <c:pt idx="24">
                  <c:v>0.27639741791880812</c:v>
                </c:pt>
                <c:pt idx="25">
                  <c:v>0.37050114988881711</c:v>
                </c:pt>
                <c:pt idx="26">
                  <c:v>0.47133246117970506</c:v>
                </c:pt>
                <c:pt idx="27">
                  <c:v>0.5688411720713018</c:v>
                </c:pt>
                <c:pt idx="28">
                  <c:v>0.77061363268280658</c:v>
                </c:pt>
                <c:pt idx="29">
                  <c:v>0.86828710061899628</c:v>
                </c:pt>
                <c:pt idx="30">
                  <c:v>0.96920079043218077</c:v>
                </c:pt>
                <c:pt idx="31">
                  <c:v>1.0801646599655323</c:v>
                </c:pt>
                <c:pt idx="32">
                  <c:v>1.1775909923348347</c:v>
                </c:pt>
                <c:pt idx="33">
                  <c:v>1.2717221838122681</c:v>
                </c:pt>
                <c:pt idx="34">
                  <c:v>1.3793909124537669</c:v>
                </c:pt>
                <c:pt idx="35">
                  <c:v>1.4737966990055353</c:v>
                </c:pt>
                <c:pt idx="36">
                  <c:v>1.5714152479268571</c:v>
                </c:pt>
                <c:pt idx="37">
                  <c:v>1.5917078239192211</c:v>
                </c:pt>
                <c:pt idx="38">
                  <c:v>1.6018678416691223</c:v>
                </c:pt>
                <c:pt idx="39">
                  <c:v>1.6120553189264519</c:v>
                </c:pt>
                <c:pt idx="40">
                  <c:v>1.6222702556912103</c:v>
                </c:pt>
                <c:pt idx="41">
                  <c:v>1.6296843226978925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00-4962-A57F-4D50DC914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117695"/>
        <c:axId val="2138846559"/>
      </c:scatterChart>
      <c:valAx>
        <c:axId val="1088117695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38846559"/>
        <c:crosses val="autoZero"/>
        <c:crossBetween val="midCat"/>
        <c:majorUnit val="1.0000000000000002E-2"/>
      </c:valAx>
      <c:valAx>
        <c:axId val="213884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8117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Cz(a)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profil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'projekty 2 i 3'!$I$3:$I$44</c:f>
              <c:numCache>
                <c:formatCode>0.00</c:formatCode>
                <c:ptCount val="42"/>
                <c:pt idx="0">
                  <c:v>-13.806644477771799</c:v>
                </c:pt>
                <c:pt idx="1">
                  <c:v>-12.370416971851901</c:v>
                </c:pt>
                <c:pt idx="2">
                  <c:v>-11.32945742473</c:v>
                </c:pt>
                <c:pt idx="3">
                  <c:v>-10.355248426941699</c:v>
                </c:pt>
                <c:pt idx="4">
                  <c:v>-9.4451723098854803</c:v>
                </c:pt>
                <c:pt idx="5">
                  <c:v>-8.6018467421627296</c:v>
                </c:pt>
                <c:pt idx="6">
                  <c:v>-6.6508110779846703</c:v>
                </c:pt>
                <c:pt idx="7">
                  <c:v>-5.8083580664623504</c:v>
                </c:pt>
                <c:pt idx="8">
                  <c:v>-4.8982819494061296</c:v>
                </c:pt>
                <c:pt idx="9">
                  <c:v>-4.4449890032788897</c:v>
                </c:pt>
                <c:pt idx="10">
                  <c:v>-3.9895146666505701</c:v>
                </c:pt>
                <c:pt idx="11">
                  <c:v>-3.5331677738218001</c:v>
                </c:pt>
                <c:pt idx="12">
                  <c:v>-3.34164168782578</c:v>
                </c:pt>
                <c:pt idx="13">
                  <c:v>-3.21163081396061</c:v>
                </c:pt>
                <c:pt idx="14">
                  <c:v>-3.0179233374635102</c:v>
                </c:pt>
                <c:pt idx="15">
                  <c:v>-2.9542267348315701</c:v>
                </c:pt>
                <c:pt idx="16">
                  <c:v>-2.7592104240338098</c:v>
                </c:pt>
                <c:pt idx="17">
                  <c:v>-2.49744356390259</c:v>
                </c:pt>
                <c:pt idx="18">
                  <c:v>-2.4341832393708698</c:v>
                </c:pt>
                <c:pt idx="19">
                  <c:v>-2.3050449217061399</c:v>
                </c:pt>
                <c:pt idx="20">
                  <c:v>-2.0441506177753501</c:v>
                </c:pt>
                <c:pt idx="21">
                  <c:v>-1.6549905523802699</c:v>
                </c:pt>
                <c:pt idx="22">
                  <c:v>-1.0708141761874199</c:v>
                </c:pt>
                <c:pt idx="23">
                  <c:v>-0.681217832692119</c:v>
                </c:pt>
                <c:pt idx="24">
                  <c:v>-0.29205776729703797</c:v>
                </c:pt>
                <c:pt idx="25">
                  <c:v>0.42038437036011</c:v>
                </c:pt>
                <c:pt idx="26">
                  <c:v>1.19783194494984</c:v>
                </c:pt>
                <c:pt idx="27">
                  <c:v>2.0415937907728101</c:v>
                </c:pt>
                <c:pt idx="28">
                  <c:v>3.8600009124843799</c:v>
                </c:pt>
                <c:pt idx="29">
                  <c:v>5.09903071710551</c:v>
                </c:pt>
                <c:pt idx="30">
                  <c:v>6.0741122710943198</c:v>
                </c:pt>
                <c:pt idx="31">
                  <c:v>7.0478849907824701</c:v>
                </c:pt>
                <c:pt idx="32">
                  <c:v>7.69401285720636</c:v>
                </c:pt>
                <c:pt idx="33">
                  <c:v>8.4723329879965394</c:v>
                </c:pt>
                <c:pt idx="34">
                  <c:v>9.5782979720509704</c:v>
                </c:pt>
                <c:pt idx="35">
                  <c:v>11.0153980341713</c:v>
                </c:pt>
                <c:pt idx="36">
                  <c:v>12.1226718525264</c:v>
                </c:pt>
                <c:pt idx="37">
                  <c:v>12.581200135856299</c:v>
                </c:pt>
                <c:pt idx="38">
                  <c:v>12.8434032740877</c:v>
                </c:pt>
                <c:pt idx="39">
                  <c:v>13.171484405452199</c:v>
                </c:pt>
                <c:pt idx="40">
                  <c:v>13.5654435299497</c:v>
                </c:pt>
                <c:pt idx="41">
                  <c:v>15.277398795207899</c:v>
                </c:pt>
              </c:numCache>
            </c:numRef>
          </c:xVal>
          <c:yVal>
            <c:numRef>
              <c:f>'projekty 2 i 3'!$G$3:$G$44</c:f>
              <c:numCache>
                <c:formatCode>0.000</c:formatCode>
                <c:ptCount val="42"/>
                <c:pt idx="0">
                  <c:v>-1.1343709115506599</c:v>
                </c:pt>
                <c:pt idx="1">
                  <c:v>-1.0339724137378301</c:v>
                </c:pt>
                <c:pt idx="2">
                  <c:v>-0.93373752021259104</c:v>
                </c:pt>
                <c:pt idx="3">
                  <c:v>-0.82687665304027202</c:v>
                </c:pt>
                <c:pt idx="4">
                  <c:v>-0.73334953530588598</c:v>
                </c:pt>
                <c:pt idx="5">
                  <c:v>-0.63319644392442997</c:v>
                </c:pt>
                <c:pt idx="6">
                  <c:v>-0.43943443266479698</c:v>
                </c:pt>
                <c:pt idx="7">
                  <c:v>-0.332628100255005</c:v>
                </c:pt>
                <c:pt idx="8">
                  <c:v>-0.23910098252062001</c:v>
                </c:pt>
                <c:pt idx="9">
                  <c:v>-0.179030941596757</c:v>
                </c:pt>
                <c:pt idx="10">
                  <c:v>-0.135594003243732</c:v>
                </c:pt>
                <c:pt idx="11">
                  <c:v>-9.8810305919042801E-2</c:v>
                </c:pt>
                <c:pt idx="12">
                  <c:v>-5.2155816576904698E-2</c:v>
                </c:pt>
                <c:pt idx="13">
                  <c:v>-3.8794799757706902E-2</c:v>
                </c:pt>
                <c:pt idx="14">
                  <c:v>-8.7734129864074292E-3</c:v>
                </c:pt>
                <c:pt idx="15">
                  <c:v>7.88695696569474E-3</c:v>
                </c:pt>
                <c:pt idx="16">
                  <c:v>2.7928482194491101E-2</c:v>
                </c:pt>
                <c:pt idx="17">
                  <c:v>4.1344033776216503E-2</c:v>
                </c:pt>
                <c:pt idx="18">
                  <c:v>6.1331024242486203E-2</c:v>
                </c:pt>
                <c:pt idx="19">
                  <c:v>8.1345282090019094E-2</c:v>
                </c:pt>
                <c:pt idx="20">
                  <c:v>0.101414074700079</c:v>
                </c:pt>
                <c:pt idx="21">
                  <c:v>0.14815036618600799</c:v>
                </c:pt>
                <c:pt idx="22">
                  <c:v>0.21492818290073401</c:v>
                </c:pt>
                <c:pt idx="23">
                  <c:v>0.25833785387249503</c:v>
                </c:pt>
                <c:pt idx="24">
                  <c:v>0.30507414535842398</c:v>
                </c:pt>
                <c:pt idx="25">
                  <c:v>0.39851946094901802</c:v>
                </c:pt>
                <c:pt idx="26">
                  <c:v>0.49864528494921101</c:v>
                </c:pt>
                <c:pt idx="27">
                  <c:v>0.59547175581650003</c:v>
                </c:pt>
                <c:pt idx="28">
                  <c:v>0.79583247334194096</c:v>
                </c:pt>
                <c:pt idx="29">
                  <c:v>0.89282254849681197</c:v>
                </c:pt>
                <c:pt idx="30">
                  <c:v>0.99303017464079602</c:v>
                </c:pt>
                <c:pt idx="31">
                  <c:v>1.10321766232728</c:v>
                </c:pt>
                <c:pt idx="32">
                  <c:v>1.1999623310507801</c:v>
                </c:pt>
                <c:pt idx="33">
                  <c:v>1.29343491402263</c:v>
                </c:pt>
                <c:pt idx="34">
                  <c:v>1.4003503159574799</c:v>
                </c:pt>
                <c:pt idx="35">
                  <c:v>1.49409557274198</c:v>
                </c:pt>
                <c:pt idx="36">
                  <c:v>1.59103111313432</c:v>
                </c:pt>
                <c:pt idx="37">
                  <c:v>1.6111817078881701</c:v>
                </c:pt>
                <c:pt idx="38">
                  <c:v>1.6212706389557301</c:v>
                </c:pt>
                <c:pt idx="39">
                  <c:v>1.6313868374045499</c:v>
                </c:pt>
                <c:pt idx="40">
                  <c:v>1.64153030323463</c:v>
                </c:pt>
                <c:pt idx="41">
                  <c:v>1.64889249617582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A4-4DC5-B82A-EF286940F425}"/>
            </c:ext>
          </c:extLst>
        </c:ser>
        <c:ser>
          <c:idx val="1"/>
          <c:order val="1"/>
          <c:tx>
            <c:v>płat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'projekty 2 i 3'!$L$3:$L$44</c:f>
              <c:numCache>
                <c:formatCode>0.00</c:formatCode>
                <c:ptCount val="42"/>
                <c:pt idx="0">
                  <c:v>-16.695451117268245</c:v>
                </c:pt>
                <c:pt idx="1">
                  <c:v>-15.003547232375702</c:v>
                </c:pt>
                <c:pt idx="2">
                  <c:v>-13.70732794350927</c:v>
                </c:pt>
                <c:pt idx="3">
                  <c:v>-12.460985396238677</c:v>
                </c:pt>
                <c:pt idx="4">
                  <c:v>-11.312731663789688</c:v>
                </c:pt>
                <c:pt idx="5">
                  <c:v>-10.214354672936432</c:v>
                </c:pt>
                <c:pt idx="6">
                  <c:v>-7.7698816516210503</c:v>
                </c:pt>
                <c:pt idx="7">
                  <c:v>-6.6554339696924689</c:v>
                </c:pt>
                <c:pt idx="8">
                  <c:v>-5.5071802372434799</c:v>
                </c:pt>
                <c:pt idx="9">
                  <c:v>-4.9009119888683479</c:v>
                </c:pt>
                <c:pt idx="10">
                  <c:v>-4.3348204681815208</c:v>
                </c:pt>
                <c:pt idx="11">
                  <c:v>-3.7847996385699982</c:v>
                </c:pt>
                <c:pt idx="12">
                  <c:v>-3.4744625030296548</c:v>
                </c:pt>
                <c:pt idx="13">
                  <c:v>-3.3104262555369464</c:v>
                </c:pt>
                <c:pt idx="14">
                  <c:v>-3.0402658476849092</c:v>
                </c:pt>
                <c:pt idx="15">
                  <c:v>-2.9341416873255683</c:v>
                </c:pt>
                <c:pt idx="16">
                  <c:v>-2.6880873160865013</c:v>
                </c:pt>
                <c:pt idx="17">
                  <c:v>-2.3921562032517119</c:v>
                </c:pt>
                <c:pt idx="18">
                  <c:v>-2.2779966973547143</c:v>
                </c:pt>
                <c:pt idx="19">
                  <c:v>-2.0978897587866929</c:v>
                </c:pt>
                <c:pt idx="20">
                  <c:v>-1.7858879548765816</c:v>
                </c:pt>
                <c:pt idx="21">
                  <c:v>-1.2777085213231323</c:v>
                </c:pt>
                <c:pt idx="22">
                  <c:v>-0.52347471653060473</c:v>
                </c:pt>
                <c:pt idx="23">
                  <c:v>-2.3330628514812379E-2</c:v>
                </c:pt>
                <c:pt idx="24">
                  <c:v>0.48484880503863764</c:v>
                </c:pt>
                <c:pt idx="25">
                  <c:v>1.435260239474508</c:v>
                </c:pt>
                <c:pt idx="26">
                  <c:v>2.46768979765673</c:v>
                </c:pt>
                <c:pt idx="27">
                  <c:v>3.5580314429723296</c:v>
                </c:pt>
                <c:pt idx="28">
                  <c:v>5.8866802900209452</c:v>
                </c:pt>
                <c:pt idx="29">
                  <c:v>7.3727065313627982</c:v>
                </c:pt>
                <c:pt idx="30">
                  <c:v>8.6029783875581458</c:v>
                </c:pt>
                <c:pt idx="31">
                  <c:v>9.8573562803664565</c:v>
                </c:pt>
                <c:pt idx="32">
                  <c:v>10.749855627668936</c:v>
                </c:pt>
                <c:pt idx="33">
                  <c:v>11.766214494775832</c:v>
                </c:pt>
                <c:pt idx="34">
                  <c:v>13.144451907388595</c:v>
                </c:pt>
                <c:pt idx="35">
                  <c:v>14.82028510120583</c:v>
                </c:pt>
                <c:pt idx="36">
                  <c:v>16.174416477205611</c:v>
                </c:pt>
                <c:pt idx="37">
                  <c:v>16.684260579128878</c:v>
                </c:pt>
                <c:pt idx="38">
                  <c:v>16.972156346425976</c:v>
                </c:pt>
                <c:pt idx="39">
                  <c:v>17.325999546394179</c:v>
                </c:pt>
                <c:pt idx="40">
                  <c:v>17.745790179033392</c:v>
                </c:pt>
                <c:pt idx="41">
                  <c:v>19.476494119555742</c:v>
                </c:pt>
              </c:numCache>
            </c:numRef>
          </c:xVal>
          <c:yVal>
            <c:numRef>
              <c:f>'projekty 2 i 3'!$G$3:$G$44</c:f>
              <c:numCache>
                <c:formatCode>0.000</c:formatCode>
                <c:ptCount val="42"/>
                <c:pt idx="0">
                  <c:v>-1.1343709115506599</c:v>
                </c:pt>
                <c:pt idx="1">
                  <c:v>-1.0339724137378301</c:v>
                </c:pt>
                <c:pt idx="2">
                  <c:v>-0.93373752021259104</c:v>
                </c:pt>
                <c:pt idx="3">
                  <c:v>-0.82687665304027202</c:v>
                </c:pt>
                <c:pt idx="4">
                  <c:v>-0.73334953530588598</c:v>
                </c:pt>
                <c:pt idx="5">
                  <c:v>-0.63319644392442997</c:v>
                </c:pt>
                <c:pt idx="6">
                  <c:v>-0.43943443266479698</c:v>
                </c:pt>
                <c:pt idx="7">
                  <c:v>-0.332628100255005</c:v>
                </c:pt>
                <c:pt idx="8">
                  <c:v>-0.23910098252062001</c:v>
                </c:pt>
                <c:pt idx="9">
                  <c:v>-0.179030941596757</c:v>
                </c:pt>
                <c:pt idx="10">
                  <c:v>-0.135594003243732</c:v>
                </c:pt>
                <c:pt idx="11">
                  <c:v>-9.8810305919042801E-2</c:v>
                </c:pt>
                <c:pt idx="12">
                  <c:v>-5.2155816576904698E-2</c:v>
                </c:pt>
                <c:pt idx="13">
                  <c:v>-3.8794799757706902E-2</c:v>
                </c:pt>
                <c:pt idx="14">
                  <c:v>-8.7734129864074292E-3</c:v>
                </c:pt>
                <c:pt idx="15">
                  <c:v>7.88695696569474E-3</c:v>
                </c:pt>
                <c:pt idx="16">
                  <c:v>2.7928482194491101E-2</c:v>
                </c:pt>
                <c:pt idx="17">
                  <c:v>4.1344033776216503E-2</c:v>
                </c:pt>
                <c:pt idx="18">
                  <c:v>6.1331024242486203E-2</c:v>
                </c:pt>
                <c:pt idx="19">
                  <c:v>8.1345282090019094E-2</c:v>
                </c:pt>
                <c:pt idx="20">
                  <c:v>0.101414074700079</c:v>
                </c:pt>
                <c:pt idx="21">
                  <c:v>0.14815036618600799</c:v>
                </c:pt>
                <c:pt idx="22">
                  <c:v>0.21492818290073401</c:v>
                </c:pt>
                <c:pt idx="23">
                  <c:v>0.25833785387249503</c:v>
                </c:pt>
                <c:pt idx="24">
                  <c:v>0.30507414535842398</c:v>
                </c:pt>
                <c:pt idx="25">
                  <c:v>0.39851946094901802</c:v>
                </c:pt>
                <c:pt idx="26">
                  <c:v>0.49864528494921101</c:v>
                </c:pt>
                <c:pt idx="27">
                  <c:v>0.59547175581650003</c:v>
                </c:pt>
                <c:pt idx="28">
                  <c:v>0.79583247334194096</c:v>
                </c:pt>
                <c:pt idx="29">
                  <c:v>0.89282254849681197</c:v>
                </c:pt>
                <c:pt idx="30">
                  <c:v>0.99303017464079602</c:v>
                </c:pt>
                <c:pt idx="31">
                  <c:v>1.10321766232728</c:v>
                </c:pt>
                <c:pt idx="32">
                  <c:v>1.1999623310507801</c:v>
                </c:pt>
                <c:pt idx="33">
                  <c:v>1.29343491402263</c:v>
                </c:pt>
                <c:pt idx="34">
                  <c:v>1.4003503159574799</c:v>
                </c:pt>
                <c:pt idx="35">
                  <c:v>1.49409557274198</c:v>
                </c:pt>
                <c:pt idx="36">
                  <c:v>1.59103111313432</c:v>
                </c:pt>
                <c:pt idx="37">
                  <c:v>1.6111817078881701</c:v>
                </c:pt>
                <c:pt idx="38">
                  <c:v>1.6212706389557301</c:v>
                </c:pt>
                <c:pt idx="39">
                  <c:v>1.6313868374045499</c:v>
                </c:pt>
                <c:pt idx="40">
                  <c:v>1.64153030323463</c:v>
                </c:pt>
                <c:pt idx="41">
                  <c:v>1.64889249617582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A4-4DC5-B82A-EF286940F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134479"/>
        <c:axId val="1088105279"/>
      </c:scatterChart>
      <c:valAx>
        <c:axId val="2135134479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a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8105279"/>
        <c:crosses val="autoZero"/>
        <c:crossBetween val="midCat"/>
        <c:majorUnit val="2"/>
      </c:valAx>
      <c:valAx>
        <c:axId val="108810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3513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Cx(Cz2)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0256999125109364E-2"/>
                  <c:y val="-8.35976232137649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'projekty 2 i 3'!$X$3:$X$67</c:f>
              <c:numCache>
                <c:formatCode>0.000</c:formatCode>
                <c:ptCount val="65"/>
                <c:pt idx="0">
                  <c:v>1.3763747278228995</c:v>
                </c:pt>
                <c:pt idx="1">
                  <c:v>1.1493642597081659</c:v>
                </c:pt>
                <c:pt idx="2">
                  <c:v>0.94311857832841217</c:v>
                </c:pt>
                <c:pt idx="3">
                  <c:v>0.74568253091976311</c:v>
                </c:pt>
                <c:pt idx="4">
                  <c:v>0.59188865721920214</c:v>
                </c:pt>
                <c:pt idx="5">
                  <c:v>0.44687116953132888</c:v>
                </c:pt>
                <c:pt idx="6">
                  <c:v>0.22406682389611202</c:v>
                </c:pt>
                <c:pt idx="7">
                  <c:v>0.13380823708539152</c:v>
                </c:pt>
                <c:pt idx="8">
                  <c:v>7.3773063282007931E-2</c:v>
                </c:pt>
                <c:pt idx="9">
                  <c:v>4.4571095791633319E-2</c:v>
                </c:pt>
                <c:pt idx="10">
                  <c:v>2.8014618821966597E-2</c:v>
                </c:pt>
                <c:pt idx="11">
                  <c:v>1.6986640363190472E-2</c:v>
                </c:pt>
                <c:pt idx="12">
                  <c:v>6.9471539781184432E-3</c:v>
                </c:pt>
                <c:pt idx="13">
                  <c:v>4.8852313881007055E-3</c:v>
                </c:pt>
                <c:pt idx="14">
                  <c:v>1.5730355837301781E-3</c:v>
                </c:pt>
                <c:pt idx="15">
                  <c:v>5.2366617810662808E-4</c:v>
                </c:pt>
                <c:pt idx="16">
                  <c:v>7.2954853884310151E-6</c:v>
                </c:pt>
                <c:pt idx="17">
                  <c:v>1.1683582207574782E-4</c:v>
                </c:pt>
                <c:pt idx="18">
                  <c:v>9.5709060494015891E-4</c:v>
                </c:pt>
                <c:pt idx="19">
                  <c:v>2.6104087560322388E-3</c:v>
                </c:pt>
                <c:pt idx="20">
                  <c:v>5.0840261006375237E-3</c:v>
                </c:pt>
                <c:pt idx="21">
                  <c:v>1.4010972213779154E-2</c:v>
                </c:pt>
                <c:pt idx="22">
                  <c:v>3.4453405757656333E-2</c:v>
                </c:pt>
                <c:pt idx="23">
                  <c:v>5.2593084664439259E-2</c:v>
                </c:pt>
                <c:pt idx="24">
                  <c:v>7.6395532632184265E-2</c:v>
                </c:pt>
                <c:pt idx="25">
                  <c:v>0.13727110206893572</c:v>
                </c:pt>
                <c:pt idx="26">
                  <c:v>0.22215428896171818</c:v>
                </c:pt>
                <c:pt idx="27">
                  <c:v>0.32358027904345238</c:v>
                </c:pt>
                <c:pt idx="28">
                  <c:v>0.59384537087659151</c:v>
                </c:pt>
                <c:pt idx="29">
                  <c:v>0.75392248910134296</c:v>
                </c:pt>
                <c:pt idx="30">
                  <c:v>0.93935017217436401</c:v>
                </c:pt>
                <c:pt idx="31">
                  <c:v>1.1667556926384541</c:v>
                </c:pt>
                <c:pt idx="32">
                  <c:v>1.3867205452281406</c:v>
                </c:pt>
                <c:pt idx="33">
                  <c:v>1.6172773128002442</c:v>
                </c:pt>
                <c:pt idx="34">
                  <c:v>1.9027192893600355</c:v>
                </c:pt>
                <c:pt idx="35">
                  <c:v>2.1720767099996126</c:v>
                </c:pt>
                <c:pt idx="36">
                  <c:v>2.4693458814170257</c:v>
                </c:pt>
                <c:pt idx="37">
                  <c:v>2.5335337967256621</c:v>
                </c:pt>
                <c:pt idx="38">
                  <c:v>2.5659805821736925</c:v>
                </c:pt>
                <c:pt idx="39">
                  <c:v>2.5987223512790645</c:v>
                </c:pt>
                <c:pt idx="40">
                  <c:v>2.6317607825004248</c:v>
                </c:pt>
                <c:pt idx="41">
                  <c:v>2.6558709916472889</c:v>
                </c:pt>
              </c:numCache>
            </c:numRef>
          </c:xVal>
          <c:yVal>
            <c:numRef>
              <c:f>'projekty 2 i 3'!$R$3:$R$67</c:f>
              <c:numCache>
                <c:formatCode>0.0000</c:formatCode>
                <c:ptCount val="65"/>
                <c:pt idx="0">
                  <c:v>9.2292838071035041E-2</c:v>
                </c:pt>
                <c:pt idx="1">
                  <c:v>8.0888296955965722E-2</c:v>
                </c:pt>
                <c:pt idx="2">
                  <c:v>7.0297147648436975E-2</c:v>
                </c:pt>
                <c:pt idx="3">
                  <c:v>6.0199844936564863E-2</c:v>
                </c:pt>
                <c:pt idx="4">
                  <c:v>5.2334402660114777E-2</c:v>
                </c:pt>
                <c:pt idx="5">
                  <c:v>4.5055627657292735E-2</c:v>
                </c:pt>
                <c:pt idx="6">
                  <c:v>3.3850276665798894E-2</c:v>
                </c:pt>
                <c:pt idx="7">
                  <c:v>2.9496346138232064E-2</c:v>
                </c:pt>
                <c:pt idx="8">
                  <c:v>2.6632350010885084E-2</c:v>
                </c:pt>
                <c:pt idx="9">
                  <c:v>2.5217556016338221E-2</c:v>
                </c:pt>
                <c:pt idx="10">
                  <c:v>2.4235202014837653E-2</c:v>
                </c:pt>
                <c:pt idx="11">
                  <c:v>2.3616895903092169E-2</c:v>
                </c:pt>
                <c:pt idx="12">
                  <c:v>2.2996577500806723E-2</c:v>
                </c:pt>
                <c:pt idx="13">
                  <c:v>2.2772899931466004E-2</c:v>
                </c:pt>
                <c:pt idx="14">
                  <c:v>2.2225552026623262E-2</c:v>
                </c:pt>
                <c:pt idx="15">
                  <c:v>2.2153003376398681E-2</c:v>
                </c:pt>
                <c:pt idx="16">
                  <c:v>2.2142611569133754E-2</c:v>
                </c:pt>
                <c:pt idx="17">
                  <c:v>2.2176543310620692E-2</c:v>
                </c:pt>
                <c:pt idx="18">
                  <c:v>2.2203775600490881E-2</c:v>
                </c:pt>
                <c:pt idx="19">
                  <c:v>2.2338654165154001E-2</c:v>
                </c:pt>
                <c:pt idx="20">
                  <c:v>2.2533123561445243E-2</c:v>
                </c:pt>
                <c:pt idx="21">
                  <c:v>2.3072783952139901E-2</c:v>
                </c:pt>
                <c:pt idx="22">
                  <c:v>2.4282715941711625E-2</c:v>
                </c:pt>
                <c:pt idx="23">
                  <c:v>2.531620629881776E-2</c:v>
                </c:pt>
                <c:pt idx="24">
                  <c:v>2.6644331898504448E-2</c:v>
                </c:pt>
                <c:pt idx="25">
                  <c:v>2.9930166618942274E-2</c:v>
                </c:pt>
                <c:pt idx="26">
                  <c:v>3.4390425581635298E-2</c:v>
                </c:pt>
                <c:pt idx="27">
                  <c:v>3.9810538566663951E-2</c:v>
                </c:pt>
                <c:pt idx="28">
                  <c:v>5.4581229261250738E-2</c:v>
                </c:pt>
                <c:pt idx="29">
                  <c:v>6.3818496390470866E-2</c:v>
                </c:pt>
                <c:pt idx="30">
                  <c:v>7.4454256841525013E-2</c:v>
                </c:pt>
                <c:pt idx="31">
                  <c:v>8.6109593062958525E-2</c:v>
                </c:pt>
                <c:pt idx="32">
                  <c:v>9.7841170741333208E-2</c:v>
                </c:pt>
                <c:pt idx="33">
                  <c:v>0.11010578120366955</c:v>
                </c:pt>
                <c:pt idx="34">
                  <c:v>0.12513718592837611</c:v>
                </c:pt>
                <c:pt idx="35">
                  <c:v>0.14011079528898521</c:v>
                </c:pt>
                <c:pt idx="36">
                  <c:v>0.15629402939288775</c:v>
                </c:pt>
                <c:pt idx="37">
                  <c:v>0.15979479553484452</c:v>
                </c:pt>
                <c:pt idx="38">
                  <c:v>0.16156528789483077</c:v>
                </c:pt>
                <c:pt idx="39">
                  <c:v>0.16335246617931104</c:v>
                </c:pt>
                <c:pt idx="40">
                  <c:v>0.16515643810545771</c:v>
                </c:pt>
                <c:pt idx="41">
                  <c:v>0.16647329001739303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E4-4F2E-950A-05D78A4C1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217088"/>
        <c:axId val="695958800"/>
      </c:scatterChart>
      <c:valAx>
        <c:axId val="53821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5958800"/>
        <c:crosses val="autoZero"/>
        <c:crossBetween val="midCat"/>
      </c:valAx>
      <c:valAx>
        <c:axId val="6959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821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Doskonałość, f. energetyczna i Cz' od kąta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endPara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Cz'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'projekty 2 i 3'!$I$3:$I$44</c:f>
              <c:numCache>
                <c:formatCode>0.00</c:formatCode>
                <c:ptCount val="42"/>
                <c:pt idx="0">
                  <c:v>-13.806644477771799</c:v>
                </c:pt>
                <c:pt idx="1">
                  <c:v>-12.370416971851901</c:v>
                </c:pt>
                <c:pt idx="2">
                  <c:v>-11.32945742473</c:v>
                </c:pt>
                <c:pt idx="3">
                  <c:v>-10.355248426941699</c:v>
                </c:pt>
                <c:pt idx="4">
                  <c:v>-9.4451723098854803</c:v>
                </c:pt>
                <c:pt idx="5">
                  <c:v>-8.6018467421627296</c:v>
                </c:pt>
                <c:pt idx="6">
                  <c:v>-6.6508110779846703</c:v>
                </c:pt>
                <c:pt idx="7">
                  <c:v>-5.8083580664623504</c:v>
                </c:pt>
                <c:pt idx="8">
                  <c:v>-4.8982819494061296</c:v>
                </c:pt>
                <c:pt idx="9">
                  <c:v>-4.4449890032788897</c:v>
                </c:pt>
                <c:pt idx="10">
                  <c:v>-3.9895146666505701</c:v>
                </c:pt>
                <c:pt idx="11">
                  <c:v>-3.5331677738218001</c:v>
                </c:pt>
                <c:pt idx="12">
                  <c:v>-3.34164168782578</c:v>
                </c:pt>
                <c:pt idx="13">
                  <c:v>-3.21163081396061</c:v>
                </c:pt>
                <c:pt idx="14">
                  <c:v>-3.0179233374635102</c:v>
                </c:pt>
                <c:pt idx="15">
                  <c:v>-2.9542267348315701</c:v>
                </c:pt>
                <c:pt idx="16">
                  <c:v>-2.7592104240338098</c:v>
                </c:pt>
                <c:pt idx="17">
                  <c:v>-2.49744356390259</c:v>
                </c:pt>
                <c:pt idx="18">
                  <c:v>-2.4341832393708698</c:v>
                </c:pt>
                <c:pt idx="19">
                  <c:v>-2.3050449217061399</c:v>
                </c:pt>
                <c:pt idx="20">
                  <c:v>-2.0441506177753501</c:v>
                </c:pt>
                <c:pt idx="21">
                  <c:v>-1.6549905523802699</c:v>
                </c:pt>
                <c:pt idx="22">
                  <c:v>-1.0708141761874199</c:v>
                </c:pt>
                <c:pt idx="23">
                  <c:v>-0.681217832692119</c:v>
                </c:pt>
                <c:pt idx="24">
                  <c:v>-0.29205776729703797</c:v>
                </c:pt>
                <c:pt idx="25">
                  <c:v>0.42038437036011</c:v>
                </c:pt>
                <c:pt idx="26">
                  <c:v>1.19783194494984</c:v>
                </c:pt>
                <c:pt idx="27">
                  <c:v>2.0415937907728101</c:v>
                </c:pt>
                <c:pt idx="28">
                  <c:v>3.8600009124843799</c:v>
                </c:pt>
                <c:pt idx="29">
                  <c:v>5.09903071710551</c:v>
                </c:pt>
                <c:pt idx="30">
                  <c:v>6.0741122710943198</c:v>
                </c:pt>
                <c:pt idx="31">
                  <c:v>7.0478849907824701</c:v>
                </c:pt>
                <c:pt idx="32">
                  <c:v>7.69401285720636</c:v>
                </c:pt>
                <c:pt idx="33">
                  <c:v>8.4723329879965394</c:v>
                </c:pt>
                <c:pt idx="34">
                  <c:v>9.5782979720509704</c:v>
                </c:pt>
                <c:pt idx="35">
                  <c:v>11.0153980341713</c:v>
                </c:pt>
                <c:pt idx="36">
                  <c:v>12.1226718525264</c:v>
                </c:pt>
                <c:pt idx="37">
                  <c:v>12.581200135856299</c:v>
                </c:pt>
                <c:pt idx="38">
                  <c:v>12.8434032740877</c:v>
                </c:pt>
                <c:pt idx="39">
                  <c:v>13.171484405452199</c:v>
                </c:pt>
                <c:pt idx="40">
                  <c:v>13.5654435299497</c:v>
                </c:pt>
                <c:pt idx="41">
                  <c:v>15.277398795207899</c:v>
                </c:pt>
              </c:numCache>
            </c:numRef>
          </c:xVal>
          <c:yVal>
            <c:numRef>
              <c:f>'projekty 2 i 3'!$T$3:$T$44</c:f>
              <c:numCache>
                <c:formatCode>0.000</c:formatCode>
                <c:ptCount val="42"/>
                <c:pt idx="0">
                  <c:v>-1.1731899794248584</c:v>
                </c:pt>
                <c:pt idx="1">
                  <c:v>-1.0720840730596486</c:v>
                </c:pt>
                <c:pt idx="2">
                  <c:v>-0.97114292373904065</c:v>
                </c:pt>
                <c:pt idx="3">
                  <c:v>-0.86352911411240973</c:v>
                </c:pt>
                <c:pt idx="4">
                  <c:v>-0.76934300362010322</c:v>
                </c:pt>
                <c:pt idx="5">
                  <c:v>-0.66848423282178382</c:v>
                </c:pt>
                <c:pt idx="6">
                  <c:v>-0.47335697300886148</c:v>
                </c:pt>
                <c:pt idx="7">
                  <c:v>-0.36579808239709449</c:v>
                </c:pt>
                <c:pt idx="8">
                  <c:v>-0.27161197190478908</c:v>
                </c:pt>
                <c:pt idx="9">
                  <c:v>-0.21111867703174278</c:v>
                </c:pt>
                <c:pt idx="10">
                  <c:v>-0.16737568169231334</c:v>
                </c:pt>
                <c:pt idx="11">
                  <c:v>-0.13033280616633125</c:v>
                </c:pt>
                <c:pt idx="12">
                  <c:v>-8.3349588949906905E-2</c:v>
                </c:pt>
                <c:pt idx="13">
                  <c:v>-6.9894430308149055E-2</c:v>
                </c:pt>
                <c:pt idx="14">
                  <c:v>-3.9661512625342191E-2</c:v>
                </c:pt>
                <c:pt idx="15">
                  <c:v>-2.288375358429268E-2</c:v>
                </c:pt>
                <c:pt idx="16">
                  <c:v>-2.7010156216562345E-3</c:v>
                </c:pt>
                <c:pt idx="17">
                  <c:v>1.0809062034966208E-2</c:v>
                </c:pt>
                <c:pt idx="18">
                  <c:v>3.0936880982739015E-2</c:v>
                </c:pt>
                <c:pt idx="19">
                  <c:v>5.1092159437943499E-2</c:v>
                </c:pt>
                <c:pt idx="20">
                  <c:v>7.1302356908011982E-2</c:v>
                </c:pt>
                <c:pt idx="21">
                  <c:v>0.11836795264673269</c:v>
                </c:pt>
                <c:pt idx="22">
                  <c:v>0.18561628634809052</c:v>
                </c:pt>
                <c:pt idx="23">
                  <c:v>0.22933182218008746</c:v>
                </c:pt>
                <c:pt idx="24">
                  <c:v>0.27639741791880812</c:v>
                </c:pt>
                <c:pt idx="25">
                  <c:v>0.37050114988881711</c:v>
                </c:pt>
                <c:pt idx="26">
                  <c:v>0.47133246117970506</c:v>
                </c:pt>
                <c:pt idx="27">
                  <c:v>0.5688411720713018</c:v>
                </c:pt>
                <c:pt idx="28">
                  <c:v>0.77061363268280658</c:v>
                </c:pt>
                <c:pt idx="29">
                  <c:v>0.86828710061899628</c:v>
                </c:pt>
                <c:pt idx="30">
                  <c:v>0.96920079043218077</c:v>
                </c:pt>
                <c:pt idx="31">
                  <c:v>1.0801646599655323</c:v>
                </c:pt>
                <c:pt idx="32">
                  <c:v>1.1775909923348347</c:v>
                </c:pt>
                <c:pt idx="33">
                  <c:v>1.2717221838122681</c:v>
                </c:pt>
                <c:pt idx="34">
                  <c:v>1.3793909124537669</c:v>
                </c:pt>
                <c:pt idx="35">
                  <c:v>1.4737966990055353</c:v>
                </c:pt>
                <c:pt idx="36">
                  <c:v>1.5714152479268571</c:v>
                </c:pt>
                <c:pt idx="37">
                  <c:v>1.5917078239192211</c:v>
                </c:pt>
                <c:pt idx="38">
                  <c:v>1.6018678416691223</c:v>
                </c:pt>
                <c:pt idx="39">
                  <c:v>1.6120553189264519</c:v>
                </c:pt>
                <c:pt idx="40">
                  <c:v>1.6222702556912103</c:v>
                </c:pt>
                <c:pt idx="41">
                  <c:v>1.6296843226978925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C7-4ECE-BF69-5DF44BFDEFE8}"/>
            </c:ext>
          </c:extLst>
        </c:ser>
        <c:ser>
          <c:idx val="1"/>
          <c:order val="1"/>
          <c:tx>
            <c:v>K/10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'projekty 2 i 3'!$I$3:$I$44</c:f>
              <c:numCache>
                <c:formatCode>0.00</c:formatCode>
                <c:ptCount val="42"/>
                <c:pt idx="0">
                  <c:v>-13.806644477771799</c:v>
                </c:pt>
                <c:pt idx="1">
                  <c:v>-12.370416971851901</c:v>
                </c:pt>
                <c:pt idx="2">
                  <c:v>-11.32945742473</c:v>
                </c:pt>
                <c:pt idx="3">
                  <c:v>-10.355248426941699</c:v>
                </c:pt>
                <c:pt idx="4">
                  <c:v>-9.4451723098854803</c:v>
                </c:pt>
                <c:pt idx="5">
                  <c:v>-8.6018467421627296</c:v>
                </c:pt>
                <c:pt idx="6">
                  <c:v>-6.6508110779846703</c:v>
                </c:pt>
                <c:pt idx="7">
                  <c:v>-5.8083580664623504</c:v>
                </c:pt>
                <c:pt idx="8">
                  <c:v>-4.8982819494061296</c:v>
                </c:pt>
                <c:pt idx="9">
                  <c:v>-4.4449890032788897</c:v>
                </c:pt>
                <c:pt idx="10">
                  <c:v>-3.9895146666505701</c:v>
                </c:pt>
                <c:pt idx="11">
                  <c:v>-3.5331677738218001</c:v>
                </c:pt>
                <c:pt idx="12">
                  <c:v>-3.34164168782578</c:v>
                </c:pt>
                <c:pt idx="13">
                  <c:v>-3.21163081396061</c:v>
                </c:pt>
                <c:pt idx="14">
                  <c:v>-3.0179233374635102</c:v>
                </c:pt>
                <c:pt idx="15">
                  <c:v>-2.9542267348315701</c:v>
                </c:pt>
                <c:pt idx="16">
                  <c:v>-2.7592104240338098</c:v>
                </c:pt>
                <c:pt idx="17">
                  <c:v>-2.49744356390259</c:v>
                </c:pt>
                <c:pt idx="18">
                  <c:v>-2.4341832393708698</c:v>
                </c:pt>
                <c:pt idx="19">
                  <c:v>-2.3050449217061399</c:v>
                </c:pt>
                <c:pt idx="20">
                  <c:v>-2.0441506177753501</c:v>
                </c:pt>
                <c:pt idx="21">
                  <c:v>-1.6549905523802699</c:v>
                </c:pt>
                <c:pt idx="22">
                  <c:v>-1.0708141761874199</c:v>
                </c:pt>
                <c:pt idx="23">
                  <c:v>-0.681217832692119</c:v>
                </c:pt>
                <c:pt idx="24">
                  <c:v>-0.29205776729703797</c:v>
                </c:pt>
                <c:pt idx="25">
                  <c:v>0.42038437036011</c:v>
                </c:pt>
                <c:pt idx="26">
                  <c:v>1.19783194494984</c:v>
                </c:pt>
                <c:pt idx="27">
                  <c:v>2.0415937907728101</c:v>
                </c:pt>
                <c:pt idx="28">
                  <c:v>3.8600009124843799</c:v>
                </c:pt>
                <c:pt idx="29">
                  <c:v>5.09903071710551</c:v>
                </c:pt>
                <c:pt idx="30">
                  <c:v>6.0741122710943198</c:v>
                </c:pt>
                <c:pt idx="31">
                  <c:v>7.0478849907824701</c:v>
                </c:pt>
                <c:pt idx="32">
                  <c:v>7.69401285720636</c:v>
                </c:pt>
                <c:pt idx="33">
                  <c:v>8.4723329879965394</c:v>
                </c:pt>
                <c:pt idx="34">
                  <c:v>9.5782979720509704</c:v>
                </c:pt>
                <c:pt idx="35">
                  <c:v>11.0153980341713</c:v>
                </c:pt>
                <c:pt idx="36">
                  <c:v>12.1226718525264</c:v>
                </c:pt>
                <c:pt idx="37">
                  <c:v>12.581200135856299</c:v>
                </c:pt>
                <c:pt idx="38">
                  <c:v>12.8434032740877</c:v>
                </c:pt>
                <c:pt idx="39">
                  <c:v>13.171484405452199</c:v>
                </c:pt>
                <c:pt idx="40">
                  <c:v>13.5654435299497</c:v>
                </c:pt>
                <c:pt idx="41">
                  <c:v>15.277398795207899</c:v>
                </c:pt>
              </c:numCache>
            </c:numRef>
          </c:xVal>
          <c:yVal>
            <c:numRef>
              <c:f>'projekty 2 i 3'!$Y$3:$Y$44</c:f>
              <c:numCache>
                <c:formatCode>General</c:formatCode>
                <c:ptCount val="42"/>
                <c:pt idx="0">
                  <c:v>-1.271160367310288</c:v>
                </c:pt>
                <c:pt idx="1">
                  <c:v>-1.3253883607455275</c:v>
                </c:pt>
                <c:pt idx="2">
                  <c:v>-1.3814826863186869</c:v>
                </c:pt>
                <c:pt idx="3">
                  <c:v>-1.4344374392032855</c:v>
                </c:pt>
                <c:pt idx="4">
                  <c:v>-1.470052134953356</c:v>
                </c:pt>
                <c:pt idx="5">
                  <c:v>-1.4836864284889892</c:v>
                </c:pt>
                <c:pt idx="6">
                  <c:v>-1.3983843549707953</c:v>
                </c:pt>
                <c:pt idx="7">
                  <c:v>-1.2401471039253933</c:v>
                </c:pt>
                <c:pt idx="8">
                  <c:v>-1.0198573231193522</c:v>
                </c:pt>
                <c:pt idx="9">
                  <c:v>-0.83718928549206328</c:v>
                </c:pt>
                <c:pt idx="10">
                  <c:v>-0.69063043745143937</c:v>
                </c:pt>
                <c:pt idx="11">
                  <c:v>-0.55186255933518646</c:v>
                </c:pt>
                <c:pt idx="12">
                  <c:v>-0.36244345032204461</c:v>
                </c:pt>
                <c:pt idx="13">
                  <c:v>-0.30691932304841779</c:v>
                </c:pt>
                <c:pt idx="14">
                  <c:v>-0.17845006764211285</c:v>
                </c:pt>
                <c:pt idx="15">
                  <c:v>-0.10329865073136099</c:v>
                </c:pt>
                <c:pt idx="16">
                  <c:v>-1.2198270349561578E-2</c:v>
                </c:pt>
                <c:pt idx="17">
                  <c:v>4.8740968705386925E-2</c:v>
                </c:pt>
                <c:pt idx="18">
                  <c:v>0.13933162332110338</c:v>
                </c:pt>
                <c:pt idx="19">
                  <c:v>0.22871637234816949</c:v>
                </c:pt>
                <c:pt idx="20">
                  <c:v>0.3164335238014323</c:v>
                </c:pt>
                <c:pt idx="21">
                  <c:v>0.51301981109979822</c:v>
                </c:pt>
                <c:pt idx="22">
                  <c:v>0.76439672890645738</c:v>
                </c:pt>
                <c:pt idx="23">
                  <c:v>0.90586962151117023</c:v>
                </c:pt>
                <c:pt idx="24">
                  <c:v>1.0373591613093605</c:v>
                </c:pt>
                <c:pt idx="25">
                  <c:v>1.2378853569573296</c:v>
                </c:pt>
                <c:pt idx="26">
                  <c:v>1.3705339588219565</c:v>
                </c:pt>
                <c:pt idx="27">
                  <c:v>1.4288708280566464</c:v>
                </c:pt>
                <c:pt idx="28">
                  <c:v>1.4118656598851909</c:v>
                </c:pt>
                <c:pt idx="29">
                  <c:v>1.3605571264268232</c:v>
                </c:pt>
                <c:pt idx="30">
                  <c:v>1.3017399293839076</c:v>
                </c:pt>
                <c:pt idx="31">
                  <c:v>1.2544068802831019</c:v>
                </c:pt>
                <c:pt idx="32">
                  <c:v>1.2035741022029276</c:v>
                </c:pt>
                <c:pt idx="33">
                  <c:v>1.1550003731955583</c:v>
                </c:pt>
                <c:pt idx="34">
                  <c:v>1.1023029663167263</c:v>
                </c:pt>
                <c:pt idx="35">
                  <c:v>1.0518794757861156</c:v>
                </c:pt>
                <c:pt idx="36">
                  <c:v>1.0054224425788367</c:v>
                </c:pt>
                <c:pt idx="37">
                  <c:v>0.9960949094691488</c:v>
                </c:pt>
                <c:pt idx="38">
                  <c:v>0.99146782241482556</c:v>
                </c:pt>
                <c:pt idx="39">
                  <c:v>0.98685704393156093</c:v>
                </c:pt>
                <c:pt idx="40">
                  <c:v>0.98226280143880218</c:v>
                </c:pt>
                <c:pt idx="41">
                  <c:v>0.97894642589668535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C7-4ECE-BF69-5DF44BFDEFE8}"/>
            </c:ext>
          </c:extLst>
        </c:ser>
        <c:ser>
          <c:idx val="2"/>
          <c:order val="2"/>
          <c:tx>
            <c:v>E/100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'projekty 2 i 3'!$I$3:$I$44</c:f>
              <c:numCache>
                <c:formatCode>0.00</c:formatCode>
                <c:ptCount val="42"/>
                <c:pt idx="0">
                  <c:v>-13.806644477771799</c:v>
                </c:pt>
                <c:pt idx="1">
                  <c:v>-12.370416971851901</c:v>
                </c:pt>
                <c:pt idx="2">
                  <c:v>-11.32945742473</c:v>
                </c:pt>
                <c:pt idx="3">
                  <c:v>-10.355248426941699</c:v>
                </c:pt>
                <c:pt idx="4">
                  <c:v>-9.4451723098854803</c:v>
                </c:pt>
                <c:pt idx="5">
                  <c:v>-8.6018467421627296</c:v>
                </c:pt>
                <c:pt idx="6">
                  <c:v>-6.6508110779846703</c:v>
                </c:pt>
                <c:pt idx="7">
                  <c:v>-5.8083580664623504</c:v>
                </c:pt>
                <c:pt idx="8">
                  <c:v>-4.8982819494061296</c:v>
                </c:pt>
                <c:pt idx="9">
                  <c:v>-4.4449890032788897</c:v>
                </c:pt>
                <c:pt idx="10">
                  <c:v>-3.9895146666505701</c:v>
                </c:pt>
                <c:pt idx="11">
                  <c:v>-3.5331677738218001</c:v>
                </c:pt>
                <c:pt idx="12">
                  <c:v>-3.34164168782578</c:v>
                </c:pt>
                <c:pt idx="13">
                  <c:v>-3.21163081396061</c:v>
                </c:pt>
                <c:pt idx="14">
                  <c:v>-3.0179233374635102</c:v>
                </c:pt>
                <c:pt idx="15">
                  <c:v>-2.9542267348315701</c:v>
                </c:pt>
                <c:pt idx="16">
                  <c:v>-2.7592104240338098</c:v>
                </c:pt>
                <c:pt idx="17">
                  <c:v>-2.49744356390259</c:v>
                </c:pt>
                <c:pt idx="18">
                  <c:v>-2.4341832393708698</c:v>
                </c:pt>
                <c:pt idx="19">
                  <c:v>-2.3050449217061399</c:v>
                </c:pt>
                <c:pt idx="20">
                  <c:v>-2.0441506177753501</c:v>
                </c:pt>
                <c:pt idx="21">
                  <c:v>-1.6549905523802699</c:v>
                </c:pt>
                <c:pt idx="22">
                  <c:v>-1.0708141761874199</c:v>
                </c:pt>
                <c:pt idx="23">
                  <c:v>-0.681217832692119</c:v>
                </c:pt>
                <c:pt idx="24">
                  <c:v>-0.29205776729703797</c:v>
                </c:pt>
                <c:pt idx="25">
                  <c:v>0.42038437036011</c:v>
                </c:pt>
                <c:pt idx="26">
                  <c:v>1.19783194494984</c:v>
                </c:pt>
                <c:pt idx="27">
                  <c:v>2.0415937907728101</c:v>
                </c:pt>
                <c:pt idx="28">
                  <c:v>3.8600009124843799</c:v>
                </c:pt>
                <c:pt idx="29">
                  <c:v>5.09903071710551</c:v>
                </c:pt>
                <c:pt idx="30">
                  <c:v>6.0741122710943198</c:v>
                </c:pt>
                <c:pt idx="31">
                  <c:v>7.0478849907824701</c:v>
                </c:pt>
                <c:pt idx="32">
                  <c:v>7.69401285720636</c:v>
                </c:pt>
                <c:pt idx="33">
                  <c:v>8.4723329879965394</c:v>
                </c:pt>
                <c:pt idx="34">
                  <c:v>9.5782979720509704</c:v>
                </c:pt>
                <c:pt idx="35">
                  <c:v>11.0153980341713</c:v>
                </c:pt>
                <c:pt idx="36">
                  <c:v>12.1226718525264</c:v>
                </c:pt>
                <c:pt idx="37">
                  <c:v>12.581200135856299</c:v>
                </c:pt>
                <c:pt idx="38">
                  <c:v>12.8434032740877</c:v>
                </c:pt>
                <c:pt idx="39">
                  <c:v>13.171484405452199</c:v>
                </c:pt>
                <c:pt idx="40">
                  <c:v>13.5654435299497</c:v>
                </c:pt>
                <c:pt idx="41">
                  <c:v>15.277398795207899</c:v>
                </c:pt>
              </c:numCache>
            </c:numRef>
          </c:xVal>
          <c:yVal>
            <c:numRef>
              <c:f>'projekty 2 i 3'!$Z$3:$Z$44</c:f>
              <c:numCache>
                <c:formatCode>General</c:formatCode>
                <c:ptCount val="42"/>
                <c:pt idx="0">
                  <c:v>-1.8956974789629342</c:v>
                </c:pt>
                <c:pt idx="1">
                  <c:v>-1.883281104191614</c:v>
                </c:pt>
                <c:pt idx="2">
                  <c:v>-1.8534208437903315</c:v>
                </c:pt>
                <c:pt idx="3">
                  <c:v>-1.7768068028053718</c:v>
                </c:pt>
                <c:pt idx="4">
                  <c:v>-1.6625912210189253</c:v>
                </c:pt>
                <c:pt idx="5">
                  <c:v>-1.471551333297914</c:v>
                </c:pt>
                <c:pt idx="6">
                  <c:v>-0.92563952755192191</c:v>
                </c:pt>
                <c:pt idx="7">
                  <c:v>-0.56258458903736208</c:v>
                </c:pt>
                <c:pt idx="8">
                  <c:v>-0.28250604549111191</c:v>
                </c:pt>
                <c:pt idx="9">
                  <c:v>-0.14797010390388396</c:v>
                </c:pt>
                <c:pt idx="10">
                  <c:v>-7.9833246036920741E-2</c:v>
                </c:pt>
                <c:pt idx="11">
                  <c:v>-3.9693153849694934E-2</c:v>
                </c:pt>
                <c:pt idx="12">
                  <c:v>-1.0949239979990224E-2</c:v>
                </c:pt>
                <c:pt idx="13">
                  <c:v>-6.584018351123668E-3</c:v>
                </c:pt>
                <c:pt idx="14">
                  <c:v>-1.2629981292876303E-3</c:v>
                </c:pt>
                <c:pt idx="15">
                  <c:v>-2.4418363827675765E-4</c:v>
                </c:pt>
                <c:pt idx="16">
                  <c:v>-4.019051809742751E-7</c:v>
                </c:pt>
                <c:pt idx="17">
                  <c:v>2.5678894441294207E-5</c:v>
                </c:pt>
                <c:pt idx="18">
                  <c:v>6.0058699047895717E-4</c:v>
                </c:pt>
                <c:pt idx="19">
                  <c:v>2.6726910968384006E-3</c:v>
                </c:pt>
                <c:pt idx="20">
                  <c:v>7.139517474070085E-3</c:v>
                </c:pt>
                <c:pt idx="21">
                  <c:v>3.115318174585021E-2</c:v>
                </c:pt>
                <c:pt idx="22">
                  <c:v>0.1084560340122442</c:v>
                </c:pt>
                <c:pt idx="23">
                  <c:v>0.18818964080453621</c:v>
                </c:pt>
                <c:pt idx="24">
                  <c:v>0.29743513915450376</c:v>
                </c:pt>
                <c:pt idx="25">
                  <c:v>0.56774120020096197</c:v>
                </c:pt>
                <c:pt idx="26">
                  <c:v>0.88533361239521657</c:v>
                </c:pt>
                <c:pt idx="27">
                  <c:v>1.1613870043114138</c:v>
                </c:pt>
                <c:pt idx="28">
                  <c:v>1.5361139676963589</c:v>
                </c:pt>
                <c:pt idx="29">
                  <c:v>1.6072998790887256</c:v>
                </c:pt>
                <c:pt idx="30">
                  <c:v>1.6423367563733944</c:v>
                </c:pt>
                <c:pt idx="31">
                  <c:v>1.6996786494915384</c:v>
                </c:pt>
                <c:pt idx="32">
                  <c:v>1.7058472650963814</c:v>
                </c:pt>
                <c:pt idx="33">
                  <c:v>1.6965102825888103</c:v>
                </c:pt>
                <c:pt idx="34">
                  <c:v>1.6760590396607444</c:v>
                </c:pt>
                <c:pt idx="35">
                  <c:v>1.6306829936759624</c:v>
                </c:pt>
                <c:pt idx="36">
                  <c:v>1.5885032699651385</c:v>
                </c:pt>
                <c:pt idx="37">
                  <c:v>1.5793005707349073</c:v>
                </c:pt>
                <c:pt idx="38">
                  <c:v>1.5746496127451115</c:v>
                </c:pt>
                <c:pt idx="39">
                  <c:v>1.5699594365272838</c:v>
                </c:pt>
                <c:pt idx="40">
                  <c:v>1.5652315759467905</c:v>
                </c:pt>
                <c:pt idx="41">
                  <c:v>1.5617853258286405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C7-4ECE-BF69-5DF44BFDE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832448"/>
        <c:axId val="1885903008"/>
      </c:scatterChart>
      <c:valAx>
        <c:axId val="1809832448"/>
        <c:scaling>
          <c:orientation val="minMax"/>
          <c:max val="16"/>
          <c:min val="-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α</a:t>
                </a:r>
                <a:r>
                  <a:rPr lang="pl-PL"/>
                  <a:t>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903008"/>
        <c:crosses val="autoZero"/>
        <c:crossBetween val="midCat"/>
        <c:majorUnit val="2"/>
      </c:valAx>
      <c:valAx>
        <c:axId val="1885903008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Cz', K/10, E/100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820946340040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9832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γ</a:t>
            </a:r>
            <a:r>
              <a:rPr lang="pl-PL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m_min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'projekt 4'!$H$3:$H$23</c:f>
              <c:numCache>
                <c:formatCode>0.00</c:formatCode>
                <c:ptCount val="21"/>
                <c:pt idx="0">
                  <c:v>36.926674767628953</c:v>
                </c:pt>
                <c:pt idx="1">
                  <c:v>37.011603515298404</c:v>
                </c:pt>
                <c:pt idx="2">
                  <c:v>37.129566597202505</c:v>
                </c:pt>
                <c:pt idx="3">
                  <c:v>37.248325109558472</c:v>
                </c:pt>
                <c:pt idx="4">
                  <c:v>37.367887776620627</c:v>
                </c:pt>
                <c:pt idx="5">
                  <c:v>37.610122986289419</c:v>
                </c:pt>
                <c:pt idx="6">
                  <c:v>38.843947039874401</c:v>
                </c:pt>
                <c:pt idx="7">
                  <c:v>40.159235194264269</c:v>
                </c:pt>
                <c:pt idx="8">
                  <c:v>41.832329170411235</c:v>
                </c:pt>
                <c:pt idx="9">
                  <c:v>43.478528723535064</c:v>
                </c:pt>
                <c:pt idx="10">
                  <c:v>45.403174364182661</c:v>
                </c:pt>
                <c:pt idx="11">
                  <c:v>47.937268730216424</c:v>
                </c:pt>
                <c:pt idx="12">
                  <c:v>50.652675179761928</c:v>
                </c:pt>
                <c:pt idx="13">
                  <c:v>53.772144442727715</c:v>
                </c:pt>
                <c:pt idx="14">
                  <c:v>62.588279438891014</c:v>
                </c:pt>
                <c:pt idx="15">
                  <c:v>68.750973026558469</c:v>
                </c:pt>
                <c:pt idx="16">
                  <c:v>77.520755606772056</c:v>
                </c:pt>
                <c:pt idx="17">
                  <c:v>89.690767543984791</c:v>
                </c:pt>
                <c:pt idx="18">
                  <c:v>98.394709785004693</c:v>
                </c:pt>
                <c:pt idx="19">
                  <c:v>109.23668712032604</c:v>
                </c:pt>
                <c:pt idx="20">
                  <c:v>136.09841964825267</c:v>
                </c:pt>
              </c:numCache>
            </c:numRef>
          </c:xVal>
          <c:yVal>
            <c:numRef>
              <c:f>'projekt 4'!$G$3:$G$23</c:f>
              <c:numCache>
                <c:formatCode>0.000</c:formatCode>
                <c:ptCount val="21"/>
                <c:pt idx="0">
                  <c:v>5.8325693220377026</c:v>
                </c:pt>
                <c:pt idx="1">
                  <c:v>5.8130121271093103</c:v>
                </c:pt>
                <c:pt idx="2">
                  <c:v>5.7861341071203434</c:v>
                </c:pt>
                <c:pt idx="3">
                  <c:v>5.7594072517893116</c:v>
                </c:pt>
                <c:pt idx="4">
                  <c:v>5.7328321124405068</c:v>
                </c:pt>
                <c:pt idx="5">
                  <c:v>5.6799967047382829</c:v>
                </c:pt>
                <c:pt idx="6">
                  <c:v>5.4306695281202551</c:v>
                </c:pt>
                <c:pt idx="7">
                  <c:v>5.1836357250257983</c:v>
                </c:pt>
                <c:pt idx="8">
                  <c:v>4.9483321590923746</c:v>
                </c:pt>
                <c:pt idx="9">
                  <c:v>4.7495605157639815</c:v>
                </c:pt>
                <c:pt idx="10">
                  <c:v>4.5579203563303476</c:v>
                </c:pt>
                <c:pt idx="11">
                  <c:v>4.3928489935554174</c:v>
                </c:pt>
                <c:pt idx="12">
                  <c:v>4.2036411492657519</c:v>
                </c:pt>
                <c:pt idx="13">
                  <c:v>4.0513950911006518</c:v>
                </c:pt>
                <c:pt idx="14">
                  <c:v>4.0033366517766735</c:v>
                </c:pt>
                <c:pt idx="15">
                  <c:v>4.1731491525604261</c:v>
                </c:pt>
                <c:pt idx="16">
                  <c:v>4.6184915101420803</c:v>
                </c:pt>
                <c:pt idx="17">
                  <c:v>5.506220724474459</c:v>
                </c:pt>
                <c:pt idx="18">
                  <c:v>6.2994415278592344</c:v>
                </c:pt>
                <c:pt idx="19">
                  <c:v>7.4532283849619034</c:v>
                </c:pt>
                <c:pt idx="20">
                  <c:v>11.030027571401607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7C-4C57-8812-6C2B6B082A70}"/>
            </c:ext>
          </c:extLst>
        </c:ser>
        <c:ser>
          <c:idx val="1"/>
          <c:order val="1"/>
          <c:tx>
            <c:v>m_śr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'projekt 4'!$J$3:$J$23</c:f>
              <c:numCache>
                <c:formatCode>0.00</c:formatCode>
                <c:ptCount val="21"/>
                <c:pt idx="0">
                  <c:v>41.960094202715126</c:v>
                </c:pt>
                <c:pt idx="1">
                  <c:v>42.056599460097594</c:v>
                </c:pt>
                <c:pt idx="2">
                  <c:v>42.190641912072657</c:v>
                </c:pt>
                <c:pt idx="3">
                  <c:v>42.325588218426759</c:v>
                </c:pt>
                <c:pt idx="4">
                  <c:v>42.461448292604196</c:v>
                </c:pt>
                <c:pt idx="5">
                  <c:v>42.736702218956296</c:v>
                </c:pt>
                <c:pt idx="6">
                  <c:v>44.138706971449899</c:v>
                </c:pt>
                <c:pt idx="7">
                  <c:v>45.633280073664217</c:v>
                </c:pt>
                <c:pt idx="8">
                  <c:v>47.534430970431778</c:v>
                </c:pt>
                <c:pt idx="9">
                  <c:v>49.405021505870309</c:v>
                </c:pt>
                <c:pt idx="10">
                  <c:v>51.592012695751649</c:v>
                </c:pt>
                <c:pt idx="11">
                  <c:v>54.471525649096669</c:v>
                </c:pt>
                <c:pt idx="12">
                  <c:v>57.557065063045521</c:v>
                </c:pt>
                <c:pt idx="13">
                  <c:v>61.101744484092755</c:v>
                </c:pt>
                <c:pt idx="14">
                  <c:v>71.119593566652284</c:v>
                </c:pt>
                <c:pt idx="15">
                  <c:v>78.122314637753988</c:v>
                </c:pt>
                <c:pt idx="16">
                  <c:v>88.087493076341033</c:v>
                </c:pt>
                <c:pt idx="17">
                  <c:v>101.91638101567072</c:v>
                </c:pt>
                <c:pt idx="18">
                  <c:v>111.80674451756795</c:v>
                </c:pt>
                <c:pt idx="19">
                  <c:v>124.12657545811587</c:v>
                </c:pt>
                <c:pt idx="20">
                  <c:v>154.64979029976217</c:v>
                </c:pt>
              </c:numCache>
            </c:numRef>
          </c:xVal>
          <c:yVal>
            <c:numRef>
              <c:f>'projekt 4'!$G$3:$G$23</c:f>
              <c:numCache>
                <c:formatCode>0.000</c:formatCode>
                <c:ptCount val="21"/>
                <c:pt idx="0">
                  <c:v>5.8325693220377026</c:v>
                </c:pt>
                <c:pt idx="1">
                  <c:v>5.8130121271093103</c:v>
                </c:pt>
                <c:pt idx="2">
                  <c:v>5.7861341071203434</c:v>
                </c:pt>
                <c:pt idx="3">
                  <c:v>5.7594072517893116</c:v>
                </c:pt>
                <c:pt idx="4">
                  <c:v>5.7328321124405068</c:v>
                </c:pt>
                <c:pt idx="5">
                  <c:v>5.6799967047382829</c:v>
                </c:pt>
                <c:pt idx="6">
                  <c:v>5.4306695281202551</c:v>
                </c:pt>
                <c:pt idx="7">
                  <c:v>5.1836357250257983</c:v>
                </c:pt>
                <c:pt idx="8">
                  <c:v>4.9483321590923746</c:v>
                </c:pt>
                <c:pt idx="9">
                  <c:v>4.7495605157639815</c:v>
                </c:pt>
                <c:pt idx="10">
                  <c:v>4.5579203563303476</c:v>
                </c:pt>
                <c:pt idx="11">
                  <c:v>4.3928489935554174</c:v>
                </c:pt>
                <c:pt idx="12">
                  <c:v>4.2036411492657519</c:v>
                </c:pt>
                <c:pt idx="13">
                  <c:v>4.0513950911006518</c:v>
                </c:pt>
                <c:pt idx="14">
                  <c:v>4.0033366517766735</c:v>
                </c:pt>
                <c:pt idx="15">
                  <c:v>4.1731491525604261</c:v>
                </c:pt>
                <c:pt idx="16">
                  <c:v>4.6184915101420803</c:v>
                </c:pt>
                <c:pt idx="17">
                  <c:v>5.506220724474459</c:v>
                </c:pt>
                <c:pt idx="18">
                  <c:v>6.2994415278592344</c:v>
                </c:pt>
                <c:pt idx="19">
                  <c:v>7.4532283849619034</c:v>
                </c:pt>
                <c:pt idx="20">
                  <c:v>11.030027571401607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7C-4C57-8812-6C2B6B082A70}"/>
            </c:ext>
          </c:extLst>
        </c:ser>
        <c:ser>
          <c:idx val="2"/>
          <c:order val="2"/>
          <c:tx>
            <c:strRef>
              <c:f>'projekt 4'!$L$1</c:f>
              <c:strCache>
                <c:ptCount val="1"/>
                <c:pt idx="0">
                  <c:v>mmax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'projekt 4'!$L$3:$L$23</c:f>
              <c:numCache>
                <c:formatCode>0.00</c:formatCode>
                <c:ptCount val="21"/>
                <c:pt idx="0">
                  <c:v>46.451261571750777</c:v>
                </c:pt>
                <c:pt idx="1">
                  <c:v>46.558096197337299</c:v>
                </c:pt>
                <c:pt idx="2">
                  <c:v>46.706485783126396</c:v>
                </c:pt>
                <c:pt idx="3">
                  <c:v>46.855875966673466</c:v>
                </c:pt>
                <c:pt idx="4">
                  <c:v>47.006277722500911</c:v>
                </c:pt>
                <c:pt idx="5">
                  <c:v>47.31099324744379</c:v>
                </c:pt>
                <c:pt idx="6">
                  <c:v>48.863060532333343</c:v>
                </c:pt>
                <c:pt idx="7">
                  <c:v>50.517604151174126</c:v>
                </c:pt>
                <c:pt idx="8">
                  <c:v>52.622243315387543</c:v>
                </c:pt>
                <c:pt idx="9">
                  <c:v>54.693051112803637</c:v>
                </c:pt>
                <c:pt idx="10">
                  <c:v>57.114125272587557</c:v>
                </c:pt>
                <c:pt idx="11">
                  <c:v>60.301844745972801</c:v>
                </c:pt>
                <c:pt idx="12">
                  <c:v>63.717642568419308</c:v>
                </c:pt>
                <c:pt idx="13">
                  <c:v>67.641724105977261</c:v>
                </c:pt>
                <c:pt idx="14">
                  <c:v>78.731826188974622</c:v>
                </c:pt>
                <c:pt idx="15">
                  <c:v>86.484078283935531</c:v>
                </c:pt>
                <c:pt idx="16">
                  <c:v>97.515872159889838</c:v>
                </c:pt>
                <c:pt idx="17">
                  <c:v>112.82492479959213</c:v>
                </c:pt>
                <c:pt idx="18">
                  <c:v>123.77389597794084</c:v>
                </c:pt>
                <c:pt idx="19">
                  <c:v>137.41237082917485</c:v>
                </c:pt>
                <c:pt idx="20">
                  <c:v>171.20261519255175</c:v>
                </c:pt>
              </c:numCache>
            </c:numRef>
          </c:xVal>
          <c:yVal>
            <c:numRef>
              <c:f>'projekt 4'!$G$3:$G$23</c:f>
              <c:numCache>
                <c:formatCode>0.000</c:formatCode>
                <c:ptCount val="21"/>
                <c:pt idx="0">
                  <c:v>5.8325693220377026</c:v>
                </c:pt>
                <c:pt idx="1">
                  <c:v>5.8130121271093103</c:v>
                </c:pt>
                <c:pt idx="2">
                  <c:v>5.7861341071203434</c:v>
                </c:pt>
                <c:pt idx="3">
                  <c:v>5.7594072517893116</c:v>
                </c:pt>
                <c:pt idx="4">
                  <c:v>5.7328321124405068</c:v>
                </c:pt>
                <c:pt idx="5">
                  <c:v>5.6799967047382829</c:v>
                </c:pt>
                <c:pt idx="6">
                  <c:v>5.4306695281202551</c:v>
                </c:pt>
                <c:pt idx="7">
                  <c:v>5.1836357250257983</c:v>
                </c:pt>
                <c:pt idx="8">
                  <c:v>4.9483321590923746</c:v>
                </c:pt>
                <c:pt idx="9">
                  <c:v>4.7495605157639815</c:v>
                </c:pt>
                <c:pt idx="10">
                  <c:v>4.5579203563303476</c:v>
                </c:pt>
                <c:pt idx="11">
                  <c:v>4.3928489935554174</c:v>
                </c:pt>
                <c:pt idx="12">
                  <c:v>4.2036411492657519</c:v>
                </c:pt>
                <c:pt idx="13">
                  <c:v>4.0513950911006518</c:v>
                </c:pt>
                <c:pt idx="14">
                  <c:v>4.0033366517766735</c:v>
                </c:pt>
                <c:pt idx="15">
                  <c:v>4.1731491525604261</c:v>
                </c:pt>
                <c:pt idx="16">
                  <c:v>4.6184915101420803</c:v>
                </c:pt>
                <c:pt idx="17">
                  <c:v>5.506220724474459</c:v>
                </c:pt>
                <c:pt idx="18">
                  <c:v>6.2994415278592344</c:v>
                </c:pt>
                <c:pt idx="19">
                  <c:v>7.4532283849619034</c:v>
                </c:pt>
                <c:pt idx="20">
                  <c:v>11.030027571401607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7C-4C57-8812-6C2B6B082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832448"/>
        <c:axId val="2043195104"/>
      </c:scatterChart>
      <c:valAx>
        <c:axId val="1809832448"/>
        <c:scaling>
          <c:orientation val="minMax"/>
          <c:max val="17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3195104"/>
        <c:crosses val="autoZero"/>
        <c:crossBetween val="midCat"/>
        <c:majorUnit val="10"/>
      </c:valAx>
      <c:valAx>
        <c:axId val="2043195104"/>
        <c:scaling>
          <c:orientation val="minMax"/>
          <c:max val="7.5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γ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9832448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Biegunowa prędkości 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186374565412103"/>
          <c:y val="0.38061637456608238"/>
          <c:w val="0.83369180990143454"/>
          <c:h val="0.55110354754042845"/>
        </c:manualLayout>
      </c:layout>
      <c:scatterChart>
        <c:scatterStyle val="smoothMarker"/>
        <c:varyColors val="0"/>
        <c:ser>
          <c:idx val="0"/>
          <c:order val="0"/>
          <c:tx>
            <c:v>m_min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'projekt 4'!$H$3:$H$23</c:f>
              <c:numCache>
                <c:formatCode>0.00</c:formatCode>
                <c:ptCount val="21"/>
                <c:pt idx="0">
                  <c:v>36.926674767628953</c:v>
                </c:pt>
                <c:pt idx="1">
                  <c:v>37.011603515298404</c:v>
                </c:pt>
                <c:pt idx="2">
                  <c:v>37.129566597202505</c:v>
                </c:pt>
                <c:pt idx="3">
                  <c:v>37.248325109558472</c:v>
                </c:pt>
                <c:pt idx="4">
                  <c:v>37.367887776620627</c:v>
                </c:pt>
                <c:pt idx="5">
                  <c:v>37.610122986289419</c:v>
                </c:pt>
                <c:pt idx="6">
                  <c:v>38.843947039874401</c:v>
                </c:pt>
                <c:pt idx="7">
                  <c:v>40.159235194264269</c:v>
                </c:pt>
                <c:pt idx="8">
                  <c:v>41.832329170411235</c:v>
                </c:pt>
                <c:pt idx="9">
                  <c:v>43.478528723535064</c:v>
                </c:pt>
                <c:pt idx="10">
                  <c:v>45.403174364182661</c:v>
                </c:pt>
                <c:pt idx="11">
                  <c:v>47.937268730216424</c:v>
                </c:pt>
                <c:pt idx="12">
                  <c:v>50.652675179761928</c:v>
                </c:pt>
                <c:pt idx="13">
                  <c:v>53.772144442727715</c:v>
                </c:pt>
                <c:pt idx="14">
                  <c:v>62.588279438891014</c:v>
                </c:pt>
                <c:pt idx="15">
                  <c:v>68.750973026558469</c:v>
                </c:pt>
                <c:pt idx="16">
                  <c:v>77.520755606772056</c:v>
                </c:pt>
                <c:pt idx="17">
                  <c:v>89.690767543984791</c:v>
                </c:pt>
                <c:pt idx="18">
                  <c:v>98.394709785004693</c:v>
                </c:pt>
                <c:pt idx="19">
                  <c:v>109.23668712032604</c:v>
                </c:pt>
                <c:pt idx="20">
                  <c:v>136.09841964825267</c:v>
                </c:pt>
              </c:numCache>
            </c:numRef>
          </c:xVal>
          <c:yVal>
            <c:numRef>
              <c:f>'projekt 4'!$I$3:$I$23</c:f>
              <c:numCache>
                <c:formatCode>0.000</c:formatCode>
                <c:ptCount val="21"/>
                <c:pt idx="0">
                  <c:v>3.7525556272611542</c:v>
                </c:pt>
                <c:pt idx="1">
                  <c:v>3.7486179775873754</c:v>
                </c:pt>
                <c:pt idx="2">
                  <c:v>3.7432368474706883</c:v>
                </c:pt>
                <c:pt idx="3">
                  <c:v>3.7379223796346706</c:v>
                </c:pt>
                <c:pt idx="4">
                  <c:v>3.7326756407947346</c:v>
                </c:pt>
                <c:pt idx="5">
                  <c:v>3.7223621259975945</c:v>
                </c:pt>
                <c:pt idx="6">
                  <c:v>3.67623808866521</c:v>
                </c:pt>
                <c:pt idx="7">
                  <c:v>3.628312263297842</c:v>
                </c:pt>
                <c:pt idx="8">
                  <c:v>3.608346486592735</c:v>
                </c:pt>
                <c:pt idx="9">
                  <c:v>3.6000466744148336</c:v>
                </c:pt>
                <c:pt idx="10">
                  <c:v>3.6080467980680764</c:v>
                </c:pt>
                <c:pt idx="11">
                  <c:v>3.671735288995762</c:v>
                </c:pt>
                <c:pt idx="12">
                  <c:v>3.7129209374189096</c:v>
                </c:pt>
                <c:pt idx="13">
                  <c:v>3.7990705126908932</c:v>
                </c:pt>
                <c:pt idx="14">
                  <c:v>4.3695736487304018</c:v>
                </c:pt>
                <c:pt idx="15">
                  <c:v>5.00306412877572</c:v>
                </c:pt>
                <c:pt idx="16">
                  <c:v>6.242019172904862</c:v>
                </c:pt>
                <c:pt idx="17">
                  <c:v>8.6061721443745753</c:v>
                </c:pt>
                <c:pt idx="18">
                  <c:v>10.796322413903871</c:v>
                </c:pt>
                <c:pt idx="19">
                  <c:v>14.169835009951104</c:v>
                </c:pt>
                <c:pt idx="20">
                  <c:v>26.038815146036629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35-4AD7-8906-FA5F18FDCF71}"/>
            </c:ext>
          </c:extLst>
        </c:ser>
        <c:ser>
          <c:idx val="1"/>
          <c:order val="1"/>
          <c:tx>
            <c:v>m_śr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'projekt 4'!$J$3:$J$23</c:f>
              <c:numCache>
                <c:formatCode>0.00</c:formatCode>
                <c:ptCount val="21"/>
                <c:pt idx="0">
                  <c:v>41.960094202715126</c:v>
                </c:pt>
                <c:pt idx="1">
                  <c:v>42.056599460097594</c:v>
                </c:pt>
                <c:pt idx="2">
                  <c:v>42.190641912072657</c:v>
                </c:pt>
                <c:pt idx="3">
                  <c:v>42.325588218426759</c:v>
                </c:pt>
                <c:pt idx="4">
                  <c:v>42.461448292604196</c:v>
                </c:pt>
                <c:pt idx="5">
                  <c:v>42.736702218956296</c:v>
                </c:pt>
                <c:pt idx="6">
                  <c:v>44.138706971449899</c:v>
                </c:pt>
                <c:pt idx="7">
                  <c:v>45.633280073664217</c:v>
                </c:pt>
                <c:pt idx="8">
                  <c:v>47.534430970431778</c:v>
                </c:pt>
                <c:pt idx="9">
                  <c:v>49.405021505870309</c:v>
                </c:pt>
                <c:pt idx="10">
                  <c:v>51.592012695751649</c:v>
                </c:pt>
                <c:pt idx="11">
                  <c:v>54.471525649096669</c:v>
                </c:pt>
                <c:pt idx="12">
                  <c:v>57.557065063045521</c:v>
                </c:pt>
                <c:pt idx="13">
                  <c:v>61.101744484092755</c:v>
                </c:pt>
                <c:pt idx="14">
                  <c:v>71.119593566652284</c:v>
                </c:pt>
                <c:pt idx="15">
                  <c:v>78.122314637753988</c:v>
                </c:pt>
                <c:pt idx="16">
                  <c:v>88.087493076341033</c:v>
                </c:pt>
                <c:pt idx="17">
                  <c:v>101.91638101567072</c:v>
                </c:pt>
                <c:pt idx="18">
                  <c:v>111.80674451756795</c:v>
                </c:pt>
                <c:pt idx="19">
                  <c:v>124.12657545811587</c:v>
                </c:pt>
                <c:pt idx="20">
                  <c:v>154.64979029976217</c:v>
                </c:pt>
              </c:numCache>
            </c:numRef>
          </c:xVal>
          <c:yVal>
            <c:numRef>
              <c:f>'projekt 4'!$K$3:$K$23</c:f>
              <c:numCache>
                <c:formatCode>0.000</c:formatCode>
                <c:ptCount val="21"/>
                <c:pt idx="0">
                  <c:v>4.2640608343873652</c:v>
                </c:pt>
                <c:pt idx="1">
                  <c:v>4.2595864496156857</c:v>
                </c:pt>
                <c:pt idx="2">
                  <c:v>4.2534718257554518</c:v>
                </c:pt>
                <c:pt idx="3">
                  <c:v>4.2474329508109872</c:v>
                </c:pt>
                <c:pt idx="4">
                  <c:v>4.2414710369000774</c:v>
                </c:pt>
                <c:pt idx="5">
                  <c:v>4.2297517024305558</c:v>
                </c:pt>
                <c:pt idx="6">
                  <c:v>4.177340567020849</c:v>
                </c:pt>
                <c:pt idx="7">
                  <c:v>4.1228820445621599</c:v>
                </c:pt>
                <c:pt idx="8">
                  <c:v>4.1001947628979289</c:v>
                </c:pt>
                <c:pt idx="9">
                  <c:v>4.0907636158195331</c:v>
                </c:pt>
                <c:pt idx="10">
                  <c:v>4.0998542242817315</c:v>
                </c:pt>
                <c:pt idx="11">
                  <c:v>4.172223997508568</c:v>
                </c:pt>
                <c:pt idx="12">
                  <c:v>4.219023599652818</c:v>
                </c:pt>
                <c:pt idx="13">
                  <c:v>4.3169160938100557</c:v>
                </c:pt>
                <c:pt idx="14">
                  <c:v>4.9651836532857141</c:v>
                </c:pt>
                <c:pt idx="15">
                  <c:v>5.6850242667851658</c:v>
                </c:pt>
                <c:pt idx="16">
                  <c:v>7.0928594074180022</c:v>
                </c:pt>
                <c:pt idx="17">
                  <c:v>9.7792665105958889</c:v>
                </c:pt>
                <c:pt idx="18">
                  <c:v>12.267952865537129</c:v>
                </c:pt>
                <c:pt idx="19">
                  <c:v>16.101303883871374</c:v>
                </c:pt>
                <c:pt idx="20">
                  <c:v>29.588126830542056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35-4AD7-8906-FA5F18FDCF71}"/>
            </c:ext>
          </c:extLst>
        </c:ser>
        <c:ser>
          <c:idx val="2"/>
          <c:order val="2"/>
          <c:tx>
            <c:v>m_max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'projekt 4'!$L$3:$L$23</c:f>
              <c:numCache>
                <c:formatCode>0.00</c:formatCode>
                <c:ptCount val="21"/>
                <c:pt idx="0">
                  <c:v>46.451261571750777</c:v>
                </c:pt>
                <c:pt idx="1">
                  <c:v>46.558096197337299</c:v>
                </c:pt>
                <c:pt idx="2">
                  <c:v>46.706485783126396</c:v>
                </c:pt>
                <c:pt idx="3">
                  <c:v>46.855875966673466</c:v>
                </c:pt>
                <c:pt idx="4">
                  <c:v>47.006277722500911</c:v>
                </c:pt>
                <c:pt idx="5">
                  <c:v>47.31099324744379</c:v>
                </c:pt>
                <c:pt idx="6">
                  <c:v>48.863060532333343</c:v>
                </c:pt>
                <c:pt idx="7">
                  <c:v>50.517604151174126</c:v>
                </c:pt>
                <c:pt idx="8">
                  <c:v>52.622243315387543</c:v>
                </c:pt>
                <c:pt idx="9">
                  <c:v>54.693051112803637</c:v>
                </c:pt>
                <c:pt idx="10">
                  <c:v>57.114125272587557</c:v>
                </c:pt>
                <c:pt idx="11">
                  <c:v>60.301844745972801</c:v>
                </c:pt>
                <c:pt idx="12">
                  <c:v>63.717642568419308</c:v>
                </c:pt>
                <c:pt idx="13">
                  <c:v>67.641724105977261</c:v>
                </c:pt>
                <c:pt idx="14">
                  <c:v>78.731826188974622</c:v>
                </c:pt>
                <c:pt idx="15">
                  <c:v>86.484078283935531</c:v>
                </c:pt>
                <c:pt idx="16">
                  <c:v>97.515872159889838</c:v>
                </c:pt>
                <c:pt idx="17">
                  <c:v>112.82492479959213</c:v>
                </c:pt>
                <c:pt idx="18">
                  <c:v>123.77389597794084</c:v>
                </c:pt>
                <c:pt idx="19">
                  <c:v>137.41237082917485</c:v>
                </c:pt>
                <c:pt idx="20">
                  <c:v>171.20261519255175</c:v>
                </c:pt>
              </c:numCache>
            </c:numRef>
          </c:xVal>
          <c:yVal>
            <c:numRef>
              <c:f>'projekt 4'!$M$3:$M$23</c:f>
              <c:numCache>
                <c:formatCode>0.000</c:formatCode>
                <c:ptCount val="21"/>
                <c:pt idx="0">
                  <c:v>4.7204614036154551</c:v>
                </c:pt>
                <c:pt idx="1">
                  <c:v>4.7155081064088797</c:v>
                </c:pt>
                <c:pt idx="2">
                  <c:v>4.7087390083469831</c:v>
                </c:pt>
                <c:pt idx="3">
                  <c:v>4.7020537669295255</c:v>
                </c:pt>
                <c:pt idx="4">
                  <c:v>4.695453724012415</c:v>
                </c:pt>
                <c:pt idx="5">
                  <c:v>4.6824800193238456</c:v>
                </c:pt>
                <c:pt idx="6">
                  <c:v>4.6244590971489092</c:v>
                </c:pt>
                <c:pt idx="7">
                  <c:v>4.5641716473801246</c:v>
                </c:pt>
                <c:pt idx="8">
                  <c:v>4.5390560494540129</c:v>
                </c:pt>
                <c:pt idx="9">
                  <c:v>4.5286154465863513</c:v>
                </c:pt>
                <c:pt idx="10">
                  <c:v>4.538679061541167</c:v>
                </c:pt>
                <c:pt idx="11">
                  <c:v>4.6187948794372709</c:v>
                </c:pt>
                <c:pt idx="12">
                  <c:v>4.6706036420714545</c:v>
                </c:pt>
                <c:pt idx="13">
                  <c:v>4.7789739862856644</c:v>
                </c:pt>
                <c:pt idx="14">
                  <c:v>5.4966283802011047</c:v>
                </c:pt>
                <c:pt idx="15">
                  <c:v>6.2935165965642836</c:v>
                </c:pt>
                <c:pt idx="16">
                  <c:v>7.8520383208364564</c:v>
                </c:pt>
                <c:pt idx="17">
                  <c:v>10.825983003492832</c:v>
                </c:pt>
                <c:pt idx="18">
                  <c:v>13.581044045179967</c:v>
                </c:pt>
                <c:pt idx="19">
                  <c:v>17.824694929010899</c:v>
                </c:pt>
                <c:pt idx="20">
                  <c:v>32.755069904840965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35-4AD7-8906-FA5F18FDCF71}"/>
            </c:ext>
          </c:extLst>
        </c:ser>
        <c:ser>
          <c:idx val="3"/>
          <c:order val="3"/>
          <c:tx>
            <c:v>γ_min</c:v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175" cap="rnd">
                <a:solidFill>
                  <a:schemeClr val="accent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A35-4AD7-8906-FA5F18FDCF71}"/>
              </c:ext>
            </c:extLst>
          </c:dPt>
          <c:xVal>
            <c:numRef>
              <c:f>'projekt 4'!$O$3:$O$4</c:f>
              <c:numCache>
                <c:formatCode>General</c:formatCode>
                <c:ptCount val="2"/>
                <c:pt idx="0">
                  <c:v>0</c:v>
                </c:pt>
                <c:pt idx="1">
                  <c:v>140</c:v>
                </c:pt>
              </c:numCache>
            </c:numRef>
          </c:xVal>
          <c:yVal>
            <c:numRef>
              <c:f>'projekt 4'!$P$3:$P$4</c:f>
              <c:numCache>
                <c:formatCode>General</c:formatCode>
                <c:ptCount val="2"/>
                <c:pt idx="0">
                  <c:v>0</c:v>
                </c:pt>
                <c:pt idx="1">
                  <c:v>9.7979465498927389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35-4AD7-8906-FA5F18FD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643200"/>
        <c:axId val="2035257184"/>
      </c:scatterChart>
      <c:valAx>
        <c:axId val="2061643200"/>
        <c:scaling>
          <c:orientation val="minMax"/>
          <c:max val="1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5257184"/>
        <c:crosses val="autoZero"/>
        <c:crossBetween val="midCat"/>
        <c:majorUnit val="10"/>
      </c:valAx>
      <c:valAx>
        <c:axId val="2035257184"/>
        <c:scaling>
          <c:orientation val="maxMin"/>
          <c:max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164320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6795427293685"/>
          <c:y val="0.1489242231817797"/>
          <c:w val="0.60026932500420815"/>
          <c:h val="7.2581153162306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N(h)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'projekt 5'!$B$2:$B$9</c:f>
              <c:numCache>
                <c:formatCode>General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</c:numCache>
            </c:numRef>
          </c:xVal>
          <c:yVal>
            <c:numRef>
              <c:f>'projekt 5'!$C$2:$C$9</c:f>
              <c:numCache>
                <c:formatCode>General</c:formatCode>
                <c:ptCount val="8"/>
                <c:pt idx="0">
                  <c:v>223000</c:v>
                </c:pt>
                <c:pt idx="1">
                  <c:v>199534.02864157647</c:v>
                </c:pt>
                <c:pt idx="2">
                  <c:v>177767.80839604812</c:v>
                </c:pt>
                <c:pt idx="3">
                  <c:v>157614.0710779753</c:v>
                </c:pt>
                <c:pt idx="4">
                  <c:v>138988.10166237774</c:v>
                </c:pt>
                <c:pt idx="5">
                  <c:v>121807.72269298926</c:v>
                </c:pt>
                <c:pt idx="6">
                  <c:v>105993.2784069542</c:v>
                </c:pt>
                <c:pt idx="7">
                  <c:v>91467.618563569733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4A-4E83-9BD4-38F0DDC1D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056208"/>
        <c:axId val="2048602736"/>
      </c:scatterChart>
      <c:valAx>
        <c:axId val="1877056208"/>
        <c:scaling>
          <c:orientation val="minMax"/>
          <c:max val="9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8602736"/>
        <c:crosses val="autoZero"/>
        <c:crossBetween val="midCat"/>
      </c:valAx>
      <c:valAx>
        <c:axId val="204860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 [W]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705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Nr(V)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340675136578465"/>
          <c:y val="0.15894006934125807"/>
          <c:w val="0.65553387282395592"/>
          <c:h val="0.69914044919719365"/>
        </c:manualLayout>
      </c:layout>
      <c:scatterChart>
        <c:scatterStyle val="smoothMarker"/>
        <c:varyColors val="0"/>
        <c:ser>
          <c:idx val="0"/>
          <c:order val="0"/>
          <c:tx>
            <c:v>h=0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'projekt 5'!$J$17:$J$24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</c:numCache>
            </c:numRef>
          </c:xVal>
          <c:yVal>
            <c:numRef>
              <c:f>'projekt 5'!$N$17:$N$24</c:f>
              <c:numCache>
                <c:formatCode>General</c:formatCode>
                <c:ptCount val="8"/>
                <c:pt idx="0">
                  <c:v>0</c:v>
                </c:pt>
                <c:pt idx="1">
                  <c:v>76266</c:v>
                </c:pt>
                <c:pt idx="2">
                  <c:v>131570</c:v>
                </c:pt>
                <c:pt idx="3">
                  <c:v>168142</c:v>
                </c:pt>
                <c:pt idx="4">
                  <c:v>181968</c:v>
                </c:pt>
                <c:pt idx="5">
                  <c:v>189104</c:v>
                </c:pt>
                <c:pt idx="6">
                  <c:v>188658</c:v>
                </c:pt>
                <c:pt idx="7">
                  <c:v>181522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C4-47EB-8BDC-21856ADA7E77}"/>
            </c:ext>
          </c:extLst>
        </c:ser>
        <c:ser>
          <c:idx val="6"/>
          <c:order val="1"/>
          <c:tx>
            <c:v>h=500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'projekt 5'!$Q$17:$Q$24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</c:numCache>
            </c:numRef>
          </c:xVal>
          <c:yVal>
            <c:numRef>
              <c:f>'projekt 5'!$U$17:$U$24</c:f>
              <c:numCache>
                <c:formatCode>General</c:formatCode>
                <c:ptCount val="8"/>
                <c:pt idx="0">
                  <c:v>0</c:v>
                </c:pt>
                <c:pt idx="1">
                  <c:v>43728.972446783147</c:v>
                </c:pt>
                <c:pt idx="2">
                  <c:v>75033.557178881383</c:v>
                </c:pt>
                <c:pt idx="3">
                  <c:v>95131.831423224619</c:v>
                </c:pt>
                <c:pt idx="4">
                  <c:v>100734.98666710212</c:v>
                </c:pt>
                <c:pt idx="5">
                  <c:v>103901.98745711985</c:v>
                </c:pt>
                <c:pt idx="6">
                  <c:v>98907.870826707294</c:v>
                </c:pt>
                <c:pt idx="7">
                  <c:v>95253.639145917608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FC4-47EB-8BDC-21856ADA7E77}"/>
            </c:ext>
          </c:extLst>
        </c:ser>
        <c:ser>
          <c:idx val="1"/>
          <c:order val="2"/>
          <c:tx>
            <c:v>h=1000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'projekt 5'!$J$28:$J$35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</c:numCache>
            </c:numRef>
          </c:xVal>
          <c:yVal>
            <c:numRef>
              <c:f>'projekt 5'!$N$28:$N$35</c:f>
              <c:numCache>
                <c:formatCode>General</c:formatCode>
                <c:ptCount val="8"/>
                <c:pt idx="0">
                  <c:v>0</c:v>
                </c:pt>
                <c:pt idx="1">
                  <c:v>68639.705852702304</c:v>
                </c:pt>
                <c:pt idx="2">
                  <c:v>118323.67898445485</c:v>
                </c:pt>
                <c:pt idx="3">
                  <c:v>151246.79371031496</c:v>
                </c:pt>
                <c:pt idx="4">
                  <c:v>163218.83542880954</c:v>
                </c:pt>
                <c:pt idx="5">
                  <c:v>169404.39031669841</c:v>
                </c:pt>
                <c:pt idx="6">
                  <c:v>167808.11808756582</c:v>
                </c:pt>
                <c:pt idx="7">
                  <c:v>161423.02917103536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C4-47EB-8BDC-21856ADA7E77}"/>
            </c:ext>
          </c:extLst>
        </c:ser>
        <c:ser>
          <c:idx val="7"/>
          <c:order val="3"/>
          <c:tx>
            <c:v>h=1500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'projekt 5'!$Q$28:$Q$35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</c:numCache>
            </c:numRef>
          </c:xVal>
          <c:yVal>
            <c:numRef>
              <c:f>'projekt 5'!$U$28:$U$35</c:f>
              <c:numCache>
                <c:formatCode>General</c:formatCode>
                <c:ptCount val="8"/>
                <c:pt idx="0">
                  <c:v>0</c:v>
                </c:pt>
                <c:pt idx="1">
                  <c:v>38581.55334013133</c:v>
                </c:pt>
                <c:pt idx="2">
                  <c:v>66245.799004346365</c:v>
                </c:pt>
                <c:pt idx="3">
                  <c:v>83522.703384679917</c:v>
                </c:pt>
                <c:pt idx="4">
                  <c:v>87868.427799365018</c:v>
                </c:pt>
                <c:pt idx="5">
                  <c:v>90518.25975953888</c:v>
                </c:pt>
                <c:pt idx="6">
                  <c:v>84900.61600397031</c:v>
                </c:pt>
                <c:pt idx="7">
                  <c:v>82144.790765389509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FC4-47EB-8BDC-21856ADA7E77}"/>
            </c:ext>
          </c:extLst>
        </c:ser>
        <c:ser>
          <c:idx val="2"/>
          <c:order val="4"/>
          <c:tx>
            <c:v>h=2000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'projekt 5'!$J$39:$J$46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</c:numCache>
            </c:numRef>
          </c:xVal>
          <c:yVal>
            <c:numRef>
              <c:f>'projekt 5'!$N$39:$N$46</c:f>
              <c:numCache>
                <c:formatCode>General</c:formatCode>
                <c:ptCount val="8"/>
                <c:pt idx="0">
                  <c:v>0</c:v>
                </c:pt>
                <c:pt idx="1">
                  <c:v>61685.429513428695</c:v>
                </c:pt>
                <c:pt idx="2">
                  <c:v>106127.38161244072</c:v>
                </c:pt>
                <c:pt idx="3">
                  <c:v>135636.83780618472</c:v>
                </c:pt>
                <c:pt idx="4">
                  <c:v>145947.37069315551</c:v>
                </c:pt>
                <c:pt idx="5">
                  <c:v>151102.6371366409</c:v>
                </c:pt>
                <c:pt idx="6">
                  <c:v>148436.12001070016</c:v>
                </c:pt>
                <c:pt idx="7">
                  <c:v>142392.01452523455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C4-47EB-8BDC-21856ADA7E77}"/>
            </c:ext>
          </c:extLst>
        </c:ser>
        <c:ser>
          <c:idx val="8"/>
          <c:order val="5"/>
          <c:tx>
            <c:v>h=2500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'projekt 5'!$Q$39:$Q$46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</c:numCache>
            </c:numRef>
          </c:xVal>
          <c:yVal>
            <c:numRef>
              <c:f>'projekt 5'!$U$39:$U$46</c:f>
              <c:numCache>
                <c:formatCode>General</c:formatCode>
                <c:ptCount val="8"/>
                <c:pt idx="0">
                  <c:v>0</c:v>
                </c:pt>
                <c:pt idx="1">
                  <c:v>33568.616012830091</c:v>
                </c:pt>
                <c:pt idx="2">
                  <c:v>57716.067313612504</c:v>
                </c:pt>
                <c:pt idx="3">
                  <c:v>72625.289139474378</c:v>
                </c:pt>
                <c:pt idx="4">
                  <c:v>75918.123407762876</c:v>
                </c:pt>
                <c:pt idx="5">
                  <c:v>78204.813871852122</c:v>
                </c:pt>
                <c:pt idx="6">
                  <c:v>72442.353902347226</c:v>
                </c:pt>
                <c:pt idx="7">
                  <c:v>70247.131056821556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FC4-47EB-8BDC-21856ADA7E77}"/>
            </c:ext>
          </c:extLst>
        </c:ser>
        <c:ser>
          <c:idx val="3"/>
          <c:order val="6"/>
          <c:tx>
            <c:v>h=3000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'projekt 5'!$J$50:$J$57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</c:numCache>
            </c:numRef>
          </c:xVal>
          <c:yVal>
            <c:numRef>
              <c:f>'projekt 5'!$N$50:$N$57</c:f>
              <c:numCache>
                <c:formatCode>General</c:formatCode>
                <c:ptCount val="8"/>
                <c:pt idx="0">
                  <c:v>0</c:v>
                </c:pt>
                <c:pt idx="1">
                  <c:v>55164.924877291349</c:v>
                </c:pt>
                <c:pt idx="2">
                  <c:v>95198.898931097079</c:v>
                </c:pt>
                <c:pt idx="3">
                  <c:v>120889.99251680706</c:v>
                </c:pt>
                <c:pt idx="4">
                  <c:v>129716.38049717367</c:v>
                </c:pt>
                <c:pt idx="5">
                  <c:v>134129.57448735696</c:v>
                </c:pt>
                <c:pt idx="6">
                  <c:v>131134.90713687544</c:v>
                </c:pt>
                <c:pt idx="7">
                  <c:v>125303.18650699037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C4-47EB-8BDC-21856ADA7E77}"/>
            </c:ext>
          </c:extLst>
        </c:ser>
        <c:ser>
          <c:idx val="9"/>
          <c:order val="7"/>
          <c:tx>
            <c:v>h=3500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'projekt 5'!$Q$50:$Q$57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</c:numCache>
            </c:numRef>
          </c:xVal>
          <c:yVal>
            <c:numRef>
              <c:f>'projekt 5'!$U$50:$U$57</c:f>
              <c:numCache>
                <c:formatCode>General</c:formatCode>
                <c:ptCount val="8"/>
                <c:pt idx="0">
                  <c:v>0</c:v>
                </c:pt>
                <c:pt idx="1">
                  <c:v>29152.218572499394</c:v>
                </c:pt>
                <c:pt idx="2">
                  <c:v>50019.892456835427</c:v>
                </c:pt>
                <c:pt idx="3">
                  <c:v>62915.645980863308</c:v>
                </c:pt>
                <c:pt idx="4">
                  <c:v>64947.704111922241</c:v>
                </c:pt>
                <c:pt idx="5">
                  <c:v>66901.606161017378</c:v>
                </c:pt>
                <c:pt idx="6">
                  <c:v>61039.900013731982</c:v>
                </c:pt>
                <c:pt idx="7">
                  <c:v>59476.778374455869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FC4-47EB-8BDC-21856ADA7E77}"/>
            </c:ext>
          </c:extLst>
        </c:ser>
        <c:ser>
          <c:idx val="4"/>
          <c:order val="8"/>
          <c:tx>
            <c:v>h=4000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'projekt 5'!$J$61:$J$68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</c:numCache>
            </c:numRef>
          </c:xVal>
          <c:yVal>
            <c:numRef>
              <c:f>'projekt 5'!$N$61:$N$68</c:f>
              <c:numCache>
                <c:formatCode>General</c:formatCode>
                <c:ptCount val="8"/>
                <c:pt idx="0">
                  <c:v>0</c:v>
                </c:pt>
                <c:pt idx="1">
                  <c:v>49340.776090144092</c:v>
                </c:pt>
                <c:pt idx="2">
                  <c:v>84782.742014050425</c:v>
                </c:pt>
                <c:pt idx="3">
                  <c:v>107576.79068668037</c:v>
                </c:pt>
                <c:pt idx="4">
                  <c:v>114665.18387146163</c:v>
                </c:pt>
                <c:pt idx="5">
                  <c:v>118417.86261634582</c:v>
                </c:pt>
                <c:pt idx="6">
                  <c:v>114109.23146481212</c:v>
                </c:pt>
                <c:pt idx="7">
                  <c:v>110078.57651660318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FC4-47EB-8BDC-21856ADA7E77}"/>
            </c:ext>
          </c:extLst>
        </c:ser>
        <c:ser>
          <c:idx val="5"/>
          <c:order val="9"/>
          <c:tx>
            <c:v>h=4500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'projekt 5'!$Q$61:$Q$68</c:f>
              <c:numCache>
                <c:formatCode>General</c:formatCode>
                <c:ptCount val="8"/>
              </c:numCache>
            </c:numRef>
          </c:xVal>
          <c:yVal>
            <c:numRef>
              <c:f>'projekt 5'!$U$61:$U$68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FC4-47EB-8BDC-21856ADA7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709855"/>
        <c:axId val="1467146191"/>
      </c:scatterChart>
      <c:valAx>
        <c:axId val="1466709855"/>
        <c:scaling>
          <c:orientation val="minMax"/>
          <c:max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67146191"/>
        <c:crosses val="autoZero"/>
        <c:crossBetween val="midCat"/>
        <c:majorUnit val="10"/>
      </c:valAx>
      <c:valAx>
        <c:axId val="1467146191"/>
        <c:scaling>
          <c:orientation val="minMax"/>
          <c:max val="2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Nr [W]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6670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859896195817814"/>
          <c:y val="3.7888874589041895E-2"/>
          <c:w val="0.17403235124205663"/>
          <c:h val="0.947252284400556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4358923884514431E-2"/>
          <c:y val="0.19721055701370663"/>
          <c:w val="0.88264107611548559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36417497812773403"/>
                  <c:y val="-0.10817002041411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 5'!$K$17:$K$24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'projekt 5'!$M$17:$M$24</c:f>
              <c:numCache>
                <c:formatCode>General</c:formatCode>
                <c:ptCount val="8"/>
                <c:pt idx="0">
                  <c:v>0</c:v>
                </c:pt>
                <c:pt idx="1">
                  <c:v>0.34200000000000003</c:v>
                </c:pt>
                <c:pt idx="2">
                  <c:v>0.59</c:v>
                </c:pt>
                <c:pt idx="3">
                  <c:v>0.754</c:v>
                </c:pt>
                <c:pt idx="4">
                  <c:v>0.81599999999999995</c:v>
                </c:pt>
                <c:pt idx="5">
                  <c:v>0.84799999999999998</c:v>
                </c:pt>
                <c:pt idx="6">
                  <c:v>0.84599999999999997</c:v>
                </c:pt>
                <c:pt idx="7">
                  <c:v>0.81399999999999995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3-4EFA-BDB1-A8E3DAF6F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040047"/>
        <c:axId val="279865567"/>
      </c:scatterChart>
      <c:valAx>
        <c:axId val="141704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9865567"/>
        <c:crosses val="autoZero"/>
        <c:crossBetween val="midCat"/>
      </c:valAx>
      <c:valAx>
        <c:axId val="27986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1704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 5'!$K$50:$K$57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'projekt 5'!$M$50:$M$57</c:f>
              <c:numCache>
                <c:formatCode>General</c:formatCode>
                <c:ptCount val="8"/>
                <c:pt idx="0">
                  <c:v>0</c:v>
                </c:pt>
                <c:pt idx="1">
                  <c:v>0.35</c:v>
                </c:pt>
                <c:pt idx="2">
                  <c:v>0.60399999999999998</c:v>
                </c:pt>
                <c:pt idx="3">
                  <c:v>0.76700000000000002</c:v>
                </c:pt>
                <c:pt idx="4">
                  <c:v>0.82299999999999995</c:v>
                </c:pt>
                <c:pt idx="5">
                  <c:v>0.85099999999999998</c:v>
                </c:pt>
                <c:pt idx="6">
                  <c:v>0.83199999999999996</c:v>
                </c:pt>
                <c:pt idx="7">
                  <c:v>0.79500000000000004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6A-4C6B-9B84-4B9767B87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38671"/>
        <c:axId val="966579199"/>
      </c:scatterChart>
      <c:valAx>
        <c:axId val="8873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6579199"/>
        <c:crosses val="autoZero"/>
        <c:crossBetween val="midCat"/>
      </c:valAx>
      <c:valAx>
        <c:axId val="96657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73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 5'!$R$17:$R$24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'projekt 5'!$T$17:$T$24</c:f>
              <c:numCache>
                <c:formatCode>General</c:formatCode>
                <c:ptCount val="8"/>
                <c:pt idx="0">
                  <c:v>0</c:v>
                </c:pt>
                <c:pt idx="1">
                  <c:v>0.35899999999999999</c:v>
                </c:pt>
                <c:pt idx="2">
                  <c:v>0.61599999999999999</c:v>
                </c:pt>
                <c:pt idx="3">
                  <c:v>0.78100000000000003</c:v>
                </c:pt>
                <c:pt idx="4">
                  <c:v>0.82699999999999996</c:v>
                </c:pt>
                <c:pt idx="5">
                  <c:v>0.85299999999999998</c:v>
                </c:pt>
                <c:pt idx="6">
                  <c:v>0.81200000000000006</c:v>
                </c:pt>
                <c:pt idx="7">
                  <c:v>0.78200000000000003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DC-4CE9-93E9-517270350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61231"/>
        <c:axId val="1676950639"/>
      </c:scatterChart>
      <c:valAx>
        <c:axId val="8876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6950639"/>
        <c:crosses val="autoZero"/>
        <c:crossBetween val="midCat"/>
      </c:valAx>
      <c:valAx>
        <c:axId val="16769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76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 5'!$K$61:$K$68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'projekt 5'!$M$61:$M$68</c:f>
              <c:numCache>
                <c:formatCode>General</c:formatCode>
                <c:ptCount val="8"/>
                <c:pt idx="0">
                  <c:v>0</c:v>
                </c:pt>
                <c:pt idx="1">
                  <c:v>0.35499999999999998</c:v>
                </c:pt>
                <c:pt idx="2">
                  <c:v>0.61</c:v>
                </c:pt>
                <c:pt idx="3">
                  <c:v>0.77400000000000002</c:v>
                </c:pt>
                <c:pt idx="4">
                  <c:v>0.82499999999999996</c:v>
                </c:pt>
                <c:pt idx="5">
                  <c:v>0.85199999999999998</c:v>
                </c:pt>
                <c:pt idx="6">
                  <c:v>0.82099999999999995</c:v>
                </c:pt>
                <c:pt idx="7">
                  <c:v>0.79200000000000004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EC-4EF8-904D-D2DEDF469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30511"/>
        <c:axId val="966574239"/>
      </c:scatterChart>
      <c:valAx>
        <c:axId val="8873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6574239"/>
        <c:crosses val="autoZero"/>
        <c:crossBetween val="midCat"/>
      </c:valAx>
      <c:valAx>
        <c:axId val="96657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73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 5'!$K$39:$K$46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'projekt 5'!$M$39:$M$46</c:f>
              <c:numCache>
                <c:formatCode>General</c:formatCode>
                <c:ptCount val="8"/>
                <c:pt idx="0">
                  <c:v>0</c:v>
                </c:pt>
                <c:pt idx="1">
                  <c:v>0.34699999999999998</c:v>
                </c:pt>
                <c:pt idx="2">
                  <c:v>0.59699999999999998</c:v>
                </c:pt>
                <c:pt idx="3">
                  <c:v>0.76300000000000001</c:v>
                </c:pt>
                <c:pt idx="4">
                  <c:v>0.82099999999999995</c:v>
                </c:pt>
                <c:pt idx="5">
                  <c:v>0.85</c:v>
                </c:pt>
                <c:pt idx="6">
                  <c:v>0.83499999999999996</c:v>
                </c:pt>
                <c:pt idx="7">
                  <c:v>0.80100000000000005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B8-4092-803E-8779A3C1C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38671"/>
        <c:axId val="795924527"/>
      </c:scatterChart>
      <c:valAx>
        <c:axId val="8873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95924527"/>
        <c:crosses val="autoZero"/>
        <c:crossBetween val="midCat"/>
      </c:valAx>
      <c:valAx>
        <c:axId val="79592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73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 5'!$K$28:$K$35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'projekt 5'!$M$28:$M$35</c:f>
              <c:numCache>
                <c:formatCode>General</c:formatCode>
                <c:ptCount val="8"/>
                <c:pt idx="0">
                  <c:v>0</c:v>
                </c:pt>
                <c:pt idx="1">
                  <c:v>0.34399999999999997</c:v>
                </c:pt>
                <c:pt idx="2">
                  <c:v>0.59299999999999997</c:v>
                </c:pt>
                <c:pt idx="3">
                  <c:v>0.75800000000000001</c:v>
                </c:pt>
                <c:pt idx="4">
                  <c:v>0.81799999999999995</c:v>
                </c:pt>
                <c:pt idx="5">
                  <c:v>0.84899999999999998</c:v>
                </c:pt>
                <c:pt idx="6">
                  <c:v>0.84099999999999997</c:v>
                </c:pt>
                <c:pt idx="7">
                  <c:v>0.80900000000000005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19-46C3-BE81-158C60A79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49231"/>
        <c:axId val="2131806895"/>
      </c:scatterChart>
      <c:valAx>
        <c:axId val="8874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31806895"/>
        <c:crosses val="autoZero"/>
        <c:crossBetween val="midCat"/>
      </c:valAx>
      <c:valAx>
        <c:axId val="213180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74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 5'!$R$39:$R$46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'projekt 5'!$T$39:$T$46</c:f>
              <c:numCache>
                <c:formatCode>General</c:formatCode>
                <c:ptCount val="8"/>
                <c:pt idx="0">
                  <c:v>0</c:v>
                </c:pt>
                <c:pt idx="1">
                  <c:v>0.36699999999999999</c:v>
                </c:pt>
                <c:pt idx="2">
                  <c:v>0.63100000000000001</c:v>
                </c:pt>
                <c:pt idx="3">
                  <c:v>0.79400000000000004</c:v>
                </c:pt>
                <c:pt idx="4">
                  <c:v>0.83</c:v>
                </c:pt>
                <c:pt idx="5">
                  <c:v>0.85499999999999998</c:v>
                </c:pt>
                <c:pt idx="6">
                  <c:v>0.79200000000000004</c:v>
                </c:pt>
                <c:pt idx="7">
                  <c:v>0.76800000000000002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A-45F4-8C1E-22D64A0C9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37231"/>
        <c:axId val="1671242975"/>
      </c:scatterChart>
      <c:valAx>
        <c:axId val="8873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1242975"/>
        <c:crosses val="autoZero"/>
        <c:crossBetween val="midCat"/>
      </c:valAx>
      <c:valAx>
        <c:axId val="167124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73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 5'!$R$28:$R$35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'projekt 5'!$T$28:$T$35</c:f>
              <c:numCache>
                <c:formatCode>General</c:formatCode>
                <c:ptCount val="8"/>
                <c:pt idx="0">
                  <c:v>0</c:v>
                </c:pt>
                <c:pt idx="1">
                  <c:v>0.36399999999999999</c:v>
                </c:pt>
                <c:pt idx="2">
                  <c:v>0.625</c:v>
                </c:pt>
                <c:pt idx="3">
                  <c:v>0.78800000000000003</c:v>
                </c:pt>
                <c:pt idx="4">
                  <c:v>0.82899999999999996</c:v>
                </c:pt>
                <c:pt idx="5">
                  <c:v>0.85399999999999998</c:v>
                </c:pt>
                <c:pt idx="6">
                  <c:v>0.80100000000000005</c:v>
                </c:pt>
                <c:pt idx="7">
                  <c:v>0.77500000000000002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3B-49A2-844B-7154F7C00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477439"/>
        <c:axId val="1671182959"/>
      </c:scatterChart>
      <c:valAx>
        <c:axId val="212747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1182959"/>
        <c:crosses val="autoZero"/>
        <c:crossBetween val="midCat"/>
      </c:valAx>
      <c:valAx>
        <c:axId val="167118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747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 5'!$R$50:$R$57</c:f>
              <c:numCache>
                <c:formatCode>General</c:formatCode>
                <c:ptCount val="8"/>
                <c:pt idx="0">
                  <c:v>0</c:v>
                </c:pt>
                <c:pt idx="1">
                  <c:v>0.25299145299145298</c:v>
                </c:pt>
                <c:pt idx="2">
                  <c:v>0.50598290598290596</c:v>
                </c:pt>
                <c:pt idx="3">
                  <c:v>0.75897435897435905</c:v>
                </c:pt>
                <c:pt idx="4">
                  <c:v>1.0119658119658119</c:v>
                </c:pt>
                <c:pt idx="5">
                  <c:v>1.2649572649572651</c:v>
                </c:pt>
                <c:pt idx="6">
                  <c:v>1.5179487179487181</c:v>
                </c:pt>
                <c:pt idx="7">
                  <c:v>1.7709401709401711</c:v>
                </c:pt>
              </c:numCache>
            </c:numRef>
          </c:xVal>
          <c:yVal>
            <c:numRef>
              <c:f>'projekt 5'!$T$50:$T$57</c:f>
              <c:numCache>
                <c:formatCode>General</c:formatCode>
                <c:ptCount val="8"/>
                <c:pt idx="0">
                  <c:v>0</c:v>
                </c:pt>
                <c:pt idx="1">
                  <c:v>0.373</c:v>
                </c:pt>
                <c:pt idx="2">
                  <c:v>0.64</c:v>
                </c:pt>
                <c:pt idx="3">
                  <c:v>0.80500000000000005</c:v>
                </c:pt>
                <c:pt idx="4">
                  <c:v>0.83099999999999996</c:v>
                </c:pt>
                <c:pt idx="5">
                  <c:v>0.85599999999999998</c:v>
                </c:pt>
                <c:pt idx="6">
                  <c:v>0.78100000000000003</c:v>
                </c:pt>
                <c:pt idx="7">
                  <c:v>0.76100000000000001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A8-4CA5-9030-4625A409A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935711"/>
        <c:axId val="954464607"/>
      </c:scatterChart>
      <c:valAx>
        <c:axId val="107293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4464607"/>
        <c:crosses val="autoZero"/>
        <c:crossBetween val="midCat"/>
      </c:valAx>
      <c:valAx>
        <c:axId val="95446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7293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</xdr:colOff>
      <xdr:row>45</xdr:row>
      <xdr:rowOff>80010</xdr:rowOff>
    </xdr:from>
    <xdr:to>
      <xdr:col>18</xdr:col>
      <xdr:colOff>579120</xdr:colOff>
      <xdr:row>60</xdr:row>
      <xdr:rowOff>80010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DAC7E1D-5634-E89C-5204-30E1C8E47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171450</xdr:colOff>
      <xdr:row>45</xdr:row>
      <xdr:rowOff>95250</xdr:rowOff>
    </xdr:from>
    <xdr:to>
      <xdr:col>10</xdr:col>
      <xdr:colOff>704850</xdr:colOff>
      <xdr:row>60</xdr:row>
      <xdr:rowOff>156210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5354250-5FD1-1801-8A85-11C130C37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320040</xdr:colOff>
      <xdr:row>60</xdr:row>
      <xdr:rowOff>110490</xdr:rowOff>
    </xdr:from>
    <xdr:to>
      <xdr:col>10</xdr:col>
      <xdr:colOff>419100</xdr:colOff>
      <xdr:row>74</xdr:row>
      <xdr:rowOff>186690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8124D42-79B4-4CC7-670B-3C9369BAF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361950</xdr:colOff>
      <xdr:row>74</xdr:row>
      <xdr:rowOff>186690</xdr:rowOff>
    </xdr:from>
    <xdr:to>
      <xdr:col>10</xdr:col>
      <xdr:colOff>461010</xdr:colOff>
      <xdr:row>89</xdr:row>
      <xdr:rowOff>72390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727F4E6-AECB-F022-151B-03125AD15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369570</xdr:colOff>
      <xdr:row>89</xdr:row>
      <xdr:rowOff>102870</xdr:rowOff>
    </xdr:from>
    <xdr:to>
      <xdr:col>10</xdr:col>
      <xdr:colOff>468630</xdr:colOff>
      <xdr:row>103</xdr:row>
      <xdr:rowOff>179070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3ECED905-D80A-0BDD-EDCD-03179A027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61</xdr:row>
      <xdr:rowOff>0</xdr:rowOff>
    </xdr:from>
    <xdr:to>
      <xdr:col>18</xdr:col>
      <xdr:colOff>304800</xdr:colOff>
      <xdr:row>75</xdr:row>
      <xdr:rowOff>76200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A017BB60-2B95-432A-819B-82C736AF6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441960</xdr:colOff>
      <xdr:row>103</xdr:row>
      <xdr:rowOff>167640</xdr:rowOff>
    </xdr:from>
    <xdr:to>
      <xdr:col>10</xdr:col>
      <xdr:colOff>541020</xdr:colOff>
      <xdr:row>118</xdr:row>
      <xdr:rowOff>53340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C51E96ED-378B-4C96-A0B8-89D4636DC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375173</xdr:colOff>
      <xdr:row>23</xdr:row>
      <xdr:rowOff>163381</xdr:rowOff>
    </xdr:from>
    <xdr:to>
      <xdr:col>8</xdr:col>
      <xdr:colOff>70373</xdr:colOff>
      <xdr:row>38</xdr:row>
      <xdr:rowOff>163381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EF85FE7-B0DF-B40A-A940-5270164F7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197000</xdr:colOff>
      <xdr:row>23</xdr:row>
      <xdr:rowOff>19947</xdr:rowOff>
    </xdr:from>
    <xdr:to>
      <xdr:col>16</xdr:col>
      <xdr:colOff>132230</xdr:colOff>
      <xdr:row>39</xdr:row>
      <xdr:rowOff>46617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159093F-E5D7-D43E-CB80-6373AF55A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0</xdr:row>
      <xdr:rowOff>140970</xdr:rowOff>
    </xdr:from>
    <xdr:to>
      <xdr:col>11</xdr:col>
      <xdr:colOff>472440</xdr:colOff>
      <xdr:row>12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C8DCC62-1FD4-2DF5-9ADC-9AEDD74D8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533399</xdr:colOff>
      <xdr:row>0</xdr:row>
      <xdr:rowOff>64770</xdr:rowOff>
    </xdr:from>
    <xdr:to>
      <xdr:col>19</xdr:col>
      <xdr:colOff>358588</xdr:colOff>
      <xdr:row>12</xdr:row>
      <xdr:rowOff>62753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B557D44-8086-6321-CABF-C1077965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358588</xdr:colOff>
      <xdr:row>13</xdr:row>
      <xdr:rowOff>62753</xdr:rowOff>
    </xdr:from>
    <xdr:to>
      <xdr:col>7</xdr:col>
      <xdr:colOff>313766</xdr:colOff>
      <xdr:row>24</xdr:row>
      <xdr:rowOff>152400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628B0734-8ABA-1843-9A99-0043C1036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564777</xdr:colOff>
      <xdr:row>47</xdr:row>
      <xdr:rowOff>17930</xdr:rowOff>
    </xdr:from>
    <xdr:to>
      <xdr:col>7</xdr:col>
      <xdr:colOff>515472</xdr:colOff>
      <xdr:row>57</xdr:row>
      <xdr:rowOff>17930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613848B4-BCDD-4E46-B96E-36F46044C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44824</xdr:colOff>
      <xdr:row>13</xdr:row>
      <xdr:rowOff>143435</xdr:rowOff>
    </xdr:from>
    <xdr:to>
      <xdr:col>27</xdr:col>
      <xdr:colOff>138952</xdr:colOff>
      <xdr:row>24</xdr:row>
      <xdr:rowOff>98612</xdr:rowOff>
    </xdr:to>
    <xdr:graphicFrame macro="">
      <xdr:nvGraphicFramePr>
        <xdr:cNvPr id="18" name="Wykres 17">
          <a:extLst>
            <a:ext uri="{FF2B5EF4-FFF2-40B4-BE49-F238E27FC236}">
              <a16:creationId xmlns:a16="http://schemas.microsoft.com/office/drawing/2014/main" id="{1C49FACD-96E6-4DCB-857B-DFD2ECB30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546847</xdr:colOff>
      <xdr:row>58</xdr:row>
      <xdr:rowOff>26894</xdr:rowOff>
    </xdr:from>
    <xdr:to>
      <xdr:col>7</xdr:col>
      <xdr:colOff>560295</xdr:colOff>
      <xdr:row>68</xdr:row>
      <xdr:rowOff>107576</xdr:rowOff>
    </xdr:to>
    <xdr:graphicFrame macro="">
      <xdr:nvGraphicFramePr>
        <xdr:cNvPr id="19" name="Wykres 18">
          <a:extLst>
            <a:ext uri="{FF2B5EF4-FFF2-40B4-BE49-F238E27FC236}">
              <a16:creationId xmlns:a16="http://schemas.microsoft.com/office/drawing/2014/main" id="{786111B1-2DF6-4150-B46E-1495117D6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36</xdr:row>
      <xdr:rowOff>0</xdr:rowOff>
    </xdr:from>
    <xdr:to>
      <xdr:col>7</xdr:col>
      <xdr:colOff>600635</xdr:colOff>
      <xdr:row>46</xdr:row>
      <xdr:rowOff>53789</xdr:rowOff>
    </xdr:to>
    <xdr:graphicFrame macro="">
      <xdr:nvGraphicFramePr>
        <xdr:cNvPr id="20" name="Wykres 19">
          <a:extLst>
            <a:ext uri="{FF2B5EF4-FFF2-40B4-BE49-F238E27FC236}">
              <a16:creationId xmlns:a16="http://schemas.microsoft.com/office/drawing/2014/main" id="{760A8EAB-7D46-4B22-BB14-DB2FB5D39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25</xdr:row>
      <xdr:rowOff>0</xdr:rowOff>
    </xdr:from>
    <xdr:to>
      <xdr:col>8</xdr:col>
      <xdr:colOff>17929</xdr:colOff>
      <xdr:row>36</xdr:row>
      <xdr:rowOff>26894</xdr:rowOff>
    </xdr:to>
    <xdr:graphicFrame macro="">
      <xdr:nvGraphicFramePr>
        <xdr:cNvPr id="21" name="Wykres 20">
          <a:extLst>
            <a:ext uri="{FF2B5EF4-FFF2-40B4-BE49-F238E27FC236}">
              <a16:creationId xmlns:a16="http://schemas.microsoft.com/office/drawing/2014/main" id="{F479B08C-D702-4263-BA3F-7D54B62B3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313765</xdr:colOff>
      <xdr:row>36</xdr:row>
      <xdr:rowOff>0</xdr:rowOff>
    </xdr:from>
    <xdr:to>
      <xdr:col>27</xdr:col>
      <xdr:colOff>354105</xdr:colOff>
      <xdr:row>46</xdr:row>
      <xdr:rowOff>1</xdr:rowOff>
    </xdr:to>
    <xdr:graphicFrame macro="">
      <xdr:nvGraphicFramePr>
        <xdr:cNvPr id="22" name="Wykres 21">
          <a:extLst>
            <a:ext uri="{FF2B5EF4-FFF2-40B4-BE49-F238E27FC236}">
              <a16:creationId xmlns:a16="http://schemas.microsoft.com/office/drawing/2014/main" id="{8D52F31B-D01E-48AF-9032-17C2345E3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224117</xdr:colOff>
      <xdr:row>24</xdr:row>
      <xdr:rowOff>179294</xdr:rowOff>
    </xdr:from>
    <xdr:to>
      <xdr:col>27</xdr:col>
      <xdr:colOff>156882</xdr:colOff>
      <xdr:row>34</xdr:row>
      <xdr:rowOff>71716</xdr:rowOff>
    </xdr:to>
    <xdr:graphicFrame macro="">
      <xdr:nvGraphicFramePr>
        <xdr:cNvPr id="23" name="Wykres 22">
          <a:extLst>
            <a:ext uri="{FF2B5EF4-FFF2-40B4-BE49-F238E27FC236}">
              <a16:creationId xmlns:a16="http://schemas.microsoft.com/office/drawing/2014/main" id="{7B04FA17-7736-4943-855B-7F3171C12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313765</xdr:colOff>
      <xdr:row>46</xdr:row>
      <xdr:rowOff>179295</xdr:rowOff>
    </xdr:from>
    <xdr:to>
      <xdr:col>26</xdr:col>
      <xdr:colOff>407895</xdr:colOff>
      <xdr:row>56</xdr:row>
      <xdr:rowOff>89649</xdr:rowOff>
    </xdr:to>
    <xdr:graphicFrame macro="">
      <xdr:nvGraphicFramePr>
        <xdr:cNvPr id="24" name="Wykres 23">
          <a:extLst>
            <a:ext uri="{FF2B5EF4-FFF2-40B4-BE49-F238E27FC236}">
              <a16:creationId xmlns:a16="http://schemas.microsoft.com/office/drawing/2014/main" id="{5B9F7053-66CF-498E-821B-2FC2ECCD6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z_a_1" connectionId="3" xr16:uid="{A8E7374A-9144-4A67-8B4B-EE38FBB7C40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x(Cz)" connectionId="1" xr16:uid="{69BDD63A-D12F-4AFB-B397-40DDA203CD71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z(a)" connectionId="2" xr16:uid="{FE2610C2-DB44-4343-BE50-A015197361A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74FF-3B14-4C31-BFE0-72903642C0C0}">
  <dimension ref="A1:D111"/>
  <sheetViews>
    <sheetView tabSelected="1" workbookViewId="0"/>
  </sheetViews>
  <sheetFormatPr defaultRowHeight="14.4" x14ac:dyDescent="0.3"/>
  <cols>
    <col min="1" max="1" width="61.21875" style="18" customWidth="1"/>
    <col min="2" max="2" width="11.109375" style="5" customWidth="1"/>
    <col min="3" max="3" width="13.109375" style="5" customWidth="1"/>
    <col min="4" max="4" width="8.88671875" style="5"/>
  </cols>
  <sheetData>
    <row r="1" spans="1:4" x14ac:dyDescent="0.3">
      <c r="A1" s="19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8" t="s">
        <v>10</v>
      </c>
      <c r="B2" s="5" t="s">
        <v>4</v>
      </c>
      <c r="C2" s="5">
        <v>12.4</v>
      </c>
      <c r="D2" s="5" t="s">
        <v>21</v>
      </c>
    </row>
    <row r="3" spans="1:4" ht="15.6" x14ac:dyDescent="0.35">
      <c r="A3" s="18" t="s">
        <v>11</v>
      </c>
      <c r="B3" s="5" t="s">
        <v>62</v>
      </c>
      <c r="C3" s="5">
        <v>3.96</v>
      </c>
      <c r="D3" s="5" t="s">
        <v>21</v>
      </c>
    </row>
    <row r="4" spans="1:4" ht="15.6" x14ac:dyDescent="0.35">
      <c r="A4" s="18" t="s">
        <v>109</v>
      </c>
      <c r="B4" s="5" t="s">
        <v>110</v>
      </c>
      <c r="C4" s="5">
        <v>9.94</v>
      </c>
      <c r="D4" s="5" t="s">
        <v>21</v>
      </c>
    </row>
    <row r="5" spans="1:4" ht="16.2" x14ac:dyDescent="0.3">
      <c r="A5" s="18" t="s">
        <v>12</v>
      </c>
      <c r="B5" s="5" t="s">
        <v>5</v>
      </c>
      <c r="C5" s="5">
        <v>21.3</v>
      </c>
      <c r="D5" s="5" t="s">
        <v>90</v>
      </c>
    </row>
    <row r="6" spans="1:4" ht="15.6" x14ac:dyDescent="0.35">
      <c r="A6" s="18" t="s">
        <v>13</v>
      </c>
      <c r="B6" s="5" t="s">
        <v>60</v>
      </c>
      <c r="C6" s="5">
        <v>1783</v>
      </c>
      <c r="D6" s="5" t="s">
        <v>23</v>
      </c>
    </row>
    <row r="7" spans="1:4" ht="15.6" x14ac:dyDescent="0.35">
      <c r="A7" s="18" t="s">
        <v>14</v>
      </c>
      <c r="B7" s="5" t="s">
        <v>61</v>
      </c>
      <c r="C7" s="5">
        <v>2948</v>
      </c>
      <c r="D7" s="5" t="s">
        <v>23</v>
      </c>
    </row>
    <row r="8" spans="1:4" ht="15.6" x14ac:dyDescent="0.35">
      <c r="A8" s="18" t="s">
        <v>15</v>
      </c>
      <c r="B8" s="5" t="s">
        <v>59</v>
      </c>
      <c r="C8" s="5">
        <v>550</v>
      </c>
      <c r="D8" s="5" t="s">
        <v>23</v>
      </c>
    </row>
    <row r="9" spans="1:4" x14ac:dyDescent="0.3">
      <c r="A9" s="18" t="s">
        <v>16</v>
      </c>
      <c r="B9" s="5" t="s">
        <v>6</v>
      </c>
      <c r="C9" s="5">
        <v>223000</v>
      </c>
      <c r="D9" s="5" t="s">
        <v>24</v>
      </c>
    </row>
    <row r="10" spans="1:4" ht="15.6" x14ac:dyDescent="0.35">
      <c r="A10" s="18" t="s">
        <v>17</v>
      </c>
      <c r="B10" s="5" t="s">
        <v>66</v>
      </c>
      <c r="C10" s="5">
        <v>2575</v>
      </c>
      <c r="D10" s="5" t="s">
        <v>25</v>
      </c>
    </row>
    <row r="11" spans="1:4" ht="16.2" x14ac:dyDescent="0.3">
      <c r="A11" s="18" t="s">
        <v>18</v>
      </c>
      <c r="B11" s="5" t="s">
        <v>7</v>
      </c>
      <c r="C11" s="5">
        <v>5.2999999999999999E-2</v>
      </c>
      <c r="D11" s="5" t="s">
        <v>91</v>
      </c>
    </row>
    <row r="12" spans="1:4" ht="15.6" x14ac:dyDescent="0.35">
      <c r="A12" s="18" t="s">
        <v>19</v>
      </c>
      <c r="B12" s="5" t="s">
        <v>57</v>
      </c>
      <c r="C12" s="5">
        <v>117</v>
      </c>
      <c r="D12" s="5" t="s">
        <v>26</v>
      </c>
    </row>
    <row r="13" spans="1:4" ht="15.6" x14ac:dyDescent="0.35">
      <c r="A13" s="18" t="s">
        <v>20</v>
      </c>
      <c r="B13" s="5" t="s">
        <v>58</v>
      </c>
      <c r="C13" s="5">
        <v>7.34</v>
      </c>
      <c r="D13" s="5" t="s">
        <v>26</v>
      </c>
    </row>
    <row r="14" spans="1:4" ht="16.2" x14ac:dyDescent="0.3">
      <c r="A14" s="18" t="s">
        <v>45</v>
      </c>
      <c r="B14" s="5" t="s">
        <v>46</v>
      </c>
      <c r="C14" s="5">
        <v>9.81</v>
      </c>
      <c r="D14" s="5" t="s">
        <v>92</v>
      </c>
    </row>
    <row r="15" spans="1:4" x14ac:dyDescent="0.3">
      <c r="A15" s="20" t="s">
        <v>9</v>
      </c>
      <c r="B15" s="6" t="s">
        <v>8</v>
      </c>
      <c r="C15" s="6">
        <v>8000</v>
      </c>
      <c r="D15" s="6" t="s">
        <v>21</v>
      </c>
    </row>
    <row r="16" spans="1:4" ht="15.6" x14ac:dyDescent="0.35">
      <c r="A16" s="18" t="s">
        <v>27</v>
      </c>
      <c r="B16" s="5" t="s">
        <v>63</v>
      </c>
      <c r="C16" s="5">
        <v>2.5</v>
      </c>
      <c r="D16" s="5" t="s">
        <v>21</v>
      </c>
    </row>
    <row r="17" spans="1:4" ht="15.6" x14ac:dyDescent="0.35">
      <c r="A17" s="18" t="s">
        <v>28</v>
      </c>
      <c r="B17" s="5" t="s">
        <v>64</v>
      </c>
      <c r="C17" s="5">
        <v>0.94</v>
      </c>
      <c r="D17" s="5" t="s">
        <v>21</v>
      </c>
    </row>
    <row r="18" spans="1:4" ht="15.6" x14ac:dyDescent="0.35">
      <c r="A18" s="18" t="s">
        <v>29</v>
      </c>
      <c r="B18" s="5" t="s">
        <v>65</v>
      </c>
      <c r="C18" s="5">
        <v>4.92</v>
      </c>
      <c r="D18" s="7" t="s">
        <v>95</v>
      </c>
    </row>
    <row r="19" spans="1:4" x14ac:dyDescent="0.3">
      <c r="A19" s="18" t="s">
        <v>31</v>
      </c>
      <c r="B19" s="5" t="s">
        <v>55</v>
      </c>
      <c r="C19" s="5">
        <f>C17/C16</f>
        <v>0.376</v>
      </c>
      <c r="D19" s="5" t="s">
        <v>40</v>
      </c>
    </row>
    <row r="20" spans="1:4" x14ac:dyDescent="0.3">
      <c r="A20" s="18" t="s">
        <v>32</v>
      </c>
      <c r="B20" s="5" t="s">
        <v>54</v>
      </c>
      <c r="C20" s="12">
        <f>C2*C2/C5</f>
        <v>7.2187793427230051</v>
      </c>
      <c r="D20" s="5" t="s">
        <v>40</v>
      </c>
    </row>
    <row r="21" spans="1:4" ht="15.6" x14ac:dyDescent="0.35">
      <c r="A21" s="18" t="s">
        <v>33</v>
      </c>
      <c r="B21" s="5" t="s">
        <v>67</v>
      </c>
      <c r="C21" s="12">
        <f>2*C16*(1+C19+C19^2)/(3+3*C19)</f>
        <v>1.8379069767441858</v>
      </c>
      <c r="D21" s="5" t="s">
        <v>21</v>
      </c>
    </row>
    <row r="22" spans="1:4" ht="15.6" x14ac:dyDescent="0.35">
      <c r="A22" s="18" t="s">
        <v>30</v>
      </c>
      <c r="B22" s="5" t="s">
        <v>68</v>
      </c>
      <c r="C22" s="11">
        <f>C2*TAN(RADIANS(C18))*(1+2*C19)/(6+6*C19)</f>
        <v>0.22651546835211733</v>
      </c>
      <c r="D22" s="5" t="s">
        <v>21</v>
      </c>
    </row>
    <row r="23" spans="1:4" ht="16.2" x14ac:dyDescent="0.3">
      <c r="A23" s="18" t="s">
        <v>34</v>
      </c>
      <c r="B23" s="8" t="s">
        <v>56</v>
      </c>
      <c r="C23" s="5">
        <v>1.2250000000000001</v>
      </c>
      <c r="D23" s="5" t="s">
        <v>93</v>
      </c>
    </row>
    <row r="24" spans="1:4" ht="15.6" x14ac:dyDescent="0.35">
      <c r="A24" s="18" t="s">
        <v>36</v>
      </c>
      <c r="B24" s="5" t="s">
        <v>69</v>
      </c>
      <c r="C24" s="5">
        <v>3000000</v>
      </c>
      <c r="D24" s="5" t="s">
        <v>40</v>
      </c>
    </row>
    <row r="25" spans="1:4" ht="15.6" x14ac:dyDescent="0.35">
      <c r="A25" s="18" t="s">
        <v>37</v>
      </c>
      <c r="B25" s="5" t="s">
        <v>70</v>
      </c>
      <c r="C25" s="5">
        <v>1.55</v>
      </c>
      <c r="D25" s="5" t="s">
        <v>40</v>
      </c>
    </row>
    <row r="26" spans="1:4" ht="16.2" x14ac:dyDescent="0.3">
      <c r="A26" s="18" t="s">
        <v>35</v>
      </c>
      <c r="B26" s="8" t="s">
        <v>72</v>
      </c>
      <c r="C26" s="5">
        <f>1.4607*10^-5</f>
        <v>1.4607000000000003E-5</v>
      </c>
      <c r="D26" s="5" t="s">
        <v>94</v>
      </c>
    </row>
    <row r="27" spans="1:4" ht="15.6" x14ac:dyDescent="0.35">
      <c r="A27" s="18" t="s">
        <v>41</v>
      </c>
      <c r="B27" s="5" t="s">
        <v>71</v>
      </c>
      <c r="C27" s="13">
        <f>SQRT(2*C7*C14/C23/C5/C25)</f>
        <v>37.817215290033488</v>
      </c>
      <c r="D27" s="5" t="s">
        <v>26</v>
      </c>
    </row>
    <row r="28" spans="1:4" x14ac:dyDescent="0.3">
      <c r="A28" s="18" t="s">
        <v>38</v>
      </c>
      <c r="B28" s="5" t="s">
        <v>39</v>
      </c>
      <c r="C28" s="14">
        <f>C27*C21/C26</f>
        <v>4758302.445580163</v>
      </c>
      <c r="D28" s="5" t="s">
        <v>40</v>
      </c>
    </row>
    <row r="29" spans="1:4" ht="15.6" x14ac:dyDescent="0.35">
      <c r="A29" s="18" t="s">
        <v>42</v>
      </c>
      <c r="B29" s="5" t="s">
        <v>73</v>
      </c>
      <c r="C29" s="5">
        <v>0.26400000000000001</v>
      </c>
      <c r="D29" s="5" t="s">
        <v>40</v>
      </c>
    </row>
    <row r="30" spans="1:4" ht="15.6" x14ac:dyDescent="0.35">
      <c r="A30" s="18" t="s">
        <v>43</v>
      </c>
      <c r="B30" s="5" t="s">
        <v>74</v>
      </c>
      <c r="C30" s="5">
        <v>-3.9E-2</v>
      </c>
      <c r="D30" s="5" t="s">
        <v>40</v>
      </c>
    </row>
    <row r="31" spans="1:4" ht="15.6" x14ac:dyDescent="0.35">
      <c r="A31" s="18" t="s">
        <v>47</v>
      </c>
      <c r="B31" s="5" t="s">
        <v>75</v>
      </c>
      <c r="C31" s="5">
        <v>-7.0000000000000007E-2</v>
      </c>
      <c r="D31" s="5" t="s">
        <v>40</v>
      </c>
    </row>
    <row r="32" spans="1:4" ht="15.6" x14ac:dyDescent="0.35">
      <c r="A32" s="20" t="s">
        <v>44</v>
      </c>
      <c r="B32" s="6" t="s">
        <v>76</v>
      </c>
      <c r="C32" s="16">
        <v>6.1342999999999996</v>
      </c>
      <c r="D32" s="6" t="s">
        <v>89</v>
      </c>
    </row>
    <row r="33" spans="1:4" ht="15.6" x14ac:dyDescent="0.35">
      <c r="A33" s="18" t="s">
        <v>260</v>
      </c>
      <c r="B33" s="5" t="s">
        <v>88</v>
      </c>
      <c r="C33" s="11">
        <f>MIN('projekty 2 i 3'!C3:C50)</f>
        <v>5.2664104991834203E-3</v>
      </c>
      <c r="D33" s="5" t="s">
        <v>40</v>
      </c>
    </row>
    <row r="34" spans="1:4" ht="15.6" x14ac:dyDescent="0.35">
      <c r="A34" s="18" t="s">
        <v>261</v>
      </c>
      <c r="B34" s="5" t="s">
        <v>86</v>
      </c>
      <c r="C34" s="11">
        <f>'projekty 2 i 3'!B26</f>
        <v>0.25833785387249503</v>
      </c>
      <c r="D34" s="5" t="s">
        <v>40</v>
      </c>
    </row>
    <row r="35" spans="1:4" ht="15.6" x14ac:dyDescent="0.35">
      <c r="A35" s="18" t="s">
        <v>259</v>
      </c>
      <c r="B35" s="5" t="s">
        <v>87</v>
      </c>
      <c r="C35" s="11">
        <f>C33*(C28/10^7)^0.11</f>
        <v>4.8532697733689517E-3</v>
      </c>
      <c r="D35" s="5" t="s">
        <v>40</v>
      </c>
    </row>
    <row r="36" spans="1:4" ht="15.6" x14ac:dyDescent="0.35">
      <c r="A36" s="18" t="s">
        <v>257</v>
      </c>
      <c r="B36" s="5" t="s">
        <v>85</v>
      </c>
      <c r="C36" s="11">
        <f>MAX('projekty 2 i 3'!B3:B50)</f>
        <v>1.64889249617582</v>
      </c>
      <c r="D36" s="5" t="s">
        <v>40</v>
      </c>
    </row>
    <row r="37" spans="1:4" ht="15.6" x14ac:dyDescent="0.35">
      <c r="A37" s="18" t="s">
        <v>258</v>
      </c>
      <c r="B37" s="5" t="s">
        <v>84</v>
      </c>
      <c r="C37" s="11">
        <f>MIN('projekty 2 i 3'!J3:J44)</f>
        <v>4.9179980007711425E-3</v>
      </c>
      <c r="D37" s="5" t="s">
        <v>40</v>
      </c>
    </row>
    <row r="38" spans="1:4" ht="15.6" x14ac:dyDescent="0.35">
      <c r="A38" s="18" t="s">
        <v>253</v>
      </c>
      <c r="B38" s="5" t="s">
        <v>77</v>
      </c>
      <c r="C38" s="11">
        <f>0.15*C37</f>
        <v>7.3769970011567136E-4</v>
      </c>
      <c r="D38" s="5" t="s">
        <v>40</v>
      </c>
    </row>
    <row r="39" spans="1:4" ht="15.6" x14ac:dyDescent="0.35">
      <c r="A39" s="18" t="s">
        <v>103</v>
      </c>
      <c r="B39" s="5" t="s">
        <v>78</v>
      </c>
      <c r="C39" s="12">
        <f>DEGREES(ATAN(TAN(RADIANS(C18))+C16/2/C2*(C19-1)))</f>
        <v>1.3278015181666558</v>
      </c>
      <c r="D39" s="5" t="s">
        <v>95</v>
      </c>
    </row>
    <row r="40" spans="1:4" ht="15.6" x14ac:dyDescent="0.35">
      <c r="A40" s="18" t="s">
        <v>98</v>
      </c>
      <c r="B40" s="5" t="s">
        <v>79</v>
      </c>
      <c r="C40" s="11">
        <f>0.023*(C20/C32)^3-0.103*(C20/C32)^2+0.25*(C20/C32)</f>
        <v>0.18904163724335937</v>
      </c>
      <c r="D40" s="5" t="s">
        <v>40</v>
      </c>
    </row>
    <row r="41" spans="1:4" ht="15.6" x14ac:dyDescent="0.35">
      <c r="A41" s="18" t="s">
        <v>99</v>
      </c>
      <c r="B41" s="5" t="s">
        <v>80</v>
      </c>
      <c r="C41" s="9">
        <f>-0.18*C19^5+1.52*C19^4-3.51*C19^3+3.5*C19^2-1.33*C19+0.17</f>
        <v>7.1813818774323079E-3</v>
      </c>
      <c r="D41" s="5" t="s">
        <v>40</v>
      </c>
    </row>
    <row r="42" spans="1:4" ht="15.6" x14ac:dyDescent="0.35">
      <c r="A42" s="18" t="s">
        <v>100</v>
      </c>
      <c r="B42" s="5" t="s">
        <v>81</v>
      </c>
      <c r="C42" s="9">
        <f>0.0537*C20/C32-0.005</f>
        <v>5.8193591885663469E-2</v>
      </c>
      <c r="D42" s="5" t="s">
        <v>40</v>
      </c>
    </row>
    <row r="43" spans="1:4" ht="15.6" x14ac:dyDescent="0.35">
      <c r="A43" s="18" t="s">
        <v>101</v>
      </c>
      <c r="B43" s="5" t="s">
        <v>82</v>
      </c>
      <c r="C43" s="9">
        <f>-0.43*C19^5+1.83*C19^4-3.06*C19^3+2.56*C19^2-C19+0.148</f>
        <v>4.6059905266483125E-3</v>
      </c>
      <c r="D43" s="5" t="s">
        <v>40</v>
      </c>
    </row>
    <row r="44" spans="1:4" ht="15.6" x14ac:dyDescent="0.35">
      <c r="A44" s="18" t="s">
        <v>102</v>
      </c>
      <c r="B44" s="5" t="s">
        <v>83</v>
      </c>
      <c r="C44" s="11">
        <f>1+C39^3*(-2.2*(10^(-7))*C20^3+(10^(-7))*C20^2+1.6*(10^(-5)))</f>
        <v>0.9998559175130306</v>
      </c>
      <c r="D44" s="5" t="s">
        <v>40</v>
      </c>
    </row>
    <row r="45" spans="1:4" x14ac:dyDescent="0.3">
      <c r="A45" s="18" t="s">
        <v>97</v>
      </c>
      <c r="B45" s="5" t="s">
        <v>52</v>
      </c>
      <c r="C45" s="9">
        <f>C42*C43*C44/0.048</f>
        <v>5.5833440248359446E-3</v>
      </c>
      <c r="D45" s="5" t="s">
        <v>40</v>
      </c>
    </row>
    <row r="46" spans="1:4" x14ac:dyDescent="0.3">
      <c r="A46" s="18" t="s">
        <v>96</v>
      </c>
      <c r="B46" s="5" t="s">
        <v>53</v>
      </c>
      <c r="C46" s="9">
        <f>C40*C41/0.17</f>
        <v>7.9857658104681966E-3</v>
      </c>
      <c r="D46" s="5" t="s">
        <v>40</v>
      </c>
    </row>
    <row r="47" spans="1:4" ht="15.6" x14ac:dyDescent="0.35">
      <c r="A47" s="18" t="s">
        <v>254</v>
      </c>
      <c r="B47" s="5" t="s">
        <v>104</v>
      </c>
      <c r="C47" s="11">
        <f>C32/(1+C32/PI()/C20*(1+C46))</f>
        <v>4.8200991517298348</v>
      </c>
      <c r="D47" s="5" t="s">
        <v>89</v>
      </c>
    </row>
    <row r="48" spans="1:4" ht="15.6" x14ac:dyDescent="0.35">
      <c r="A48" s="18" t="s">
        <v>255</v>
      </c>
      <c r="B48" s="5" t="s">
        <v>105</v>
      </c>
      <c r="C48" s="7">
        <v>4.8224</v>
      </c>
      <c r="D48" s="5" t="s">
        <v>89</v>
      </c>
    </row>
    <row r="49" spans="1:4" x14ac:dyDescent="0.3">
      <c r="A49" s="20" t="s">
        <v>256</v>
      </c>
      <c r="B49" s="6" t="s">
        <v>106</v>
      </c>
      <c r="C49" s="16">
        <f>ABS(C48-C47)/C48*100</f>
        <v>4.7711684434414196E-2</v>
      </c>
      <c r="D49" s="6" t="s">
        <v>107</v>
      </c>
    </row>
    <row r="50" spans="1:4" ht="15.6" x14ac:dyDescent="0.35">
      <c r="A50" s="18" t="s">
        <v>157</v>
      </c>
      <c r="B50" s="5" t="s">
        <v>111</v>
      </c>
      <c r="C50" s="5">
        <f>C12*C4/C26</f>
        <v>79617991.373998761</v>
      </c>
      <c r="D50" s="5" t="s">
        <v>40</v>
      </c>
    </row>
    <row r="51" spans="1:4" ht="15.6" x14ac:dyDescent="0.35">
      <c r="A51" s="18" t="s">
        <v>123</v>
      </c>
      <c r="B51" s="5" t="s">
        <v>112</v>
      </c>
      <c r="C51" s="5">
        <v>2.0999999999999999E-3</v>
      </c>
      <c r="D51" s="5" t="s">
        <v>40</v>
      </c>
    </row>
    <row r="52" spans="1:4" ht="15.6" x14ac:dyDescent="0.35">
      <c r="A52" s="18" t="s">
        <v>122</v>
      </c>
      <c r="B52" s="5" t="s">
        <v>113</v>
      </c>
      <c r="C52" s="5">
        <v>1.79</v>
      </c>
      <c r="D52" s="5" t="s">
        <v>22</v>
      </c>
    </row>
    <row r="53" spans="1:4" ht="15.6" x14ac:dyDescent="0.35">
      <c r="A53" s="17" t="s">
        <v>121</v>
      </c>
      <c r="B53" s="5" t="s">
        <v>114</v>
      </c>
      <c r="C53" s="13">
        <f>2.85*C4*SQRT(C52)</f>
        <v>37.901618849199565</v>
      </c>
      <c r="D53" s="5" t="s">
        <v>22</v>
      </c>
    </row>
    <row r="54" spans="1:4" ht="15.6" x14ac:dyDescent="0.35">
      <c r="A54" s="18" t="s">
        <v>124</v>
      </c>
      <c r="B54" s="5" t="s">
        <v>115</v>
      </c>
      <c r="C54" s="12">
        <f>C4/SQRT(4*C52/PI())</f>
        <v>6.5842272159969477</v>
      </c>
      <c r="D54" s="5" t="s">
        <v>40</v>
      </c>
    </row>
    <row r="55" spans="1:4" ht="15.6" x14ac:dyDescent="0.35">
      <c r="A55" s="18" t="s">
        <v>158</v>
      </c>
      <c r="B55" s="5" t="s">
        <v>119</v>
      </c>
      <c r="C55" s="5">
        <v>1.1539999999999999</v>
      </c>
      <c r="D55" s="5" t="s">
        <v>40</v>
      </c>
    </row>
    <row r="56" spans="1:4" ht="15.6" x14ac:dyDescent="0.35">
      <c r="A56" s="18" t="s">
        <v>133</v>
      </c>
      <c r="B56" s="5" t="s">
        <v>120</v>
      </c>
      <c r="C56" s="5">
        <v>2.97</v>
      </c>
      <c r="D56" s="5" t="s">
        <v>21</v>
      </c>
    </row>
    <row r="57" spans="1:4" ht="15.6" x14ac:dyDescent="0.35">
      <c r="A57" s="18" t="s">
        <v>159</v>
      </c>
      <c r="B57" s="5" t="s">
        <v>116</v>
      </c>
      <c r="C57" s="12">
        <f>C56/SQRT(4*C52/PI())</f>
        <v>1.967319399548384</v>
      </c>
      <c r="D57" s="5" t="s">
        <v>40</v>
      </c>
    </row>
    <row r="58" spans="1:4" ht="15.6" x14ac:dyDescent="0.35">
      <c r="A58" s="18" t="s">
        <v>128</v>
      </c>
      <c r="B58" s="5" t="s">
        <v>127</v>
      </c>
      <c r="C58" s="5">
        <v>340.3</v>
      </c>
      <c r="D58" s="5" t="s">
        <v>26</v>
      </c>
    </row>
    <row r="59" spans="1:4" ht="15.6" x14ac:dyDescent="0.35">
      <c r="A59" s="18" t="s">
        <v>132</v>
      </c>
      <c r="B59" s="5" t="s">
        <v>126</v>
      </c>
      <c r="C59" s="5">
        <v>288.14999999999998</v>
      </c>
      <c r="D59" s="5" t="s">
        <v>125</v>
      </c>
    </row>
    <row r="60" spans="1:4" x14ac:dyDescent="0.3">
      <c r="A60" s="18" t="s">
        <v>207</v>
      </c>
      <c r="B60" s="5" t="s">
        <v>208</v>
      </c>
      <c r="C60" s="5">
        <v>4600</v>
      </c>
      <c r="D60" s="5" t="s">
        <v>21</v>
      </c>
    </row>
    <row r="61" spans="1:4" ht="15.6" x14ac:dyDescent="0.35">
      <c r="A61" s="18" t="s">
        <v>131</v>
      </c>
      <c r="B61" s="5" t="s">
        <v>209</v>
      </c>
      <c r="C61" s="5">
        <f>C59-6.5*C60/1000</f>
        <v>258.25</v>
      </c>
      <c r="D61" s="5" t="s">
        <v>125</v>
      </c>
    </row>
    <row r="62" spans="1:4" ht="15.6" x14ac:dyDescent="0.35">
      <c r="A62" s="18" t="s">
        <v>129</v>
      </c>
      <c r="B62" s="5" t="s">
        <v>117</v>
      </c>
      <c r="C62" s="13">
        <f>C58*SQRT(C61/C59)</f>
        <v>322.16087950515174</v>
      </c>
      <c r="D62" s="5" t="s">
        <v>26</v>
      </c>
    </row>
    <row r="63" spans="1:4" x14ac:dyDescent="0.3">
      <c r="A63" s="18" t="s">
        <v>130</v>
      </c>
      <c r="B63" s="5" t="s">
        <v>108</v>
      </c>
      <c r="C63" s="11">
        <f>C12/C62</f>
        <v>0.36317258687558629</v>
      </c>
    </row>
    <row r="64" spans="1:4" ht="15.6" x14ac:dyDescent="0.35">
      <c r="A64" s="18" t="s">
        <v>160</v>
      </c>
      <c r="B64" s="5" t="s">
        <v>118</v>
      </c>
      <c r="C64" s="5">
        <v>1.01</v>
      </c>
      <c r="D64" s="5" t="s">
        <v>40</v>
      </c>
    </row>
    <row r="65" spans="1:4" ht="15.6" x14ac:dyDescent="0.35">
      <c r="A65" s="18" t="s">
        <v>134</v>
      </c>
      <c r="B65" s="5" t="s">
        <v>135</v>
      </c>
      <c r="C65" s="5">
        <f>C51*C55*C64*C53/C52</f>
        <v>5.1826419525330562E-2</v>
      </c>
      <c r="D65" s="5" t="s">
        <v>40</v>
      </c>
    </row>
    <row r="66" spans="1:4" ht="16.8" x14ac:dyDescent="0.35">
      <c r="A66" s="20" t="s">
        <v>183</v>
      </c>
      <c r="B66" s="6" t="s">
        <v>190</v>
      </c>
      <c r="C66" s="6">
        <f>C65*C52</f>
        <v>9.2769290950341712E-2</v>
      </c>
      <c r="D66" s="6" t="s">
        <v>90</v>
      </c>
    </row>
    <row r="67" spans="1:4" ht="16.8" x14ac:dyDescent="0.35">
      <c r="A67" s="21" t="s">
        <v>147</v>
      </c>
      <c r="B67" s="5" t="s">
        <v>137</v>
      </c>
      <c r="C67" s="5">
        <v>5.41</v>
      </c>
      <c r="D67" s="5" t="s">
        <v>90</v>
      </c>
    </row>
    <row r="68" spans="1:4" ht="15.6" x14ac:dyDescent="0.35">
      <c r="A68" s="21" t="s">
        <v>148</v>
      </c>
      <c r="B68" s="5" t="s">
        <v>138</v>
      </c>
      <c r="C68" s="5">
        <v>0.28000000000000003</v>
      </c>
      <c r="D68" s="5" t="s">
        <v>40</v>
      </c>
    </row>
    <row r="69" spans="1:4" ht="15.6" x14ac:dyDescent="0.35">
      <c r="A69" s="21" t="s">
        <v>149</v>
      </c>
      <c r="B69" s="5" t="s">
        <v>136</v>
      </c>
      <c r="C69" s="5">
        <v>4.91</v>
      </c>
      <c r="D69" s="5" t="s">
        <v>21</v>
      </c>
    </row>
    <row r="70" spans="1:4" ht="16.8" x14ac:dyDescent="0.35">
      <c r="A70" s="21" t="s">
        <v>150</v>
      </c>
      <c r="B70" s="5" t="s">
        <v>140</v>
      </c>
      <c r="C70" s="5">
        <v>0.85</v>
      </c>
      <c r="D70" s="5" t="s">
        <v>40</v>
      </c>
    </row>
    <row r="71" spans="1:4" ht="15.6" x14ac:dyDescent="0.35">
      <c r="A71" s="21" t="s">
        <v>151</v>
      </c>
      <c r="B71" s="5" t="s">
        <v>139</v>
      </c>
      <c r="C71" s="5">
        <v>5.52</v>
      </c>
      <c r="D71" s="5" t="s">
        <v>21</v>
      </c>
    </row>
    <row r="72" spans="1:4" ht="15.6" x14ac:dyDescent="0.35">
      <c r="A72" s="18" t="s">
        <v>163</v>
      </c>
      <c r="B72" s="5" t="s">
        <v>146</v>
      </c>
      <c r="C72" s="5">
        <v>5.4999999999999997E-3</v>
      </c>
      <c r="D72" s="5" t="s">
        <v>40</v>
      </c>
    </row>
    <row r="73" spans="1:4" ht="15.6" x14ac:dyDescent="0.35">
      <c r="A73" s="18" t="s">
        <v>156</v>
      </c>
      <c r="B73" s="5" t="s">
        <v>145</v>
      </c>
      <c r="C73" s="5">
        <v>5.0000000000000001E-3</v>
      </c>
      <c r="D73" s="5" t="s">
        <v>40</v>
      </c>
    </row>
    <row r="74" spans="1:4" ht="15.6" x14ac:dyDescent="0.35">
      <c r="A74" s="18" t="s">
        <v>152</v>
      </c>
      <c r="B74" s="5" t="s">
        <v>143</v>
      </c>
      <c r="C74" s="12">
        <f>C71^2/C67</f>
        <v>5.6322365988909411</v>
      </c>
      <c r="D74" s="5" t="s">
        <v>40</v>
      </c>
    </row>
    <row r="75" spans="1:4" ht="15.6" x14ac:dyDescent="0.35">
      <c r="A75" s="18" t="s">
        <v>153</v>
      </c>
      <c r="B75" s="5" t="s">
        <v>141</v>
      </c>
      <c r="C75" s="5">
        <v>0.7</v>
      </c>
      <c r="D75" s="5" t="s">
        <v>40</v>
      </c>
    </row>
    <row r="76" spans="1:4" ht="15.6" x14ac:dyDescent="0.35">
      <c r="A76" s="18" t="s">
        <v>154</v>
      </c>
      <c r="B76" s="5" t="s">
        <v>142</v>
      </c>
      <c r="C76" s="12">
        <f>C75*C74</f>
        <v>3.9425656192236587</v>
      </c>
      <c r="D76" s="5" t="s">
        <v>40</v>
      </c>
    </row>
    <row r="77" spans="1:4" ht="15.6" x14ac:dyDescent="0.35">
      <c r="A77" s="20" t="s">
        <v>155</v>
      </c>
      <c r="B77" s="6" t="s">
        <v>144</v>
      </c>
      <c r="C77" s="16">
        <f>C67*C69/C5/C21*C70</f>
        <v>0.57675922972140503</v>
      </c>
      <c r="D77" s="6" t="s">
        <v>40</v>
      </c>
    </row>
    <row r="78" spans="1:4" ht="16.8" x14ac:dyDescent="0.35">
      <c r="A78" s="18" t="s">
        <v>161</v>
      </c>
      <c r="B78" s="7" t="s">
        <v>166</v>
      </c>
      <c r="C78" s="5">
        <v>2.02</v>
      </c>
      <c r="D78" s="5" t="s">
        <v>90</v>
      </c>
    </row>
    <row r="79" spans="1:4" ht="15.6" x14ac:dyDescent="0.35">
      <c r="A79" s="18" t="s">
        <v>162</v>
      </c>
      <c r="B79" s="5" t="s">
        <v>164</v>
      </c>
      <c r="C79" s="5">
        <f>C72</f>
        <v>5.4999999999999997E-3</v>
      </c>
      <c r="D79" s="5" t="s">
        <v>40</v>
      </c>
    </row>
    <row r="80" spans="1:4" ht="15.6" x14ac:dyDescent="0.35">
      <c r="A80" s="18" t="s">
        <v>156</v>
      </c>
      <c r="B80" s="5" t="s">
        <v>165</v>
      </c>
      <c r="C80" s="5">
        <f>C73</f>
        <v>5.0000000000000001E-3</v>
      </c>
      <c r="D80" s="5" t="s">
        <v>40</v>
      </c>
    </row>
    <row r="81" spans="1:4" ht="15.6" x14ac:dyDescent="0.35">
      <c r="A81" s="18" t="s">
        <v>167</v>
      </c>
      <c r="B81" s="5" t="s">
        <v>168</v>
      </c>
      <c r="C81" s="5">
        <f>C79+C80</f>
        <v>1.0499999999999999E-2</v>
      </c>
      <c r="D81" s="5" t="s">
        <v>40</v>
      </c>
    </row>
    <row r="82" spans="1:4" ht="16.8" x14ac:dyDescent="0.35">
      <c r="A82" s="20" t="s">
        <v>184</v>
      </c>
      <c r="B82" s="6" t="s">
        <v>188</v>
      </c>
      <c r="C82" s="6">
        <f>C81*C78</f>
        <v>2.121E-2</v>
      </c>
      <c r="D82" s="6" t="s">
        <v>90</v>
      </c>
    </row>
    <row r="83" spans="1:4" ht="16.8" x14ac:dyDescent="0.35">
      <c r="A83" s="18" t="s">
        <v>169</v>
      </c>
      <c r="B83" s="5" t="s">
        <v>175</v>
      </c>
      <c r="C83" s="5">
        <v>0.55000000000000004</v>
      </c>
      <c r="D83" s="5" t="s">
        <v>90</v>
      </c>
    </row>
    <row r="84" spans="1:4" ht="15.6" x14ac:dyDescent="0.35">
      <c r="A84" s="18" t="s">
        <v>170</v>
      </c>
      <c r="B84" s="5" t="s">
        <v>176</v>
      </c>
      <c r="C84" s="5">
        <v>0.11</v>
      </c>
      <c r="D84" s="5" t="s">
        <v>40</v>
      </c>
    </row>
    <row r="85" spans="1:4" ht="16.8" x14ac:dyDescent="0.35">
      <c r="A85" s="20" t="s">
        <v>185</v>
      </c>
      <c r="B85" s="6" t="s">
        <v>187</v>
      </c>
      <c r="C85" s="6">
        <f>C83*C84*2</f>
        <v>0.12100000000000001</v>
      </c>
      <c r="D85" s="6" t="s">
        <v>90</v>
      </c>
    </row>
    <row r="86" spans="1:4" ht="15.6" x14ac:dyDescent="0.35">
      <c r="A86" s="18" t="s">
        <v>171</v>
      </c>
      <c r="B86" s="5" t="s">
        <v>177</v>
      </c>
      <c r="C86" s="5">
        <v>5.97</v>
      </c>
      <c r="D86" s="5" t="s">
        <v>21</v>
      </c>
    </row>
    <row r="87" spans="1:4" ht="15.6" x14ac:dyDescent="0.35">
      <c r="A87" s="18" t="s">
        <v>172</v>
      </c>
      <c r="B87" s="5" t="s">
        <v>178</v>
      </c>
      <c r="C87" s="5">
        <v>4.0000000000000001E-3</v>
      </c>
      <c r="D87" s="5" t="s">
        <v>21</v>
      </c>
    </row>
    <row r="88" spans="1:4" ht="16.8" x14ac:dyDescent="0.35">
      <c r="A88" s="18" t="s">
        <v>173</v>
      </c>
      <c r="B88" s="5" t="s">
        <v>179</v>
      </c>
      <c r="C88" s="5">
        <f>C87*C86</f>
        <v>2.3879999999999998E-2</v>
      </c>
      <c r="D88" s="5" t="s">
        <v>90</v>
      </c>
    </row>
    <row r="89" spans="1:4" ht="15.6" x14ac:dyDescent="0.35">
      <c r="A89" s="18" t="s">
        <v>174</v>
      </c>
      <c r="B89" s="5" t="s">
        <v>180</v>
      </c>
      <c r="C89" s="5">
        <v>1.1000000000000001</v>
      </c>
      <c r="D89" s="5" t="s">
        <v>40</v>
      </c>
    </row>
    <row r="90" spans="1:4" ht="16.8" x14ac:dyDescent="0.35">
      <c r="A90" s="18" t="s">
        <v>186</v>
      </c>
      <c r="B90" s="5" t="s">
        <v>189</v>
      </c>
      <c r="C90" s="5">
        <f>C89*C88</f>
        <v>2.6268E-2</v>
      </c>
      <c r="D90" s="5" t="s">
        <v>90</v>
      </c>
    </row>
    <row r="91" spans="1:4" ht="16.8" x14ac:dyDescent="0.35">
      <c r="A91" s="22" t="s">
        <v>181</v>
      </c>
      <c r="B91" s="23" t="s">
        <v>182</v>
      </c>
      <c r="C91" s="24">
        <f>C90+C85+C82+C66</f>
        <v>0.26124729095034172</v>
      </c>
      <c r="D91" s="23" t="s">
        <v>90</v>
      </c>
    </row>
    <row r="92" spans="1:4" ht="15.6" x14ac:dyDescent="0.35">
      <c r="A92" s="18" t="s">
        <v>195</v>
      </c>
      <c r="B92" s="5" t="s">
        <v>196</v>
      </c>
      <c r="C92" s="10">
        <f>C91/C5</f>
        <v>1.2265131030532474E-2</v>
      </c>
      <c r="D92" s="5" t="s">
        <v>40</v>
      </c>
    </row>
    <row r="93" spans="1:4" x14ac:dyDescent="0.3">
      <c r="A93" s="18" t="s">
        <v>191</v>
      </c>
      <c r="B93" s="7" t="s">
        <v>193</v>
      </c>
      <c r="C93" s="5">
        <v>6</v>
      </c>
      <c r="D93" s="5" t="s">
        <v>40</v>
      </c>
    </row>
    <row r="94" spans="1:4" ht="15.6" x14ac:dyDescent="0.35">
      <c r="A94" s="20" t="s">
        <v>194</v>
      </c>
      <c r="B94" s="25" t="s">
        <v>192</v>
      </c>
      <c r="C94" s="6">
        <v>0.04</v>
      </c>
      <c r="D94" s="6" t="s">
        <v>40</v>
      </c>
    </row>
    <row r="95" spans="1:4" ht="15.6" x14ac:dyDescent="0.35">
      <c r="A95" s="18" t="s">
        <v>219</v>
      </c>
      <c r="B95" s="5" t="s">
        <v>202</v>
      </c>
      <c r="C95" s="5">
        <v>2.2100000000000002E-2</v>
      </c>
      <c r="D95" s="5" t="s">
        <v>40</v>
      </c>
    </row>
    <row r="96" spans="1:4" ht="16.2" x14ac:dyDescent="0.3">
      <c r="A96" s="18" t="s">
        <v>220</v>
      </c>
      <c r="B96" s="5" t="s">
        <v>203</v>
      </c>
      <c r="C96" s="5">
        <v>5.4100000000000002E-2</v>
      </c>
      <c r="D96" s="5" t="s">
        <v>40</v>
      </c>
    </row>
    <row r="97" spans="1:4" x14ac:dyDescent="0.3">
      <c r="A97" s="18" t="s">
        <v>217</v>
      </c>
      <c r="B97" s="5" t="s">
        <v>201</v>
      </c>
      <c r="C97" s="12">
        <f>1/PI()/C96</f>
        <v>5.8837317224360568</v>
      </c>
      <c r="D97" s="5" t="s">
        <v>40</v>
      </c>
    </row>
    <row r="98" spans="1:4" x14ac:dyDescent="0.3">
      <c r="A98" s="18" t="s">
        <v>216</v>
      </c>
      <c r="B98" s="5" t="s">
        <v>200</v>
      </c>
      <c r="C98" s="12">
        <f>C97/C20</f>
        <v>0.81505909006170651</v>
      </c>
      <c r="D98" s="5" t="s">
        <v>40</v>
      </c>
    </row>
    <row r="99" spans="1:4" ht="15.6" x14ac:dyDescent="0.35">
      <c r="A99" s="18" t="s">
        <v>218</v>
      </c>
      <c r="B99" s="5" t="s">
        <v>204</v>
      </c>
      <c r="C99" s="10">
        <f>MIN('projekty 2 i 3'!$R$3:$R$44)</f>
        <v>2.2142611569133754E-2</v>
      </c>
      <c r="D99" s="5" t="s">
        <v>40</v>
      </c>
    </row>
    <row r="100" spans="1:4" x14ac:dyDescent="0.3">
      <c r="A100" s="20" t="s">
        <v>221</v>
      </c>
      <c r="B100" s="6" t="s">
        <v>106</v>
      </c>
      <c r="C100" s="16">
        <f>ABS(C99-C95)/C99*100</f>
        <v>0.19244147873303</v>
      </c>
      <c r="D100" s="6" t="s">
        <v>107</v>
      </c>
    </row>
    <row r="101" spans="1:4" ht="15.6" x14ac:dyDescent="0.35">
      <c r="A101" s="18" t="s">
        <v>213</v>
      </c>
      <c r="B101" s="5" t="s">
        <v>212</v>
      </c>
      <c r="C101" s="5">
        <f>C6+80</f>
        <v>1863</v>
      </c>
      <c r="D101" s="5" t="s">
        <v>23</v>
      </c>
    </row>
    <row r="102" spans="1:4" ht="15.6" x14ac:dyDescent="0.35">
      <c r="A102" s="18" t="s">
        <v>214</v>
      </c>
      <c r="B102" s="5" t="s">
        <v>211</v>
      </c>
      <c r="C102" s="5">
        <f>(C101+C7)/2</f>
        <v>2405.5</v>
      </c>
      <c r="D102" s="5" t="s">
        <v>23</v>
      </c>
    </row>
    <row r="103" spans="1:4" ht="16.8" x14ac:dyDescent="0.35">
      <c r="A103" s="18" t="s">
        <v>215</v>
      </c>
      <c r="B103" s="5" t="s">
        <v>210</v>
      </c>
      <c r="C103" s="11">
        <f>C23*(1-C60/44300)^4.256</f>
        <v>0.76823524302785573</v>
      </c>
      <c r="D103" s="5" t="s">
        <v>93</v>
      </c>
    </row>
    <row r="104" spans="1:4" ht="15.6" x14ac:dyDescent="0.35">
      <c r="A104" s="18" t="s">
        <v>240</v>
      </c>
      <c r="B104" s="5" t="s">
        <v>239</v>
      </c>
      <c r="C104" s="5">
        <f>1.2*C12</f>
        <v>140.4</v>
      </c>
      <c r="D104" s="5" t="s">
        <v>26</v>
      </c>
    </row>
    <row r="105" spans="1:4" ht="15.6" x14ac:dyDescent="0.35">
      <c r="A105" s="20" t="s">
        <v>241</v>
      </c>
      <c r="B105" s="6" t="s">
        <v>228</v>
      </c>
      <c r="C105" s="16">
        <f ca="1">MIN('projekt 4'!G3:G22)</f>
        <v>4.0033366517766735</v>
      </c>
      <c r="D105" s="33" t="s">
        <v>95</v>
      </c>
    </row>
    <row r="106" spans="1:4" x14ac:dyDescent="0.3">
      <c r="A106" s="18" t="s">
        <v>252</v>
      </c>
      <c r="B106" s="5" t="s">
        <v>250</v>
      </c>
      <c r="C106" s="5">
        <v>0.12</v>
      </c>
      <c r="D106" s="5" t="s">
        <v>40</v>
      </c>
    </row>
    <row r="107" spans="1:4" ht="15.6" x14ac:dyDescent="0.35">
      <c r="A107" s="18" t="s">
        <v>251</v>
      </c>
      <c r="B107" s="5" t="s">
        <v>281</v>
      </c>
      <c r="C107" s="5">
        <f>C9*(C103/C23-C106)/(1-C106)</f>
        <v>128511.55769500168</v>
      </c>
      <c r="D107" s="5" t="s">
        <v>24</v>
      </c>
    </row>
    <row r="108" spans="1:4" ht="15.6" x14ac:dyDescent="0.35">
      <c r="A108" s="18" t="s">
        <v>247</v>
      </c>
      <c r="B108" s="5" t="s">
        <v>246</v>
      </c>
      <c r="C108" s="12">
        <f>C12*(C103/C107/(C10/60)^2)^(1/5)</f>
        <v>2.3466367964150154</v>
      </c>
      <c r="D108" s="5" t="s">
        <v>40</v>
      </c>
    </row>
    <row r="109" spans="1:4" x14ac:dyDescent="0.3">
      <c r="A109" s="18" t="s">
        <v>245</v>
      </c>
      <c r="B109" s="5" t="s">
        <v>242</v>
      </c>
      <c r="C109" s="5">
        <v>1.48</v>
      </c>
      <c r="D109" s="5" t="s">
        <v>40</v>
      </c>
    </row>
    <row r="110" spans="1:4" x14ac:dyDescent="0.3">
      <c r="A110" s="18" t="s">
        <v>244</v>
      </c>
      <c r="B110" s="5" t="s">
        <v>243</v>
      </c>
      <c r="C110" s="5">
        <f>C12/(C10/60)/C109</f>
        <v>1.8420362109682498</v>
      </c>
      <c r="D110" s="5" t="s">
        <v>21</v>
      </c>
    </row>
    <row r="111" spans="1:4" ht="15.6" x14ac:dyDescent="0.35">
      <c r="A111" s="20" t="s">
        <v>248</v>
      </c>
      <c r="B111" s="6" t="s">
        <v>249</v>
      </c>
      <c r="C111" s="6">
        <f>SQRT(C104^2+(PI()*(C10/60)*C110)^2)/C62</f>
        <v>0.88556384351019102</v>
      </c>
      <c r="D111" s="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B059-EA8F-4A62-BCF0-077C1DFB2193}">
  <dimension ref="A1:AA50"/>
  <sheetViews>
    <sheetView topLeftCell="L1" zoomScale="145" zoomScaleNormal="145" workbookViewId="0">
      <selection activeCell="T3" sqref="T3"/>
    </sheetView>
  </sheetViews>
  <sheetFormatPr defaultRowHeight="15" x14ac:dyDescent="0.25"/>
  <cols>
    <col min="1" max="2" width="12.6640625" style="15" bestFit="1" customWidth="1"/>
    <col min="3" max="4" width="8.88671875" style="15"/>
    <col min="5" max="6" width="12.6640625" style="15" bestFit="1" customWidth="1"/>
    <col min="7" max="7" width="8.33203125" style="15" customWidth="1"/>
    <col min="8" max="8" width="8.88671875" style="15"/>
    <col min="9" max="9" width="8" style="15" customWidth="1"/>
    <col min="10" max="10" width="8.88671875" style="15"/>
    <col min="11" max="11" width="9" style="15" customWidth="1"/>
    <col min="12" max="18" width="8.88671875" style="15"/>
    <col min="19" max="19" width="9.77734375" style="15" bestFit="1" customWidth="1"/>
    <col min="20" max="20" width="7.88671875" style="15" customWidth="1"/>
    <col min="21" max="21" width="8.21875" style="15" customWidth="1"/>
    <col min="22" max="16384" width="8.88671875" style="15"/>
  </cols>
  <sheetData>
    <row r="1" spans="1:27" ht="10.8" customHeight="1" x14ac:dyDescent="0.25">
      <c r="G1" s="78" t="s">
        <v>271</v>
      </c>
      <c r="H1" s="79"/>
      <c r="I1" s="79"/>
      <c r="J1" s="80"/>
      <c r="K1" s="78" t="s">
        <v>270</v>
      </c>
      <c r="L1" s="79"/>
      <c r="M1" s="79"/>
      <c r="N1" s="81"/>
      <c r="O1" s="82" t="s">
        <v>269</v>
      </c>
      <c r="P1" s="79"/>
      <c r="Q1" s="79"/>
      <c r="R1" s="79"/>
      <c r="S1" s="79"/>
      <c r="T1" s="79"/>
      <c r="U1" s="79"/>
      <c r="V1" s="81"/>
      <c r="W1" s="68"/>
    </row>
    <row r="2" spans="1:27" ht="10.8" customHeight="1" thickBot="1" x14ac:dyDescent="0.3">
      <c r="E2" s="15" t="s">
        <v>50</v>
      </c>
      <c r="G2" s="35" t="s">
        <v>48</v>
      </c>
      <c r="H2" s="36" t="s">
        <v>49</v>
      </c>
      <c r="I2" s="37" t="s">
        <v>268</v>
      </c>
      <c r="J2" s="38" t="s">
        <v>51</v>
      </c>
      <c r="K2" s="35" t="s">
        <v>272</v>
      </c>
      <c r="L2" s="36" t="s">
        <v>273</v>
      </c>
      <c r="M2" s="36" t="s">
        <v>274</v>
      </c>
      <c r="N2" s="39" t="s">
        <v>275</v>
      </c>
      <c r="O2" s="40" t="s">
        <v>276</v>
      </c>
      <c r="P2" s="36" t="s">
        <v>277</v>
      </c>
      <c r="Q2" s="36" t="s">
        <v>278</v>
      </c>
      <c r="R2" s="36" t="s">
        <v>49</v>
      </c>
      <c r="S2" s="36" t="s">
        <v>279</v>
      </c>
      <c r="T2" s="36" t="s">
        <v>197</v>
      </c>
      <c r="U2" s="36" t="s">
        <v>125</v>
      </c>
      <c r="V2" s="39" t="s">
        <v>198</v>
      </c>
      <c r="W2" s="69" t="s">
        <v>282</v>
      </c>
      <c r="X2" s="15" t="s">
        <v>199</v>
      </c>
      <c r="Y2" s="15" t="s">
        <v>205</v>
      </c>
      <c r="Z2" s="15" t="s">
        <v>206</v>
      </c>
    </row>
    <row r="3" spans="1:27" ht="10.8" customHeight="1" x14ac:dyDescent="0.25">
      <c r="A3" s="15">
        <v>-13.806644477771799</v>
      </c>
      <c r="B3" s="15">
        <v>-1.1343709115506599</v>
      </c>
      <c r="C3" s="15">
        <v>1.33466772614203E-2</v>
      </c>
      <c r="D3" s="15">
        <f>RADIANS(A3)</f>
        <v>-0.24097140478941095</v>
      </c>
      <c r="E3" s="1">
        <f>(Arkusz1!C$35-Arkusz1!C$33)*(1-ABS('projekty 2 i 3'!G3/Arkusz1!C$36))</f>
        <v>-1.2891672526392712E-4</v>
      </c>
      <c r="F3" s="15">
        <f>RADIANS(L3)</f>
        <v>-0.29139059210209678</v>
      </c>
      <c r="G3" s="41">
        <f>B3</f>
        <v>-1.1343709115506599</v>
      </c>
      <c r="H3" s="42">
        <f>C3</f>
        <v>1.33466772614203E-2</v>
      </c>
      <c r="I3" s="43">
        <f t="shared" ref="I3:I44" si="0">A3</f>
        <v>-13.806644477771799</v>
      </c>
      <c r="J3" s="44">
        <f t="shared" ref="J3:J44" si="1">H3+E3</f>
        <v>1.3217760536156373E-2</v>
      </c>
      <c r="K3" s="45">
        <f>DEGREES(G3*(1+Arkusz1!C$46)/Arkusz1!C$20/PI())</f>
        <v>-2.8888066394964458</v>
      </c>
      <c r="L3" s="43">
        <f t="shared" ref="L3:L44" si="2">I3+K3</f>
        <v>-16.695451117268245</v>
      </c>
      <c r="M3" s="42">
        <f>G3^2*(1+Arkusz1!C$45)/Arkusz1!C$20/PI()</f>
        <v>5.7057743802064437E-2</v>
      </c>
      <c r="N3" s="46">
        <f>J3+M3+Arkusz1!C$38</f>
        <v>7.1013204038336483E-2</v>
      </c>
      <c r="O3" s="65">
        <f>Arkusz1!C$31/Arkusz1!C$77+(Arkusz1!C$68-Arkusz1!C$29)/Arkusz1!C$77*'projekty 2 i 3'!G3</f>
        <v>-0.15283662582632634</v>
      </c>
      <c r="P3" s="47">
        <f>Arkusz1!C$72+Arkusz1!C$73+1/PI()/Arkusz1!C$76*'projekty 2 i 3'!O3^2</f>
        <v>1.2385932216167413E-2</v>
      </c>
      <c r="Q3" s="47">
        <f>Arkusz1!C$92*(1+1/Arkusz1!C$93*ABS('projekty 2 i 3'!G3))</f>
        <v>1.4583999008431377E-2</v>
      </c>
      <c r="R3" s="47">
        <f>(N3+Q3+P3*Arkusz1!C$67/Arkusz1!C$5)*(1+Arkusz1!C$94)</f>
        <v>9.2292838071035041E-2</v>
      </c>
      <c r="S3" s="47">
        <f>O3*Arkusz1!C$67/Arkusz1!C$5</f>
        <v>-3.8819067874198386E-2</v>
      </c>
      <c r="T3" s="48">
        <f>G3+S3</f>
        <v>-1.1731899794248584</v>
      </c>
      <c r="U3" s="43">
        <f>T3/R3</f>
        <v>-12.71160367310288</v>
      </c>
      <c r="V3" s="71">
        <f>T3^3/R3^2</f>
        <v>-189.56974789629342</v>
      </c>
      <c r="W3" s="74">
        <f>I3</f>
        <v>-13.806644477771799</v>
      </c>
      <c r="X3" s="26">
        <f>T3^2</f>
        <v>1.3763747278228995</v>
      </c>
      <c r="Y3" s="15">
        <f>U3/10</f>
        <v>-1.271160367310288</v>
      </c>
      <c r="Z3" s="15">
        <f>V3/100</f>
        <v>-1.8956974789629342</v>
      </c>
      <c r="AA3" s="15">
        <f>Arkusz1!C$32*('projekty 2 i 3'!D3-'projekty 2 i 3'!D$18)</f>
        <v>-1.1619003480931416</v>
      </c>
    </row>
    <row r="4" spans="1:27" ht="10.8" customHeight="1" x14ac:dyDescent="0.25">
      <c r="A4" s="15">
        <v>-12.370416971851901</v>
      </c>
      <c r="B4" s="15">
        <v>-1.0339724137378301</v>
      </c>
      <c r="C4" s="15">
        <v>1.22814023405731E-2</v>
      </c>
      <c r="D4" s="15">
        <f t="shared" ref="D4:D50" si="3">RADIANS(A4)</f>
        <v>-0.21590450600340239</v>
      </c>
      <c r="E4" s="1">
        <f>(Arkusz1!C$35-Arkusz1!C$33)*(1-ABS('projekty 2 i 3'!G4/Arkusz1!C$36))</f>
        <v>-1.5407222106081744E-4</v>
      </c>
      <c r="F4" s="15">
        <f t="shared" ref="F4:F44" si="4">RADIANS(L4)</f>
        <v>-0.26186129868343877</v>
      </c>
      <c r="G4" s="49">
        <f t="shared" ref="G4:G44" si="5">B4</f>
        <v>-1.0339724137378301</v>
      </c>
      <c r="H4" s="50">
        <f t="shared" ref="H4:H44" si="6">C4</f>
        <v>1.22814023405731E-2</v>
      </c>
      <c r="I4" s="51">
        <f t="shared" si="0"/>
        <v>-12.370416971851901</v>
      </c>
      <c r="J4" s="52">
        <f t="shared" si="1"/>
        <v>1.2127330119512282E-2</v>
      </c>
      <c r="K4" s="53">
        <f>DEGREES(G4*(1+Arkusz1!C$46)/Arkusz1!C$20/PI())</f>
        <v>-2.6331302605238007</v>
      </c>
      <c r="L4" s="51">
        <f t="shared" si="2"/>
        <v>-15.003547232375702</v>
      </c>
      <c r="M4" s="50">
        <f>G4^2*(1+Arkusz1!C$45)/Arkusz1!C$20/PI()</f>
        <v>4.7404801862292324E-2</v>
      </c>
      <c r="N4" s="54">
        <f>J4+M4+Arkusz1!C$38</f>
        <v>6.0269831681920273E-2</v>
      </c>
      <c r="O4" s="66">
        <f>Arkusz1!C$31/Arkusz1!C$77+(Arkusz1!C$68-Arkusz1!C$29)/Arkusz1!C$77*'projekty 2 i 3'!G4</f>
        <v>-0.15005144982527438</v>
      </c>
      <c r="P4" s="55">
        <f>Arkusz1!C$72+Arkusz1!C$73+1/PI()/Arkusz1!C$76*'projekty 2 i 3'!O4^2</f>
        <v>1.2317822978821565E-2</v>
      </c>
      <c r="Q4" s="55">
        <f>Arkusz1!C$92*(1+1/Arkusz1!C$93*ABS('projekty 2 i 3'!G4))</f>
        <v>1.4378765553274211E-2</v>
      </c>
      <c r="R4" s="55">
        <f>(N4+Q4+P4*Arkusz1!C$67/Arkusz1!C$5)*(1+Arkusz1!C$94)</f>
        <v>8.0888296955965722E-2</v>
      </c>
      <c r="S4" s="55">
        <f>O4*Arkusz1!C$67/Arkusz1!C$5</f>
        <v>-3.8111659321818515E-2</v>
      </c>
      <c r="T4" s="56">
        <f t="shared" ref="T4:T44" si="7">G4+S4</f>
        <v>-1.0720840730596486</v>
      </c>
      <c r="U4" s="51">
        <f t="shared" ref="U4:U43" si="8">T4/R4</f>
        <v>-13.253883607455275</v>
      </c>
      <c r="V4" s="72">
        <f t="shared" ref="V4:V44" si="9">T4^3/R4^2</f>
        <v>-188.32811041916139</v>
      </c>
      <c r="W4" s="74">
        <f t="shared" ref="W4:W44" si="10">I4</f>
        <v>-12.370416971851901</v>
      </c>
      <c r="X4" s="26">
        <f t="shared" ref="X4:X44" si="11">T4^2</f>
        <v>1.1493642597081659</v>
      </c>
      <c r="Y4" s="15">
        <f t="shared" ref="Y4:Y44" si="12">U4/10</f>
        <v>-1.3253883607455275</v>
      </c>
      <c r="Z4" s="15">
        <f t="shared" ref="Z4:Z44" si="13">V4/100</f>
        <v>-1.883281104191614</v>
      </c>
      <c r="AA4" s="15">
        <f>Arkusz1!C$32*('projekty 2 i 3'!D4-'projekty 2 i 3'!D$18)</f>
        <v>-1.0081324708701294</v>
      </c>
    </row>
    <row r="5" spans="1:27" ht="10.8" customHeight="1" x14ac:dyDescent="0.25">
      <c r="A5" s="15">
        <v>-11.32945742473</v>
      </c>
      <c r="B5" s="15">
        <v>-0.93373752021259104</v>
      </c>
      <c r="C5" s="15">
        <v>1.10900679554798E-2</v>
      </c>
      <c r="D5" s="15">
        <f t="shared" si="3"/>
        <v>-0.19773633452605616</v>
      </c>
      <c r="E5" s="1">
        <f>(Arkusz1!C$35-Arkusz1!C$33)*(1-ABS('projekty 2 i 3'!G5/Arkusz1!C$36))</f>
        <v>-1.7918672474070906E-4</v>
      </c>
      <c r="F5" s="15">
        <f t="shared" si="4"/>
        <v>-0.23923800426486005</v>
      </c>
      <c r="G5" s="49">
        <f t="shared" si="5"/>
        <v>-0.93373752021259104</v>
      </c>
      <c r="H5" s="50">
        <f t="shared" si="6"/>
        <v>1.10900679554798E-2</v>
      </c>
      <c r="I5" s="51">
        <f t="shared" si="0"/>
        <v>-11.32945742473</v>
      </c>
      <c r="J5" s="52">
        <f t="shared" si="1"/>
        <v>1.091088123073909E-2</v>
      </c>
      <c r="K5" s="53">
        <f>DEGREES(G5*(1+Arkusz1!C$46)/Arkusz1!C$20/PI())</f>
        <v>-2.377870518779269</v>
      </c>
      <c r="L5" s="51">
        <f t="shared" si="2"/>
        <v>-13.70732794350927</v>
      </c>
      <c r="M5" s="50">
        <f>G5^2*(1+Arkusz1!C$45)/Arkusz1!C$20/PI()</f>
        <v>3.8659305907078848E-2</v>
      </c>
      <c r="N5" s="54">
        <f>J5+M5+Arkusz1!C$38</f>
        <v>5.0307886837933607E-2</v>
      </c>
      <c r="O5" s="66">
        <f>Arkusz1!C$31/Arkusz1!C$77+(Arkusz1!C$68-Arkusz1!C$29)/Arkusz1!C$77*'projekty 2 i 3'!G5</f>
        <v>-0.14727081240543022</v>
      </c>
      <c r="P5" s="55">
        <f>Arkusz1!C$72+Arkusz1!C$73+1/PI()/Arkusz1!C$76*'projekty 2 i 3'!O5^2</f>
        <v>1.2251074251679076E-2</v>
      </c>
      <c r="Q5" s="55">
        <f>Arkusz1!C$92*(1+1/Arkusz1!C$93*ABS('projekty 2 i 3'!G5))</f>
        <v>1.4173866536121122E-2</v>
      </c>
      <c r="R5" s="55">
        <f>(N5+Q5+P5*Arkusz1!C$67/Arkusz1!C$5)*(1+Arkusz1!C$94)</f>
        <v>7.0297147648436975E-2</v>
      </c>
      <c r="S5" s="55">
        <f>O5*Arkusz1!C$67/Arkusz1!C$5</f>
        <v>-3.7405403526449645E-2</v>
      </c>
      <c r="T5" s="56">
        <f t="shared" si="7"/>
        <v>-0.97114292373904065</v>
      </c>
      <c r="U5" s="51">
        <f t="shared" si="8"/>
        <v>-13.814826863186868</v>
      </c>
      <c r="V5" s="72">
        <f t="shared" si="9"/>
        <v>-185.34208437903314</v>
      </c>
      <c r="W5" s="74">
        <f t="shared" si="10"/>
        <v>-11.32945742473</v>
      </c>
      <c r="X5" s="26">
        <f t="shared" si="11"/>
        <v>0.94311857832841217</v>
      </c>
      <c r="Y5" s="15">
        <f t="shared" si="12"/>
        <v>-1.3814826863186869</v>
      </c>
      <c r="Z5" s="15">
        <f t="shared" si="13"/>
        <v>-1.8534208437903315</v>
      </c>
      <c r="AA5" s="15">
        <f>Arkusz1!C$32*('projekty 2 i 3'!D5-'projekty 2 i 3'!D$18)</f>
        <v>-0.89668345657664439</v>
      </c>
    </row>
    <row r="6" spans="1:27" ht="10.8" customHeight="1" x14ac:dyDescent="0.25">
      <c r="A6" s="15">
        <v>-10.355248426941699</v>
      </c>
      <c r="B6" s="15">
        <v>-0.82687665304027202</v>
      </c>
      <c r="C6" s="15">
        <v>9.9863956116151807E-3</v>
      </c>
      <c r="D6" s="15">
        <f t="shared" si="3"/>
        <v>-0.18073317991209614</v>
      </c>
      <c r="E6" s="1">
        <f>(Arkusz1!C$35-Arkusz1!C$33)*(1-ABS('projekty 2 i 3'!G6/Arkusz1!C$36))</f>
        <v>-2.0596140915896347E-4</v>
      </c>
      <c r="F6" s="15">
        <f t="shared" si="4"/>
        <v>-0.21748522320729513</v>
      </c>
      <c r="G6" s="49">
        <f t="shared" si="5"/>
        <v>-0.82687665304027202</v>
      </c>
      <c r="H6" s="50">
        <f t="shared" si="6"/>
        <v>9.9863956116151807E-3</v>
      </c>
      <c r="I6" s="51">
        <f t="shared" si="0"/>
        <v>-10.355248426941699</v>
      </c>
      <c r="J6" s="52">
        <f t="shared" si="1"/>
        <v>9.7804342024562178E-3</v>
      </c>
      <c r="K6" s="53">
        <f>DEGREES(G6*(1+Arkusz1!C$46)/Arkusz1!C$20/PI())</f>
        <v>-2.1057369692969781</v>
      </c>
      <c r="L6" s="51">
        <f t="shared" si="2"/>
        <v>-12.460985396238677</v>
      </c>
      <c r="M6" s="50">
        <f>G6^2*(1+Arkusz1!C$45)/Arkusz1!C$20/PI()</f>
        <v>3.0316976787114262E-2</v>
      </c>
      <c r="N6" s="54">
        <f>J6+M6+Arkusz1!C$38</f>
        <v>4.0835110689686149E-2</v>
      </c>
      <c r="O6" s="66">
        <f>Arkusz1!C$31/Arkusz1!C$77+(Arkusz1!C$68-Arkusz1!C$29)/Arkusz1!C$77*'projekty 2 i 3'!G6</f>
        <v>-0.14430636244667883</v>
      </c>
      <c r="P6" s="55">
        <f>Arkusz1!C$72+Arkusz1!C$73+1/PI()/Arkusz1!C$76*'projekty 2 i 3'!O6^2</f>
        <v>1.2181288165202158E-2</v>
      </c>
      <c r="Q6" s="55">
        <f>Arkusz1!C$92*(1+1/Arkusz1!C$93*ABS('projekty 2 i 3'!G6))</f>
        <v>1.3955422779803654E-2</v>
      </c>
      <c r="R6" s="55">
        <f>(N6+Q6+P6*Arkusz1!C$67/Arkusz1!C$5)*(1+Arkusz1!C$94)</f>
        <v>6.0199844936564863E-2</v>
      </c>
      <c r="S6" s="55">
        <f>O6*Arkusz1!C$67/Arkusz1!C$5</f>
        <v>-3.6652461072137675E-2</v>
      </c>
      <c r="T6" s="56">
        <f t="shared" si="7"/>
        <v>-0.86352911411240973</v>
      </c>
      <c r="U6" s="51">
        <f t="shared" si="8"/>
        <v>-14.344374392032854</v>
      </c>
      <c r="V6" s="72">
        <f t="shared" si="9"/>
        <v>-177.68068028053719</v>
      </c>
      <c r="W6" s="74">
        <f t="shared" si="10"/>
        <v>-10.355248426941699</v>
      </c>
      <c r="X6" s="26">
        <f t="shared" si="11"/>
        <v>0.74568253091976311</v>
      </c>
      <c r="Y6" s="15">
        <f t="shared" si="12"/>
        <v>-1.4344374392032855</v>
      </c>
      <c r="Z6" s="15">
        <f t="shared" si="13"/>
        <v>-1.7768068028053718</v>
      </c>
      <c r="AA6" s="15">
        <f>Arkusz1!C$32*('projekty 2 i 3'!D6-'projekty 2 i 3'!D$18)</f>
        <v>-0.79238100522822941</v>
      </c>
    </row>
    <row r="7" spans="1:27" ht="10.8" customHeight="1" x14ac:dyDescent="0.25">
      <c r="A7" s="15">
        <v>-9.4451723098854803</v>
      </c>
      <c r="B7" s="15">
        <v>-0.73334953530588598</v>
      </c>
      <c r="C7" s="15">
        <v>9.1236852091771507E-3</v>
      </c>
      <c r="D7" s="15">
        <f t="shared" si="3"/>
        <v>-0.1648493552256998</v>
      </c>
      <c r="E7" s="1">
        <f>(Arkusz1!C$35-Arkusz1!C$33)*(1-ABS('projekty 2 i 3'!G7/Arkusz1!C$36))</f>
        <v>-2.2939523604199844E-4</v>
      </c>
      <c r="F7" s="15">
        <f t="shared" si="4"/>
        <v>-0.19744441492774623</v>
      </c>
      <c r="G7" s="49">
        <f t="shared" si="5"/>
        <v>-0.73334953530588598</v>
      </c>
      <c r="H7" s="50">
        <f t="shared" si="6"/>
        <v>9.1236852091771507E-3</v>
      </c>
      <c r="I7" s="51">
        <f t="shared" si="0"/>
        <v>-9.4451723098854803</v>
      </c>
      <c r="J7" s="52">
        <f t="shared" si="1"/>
        <v>8.894289973135152E-3</v>
      </c>
      <c r="K7" s="53">
        <f>DEGREES(G7*(1+Arkusz1!C$46)/Arkusz1!C$20/PI())</f>
        <v>-1.867559353904207</v>
      </c>
      <c r="L7" s="51">
        <f t="shared" si="2"/>
        <v>-11.312731663789688</v>
      </c>
      <c r="M7" s="50">
        <f>G7^2*(1+Arkusz1!C$45)/Arkusz1!C$20/PI()</f>
        <v>2.3846600384973746E-2</v>
      </c>
      <c r="N7" s="54">
        <f>J7+M7+Arkusz1!C$38</f>
        <v>3.3478590058224567E-2</v>
      </c>
      <c r="O7" s="66">
        <f>Arkusz1!C$31/Arkusz1!C$77+(Arkusz1!C$68-Arkusz1!C$29)/Arkusz1!C$77*'projekty 2 i 3'!G7</f>
        <v>-0.14171180685634521</v>
      </c>
      <c r="P7" s="55">
        <f>Arkusz1!C$72+Arkusz1!C$73+1/PI()/Arkusz1!C$76*'projekty 2 i 3'!O7^2</f>
        <v>1.2121374236299803E-2</v>
      </c>
      <c r="Q7" s="55">
        <f>Arkusz1!C$92*(1+1/Arkusz1!C$93*ABS('projekty 2 i 3'!G7))</f>
        <v>1.3764235720816941E-2</v>
      </c>
      <c r="R7" s="55">
        <f>(N7+Q7+P7*Arkusz1!C$67/Arkusz1!C$5)*(1+Arkusz1!C$94)</f>
        <v>5.2334402660114777E-2</v>
      </c>
      <c r="S7" s="55">
        <f>O7*Arkusz1!C$67/Arkusz1!C$5</f>
        <v>-3.5993468314217257E-2</v>
      </c>
      <c r="T7" s="56">
        <f t="shared" si="7"/>
        <v>-0.76934300362010322</v>
      </c>
      <c r="U7" s="51">
        <f t="shared" si="8"/>
        <v>-14.70052134953356</v>
      </c>
      <c r="V7" s="72">
        <f t="shared" si="9"/>
        <v>-166.25912210189253</v>
      </c>
      <c r="W7" s="74">
        <f t="shared" si="10"/>
        <v>-9.4451723098854803</v>
      </c>
      <c r="X7" s="26">
        <f t="shared" si="11"/>
        <v>0.59188865721920214</v>
      </c>
      <c r="Y7" s="15">
        <f t="shared" si="12"/>
        <v>-1.470052134953356</v>
      </c>
      <c r="Z7" s="15">
        <f t="shared" si="13"/>
        <v>-1.6625912210189253</v>
      </c>
      <c r="AA7" s="15">
        <f>Arkusz1!C$32*('projekty 2 i 3'!D7-'projekty 2 i 3'!D$18)</f>
        <v>-0.69494485945446827</v>
      </c>
    </row>
    <row r="8" spans="1:27" ht="10.8" customHeight="1" x14ac:dyDescent="0.25">
      <c r="A8" s="15">
        <v>-8.6018467421627296</v>
      </c>
      <c r="B8" s="15">
        <v>-0.63319644392442997</v>
      </c>
      <c r="C8" s="15">
        <v>8.4393417038505104E-3</v>
      </c>
      <c r="D8" s="15">
        <f t="shared" si="3"/>
        <v>-0.15013054740268739</v>
      </c>
      <c r="E8" s="1">
        <f>(Arkusz1!C$35-Arkusz1!C$33)*(1-ABS('projekty 2 i 3'!G8/Arkusz1!C$36))</f>
        <v>-2.5448924366339371E-4</v>
      </c>
      <c r="F8" s="15">
        <f t="shared" si="4"/>
        <v>-0.17827412000920928</v>
      </c>
      <c r="G8" s="49">
        <f t="shared" si="5"/>
        <v>-0.63319644392442997</v>
      </c>
      <c r="H8" s="50">
        <f t="shared" si="6"/>
        <v>8.4393417038505104E-3</v>
      </c>
      <c r="I8" s="51">
        <f t="shared" si="0"/>
        <v>-8.6018467421627296</v>
      </c>
      <c r="J8" s="52">
        <f t="shared" si="1"/>
        <v>8.184852460187117E-3</v>
      </c>
      <c r="K8" s="53">
        <f>DEGREES(G8*(1+Arkusz1!C$46)/Arkusz1!C$20/PI())</f>
        <v>-1.6125079307737018</v>
      </c>
      <c r="L8" s="51">
        <f t="shared" si="2"/>
        <v>-10.214354672936432</v>
      </c>
      <c r="M8" s="50">
        <f>G8^2*(1+Arkusz1!C$45)/Arkusz1!C$20/PI()</f>
        <v>1.7777937131470731E-2</v>
      </c>
      <c r="N8" s="54">
        <f>J8+M8+Arkusz1!C$38</f>
        <v>2.6700489291773519E-2</v>
      </c>
      <c r="O8" s="66">
        <f>Arkusz1!C$31/Arkusz1!C$77+(Arkusz1!C$68-Arkusz1!C$29)/Arkusz1!C$77*'projekty 2 i 3'!G8</f>
        <v>-0.13893343872710465</v>
      </c>
      <c r="P8" s="55">
        <f>Arkusz1!C$72+Arkusz1!C$73+1/PI()/Arkusz1!C$76*'projekty 2 i 3'!O8^2</f>
        <v>1.2058420911075285E-2</v>
      </c>
      <c r="Q8" s="55">
        <f>Arkusz1!C$92*(1+1/Arkusz1!C$93*ABS('projekty 2 i 3'!G8))</f>
        <v>1.3559503922665864E-2</v>
      </c>
      <c r="R8" s="55">
        <f>(N8+Q8+P8*Arkusz1!C$67/Arkusz1!C$5)*(1+Arkusz1!C$94)</f>
        <v>4.5055627657292735E-2</v>
      </c>
      <c r="S8" s="55">
        <f>O8*Arkusz1!C$67/Arkusz1!C$5</f>
        <v>-3.528778889735381E-2</v>
      </c>
      <c r="T8" s="56">
        <f t="shared" si="7"/>
        <v>-0.66848423282178382</v>
      </c>
      <c r="U8" s="51">
        <f t="shared" si="8"/>
        <v>-14.836864284889892</v>
      </c>
      <c r="V8" s="72">
        <f t="shared" si="9"/>
        <v>-147.1551333297914</v>
      </c>
      <c r="W8" s="74">
        <f t="shared" si="10"/>
        <v>-8.6018467421627296</v>
      </c>
      <c r="X8" s="26">
        <f t="shared" si="11"/>
        <v>0.44687116953132888</v>
      </c>
      <c r="Y8" s="15">
        <f t="shared" si="12"/>
        <v>-1.4836864284889892</v>
      </c>
      <c r="Z8" s="15">
        <f t="shared" si="13"/>
        <v>-1.471551333297914</v>
      </c>
      <c r="AA8" s="15">
        <f>Arkusz1!C$32*('projekty 2 i 3'!D8-'projekty 2 i 3'!D$18)</f>
        <v>-0.60465527662576335</v>
      </c>
    </row>
    <row r="9" spans="1:27" ht="10.8" customHeight="1" x14ac:dyDescent="0.25">
      <c r="A9" s="15">
        <v>-6.6508110779846703</v>
      </c>
      <c r="B9" s="15">
        <v>-0.43943443266479698</v>
      </c>
      <c r="C9" s="15">
        <v>7.3552303113343402E-3</v>
      </c>
      <c r="D9" s="15">
        <f t="shared" si="3"/>
        <v>-0.11607855123894585</v>
      </c>
      <c r="E9" s="1">
        <f>(Arkusz1!C$35-Arkusz1!C$33)*(1-ABS('projekty 2 i 3'!G9/Arkusz1!C$36))</f>
        <v>-3.0303757422632218E-4</v>
      </c>
      <c r="F9" s="15">
        <f t="shared" si="4"/>
        <v>-0.13561001731108233</v>
      </c>
      <c r="G9" s="49">
        <f t="shared" si="5"/>
        <v>-0.43943443266479698</v>
      </c>
      <c r="H9" s="50">
        <f t="shared" si="6"/>
        <v>7.3552303113343402E-3</v>
      </c>
      <c r="I9" s="51">
        <f t="shared" si="0"/>
        <v>-6.6508110779846703</v>
      </c>
      <c r="J9" s="52">
        <f t="shared" si="1"/>
        <v>7.0521927371080184E-3</v>
      </c>
      <c r="K9" s="53">
        <f>DEGREES(G9*(1+Arkusz1!C$46)/Arkusz1!C$20/PI())</f>
        <v>-1.1190705736363795</v>
      </c>
      <c r="L9" s="51">
        <f t="shared" si="2"/>
        <v>-7.7698816516210503</v>
      </c>
      <c r="M9" s="50">
        <f>G9^2*(1+Arkusz1!C$45)/Arkusz1!C$20/PI()</f>
        <v>8.562342567892749E-3</v>
      </c>
      <c r="N9" s="54">
        <f>J9+M9+Arkusz1!C$38</f>
        <v>1.6352235005116438E-2</v>
      </c>
      <c r="O9" s="66">
        <f>Arkusz1!C$31/Arkusz1!C$77+(Arkusz1!C$68-Arkusz1!C$29)/Arkusz1!C$77*'projekty 2 i 3'!G9</f>
        <v>-0.13355824571692665</v>
      </c>
      <c r="P9" s="55">
        <f>Arkusz1!C$72+Arkusz1!C$73+1/PI()/Arkusz1!C$76*'projekty 2 i 3'!O9^2</f>
        <v>1.1940166182982383E-2</v>
      </c>
      <c r="Q9" s="55">
        <f>Arkusz1!C$92*(1+1/Arkusz1!C$93*ABS('projekty 2 i 3'!G9))</f>
        <v>1.3163417846526047E-2</v>
      </c>
      <c r="R9" s="55">
        <f>(N9+Q9+P9*Arkusz1!C$67/Arkusz1!C$5)*(1+Arkusz1!C$94)</f>
        <v>3.3850276665798894E-2</v>
      </c>
      <c r="S9" s="55">
        <f>O9*Arkusz1!C$67/Arkusz1!C$5</f>
        <v>-3.3922540344064472E-2</v>
      </c>
      <c r="T9" s="56">
        <f t="shared" si="7"/>
        <v>-0.47335697300886148</v>
      </c>
      <c r="U9" s="51">
        <f t="shared" si="8"/>
        <v>-13.983843549707952</v>
      </c>
      <c r="V9" s="72">
        <f t="shared" si="9"/>
        <v>-92.56395275519219</v>
      </c>
      <c r="W9" s="74">
        <f t="shared" si="10"/>
        <v>-6.6508110779846703</v>
      </c>
      <c r="X9" s="26">
        <f t="shared" si="11"/>
        <v>0.22406682389611202</v>
      </c>
      <c r="Y9" s="15">
        <f t="shared" si="12"/>
        <v>-1.3983843549707953</v>
      </c>
      <c r="Z9" s="15">
        <f t="shared" si="13"/>
        <v>-0.92563952755192191</v>
      </c>
      <c r="AA9" s="15">
        <f>Arkusz1!C$32*('projekty 2 i 3'!D9-'projekty 2 i 3'!D$18)</f>
        <v>-0.39577011655852362</v>
      </c>
    </row>
    <row r="10" spans="1:27" ht="10.8" customHeight="1" x14ac:dyDescent="0.25">
      <c r="A10" s="15">
        <v>-5.8083580664623504</v>
      </c>
      <c r="B10" s="15">
        <v>-0.332628100255005</v>
      </c>
      <c r="C10" s="15">
        <v>7.0863034542760599E-3</v>
      </c>
      <c r="D10" s="15">
        <f t="shared" si="3"/>
        <v>-0.10137497239453964</v>
      </c>
      <c r="E10" s="1">
        <f>(Arkusz1!C$35-Arkusz1!C$33)*(1-ABS('projekty 2 i 3'!G10/Arkusz1!C$36))</f>
        <v>-3.2979859460557784E-4</v>
      </c>
      <c r="F10" s="15">
        <f t="shared" si="4"/>
        <v>-0.11615923592021007</v>
      </c>
      <c r="G10" s="49">
        <f t="shared" si="5"/>
        <v>-0.332628100255005</v>
      </c>
      <c r="H10" s="50">
        <f t="shared" si="6"/>
        <v>7.0863034542760599E-3</v>
      </c>
      <c r="I10" s="51">
        <f t="shared" si="0"/>
        <v>-5.8083580664623504</v>
      </c>
      <c r="J10" s="52">
        <f t="shared" si="1"/>
        <v>6.7565048596704824E-3</v>
      </c>
      <c r="K10" s="53">
        <f>DEGREES(G10*(1+Arkusz1!C$46)/Arkusz1!C$20/PI())</f>
        <v>-0.84707590323011839</v>
      </c>
      <c r="L10" s="51">
        <f t="shared" si="2"/>
        <v>-6.6554339696924689</v>
      </c>
      <c r="M10" s="50">
        <f>G10^2*(1+Arkusz1!C$45)/Arkusz1!C$20/PI()</f>
        <v>4.9059407918667945E-3</v>
      </c>
      <c r="N10" s="54">
        <f>J10+M10+Arkusz1!C$38</f>
        <v>1.2400145351652948E-2</v>
      </c>
      <c r="O10" s="66">
        <f>Arkusz1!C$31/Arkusz1!C$77+(Arkusz1!C$68-Arkusz1!C$29)/Arkusz1!C$77*'projekty 2 i 3'!G10</f>
        <v>-0.13059530861857779</v>
      </c>
      <c r="P10" s="55">
        <f>Arkusz1!C$72+Arkusz1!C$73+1/PI()/Arkusz1!C$76*'projekty 2 i 3'!O10^2</f>
        <v>1.1876975930969097E-2</v>
      </c>
      <c r="Q10" s="55">
        <f>Arkusz1!C$92*(1+1/Arkusz1!C$93*ABS('projekty 2 i 3'!G10))</f>
        <v>1.2945085569543262E-2</v>
      </c>
      <c r="R10" s="55">
        <f>(N10+Q10+P10*Arkusz1!C$67/Arkusz1!C$5)*(1+Arkusz1!C$94)</f>
        <v>2.9496346138232064E-2</v>
      </c>
      <c r="S10" s="55">
        <f>O10*Arkusz1!C$67/Arkusz1!C$5</f>
        <v>-3.316998214208948E-2</v>
      </c>
      <c r="T10" s="56">
        <f t="shared" si="7"/>
        <v>-0.36579808239709449</v>
      </c>
      <c r="U10" s="51">
        <f t="shared" si="8"/>
        <v>-12.401471039253932</v>
      </c>
      <c r="V10" s="72">
        <f t="shared" si="9"/>
        <v>-56.258458903736212</v>
      </c>
      <c r="W10" s="74">
        <f t="shared" si="10"/>
        <v>-5.8083580664623504</v>
      </c>
      <c r="X10" s="26">
        <f t="shared" si="11"/>
        <v>0.13380823708539152</v>
      </c>
      <c r="Y10" s="15">
        <f t="shared" si="12"/>
        <v>-1.2401471039253933</v>
      </c>
      <c r="Z10" s="15">
        <f t="shared" si="13"/>
        <v>-0.56258458903736208</v>
      </c>
      <c r="AA10" s="15">
        <f>Arkusz1!C$32*('projekty 2 i 3'!D10-'projekty 2 i 3'!D$18)</f>
        <v>-0.30557395285328265</v>
      </c>
    </row>
    <row r="11" spans="1:27" ht="10.8" customHeight="1" x14ac:dyDescent="0.25">
      <c r="A11" s="15">
        <v>-4.8982819494061296</v>
      </c>
      <c r="B11" s="15">
        <v>-0.23910098252062001</v>
      </c>
      <c r="C11" s="15">
        <v>6.9318443865906496E-3</v>
      </c>
      <c r="D11" s="15">
        <f t="shared" si="3"/>
        <v>-8.549114770814327E-2</v>
      </c>
      <c r="E11" s="1">
        <f>(Arkusz1!C$35-Arkusz1!C$33)*(1-ABS('projekty 2 i 3'!G11/Arkusz1!C$36))</f>
        <v>-3.5323242148861255E-4</v>
      </c>
      <c r="F11" s="15">
        <f t="shared" si="4"/>
        <v>-9.6118427640661169E-2</v>
      </c>
      <c r="G11" s="49">
        <f t="shared" si="5"/>
        <v>-0.23910098252062001</v>
      </c>
      <c r="H11" s="50">
        <f t="shared" si="6"/>
        <v>6.9318443865906496E-3</v>
      </c>
      <c r="I11" s="51">
        <f t="shared" si="0"/>
        <v>-4.8982819494061296</v>
      </c>
      <c r="J11" s="52">
        <f t="shared" si="1"/>
        <v>6.5786119651020372E-3</v>
      </c>
      <c r="K11" s="53">
        <f>DEGREES(G11*(1+Arkusz1!C$46)/Arkusz1!C$20/PI())</f>
        <v>-0.60889828783735001</v>
      </c>
      <c r="L11" s="51">
        <f t="shared" si="2"/>
        <v>-5.5071802372434799</v>
      </c>
      <c r="M11" s="50">
        <f>G11^2*(1+Arkusz1!C$45)/Arkusz1!C$20/PI()</f>
        <v>2.5349368994567645E-3</v>
      </c>
      <c r="N11" s="54">
        <f>J11+M11+Arkusz1!C$38</f>
        <v>9.8512485646744738E-3</v>
      </c>
      <c r="O11" s="66">
        <f>Arkusz1!C$31/Arkusz1!C$77+(Arkusz1!C$68-Arkusz1!C$29)/Arkusz1!C$77*'projekty 2 i 3'!G11</f>
        <v>-0.12800075302824421</v>
      </c>
      <c r="P11" s="55">
        <f>Arkusz1!C$72+Arkusz1!C$73+1/PI()/Arkusz1!C$76*'projekty 2 i 3'!O11^2</f>
        <v>1.1822806274231233E-2</v>
      </c>
      <c r="Q11" s="55">
        <f>Arkusz1!C$92*(1+1/Arkusz1!C$93*ABS('projekty 2 i 3'!G11))</f>
        <v>1.2753898510556552E-2</v>
      </c>
      <c r="R11" s="55">
        <f>(N11+Q11+P11*Arkusz1!C$67/Arkusz1!C$5)*(1+Arkusz1!C$94)</f>
        <v>2.6632350010885084E-2</v>
      </c>
      <c r="S11" s="55">
        <f>O11*Arkusz1!C$67/Arkusz1!C$5</f>
        <v>-3.2510989384169069E-2</v>
      </c>
      <c r="T11" s="56">
        <f t="shared" si="7"/>
        <v>-0.27161197190478908</v>
      </c>
      <c r="U11" s="51">
        <f t="shared" si="8"/>
        <v>-10.198573231193521</v>
      </c>
      <c r="V11" s="72">
        <f t="shared" si="9"/>
        <v>-28.250604549111191</v>
      </c>
      <c r="W11" s="74">
        <f t="shared" si="10"/>
        <v>-4.8982819494061296</v>
      </c>
      <c r="X11" s="26">
        <f t="shared" si="11"/>
        <v>7.3773063282007931E-2</v>
      </c>
      <c r="Y11" s="15">
        <f t="shared" si="12"/>
        <v>-1.0198573231193522</v>
      </c>
      <c r="Z11" s="15">
        <f t="shared" si="13"/>
        <v>-0.28250604549111191</v>
      </c>
      <c r="AA11" s="15">
        <f>Arkusz1!C$32*('projekty 2 i 3'!D11-'projekty 2 i 3'!D$18)</f>
        <v>-0.20813780707952134</v>
      </c>
    </row>
    <row r="12" spans="1:27" ht="10.8" customHeight="1" x14ac:dyDescent="0.25">
      <c r="A12" s="15">
        <v>-4.4449890032788897</v>
      </c>
      <c r="B12" s="15">
        <v>-0.179030941596757</v>
      </c>
      <c r="C12" s="15">
        <v>6.8317212948733703E-3</v>
      </c>
      <c r="D12" s="15">
        <f t="shared" si="3"/>
        <v>-7.7579693322157653E-2</v>
      </c>
      <c r="E12" s="1">
        <f>(Arkusz1!C$35-Arkusz1!C$33)*(1-ABS('projekty 2 i 3'!G12/Arkusz1!C$36))</f>
        <v>-3.6828336044585026E-4</v>
      </c>
      <c r="F12" s="15">
        <f t="shared" si="4"/>
        <v>-8.5537050556216354E-2</v>
      </c>
      <c r="G12" s="49">
        <f t="shared" si="5"/>
        <v>-0.179030941596757</v>
      </c>
      <c r="H12" s="50">
        <f t="shared" si="6"/>
        <v>6.8317212948733703E-3</v>
      </c>
      <c r="I12" s="51">
        <f t="shared" si="0"/>
        <v>-4.4449890032788897</v>
      </c>
      <c r="J12" s="52">
        <f t="shared" si="1"/>
        <v>6.4634379344275204E-3</v>
      </c>
      <c r="K12" s="53">
        <f>DEGREES(G12*(1+Arkusz1!C$46)/Arkusz1!C$20/PI())</f>
        <v>-0.45592298558945826</v>
      </c>
      <c r="L12" s="51">
        <f t="shared" si="2"/>
        <v>-4.9009119888683479</v>
      </c>
      <c r="M12" s="50">
        <f>G12^2*(1+Arkusz1!C$45)/Arkusz1!C$20/PI()</f>
        <v>1.421217751471103E-3</v>
      </c>
      <c r="N12" s="54">
        <f>J12+M12+Arkusz1!C$38</f>
        <v>8.6223553860142951E-3</v>
      </c>
      <c r="O12" s="66">
        <f>Arkusz1!C$31/Arkusz1!C$77+(Arkusz1!C$68-Arkusz1!C$29)/Arkusz1!C$77*'projekty 2 i 3'!G12</f>
        <v>-0.12633433729486085</v>
      </c>
      <c r="P12" s="55">
        <f>Arkusz1!C$72+Arkusz1!C$73+1/PI()/Arkusz1!C$76*'projekty 2 i 3'!O12^2</f>
        <v>1.17885877844916E-2</v>
      </c>
      <c r="Q12" s="55">
        <f>Arkusz1!C$92*(1+1/Arkusz1!C$93*ABS('projekty 2 i 3'!G12))</f>
        <v>1.2631104023399779E-2</v>
      </c>
      <c r="R12" s="55">
        <f>(N12+Q12+P12*Arkusz1!C$67/Arkusz1!C$5)*(1+Arkusz1!C$94)</f>
        <v>2.5217556016338221E-2</v>
      </c>
      <c r="S12" s="55">
        <f>O12*Arkusz1!C$67/Arkusz1!C$5</f>
        <v>-3.2087735434985783E-2</v>
      </c>
      <c r="T12" s="56">
        <f t="shared" si="7"/>
        <v>-0.21111867703174278</v>
      </c>
      <c r="U12" s="51">
        <f t="shared" si="8"/>
        <v>-8.3718928549206328</v>
      </c>
      <c r="V12" s="72">
        <f t="shared" si="9"/>
        <v>-14.797010390388396</v>
      </c>
      <c r="W12" s="74">
        <f t="shared" si="10"/>
        <v>-4.4449890032788897</v>
      </c>
      <c r="X12" s="26">
        <f t="shared" si="11"/>
        <v>4.4571095791633319E-2</v>
      </c>
      <c r="Y12" s="15">
        <f t="shared" si="12"/>
        <v>-0.83718928549206328</v>
      </c>
      <c r="Z12" s="15">
        <f t="shared" si="13"/>
        <v>-0.14797010390388396</v>
      </c>
      <c r="AA12" s="15">
        <f>Arkusz1!C$32*('projekty 2 i 3'!D12-'projekty 2 i 3'!D$18)</f>
        <v>-0.1596065724395698</v>
      </c>
    </row>
    <row r="13" spans="1:27" ht="10.8" customHeight="1" x14ac:dyDescent="0.25">
      <c r="A13" s="15">
        <v>-3.9895146666505701</v>
      </c>
      <c r="B13" s="15">
        <v>-0.135594003243732</v>
      </c>
      <c r="C13" s="15">
        <v>6.5990184217938497E-3</v>
      </c>
      <c r="D13" s="15">
        <f t="shared" si="3"/>
        <v>-6.9630166489656461E-2</v>
      </c>
      <c r="E13" s="1">
        <f>(Arkusz1!C$35-Arkusz1!C$33)*(1-ABS('projekty 2 i 3'!G13/Arkusz1!C$36))</f>
        <v>-3.7916676750843751E-4</v>
      </c>
      <c r="F13" s="15">
        <f t="shared" si="4"/>
        <v>-7.5656889652609624E-2</v>
      </c>
      <c r="G13" s="49">
        <f t="shared" si="5"/>
        <v>-0.135594003243732</v>
      </c>
      <c r="H13" s="50">
        <f t="shared" si="6"/>
        <v>6.5990184217938497E-3</v>
      </c>
      <c r="I13" s="51">
        <f t="shared" si="0"/>
        <v>-3.9895146666505701</v>
      </c>
      <c r="J13" s="52">
        <f t="shared" si="1"/>
        <v>6.2198516542854125E-3</v>
      </c>
      <c r="K13" s="53">
        <f>DEGREES(G13*(1+Arkusz1!C$46)/Arkusz1!C$20/PI())</f>
        <v>-0.34530580153095058</v>
      </c>
      <c r="L13" s="51">
        <f t="shared" si="2"/>
        <v>-4.3348204681815208</v>
      </c>
      <c r="M13" s="50">
        <f>G13^2*(1+Arkusz1!C$45)/Arkusz1!C$20/PI()</f>
        <v>8.152398446850857E-4</v>
      </c>
      <c r="N13" s="54">
        <f>J13+M13+Arkusz1!C$38</f>
        <v>7.7727911990861697E-3</v>
      </c>
      <c r="O13" s="66">
        <f>Arkusz1!C$31/Arkusz1!C$77+(Arkusz1!C$68-Arkusz1!C$29)/Arkusz1!C$77*'projekty 2 i 3'!G13</f>
        <v>-0.12512934398424821</v>
      </c>
      <c r="P13" s="55">
        <f>Arkusz1!C$72+Arkusz1!C$73+1/PI()/Arkusz1!C$76*'projekty 2 i 3'!O13^2</f>
        <v>1.1764123579789927E-2</v>
      </c>
      <c r="Q13" s="55">
        <f>Arkusz1!C$92*(1+1/Arkusz1!C$93*ABS('projekty 2 i 3'!G13))</f>
        <v>1.2542310733322277E-2</v>
      </c>
      <c r="R13" s="55">
        <f>(N13+Q13+P13*Arkusz1!C$67/Arkusz1!C$5)*(1+Arkusz1!C$94)</f>
        <v>2.4235202014837653E-2</v>
      </c>
      <c r="S13" s="55">
        <f>O13*Arkusz1!C$67/Arkusz1!C$5</f>
        <v>-3.1781678448581353E-2</v>
      </c>
      <c r="T13" s="56">
        <f t="shared" si="7"/>
        <v>-0.16737568169231334</v>
      </c>
      <c r="U13" s="51">
        <f t="shared" si="8"/>
        <v>-6.9063043745143942</v>
      </c>
      <c r="V13" s="72">
        <f t="shared" si="9"/>
        <v>-7.9833246036920746</v>
      </c>
      <c r="W13" s="74">
        <f t="shared" si="10"/>
        <v>-3.9895146666505701</v>
      </c>
      <c r="X13" s="26">
        <f t="shared" si="11"/>
        <v>2.8014618821966597E-2</v>
      </c>
      <c r="Y13" s="15">
        <f t="shared" si="12"/>
        <v>-0.69063043745143937</v>
      </c>
      <c r="Z13" s="15">
        <f t="shared" si="13"/>
        <v>-7.9833246036920741E-2</v>
      </c>
      <c r="AA13" s="15">
        <f>Arkusz1!C$32*('projekty 2 i 3'!D13-'projekty 2 i 3'!D$18)</f>
        <v>-0.11084178999095773</v>
      </c>
    </row>
    <row r="14" spans="1:27" ht="10.8" customHeight="1" x14ac:dyDescent="0.25">
      <c r="A14" s="15">
        <v>-3.5331677738218001</v>
      </c>
      <c r="B14" s="15">
        <v>-9.8810305919042801E-2</v>
      </c>
      <c r="C14" s="15">
        <v>6.4764364600097398E-3</v>
      </c>
      <c r="D14" s="15">
        <f t="shared" si="3"/>
        <v>-6.1665410678548728E-2</v>
      </c>
      <c r="E14" s="1">
        <f>(Arkusz1!C$35-Arkusz1!C$33)*(1-ABS('projekty 2 i 3'!G14/Arkusz1!C$36))</f>
        <v>-3.8838316181316444E-4</v>
      </c>
      <c r="F14" s="15">
        <f t="shared" si="4"/>
        <v>-6.6057215221337839E-2</v>
      </c>
      <c r="G14" s="49">
        <f t="shared" si="5"/>
        <v>-9.8810305919042801E-2</v>
      </c>
      <c r="H14" s="50">
        <f t="shared" si="6"/>
        <v>6.4764364600097398E-3</v>
      </c>
      <c r="I14" s="51">
        <f t="shared" si="0"/>
        <v>-3.5331677738218001</v>
      </c>
      <c r="J14" s="52">
        <f t="shared" si="1"/>
        <v>6.0880532981965755E-3</v>
      </c>
      <c r="K14" s="53">
        <f>DEGREES(G14*(1+Arkusz1!C$46)/Arkusz1!C$20/PI())</f>
        <v>-0.2516318647481981</v>
      </c>
      <c r="L14" s="51">
        <f t="shared" si="2"/>
        <v>-3.7847996385699982</v>
      </c>
      <c r="M14" s="50">
        <f>G14^2*(1+Arkusz1!C$45)/Arkusz1!C$20/PI()</f>
        <v>4.3292126569683125E-4</v>
      </c>
      <c r="N14" s="54">
        <f>J14+M14+Arkusz1!C$38</f>
        <v>7.2586742640090782E-3</v>
      </c>
      <c r="O14" s="66">
        <f>Arkusz1!C$31/Arkusz1!C$77+(Arkusz1!C$68-Arkusz1!C$29)/Arkusz1!C$77*'projekty 2 i 3'!G14</f>
        <v>-0.12410891964274384</v>
      </c>
      <c r="P14" s="55">
        <f>Arkusz1!C$72+Arkusz1!C$73+1/PI()/Arkusz1!C$76*'projekty 2 i 3'!O14^2</f>
        <v>1.1743589902903424E-2</v>
      </c>
      <c r="Q14" s="55">
        <f>Arkusz1!C$92*(1+1/Arkusz1!C$93*ABS('projekty 2 i 3'!G14))</f>
        <v>1.2467117922076484E-2</v>
      </c>
      <c r="R14" s="55">
        <f>(N14+Q14+P14*Arkusz1!C$67/Arkusz1!C$5)*(1+Arkusz1!C$94)</f>
        <v>2.3616895903092169E-2</v>
      </c>
      <c r="S14" s="55">
        <f>O14*Arkusz1!C$67/Arkusz1!C$5</f>
        <v>-3.1522500247288456E-2</v>
      </c>
      <c r="T14" s="56">
        <f t="shared" si="7"/>
        <v>-0.13033280616633125</v>
      </c>
      <c r="U14" s="51">
        <f t="shared" si="8"/>
        <v>-5.5186255933518646</v>
      </c>
      <c r="V14" s="72">
        <f t="shared" si="9"/>
        <v>-3.9693153849694935</v>
      </c>
      <c r="W14" s="74">
        <f t="shared" si="10"/>
        <v>-3.5331677738218001</v>
      </c>
      <c r="X14" s="26">
        <f t="shared" si="11"/>
        <v>1.6986640363190472E-2</v>
      </c>
      <c r="Y14" s="15">
        <f t="shared" si="12"/>
        <v>-0.55186255933518646</v>
      </c>
      <c r="Z14" s="15">
        <f t="shared" si="13"/>
        <v>-3.9693153849694934E-2</v>
      </c>
      <c r="AA14" s="15">
        <f>Arkusz1!C$32*('projekty 2 i 3'!D14-'projekty 2 i 3'!D$18)</f>
        <v>-6.1983588418879562E-2</v>
      </c>
    </row>
    <row r="15" spans="1:27" ht="10.8" customHeight="1" x14ac:dyDescent="0.25">
      <c r="A15" s="15">
        <v>-3.34164168782578</v>
      </c>
      <c r="B15" s="15">
        <v>-5.2155816576904698E-2</v>
      </c>
      <c r="C15" s="15">
        <v>6.3058939434377697E-3</v>
      </c>
      <c r="D15" s="15">
        <f t="shared" si="3"/>
        <v>-5.8322649874460376E-2</v>
      </c>
      <c r="E15" s="1">
        <f>(Arkusz1!C$35-Arkusz1!C$33)*(1-ABS('projekty 2 i 3'!G15/Arkusz1!C$36))</f>
        <v>-4.000727471766842E-4</v>
      </c>
      <c r="F15" s="15">
        <f t="shared" si="4"/>
        <v>-6.0640810414950931E-2</v>
      </c>
      <c r="G15" s="49">
        <f t="shared" si="5"/>
        <v>-5.2155816576904698E-2</v>
      </c>
      <c r="H15" s="50">
        <f t="shared" si="6"/>
        <v>6.3058939434377697E-3</v>
      </c>
      <c r="I15" s="51">
        <f t="shared" si="0"/>
        <v>-3.34164168782578</v>
      </c>
      <c r="J15" s="52">
        <f t="shared" si="1"/>
        <v>5.9058211962610858E-3</v>
      </c>
      <c r="K15" s="53">
        <f>DEGREES(G15*(1+Arkusz1!C$46)/Arkusz1!C$20/PI())</f>
        <v>-0.1328208152038747</v>
      </c>
      <c r="L15" s="51">
        <f t="shared" si="2"/>
        <v>-3.4744625030296548</v>
      </c>
      <c r="M15" s="50">
        <f>G15^2*(1+Arkusz1!C$45)/Arkusz1!C$20/PI()</f>
        <v>1.2061739102163386E-4</v>
      </c>
      <c r="N15" s="54">
        <f>J15+M15+Arkusz1!C$38</f>
        <v>6.7641382873983909E-3</v>
      </c>
      <c r="O15" s="66">
        <f>Arkusz1!C$31/Arkusz1!C$77+(Arkusz1!C$68-Arkusz1!C$29)/Arkusz1!C$77*'projekty 2 i 3'!G15</f>
        <v>-0.12281466756838209</v>
      </c>
      <c r="P15" s="55">
        <f>Arkusz1!C$72+Arkusz1!C$73+1/PI()/Arkusz1!C$76*'projekty 2 i 3'!O15^2</f>
        <v>1.1717787946073623E-2</v>
      </c>
      <c r="Q15" s="55">
        <f>Arkusz1!C$92*(1+1/Arkusz1!C$93*ABS('projekty 2 i 3'!G15))</f>
        <v>1.23717473512525E-2</v>
      </c>
      <c r="R15" s="55">
        <f>(N15+Q15+P15*Arkusz1!C$67/Arkusz1!C$5)*(1+Arkusz1!C$94)</f>
        <v>2.2996577500806723E-2</v>
      </c>
      <c r="S15" s="55">
        <f>O15*Arkusz1!C$67/Arkusz1!C$5</f>
        <v>-3.1193772373002211E-2</v>
      </c>
      <c r="T15" s="56">
        <f t="shared" si="7"/>
        <v>-8.3349588949906905E-2</v>
      </c>
      <c r="U15" s="51">
        <f t="shared" si="8"/>
        <v>-3.6244345032204461</v>
      </c>
      <c r="V15" s="72">
        <f t="shared" si="9"/>
        <v>-1.0949239979990224</v>
      </c>
      <c r="W15" s="74">
        <f t="shared" si="10"/>
        <v>-3.34164168782578</v>
      </c>
      <c r="X15" s="26">
        <f t="shared" si="11"/>
        <v>6.9471539781184432E-3</v>
      </c>
      <c r="Y15" s="15">
        <f t="shared" si="12"/>
        <v>-0.36244345032204461</v>
      </c>
      <c r="Z15" s="15">
        <f t="shared" si="13"/>
        <v>-1.0949239979990224E-2</v>
      </c>
      <c r="AA15" s="15">
        <f>Arkusz1!C$32*('projekty 2 i 3'!D15-'projekty 2 i 3'!D$18)</f>
        <v>-4.1478090818360389E-2</v>
      </c>
    </row>
    <row r="16" spans="1:27" ht="10.8" customHeight="1" x14ac:dyDescent="0.25">
      <c r="A16" s="15">
        <v>-3.21163081396061</v>
      </c>
      <c r="B16" s="15">
        <v>-3.8794799757706902E-2</v>
      </c>
      <c r="C16" s="15">
        <v>6.1772263523452303E-3</v>
      </c>
      <c r="D16" s="15">
        <f t="shared" si="3"/>
        <v>-5.6053532062118112E-2</v>
      </c>
      <c r="E16" s="1">
        <f>(Arkusz1!C$35-Arkusz1!C$33)*(1-ABS('projekty 2 i 3'!G16/Arkusz1!C$36))</f>
        <v>-4.0342043673140341E-4</v>
      </c>
      <c r="F16" s="15">
        <f t="shared" si="4"/>
        <v>-5.7777837803586876E-2</v>
      </c>
      <c r="G16" s="49">
        <f t="shared" si="5"/>
        <v>-3.8794799757706902E-2</v>
      </c>
      <c r="H16" s="50">
        <f t="shared" si="6"/>
        <v>6.1772263523452303E-3</v>
      </c>
      <c r="I16" s="51">
        <f t="shared" si="0"/>
        <v>-3.21163081396061</v>
      </c>
      <c r="J16" s="52">
        <f t="shared" si="1"/>
        <v>5.7738059156138269E-3</v>
      </c>
      <c r="K16" s="53">
        <f>DEGREES(G16*(1+Arkusz1!C$46)/Arkusz1!C$20/PI())</f>
        <v>-9.8795441576336518E-2</v>
      </c>
      <c r="L16" s="51">
        <f t="shared" si="2"/>
        <v>-3.3104262555369464</v>
      </c>
      <c r="M16" s="50">
        <f>G16^2*(1+Arkusz1!C$45)/Arkusz1!C$20/PI()</f>
        <v>6.6734661335461886E-5</v>
      </c>
      <c r="N16" s="54">
        <f>J16+M16+Arkusz1!C$38</f>
        <v>6.5782402770649603E-3</v>
      </c>
      <c r="O16" s="66">
        <f>Arkusz1!C$31/Arkusz1!C$77+(Arkusz1!C$68-Arkusz1!C$29)/Arkusz1!C$77*'projekty 2 i 3'!G16</f>
        <v>-0.12244401676976302</v>
      </c>
      <c r="P16" s="55">
        <f>Arkusz1!C$72+Arkusz1!C$73+1/PI()/Arkusz1!C$76*'projekty 2 i 3'!O16^2</f>
        <v>1.171044854651633E-2</v>
      </c>
      <c r="Q16" s="55">
        <f>Arkusz1!C$92*(1+1/Arkusz1!C$93*ABS('projekty 2 i 3'!G16))</f>
        <v>1.2344434914254399E-2</v>
      </c>
      <c r="R16" s="55">
        <f>(N16+Q16+P16*Arkusz1!C$67/Arkusz1!C$5)*(1+Arkusz1!C$94)</f>
        <v>2.2772899931466004E-2</v>
      </c>
      <c r="S16" s="55">
        <f>O16*Arkusz1!C$67/Arkusz1!C$5</f>
        <v>-3.1099630550442153E-2</v>
      </c>
      <c r="T16" s="56">
        <f t="shared" si="7"/>
        <v>-6.9894430308149055E-2</v>
      </c>
      <c r="U16" s="51">
        <f t="shared" si="8"/>
        <v>-3.0691932304841778</v>
      </c>
      <c r="V16" s="72">
        <f t="shared" si="9"/>
        <v>-0.65840183511236683</v>
      </c>
      <c r="W16" s="74">
        <f t="shared" si="10"/>
        <v>-3.21163081396061</v>
      </c>
      <c r="X16" s="26">
        <f t="shared" si="11"/>
        <v>4.8852313881007055E-3</v>
      </c>
      <c r="Y16" s="15">
        <f t="shared" si="12"/>
        <v>-0.30691932304841779</v>
      </c>
      <c r="Z16" s="15">
        <f t="shared" si="13"/>
        <v>-6.584018351123668E-3</v>
      </c>
      <c r="AA16" s="15">
        <f>Arkusz1!C$32*('projekty 2 i 3'!D16-'projekty 2 i 3'!D$18)</f>
        <v>-2.7558641422109242E-2</v>
      </c>
    </row>
    <row r="17" spans="1:27" ht="10.8" customHeight="1" x14ac:dyDescent="0.25">
      <c r="A17" s="15">
        <v>-3.0179233374635102</v>
      </c>
      <c r="B17" s="15">
        <v>-8.7734129864074292E-3</v>
      </c>
      <c r="C17" s="15">
        <v>5.7873113887979104E-3</v>
      </c>
      <c r="D17" s="15">
        <f t="shared" si="3"/>
        <v>-5.2672698811514186E-2</v>
      </c>
      <c r="E17" s="1">
        <f>(Arkusz1!C$35-Arkusz1!C$33)*(1-ABS('projekty 2 i 3'!G17/Arkusz1!C$36))</f>
        <v>-4.1094249020027254E-4</v>
      </c>
      <c r="F17" s="15">
        <f t="shared" si="4"/>
        <v>-5.3062649178038088E-2</v>
      </c>
      <c r="G17" s="49">
        <f t="shared" si="5"/>
        <v>-8.7734129864074292E-3</v>
      </c>
      <c r="H17" s="50">
        <f t="shared" si="6"/>
        <v>5.7873113887979104E-3</v>
      </c>
      <c r="I17" s="51">
        <f t="shared" si="0"/>
        <v>-3.0179233374635102</v>
      </c>
      <c r="J17" s="52">
        <f t="shared" si="1"/>
        <v>5.3763688985976376E-3</v>
      </c>
      <c r="K17" s="53">
        <f>DEGREES(G17*(1+Arkusz1!C$46)/Arkusz1!C$20/PI())</f>
        <v>-2.2342510221398826E-2</v>
      </c>
      <c r="L17" s="51">
        <f t="shared" si="2"/>
        <v>-3.0402658476849092</v>
      </c>
      <c r="M17" s="50">
        <f>G17^2*(1+Arkusz1!C$45)/Arkusz1!C$20/PI()</f>
        <v>3.4130415710922549E-6</v>
      </c>
      <c r="N17" s="54">
        <f>J17+M17+Arkusz1!C$38</f>
        <v>6.1174816402844012E-3</v>
      </c>
      <c r="O17" s="66">
        <f>Arkusz1!C$31/Arkusz1!C$77+(Arkusz1!C$68-Arkusz1!C$29)/Arkusz1!C$77*'projekty 2 i 3'!G17</f>
        <v>-0.12161118711817198</v>
      </c>
      <c r="P17" s="55">
        <f>Arkusz1!C$72+Arkusz1!C$73+1/PI()/Arkusz1!C$76*'projekty 2 i 3'!O17^2</f>
        <v>1.1694038287026318E-2</v>
      </c>
      <c r="Q17" s="55">
        <f>Arkusz1!C$92*(1+1/Arkusz1!C$93*ABS('projekty 2 i 3'!G17))</f>
        <v>1.2283065540509683E-2</v>
      </c>
      <c r="R17" s="55">
        <f>(N17+Q17+P17*Arkusz1!C$67/Arkusz1!C$5)*(1+Arkusz1!C$94)</f>
        <v>2.2225552026623262E-2</v>
      </c>
      <c r="S17" s="55">
        <f>O17*Arkusz1!C$67/Arkusz1!C$5</f>
        <v>-3.0888099638934761E-2</v>
      </c>
      <c r="T17" s="56">
        <f t="shared" si="7"/>
        <v>-3.9661512625342191E-2</v>
      </c>
      <c r="U17" s="51">
        <f t="shared" si="8"/>
        <v>-1.7845006764211284</v>
      </c>
      <c r="V17" s="72">
        <f t="shared" si="9"/>
        <v>-0.12629981292876302</v>
      </c>
      <c r="W17" s="74">
        <f t="shared" si="10"/>
        <v>-3.0179233374635102</v>
      </c>
      <c r="X17" s="26">
        <f t="shared" si="11"/>
        <v>1.5730355837301781E-3</v>
      </c>
      <c r="Y17" s="15">
        <f t="shared" si="12"/>
        <v>-0.17845006764211285</v>
      </c>
      <c r="Z17" s="15">
        <f t="shared" si="13"/>
        <v>-1.2629981292876303E-3</v>
      </c>
      <c r="AA17" s="15">
        <f>Arkusz1!C$32*('projekty 2 i 3'!D17-'projekty 2 i 3'!D$18)</f>
        <v>-6.8195960129295791E-3</v>
      </c>
    </row>
    <row r="18" spans="1:27" ht="10.8" customHeight="1" x14ac:dyDescent="0.25">
      <c r="A18" s="15">
        <v>-2.9542267348315701</v>
      </c>
      <c r="B18" s="15">
        <v>7.88695696569474E-3</v>
      </c>
      <c r="C18" s="15">
        <v>5.7225429054439001E-3</v>
      </c>
      <c r="D18" s="15">
        <f t="shared" si="3"/>
        <v>-5.156098337325235E-2</v>
      </c>
      <c r="E18" s="1">
        <f>(Arkusz1!C$35-Arkusz1!C$33)*(1-ABS('projekty 2 i 3'!G18/Arkusz1!C$36))</f>
        <v>-4.1116459751451475E-4</v>
      </c>
      <c r="F18" s="15">
        <f t="shared" si="4"/>
        <v>-5.1210433163853139E-2</v>
      </c>
      <c r="G18" s="49">
        <f t="shared" si="5"/>
        <v>7.88695696569474E-3</v>
      </c>
      <c r="H18" s="50">
        <f t="shared" si="6"/>
        <v>5.7225429054439001E-3</v>
      </c>
      <c r="I18" s="51">
        <f t="shared" si="0"/>
        <v>-2.9542267348315701</v>
      </c>
      <c r="J18" s="52">
        <f t="shared" si="1"/>
        <v>5.3113783079293854E-3</v>
      </c>
      <c r="K18" s="53">
        <f>DEGREES(G18*(1+Arkusz1!C$46)/Arkusz1!C$20/PI())</f>
        <v>2.0085047506001923E-2</v>
      </c>
      <c r="L18" s="51">
        <f t="shared" si="2"/>
        <v>-2.9341416873255683</v>
      </c>
      <c r="M18" s="50">
        <f>G18^2*(1+Arkusz1!C$45)/Arkusz1!C$20/PI()</f>
        <v>2.7581848840158547E-6</v>
      </c>
      <c r="N18" s="54">
        <f>J18+M18+Arkusz1!C$38</f>
        <v>6.0518361929290726E-3</v>
      </c>
      <c r="O18" s="66">
        <f>Arkusz1!C$31/Arkusz1!C$77+(Arkusz1!C$68-Arkusz1!C$29)/Arkusz1!C$77*'projekty 2 i 3'!G18</f>
        <v>-0.1211490082652</v>
      </c>
      <c r="P18" s="55">
        <f>Arkusz1!C$72+Arkusz1!C$73+1/PI()/Arkusz1!C$76*'projekty 2 i 3'!O18^2</f>
        <v>1.1684979735777031E-2</v>
      </c>
      <c r="Q18" s="55">
        <f>Arkusz1!C$92*(1+1/Arkusz1!C$93*ABS('projekty 2 i 3'!G18))</f>
        <v>1.2281253457301878E-2</v>
      </c>
      <c r="R18" s="55">
        <f>(N18+Q18+P18*Arkusz1!C$67/Arkusz1!C$5)*(1+Arkusz1!C$94)</f>
        <v>2.2153003376398681E-2</v>
      </c>
      <c r="S18" s="55">
        <f>O18*Arkusz1!C$67/Arkusz1!C$5</f>
        <v>-3.077071054998742E-2</v>
      </c>
      <c r="T18" s="56">
        <f t="shared" si="7"/>
        <v>-2.288375358429268E-2</v>
      </c>
      <c r="U18" s="51">
        <f t="shared" si="8"/>
        <v>-1.03298650731361</v>
      </c>
      <c r="V18" s="72">
        <f t="shared" si="9"/>
        <v>-2.4418363827675763E-2</v>
      </c>
      <c r="W18" s="74">
        <f t="shared" si="10"/>
        <v>-2.9542267348315701</v>
      </c>
      <c r="X18" s="26">
        <f t="shared" si="11"/>
        <v>5.2366617810662808E-4</v>
      </c>
      <c r="Y18" s="15">
        <f t="shared" si="12"/>
        <v>-0.10329865073136099</v>
      </c>
      <c r="Z18" s="15">
        <f t="shared" si="13"/>
        <v>-2.4418363827675765E-4</v>
      </c>
      <c r="AA18" s="15">
        <f>Arkusz1!C$32*('projekty 2 i 3'!D18-'projekty 2 i 3'!D$18)</f>
        <v>0</v>
      </c>
    </row>
    <row r="19" spans="1:27" ht="10.8" customHeight="1" x14ac:dyDescent="0.25">
      <c r="A19" s="15">
        <v>-2.7592104240338098</v>
      </c>
      <c r="B19" s="15">
        <v>2.7928482194491101E-2</v>
      </c>
      <c r="C19" s="15">
        <v>5.6374889910617799E-3</v>
      </c>
      <c r="D19" s="15">
        <f t="shared" si="3"/>
        <v>-4.8157306654738864E-2</v>
      </c>
      <c r="E19" s="1">
        <f>(Arkusz1!C$35-Arkusz1!C$33)*(1-ABS('projekty 2 i 3'!G19/Arkusz1!C$36))</f>
        <v>-4.0614306318243599E-4</v>
      </c>
      <c r="F19" s="15">
        <f t="shared" si="4"/>
        <v>-4.6915974246806984E-2</v>
      </c>
      <c r="G19" s="49">
        <f t="shared" si="5"/>
        <v>2.7928482194491101E-2</v>
      </c>
      <c r="H19" s="50">
        <f t="shared" si="6"/>
        <v>5.6374889910617799E-3</v>
      </c>
      <c r="I19" s="51">
        <f t="shared" si="0"/>
        <v>-2.7592104240338098</v>
      </c>
      <c r="J19" s="52">
        <f t="shared" si="1"/>
        <v>5.2313459278793438E-3</v>
      </c>
      <c r="K19" s="53">
        <f>DEGREES(G19*(1+Arkusz1!C$46)/Arkusz1!C$20/PI())</f>
        <v>7.1123107947308362E-2</v>
      </c>
      <c r="L19" s="51">
        <f t="shared" si="2"/>
        <v>-2.6880873160865013</v>
      </c>
      <c r="M19" s="50">
        <f>G19^2*(1+Arkusz1!C$45)/Arkusz1!C$20/PI()</f>
        <v>3.4585901472980765E-5</v>
      </c>
      <c r="N19" s="54">
        <f>J19+M19+Arkusz1!C$38</f>
        <v>6.0036315294679961E-3</v>
      </c>
      <c r="O19" s="66">
        <f>Arkusz1!C$31/Arkusz1!C$77+(Arkusz1!C$68-Arkusz1!C$29)/Arkusz1!C$77*'projekty 2 i 3'!G19</f>
        <v>-0.1205930320672714</v>
      </c>
      <c r="P19" s="55">
        <f>Arkusz1!C$72+Arkusz1!C$73+1/PI()/Arkusz1!C$76*'projekty 2 i 3'!O19^2</f>
        <v>1.167412849051787E-2</v>
      </c>
      <c r="Q19" s="55">
        <f>Arkusz1!C$92*(1+1/Arkusz1!C$93*ABS('projekty 2 i 3'!G19))</f>
        <v>1.232222211279903E-2</v>
      </c>
      <c r="R19" s="55">
        <f>(N19+Q19+P19*Arkusz1!C$67/Arkusz1!C$5)*(1+Arkusz1!C$94)</f>
        <v>2.2142611569133754E-2</v>
      </c>
      <c r="S19" s="55">
        <f>O19*Arkusz1!C$67/Arkusz1!C$5</f>
        <v>-3.0629497816147336E-2</v>
      </c>
      <c r="T19" s="56">
        <f t="shared" si="7"/>
        <v>-2.7010156216562345E-3</v>
      </c>
      <c r="U19" s="51">
        <f t="shared" si="8"/>
        <v>-0.12198270349561578</v>
      </c>
      <c r="V19" s="72">
        <f t="shared" si="9"/>
        <v>-4.0190518097427508E-5</v>
      </c>
      <c r="W19" s="74">
        <f t="shared" si="10"/>
        <v>-2.7592104240338098</v>
      </c>
      <c r="X19" s="26">
        <f t="shared" si="11"/>
        <v>7.2954853884310151E-6</v>
      </c>
      <c r="Y19" s="15">
        <f t="shared" si="12"/>
        <v>-1.2198270349561578E-2</v>
      </c>
      <c r="Z19" s="15">
        <f t="shared" si="13"/>
        <v>-4.019051809742751E-7</v>
      </c>
      <c r="AA19" s="15">
        <f>Arkusz1!C$32*('projekty 2 i 3'!D19-'projekty 2 i 3'!D$18)</f>
        <v>2.0879174094377277E-2</v>
      </c>
    </row>
    <row r="20" spans="1:27" ht="10.8" customHeight="1" x14ac:dyDescent="0.25">
      <c r="A20" s="15">
        <v>-2.49744356390259</v>
      </c>
      <c r="B20" s="15">
        <v>4.1344033776216503E-2</v>
      </c>
      <c r="C20" s="15">
        <v>5.5999609436597902E-3</v>
      </c>
      <c r="D20" s="15">
        <f t="shared" si="3"/>
        <v>-4.3588613072841599E-2</v>
      </c>
      <c r="E20" s="1">
        <f>(Arkusz1!C$35-Arkusz1!C$33)*(1-ABS('projekty 2 i 3'!G20/Arkusz1!C$36))</f>
        <v>-4.0278170958871787E-4</v>
      </c>
      <c r="F20" s="15">
        <f t="shared" si="4"/>
        <v>-4.1751001968749056E-2</v>
      </c>
      <c r="G20" s="49">
        <f t="shared" si="5"/>
        <v>4.1344033776216503E-2</v>
      </c>
      <c r="H20" s="50">
        <f t="shared" si="6"/>
        <v>5.5999609436597902E-3</v>
      </c>
      <c r="I20" s="51">
        <f t="shared" si="0"/>
        <v>-2.49744356390259</v>
      </c>
      <c r="J20" s="52">
        <f t="shared" si="1"/>
        <v>5.1971792340710721E-3</v>
      </c>
      <c r="K20" s="53">
        <f>DEGREES(G20*(1+Arkusz1!C$46)/Arkusz1!C$20/PI())</f>
        <v>0.105287360650878</v>
      </c>
      <c r="L20" s="51">
        <f t="shared" si="2"/>
        <v>-2.3921562032517119</v>
      </c>
      <c r="M20" s="50">
        <f>G20^2*(1+Arkusz1!C$45)/Arkusz1!C$20/PI()</f>
        <v>7.5793179380385163E-5</v>
      </c>
      <c r="N20" s="54">
        <f>J20+M20+Arkusz1!C$38</f>
        <v>6.0106721135671287E-3</v>
      </c>
      <c r="O20" s="66">
        <f>Arkusz1!C$31/Arkusz1!C$77+(Arkusz1!C$68-Arkusz1!C$29)/Arkusz1!C$77*'projekty 2 i 3'!G20</f>
        <v>-0.12022086840824978</v>
      </c>
      <c r="P20" s="55">
        <f>Arkusz1!C$72+Arkusz1!C$73+1/PI()/Arkusz1!C$76*'projekty 2 i 3'!O20^2</f>
        <v>1.1666892687891672E-2</v>
      </c>
      <c r="Q20" s="55">
        <f>Arkusz1!C$92*(1+1/Arkusz1!C$93*ABS('projekty 2 i 3'!G20))</f>
        <v>1.2349646029131816E-2</v>
      </c>
      <c r="R20" s="55">
        <f>(N20+Q20+P20*Arkusz1!C$67/Arkusz1!C$5)*(1+Arkusz1!C$94)</f>
        <v>2.2176543310620692E-2</v>
      </c>
      <c r="S20" s="55">
        <f>O20*Arkusz1!C$67/Arkusz1!C$5</f>
        <v>-3.0534971741250295E-2</v>
      </c>
      <c r="T20" s="56">
        <f t="shared" si="7"/>
        <v>1.0809062034966208E-2</v>
      </c>
      <c r="U20" s="51">
        <f t="shared" si="8"/>
        <v>0.48740968705386922</v>
      </c>
      <c r="V20" s="72">
        <f t="shared" si="9"/>
        <v>2.5678894441294206E-3</v>
      </c>
      <c r="W20" s="74">
        <f t="shared" si="10"/>
        <v>-2.49744356390259</v>
      </c>
      <c r="X20" s="26">
        <f t="shared" si="11"/>
        <v>1.1683582207574782E-4</v>
      </c>
      <c r="Y20" s="15">
        <f t="shared" si="12"/>
        <v>4.8740968705386925E-2</v>
      </c>
      <c r="Z20" s="15">
        <f t="shared" si="13"/>
        <v>2.5678894441294207E-5</v>
      </c>
      <c r="AA20" s="15">
        <f>Arkusz1!C$32*('projekty 2 i 3'!D20-'projekty 2 i 3'!D$18)</f>
        <v>4.8904911133809667E-2</v>
      </c>
    </row>
    <row r="21" spans="1:27" ht="10.8" customHeight="1" x14ac:dyDescent="0.25">
      <c r="A21" s="15">
        <v>-2.4341832393708698</v>
      </c>
      <c r="B21" s="15">
        <v>6.1331024242486203E-2</v>
      </c>
      <c r="C21" s="15">
        <v>5.4920134714031002E-3</v>
      </c>
      <c r="D21" s="15">
        <f t="shared" si="3"/>
        <v>-4.2484512123882941E-2</v>
      </c>
      <c r="E21" s="1">
        <f>(Arkusz1!C$35-Arkusz1!C$33)*(1-ABS('projekty 2 i 3'!G21/Arkusz1!C$36))</f>
        <v>-3.9777383929563779E-4</v>
      </c>
      <c r="F21" s="15">
        <f t="shared" si="4"/>
        <v>-3.9758542718396565E-2</v>
      </c>
      <c r="G21" s="49">
        <f t="shared" si="5"/>
        <v>6.1331024242486203E-2</v>
      </c>
      <c r="H21" s="50">
        <f t="shared" si="6"/>
        <v>5.4920134714031002E-3</v>
      </c>
      <c r="I21" s="51">
        <f t="shared" si="0"/>
        <v>-2.4341832393708698</v>
      </c>
      <c r="J21" s="52">
        <f t="shared" si="1"/>
        <v>5.0942396321074623E-3</v>
      </c>
      <c r="K21" s="53">
        <f>DEGREES(G21*(1+Arkusz1!C$46)/Arkusz1!C$20/PI())</f>
        <v>0.15618654201615539</v>
      </c>
      <c r="L21" s="51">
        <f t="shared" si="2"/>
        <v>-2.2779966973547143</v>
      </c>
      <c r="M21" s="50">
        <f>G21^2*(1+Arkusz1!C$45)/Arkusz1!C$20/PI()</f>
        <v>1.6678802530384955E-4</v>
      </c>
      <c r="N21" s="54">
        <f>J21+M21+Arkusz1!C$38</f>
        <v>5.9987273575269834E-3</v>
      </c>
      <c r="O21" s="66">
        <f>Arkusz1!C$31/Arkusz1!C$77+(Arkusz1!C$68-Arkusz1!C$29)/Arkusz1!C$77*'projekty 2 i 3'!G21</f>
        <v>-0.11966640507072368</v>
      </c>
      <c r="P21" s="55">
        <f>Arkusz1!C$72+Arkusz1!C$73+1/PI()/Arkusz1!C$76*'projekty 2 i 3'!O21^2</f>
        <v>1.165615399950928E-2</v>
      </c>
      <c r="Q21" s="55">
        <f>Arkusz1!C$92*(1+1/Arkusz1!C$93*ABS('projekty 2 i 3'!G21))</f>
        <v>1.2390503205294284E-2</v>
      </c>
      <c r="R21" s="55">
        <f>(N21+Q21+P21*Arkusz1!C$67/Arkusz1!C$5)*(1+Arkusz1!C$94)</f>
        <v>2.2203775600490881E-2</v>
      </c>
      <c r="S21" s="55">
        <f>O21*Arkusz1!C$67/Arkusz1!C$5</f>
        <v>-3.0394143259747188E-2</v>
      </c>
      <c r="T21" s="56">
        <f t="shared" si="7"/>
        <v>3.0936880982739015E-2</v>
      </c>
      <c r="U21" s="51">
        <f t="shared" si="8"/>
        <v>1.3933162332110338</v>
      </c>
      <c r="V21" s="72">
        <f t="shared" si="9"/>
        <v>6.0058699047895715E-2</v>
      </c>
      <c r="W21" s="74">
        <f t="shared" si="10"/>
        <v>-2.4341832393708698</v>
      </c>
      <c r="X21" s="26">
        <f t="shared" si="11"/>
        <v>9.5709060494015891E-4</v>
      </c>
      <c r="Y21" s="15">
        <f t="shared" si="12"/>
        <v>0.13933162332110338</v>
      </c>
      <c r="Z21" s="15">
        <f t="shared" si="13"/>
        <v>6.0058699047895717E-4</v>
      </c>
      <c r="AA21" s="15">
        <f>Arkusz1!C$32*('projekty 2 i 3'!D21-'projekty 2 i 3'!D$18)</f>
        <v>5.5677797585006766E-2</v>
      </c>
    </row>
    <row r="22" spans="1:27" ht="10.8" customHeight="1" x14ac:dyDescent="0.25">
      <c r="A22" s="15">
        <v>-2.3050449217061399</v>
      </c>
      <c r="B22" s="15">
        <v>8.1345282090019094E-2</v>
      </c>
      <c r="C22" s="15">
        <v>5.4518772971546402E-3</v>
      </c>
      <c r="D22" s="15">
        <f t="shared" si="3"/>
        <v>-4.0230623290147052E-2</v>
      </c>
      <c r="E22" s="1">
        <f>(Arkusz1!C$35-Arkusz1!C$33)*(1-ABS('projekty 2 i 3'!G22/Arkusz1!C$36))</f>
        <v>-3.9275913698305843E-4</v>
      </c>
      <c r="F22" s="15">
        <f t="shared" si="4"/>
        <v>-3.6615083634697433E-2</v>
      </c>
      <c r="G22" s="49">
        <f t="shared" si="5"/>
        <v>8.1345282090019094E-2</v>
      </c>
      <c r="H22" s="50">
        <f t="shared" si="6"/>
        <v>5.4518772971546402E-3</v>
      </c>
      <c r="I22" s="51">
        <f t="shared" si="0"/>
        <v>-2.3050449217061399</v>
      </c>
      <c r="J22" s="52">
        <f t="shared" si="1"/>
        <v>5.0591181601715822E-3</v>
      </c>
      <c r="K22" s="53">
        <f>DEGREES(G22*(1+Arkusz1!C$46)/Arkusz1!C$20/PI())</f>
        <v>0.20715516291944694</v>
      </c>
      <c r="L22" s="51">
        <f t="shared" si="2"/>
        <v>-2.0978897587866929</v>
      </c>
      <c r="M22" s="50">
        <f>G22^2*(1+Arkusz1!C$45)/Arkusz1!C$20/PI()</f>
        <v>2.9340612168642354E-4</v>
      </c>
      <c r="N22" s="54">
        <f>J22+M22+Arkusz1!C$38</f>
        <v>6.0902239819736774E-3</v>
      </c>
      <c r="O22" s="66">
        <f>Arkusz1!C$31/Arkusz1!C$77+(Arkusz1!C$68-Arkusz1!C$29)/Arkusz1!C$77*'projekty 2 i 3'!G22</f>
        <v>-0.11911118530299632</v>
      </c>
      <c r="P22" s="55">
        <f>Arkusz1!C$72+Arkusz1!C$73+1/PI()/Arkusz1!C$76*'projekty 2 i 3'!O22^2</f>
        <v>1.1645450404158693E-2</v>
      </c>
      <c r="Q22" s="55">
        <f>Arkusz1!C$92*(1+1/Arkusz1!C$93*ABS('projekty 2 i 3'!G22))</f>
        <v>1.2431416121124092E-2</v>
      </c>
      <c r="R22" s="55">
        <f>(N22+Q22+P22*Arkusz1!C$67/Arkusz1!C$5)*(1+Arkusz1!C$94)</f>
        <v>2.2338654165154001E-2</v>
      </c>
      <c r="S22" s="55">
        <f>O22*Arkusz1!C$67/Arkusz1!C$5</f>
        <v>-3.0253122652075592E-2</v>
      </c>
      <c r="T22" s="56">
        <f t="shared" si="7"/>
        <v>5.1092159437943499E-2</v>
      </c>
      <c r="U22" s="51">
        <f t="shared" si="8"/>
        <v>2.2871637234816951</v>
      </c>
      <c r="V22" s="72">
        <f t="shared" si="9"/>
        <v>0.26726910968384004</v>
      </c>
      <c r="W22" s="74">
        <f t="shared" si="10"/>
        <v>-2.3050449217061399</v>
      </c>
      <c r="X22" s="26">
        <f t="shared" si="11"/>
        <v>2.6104087560322388E-3</v>
      </c>
      <c r="Y22" s="15">
        <f t="shared" si="12"/>
        <v>0.22871637234816949</v>
      </c>
      <c r="Z22" s="15">
        <f t="shared" si="13"/>
        <v>2.6726910968384006E-3</v>
      </c>
      <c r="AA22" s="15">
        <f>Arkusz1!C$32*('projekty 2 i 3'!D22-'projekty 2 i 3'!D$18)</f>
        <v>6.9503827857792827E-2</v>
      </c>
    </row>
    <row r="23" spans="1:27" ht="10.8" customHeight="1" x14ac:dyDescent="0.25">
      <c r="A23" s="15">
        <v>-2.0441506177753501</v>
      </c>
      <c r="B23" s="15">
        <v>0.101414074700079</v>
      </c>
      <c r="C23" s="15">
        <v>5.4328959295497801E-3</v>
      </c>
      <c r="D23" s="15">
        <f t="shared" si="3"/>
        <v>-3.5677158686855982E-2</v>
      </c>
      <c r="E23" s="1">
        <f>(Arkusz1!C$35-Arkusz1!C$33)*(1-ABS('projekty 2 i 3'!G23/Arkusz1!C$36))</f>
        <v>-3.8773077063148026E-4</v>
      </c>
      <c r="F23" s="15">
        <f t="shared" si="4"/>
        <v>-3.1169624884304272E-2</v>
      </c>
      <c r="G23" s="49">
        <f t="shared" si="5"/>
        <v>0.101414074700079</v>
      </c>
      <c r="H23" s="50">
        <f t="shared" si="6"/>
        <v>5.4328959295497801E-3</v>
      </c>
      <c r="I23" s="51">
        <f t="shared" si="0"/>
        <v>-2.0441506177753501</v>
      </c>
      <c r="J23" s="52">
        <f t="shared" si="1"/>
        <v>5.0451651589182994E-3</v>
      </c>
      <c r="K23" s="53">
        <f>DEGREES(G23*(1+Arkusz1!C$46)/Arkusz1!C$20/PI())</f>
        <v>0.25826266289876848</v>
      </c>
      <c r="L23" s="51">
        <f t="shared" si="2"/>
        <v>-1.7858879548765816</v>
      </c>
      <c r="M23" s="50">
        <f>G23^2*(1+Arkusz1!C$45)/Arkusz1!C$20/PI()</f>
        <v>4.5603785760215895E-4</v>
      </c>
      <c r="N23" s="54">
        <f>J23+M23+Arkusz1!C$38</f>
        <v>6.2389027166361299E-3</v>
      </c>
      <c r="O23" s="66">
        <f>Arkusz1!C$31/Arkusz1!C$77+(Arkusz1!C$68-Arkusz1!C$29)/Arkusz1!C$77*'projekty 2 i 3'!G23</f>
        <v>-0.11855445267486645</v>
      </c>
      <c r="P23" s="55">
        <f>Arkusz1!C$72+Arkusz1!C$73+1/PI()/Arkusz1!C$76*'projekty 2 i 3'!O23^2</f>
        <v>1.1634767624597493E-2</v>
      </c>
      <c r="Q23" s="55">
        <f>Arkusz1!C$92*(1+1/Arkusz1!C$93*ABS('projekty 2 i 3'!G23))</f>
        <v>1.2472440516288588E-2</v>
      </c>
      <c r="R23" s="55">
        <f>(N23+Q23+P23*Arkusz1!C$67/Arkusz1!C$5)*(1+Arkusz1!C$94)</f>
        <v>2.2533123561445243E-2</v>
      </c>
      <c r="S23" s="55">
        <f>O23*Arkusz1!C$67/Arkusz1!C$5</f>
        <v>-3.0111717792067019E-2</v>
      </c>
      <c r="T23" s="56">
        <f t="shared" si="7"/>
        <v>7.1302356908011982E-2</v>
      </c>
      <c r="U23" s="51">
        <f t="shared" si="8"/>
        <v>3.1643352380143228</v>
      </c>
      <c r="V23" s="72">
        <f t="shared" si="9"/>
        <v>0.71395174740700851</v>
      </c>
      <c r="W23" s="74">
        <f t="shared" si="10"/>
        <v>-2.0441506177753501</v>
      </c>
      <c r="X23" s="26">
        <f t="shared" si="11"/>
        <v>5.0840261006375237E-3</v>
      </c>
      <c r="Y23" s="15">
        <f t="shared" si="12"/>
        <v>0.3164335238014323</v>
      </c>
      <c r="Z23" s="15">
        <f t="shared" si="13"/>
        <v>7.139517474070085E-3</v>
      </c>
      <c r="AA23" s="15">
        <f>Arkusz1!C$32*('projekty 2 i 3'!D23-'projekty 2 i 3'!D$18)</f>
        <v>9.7436145773761237E-2</v>
      </c>
    </row>
    <row r="24" spans="1:27" ht="10.8" customHeight="1" x14ac:dyDescent="0.25">
      <c r="A24" s="15">
        <v>-1.6549905523802699</v>
      </c>
      <c r="B24" s="15">
        <v>0.14815036618600799</v>
      </c>
      <c r="C24" s="15">
        <v>5.3336422134479802E-3</v>
      </c>
      <c r="D24" s="15">
        <f t="shared" si="3"/>
        <v>-2.8885034228435389E-2</v>
      </c>
      <c r="E24" s="1">
        <f>(Arkusz1!C$35-Arkusz1!C$33)*(1-ABS('projekty 2 i 3'!G24/Arkusz1!C$36))</f>
        <v>-3.7602068920946231E-4</v>
      </c>
      <c r="F24" s="15">
        <f t="shared" si="4"/>
        <v>-2.2300220577876832E-2</v>
      </c>
      <c r="G24" s="49">
        <f t="shared" si="5"/>
        <v>0.14815036618600799</v>
      </c>
      <c r="H24" s="50">
        <f t="shared" si="6"/>
        <v>5.3336422134479802E-3</v>
      </c>
      <c r="I24" s="51">
        <f t="shared" si="0"/>
        <v>-1.6549905523802699</v>
      </c>
      <c r="J24" s="52">
        <f t="shared" si="1"/>
        <v>4.9576215242385178E-3</v>
      </c>
      <c r="K24" s="53">
        <f>DEGREES(G24*(1+Arkusz1!C$46)/Arkusz1!C$20/PI())</f>
        <v>0.3772820310571377</v>
      </c>
      <c r="L24" s="51">
        <f t="shared" si="2"/>
        <v>-1.2777085213231323</v>
      </c>
      <c r="M24" s="50">
        <f>G24^2*(1+Arkusz1!C$45)/Arkusz1!C$20/PI()</f>
        <v>9.7321745659345723E-4</v>
      </c>
      <c r="N24" s="54">
        <f>J24+M24+Arkusz1!C$38</f>
        <v>6.6685386809476471E-3</v>
      </c>
      <c r="O24" s="66">
        <f>Arkusz1!C$31/Arkusz1!C$77+(Arkusz1!C$68-Arkusz1!C$29)/Arkusz1!C$77*'projekty 2 i 3'!G24</f>
        <v>-0.11725793130990092</v>
      </c>
      <c r="P24" s="55">
        <f>Arkusz1!C$72+Arkusz1!C$73+1/PI()/Arkusz1!C$76*'projekty 2 i 3'!O24^2</f>
        <v>1.161008351400131E-2</v>
      </c>
      <c r="Q24" s="55">
        <f>Arkusz1!C$92*(1+1/Arkusz1!C$93*ABS('projekty 2 i 3'!G24))</f>
        <v>1.2567978306114599E-2</v>
      </c>
      <c r="R24" s="55">
        <f>(N24+Q24+P24*Arkusz1!C$67/Arkusz1!C$5)*(1+Arkusz1!C$94)</f>
        <v>2.3072783952139901E-2</v>
      </c>
      <c r="S24" s="55">
        <f>O24*Arkusz1!C$67/Arkusz1!C$5</f>
        <v>-2.9782413539275302E-2</v>
      </c>
      <c r="T24" s="56">
        <f t="shared" si="7"/>
        <v>0.11836795264673269</v>
      </c>
      <c r="U24" s="51">
        <f t="shared" si="8"/>
        <v>5.1301981109979824</v>
      </c>
      <c r="V24" s="72">
        <f t="shared" si="9"/>
        <v>3.1153181745850209</v>
      </c>
      <c r="W24" s="74">
        <f t="shared" si="10"/>
        <v>-1.6549905523802699</v>
      </c>
      <c r="X24" s="26">
        <f t="shared" si="11"/>
        <v>1.4010972213779154E-2</v>
      </c>
      <c r="Y24" s="15">
        <f t="shared" si="12"/>
        <v>0.51301981109979822</v>
      </c>
      <c r="Z24" s="15">
        <f t="shared" si="13"/>
        <v>3.115318174585021E-2</v>
      </c>
      <c r="AA24" s="15">
        <f>Arkusz1!C$32*('projekty 2 i 3'!D24-'projekty 2 i 3'!D$18)</f>
        <v>0.13910107483905068</v>
      </c>
    </row>
    <row r="25" spans="1:27" ht="10.8" customHeight="1" x14ac:dyDescent="0.25">
      <c r="A25" s="15">
        <v>-1.0708141761874199</v>
      </c>
      <c r="B25" s="15">
        <v>0.21492818290073401</v>
      </c>
      <c r="C25" s="15">
        <v>5.2775674862488697E-3</v>
      </c>
      <c r="D25" s="15">
        <f t="shared" si="3"/>
        <v>-1.868923305150114E-2</v>
      </c>
      <c r="E25" s="1">
        <f>(Arkusz1!C$35-Arkusz1!C$33)*(1-ABS('projekty 2 i 3'!G25/Arkusz1!C$36))</f>
        <v>-3.5928907345536543E-4</v>
      </c>
      <c r="F25" s="15">
        <f t="shared" si="4"/>
        <v>-9.1363573544030411E-3</v>
      </c>
      <c r="G25" s="49">
        <f t="shared" si="5"/>
        <v>0.21492818290073401</v>
      </c>
      <c r="H25" s="50">
        <f t="shared" si="6"/>
        <v>5.2775674862488697E-3</v>
      </c>
      <c r="I25" s="51">
        <f t="shared" si="0"/>
        <v>-1.0708141761874199</v>
      </c>
      <c r="J25" s="52">
        <f t="shared" si="1"/>
        <v>4.9182784127935041E-3</v>
      </c>
      <c r="K25" s="53">
        <f>DEGREES(G25*(1+Arkusz1!C$46)/Arkusz1!C$20/PI())</f>
        <v>0.54733945965681519</v>
      </c>
      <c r="L25" s="51">
        <f t="shared" si="2"/>
        <v>-0.52347471653060473</v>
      </c>
      <c r="M25" s="50">
        <f>G25^2*(1+Arkusz1!C$45)/Arkusz1!C$20/PI()</f>
        <v>2.0482886839638293E-3</v>
      </c>
      <c r="N25" s="54">
        <f>J25+M25+Arkusz1!C$38</f>
        <v>7.7042667968730046E-3</v>
      </c>
      <c r="O25" s="66">
        <f>Arkusz1!C$31/Arkusz1!C$77+(Arkusz1!C$68-Arkusz1!C$29)/Arkusz1!C$77*'projekty 2 i 3'!G25</f>
        <v>-0.11540543374700676</v>
      </c>
      <c r="P25" s="55">
        <f>Arkusz1!C$72+Arkusz1!C$73+1/PI()/Arkusz1!C$76*'projekty 2 i 3'!O25^2</f>
        <v>1.1575285308594739E-2</v>
      </c>
      <c r="Q25" s="55">
        <f>Arkusz1!C$92*(1+1/Arkusz1!C$93*ABS('projekty 2 i 3'!G25))</f>
        <v>1.2704484751437766E-2</v>
      </c>
      <c r="R25" s="55">
        <f>(N25+Q25+P25*Arkusz1!C$67/Arkusz1!C$5)*(1+Arkusz1!C$94)</f>
        <v>2.4282715941711625E-2</v>
      </c>
      <c r="S25" s="55">
        <f>O25*Arkusz1!C$67/Arkusz1!C$5</f>
        <v>-2.9311896552643497E-2</v>
      </c>
      <c r="T25" s="56">
        <f t="shared" si="7"/>
        <v>0.18561628634809052</v>
      </c>
      <c r="U25" s="51">
        <f t="shared" si="8"/>
        <v>7.643967289064574</v>
      </c>
      <c r="V25" s="72">
        <f t="shared" si="9"/>
        <v>10.84560340122442</v>
      </c>
      <c r="W25" s="74">
        <f t="shared" si="10"/>
        <v>-1.0708141761874199</v>
      </c>
      <c r="X25" s="26">
        <f t="shared" si="11"/>
        <v>3.4453405757656333E-2</v>
      </c>
      <c r="Y25" s="15">
        <f t="shared" si="12"/>
        <v>0.76439672890645738</v>
      </c>
      <c r="Z25" s="15">
        <f t="shared" si="13"/>
        <v>0.1084560340122442</v>
      </c>
      <c r="AA25" s="15">
        <f>Arkusz1!C$32*('projekty 2 i 3'!D25-'projekty 2 i 3'!D$18)</f>
        <v>0.20164517799871845</v>
      </c>
    </row>
    <row r="26" spans="1:27" ht="10.8" customHeight="1" x14ac:dyDescent="0.25">
      <c r="A26" s="15">
        <v>-0.681217832692119</v>
      </c>
      <c r="B26" s="15">
        <v>0.25833785387249503</v>
      </c>
      <c r="C26" s="15">
        <v>5.2664104991834203E-3</v>
      </c>
      <c r="D26" s="15">
        <f t="shared" si="3"/>
        <v>-1.1889494103777343E-2</v>
      </c>
      <c r="E26" s="1">
        <f>(Arkusz1!C$35-Arkusz1!C$33)*(1-ABS('projekty 2 i 3'!G26/Arkusz1!C$36))</f>
        <v>-3.4841249841227769E-4</v>
      </c>
      <c r="F26" s="15">
        <f t="shared" si="4"/>
        <v>-4.0719628414315065E-4</v>
      </c>
      <c r="G26" s="49">
        <f t="shared" si="5"/>
        <v>0.25833785387249503</v>
      </c>
      <c r="H26" s="50">
        <f t="shared" si="6"/>
        <v>5.2664104991834203E-3</v>
      </c>
      <c r="I26" s="51">
        <f t="shared" si="0"/>
        <v>-0.681217832692119</v>
      </c>
      <c r="J26" s="52">
        <f t="shared" si="1"/>
        <v>4.9179980007711425E-3</v>
      </c>
      <c r="K26" s="53">
        <f>DEGREES(G26*(1+Arkusz1!C$46)/Arkusz1!C$20/PI())</f>
        <v>0.65788720417730662</v>
      </c>
      <c r="L26" s="51">
        <f t="shared" si="2"/>
        <v>-2.3330628514812379E-2</v>
      </c>
      <c r="M26" s="50">
        <f>G26^2*(1+Arkusz1!C$45)/Arkusz1!C$20/PI()</f>
        <v>2.959242301617039E-3</v>
      </c>
      <c r="N26" s="54">
        <f>J26+M26+Arkusz1!C$38</f>
        <v>8.6149400025038528E-3</v>
      </c>
      <c r="O26" s="66">
        <f>Arkusz1!C$31/Arkusz1!C$77+(Arkusz1!C$68-Arkusz1!C$29)/Arkusz1!C$77*'projekty 2 i 3'!G26</f>
        <v>-0.11420119686659537</v>
      </c>
      <c r="P26" s="55">
        <f>Arkusz1!C$72+Arkusz1!C$73+1/PI()/Arkusz1!C$76*'projekty 2 i 3'!O26^2</f>
        <v>1.1552961538251402E-2</v>
      </c>
      <c r="Q26" s="55">
        <f>Arkusz1!C$92*(1+1/Arkusz1!C$93*ABS('projekty 2 i 3'!G26))</f>
        <v>1.2793222301847925E-2</v>
      </c>
      <c r="R26" s="55">
        <f>(N26+Q26+P26*Arkusz1!C$67/Arkusz1!C$5)*(1+Arkusz1!C$94)</f>
        <v>2.531620629881776E-2</v>
      </c>
      <c r="S26" s="55">
        <f>O26*Arkusz1!C$67/Arkusz1!C$5</f>
        <v>-2.9006031692407556E-2</v>
      </c>
      <c r="T26" s="56">
        <f t="shared" si="7"/>
        <v>0.22933182218008746</v>
      </c>
      <c r="U26" s="51">
        <f t="shared" si="8"/>
        <v>9.0586962151117021</v>
      </c>
      <c r="V26" s="72">
        <f t="shared" si="9"/>
        <v>18.818964080453622</v>
      </c>
      <c r="W26" s="74">
        <f t="shared" si="10"/>
        <v>-0.681217832692119</v>
      </c>
      <c r="X26" s="26">
        <f t="shared" si="11"/>
        <v>5.2593084664439259E-2</v>
      </c>
      <c r="Y26" s="15">
        <f t="shared" si="12"/>
        <v>0.90586962151117023</v>
      </c>
      <c r="Z26" s="15">
        <f t="shared" si="13"/>
        <v>0.18818964080453621</v>
      </c>
      <c r="AA26" s="15">
        <f>Arkusz1!C$32*('projekty 2 i 3'!D26-'projekty 2 i 3'!D$18)</f>
        <v>0.24335681662574055</v>
      </c>
    </row>
    <row r="27" spans="1:27" ht="10.8" customHeight="1" x14ac:dyDescent="0.25">
      <c r="A27" s="15">
        <v>-0.29205776729703797</v>
      </c>
      <c r="B27" s="15">
        <v>0.30507414535842398</v>
      </c>
      <c r="C27" s="15">
        <v>5.2746695675305799E-3</v>
      </c>
      <c r="D27" s="15">
        <f t="shared" si="3"/>
        <v>-5.0973696453567325E-3</v>
      </c>
      <c r="E27" s="1">
        <f>(Arkusz1!C$35-Arkusz1!C$33)*(1-ABS('projekty 2 i 3'!G27/Arkusz1!C$36))</f>
        <v>-3.3670241699025979E-4</v>
      </c>
      <c r="F27" s="15">
        <f t="shared" si="4"/>
        <v>8.4622080222843E-3</v>
      </c>
      <c r="G27" s="49">
        <f t="shared" si="5"/>
        <v>0.30507414535842398</v>
      </c>
      <c r="H27" s="50">
        <f t="shared" si="6"/>
        <v>5.2746695675305799E-3</v>
      </c>
      <c r="I27" s="51">
        <f t="shared" si="0"/>
        <v>-0.29205776729703797</v>
      </c>
      <c r="J27" s="52">
        <f t="shared" si="1"/>
        <v>4.9379671505403204E-3</v>
      </c>
      <c r="K27" s="53">
        <f>DEGREES(G27*(1+Arkusz1!C$46)/Arkusz1!C$20/PI())</f>
        <v>0.77690657233567562</v>
      </c>
      <c r="L27" s="51">
        <f t="shared" si="2"/>
        <v>0.48484880503863764</v>
      </c>
      <c r="M27" s="50">
        <f>G27^2*(1+Arkusz1!C$45)/Arkusz1!C$20/PI()</f>
        <v>4.1268172605918004E-3</v>
      </c>
      <c r="N27" s="54">
        <f>J27+M27+Arkusz1!C$38</f>
        <v>9.8024841112477924E-3</v>
      </c>
      <c r="O27" s="66">
        <f>Arkusz1!C$31/Arkusz1!C$77+(Arkusz1!C$68-Arkusz1!C$29)/Arkusz1!C$77*'projekty 2 i 3'!G27</f>
        <v>-0.11290467550162984</v>
      </c>
      <c r="P27" s="55">
        <f>Arkusz1!C$72+Arkusz1!C$73+1/PI()/Arkusz1!C$76*'projekty 2 i 3'!O27^2</f>
        <v>1.1529188798347538E-2</v>
      </c>
      <c r="Q27" s="55">
        <f>Arkusz1!C$92*(1+1/Arkusz1!C$93*ABS('projekty 2 i 3'!G27))</f>
        <v>1.2888760091673937E-2</v>
      </c>
      <c r="R27" s="55">
        <f>(N27+Q27+P27*Arkusz1!C$67/Arkusz1!C$5)*(1+Arkusz1!C$94)</f>
        <v>2.6644331898504448E-2</v>
      </c>
      <c r="S27" s="55">
        <f>O27*Arkusz1!C$67/Arkusz1!C$5</f>
        <v>-2.8676727439615846E-2</v>
      </c>
      <c r="T27" s="56">
        <f t="shared" si="7"/>
        <v>0.27639741791880812</v>
      </c>
      <c r="U27" s="51">
        <f t="shared" si="8"/>
        <v>10.373591613093604</v>
      </c>
      <c r="V27" s="72">
        <f t="shared" si="9"/>
        <v>29.743513915450375</v>
      </c>
      <c r="W27" s="74">
        <f t="shared" si="10"/>
        <v>-0.29205776729703797</v>
      </c>
      <c r="X27" s="26">
        <f t="shared" si="11"/>
        <v>7.6395532632184265E-2</v>
      </c>
      <c r="Y27" s="15">
        <f t="shared" si="12"/>
        <v>1.0373591613093605</v>
      </c>
      <c r="Z27" s="15">
        <f t="shared" si="13"/>
        <v>0.29743513915450376</v>
      </c>
      <c r="AA27" s="15">
        <f>Arkusz1!C$32*('projekty 2 i 3'!D27-'projekty 2 i 3'!D$18)</f>
        <v>0.28502174569103006</v>
      </c>
    </row>
    <row r="28" spans="1:27" ht="10.8" customHeight="1" x14ac:dyDescent="0.25">
      <c r="A28" s="15">
        <v>0.42038437036011</v>
      </c>
      <c r="B28" s="15">
        <v>0.39851946094901802</v>
      </c>
      <c r="C28" s="15">
        <v>5.3162547011381799E-3</v>
      </c>
      <c r="D28" s="15">
        <f t="shared" si="3"/>
        <v>7.3370913867071797E-3</v>
      </c>
      <c r="E28" s="1">
        <f>(Arkusz1!C$35-Arkusz1!C$33)*(1-ABS('projekty 2 i 3'!G28/Arkusz1!C$36))</f>
        <v>-3.1328908616572333E-4</v>
      </c>
      <c r="F28" s="15">
        <f t="shared" si="4"/>
        <v>2.5050016801792453E-2</v>
      </c>
      <c r="G28" s="49">
        <f t="shared" si="5"/>
        <v>0.39851946094901802</v>
      </c>
      <c r="H28" s="50">
        <f t="shared" si="6"/>
        <v>5.3162547011381799E-3</v>
      </c>
      <c r="I28" s="51">
        <f t="shared" si="0"/>
        <v>0.42038437036011</v>
      </c>
      <c r="J28" s="52">
        <f t="shared" si="1"/>
        <v>5.0029656149724565E-3</v>
      </c>
      <c r="K28" s="53">
        <f>DEGREES(G28*(1+Arkusz1!C$46)/Arkusz1!C$20/PI())</f>
        <v>1.014875869114398</v>
      </c>
      <c r="L28" s="51">
        <f t="shared" si="2"/>
        <v>1.435260239474508</v>
      </c>
      <c r="M28" s="50">
        <f>G28^2*(1+Arkusz1!C$45)/Arkusz1!C$20/PI()</f>
        <v>7.0421212780281579E-3</v>
      </c>
      <c r="N28" s="54">
        <f>J28+M28+Arkusz1!C$38</f>
        <v>1.2782786593116286E-2</v>
      </c>
      <c r="O28" s="66">
        <f>Arkusz1!C$31/Arkusz1!C$77+(Arkusz1!C$68-Arkusz1!C$29)/Arkusz1!C$77*'projekty 2 i 3'!G28</f>
        <v>-0.11031238920190005</v>
      </c>
      <c r="P28" s="55">
        <f>Arkusz1!C$72+Arkusz1!C$73+1/PI()/Arkusz1!C$76*'projekty 2 i 3'!O28^2</f>
        <v>1.1482471087490525E-2</v>
      </c>
      <c r="Q28" s="55">
        <f>Arkusz1!C$92*(1+1/Arkusz1!C$93*ABS('projekty 2 i 3'!G28))</f>
        <v>1.3079779931658621E-2</v>
      </c>
      <c r="R28" s="55">
        <f>(N28+Q28+P28*Arkusz1!C$67/Arkusz1!C$5)*(1+Arkusz1!C$94)</f>
        <v>2.9930166618942274E-2</v>
      </c>
      <c r="S28" s="55">
        <f>O28*Arkusz1!C$67/Arkusz1!C$5</f>
        <v>-2.80183110602009E-2</v>
      </c>
      <c r="T28" s="56">
        <f t="shared" si="7"/>
        <v>0.37050114988881711</v>
      </c>
      <c r="U28" s="51">
        <f t="shared" si="8"/>
        <v>12.378853569573296</v>
      </c>
      <c r="V28" s="72">
        <f t="shared" si="9"/>
        <v>56.774120020096198</v>
      </c>
      <c r="W28" s="74">
        <f t="shared" si="10"/>
        <v>0.42038437036011</v>
      </c>
      <c r="X28" s="26">
        <f t="shared" si="11"/>
        <v>0.13727110206893572</v>
      </c>
      <c r="Y28" s="15">
        <f t="shared" si="12"/>
        <v>1.2378853569573296</v>
      </c>
      <c r="Z28" s="15">
        <f t="shared" si="13"/>
        <v>0.56774120020096197</v>
      </c>
      <c r="AA28" s="15">
        <f>Arkusz1!C$32*('projekty 2 i 3'!D28-'projekty 2 i 3'!D$18)</f>
        <v>0.36129846000001969</v>
      </c>
    </row>
    <row r="29" spans="1:27" ht="10.8" customHeight="1" x14ac:dyDescent="0.25">
      <c r="A29" s="15">
        <v>1.19783194494984</v>
      </c>
      <c r="B29" s="15">
        <v>0.49864528494921101</v>
      </c>
      <c r="C29" s="15">
        <v>5.4044963261104199E-3</v>
      </c>
      <c r="D29" s="15">
        <f t="shared" si="3"/>
        <v>2.0906111324942172E-2</v>
      </c>
      <c r="E29" s="1">
        <f>(Arkusz1!C$35-Arkusz1!C$33)*(1-ABS('projekty 2 i 3'!G29/Arkusz1!C$36))</f>
        <v>-2.8820191056382733E-4</v>
      </c>
      <c r="F29" s="15">
        <f t="shared" si="4"/>
        <v>4.3069311886982591E-2</v>
      </c>
      <c r="G29" s="49">
        <f t="shared" si="5"/>
        <v>0.49864528494921101</v>
      </c>
      <c r="H29" s="50">
        <f t="shared" si="6"/>
        <v>5.4044963261104199E-3</v>
      </c>
      <c r="I29" s="51">
        <f t="shared" si="0"/>
        <v>1.19783194494984</v>
      </c>
      <c r="J29" s="52">
        <f t="shared" si="1"/>
        <v>5.1162944155465923E-3</v>
      </c>
      <c r="K29" s="53">
        <f>DEGREES(G29*(1+Arkusz1!C$46)/Arkusz1!C$20/PI())</f>
        <v>1.2698578527068898</v>
      </c>
      <c r="L29" s="51">
        <f t="shared" si="2"/>
        <v>2.46768979765673</v>
      </c>
      <c r="M29" s="50">
        <f>G29^2*(1+Arkusz1!C$45)/Arkusz1!C$20/PI()</f>
        <v>1.1025235260655873E-2</v>
      </c>
      <c r="N29" s="54">
        <f>J29+M29+Arkusz1!C$38</f>
        <v>1.6879229376318135E-2</v>
      </c>
      <c r="O29" s="66">
        <f>Arkusz1!C$31/Arkusz1!C$77+(Arkusz1!C$68-Arkusz1!C$29)/Arkusz1!C$77*'projekty 2 i 3'!G29</f>
        <v>-0.10753477750286072</v>
      </c>
      <c r="P29" s="55">
        <f>Arkusz1!C$72+Arkusz1!C$73+1/PI()/Arkusz1!C$76*'projekty 2 i 3'!O29^2</f>
        <v>1.1433617704215693E-2</v>
      </c>
      <c r="Q29" s="55">
        <f>Arkusz1!C$92*(1+1/Arkusz1!C$93*ABS('projekty 2 i 3'!G29))</f>
        <v>1.3284455990142354E-2</v>
      </c>
      <c r="R29" s="55">
        <f>(N29+Q29+P29*Arkusz1!C$67/Arkusz1!C$5)*(1+Arkusz1!C$94)</f>
        <v>3.4390425581635298E-2</v>
      </c>
      <c r="S29" s="55">
        <f>O29*Arkusz1!C$67/Arkusz1!C$5</f>
        <v>-2.7312823769505942E-2</v>
      </c>
      <c r="T29" s="56">
        <f t="shared" si="7"/>
        <v>0.47133246117970506</v>
      </c>
      <c r="U29" s="51">
        <f t="shared" si="8"/>
        <v>13.705339588219564</v>
      </c>
      <c r="V29" s="72">
        <f t="shared" si="9"/>
        <v>88.533361239521653</v>
      </c>
      <c r="W29" s="74">
        <f t="shared" si="10"/>
        <v>1.19783194494984</v>
      </c>
      <c r="X29" s="26">
        <f t="shared" si="11"/>
        <v>0.22215428896171818</v>
      </c>
      <c r="Y29" s="15">
        <f t="shared" si="12"/>
        <v>1.3705339588219565</v>
      </c>
      <c r="Z29" s="15">
        <f t="shared" si="13"/>
        <v>0.88533361239521657</v>
      </c>
      <c r="AA29" s="15">
        <f>Arkusz1!C$32*('projekty 2 i 3'!D29-'projekty 2 i 3'!D$18)</f>
        <v>0.44453489900713467</v>
      </c>
    </row>
    <row r="30" spans="1:27" ht="10.8" customHeight="1" x14ac:dyDescent="0.25">
      <c r="A30" s="15">
        <v>2.0415937907728101</v>
      </c>
      <c r="B30" s="15">
        <v>0.59547175581650003</v>
      </c>
      <c r="C30" s="15">
        <v>5.7081982077883103E-3</v>
      </c>
      <c r="D30" s="15">
        <f t="shared" si="3"/>
        <v>3.5632533637257761E-2</v>
      </c>
      <c r="E30" s="1">
        <f>(Arkusz1!C$35-Arkusz1!C$33)*(1-ABS('projekty 2 i 3'!G30/Arkusz1!C$36))</f>
        <v>-2.6394140932136197E-4</v>
      </c>
      <c r="F30" s="15">
        <f t="shared" si="4"/>
        <v>6.2099363569352015E-2</v>
      </c>
      <c r="G30" s="49">
        <f t="shared" si="5"/>
        <v>0.59547175581650003</v>
      </c>
      <c r="H30" s="50">
        <f t="shared" si="6"/>
        <v>5.7081982077883103E-3</v>
      </c>
      <c r="I30" s="51">
        <f t="shared" si="0"/>
        <v>2.0415937907728101</v>
      </c>
      <c r="J30" s="52">
        <f t="shared" si="1"/>
        <v>5.4442567984669486E-3</v>
      </c>
      <c r="K30" s="53">
        <f>DEGREES(G30*(1+Arkusz1!C$46)/Arkusz1!C$20/PI())</f>
        <v>1.5164376521995195</v>
      </c>
      <c r="L30" s="51">
        <f t="shared" si="2"/>
        <v>3.5580314429723296</v>
      </c>
      <c r="M30" s="50">
        <f>G30^2*(1+Arkusz1!C$45)/Arkusz1!C$20/PI()</f>
        <v>1.5722686891077114E-2</v>
      </c>
      <c r="N30" s="54">
        <f>J30+M30+Arkusz1!C$38</f>
        <v>2.1904643389659733E-2</v>
      </c>
      <c r="O30" s="66">
        <f>Arkusz1!C$31/Arkusz1!C$77+(Arkusz1!C$68-Arkusz1!C$29)/Arkusz1!C$77*'projekty 2 i 3'!G30</f>
        <v>-0.10484869385817426</v>
      </c>
      <c r="P30" s="55">
        <f>Arkusz1!C$72+Arkusz1!C$73+1/PI()/Arkusz1!C$76*'projekty 2 i 3'!O30^2</f>
        <v>1.1387559028768594E-2</v>
      </c>
      <c r="Q30" s="55">
        <f>Arkusz1!C$92*(1+1/Arkusz1!C$93*ABS('projekty 2 i 3'!G30))</f>
        <v>1.3482387548877577E-2</v>
      </c>
      <c r="R30" s="55">
        <f>(N30+Q30+P30*Arkusz1!C$67/Arkusz1!C$5)*(1+Arkusz1!C$94)</f>
        <v>3.9810538566663951E-2</v>
      </c>
      <c r="S30" s="55">
        <f>O30*Arkusz1!C$67/Arkusz1!C$5</f>
        <v>-2.6630583745198253E-2</v>
      </c>
      <c r="T30" s="56">
        <f t="shared" si="7"/>
        <v>0.5688411720713018</v>
      </c>
      <c r="U30" s="51">
        <f t="shared" si="8"/>
        <v>14.288708280566464</v>
      </c>
      <c r="V30" s="72">
        <f t="shared" si="9"/>
        <v>116.13870043114137</v>
      </c>
      <c r="W30" s="74">
        <f t="shared" si="10"/>
        <v>2.0415937907728101</v>
      </c>
      <c r="X30" s="26">
        <f t="shared" si="11"/>
        <v>0.32358027904345238</v>
      </c>
      <c r="Y30" s="15">
        <f t="shared" si="12"/>
        <v>1.4288708280566464</v>
      </c>
      <c r="Z30" s="15">
        <f t="shared" si="13"/>
        <v>1.1613870043114138</v>
      </c>
      <c r="AA30" s="15">
        <f>Arkusz1!C$32*('projekty 2 i 3'!D30-'projekty 2 i 3'!D$18)</f>
        <v>0.53487119139757222</v>
      </c>
    </row>
    <row r="31" spans="1:27" ht="10.8" customHeight="1" x14ac:dyDescent="0.25">
      <c r="A31" s="15">
        <v>3.8600009124843799</v>
      </c>
      <c r="B31" s="15">
        <v>0.79583247334194096</v>
      </c>
      <c r="C31" s="15">
        <v>7.1136887861640002E-3</v>
      </c>
      <c r="D31" s="15">
        <f t="shared" si="3"/>
        <v>6.736972505283792E-2</v>
      </c>
      <c r="E31" s="1">
        <f>(Arkusz1!C$35-Arkusz1!C$33)*(1-ABS('projekty 2 i 3'!G31/Arkusz1!C$36))</f>
        <v>-2.137397300395721E-4</v>
      </c>
      <c r="F31" s="15">
        <f t="shared" si="4"/>
        <v>0.10274195307312019</v>
      </c>
      <c r="G31" s="49">
        <f t="shared" si="5"/>
        <v>0.79583247334194096</v>
      </c>
      <c r="H31" s="50">
        <f t="shared" si="6"/>
        <v>7.1136887861640002E-3</v>
      </c>
      <c r="I31" s="51">
        <f t="shared" si="0"/>
        <v>3.8600009124843799</v>
      </c>
      <c r="J31" s="52">
        <f t="shared" si="1"/>
        <v>6.8999490561244279E-3</v>
      </c>
      <c r="K31" s="53">
        <f>DEGREES(G31*(1+Arkusz1!C$46)/Arkusz1!C$20/PI())</f>
        <v>2.0266793775365652</v>
      </c>
      <c r="L31" s="51">
        <f t="shared" si="2"/>
        <v>5.8866802900209452</v>
      </c>
      <c r="M31" s="50">
        <f>G31^2*(1+Arkusz1!C$45)/Arkusz1!C$20/PI()</f>
        <v>2.8083274447435302E-2</v>
      </c>
      <c r="N31" s="54">
        <f>J31+M31+Arkusz1!C$38</f>
        <v>3.5720923203675398E-2</v>
      </c>
      <c r="O31" s="66">
        <f>Arkusz1!C$31/Arkusz1!C$77+(Arkusz1!C$68-Arkusz1!C$29)/Arkusz1!C$77*'projekty 2 i 3'!G31</f>
        <v>-9.9290444739290523E-2</v>
      </c>
      <c r="P31" s="55">
        <f>Arkusz1!C$72+Arkusz1!C$73+1/PI()/Arkusz1!C$76*'projekty 2 i 3'!O31^2</f>
        <v>1.1295950589822962E-2</v>
      </c>
      <c r="Q31" s="55">
        <f>Arkusz1!C$92*(1+1/Arkusz1!C$93*ABS('projekty 2 i 3'!G31))</f>
        <v>1.3891962624514417E-2</v>
      </c>
      <c r="R31" s="55">
        <f>(N31+Q31+P31*Arkusz1!C$67/Arkusz1!C$5)*(1+Arkusz1!C$94)</f>
        <v>5.4581229261250738E-2</v>
      </c>
      <c r="S31" s="55">
        <f>O31*Arkusz1!C$67/Arkusz1!C$5</f>
        <v>-2.5218840659134351E-2</v>
      </c>
      <c r="T31" s="56">
        <f t="shared" si="7"/>
        <v>0.77061363268280658</v>
      </c>
      <c r="U31" s="51">
        <f t="shared" si="8"/>
        <v>14.118656598851908</v>
      </c>
      <c r="V31" s="72">
        <f t="shared" si="9"/>
        <v>153.61139676963589</v>
      </c>
      <c r="W31" s="74">
        <f t="shared" si="10"/>
        <v>3.8600009124843799</v>
      </c>
      <c r="X31" s="26">
        <f t="shared" si="11"/>
        <v>0.59384537087659151</v>
      </c>
      <c r="Y31" s="15">
        <f t="shared" si="12"/>
        <v>1.4118656598851909</v>
      </c>
      <c r="Z31" s="15">
        <f t="shared" si="13"/>
        <v>1.5361139676963589</v>
      </c>
      <c r="AA31" s="15">
        <f>Arkusz1!C$32*('projekty 2 i 3'!D31-'projekty 2 i 3'!D$18)</f>
        <v>0.7295566446981655</v>
      </c>
    </row>
    <row r="32" spans="1:27" ht="10.8" customHeight="1" x14ac:dyDescent="0.25">
      <c r="A32" s="15">
        <v>5.09903071710551</v>
      </c>
      <c r="B32" s="15">
        <v>0.89282254849681197</v>
      </c>
      <c r="C32" s="15">
        <v>8.5216425954502406E-3</v>
      </c>
      <c r="D32" s="15">
        <f t="shared" si="3"/>
        <v>8.8994874673818697E-2</v>
      </c>
      <c r="E32" s="1">
        <f>(Arkusz1!C$35-Arkusz1!C$33)*(1-ABS('projekty 2 i 3'!G32/Arkusz1!C$36))</f>
        <v>-1.8943823668011021E-4</v>
      </c>
      <c r="F32" s="15">
        <f t="shared" si="4"/>
        <v>0.1286780037555714</v>
      </c>
      <c r="G32" s="49">
        <f t="shared" si="5"/>
        <v>0.89282254849681197</v>
      </c>
      <c r="H32" s="50">
        <f t="shared" si="6"/>
        <v>8.5216425954502406E-3</v>
      </c>
      <c r="I32" s="51">
        <f t="shared" si="0"/>
        <v>5.09903071710551</v>
      </c>
      <c r="J32" s="52">
        <f t="shared" si="1"/>
        <v>8.332204358770131E-3</v>
      </c>
      <c r="K32" s="53">
        <f>DEGREES(G32*(1+Arkusz1!C$46)/Arkusz1!C$20/PI())</f>
        <v>2.2736758142572877</v>
      </c>
      <c r="L32" s="51">
        <f t="shared" si="2"/>
        <v>7.3727065313627982</v>
      </c>
      <c r="M32" s="50">
        <f>G32^2*(1+Arkusz1!C$45)/Arkusz1!C$20/PI()</f>
        <v>3.5345548998935286E-2</v>
      </c>
      <c r="N32" s="54">
        <f>J32+M32+Arkusz1!C$38</f>
        <v>4.4415453057821089E-2</v>
      </c>
      <c r="O32" s="66">
        <f>Arkusz1!C$31/Arkusz1!C$77+(Arkusz1!C$68-Arkusz1!C$29)/Arkusz1!C$77*'projekty 2 i 3'!G32</f>
        <v>-9.6599822513396494E-2</v>
      </c>
      <c r="P32" s="55">
        <f>Arkusz1!C$72+Arkusz1!C$73+1/PI()/Arkusz1!C$76*'projekty 2 i 3'!O32^2</f>
        <v>1.125339694336782E-2</v>
      </c>
      <c r="Q32" s="55">
        <f>Arkusz1!C$92*(1+1/Arkusz1!C$93*ABS('projekty 2 i 3'!G32))</f>
        <v>1.4090228621253696E-2</v>
      </c>
      <c r="R32" s="55">
        <f>(N32+Q32+P32*Arkusz1!C$67/Arkusz1!C$5)*(1+Arkusz1!C$94)</f>
        <v>6.3818496390470866E-2</v>
      </c>
      <c r="S32" s="55">
        <f>O32*Arkusz1!C$67/Arkusz1!C$5</f>
        <v>-2.4535447877815732E-2</v>
      </c>
      <c r="T32" s="56">
        <f t="shared" si="7"/>
        <v>0.86828710061899628</v>
      </c>
      <c r="U32" s="51">
        <f t="shared" si="8"/>
        <v>13.605571264268232</v>
      </c>
      <c r="V32" s="72">
        <f t="shared" si="9"/>
        <v>160.72998790887257</v>
      </c>
      <c r="W32" s="74">
        <f t="shared" si="10"/>
        <v>5.09903071710551</v>
      </c>
      <c r="X32" s="26">
        <f t="shared" si="11"/>
        <v>0.75392248910134296</v>
      </c>
      <c r="Y32" s="15">
        <f t="shared" si="12"/>
        <v>1.3605571264268232</v>
      </c>
      <c r="Z32" s="15">
        <f t="shared" si="13"/>
        <v>1.6072998790887256</v>
      </c>
      <c r="AA32" s="15">
        <f>Arkusz1!C$32*('projekty 2 i 3'!D32-'projekty 2 i 3'!D$18)</f>
        <v>0.8622118000181479</v>
      </c>
    </row>
    <row r="33" spans="1:27" ht="10.8" customHeight="1" x14ac:dyDescent="0.25">
      <c r="A33" s="15">
        <v>6.0741122710943198</v>
      </c>
      <c r="B33" s="15">
        <v>0.99303017464079602</v>
      </c>
      <c r="C33" s="15">
        <v>1.0149838227327301E-2</v>
      </c>
      <c r="D33" s="15">
        <f t="shared" si="3"/>
        <v>0.10601325826638627</v>
      </c>
      <c r="E33" s="1">
        <f>(Arkusz1!C$35-Arkusz1!C$33)*(1-ABS('projekty 2 i 3'!G33/Arkusz1!C$36))</f>
        <v>-1.6433056501971585E-4</v>
      </c>
      <c r="F33" s="15">
        <f t="shared" si="4"/>
        <v>0.15015029834080243</v>
      </c>
      <c r="G33" s="49">
        <f t="shared" si="5"/>
        <v>0.99303017464079602</v>
      </c>
      <c r="H33" s="50">
        <f t="shared" si="6"/>
        <v>1.0149838227327301E-2</v>
      </c>
      <c r="I33" s="51">
        <f t="shared" si="0"/>
        <v>6.0741122710943198</v>
      </c>
      <c r="J33" s="52">
        <f t="shared" si="1"/>
        <v>9.9855076623075849E-3</v>
      </c>
      <c r="K33" s="53">
        <f>DEGREES(G33*(1+Arkusz1!C$46)/Arkusz1!C$20/PI())</f>
        <v>2.5288661164638255</v>
      </c>
      <c r="L33" s="51">
        <f t="shared" si="2"/>
        <v>8.6029783875581458</v>
      </c>
      <c r="M33" s="50">
        <f>G33^2*(1+Arkusz1!C$45)/Arkusz1!C$20/PI()</f>
        <v>4.3724950090752224E-2</v>
      </c>
      <c r="N33" s="54">
        <f>J33+M33+Arkusz1!C$38</f>
        <v>5.444815745317548E-2</v>
      </c>
      <c r="O33" s="66">
        <f>Arkusz1!C$31/Arkusz1!C$77+(Arkusz1!C$68-Arkusz1!C$29)/Arkusz1!C$77*'projekty 2 i 3'!G33</f>
        <v>-9.3819941523753364E-2</v>
      </c>
      <c r="P33" s="55">
        <f>Arkusz1!C$72+Arkusz1!C$73+1/PI()/Arkusz1!C$76*'projekty 2 i 3'!O33^2</f>
        <v>1.1210659412921792E-2</v>
      </c>
      <c r="Q33" s="55">
        <f>Arkusz1!C$92*(1+1/Arkusz1!C$93*ABS('projekty 2 i 3'!G33))</f>
        <v>1.4295071898739457E-2</v>
      </c>
      <c r="R33" s="55">
        <f>(N33+Q33+P33*Arkusz1!C$67/Arkusz1!C$5)*(1+Arkusz1!C$94)</f>
        <v>7.4454256841525013E-2</v>
      </c>
      <c r="S33" s="55">
        <f>O33*Arkusz1!C$67/Arkusz1!C$5</f>
        <v>-2.3829384208615294E-2</v>
      </c>
      <c r="T33" s="56">
        <f t="shared" si="7"/>
        <v>0.96920079043218077</v>
      </c>
      <c r="U33" s="51">
        <f t="shared" si="8"/>
        <v>13.017399293839075</v>
      </c>
      <c r="V33" s="72">
        <f t="shared" si="9"/>
        <v>164.23367563733945</v>
      </c>
      <c r="W33" s="74">
        <f t="shared" si="10"/>
        <v>6.0741122710943198</v>
      </c>
      <c r="X33" s="26">
        <f t="shared" si="11"/>
        <v>0.93935017217436401</v>
      </c>
      <c r="Y33" s="15">
        <f t="shared" si="12"/>
        <v>1.3017399293839076</v>
      </c>
      <c r="Z33" s="15">
        <f t="shared" si="13"/>
        <v>1.6423367563733944</v>
      </c>
      <c r="AA33" s="15">
        <f>Arkusz1!C$32*('projekty 2 i 3'!D33-'projekty 2 i 3'!D$18)</f>
        <v>0.96660767049003515</v>
      </c>
    </row>
    <row r="34" spans="1:27" ht="10.8" customHeight="1" x14ac:dyDescent="0.25">
      <c r="A34" s="15">
        <v>7.0478849907824701</v>
      </c>
      <c r="B34" s="15">
        <v>1.10321766232728</v>
      </c>
      <c r="C34" s="15">
        <v>1.08737383231587E-2</v>
      </c>
      <c r="D34" s="15">
        <f t="shared" si="3"/>
        <v>0.12300879839104431</v>
      </c>
      <c r="E34" s="1">
        <f>(Arkusz1!C$35-Arkusz1!C$33)*(1-ABS('projekty 2 i 3'!G34/Arkusz1!C$36))</f>
        <v>-1.3672237422253199E-4</v>
      </c>
      <c r="F34" s="15">
        <f t="shared" si="4"/>
        <v>0.17204332263453595</v>
      </c>
      <c r="G34" s="49">
        <f t="shared" si="5"/>
        <v>1.10321766232728</v>
      </c>
      <c r="H34" s="50">
        <f t="shared" si="6"/>
        <v>1.08737383231587E-2</v>
      </c>
      <c r="I34" s="51">
        <f t="shared" si="0"/>
        <v>7.0478849907824701</v>
      </c>
      <c r="J34" s="52">
        <f t="shared" si="1"/>
        <v>1.0737015948936168E-2</v>
      </c>
      <c r="K34" s="53">
        <f>DEGREES(G34*(1+Arkusz1!C$46)/Arkusz1!C$20/PI())</f>
        <v>2.8094712895839864</v>
      </c>
      <c r="L34" s="51">
        <f t="shared" si="2"/>
        <v>9.8573562803664565</v>
      </c>
      <c r="M34" s="50">
        <f>G34^2*(1+Arkusz1!C$45)/Arkusz1!C$20/PI()</f>
        <v>5.3966822007597059E-2</v>
      </c>
      <c r="N34" s="54">
        <f>J34+M34+Arkusz1!C$38</f>
        <v>6.5441537656648896E-2</v>
      </c>
      <c r="O34" s="66">
        <f>Arkusz1!C$31/Arkusz1!C$77+(Arkusz1!C$68-Arkusz1!C$29)/Arkusz1!C$77*'projekty 2 i 3'!G34</f>
        <v>-9.0763207080447911E-2</v>
      </c>
      <c r="P34" s="55">
        <f>Arkusz1!C$72+Arkusz1!C$73+1/PI()/Arkusz1!C$76*'projekty 2 i 3'!O34^2</f>
        <v>1.1165105996119968E-2</v>
      </c>
      <c r="Q34" s="55">
        <f>Arkusz1!C$92*(1+1/Arkusz1!C$93*ABS('projekty 2 i 3'!G34))</f>
        <v>1.4520315894472778E-2</v>
      </c>
      <c r="R34" s="55">
        <f>(N34+Q34+P34*Arkusz1!C$67/Arkusz1!C$5)*(1+Arkusz1!C$94)</f>
        <v>8.6109593062958525E-2</v>
      </c>
      <c r="S34" s="55">
        <f>O34*Arkusz1!C$67/Arkusz1!C$5</f>
        <v>-2.3053002361747569E-2</v>
      </c>
      <c r="T34" s="56">
        <f t="shared" si="7"/>
        <v>1.0801646599655323</v>
      </c>
      <c r="U34" s="51">
        <f t="shared" si="8"/>
        <v>12.544068802831019</v>
      </c>
      <c r="V34" s="72">
        <f t="shared" si="9"/>
        <v>169.96786494915384</v>
      </c>
      <c r="W34" s="74">
        <f t="shared" si="10"/>
        <v>7.0478849907824701</v>
      </c>
      <c r="X34" s="26">
        <f t="shared" si="11"/>
        <v>1.1667556926384541</v>
      </c>
      <c r="Y34" s="15">
        <f t="shared" si="12"/>
        <v>1.2544068802831019</v>
      </c>
      <c r="Z34" s="15">
        <f t="shared" si="13"/>
        <v>1.6996786494915384</v>
      </c>
      <c r="AA34" s="15">
        <f>Arkusz1!C$32*('projekty 2 i 3'!D34-'projekty 2 i 3'!D$18)</f>
        <v>1.0708634122767249</v>
      </c>
    </row>
    <row r="35" spans="1:27" ht="10.8" customHeight="1" x14ac:dyDescent="0.25">
      <c r="A35" s="15">
        <v>7.69401285720636</v>
      </c>
      <c r="B35" s="15">
        <v>1.1999623310507801</v>
      </c>
      <c r="C35" s="15">
        <v>1.2061884997661899E-2</v>
      </c>
      <c r="D35" s="15">
        <f t="shared" si="3"/>
        <v>0.13428585704902732</v>
      </c>
      <c r="E35" s="1">
        <f>(Arkusz1!C$35-Arkusz1!C$33)*(1-ABS('projekty 2 i 3'!G35/Arkusz1!C$36))</f>
        <v>-1.1248236903856442E-4</v>
      </c>
      <c r="F35" s="15">
        <f t="shared" si="4"/>
        <v>0.18762037481686458</v>
      </c>
      <c r="G35" s="49">
        <f t="shared" si="5"/>
        <v>1.1999623310507801</v>
      </c>
      <c r="H35" s="50">
        <f t="shared" si="6"/>
        <v>1.2061884997661899E-2</v>
      </c>
      <c r="I35" s="51">
        <f t="shared" si="0"/>
        <v>7.69401285720636</v>
      </c>
      <c r="J35" s="52">
        <f t="shared" si="1"/>
        <v>1.1949402628623335E-2</v>
      </c>
      <c r="K35" s="53">
        <f>DEGREES(G35*(1+Arkusz1!C$46)/Arkusz1!C$20/PI())</f>
        <v>3.0558427704625752</v>
      </c>
      <c r="L35" s="51">
        <f t="shared" si="2"/>
        <v>10.749855627668936</v>
      </c>
      <c r="M35" s="50">
        <f>G35^2*(1+Arkusz1!C$45)/Arkusz1!C$20/PI()</f>
        <v>6.3846876796406618E-2</v>
      </c>
      <c r="N35" s="54">
        <f>J35+M35+Arkusz1!C$38</f>
        <v>7.6533979125145618E-2</v>
      </c>
      <c r="O35" s="66">
        <f>Arkusz1!C$31/Arkusz1!C$77+(Arkusz1!C$68-Arkusz1!C$29)/Arkusz1!C$77*'projekty 2 i 3'!G35</f>
        <v>-8.8079392726365183E-2</v>
      </c>
      <c r="P35" s="55">
        <f>Arkusz1!C$72+Arkusz1!C$73+1/PI()/Arkusz1!C$76*'projekty 2 i 3'!O35^2</f>
        <v>1.1126353949601982E-2</v>
      </c>
      <c r="Q35" s="55">
        <f>Arkusz1!C$92*(1+1/Arkusz1!C$93*ABS('projekty 2 i 3'!G35))</f>
        <v>1.4718080234205975E-2</v>
      </c>
      <c r="R35" s="55">
        <f>(N35+Q35+P35*Arkusz1!C$67/Arkusz1!C$5)*(1+Arkusz1!C$94)</f>
        <v>9.7841170741333208E-2</v>
      </c>
      <c r="S35" s="55">
        <f>O35*Arkusz1!C$67/Arkusz1!C$5</f>
        <v>-2.2371338715945335E-2</v>
      </c>
      <c r="T35" s="56">
        <f t="shared" si="7"/>
        <v>1.1775909923348347</v>
      </c>
      <c r="U35" s="51">
        <f t="shared" si="8"/>
        <v>12.035741022029276</v>
      </c>
      <c r="V35" s="72">
        <f t="shared" si="9"/>
        <v>170.58472650963813</v>
      </c>
      <c r="W35" s="74">
        <f t="shared" si="10"/>
        <v>7.69401285720636</v>
      </c>
      <c r="X35" s="26">
        <f t="shared" si="11"/>
        <v>1.3867205452281406</v>
      </c>
      <c r="Y35" s="15">
        <f t="shared" si="12"/>
        <v>1.2035741022029276</v>
      </c>
      <c r="Z35" s="15">
        <f t="shared" si="13"/>
        <v>1.7058472650963814</v>
      </c>
      <c r="AA35" s="15">
        <f>Arkusz1!C$32*('projekty 2 i 3'!D35-'projekty 2 i 3'!D$18)</f>
        <v>1.1400402732023902</v>
      </c>
    </row>
    <row r="36" spans="1:27" ht="10.8" customHeight="1" x14ac:dyDescent="0.25">
      <c r="A36" s="15">
        <v>8.4723329879965394</v>
      </c>
      <c r="B36" s="15">
        <v>1.29343491402263</v>
      </c>
      <c r="C36" s="15">
        <v>1.3315234843326799E-2</v>
      </c>
      <c r="D36" s="15">
        <f t="shared" si="3"/>
        <v>0.14787010596586883</v>
      </c>
      <c r="E36" s="1">
        <f>(Arkusz1!C$35-Arkusz1!C$33)*(1-ABS('projekty 2 i 3'!G36/Arkusz1!C$36))</f>
        <v>-8.9062206194530548E-5</v>
      </c>
      <c r="F36" s="15">
        <f t="shared" si="4"/>
        <v>0.20535918342971943</v>
      </c>
      <c r="G36" s="49">
        <f t="shared" si="5"/>
        <v>1.29343491402263</v>
      </c>
      <c r="H36" s="50">
        <f t="shared" si="6"/>
        <v>1.3315234843326799E-2</v>
      </c>
      <c r="I36" s="51">
        <f t="shared" si="0"/>
        <v>8.4723329879965394</v>
      </c>
      <c r="J36" s="52">
        <f t="shared" si="1"/>
        <v>1.3226172637132268E-2</v>
      </c>
      <c r="K36" s="53">
        <f>DEGREES(G36*(1+Arkusz1!C$46)/Arkusz1!C$20/PI())</f>
        <v>3.2938815067792935</v>
      </c>
      <c r="L36" s="51">
        <f t="shared" si="2"/>
        <v>11.766214494775832</v>
      </c>
      <c r="M36" s="50">
        <f>G36^2*(1+Arkusz1!C$45)/Arkusz1!C$20/PI()</f>
        <v>7.4181155051389003E-2</v>
      </c>
      <c r="N36" s="54">
        <f>J36+M36+Arkusz1!C$38</f>
        <v>8.8145027388636943E-2</v>
      </c>
      <c r="O36" s="66">
        <f>Arkusz1!C$31/Arkusz1!C$77+(Arkusz1!C$68-Arkusz1!C$29)/Arkusz1!C$77*'projekty 2 i 3'!G36</f>
        <v>-8.5486349996434341E-2</v>
      </c>
      <c r="P36" s="55">
        <f>Arkusz1!C$72+Arkusz1!C$73+1/PI()/Arkusz1!C$76*'projekty 2 i 3'!O36^2</f>
        <v>1.1090017299959743E-2</v>
      </c>
      <c r="Q36" s="55">
        <f>Arkusz1!C$92*(1+1/Arkusz1!C$93*ABS('projekty 2 i 3'!G36))</f>
        <v>1.4909155813857987E-2</v>
      </c>
      <c r="R36" s="55">
        <f>(N36+Q36+P36*Arkusz1!C$67/Arkusz1!C$5)*(1+Arkusz1!C$94)</f>
        <v>0.11010578120366955</v>
      </c>
      <c r="S36" s="55">
        <f>O36*Arkusz1!C$67/Arkusz1!C$5</f>
        <v>-2.171273021036196E-2</v>
      </c>
      <c r="T36" s="56">
        <f t="shared" si="7"/>
        <v>1.2717221838122681</v>
      </c>
      <c r="U36" s="51">
        <f t="shared" si="8"/>
        <v>11.550003731955583</v>
      </c>
      <c r="V36" s="72">
        <f t="shared" si="9"/>
        <v>169.65102825888104</v>
      </c>
      <c r="W36" s="74">
        <f t="shared" si="10"/>
        <v>8.4723329879965394</v>
      </c>
      <c r="X36" s="26">
        <f t="shared" si="11"/>
        <v>1.6172773128002442</v>
      </c>
      <c r="Y36" s="15">
        <f t="shared" si="12"/>
        <v>1.1550003731955583</v>
      </c>
      <c r="Z36" s="15">
        <f t="shared" si="13"/>
        <v>1.6965102825888103</v>
      </c>
      <c r="AA36" s="15">
        <f>Arkusz1!C$32*('projekty 2 i 3'!D36-'projekty 2 i 3'!D$18)</f>
        <v>1.223370131332971</v>
      </c>
    </row>
    <row r="37" spans="1:27" ht="10.8" customHeight="1" x14ac:dyDescent="0.25">
      <c r="A37" s="15">
        <v>9.5782979720509704</v>
      </c>
      <c r="B37" s="15">
        <v>1.4003503159574799</v>
      </c>
      <c r="C37" s="15">
        <v>1.47628901390537E-2</v>
      </c>
      <c r="D37" s="15">
        <f t="shared" si="3"/>
        <v>0.16717283634938523</v>
      </c>
      <c r="E37" s="1">
        <f>(Arkusz1!C$35-Arkusz1!C$33)*(1-ABS('projekty 2 i 3'!G37/Arkusz1!C$36))</f>
        <v>-6.2273857737276325E-5</v>
      </c>
      <c r="F37" s="15">
        <f t="shared" si="4"/>
        <v>0.22941396415397974</v>
      </c>
      <c r="G37" s="49">
        <f t="shared" si="5"/>
        <v>1.4003503159574799</v>
      </c>
      <c r="H37" s="50">
        <f t="shared" si="6"/>
        <v>1.47628901390537E-2</v>
      </c>
      <c r="I37" s="51">
        <f t="shared" si="0"/>
        <v>9.5782979720509704</v>
      </c>
      <c r="J37" s="52">
        <f t="shared" si="1"/>
        <v>1.4700616281316423E-2</v>
      </c>
      <c r="K37" s="53">
        <f>DEGREES(G37*(1+Arkusz1!C$46)/Arkusz1!C$20/PI())</f>
        <v>3.5661539353376246</v>
      </c>
      <c r="L37" s="51">
        <f t="shared" si="2"/>
        <v>13.144451907388595</v>
      </c>
      <c r="M37" s="50">
        <f>G37^2*(1+Arkusz1!C$45)/Arkusz1!C$20/PI()</f>
        <v>8.695164830670947E-2</v>
      </c>
      <c r="N37" s="54">
        <f>J37+M37+Arkusz1!C$38</f>
        <v>0.10238996428814157</v>
      </c>
      <c r="O37" s="66">
        <f>Arkusz1!C$31/Arkusz1!C$77+(Arkusz1!C$68-Arkusz1!C$29)/Arkusz1!C$77*'projekty 2 i 3'!G37</f>
        <v>-8.252038717728033E-2</v>
      </c>
      <c r="P37" s="55">
        <f>Arkusz1!C$72+Arkusz1!C$73+1/PI()/Arkusz1!C$76*'projekty 2 i 3'!O37^2</f>
        <v>1.1049786043429191E-2</v>
      </c>
      <c r="Q37" s="55">
        <f>Arkusz1!C$92*(1+1/Arkusz1!C$93*ABS('projekty 2 i 3'!G37))</f>
        <v>1.5127711049510148E-2</v>
      </c>
      <c r="R37" s="55">
        <f>(N37+Q37+P37*Arkusz1!C$67/Arkusz1!C$5)*(1+Arkusz1!C$94)</f>
        <v>0.12513718592837611</v>
      </c>
      <c r="S37" s="55">
        <f>O37*Arkusz1!C$67/Arkusz1!C$5</f>
        <v>-2.0959403503712986E-2</v>
      </c>
      <c r="T37" s="56">
        <f t="shared" si="7"/>
        <v>1.3793909124537669</v>
      </c>
      <c r="U37" s="51">
        <f t="shared" si="8"/>
        <v>11.023029663167263</v>
      </c>
      <c r="V37" s="72">
        <f t="shared" si="9"/>
        <v>167.60590396607444</v>
      </c>
      <c r="W37" s="74">
        <f t="shared" si="10"/>
        <v>9.5782979720509704</v>
      </c>
      <c r="X37" s="26">
        <f t="shared" si="11"/>
        <v>1.9027192893600355</v>
      </c>
      <c r="Y37" s="15">
        <f t="shared" si="12"/>
        <v>1.1023029663167263</v>
      </c>
      <c r="Z37" s="15">
        <f t="shared" si="13"/>
        <v>1.6760590396607444</v>
      </c>
      <c r="AA37" s="15">
        <f>Arkusz1!C$32*('projekty 2 i 3'!D37-'projekty 2 i 3'!D$18)</f>
        <v>1.3417788703245757</v>
      </c>
    </row>
    <row r="38" spans="1:27" ht="10.8" customHeight="1" x14ac:dyDescent="0.25">
      <c r="A38" s="15">
        <v>11.0153980341713</v>
      </c>
      <c r="B38" s="15">
        <v>1.49409557274198</v>
      </c>
      <c r="C38" s="15">
        <f>0.0001*B38^4+0.0011*B38^3+0.0047*B38^2-0.0023*B38+0.0057</f>
        <v>1.692264954423061E-2</v>
      </c>
      <c r="D38" s="15">
        <f t="shared" si="3"/>
        <v>0.19225496411400003</v>
      </c>
      <c r="E38" s="1">
        <f>(Arkusz1!C$35-Arkusz1!C$33)*(1-ABS('projekty 2 i 3'!G38/Arkusz1!C$36))</f>
        <v>-3.8785374698244812E-5</v>
      </c>
      <c r="F38" s="15">
        <f t="shared" si="4"/>
        <v>0.25866277110030278</v>
      </c>
      <c r="G38" s="49">
        <f t="shared" si="5"/>
        <v>1.49409557274198</v>
      </c>
      <c r="H38" s="50">
        <f t="shared" si="6"/>
        <v>1.692264954423061E-2</v>
      </c>
      <c r="I38" s="51">
        <f t="shared" si="0"/>
        <v>11.0153980341713</v>
      </c>
      <c r="J38" s="52">
        <f t="shared" si="1"/>
        <v>1.6883864169532366E-2</v>
      </c>
      <c r="K38" s="53">
        <f>DEGREES(G38*(1+Arkusz1!C$46)/Arkusz1!C$20/PI())</f>
        <v>3.8048870670345307</v>
      </c>
      <c r="L38" s="51">
        <f t="shared" si="2"/>
        <v>14.82028510120583</v>
      </c>
      <c r="M38" s="50">
        <f>G38^2*(1+Arkusz1!C$45)/Arkusz1!C$20/PI()</f>
        <v>9.898313152514239E-2</v>
      </c>
      <c r="N38" s="54">
        <f>J38+M38+Arkusz1!C$38</f>
        <v>0.11660469539479043</v>
      </c>
      <c r="O38" s="66">
        <f>Arkusz1!C$31/Arkusz1!C$77+(Arkusz1!C$68-Arkusz1!C$29)/Arkusz1!C$77*'projekty 2 i 3'!G38</f>
        <v>-7.9919780145336475E-2</v>
      </c>
      <c r="P38" s="55">
        <f>Arkusz1!C$72+Arkusz1!C$73+1/PI()/Arkusz1!C$76*'projekty 2 i 3'!O38^2</f>
        <v>1.1015679370410363E-2</v>
      </c>
      <c r="Q38" s="55">
        <f>Arkusz1!C$92*(1+1/Arkusz1!C$93*ABS('projekty 2 i 3'!G38))</f>
        <v>1.5319344025835615E-2</v>
      </c>
      <c r="R38" s="55">
        <f>(N38+Q38+P38*Arkusz1!C$67/Arkusz1!C$5)*(1+Arkusz1!C$94)</f>
        <v>0.14011079528898521</v>
      </c>
      <c r="S38" s="55">
        <f>O38*Arkusz1!C$67/Arkusz1!C$5</f>
        <v>-2.0298873736444616E-2</v>
      </c>
      <c r="T38" s="56">
        <f t="shared" si="7"/>
        <v>1.4737966990055353</v>
      </c>
      <c r="U38" s="51">
        <f t="shared" si="8"/>
        <v>10.518794757861157</v>
      </c>
      <c r="V38" s="72">
        <f t="shared" si="9"/>
        <v>163.06829936759624</v>
      </c>
      <c r="W38" s="74">
        <f t="shared" si="10"/>
        <v>11.0153980341713</v>
      </c>
      <c r="X38" s="26">
        <f t="shared" si="11"/>
        <v>2.1720767099996126</v>
      </c>
      <c r="Y38" s="15">
        <f t="shared" si="12"/>
        <v>1.0518794757861156</v>
      </c>
      <c r="Z38" s="15">
        <f t="shared" si="13"/>
        <v>1.6306829936759624</v>
      </c>
      <c r="AA38" s="15">
        <f>Arkusz1!C$32*('projekty 2 i 3'!D38-'projekty 2 i 3'!D$18)</f>
        <v>1.4956401666710522</v>
      </c>
    </row>
    <row r="39" spans="1:27" ht="10.8" customHeight="1" x14ac:dyDescent="0.25">
      <c r="A39" s="15">
        <v>12.1226718525264</v>
      </c>
      <c r="B39" s="15">
        <v>1.59103111313432</v>
      </c>
      <c r="C39" s="15">
        <f t="shared" ref="C39:C49" si="14">0.0001*B39^4+0.0011*B39^3+0.0047*B39^2-0.0023*B39+0.0057</f>
        <v>1.9009157703914561E-2</v>
      </c>
      <c r="D39" s="15">
        <f t="shared" si="3"/>
        <v>0.21158053796542614</v>
      </c>
      <c r="E39" s="1">
        <f>(Arkusz1!C$35-Arkusz1!C$33)*(1-ABS('projekty 2 i 3'!G39/Arkusz1!C$36))</f>
        <v>-1.4497545377782674E-5</v>
      </c>
      <c r="F39" s="15">
        <f t="shared" si="4"/>
        <v>0.28229682211606028</v>
      </c>
      <c r="G39" s="49">
        <f t="shared" si="5"/>
        <v>1.59103111313432</v>
      </c>
      <c r="H39" s="50">
        <f t="shared" si="6"/>
        <v>1.9009157703914561E-2</v>
      </c>
      <c r="I39" s="51">
        <f t="shared" si="0"/>
        <v>12.1226718525264</v>
      </c>
      <c r="J39" s="52">
        <f t="shared" si="1"/>
        <v>1.8994660158536777E-2</v>
      </c>
      <c r="K39" s="53">
        <f>DEGREES(G39*(1+Arkusz1!C$46)/Arkusz1!C$20/PI())</f>
        <v>4.0517446246792126</v>
      </c>
      <c r="L39" s="51">
        <f t="shared" si="2"/>
        <v>16.174416477205611</v>
      </c>
      <c r="M39" s="50">
        <f>G39^2*(1+Arkusz1!C$45)/Arkusz1!C$20/PI()</f>
        <v>0.11224364892739309</v>
      </c>
      <c r="N39" s="54">
        <f>J39+M39+Arkusz1!C$38</f>
        <v>0.13197600878604554</v>
      </c>
      <c r="O39" s="66">
        <f>Arkusz1!C$31/Arkusz1!C$77+(Arkusz1!C$68-Arkusz1!C$29)/Arkusz1!C$77*'projekty 2 i 3'!G39</f>
        <v>-7.7230670779845065E-2</v>
      </c>
      <c r="P39" s="55">
        <f>Arkusz1!C$72+Arkusz1!C$73+1/PI()/Arkusz1!C$76*'projekty 2 i 3'!O39^2</f>
        <v>1.0981560448985378E-2</v>
      </c>
      <c r="Q39" s="55">
        <f>Arkusz1!C$92*(1+1/Arkusz1!C$93*ABS('projekty 2 i 3'!G39))</f>
        <v>1.5517498543240204E-2</v>
      </c>
      <c r="R39" s="55">
        <f>(N39+Q39+P39*Arkusz1!C$67/Arkusz1!C$5)*(1+Arkusz1!C$94)</f>
        <v>0.15629402939288775</v>
      </c>
      <c r="S39" s="55">
        <f>O39*Arkusz1!C$67/Arkusz1!C$5</f>
        <v>-1.9615865207462994E-2</v>
      </c>
      <c r="T39" s="56">
        <f t="shared" si="7"/>
        <v>1.5714152479268571</v>
      </c>
      <c r="U39" s="51">
        <f t="shared" si="8"/>
        <v>10.054224425788368</v>
      </c>
      <c r="V39" s="72">
        <f t="shared" si="9"/>
        <v>158.85032699651384</v>
      </c>
      <c r="W39" s="74">
        <f t="shared" si="10"/>
        <v>12.1226718525264</v>
      </c>
      <c r="X39" s="26">
        <f t="shared" si="11"/>
        <v>2.4693458814170257</v>
      </c>
      <c r="Y39" s="15">
        <f t="shared" si="12"/>
        <v>1.0054224425788367</v>
      </c>
      <c r="Z39" s="15">
        <f t="shared" si="13"/>
        <v>1.5885032699651385</v>
      </c>
      <c r="AA39" s="15">
        <f>Arkusz1!C$32*('projekty 2 i 3'!D39-'projekty 2 i 3'!D$18)</f>
        <v>1.6141890343478555</v>
      </c>
    </row>
    <row r="40" spans="1:27" ht="10.8" customHeight="1" x14ac:dyDescent="0.25">
      <c r="A40" s="15">
        <v>12.581200135856299</v>
      </c>
      <c r="B40" s="15">
        <v>1.6111817078881701</v>
      </c>
      <c r="C40" s="15">
        <f t="shared" si="14"/>
        <v>1.9469640423407812E-2</v>
      </c>
      <c r="D40" s="15">
        <f t="shared" si="3"/>
        <v>0.21958336622305033</v>
      </c>
      <c r="E40" s="1">
        <f>(Arkusz1!C$35-Arkusz1!C$33)*(1-ABS('projekty 2 i 3'!G40/Arkusz1!C$36))</f>
        <v>-9.4486829677064793E-6</v>
      </c>
      <c r="F40" s="15">
        <f t="shared" si="4"/>
        <v>0.29119528036649484</v>
      </c>
      <c r="G40" s="49">
        <f t="shared" si="5"/>
        <v>1.6111817078881701</v>
      </c>
      <c r="H40" s="50">
        <f t="shared" si="6"/>
        <v>1.9469640423407812E-2</v>
      </c>
      <c r="I40" s="51">
        <f t="shared" si="0"/>
        <v>12.581200135856299</v>
      </c>
      <c r="J40" s="52">
        <f t="shared" si="1"/>
        <v>1.9460191740440107E-2</v>
      </c>
      <c r="K40" s="53">
        <f>DEGREES(G40*(1+Arkusz1!C$46)/Arkusz1!C$20/PI())</f>
        <v>4.1030604432725779</v>
      </c>
      <c r="L40" s="51">
        <f t="shared" si="2"/>
        <v>16.684260579128878</v>
      </c>
      <c r="M40" s="50">
        <f>G40^2*(1+Arkusz1!C$45)/Arkusz1!C$20/PI()</f>
        <v>0.11510481121988507</v>
      </c>
      <c r="N40" s="54">
        <f>J40+M40+Arkusz1!C$38</f>
        <v>0.13530270266044084</v>
      </c>
      <c r="O40" s="66">
        <f>Arkusz1!C$31/Arkusz1!C$77+(Arkusz1!C$68-Arkusz1!C$29)/Arkusz1!C$77*'projekty 2 i 3'!G40</f>
        <v>-7.6671668861111431E-2</v>
      </c>
      <c r="P40" s="55">
        <f>Arkusz1!C$72+Arkusz1!C$73+1/PI()/Arkusz1!C$76*'projekty 2 i 3'!O40^2</f>
        <v>1.0974614529935473E-2</v>
      </c>
      <c r="Q40" s="55">
        <f>Arkusz1!C$92*(1+1/Arkusz1!C$93*ABS('projekty 2 i 3'!G40))</f>
        <v>1.5558690157406727E-2</v>
      </c>
      <c r="R40" s="55">
        <f>(N40+Q40+P40*Arkusz1!C$67/Arkusz1!C$5)*(1+Arkusz1!C$94)</f>
        <v>0.15979479553484452</v>
      </c>
      <c r="S40" s="55">
        <f>O40*Arkusz1!C$67/Arkusz1!C$5</f>
        <v>-1.947388396894896E-2</v>
      </c>
      <c r="T40" s="56">
        <f t="shared" si="7"/>
        <v>1.5917078239192211</v>
      </c>
      <c r="U40" s="51">
        <f t="shared" si="8"/>
        <v>9.9609490946914878</v>
      </c>
      <c r="V40" s="72">
        <f t="shared" si="9"/>
        <v>157.93005707349073</v>
      </c>
      <c r="W40" s="74">
        <f t="shared" si="10"/>
        <v>12.581200135856299</v>
      </c>
      <c r="X40" s="26">
        <f t="shared" si="11"/>
        <v>2.5335337967256621</v>
      </c>
      <c r="Y40" s="15">
        <f t="shared" si="12"/>
        <v>0.9960949094691488</v>
      </c>
      <c r="Z40" s="15">
        <f t="shared" si="13"/>
        <v>1.5793005707349073</v>
      </c>
      <c r="AA40" s="15">
        <f>Arkusz1!C$32*('projekty 2 i 3'!D40-'projekty 2 i 3'!D$18)</f>
        <v>1.6632807837285994</v>
      </c>
    </row>
    <row r="41" spans="1:27" ht="10.8" customHeight="1" x14ac:dyDescent="0.25">
      <c r="A41" s="15">
        <v>12.8434032740877</v>
      </c>
      <c r="B41" s="15">
        <v>1.6212706389557301</v>
      </c>
      <c r="C41" s="15">
        <f t="shared" si="14"/>
        <v>1.9703719178728762E-2</v>
      </c>
      <c r="D41" s="15">
        <f t="shared" si="3"/>
        <v>0.2241596742942501</v>
      </c>
      <c r="E41" s="1">
        <f>(Arkusz1!C$35-Arkusz1!C$33)*(1-ABS('projekty 2 i 3'!G41/Arkusz1!C$36))</f>
        <v>-6.9208357529178262E-6</v>
      </c>
      <c r="F41" s="15">
        <f t="shared" si="4"/>
        <v>0.29622000940838461</v>
      </c>
      <c r="G41" s="49">
        <f t="shared" si="5"/>
        <v>1.6212706389557301</v>
      </c>
      <c r="H41" s="50">
        <f t="shared" si="6"/>
        <v>1.9703719178728762E-2</v>
      </c>
      <c r="I41" s="51">
        <f t="shared" si="0"/>
        <v>12.8434032740877</v>
      </c>
      <c r="J41" s="52">
        <f t="shared" si="1"/>
        <v>1.9696798342975844E-2</v>
      </c>
      <c r="K41" s="53">
        <f>DEGREES(G41*(1+Arkusz1!C$46)/Arkusz1!C$20/PI())</f>
        <v>4.1287530723382773</v>
      </c>
      <c r="L41" s="51">
        <f t="shared" si="2"/>
        <v>16.972156346425976</v>
      </c>
      <c r="M41" s="50">
        <f>G41^2*(1+Arkusz1!C$45)/Arkusz1!C$20/PI()</f>
        <v>0.11655085591857145</v>
      </c>
      <c r="N41" s="54">
        <f>J41+M41+Arkusz1!C$38</f>
        <v>0.13698535396166295</v>
      </c>
      <c r="O41" s="66">
        <f>Arkusz1!C$31/Arkusz1!C$77+(Arkusz1!C$68-Arkusz1!C$29)/Arkusz1!C$77*'projekty 2 i 3'!G41</f>
        <v>-7.6391789686643896E-2</v>
      </c>
      <c r="P41" s="55">
        <f>Arkusz1!C$72+Arkusz1!C$73+1/PI()/Arkusz1!C$76*'projekty 2 i 3'!O41^2</f>
        <v>1.0971155826674283E-2</v>
      </c>
      <c r="Q41" s="55">
        <f>Arkusz1!C$92*(1+1/Arkusz1!C$93*ABS('projekty 2 i 3'!G41))</f>
        <v>1.5579313834323663E-2</v>
      </c>
      <c r="R41" s="55">
        <f>(N41+Q41+P41*Arkusz1!C$67/Arkusz1!C$5)*(1+Arkusz1!C$94)</f>
        <v>0.16156528789483077</v>
      </c>
      <c r="S41" s="55">
        <f>O41*Arkusz1!C$67/Arkusz1!C$5</f>
        <v>-1.9402797286607674E-2</v>
      </c>
      <c r="T41" s="56">
        <f t="shared" si="7"/>
        <v>1.6018678416691223</v>
      </c>
      <c r="U41" s="51">
        <f t="shared" si="8"/>
        <v>9.9146782241482558</v>
      </c>
      <c r="V41" s="72">
        <f t="shared" si="9"/>
        <v>157.46496127451115</v>
      </c>
      <c r="W41" s="74">
        <f t="shared" si="10"/>
        <v>12.8434032740877</v>
      </c>
      <c r="X41" s="26">
        <f t="shared" si="11"/>
        <v>2.5659805821736925</v>
      </c>
      <c r="Y41" s="15">
        <f t="shared" si="12"/>
        <v>0.99146782241482556</v>
      </c>
      <c r="Z41" s="15">
        <f t="shared" si="13"/>
        <v>1.5746496127451115</v>
      </c>
      <c r="AA41" s="15">
        <f>Arkusz1!C$32*('projekty 2 i 3'!D41-'projekty 2 i 3'!D$18)</f>
        <v>1.69135323032976</v>
      </c>
    </row>
    <row r="42" spans="1:27" ht="10.8" customHeight="1" x14ac:dyDescent="0.25">
      <c r="A42" s="15">
        <v>13.171484405452199</v>
      </c>
      <c r="B42" s="15">
        <v>1.6313868374045499</v>
      </c>
      <c r="C42" s="15">
        <f t="shared" si="14"/>
        <v>1.9940807201677891E-2</v>
      </c>
      <c r="D42" s="15">
        <f t="shared" si="3"/>
        <v>0.22988577025022863</v>
      </c>
      <c r="E42" s="1">
        <f>(Arkusz1!C$35-Arkusz1!C$33)*(1-ABS('projekty 2 i 3'!G42/Arkusz1!C$36))</f>
        <v>-4.3861565186307656E-6</v>
      </c>
      <c r="F42" s="15">
        <f t="shared" si="4"/>
        <v>0.30239573828362248</v>
      </c>
      <c r="G42" s="49">
        <f t="shared" si="5"/>
        <v>1.6313868374045499</v>
      </c>
      <c r="H42" s="50">
        <f t="shared" si="6"/>
        <v>1.9940807201677891E-2</v>
      </c>
      <c r="I42" s="51">
        <f t="shared" si="0"/>
        <v>13.171484405452199</v>
      </c>
      <c r="J42" s="52">
        <f t="shared" si="1"/>
        <v>1.9936421045159261E-2</v>
      </c>
      <c r="K42" s="53">
        <f>DEGREES(G42*(1+Arkusz1!C$46)/Arkusz1!C$20/PI())</f>
        <v>4.1545151409419807</v>
      </c>
      <c r="L42" s="51">
        <f t="shared" si="2"/>
        <v>17.325999546394179</v>
      </c>
      <c r="M42" s="50">
        <f>G42^2*(1+Arkusz1!C$45)/Arkusz1!C$20/PI()</f>
        <v>0.11800987208471456</v>
      </c>
      <c r="N42" s="54">
        <f>J42+M42+Arkusz1!C$38</f>
        <v>0.1386839928299895</v>
      </c>
      <c r="O42" s="66">
        <f>Arkusz1!C$31/Arkusz1!C$77+(Arkusz1!C$68-Arkusz1!C$29)/Arkusz1!C$77*'projekty 2 i 3'!G42</f>
        <v>-7.6111154081975191E-2</v>
      </c>
      <c r="P42" s="55">
        <f>Arkusz1!C$72+Arkusz1!C$73+1/PI()/Arkusz1!C$76*'projekty 2 i 3'!O42^2</f>
        <v>1.0967700475487894E-2</v>
      </c>
      <c r="Q42" s="55">
        <f>Arkusz1!C$92*(1+1/Arkusz1!C$93*ABS('projekty 2 i 3'!G42))</f>
        <v>1.5599993250907936E-2</v>
      </c>
      <c r="R42" s="55">
        <f>(N42+Q42+P42*Arkusz1!C$67/Arkusz1!C$5)*(1+Arkusz1!C$94)</f>
        <v>0.16335246617931104</v>
      </c>
      <c r="S42" s="55">
        <f>O42*Arkusz1!C$67/Arkusz1!C$5</f>
        <v>-1.9331518478097925E-2</v>
      </c>
      <c r="T42" s="56">
        <f t="shared" si="7"/>
        <v>1.6120553189264519</v>
      </c>
      <c r="U42" s="51">
        <f t="shared" si="8"/>
        <v>9.8685704393156097</v>
      </c>
      <c r="V42" s="72">
        <f t="shared" si="9"/>
        <v>156.99594365272839</v>
      </c>
      <c r="W42" s="74">
        <f t="shared" si="10"/>
        <v>13.171484405452199</v>
      </c>
      <c r="X42" s="26">
        <f t="shared" si="11"/>
        <v>2.5987223512790645</v>
      </c>
      <c r="Y42" s="15">
        <f t="shared" si="12"/>
        <v>0.98685704393156093</v>
      </c>
      <c r="Z42" s="15">
        <f t="shared" si="13"/>
        <v>1.5699594365272838</v>
      </c>
      <c r="AA42" s="15">
        <f>Arkusz1!C$32*('projekty 2 i 3'!D42-'projekty 2 i 3'!D$18)</f>
        <v>1.7264788207525192</v>
      </c>
    </row>
    <row r="43" spans="1:27" ht="10.8" customHeight="1" x14ac:dyDescent="0.25">
      <c r="A43" s="15">
        <v>13.5654435299497</v>
      </c>
      <c r="B43" s="15">
        <v>1.64153030323463</v>
      </c>
      <c r="C43" s="15">
        <f t="shared" si="14"/>
        <v>2.0180934653793847E-2</v>
      </c>
      <c r="D43" s="15">
        <f t="shared" si="3"/>
        <v>0.23676165409098426</v>
      </c>
      <c r="E43" s="1">
        <f>(Arkusz1!C$35-Arkusz1!C$33)*(1-ABS('projekty 2 i 3'!G43/Arkusz1!C$36))</f>
        <v>-1.8446452648451159E-6</v>
      </c>
      <c r="F43" s="15">
        <f t="shared" si="4"/>
        <v>0.30972246699220668</v>
      </c>
      <c r="G43" s="49">
        <f t="shared" si="5"/>
        <v>1.64153030323463</v>
      </c>
      <c r="H43" s="50">
        <f t="shared" si="6"/>
        <v>2.0180934653793847E-2</v>
      </c>
      <c r="I43" s="51">
        <f t="shared" si="0"/>
        <v>13.5654435299497</v>
      </c>
      <c r="J43" s="52">
        <f t="shared" si="1"/>
        <v>2.0179090008529001E-2</v>
      </c>
      <c r="K43" s="53">
        <f>DEGREES(G43*(1+Arkusz1!C$46)/Arkusz1!C$20/PI())</f>
        <v>4.1803466490836918</v>
      </c>
      <c r="L43" s="51">
        <f t="shared" si="2"/>
        <v>17.745790179033392</v>
      </c>
      <c r="M43" s="50">
        <f>G43^2*(1+Arkusz1!C$45)/Arkusz1!C$20/PI()</f>
        <v>0.11948193310486134</v>
      </c>
      <c r="N43" s="54">
        <f>J43+M43+Arkusz1!C$38</f>
        <v>0.14039872281350602</v>
      </c>
      <c r="O43" s="66">
        <f>Arkusz1!C$31/Arkusz1!C$77+(Arkusz1!C$68-Arkusz1!C$29)/Arkusz1!C$77*'projekty 2 i 3'!G43</f>
        <v>-7.5829762047105329E-2</v>
      </c>
      <c r="P43" s="55">
        <f>Arkusz1!C$72+Arkusz1!C$73+1/PI()/Arkusz1!C$76*'projekty 2 i 3'!O43^2</f>
        <v>1.096424857920968E-2</v>
      </c>
      <c r="Q43" s="55">
        <f>Arkusz1!C$92*(1+1/Arkusz1!C$93*ABS('projekty 2 i 3'!G43))</f>
        <v>1.562072840715955E-2</v>
      </c>
      <c r="R43" s="55">
        <f>(N43+Q43+P43*Arkusz1!C$67/Arkusz1!C$5)*(1+Arkusz1!C$94)</f>
        <v>0.16515643810545771</v>
      </c>
      <c r="S43" s="55">
        <f>O43*Arkusz1!C$67/Arkusz1!C$5</f>
        <v>-1.9260047543419711E-2</v>
      </c>
      <c r="T43" s="56">
        <f t="shared" si="7"/>
        <v>1.6222702556912103</v>
      </c>
      <c r="U43" s="51">
        <f t="shared" si="8"/>
        <v>9.8226280143880214</v>
      </c>
      <c r="V43" s="72">
        <f t="shared" si="9"/>
        <v>156.52315759467905</v>
      </c>
      <c r="W43" s="74">
        <f t="shared" si="10"/>
        <v>13.5654435299497</v>
      </c>
      <c r="X43" s="26">
        <f t="shared" si="11"/>
        <v>2.6317607825004248</v>
      </c>
      <c r="Y43" s="15">
        <f t="shared" si="12"/>
        <v>0.98226280143880218</v>
      </c>
      <c r="Z43" s="15">
        <f t="shared" si="13"/>
        <v>1.5652315759467905</v>
      </c>
      <c r="AA43" s="15">
        <f>Arkusz1!C$32*('projekty 2 i 3'!D43-'projekty 2 i 3'!D$18)</f>
        <v>1.7686575549968664</v>
      </c>
    </row>
    <row r="44" spans="1:27" ht="10.8" customHeight="1" thickBot="1" x14ac:dyDescent="0.3">
      <c r="A44" s="15">
        <v>15.277398795207899</v>
      </c>
      <c r="B44" s="15">
        <v>1.64889249617582</v>
      </c>
      <c r="C44" s="15">
        <f t="shared" si="14"/>
        <v>2.0356732334705599E-2</v>
      </c>
      <c r="D44" s="15">
        <f t="shared" si="3"/>
        <v>0.26664091011659274</v>
      </c>
      <c r="E44" s="1">
        <f>(Arkusz1!C$35-Arkusz1!C$33)*(1-ABS('projekty 2 i 3'!G44/Arkusz1!C$36))</f>
        <v>0</v>
      </c>
      <c r="F44" s="15">
        <f t="shared" si="4"/>
        <v>0.3399289491315618</v>
      </c>
      <c r="G44" s="57">
        <f t="shared" si="5"/>
        <v>1.64889249617582</v>
      </c>
      <c r="H44" s="58">
        <f t="shared" si="6"/>
        <v>2.0356732334705599E-2</v>
      </c>
      <c r="I44" s="59">
        <f t="shared" si="0"/>
        <v>15.277398795207899</v>
      </c>
      <c r="J44" s="60">
        <f t="shared" si="1"/>
        <v>2.0356732334705599E-2</v>
      </c>
      <c r="K44" s="61">
        <f>DEGREES(G44*(1+Arkusz1!C$46)/Arkusz1!C$20/PI())</f>
        <v>4.1990953243478435</v>
      </c>
      <c r="L44" s="59">
        <f t="shared" si="2"/>
        <v>19.476494119555742</v>
      </c>
      <c r="M44" s="58">
        <f>G44^2*(1+Arkusz1!C$45)/Arkusz1!C$20/PI()</f>
        <v>0.12055607914635483</v>
      </c>
      <c r="N44" s="62">
        <f>J44+M44+Arkusz1!C$38</f>
        <v>0.14165051118117611</v>
      </c>
      <c r="O44" s="67">
        <f>Arkusz1!C$31/Arkusz1!C$77+(Arkusz1!C$68-Arkusz1!C$29)/Arkusz1!C$77*'projekty 2 i 3'!G44</f>
        <v>-7.5625525892764223E-2</v>
      </c>
      <c r="P44" s="63">
        <f>Arkusz1!C$72+Arkusz1!C$73+1/PI()/Arkusz1!C$76*'projekty 2 i 3'!O44^2</f>
        <v>1.0961751178319086E-2</v>
      </c>
      <c r="Q44" s="63">
        <f>Arkusz1!C$92*(1+1/Arkusz1!C$93*ABS('projekty 2 i 3'!G44))</f>
        <v>1.5635778117342174E-2</v>
      </c>
      <c r="R44" s="63">
        <f>(N44+Q44+P44*Arkusz1!C$67/Arkusz1!C$5)*(1+Arkusz1!C$94)</f>
        <v>0.16647329001739303</v>
      </c>
      <c r="S44" s="63">
        <f>O44*Arkusz1!C$67/Arkusz1!C$5</f>
        <v>-1.9208173477927439E-2</v>
      </c>
      <c r="T44" s="64">
        <f t="shared" si="7"/>
        <v>1.6296843226978925</v>
      </c>
      <c r="U44" s="59">
        <f>T44/R44</f>
        <v>9.7894642589668539</v>
      </c>
      <c r="V44" s="73">
        <f t="shared" si="9"/>
        <v>156.17853258286405</v>
      </c>
      <c r="W44" s="74">
        <f t="shared" si="10"/>
        <v>15.277398795207899</v>
      </c>
      <c r="X44" s="26">
        <f t="shared" si="11"/>
        <v>2.6558709916472889</v>
      </c>
      <c r="Y44" s="15">
        <f t="shared" si="12"/>
        <v>0.97894642589668535</v>
      </c>
      <c r="Z44" s="15">
        <f t="shared" si="13"/>
        <v>1.5617853258286405</v>
      </c>
      <c r="AA44" s="15">
        <f>Arkusz1!C$32*('projekty 2 i 3'!D44-'projekty 2 i 3'!D$18)</f>
        <v>1.9519458752347565</v>
      </c>
    </row>
    <row r="45" spans="1:27" ht="10.8" customHeight="1" x14ac:dyDescent="0.25">
      <c r="A45" s="15">
        <v>15.5417833239404</v>
      </c>
      <c r="B45" s="15">
        <v>1.6423483246725401</v>
      </c>
      <c r="C45" s="15">
        <f t="shared" si="14"/>
        <v>2.020040483814127E-2</v>
      </c>
      <c r="D45" s="15">
        <f t="shared" si="3"/>
        <v>0.27125529063430842</v>
      </c>
      <c r="F45" s="2"/>
      <c r="G45" s="83" t="s">
        <v>280</v>
      </c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70"/>
    </row>
    <row r="46" spans="1:27" x14ac:dyDescent="0.25">
      <c r="A46" s="15">
        <v>15.8066041307732</v>
      </c>
      <c r="B46" s="15">
        <v>1.6324775326551</v>
      </c>
      <c r="C46" s="15">
        <f t="shared" si="14"/>
        <v>1.9966511832909907E-2</v>
      </c>
      <c r="D46" s="15">
        <f t="shared" si="3"/>
        <v>0.27587728564132868</v>
      </c>
      <c r="F46" s="2"/>
      <c r="G46" s="3"/>
      <c r="H46" s="1"/>
      <c r="I46" s="1"/>
      <c r="J46" s="2"/>
    </row>
    <row r="47" spans="1:27" x14ac:dyDescent="0.25">
      <c r="A47" s="15">
        <v>16.533007167637301</v>
      </c>
      <c r="B47" s="15">
        <v>1.61947099179233</v>
      </c>
      <c r="C47" s="15">
        <f t="shared" si="14"/>
        <v>1.9661791446219358E-2</v>
      </c>
      <c r="D47" s="15">
        <f t="shared" si="3"/>
        <v>0.288555410331093</v>
      </c>
      <c r="F47" s="2"/>
      <c r="G47" s="3"/>
      <c r="H47" s="1"/>
      <c r="I47" s="1"/>
      <c r="J47" s="2"/>
    </row>
    <row r="48" spans="1:27" x14ac:dyDescent="0.25">
      <c r="A48" s="15">
        <v>16.8632696895029</v>
      </c>
      <c r="B48" s="15">
        <v>1.6129540876703099</v>
      </c>
      <c r="C48" s="15">
        <f t="shared" si="14"/>
        <v>1.9510591453422418E-2</v>
      </c>
      <c r="D48" s="15">
        <f t="shared" si="3"/>
        <v>0.29431957873358744</v>
      </c>
      <c r="F48" s="2"/>
      <c r="G48" s="3"/>
      <c r="H48" s="1"/>
      <c r="I48" s="1"/>
      <c r="J48" s="2"/>
    </row>
    <row r="49" spans="1:10" x14ac:dyDescent="0.25">
      <c r="A49" s="15">
        <v>16.930456516936601</v>
      </c>
      <c r="B49" s="15">
        <v>1.60300149350907</v>
      </c>
      <c r="C49" s="15">
        <f t="shared" si="14"/>
        <v>1.9281577085714943E-2</v>
      </c>
      <c r="D49" s="15">
        <f t="shared" si="3"/>
        <v>0.2954922100862748</v>
      </c>
      <c r="F49" s="2"/>
      <c r="G49" s="3"/>
      <c r="H49" s="1"/>
      <c r="I49" s="1"/>
      <c r="J49" s="2"/>
    </row>
    <row r="50" spans="1:10" x14ac:dyDescent="0.25">
      <c r="A50" s="15">
        <v>18.187810001766898</v>
      </c>
      <c r="B50" s="15">
        <v>1.5602735070689</v>
      </c>
      <c r="C50" s="15">
        <f>0.0001*B50^4+0.0011*B50^3+0.0047*B50^2-0.0023*B50+0.0057</f>
        <v>1.8324212824449172E-2</v>
      </c>
      <c r="D50" s="15">
        <f t="shared" si="3"/>
        <v>0.31743716825798807</v>
      </c>
      <c r="F50" s="2"/>
      <c r="G50" s="3"/>
      <c r="H50" s="1"/>
      <c r="I50" s="1"/>
      <c r="J50" s="2"/>
    </row>
  </sheetData>
  <mergeCells count="4">
    <mergeCell ref="G1:J1"/>
    <mergeCell ref="K1:N1"/>
    <mergeCell ref="O1:V1"/>
    <mergeCell ref="G45:V45"/>
  </mergeCells>
  <pageMargins left="0.25" right="0.25" top="0.75" bottom="0.75" header="0.3" footer="0.3"/>
  <pageSetup paperSize="9" orientation="landscape" r:id="rId1"/>
  <colBreaks count="1" manualBreakCount="1">
    <brk id="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12EF-D8FE-4F62-837B-742336806F64}">
  <dimension ref="A1:P45"/>
  <sheetViews>
    <sheetView zoomScaleNormal="100" workbookViewId="0">
      <selection activeCell="D48" sqref="D48"/>
    </sheetView>
  </sheetViews>
  <sheetFormatPr defaultRowHeight="14.4" x14ac:dyDescent="0.3"/>
  <sheetData>
    <row r="1" spans="1:16" ht="15.6" x14ac:dyDescent="0.35">
      <c r="H1" t="s">
        <v>212</v>
      </c>
      <c r="I1">
        <f>Arkusz1!C101</f>
        <v>1863</v>
      </c>
      <c r="J1" t="s">
        <v>211</v>
      </c>
      <c r="K1">
        <f>Arkusz1!C102</f>
        <v>2405.5</v>
      </c>
      <c r="L1" t="s">
        <v>224</v>
      </c>
      <c r="M1">
        <f>Arkusz1!C7</f>
        <v>2948</v>
      </c>
    </row>
    <row r="2" spans="1:16" x14ac:dyDescent="0.3">
      <c r="B2" t="s">
        <v>48</v>
      </c>
      <c r="C2" t="s">
        <v>49</v>
      </c>
      <c r="D2" t="s">
        <v>125</v>
      </c>
      <c r="E2" t="s">
        <v>222</v>
      </c>
      <c r="F2" t="s">
        <v>223</v>
      </c>
      <c r="G2" t="s">
        <v>227</v>
      </c>
      <c r="H2" t="s">
        <v>225</v>
      </c>
      <c r="I2" t="s">
        <v>226</v>
      </c>
      <c r="J2" t="s">
        <v>225</v>
      </c>
      <c r="K2" t="s">
        <v>226</v>
      </c>
      <c r="L2" t="s">
        <v>225</v>
      </c>
      <c r="M2" t="s">
        <v>226</v>
      </c>
    </row>
    <row r="3" spans="1:16" ht="15.6" x14ac:dyDescent="0.3">
      <c r="A3">
        <v>1</v>
      </c>
      <c r="B3" s="26">
        <f ca="1">OFFSET('projekty 2 i 3'!$T$44,-A3+1,0,1,1)</f>
        <v>1.6296843226978925</v>
      </c>
      <c r="C3" s="28">
        <f ca="1">OFFSET('projekty 2 i 3'!$R$44,-A3+1,0,1,1)</f>
        <v>0.16647329001739303</v>
      </c>
      <c r="D3" s="26">
        <f ca="1">OFFSET('projekty 2 i 3'!$U$44,-A3+1,0,1,1)</f>
        <v>9.7894642589668539</v>
      </c>
      <c r="E3" s="28">
        <f ca="1">SQRT(1/SQRT(B3^2+C3^2))</f>
        <v>0.78130605035509237</v>
      </c>
      <c r="F3" s="28">
        <f ca="1">SQRT(C3^2/(C3^2+B3^2)^(3/2))</f>
        <v>7.9397737118842238E-2</v>
      </c>
      <c r="G3" s="26">
        <f ca="1">DEGREES(ATAN(1/D3))</f>
        <v>5.8325693220377026</v>
      </c>
      <c r="H3" s="27">
        <f ca="1">'projekt 4'!$E3*SQRT(2*Arkusz1!$C$14/Arkusz1!$C$5/Arkusz1!$C$103*'projekt 4'!I$1)</f>
        <v>36.926674767628953</v>
      </c>
      <c r="I3" s="26">
        <f ca="1">'projekt 4'!$F3*SQRT(2*Arkusz1!$C$14/Arkusz1!$C$5/Arkusz1!$C$103*'projekt 4'!I$1)</f>
        <v>3.7525556272611542</v>
      </c>
      <c r="J3" s="27">
        <f ca="1">'projekt 4'!$E3*SQRT(2*Arkusz1!$C$14/Arkusz1!$C$5/Arkusz1!$C$103*'projekt 4'!K$1)</f>
        <v>41.960094202715126</v>
      </c>
      <c r="K3" s="26">
        <f ca="1">'projekt 4'!$F3*SQRT(2*Arkusz1!$C$14/Arkusz1!$C$5/Arkusz1!$C$103*'projekt 4'!K$1)</f>
        <v>4.2640608343873652</v>
      </c>
      <c r="L3" s="27">
        <f ca="1">'projekt 4'!$E3*SQRT(2*Arkusz1!$C$14/Arkusz1!$C$5/Arkusz1!$C$103*'projekt 4'!M$1)</f>
        <v>46.451261571750777</v>
      </c>
      <c r="M3" s="26">
        <f ca="1">'projekt 4'!$F3*SQRT(2*Arkusz1!$C$14/Arkusz1!$C$5/Arkusz1!$C$103*'projekt 4'!M$1)</f>
        <v>4.7204614036154551</v>
      </c>
      <c r="O3">
        <v>0</v>
      </c>
      <c r="P3">
        <v>0</v>
      </c>
    </row>
    <row r="4" spans="1:16" ht="15.6" x14ac:dyDescent="0.3">
      <c r="A4">
        <v>2</v>
      </c>
      <c r="B4" s="26">
        <f ca="1">OFFSET('projekty 2 i 3'!$T$44,-A4+1,0,1,1)</f>
        <v>1.6222702556912103</v>
      </c>
      <c r="C4" s="28">
        <f ca="1">OFFSET('projekty 2 i 3'!$R$44,-A4+1,0,1,1)</f>
        <v>0.16515643810545771</v>
      </c>
      <c r="D4" s="26">
        <f ca="1">OFFSET('projekty 2 i 3'!$U$44,-A4+1,0,1,1)</f>
        <v>9.8226280143880214</v>
      </c>
      <c r="E4" s="28">
        <f t="shared" ref="E4:E22" ca="1" si="0">SQRT(1/SQRT(B4^2+C4^2))</f>
        <v>0.78310299916840365</v>
      </c>
      <c r="F4" s="28">
        <f t="shared" ref="F4:F22" ca="1" si="1">SQRT(C4^2/(C4^2+B4^2)^(3/2))</f>
        <v>7.9314423104416026E-2</v>
      </c>
      <c r="G4" s="26">
        <f t="shared" ref="G4:G22" ca="1" si="2">DEGREES(ATAN(1/D4))</f>
        <v>5.8130121271093103</v>
      </c>
      <c r="H4" s="27">
        <f ca="1">'projekt 4'!$E4*SQRT(2*Arkusz1!$C$14/Arkusz1!$C$5/Arkusz1!$C$103*'projekt 4'!I$1)</f>
        <v>37.011603515298404</v>
      </c>
      <c r="I4" s="26">
        <f ca="1">'projekt 4'!$F4*SQRT(2*Arkusz1!$C$14/Arkusz1!$C$5/Arkusz1!$C$103*'projekt 4'!I$1)</f>
        <v>3.7486179775873754</v>
      </c>
      <c r="J4" s="27">
        <f ca="1">'projekt 4'!$E4*SQRT(2*Arkusz1!$C$14/Arkusz1!$C$5/Arkusz1!$C$103*'projekt 4'!K$1)</f>
        <v>42.056599460097594</v>
      </c>
      <c r="K4" s="26">
        <f ca="1">'projekt 4'!$F4*SQRT(2*Arkusz1!$C$14/Arkusz1!$C$5/Arkusz1!$C$103*'projekt 4'!K$1)</f>
        <v>4.2595864496156857</v>
      </c>
      <c r="L4" s="27">
        <f ca="1">'projekt 4'!$E4*SQRT(2*Arkusz1!$C$14/Arkusz1!$C$5/Arkusz1!$C$103*'projekt 4'!M$1)</f>
        <v>46.558096197337299</v>
      </c>
      <c r="M4" s="26">
        <f ca="1">'projekt 4'!$F4*SQRT(2*Arkusz1!$C$14/Arkusz1!$C$5/Arkusz1!$C$103*'projekt 4'!M$1)</f>
        <v>4.7155081064088797</v>
      </c>
      <c r="O4">
        <v>140</v>
      </c>
      <c r="P4" s="29">
        <f ca="1">O4*TAN(RADIANS(Arkusz1!C105))</f>
        <v>9.7979465498927389</v>
      </c>
    </row>
    <row r="5" spans="1:16" ht="15.6" x14ac:dyDescent="0.3">
      <c r="A5">
        <v>3</v>
      </c>
      <c r="B5" s="26">
        <f ca="1">OFFSET('projekty 2 i 3'!$T$44,-A5+1,0,1,1)</f>
        <v>1.6120553189264519</v>
      </c>
      <c r="C5" s="28">
        <f ca="1">OFFSET('projekty 2 i 3'!$R$44,-A5+1,0,1,1)</f>
        <v>0.16335246617931104</v>
      </c>
      <c r="D5" s="26">
        <f ca="1">OFFSET('projekty 2 i 3'!$U$44,-A5+1,0,1,1)</f>
        <v>9.8685704393156097</v>
      </c>
      <c r="E5" s="28">
        <f t="shared" ca="1" si="0"/>
        <v>0.7855988986825132</v>
      </c>
      <c r="F5" s="28">
        <f t="shared" ca="1" si="1"/>
        <v>7.9200567482582432E-2</v>
      </c>
      <c r="G5" s="26">
        <f t="shared" ca="1" si="2"/>
        <v>5.7861341071203434</v>
      </c>
      <c r="H5" s="27">
        <f ca="1">'projekt 4'!$E5*SQRT(2*Arkusz1!$C$14/Arkusz1!$C$5/Arkusz1!$C$103*'projekt 4'!I$1)</f>
        <v>37.129566597202505</v>
      </c>
      <c r="I5" s="26">
        <f ca="1">'projekt 4'!$F5*SQRT(2*Arkusz1!$C$14/Arkusz1!$C$5/Arkusz1!$C$103*'projekt 4'!I$1)</f>
        <v>3.7432368474706883</v>
      </c>
      <c r="J5" s="27">
        <f ca="1">'projekt 4'!$E5*SQRT(2*Arkusz1!$C$14/Arkusz1!$C$5/Arkusz1!$C$103*'projekt 4'!K$1)</f>
        <v>42.190641912072657</v>
      </c>
      <c r="K5" s="26">
        <f ca="1">'projekt 4'!$F5*SQRT(2*Arkusz1!$C$14/Arkusz1!$C$5/Arkusz1!$C$103*'projekt 4'!K$1)</f>
        <v>4.2534718257554518</v>
      </c>
      <c r="L5" s="27">
        <f ca="1">'projekt 4'!$E5*SQRT(2*Arkusz1!$C$14/Arkusz1!$C$5/Arkusz1!$C$103*'projekt 4'!M$1)</f>
        <v>46.706485783126396</v>
      </c>
      <c r="M5" s="26">
        <f ca="1">'projekt 4'!$F5*SQRT(2*Arkusz1!$C$14/Arkusz1!$C$5/Arkusz1!$C$103*'projekt 4'!M$1)</f>
        <v>4.7087390083469831</v>
      </c>
    </row>
    <row r="6" spans="1:16" ht="15.6" x14ac:dyDescent="0.3">
      <c r="A6">
        <v>4</v>
      </c>
      <c r="B6" s="26">
        <f ca="1">OFFSET('projekty 2 i 3'!$T$44,-A6+1,0,1,1)</f>
        <v>1.6018678416691223</v>
      </c>
      <c r="C6" s="28">
        <f ca="1">OFFSET('projekty 2 i 3'!$R$44,-A6+1,0,1,1)</f>
        <v>0.16156528789483077</v>
      </c>
      <c r="D6" s="26">
        <f ca="1">OFFSET('projekty 2 i 3'!$U$44,-A6+1,0,1,1)</f>
        <v>9.9146782241482558</v>
      </c>
      <c r="E6" s="28">
        <f t="shared" ca="1" si="0"/>
        <v>0.78811162816110214</v>
      </c>
      <c r="F6" s="28">
        <f t="shared" ca="1" si="1"/>
        <v>7.908812232198166E-2</v>
      </c>
      <c r="G6" s="26">
        <f t="shared" ca="1" si="2"/>
        <v>5.7594072517893116</v>
      </c>
      <c r="H6" s="27">
        <f ca="1">'projekt 4'!$E6*SQRT(2*Arkusz1!$C$14/Arkusz1!$C$5/Arkusz1!$C$103*'projekt 4'!I$1)</f>
        <v>37.248325109558472</v>
      </c>
      <c r="I6" s="26">
        <f ca="1">'projekt 4'!$F6*SQRT(2*Arkusz1!$C$14/Arkusz1!$C$5/Arkusz1!$C$103*'projekt 4'!I$1)</f>
        <v>3.7379223796346706</v>
      </c>
      <c r="J6" s="27">
        <f ca="1">'projekt 4'!$E6*SQRT(2*Arkusz1!$C$14/Arkusz1!$C$5/Arkusz1!$C$103*'projekt 4'!K$1)</f>
        <v>42.325588218426759</v>
      </c>
      <c r="K6" s="26">
        <f ca="1">'projekt 4'!$F6*SQRT(2*Arkusz1!$C$14/Arkusz1!$C$5/Arkusz1!$C$103*'projekt 4'!K$1)</f>
        <v>4.2474329508109872</v>
      </c>
      <c r="L6" s="27">
        <f ca="1">'projekt 4'!$E6*SQRT(2*Arkusz1!$C$14/Arkusz1!$C$5/Arkusz1!$C$103*'projekt 4'!M$1)</f>
        <v>46.855875966673466</v>
      </c>
      <c r="M6" s="26">
        <f ca="1">'projekt 4'!$F6*SQRT(2*Arkusz1!$C$14/Arkusz1!$C$5/Arkusz1!$C$103*'projekt 4'!M$1)</f>
        <v>4.7020537669295255</v>
      </c>
    </row>
    <row r="7" spans="1:16" ht="15.6" x14ac:dyDescent="0.3">
      <c r="A7">
        <v>5</v>
      </c>
      <c r="B7" s="26">
        <f ca="1">OFFSET('projekty 2 i 3'!$T$44,-A7+1,0,1,1)</f>
        <v>1.5917078239192211</v>
      </c>
      <c r="C7" s="28">
        <f ca="1">OFFSET('projekty 2 i 3'!$R$44,-A7+1,0,1,1)</f>
        <v>0.15979479553484452</v>
      </c>
      <c r="D7" s="26">
        <f ca="1">OFFSET('projekty 2 i 3'!$U$44,-A7+1,0,1,1)</f>
        <v>9.9609490946914878</v>
      </c>
      <c r="E7" s="28">
        <f t="shared" ca="1" si="0"/>
        <v>0.79064137219465225</v>
      </c>
      <c r="F7" s="28">
        <f t="shared" ca="1" si="1"/>
        <v>7.897711019250965E-2</v>
      </c>
      <c r="G7" s="26">
        <f t="shared" ca="1" si="2"/>
        <v>5.7328321124405068</v>
      </c>
      <c r="H7" s="27">
        <f ca="1">'projekt 4'!$E7*SQRT(2*Arkusz1!$C$14/Arkusz1!$C$5/Arkusz1!$C$103*'projekt 4'!I$1)</f>
        <v>37.367887776620627</v>
      </c>
      <c r="I7" s="26">
        <f ca="1">'projekt 4'!$F7*SQRT(2*Arkusz1!$C$14/Arkusz1!$C$5/Arkusz1!$C$103*'projekt 4'!I$1)</f>
        <v>3.7326756407947346</v>
      </c>
      <c r="J7" s="27">
        <f ca="1">'projekt 4'!$E7*SQRT(2*Arkusz1!$C$14/Arkusz1!$C$5/Arkusz1!$C$103*'projekt 4'!K$1)</f>
        <v>42.461448292604196</v>
      </c>
      <c r="K7" s="26">
        <f ca="1">'projekt 4'!$F7*SQRT(2*Arkusz1!$C$14/Arkusz1!$C$5/Arkusz1!$C$103*'projekt 4'!K$1)</f>
        <v>4.2414710369000774</v>
      </c>
      <c r="L7" s="27">
        <f ca="1">'projekt 4'!$E7*SQRT(2*Arkusz1!$C$14/Arkusz1!$C$5/Arkusz1!$C$103*'projekt 4'!M$1)</f>
        <v>47.006277722500911</v>
      </c>
      <c r="M7" s="26">
        <f ca="1">'projekt 4'!$F7*SQRT(2*Arkusz1!$C$14/Arkusz1!$C$5/Arkusz1!$C$103*'projekt 4'!M$1)</f>
        <v>4.695453724012415</v>
      </c>
    </row>
    <row r="8" spans="1:16" ht="15.6" x14ac:dyDescent="0.3">
      <c r="A8">
        <v>6</v>
      </c>
      <c r="B8" s="26">
        <f ca="1">OFFSET('projekty 2 i 3'!$T$44,-A8+1,0,1,1)</f>
        <v>1.5714152479268571</v>
      </c>
      <c r="C8" s="28">
        <f ca="1">OFFSET('projekty 2 i 3'!$R$44,-A8+1,0,1,1)</f>
        <v>0.15629402939288775</v>
      </c>
      <c r="D8" s="26">
        <f ca="1">OFFSET('projekty 2 i 3'!$U$44,-A8+1,0,1,1)</f>
        <v>10.054224425788368</v>
      </c>
      <c r="E8" s="28">
        <f t="shared" ca="1" si="0"/>
        <v>0.79576665997412954</v>
      </c>
      <c r="F8" s="28">
        <f t="shared" ca="1" si="1"/>
        <v>7.8758893644116396E-2</v>
      </c>
      <c r="G8" s="26">
        <f t="shared" ca="1" si="2"/>
        <v>5.6799967047382829</v>
      </c>
      <c r="H8" s="27">
        <f ca="1">'projekt 4'!$E8*SQRT(2*Arkusz1!$C$14/Arkusz1!$C$5/Arkusz1!$C$103*'projekt 4'!I$1)</f>
        <v>37.610122986289419</v>
      </c>
      <c r="I8" s="26">
        <f ca="1">'projekt 4'!$F8*SQRT(2*Arkusz1!$C$14/Arkusz1!$C$5/Arkusz1!$C$103*'projekt 4'!I$1)</f>
        <v>3.7223621259975945</v>
      </c>
      <c r="J8" s="27">
        <f ca="1">'projekt 4'!$E8*SQRT(2*Arkusz1!$C$14/Arkusz1!$C$5/Arkusz1!$C$103*'projekt 4'!K$1)</f>
        <v>42.736702218956296</v>
      </c>
      <c r="K8" s="26">
        <f ca="1">'projekt 4'!$F8*SQRT(2*Arkusz1!$C$14/Arkusz1!$C$5/Arkusz1!$C$103*'projekt 4'!K$1)</f>
        <v>4.2297517024305558</v>
      </c>
      <c r="L8" s="27">
        <f ca="1">'projekt 4'!$E8*SQRT(2*Arkusz1!$C$14/Arkusz1!$C$5/Arkusz1!$C$103*'projekt 4'!M$1)</f>
        <v>47.31099324744379</v>
      </c>
      <c r="M8" s="26">
        <f ca="1">'projekt 4'!$F8*SQRT(2*Arkusz1!$C$14/Arkusz1!$C$5/Arkusz1!$C$103*'projekt 4'!M$1)</f>
        <v>4.6824800193238456</v>
      </c>
    </row>
    <row r="9" spans="1:16" ht="15.6" x14ac:dyDescent="0.3">
      <c r="A9">
        <v>7</v>
      </c>
      <c r="B9" s="26">
        <f ca="1">OFFSET('projekty 2 i 3'!$T$44,-A9+1,0,1,1)</f>
        <v>1.4737966990055353</v>
      </c>
      <c r="C9" s="28">
        <f ca="1">OFFSET('projekty 2 i 3'!$R$44,-A9+1,0,1,1)</f>
        <v>0.14011079528898521</v>
      </c>
      <c r="D9" s="26">
        <f ca="1">OFFSET('projekty 2 i 3'!$U$44,-A9+1,0,1,1)</f>
        <v>10.518794757861157</v>
      </c>
      <c r="E9" s="28">
        <f t="shared" ca="1" si="0"/>
        <v>0.82187229239854309</v>
      </c>
      <c r="F9" s="28">
        <f t="shared" ca="1" si="1"/>
        <v>7.7782986940862747E-2</v>
      </c>
      <c r="G9" s="26">
        <f t="shared" ca="1" si="2"/>
        <v>5.4306695281202551</v>
      </c>
      <c r="H9" s="27">
        <f ca="1">'projekt 4'!$E9*SQRT(2*Arkusz1!$C$14/Arkusz1!$C$5/Arkusz1!$C$103*'projekt 4'!I$1)</f>
        <v>38.843947039874401</v>
      </c>
      <c r="I9" s="26">
        <f ca="1">'projekt 4'!$F9*SQRT(2*Arkusz1!$C$14/Arkusz1!$C$5/Arkusz1!$C$103*'projekt 4'!I$1)</f>
        <v>3.67623808866521</v>
      </c>
      <c r="J9" s="27">
        <f ca="1">'projekt 4'!$E9*SQRT(2*Arkusz1!$C$14/Arkusz1!$C$5/Arkusz1!$C$103*'projekt 4'!K$1)</f>
        <v>44.138706971449899</v>
      </c>
      <c r="K9" s="26">
        <f ca="1">'projekt 4'!$F9*SQRT(2*Arkusz1!$C$14/Arkusz1!$C$5/Arkusz1!$C$103*'projekt 4'!K$1)</f>
        <v>4.177340567020849</v>
      </c>
      <c r="L9" s="27">
        <f ca="1">'projekt 4'!$E9*SQRT(2*Arkusz1!$C$14/Arkusz1!$C$5/Arkusz1!$C$103*'projekt 4'!M$1)</f>
        <v>48.863060532333343</v>
      </c>
      <c r="M9" s="26">
        <f ca="1">'projekt 4'!$F9*SQRT(2*Arkusz1!$C$14/Arkusz1!$C$5/Arkusz1!$C$103*'projekt 4'!M$1)</f>
        <v>4.6244590971489092</v>
      </c>
    </row>
    <row r="10" spans="1:16" ht="15.6" x14ac:dyDescent="0.3">
      <c r="A10">
        <v>8</v>
      </c>
      <c r="B10" s="26">
        <f ca="1">OFFSET('projekty 2 i 3'!$T$44,-A10+1,0,1,1)</f>
        <v>1.3793909124537669</v>
      </c>
      <c r="C10" s="28">
        <f ca="1">OFFSET('projekty 2 i 3'!$R$44,-A10+1,0,1,1)</f>
        <v>0.12513718592837611</v>
      </c>
      <c r="D10" s="26">
        <f ca="1">OFFSET('projekty 2 i 3'!$U$44,-A10+1,0,1,1)</f>
        <v>11.023029663167263</v>
      </c>
      <c r="E10" s="28">
        <f t="shared" ca="1" si="0"/>
        <v>0.84970156756214521</v>
      </c>
      <c r="F10" s="28">
        <f t="shared" ca="1" si="1"/>
        <v>7.6768957446915156E-2</v>
      </c>
      <c r="G10" s="26">
        <f t="shared" ca="1" si="2"/>
        <v>5.1836357250257983</v>
      </c>
      <c r="H10" s="27">
        <f ca="1">'projekt 4'!$E10*SQRT(2*Arkusz1!$C$14/Arkusz1!$C$5/Arkusz1!$C$103*'projekt 4'!I$1)</f>
        <v>40.159235194264269</v>
      </c>
      <c r="I10" s="26">
        <f ca="1">'projekt 4'!$F10*SQRT(2*Arkusz1!$C$14/Arkusz1!$C$5/Arkusz1!$C$103*'projekt 4'!I$1)</f>
        <v>3.628312263297842</v>
      </c>
      <c r="J10" s="27">
        <f ca="1">'projekt 4'!$E10*SQRT(2*Arkusz1!$C$14/Arkusz1!$C$5/Arkusz1!$C$103*'projekt 4'!K$1)</f>
        <v>45.633280073664217</v>
      </c>
      <c r="K10" s="26">
        <f ca="1">'projekt 4'!$F10*SQRT(2*Arkusz1!$C$14/Arkusz1!$C$5/Arkusz1!$C$103*'projekt 4'!K$1)</f>
        <v>4.1228820445621599</v>
      </c>
      <c r="L10" s="27">
        <f ca="1">'projekt 4'!$E10*SQRT(2*Arkusz1!$C$14/Arkusz1!$C$5/Arkusz1!$C$103*'projekt 4'!M$1)</f>
        <v>50.517604151174126</v>
      </c>
      <c r="M10" s="26">
        <f ca="1">'projekt 4'!$F10*SQRT(2*Arkusz1!$C$14/Arkusz1!$C$5/Arkusz1!$C$103*'projekt 4'!M$1)</f>
        <v>4.5641716473801246</v>
      </c>
    </row>
    <row r="11" spans="1:16" ht="15.6" x14ac:dyDescent="0.3">
      <c r="A11">
        <v>9</v>
      </c>
      <c r="B11" s="26">
        <f ca="1">OFFSET('projekty 2 i 3'!$T$44,-A11+1,0,1,1)</f>
        <v>1.2717221838122681</v>
      </c>
      <c r="C11" s="28">
        <f ca="1">OFFSET('projekty 2 i 3'!$R$44,-A11+1,0,1,1)</f>
        <v>0.11010578120366955</v>
      </c>
      <c r="D11" s="26">
        <f ca="1">OFFSET('projekty 2 i 3'!$U$44,-A11+1,0,1,1)</f>
        <v>11.550003731955583</v>
      </c>
      <c r="E11" s="28">
        <f t="shared" ca="1" si="0"/>
        <v>0.88510140940011683</v>
      </c>
      <c r="F11" s="28">
        <f t="shared" ca="1" si="1"/>
        <v>7.6346515344074814E-2</v>
      </c>
      <c r="G11" s="26">
        <f t="shared" ca="1" si="2"/>
        <v>4.9483321590923746</v>
      </c>
      <c r="H11" s="27">
        <f ca="1">'projekt 4'!$E11*SQRT(2*Arkusz1!$C$14/Arkusz1!$C$5/Arkusz1!$C$103*'projekt 4'!I$1)</f>
        <v>41.832329170411235</v>
      </c>
      <c r="I11" s="26">
        <f ca="1">'projekt 4'!$F11*SQRT(2*Arkusz1!$C$14/Arkusz1!$C$5/Arkusz1!$C$103*'projekt 4'!I$1)</f>
        <v>3.608346486592735</v>
      </c>
      <c r="J11" s="27">
        <f ca="1">'projekt 4'!$E11*SQRT(2*Arkusz1!$C$14/Arkusz1!$C$5/Arkusz1!$C$103*'projekt 4'!K$1)</f>
        <v>47.534430970431778</v>
      </c>
      <c r="K11" s="26">
        <f ca="1">'projekt 4'!$F11*SQRT(2*Arkusz1!$C$14/Arkusz1!$C$5/Arkusz1!$C$103*'projekt 4'!K$1)</f>
        <v>4.1001947628979289</v>
      </c>
      <c r="L11" s="27">
        <f ca="1">'projekt 4'!$E11*SQRT(2*Arkusz1!$C$14/Arkusz1!$C$5/Arkusz1!$C$103*'projekt 4'!M$1)</f>
        <v>52.622243315387543</v>
      </c>
      <c r="M11" s="26">
        <f ca="1">'projekt 4'!$F11*SQRT(2*Arkusz1!$C$14/Arkusz1!$C$5/Arkusz1!$C$103*'projekt 4'!M$1)</f>
        <v>4.5390560494540129</v>
      </c>
    </row>
    <row r="12" spans="1:16" ht="15.6" x14ac:dyDescent="0.3">
      <c r="A12">
        <v>10</v>
      </c>
      <c r="B12" s="26">
        <f ca="1">OFFSET('projekty 2 i 3'!$T$44,-A12+1,0,1,1)</f>
        <v>1.1775909923348347</v>
      </c>
      <c r="C12" s="28">
        <f ca="1">OFFSET('projekty 2 i 3'!$R$44,-A12+1,0,1,1)</f>
        <v>9.7841170741333208E-2</v>
      </c>
      <c r="D12" s="26">
        <f ca="1">OFFSET('projekty 2 i 3'!$U$44,-A12+1,0,1,1)</f>
        <v>12.035741022029276</v>
      </c>
      <c r="E12" s="28">
        <f t="shared" ca="1" si="0"/>
        <v>0.91993221068512743</v>
      </c>
      <c r="F12" s="28">
        <f t="shared" ca="1" si="1"/>
        <v>7.6170905340948017E-2</v>
      </c>
      <c r="G12" s="26">
        <f t="shared" ca="1" si="2"/>
        <v>4.7495605157639815</v>
      </c>
      <c r="H12" s="27">
        <f ca="1">'projekt 4'!$E12*SQRT(2*Arkusz1!$C$14/Arkusz1!$C$5/Arkusz1!$C$103*'projekt 4'!I$1)</f>
        <v>43.478528723535064</v>
      </c>
      <c r="I12" s="26">
        <f ca="1">'projekt 4'!$F12*SQRT(2*Arkusz1!$C$14/Arkusz1!$C$5/Arkusz1!$C$103*'projekt 4'!I$1)</f>
        <v>3.6000466744148336</v>
      </c>
      <c r="J12" s="27">
        <f ca="1">'projekt 4'!$E12*SQRT(2*Arkusz1!$C$14/Arkusz1!$C$5/Arkusz1!$C$103*'projekt 4'!K$1)</f>
        <v>49.405021505870309</v>
      </c>
      <c r="K12" s="26">
        <f ca="1">'projekt 4'!$F12*SQRT(2*Arkusz1!$C$14/Arkusz1!$C$5/Arkusz1!$C$103*'projekt 4'!K$1)</f>
        <v>4.0907636158195331</v>
      </c>
      <c r="L12" s="27">
        <f ca="1">'projekt 4'!$E12*SQRT(2*Arkusz1!$C$14/Arkusz1!$C$5/Arkusz1!$C$103*'projekt 4'!M$1)</f>
        <v>54.693051112803637</v>
      </c>
      <c r="M12" s="26">
        <f ca="1">'projekt 4'!$F12*SQRT(2*Arkusz1!$C$14/Arkusz1!$C$5/Arkusz1!$C$103*'projekt 4'!M$1)</f>
        <v>4.5286154465863513</v>
      </c>
    </row>
    <row r="13" spans="1:16" ht="15.6" x14ac:dyDescent="0.3">
      <c r="A13">
        <v>11</v>
      </c>
      <c r="B13" s="26">
        <f ca="1">OFFSET('projekty 2 i 3'!$T$44,-A13+1,0,1,1)</f>
        <v>1.0801646599655323</v>
      </c>
      <c r="C13" s="28">
        <f ca="1">OFFSET('projekty 2 i 3'!$R$44,-A13+1,0,1,1)</f>
        <v>8.6109593062958525E-2</v>
      </c>
      <c r="D13" s="26">
        <f ca="1">OFFSET('projekty 2 i 3'!$U$44,-A13+1,0,1,1)</f>
        <v>12.544068802831019</v>
      </c>
      <c r="E13" s="28">
        <f t="shared" ca="1" si="0"/>
        <v>0.96065446074663963</v>
      </c>
      <c r="F13" s="28">
        <f t="shared" ca="1" si="1"/>
        <v>7.6340174441217698E-2</v>
      </c>
      <c r="G13" s="26">
        <f t="shared" ca="1" si="2"/>
        <v>4.5579203563303476</v>
      </c>
      <c r="H13" s="27">
        <f ca="1">'projekt 4'!$E13*SQRT(2*Arkusz1!$C$14/Arkusz1!$C$5/Arkusz1!$C$103*'projekt 4'!I$1)</f>
        <v>45.403174364182661</v>
      </c>
      <c r="I13" s="26">
        <f ca="1">'projekt 4'!$F13*SQRT(2*Arkusz1!$C$14/Arkusz1!$C$5/Arkusz1!$C$103*'projekt 4'!I$1)</f>
        <v>3.6080467980680764</v>
      </c>
      <c r="J13" s="27">
        <f ca="1">'projekt 4'!$E13*SQRT(2*Arkusz1!$C$14/Arkusz1!$C$5/Arkusz1!$C$103*'projekt 4'!K$1)</f>
        <v>51.592012695751649</v>
      </c>
      <c r="K13" s="26">
        <f ca="1">'projekt 4'!$F13*SQRT(2*Arkusz1!$C$14/Arkusz1!$C$5/Arkusz1!$C$103*'projekt 4'!K$1)</f>
        <v>4.0998542242817315</v>
      </c>
      <c r="L13" s="27">
        <f ca="1">'projekt 4'!$E13*SQRT(2*Arkusz1!$C$14/Arkusz1!$C$5/Arkusz1!$C$103*'projekt 4'!M$1)</f>
        <v>57.114125272587557</v>
      </c>
      <c r="M13" s="26">
        <f ca="1">'projekt 4'!$F13*SQRT(2*Arkusz1!$C$14/Arkusz1!$C$5/Arkusz1!$C$103*'projekt 4'!M$1)</f>
        <v>4.538679061541167</v>
      </c>
    </row>
    <row r="14" spans="1:16" ht="15.6" x14ac:dyDescent="0.3">
      <c r="A14">
        <v>12</v>
      </c>
      <c r="B14" s="26">
        <f ca="1">OFFSET('projekty 2 i 3'!$T$44,-A14+1,0,1,1)</f>
        <v>0.96920079043218077</v>
      </c>
      <c r="C14" s="28">
        <f ca="1">OFFSET('projekty 2 i 3'!$R$44,-A14+1,0,1,1)</f>
        <v>7.4454256841525013E-2</v>
      </c>
      <c r="D14" s="26">
        <f ca="1">OFFSET('projekty 2 i 3'!$U$44,-A14+1,0,1,1)</f>
        <v>13.017399293839075</v>
      </c>
      <c r="E14" s="28">
        <f t="shared" ca="1" si="0"/>
        <v>1.014271616171871</v>
      </c>
      <c r="F14" s="28">
        <f t="shared" ca="1" si="1"/>
        <v>7.7687715307350802E-2</v>
      </c>
      <c r="G14" s="26">
        <f t="shared" ca="1" si="2"/>
        <v>4.3928489935554174</v>
      </c>
      <c r="H14" s="27">
        <f ca="1">'projekt 4'!$E14*SQRT(2*Arkusz1!$C$14/Arkusz1!$C$5/Arkusz1!$C$103*'projekt 4'!I$1)</f>
        <v>47.937268730216424</v>
      </c>
      <c r="I14" s="26">
        <f ca="1">'projekt 4'!$F14*SQRT(2*Arkusz1!$C$14/Arkusz1!$C$5/Arkusz1!$C$103*'projekt 4'!I$1)</f>
        <v>3.671735288995762</v>
      </c>
      <c r="J14" s="27">
        <f ca="1">'projekt 4'!$E14*SQRT(2*Arkusz1!$C$14/Arkusz1!$C$5/Arkusz1!$C$103*'projekt 4'!K$1)</f>
        <v>54.471525649096669</v>
      </c>
      <c r="K14" s="26">
        <f ca="1">'projekt 4'!$F14*SQRT(2*Arkusz1!$C$14/Arkusz1!$C$5/Arkusz1!$C$103*'projekt 4'!K$1)</f>
        <v>4.172223997508568</v>
      </c>
      <c r="L14" s="27">
        <f ca="1">'projekt 4'!$E14*SQRT(2*Arkusz1!$C$14/Arkusz1!$C$5/Arkusz1!$C$103*'projekt 4'!M$1)</f>
        <v>60.301844745972801</v>
      </c>
      <c r="M14" s="26">
        <f ca="1">'projekt 4'!$F14*SQRT(2*Arkusz1!$C$14/Arkusz1!$C$5/Arkusz1!$C$103*'projekt 4'!M$1)</f>
        <v>4.6187948794372709</v>
      </c>
    </row>
    <row r="15" spans="1:16" ht="15.6" x14ac:dyDescent="0.3">
      <c r="A15">
        <v>13</v>
      </c>
      <c r="B15" s="26">
        <f ca="1">OFFSET('projekty 2 i 3'!$T$44,-A15+1,0,1,1)</f>
        <v>0.86828710061899628</v>
      </c>
      <c r="C15" s="28">
        <f ca="1">OFFSET('projekty 2 i 3'!$R$44,-A15+1,0,1,1)</f>
        <v>6.3818496390470866E-2</v>
      </c>
      <c r="D15" s="26">
        <f ca="1">OFFSET('projekty 2 i 3'!$U$44,-A15+1,0,1,1)</f>
        <v>13.605571264268232</v>
      </c>
      <c r="E15" s="28">
        <f t="shared" ca="1" si="0"/>
        <v>1.0717250289569011</v>
      </c>
      <c r="F15" s="28">
        <f t="shared" ca="1" si="1"/>
        <v>7.8559134044707879E-2</v>
      </c>
      <c r="G15" s="26">
        <f t="shared" ca="1" si="2"/>
        <v>4.2036411492657519</v>
      </c>
      <c r="H15" s="27">
        <f ca="1">'projekt 4'!$E15*SQRT(2*Arkusz1!$C$14/Arkusz1!$C$5/Arkusz1!$C$103*'projekt 4'!I$1)</f>
        <v>50.652675179761928</v>
      </c>
      <c r="I15" s="26">
        <f ca="1">'projekt 4'!$F15*SQRT(2*Arkusz1!$C$14/Arkusz1!$C$5/Arkusz1!$C$103*'projekt 4'!I$1)</f>
        <v>3.7129209374189096</v>
      </c>
      <c r="J15" s="27">
        <f ca="1">'projekt 4'!$E15*SQRT(2*Arkusz1!$C$14/Arkusz1!$C$5/Arkusz1!$C$103*'projekt 4'!K$1)</f>
        <v>57.557065063045521</v>
      </c>
      <c r="K15" s="26">
        <f ca="1">'projekt 4'!$F15*SQRT(2*Arkusz1!$C$14/Arkusz1!$C$5/Arkusz1!$C$103*'projekt 4'!K$1)</f>
        <v>4.219023599652818</v>
      </c>
      <c r="L15" s="27">
        <f ca="1">'projekt 4'!$E15*SQRT(2*Arkusz1!$C$14/Arkusz1!$C$5/Arkusz1!$C$103*'projekt 4'!M$1)</f>
        <v>63.717642568419308</v>
      </c>
      <c r="M15" s="26">
        <f ca="1">'projekt 4'!$F15*SQRT(2*Arkusz1!$C$14/Arkusz1!$C$5/Arkusz1!$C$103*'projekt 4'!M$1)</f>
        <v>4.6706036420714545</v>
      </c>
    </row>
    <row r="16" spans="1:16" ht="15.6" x14ac:dyDescent="0.3">
      <c r="A16">
        <v>14</v>
      </c>
      <c r="B16" s="26">
        <f ca="1">OFFSET('projekty 2 i 3'!$T$44,-A16+1,0,1,1)</f>
        <v>0.77061363268280658</v>
      </c>
      <c r="C16" s="28">
        <f ca="1">OFFSET('projekty 2 i 3'!$R$44,-A16+1,0,1,1)</f>
        <v>5.4581229261250738E-2</v>
      </c>
      <c r="D16" s="26">
        <f ca="1">OFFSET('projekty 2 i 3'!$U$44,-A16+1,0,1,1)</f>
        <v>14.118656598851908</v>
      </c>
      <c r="E16" s="28">
        <f t="shared" ca="1" si="0"/>
        <v>1.1377277282085674</v>
      </c>
      <c r="F16" s="28">
        <f t="shared" ca="1" si="1"/>
        <v>8.0381913507496863E-2</v>
      </c>
      <c r="G16" s="26">
        <f t="shared" ca="1" si="2"/>
        <v>4.0513950911006518</v>
      </c>
      <c r="H16" s="27">
        <f ca="1">'projekt 4'!$E16*SQRT(2*Arkusz1!$C$14/Arkusz1!$C$5/Arkusz1!$C$103*'projekt 4'!I$1)</f>
        <v>53.772144442727715</v>
      </c>
      <c r="I16" s="26">
        <f ca="1">'projekt 4'!$F16*SQRT(2*Arkusz1!$C$14/Arkusz1!$C$5/Arkusz1!$C$103*'projekt 4'!I$1)</f>
        <v>3.7990705126908932</v>
      </c>
      <c r="J16" s="27">
        <f ca="1">'projekt 4'!$E16*SQRT(2*Arkusz1!$C$14/Arkusz1!$C$5/Arkusz1!$C$103*'projekt 4'!K$1)</f>
        <v>61.101744484092755</v>
      </c>
      <c r="K16" s="26">
        <f ca="1">'projekt 4'!$F16*SQRT(2*Arkusz1!$C$14/Arkusz1!$C$5/Arkusz1!$C$103*'projekt 4'!K$1)</f>
        <v>4.3169160938100557</v>
      </c>
      <c r="L16" s="27">
        <f ca="1">'projekt 4'!$E16*SQRT(2*Arkusz1!$C$14/Arkusz1!$C$5/Arkusz1!$C$103*'projekt 4'!M$1)</f>
        <v>67.641724105977261</v>
      </c>
      <c r="M16" s="26">
        <f ca="1">'projekt 4'!$F16*SQRT(2*Arkusz1!$C$14/Arkusz1!$C$5/Arkusz1!$C$103*'projekt 4'!M$1)</f>
        <v>4.7789739862856644</v>
      </c>
    </row>
    <row r="17" spans="1:13" ht="15.6" x14ac:dyDescent="0.3">
      <c r="A17">
        <v>15</v>
      </c>
      <c r="B17" s="26">
        <f ca="1">OFFSET('projekty 2 i 3'!$T$44,-A17+1,0,1,1)</f>
        <v>0.5688411720713018</v>
      </c>
      <c r="C17" s="28">
        <f ca="1">OFFSET('projekty 2 i 3'!$R$44,-A17+1,0,1,1)</f>
        <v>3.9810538566663951E-2</v>
      </c>
      <c r="D17" s="26">
        <f ca="1">OFFSET('projekty 2 i 3'!$U$44,-A17+1,0,1,1)</f>
        <v>14.288708280566464</v>
      </c>
      <c r="E17" s="28">
        <f t="shared" ca="1" si="0"/>
        <v>1.3242622498408259</v>
      </c>
      <c r="F17" s="28">
        <f t="shared" ca="1" si="1"/>
        <v>9.2452795999330914E-2</v>
      </c>
      <c r="G17" s="26">
        <f t="shared" ca="1" si="2"/>
        <v>4.0033366517766735</v>
      </c>
      <c r="H17" s="27">
        <f ca="1">'projekt 4'!$E17*SQRT(2*Arkusz1!$C$14/Arkusz1!$C$5/Arkusz1!$C$103*'projekt 4'!I$1)</f>
        <v>62.588279438891014</v>
      </c>
      <c r="I17" s="26">
        <f ca="1">'projekt 4'!$F17*SQRT(2*Arkusz1!$C$14/Arkusz1!$C$5/Arkusz1!$C$103*'projekt 4'!I$1)</f>
        <v>4.3695736487304018</v>
      </c>
      <c r="J17" s="27">
        <f ca="1">'projekt 4'!$E17*SQRT(2*Arkusz1!$C$14/Arkusz1!$C$5/Arkusz1!$C$103*'projekt 4'!K$1)</f>
        <v>71.119593566652284</v>
      </c>
      <c r="K17" s="26">
        <f ca="1">'projekt 4'!$F17*SQRT(2*Arkusz1!$C$14/Arkusz1!$C$5/Arkusz1!$C$103*'projekt 4'!K$1)</f>
        <v>4.9651836532857141</v>
      </c>
      <c r="L17" s="27">
        <f ca="1">'projekt 4'!$E17*SQRT(2*Arkusz1!$C$14/Arkusz1!$C$5/Arkusz1!$C$103*'projekt 4'!M$1)</f>
        <v>78.731826188974622</v>
      </c>
      <c r="M17" s="26">
        <f ca="1">'projekt 4'!$F17*SQRT(2*Arkusz1!$C$14/Arkusz1!$C$5/Arkusz1!$C$103*'projekt 4'!M$1)</f>
        <v>5.4966283802011047</v>
      </c>
    </row>
    <row r="18" spans="1:13" ht="15.6" x14ac:dyDescent="0.3">
      <c r="A18">
        <v>16</v>
      </c>
      <c r="B18" s="26">
        <f ca="1">OFFSET('projekty 2 i 3'!$T$44,-A18+1,0,1,1)</f>
        <v>0.47133246117970506</v>
      </c>
      <c r="C18" s="28">
        <f ca="1">OFFSET('projekty 2 i 3'!$R$44,-A18+1,0,1,1)</f>
        <v>3.4390425581635298E-2</v>
      </c>
      <c r="D18" s="26">
        <f ca="1">OFFSET('projekty 2 i 3'!$U$44,-A18+1,0,1,1)</f>
        <v>13.705339588219564</v>
      </c>
      <c r="E18" s="28">
        <f t="shared" ca="1" si="0"/>
        <v>1.454654434266542</v>
      </c>
      <c r="F18" s="28">
        <f t="shared" ca="1" si="1"/>
        <v>0.10585638427302099</v>
      </c>
      <c r="G18" s="26">
        <f t="shared" ca="1" si="2"/>
        <v>4.1731491525604261</v>
      </c>
      <c r="H18" s="27">
        <f ca="1">'projekt 4'!$E18*SQRT(2*Arkusz1!$C$14/Arkusz1!$C$5/Arkusz1!$C$103*'projekt 4'!I$1)</f>
        <v>68.750973026558469</v>
      </c>
      <c r="I18" s="26">
        <f ca="1">'projekt 4'!$F18*SQRT(2*Arkusz1!$C$14/Arkusz1!$C$5/Arkusz1!$C$103*'projekt 4'!I$1)</f>
        <v>5.00306412877572</v>
      </c>
      <c r="J18" s="27">
        <f ca="1">'projekt 4'!$E18*SQRT(2*Arkusz1!$C$14/Arkusz1!$C$5/Arkusz1!$C$103*'projekt 4'!K$1)</f>
        <v>78.122314637753988</v>
      </c>
      <c r="K18" s="26">
        <f ca="1">'projekt 4'!$F18*SQRT(2*Arkusz1!$C$14/Arkusz1!$C$5/Arkusz1!$C$103*'projekt 4'!K$1)</f>
        <v>5.6850242667851658</v>
      </c>
      <c r="L18" s="27">
        <f ca="1">'projekt 4'!$E18*SQRT(2*Arkusz1!$C$14/Arkusz1!$C$5/Arkusz1!$C$103*'projekt 4'!M$1)</f>
        <v>86.484078283935531</v>
      </c>
      <c r="M18" s="26">
        <f ca="1">'projekt 4'!$F18*SQRT(2*Arkusz1!$C$14/Arkusz1!$C$5/Arkusz1!$C$103*'projekt 4'!M$1)</f>
        <v>6.2935165965642836</v>
      </c>
    </row>
    <row r="19" spans="1:13" ht="15.6" x14ac:dyDescent="0.3">
      <c r="A19">
        <v>17</v>
      </c>
      <c r="B19" s="26">
        <f ca="1">OFFSET('projekty 2 i 3'!$T$44,-A19+1,0,1,1)</f>
        <v>0.37050114988881711</v>
      </c>
      <c r="C19" s="28">
        <f ca="1">OFFSET('projekty 2 i 3'!$R$44,-A19+1,0,1,1)</f>
        <v>2.9930166618942274E-2</v>
      </c>
      <c r="D19" s="26">
        <f ca="1">OFFSET('projekty 2 i 3'!$U$44,-A19+1,0,1,1)</f>
        <v>12.378853569573296</v>
      </c>
      <c r="E19" s="28">
        <f t="shared" ca="1" si="0"/>
        <v>1.6402082170898507</v>
      </c>
      <c r="F19" s="28">
        <f t="shared" ca="1" si="1"/>
        <v>0.13207057978852516</v>
      </c>
      <c r="G19" s="26">
        <f t="shared" ca="1" si="2"/>
        <v>4.6184915101420803</v>
      </c>
      <c r="H19" s="27">
        <f ca="1">'projekt 4'!$E19*SQRT(2*Arkusz1!$C$14/Arkusz1!$C$5/Arkusz1!$C$103*'projekt 4'!I$1)</f>
        <v>77.520755606772056</v>
      </c>
      <c r="I19" s="26">
        <f ca="1">'projekt 4'!$F19*SQRT(2*Arkusz1!$C$14/Arkusz1!$C$5/Arkusz1!$C$103*'projekt 4'!I$1)</f>
        <v>6.242019172904862</v>
      </c>
      <c r="J19" s="27">
        <f ca="1">'projekt 4'!$E19*SQRT(2*Arkusz1!$C$14/Arkusz1!$C$5/Arkusz1!$C$103*'projekt 4'!K$1)</f>
        <v>88.087493076341033</v>
      </c>
      <c r="K19" s="26">
        <f ca="1">'projekt 4'!$F19*SQRT(2*Arkusz1!$C$14/Arkusz1!$C$5/Arkusz1!$C$103*'projekt 4'!K$1)</f>
        <v>7.0928594074180022</v>
      </c>
      <c r="L19" s="27">
        <f ca="1">'projekt 4'!$E19*SQRT(2*Arkusz1!$C$14/Arkusz1!$C$5/Arkusz1!$C$103*'projekt 4'!M$1)</f>
        <v>97.515872159889838</v>
      </c>
      <c r="M19" s="26">
        <f ca="1">'projekt 4'!$F19*SQRT(2*Arkusz1!$C$14/Arkusz1!$C$5/Arkusz1!$C$103*'projekt 4'!M$1)</f>
        <v>7.8520383208364564</v>
      </c>
    </row>
    <row r="20" spans="1:13" ht="15.6" x14ac:dyDescent="0.3">
      <c r="A20">
        <v>18</v>
      </c>
      <c r="B20" s="26">
        <f ca="1">OFFSET('projekty 2 i 3'!$T$44,-A20+1,0,1,1)</f>
        <v>0.27639741791880812</v>
      </c>
      <c r="C20" s="28">
        <f ca="1">OFFSET('projekty 2 i 3'!$R$44,-A20+1,0,1,1)</f>
        <v>2.6644331898504448E-2</v>
      </c>
      <c r="D20" s="26">
        <f ca="1">OFFSET('projekty 2 i 3'!$U$44,-A20+1,0,1,1)</f>
        <v>10.373591613093604</v>
      </c>
      <c r="E20" s="28">
        <f t="shared" ca="1" si="0"/>
        <v>1.8977051084095491</v>
      </c>
      <c r="F20" s="28">
        <f t="shared" ca="1" si="1"/>
        <v>0.18209206242127779</v>
      </c>
      <c r="G20" s="26">
        <f t="shared" ca="1" si="2"/>
        <v>5.506220724474459</v>
      </c>
      <c r="H20" s="27">
        <f ca="1">'projekt 4'!$E20*SQRT(2*Arkusz1!$C$14/Arkusz1!$C$5/Arkusz1!$C$103*'projekt 4'!I$1)</f>
        <v>89.690767543984791</v>
      </c>
      <c r="I20" s="26">
        <f ca="1">'projekt 4'!$F20*SQRT(2*Arkusz1!$C$14/Arkusz1!$C$5/Arkusz1!$C$103*'projekt 4'!I$1)</f>
        <v>8.6061721443745753</v>
      </c>
      <c r="J20" s="27">
        <f ca="1">'projekt 4'!$E20*SQRT(2*Arkusz1!$C$14/Arkusz1!$C$5/Arkusz1!$C$103*'projekt 4'!K$1)</f>
        <v>101.91638101567072</v>
      </c>
      <c r="K20" s="26">
        <f ca="1">'projekt 4'!$F20*SQRT(2*Arkusz1!$C$14/Arkusz1!$C$5/Arkusz1!$C$103*'projekt 4'!K$1)</f>
        <v>9.7792665105958889</v>
      </c>
      <c r="L20" s="27">
        <f ca="1">'projekt 4'!$E20*SQRT(2*Arkusz1!$C$14/Arkusz1!$C$5/Arkusz1!$C$103*'projekt 4'!M$1)</f>
        <v>112.82492479959213</v>
      </c>
      <c r="M20" s="26">
        <f ca="1">'projekt 4'!$F20*SQRT(2*Arkusz1!$C$14/Arkusz1!$C$5/Arkusz1!$C$103*'projekt 4'!M$1)</f>
        <v>10.825983003492832</v>
      </c>
    </row>
    <row r="21" spans="1:13" ht="15.6" x14ac:dyDescent="0.3">
      <c r="A21">
        <v>19</v>
      </c>
      <c r="B21" s="26">
        <f ca="1">OFFSET('projekty 2 i 3'!$T$44,-A21+1,0,1,1)</f>
        <v>0.22933182218008746</v>
      </c>
      <c r="C21" s="28">
        <f ca="1">OFFSET('projekty 2 i 3'!$R$44,-A21+1,0,1,1)</f>
        <v>2.531620629881776E-2</v>
      </c>
      <c r="D21" s="26">
        <f ca="1">OFFSET('projekty 2 i 3'!$U$44,-A21+1,0,1,1)</f>
        <v>9.0586962151117021</v>
      </c>
      <c r="E21" s="28">
        <f t="shared" ca="1" si="0"/>
        <v>2.0818658208929701</v>
      </c>
      <c r="F21" s="28">
        <f t="shared" ca="1" si="1"/>
        <v>0.2284319418590588</v>
      </c>
      <c r="G21" s="26">
        <f t="shared" ca="1" si="2"/>
        <v>6.2994415278592344</v>
      </c>
      <c r="H21" s="27">
        <f ca="1">'projekt 4'!$E21*SQRT(2*Arkusz1!$C$14/Arkusz1!$C$5/Arkusz1!$C$103*'projekt 4'!I$1)</f>
        <v>98.394709785004693</v>
      </c>
      <c r="I21" s="26">
        <f ca="1">'projekt 4'!$F21*SQRT(2*Arkusz1!$C$14/Arkusz1!$C$5/Arkusz1!$C$103*'projekt 4'!I$1)</f>
        <v>10.796322413903871</v>
      </c>
      <c r="J21" s="27">
        <f ca="1">'projekt 4'!$E21*SQRT(2*Arkusz1!$C$14/Arkusz1!$C$5/Arkusz1!$C$103*'projekt 4'!K$1)</f>
        <v>111.80674451756795</v>
      </c>
      <c r="K21" s="26">
        <f ca="1">'projekt 4'!$F21*SQRT(2*Arkusz1!$C$14/Arkusz1!$C$5/Arkusz1!$C$103*'projekt 4'!K$1)</f>
        <v>12.267952865537129</v>
      </c>
      <c r="L21" s="27">
        <f ca="1">'projekt 4'!$E21*SQRT(2*Arkusz1!$C$14/Arkusz1!$C$5/Arkusz1!$C$103*'projekt 4'!M$1)</f>
        <v>123.77389597794084</v>
      </c>
      <c r="M21" s="26">
        <f ca="1">'projekt 4'!$F21*SQRT(2*Arkusz1!$C$14/Arkusz1!$C$5/Arkusz1!$C$103*'projekt 4'!M$1)</f>
        <v>13.581044045179967</v>
      </c>
    </row>
    <row r="22" spans="1:13" ht="15.6" x14ac:dyDescent="0.3">
      <c r="A22">
        <v>20</v>
      </c>
      <c r="B22" s="26">
        <f ca="1">OFFSET('projekty 2 i 3'!$T$44,-A22+1,0,1,1)</f>
        <v>0.18561628634809052</v>
      </c>
      <c r="C22" s="28">
        <f ca="1">OFFSET('projekty 2 i 3'!$R$44,-A22+1,0,1,1)</f>
        <v>2.4282715941711625E-2</v>
      </c>
      <c r="D22" s="26">
        <f ca="1">OFFSET('projekty 2 i 3'!$U$44,-A22+1,0,1,1)</f>
        <v>7.643967289064574</v>
      </c>
      <c r="E22" s="28">
        <f t="shared" ca="1" si="0"/>
        <v>2.3112637437550956</v>
      </c>
      <c r="F22" s="28">
        <f t="shared" ca="1" si="1"/>
        <v>0.2998097688317542</v>
      </c>
      <c r="G22" s="26">
        <f t="shared" ca="1" si="2"/>
        <v>7.4532283849619034</v>
      </c>
      <c r="H22" s="27">
        <f ca="1">'projekt 4'!$E22*SQRT(2*Arkusz1!$C$14/Arkusz1!$C$5/Arkusz1!$C$103*'projekt 4'!I$1)</f>
        <v>109.23668712032604</v>
      </c>
      <c r="I22" s="26">
        <f ca="1">'projekt 4'!$F22*SQRT(2*Arkusz1!$C$14/Arkusz1!$C$5/Arkusz1!$C$103*'projekt 4'!I$1)</f>
        <v>14.169835009951104</v>
      </c>
      <c r="J22" s="27">
        <f ca="1">'projekt 4'!$E22*SQRT(2*Arkusz1!$C$14/Arkusz1!$C$5/Arkusz1!$C$103*'projekt 4'!K$1)</f>
        <v>124.12657545811587</v>
      </c>
      <c r="K22" s="26">
        <f ca="1">'projekt 4'!$F22*SQRT(2*Arkusz1!$C$14/Arkusz1!$C$5/Arkusz1!$C$103*'projekt 4'!K$1)</f>
        <v>16.101303883871374</v>
      </c>
      <c r="L22" s="27">
        <f ca="1">'projekt 4'!$E22*SQRT(2*Arkusz1!$C$14/Arkusz1!$C$5/Arkusz1!$C$103*'projekt 4'!M$1)</f>
        <v>137.41237082917485</v>
      </c>
      <c r="M22" s="26">
        <f ca="1">'projekt 4'!$F22*SQRT(2*Arkusz1!$C$14/Arkusz1!$C$5/Arkusz1!$C$103*'projekt 4'!M$1)</f>
        <v>17.824694929010899</v>
      </c>
    </row>
    <row r="23" spans="1:13" ht="15.6" x14ac:dyDescent="0.3">
      <c r="A23">
        <v>21</v>
      </c>
      <c r="B23" s="26">
        <f ca="1">OFFSET('projekty 2 i 3'!$T$44,-A23+1,0,1,1)</f>
        <v>0.11836795264673269</v>
      </c>
      <c r="C23" s="28">
        <f ca="1">OFFSET('projekty 2 i 3'!$R$44,-A23+1,0,1,1)</f>
        <v>2.3072783952139901E-2</v>
      </c>
      <c r="D23" s="26">
        <f ca="1">OFFSET('projekty 2 i 3'!$U$44,-A23+1,0,1,1)</f>
        <v>5.1301981109979824</v>
      </c>
      <c r="E23" s="28">
        <f t="shared" ref="E23" ca="1" si="3">SQRT(1/SQRT(B23^2+C23^2))</f>
        <v>2.8796126210682327</v>
      </c>
      <c r="F23" s="28">
        <f t="shared" ref="F23" ca="1" si="4">SQRT(C23^2/(C23^2+B23^2)^(3/2))</f>
        <v>0.55093733583373328</v>
      </c>
      <c r="G23" s="26">
        <f t="shared" ref="G23" ca="1" si="5">DEGREES(ATAN(1/D23))</f>
        <v>11.030027571401607</v>
      </c>
      <c r="H23" s="27">
        <f ca="1">'projekt 4'!$E23*SQRT(2*Arkusz1!$C$14/Arkusz1!$C$5/Arkusz1!$C$103*'projekt 4'!I$1)</f>
        <v>136.09841964825267</v>
      </c>
      <c r="I23" s="26">
        <f ca="1">'projekt 4'!$F23*SQRT(2*Arkusz1!$C$14/Arkusz1!$C$5/Arkusz1!$C$103*'projekt 4'!I$1)</f>
        <v>26.038815146036629</v>
      </c>
      <c r="J23" s="27">
        <f ca="1">'projekt 4'!$E23*SQRT(2*Arkusz1!$C$14/Arkusz1!$C$5/Arkusz1!$C$103*'projekt 4'!K$1)</f>
        <v>154.64979029976217</v>
      </c>
      <c r="K23" s="26">
        <f ca="1">'projekt 4'!$F23*SQRT(2*Arkusz1!$C$14/Arkusz1!$C$5/Arkusz1!$C$103*'projekt 4'!K$1)</f>
        <v>29.588126830542056</v>
      </c>
      <c r="L23" s="27">
        <f ca="1">'projekt 4'!$E23*SQRT(2*Arkusz1!$C$14/Arkusz1!$C$5/Arkusz1!$C$103*'projekt 4'!M$1)</f>
        <v>171.20261519255175</v>
      </c>
      <c r="M23" s="26">
        <f ca="1">'projekt 4'!$F23*SQRT(2*Arkusz1!$C$14/Arkusz1!$C$5/Arkusz1!$C$103*'projekt 4'!M$1)</f>
        <v>32.755069904840965</v>
      </c>
    </row>
    <row r="40" spans="2:11" ht="15.6" x14ac:dyDescent="0.35">
      <c r="C40" s="30" t="s">
        <v>236</v>
      </c>
      <c r="D40">
        <f>I1</f>
        <v>1863</v>
      </c>
      <c r="F40" s="31" t="s">
        <v>237</v>
      </c>
      <c r="G40">
        <f>K1</f>
        <v>2405.5</v>
      </c>
      <c r="I40" s="32" t="s">
        <v>238</v>
      </c>
      <c r="J40">
        <f>M1</f>
        <v>2948</v>
      </c>
    </row>
    <row r="41" spans="2:11" x14ac:dyDescent="0.3">
      <c r="C41" t="s">
        <v>231</v>
      </c>
      <c r="D41" t="s">
        <v>230</v>
      </c>
      <c r="E41" t="s">
        <v>106</v>
      </c>
      <c r="F41" t="s">
        <v>229</v>
      </c>
      <c r="G41" t="s">
        <v>230</v>
      </c>
      <c r="H41" t="s">
        <v>106</v>
      </c>
      <c r="I41" t="s">
        <v>229</v>
      </c>
      <c r="J41" t="s">
        <v>230</v>
      </c>
      <c r="K41" t="s">
        <v>106</v>
      </c>
    </row>
    <row r="42" spans="2:11" ht="16.2" x14ac:dyDescent="0.35">
      <c r="B42" t="s">
        <v>232</v>
      </c>
      <c r="C42" s="26">
        <f>SQRT(2*Arkusz1!$C$14/Arkusz1!$C$5/Arkusz1!$C$103/SQRT(Arkusz1!$C$97*PI()*Arkusz1!$C$95)*'projekt 4'!D$40)</f>
        <v>59.118071954386266</v>
      </c>
      <c r="D42" s="15">
        <v>59</v>
      </c>
      <c r="E42" s="27">
        <f>100*ABS(C42-D42)/MAX(C42:D42)</f>
        <v>0.19972226847547953</v>
      </c>
      <c r="F42" s="26">
        <f>SQRT(2*Arkusz1!$C$14/Arkusz1!$C$5/Arkusz1!$C$103/SQRT(Arkusz1!$C$97*PI()*Arkusz1!$C$95)*'projekt 4'!G$40)</f>
        <v>67.17636732521359</v>
      </c>
      <c r="G42" s="15">
        <v>67</v>
      </c>
      <c r="H42" s="27">
        <f>100*ABS(F42-G42)/MAX(F42:G42)</f>
        <v>0.26254370731266607</v>
      </c>
      <c r="I42" s="26">
        <f>SQRT(2*Arkusz1!$C$14/Arkusz1!$C$5/Arkusz1!$C$103/SQRT(Arkusz1!$C$97*PI()*Arkusz1!$C$95)*'projekt 4'!J$40)</f>
        <v>74.366539669531875</v>
      </c>
      <c r="J42" s="15">
        <v>74</v>
      </c>
      <c r="K42" s="27">
        <f>100*ABS(I42-J42)/MAX(I42:J42)</f>
        <v>0.49288251296980384</v>
      </c>
    </row>
    <row r="43" spans="2:11" ht="16.2" x14ac:dyDescent="0.35">
      <c r="B43" t="s">
        <v>233</v>
      </c>
      <c r="C43" s="26">
        <f>C42/(3^(1/4))</f>
        <v>44.920020737861265</v>
      </c>
      <c r="D43" s="15">
        <v>45</v>
      </c>
      <c r="E43" s="27">
        <f t="shared" ref="E43:E45" si="6">100*ABS(C43-D43)/MAX(C43:D43)</f>
        <v>0.17773169364163424</v>
      </c>
      <c r="F43" s="26">
        <f t="shared" ref="F43:I43" si="7">F42/(3^(1/4))</f>
        <v>51.0430011261369</v>
      </c>
      <c r="G43" s="15">
        <v>51</v>
      </c>
      <c r="H43" s="27">
        <f t="shared" ref="H43:H45" si="8">100*ABS(F43-G43)/MAX(F43:G43)</f>
        <v>8.424490172636287E-2</v>
      </c>
      <c r="I43" s="26">
        <f t="shared" si="7"/>
        <v>56.506350659335105</v>
      </c>
      <c r="J43" s="15">
        <v>56.5</v>
      </c>
      <c r="K43" s="27">
        <f t="shared" ref="K43:K45" si="9">100*ABS(I43-J43)/MAX(I43:J43)</f>
        <v>1.123884176026837E-2</v>
      </c>
    </row>
    <row r="44" spans="2:11" ht="16.2" x14ac:dyDescent="0.35">
      <c r="B44" t="s">
        <v>234</v>
      </c>
      <c r="C44" s="26">
        <f>SQRT(8*SQRT(Arkusz1!$C$95)*Arkusz1!$C$14/Arkusz1!$C$5/Arkusz1!$C$103/((Arkusz1!$C$97*PI())^(3/2))*'projekt 4'!D$40)</f>
        <v>4.0883213685276996</v>
      </c>
      <c r="D44" s="15">
        <v>4.0999999999999996</v>
      </c>
      <c r="E44" s="27">
        <f t="shared" si="6"/>
        <v>0.28484467005609959</v>
      </c>
      <c r="F44" s="26">
        <f>SQRT(8*SQRT(Arkusz1!$C$95)*Arkusz1!$C$14/Arkusz1!$C$5/Arkusz1!$C$103/((Arkusz1!$C$97*PI())^(3/2))*'projekt 4'!G$40)</f>
        <v>4.645594298265336</v>
      </c>
      <c r="G44" s="15">
        <v>4.5999999999999996</v>
      </c>
      <c r="H44" s="27">
        <f t="shared" si="8"/>
        <v>0.98145243295053219</v>
      </c>
      <c r="I44" s="26">
        <f>SQRT(8*SQRT(Arkusz1!$C$95)*Arkusz1!$C$14/Arkusz1!$C$5/Arkusz1!$C$103/((Arkusz1!$C$97*PI())^(3/2))*'projekt 4'!J$40)</f>
        <v>5.1428320170690585</v>
      </c>
      <c r="J44" s="15">
        <v>5.0999999999999996</v>
      </c>
      <c r="K44" s="27">
        <f t="shared" si="9"/>
        <v>0.83284884528406444</v>
      </c>
    </row>
    <row r="45" spans="2:11" ht="16.2" x14ac:dyDescent="0.35">
      <c r="B45" t="s">
        <v>235</v>
      </c>
      <c r="C45" s="26">
        <f>C44*2/(3^(3/4))</f>
        <v>3.5870223398117838</v>
      </c>
      <c r="D45" s="15">
        <v>3.6</v>
      </c>
      <c r="E45" s="27">
        <f t="shared" si="6"/>
        <v>0.36049056078378705</v>
      </c>
      <c r="F45" s="26">
        <f t="shared" ref="F45:I45" si="10">F44*2/(3^(3/4))</f>
        <v>4.075963953778186</v>
      </c>
      <c r="G45" s="15">
        <v>4.0999999999999996</v>
      </c>
      <c r="H45" s="27">
        <f t="shared" si="8"/>
        <v>0.58624502980033311</v>
      </c>
      <c r="I45" s="26">
        <f t="shared" si="10"/>
        <v>4.5122317137630912</v>
      </c>
      <c r="J45" s="15">
        <v>4.5</v>
      </c>
      <c r="K45" s="27">
        <f t="shared" si="9"/>
        <v>0.27107902561347469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AA2B-1DE6-4258-924D-06FBFD87E02D}">
  <dimension ref="A1:U97"/>
  <sheetViews>
    <sheetView zoomScale="85" zoomScaleNormal="85" workbookViewId="0">
      <selection activeCell="A2" sqref="A2"/>
    </sheetView>
  </sheetViews>
  <sheetFormatPr defaultRowHeight="14.4" x14ac:dyDescent="0.3"/>
  <cols>
    <col min="1" max="16384" width="8.88671875" style="34"/>
  </cols>
  <sheetData>
    <row r="1" spans="1:21" x14ac:dyDescent="0.3">
      <c r="A1" s="34">
        <f>Arkusz1!C11</f>
        <v>5.2999999999999999E-2</v>
      </c>
      <c r="B1" s="34" t="s">
        <v>208</v>
      </c>
      <c r="C1" s="34" t="s">
        <v>6</v>
      </c>
      <c r="D1" s="34" t="s">
        <v>262</v>
      </c>
    </row>
    <row r="2" spans="1:21" ht="15" x14ac:dyDescent="0.3">
      <c r="A2" s="2">
        <f>Arkusz1!C$23*(1-'projekt 5'!B2/44300)^4.256</f>
        <v>1.2250000000000001</v>
      </c>
      <c r="B2" s="2">
        <v>0</v>
      </c>
      <c r="C2" s="2">
        <f>Arkusz1!C$9*('projekt 5'!A2/A$2-Arkusz1!C$106)/(1-Arkusz1!C$106)</f>
        <v>223000</v>
      </c>
      <c r="D2" s="2">
        <f>C2/A2/Arkusz1!$C$110^5/(Arkusz1!$C$10/60)^3</f>
        <v>0.10859254427631644</v>
      </c>
    </row>
    <row r="3" spans="1:21" ht="15" x14ac:dyDescent="0.3">
      <c r="A3" s="2">
        <f>Arkusz1!C$23*(1-'projekt 5'!B3/44300)^4.256</f>
        <v>1.1115636003391007</v>
      </c>
      <c r="B3" s="2">
        <v>1000</v>
      </c>
      <c r="C3" s="2">
        <f>Arkusz1!C$9*('projekt 5'!A3/A$2-Arkusz1!C$106)/(1-Arkusz1!C$106)</f>
        <v>199534.02864157647</v>
      </c>
      <c r="D3" s="2">
        <f>C3/A3/Arkusz1!$C$110^5/(Arkusz1!$C$10/60)^3</f>
        <v>0.10708136252759891</v>
      </c>
    </row>
    <row r="4" spans="1:21" ht="15" x14ac:dyDescent="0.3">
      <c r="A4" s="2">
        <f>Arkusz1!C$23*(1-'projekt 5'!B4/44300)^4.256</f>
        <v>1.006343934757578</v>
      </c>
      <c r="B4" s="2">
        <v>2000</v>
      </c>
      <c r="C4" s="2">
        <f>Arkusz1!C$9*('projekt 5'!A4/A$2-Arkusz1!C$106)/(1-Arkusz1!C$106)</f>
        <v>177767.80839604812</v>
      </c>
      <c r="D4" s="2">
        <f>C4/A4/Arkusz1!$C$110^5/(Arkusz1!$C$10/60)^3</f>
        <v>0.10537508041448762</v>
      </c>
    </row>
    <row r="5" spans="1:21" ht="15" x14ac:dyDescent="0.3">
      <c r="A5" s="2">
        <f>Arkusz1!C$23*(1-'projekt 5'!B5/44300)^4.256</f>
        <v>0.90891914180294808</v>
      </c>
      <c r="B5" s="2">
        <v>3000</v>
      </c>
      <c r="C5" s="2">
        <f>Arkusz1!C$9*('projekt 5'!A5/A$2-Arkusz1!C$106)/(1-Arkusz1!C$106)</f>
        <v>157614.0710779753</v>
      </c>
      <c r="D5" s="2">
        <f>C5/A5/Arkusz1!$C$110^5/(Arkusz1!$C$10/60)^3</f>
        <v>0.10344296760631687</v>
      </c>
    </row>
    <row r="6" spans="1:21" ht="15" x14ac:dyDescent="0.3">
      <c r="A6" s="2">
        <f>Arkusz1!C$23*(1-'projekt 5'!B6/44300)^4.256</f>
        <v>0.81887970220647188</v>
      </c>
      <c r="B6" s="2">
        <v>4000</v>
      </c>
      <c r="C6" s="2">
        <f>Arkusz1!C$9*('projekt 5'!A6/A$2-Arkusz1!C$106)/(1-Arkusz1!C$106)</f>
        <v>138988.10166237774</v>
      </c>
      <c r="D6" s="2">
        <f>C6/A6/Arkusz1!$C$110^5/(Arkusz1!$C$10/60)^3</f>
        <v>0.10124853575398192</v>
      </c>
    </row>
    <row r="7" spans="1:21" ht="15" x14ac:dyDescent="0.3">
      <c r="A7" s="2">
        <f>Arkusz1!C$23*(1-'projekt 5'!B7/44300)^4.256</f>
        <v>0.73582836351140102</v>
      </c>
      <c r="B7" s="2">
        <v>5000</v>
      </c>
      <c r="C7" s="2">
        <f>Arkusz1!C$9*('projekt 5'!A7/A$2-Arkusz1!C$106)/(1-Arkusz1!C$106)</f>
        <v>121807.72269298926</v>
      </c>
      <c r="D7" s="2">
        <f>C7/A7/Arkusz1!$C$110^5/(Arkusz1!$C$10/60)^3</f>
        <v>9.8748278604592191E-2</v>
      </c>
    </row>
    <row r="8" spans="1:21" ht="15" x14ac:dyDescent="0.3">
      <c r="A8" s="2">
        <f>Arkusz1!C$23*(1-'projekt 5'!B8/44300)^4.256</f>
        <v>0.65938006333047816</v>
      </c>
      <c r="B8" s="2">
        <v>6000</v>
      </c>
      <c r="C8" s="2">
        <f>Arkusz1!C$9*('projekt 5'!A8/A$2-Arkusz1!C$106)/(1-Arkusz1!C$106)</f>
        <v>105993.2784069542</v>
      </c>
      <c r="D8" s="2">
        <f>C8/A8/Arkusz1!$C$110^5/(Arkusz1!$C$10/60)^3</f>
        <v>9.5890094705844683E-2</v>
      </c>
    </row>
    <row r="9" spans="1:21" ht="15" x14ac:dyDescent="0.3">
      <c r="A9" s="2">
        <f>Arkusz1!C$23*(1-'projekt 5'!B9/44300)^4.256</f>
        <v>0.58916185117277209</v>
      </c>
      <c r="B9" s="2">
        <v>7000</v>
      </c>
      <c r="C9" s="2">
        <f>Arkusz1!C$9*('projekt 5'!A9/A$2-Arkusz1!C$106)/(1-Arkusz1!C$106)</f>
        <v>91467.618563569733</v>
      </c>
      <c r="D9" s="2">
        <f>C9/A9/Arkusz1!$C$110^5/(Arkusz1!$C$10/60)^3</f>
        <v>9.2611301633604148E-2</v>
      </c>
    </row>
    <row r="10" spans="1:21" ht="15" x14ac:dyDescent="0.3">
      <c r="A10" s="2">
        <f>Arkusz1!C$23*(1-'projekt 5'!B10/44300)^4.256</f>
        <v>0.5248128087757048</v>
      </c>
      <c r="B10" s="2">
        <v>8000</v>
      </c>
      <c r="C10" s="2">
        <f>Arkusz1!C$9*('projekt 5'!A10/A$2-Arkusz1!C$106)/(1-Arkusz1!C$106)</f>
        <v>78156.081963805351</v>
      </c>
      <c r="D10" s="2">
        <f>C10/A10/Arkusz1!$C$110^5/(Arkusz1!$C$10/60)^3</f>
        <v>8.8836121182568617E-2</v>
      </c>
    </row>
    <row r="15" spans="1:21" ht="15" x14ac:dyDescent="0.3">
      <c r="I15" s="2" t="s">
        <v>208</v>
      </c>
      <c r="J15" s="2">
        <f>B2</f>
        <v>0</v>
      </c>
      <c r="K15" s="2" t="s">
        <v>6</v>
      </c>
      <c r="L15" s="2">
        <f>C2</f>
        <v>223000</v>
      </c>
      <c r="M15" s="2" t="s">
        <v>262</v>
      </c>
      <c r="N15" s="2">
        <f>C2/A2/Arkusz1!$C$110^5/(Arkusz1!$C$10/60)^3</f>
        <v>0.10859254427631644</v>
      </c>
      <c r="O15" s="2"/>
      <c r="P15" s="75" t="s">
        <v>208</v>
      </c>
      <c r="Q15" s="75">
        <f>B7</f>
        <v>5000</v>
      </c>
      <c r="R15" s="75" t="s">
        <v>6</v>
      </c>
      <c r="S15" s="75">
        <f>C7</f>
        <v>121807.72269298926</v>
      </c>
      <c r="T15" s="75" t="s">
        <v>262</v>
      </c>
      <c r="U15" s="75">
        <f>C7/A7/Arkusz1!$C$110^5/(Arkusz1!$C$10/60)^3</f>
        <v>9.8748278604592191E-2</v>
      </c>
    </row>
    <row r="16" spans="1:21" ht="15" x14ac:dyDescent="0.3">
      <c r="I16" s="2" t="s">
        <v>263</v>
      </c>
      <c r="J16" s="2" t="s">
        <v>264</v>
      </c>
      <c r="K16" s="2" t="s">
        <v>242</v>
      </c>
      <c r="L16" s="2" t="s">
        <v>265</v>
      </c>
      <c r="M16" s="2" t="s">
        <v>266</v>
      </c>
      <c r="N16" s="2" t="s">
        <v>267</v>
      </c>
      <c r="O16" s="2"/>
      <c r="P16" s="75" t="s">
        <v>263</v>
      </c>
      <c r="Q16" s="75" t="s">
        <v>264</v>
      </c>
      <c r="R16" s="75" t="s">
        <v>242</v>
      </c>
      <c r="S16" s="75" t="s">
        <v>265</v>
      </c>
      <c r="T16" s="75" t="s">
        <v>266</v>
      </c>
      <c r="U16" s="75" t="s">
        <v>267</v>
      </c>
    </row>
    <row r="17" spans="9:21" ht="15" x14ac:dyDescent="0.3">
      <c r="I17" s="2">
        <v>1</v>
      </c>
      <c r="J17" s="2">
        <v>0</v>
      </c>
      <c r="K17" s="2">
        <f>J17/(Arkusz1!$C$10/60)/Arkusz1!$C$110</f>
        <v>0</v>
      </c>
      <c r="L17" s="2">
        <v>22</v>
      </c>
      <c r="M17" s="2">
        <v>0</v>
      </c>
      <c r="N17" s="2">
        <f>$C$2*M17</f>
        <v>0</v>
      </c>
      <c r="O17" s="2"/>
      <c r="P17" s="75">
        <v>1</v>
      </c>
      <c r="Q17" s="75">
        <v>0</v>
      </c>
      <c r="R17" s="75">
        <f>Q17/(Arkusz1!$C$10/60)/Arkusz1!$C$110</f>
        <v>0</v>
      </c>
      <c r="S17" s="76">
        <v>21.5</v>
      </c>
      <c r="T17" s="76">
        <v>0</v>
      </c>
      <c r="U17" s="75">
        <f t="shared" ref="U17:U24" si="0">$C$7*T17</f>
        <v>0</v>
      </c>
    </row>
    <row r="18" spans="9:21" ht="15" x14ac:dyDescent="0.3">
      <c r="I18" s="2">
        <v>2</v>
      </c>
      <c r="J18" s="2">
        <v>20</v>
      </c>
      <c r="K18" s="2">
        <f>J18/(Arkusz1!$C$10/60)/Arkusz1!$C$110</f>
        <v>0.25299145299145298</v>
      </c>
      <c r="L18" s="2">
        <v>22.5</v>
      </c>
      <c r="M18" s="2">
        <v>0.34200000000000003</v>
      </c>
      <c r="N18" s="2">
        <f t="shared" ref="N18:N24" si="1">$C$2*M18</f>
        <v>76266</v>
      </c>
      <c r="O18" s="2"/>
      <c r="P18" s="75">
        <v>2</v>
      </c>
      <c r="Q18" s="75">
        <v>20</v>
      </c>
      <c r="R18" s="75">
        <f>Q18/(Arkusz1!$C$10/60)/Arkusz1!$C$110</f>
        <v>0.25299145299145298</v>
      </c>
      <c r="S18" s="76">
        <v>22</v>
      </c>
      <c r="T18" s="76">
        <v>0.35899999999999999</v>
      </c>
      <c r="U18" s="75">
        <f t="shared" si="0"/>
        <v>43728.972446783147</v>
      </c>
    </row>
    <row r="19" spans="9:21" ht="15" x14ac:dyDescent="0.3">
      <c r="I19" s="2">
        <v>3</v>
      </c>
      <c r="J19" s="2">
        <v>40</v>
      </c>
      <c r="K19" s="2">
        <f>J19/(Arkusz1!$C$10/60)/Arkusz1!$C$110</f>
        <v>0.50598290598290596</v>
      </c>
      <c r="L19" s="2">
        <v>24</v>
      </c>
      <c r="M19" s="2">
        <v>0.59</v>
      </c>
      <c r="N19" s="2">
        <f t="shared" si="1"/>
        <v>131570</v>
      </c>
      <c r="O19" s="2"/>
      <c r="P19" s="75">
        <v>3</v>
      </c>
      <c r="Q19" s="75">
        <v>40</v>
      </c>
      <c r="R19" s="75">
        <f>Q19/(Arkusz1!$C$10/60)/Arkusz1!$C$110</f>
        <v>0.50598290598290596</v>
      </c>
      <c r="S19" s="76">
        <v>22.6</v>
      </c>
      <c r="T19" s="76">
        <v>0.61599999999999999</v>
      </c>
      <c r="U19" s="75">
        <f t="shared" si="0"/>
        <v>75033.557178881383</v>
      </c>
    </row>
    <row r="20" spans="9:21" ht="15" x14ac:dyDescent="0.3">
      <c r="I20" s="2">
        <v>4</v>
      </c>
      <c r="J20" s="2">
        <v>60</v>
      </c>
      <c r="K20" s="2">
        <f>J20/(Arkusz1!$C$10/60)/Arkusz1!$C$110</f>
        <v>0.75897435897435905</v>
      </c>
      <c r="L20" s="2">
        <v>25.5</v>
      </c>
      <c r="M20" s="2">
        <v>0.754</v>
      </c>
      <c r="N20" s="2">
        <f t="shared" si="1"/>
        <v>168142</v>
      </c>
      <c r="O20" s="2"/>
      <c r="P20" s="75">
        <v>4</v>
      </c>
      <c r="Q20" s="75">
        <v>60</v>
      </c>
      <c r="R20" s="75">
        <f>Q20/(Arkusz1!$C$10/60)/Arkusz1!$C$110</f>
        <v>0.75897435897435905</v>
      </c>
      <c r="S20" s="76">
        <v>24.5</v>
      </c>
      <c r="T20" s="76">
        <v>0.78100000000000003</v>
      </c>
      <c r="U20" s="75">
        <f t="shared" si="0"/>
        <v>95131.831423224619</v>
      </c>
    </row>
    <row r="21" spans="9:21" ht="15" x14ac:dyDescent="0.3">
      <c r="I21" s="2">
        <v>5</v>
      </c>
      <c r="J21" s="2">
        <v>80</v>
      </c>
      <c r="K21" s="2">
        <f>J21/(Arkusz1!$C$10/60)/Arkusz1!$C$110</f>
        <v>1.0119658119658119</v>
      </c>
      <c r="L21" s="2">
        <v>28</v>
      </c>
      <c r="M21" s="2">
        <v>0.81599999999999995</v>
      </c>
      <c r="N21" s="2">
        <f t="shared" si="1"/>
        <v>181968</v>
      </c>
      <c r="O21" s="2"/>
      <c r="P21" s="75">
        <v>5</v>
      </c>
      <c r="Q21" s="75">
        <v>80</v>
      </c>
      <c r="R21" s="75">
        <f>Q21/(Arkusz1!$C$10/60)/Arkusz1!$C$110</f>
        <v>1.0119658119658119</v>
      </c>
      <c r="S21" s="76">
        <v>27</v>
      </c>
      <c r="T21" s="76">
        <v>0.82699999999999996</v>
      </c>
      <c r="U21" s="75">
        <f t="shared" si="0"/>
        <v>100734.98666710212</v>
      </c>
    </row>
    <row r="22" spans="9:21" ht="15" x14ac:dyDescent="0.3">
      <c r="I22" s="2">
        <v>6</v>
      </c>
      <c r="J22" s="2">
        <v>100</v>
      </c>
      <c r="K22" s="2">
        <f>J22/(Arkusz1!$C$10/60)/Arkusz1!$C$110</f>
        <v>1.2649572649572651</v>
      </c>
      <c r="L22" s="2">
        <v>31.5</v>
      </c>
      <c r="M22" s="2">
        <v>0.84799999999999998</v>
      </c>
      <c r="N22" s="2">
        <f t="shared" si="1"/>
        <v>189104</v>
      </c>
      <c r="O22" s="2"/>
      <c r="P22" s="75">
        <v>6</v>
      </c>
      <c r="Q22" s="75">
        <v>100</v>
      </c>
      <c r="R22" s="75">
        <f>Q22/(Arkusz1!$C$10/60)/Arkusz1!$C$110</f>
        <v>1.2649572649572651</v>
      </c>
      <c r="S22" s="76">
        <v>31</v>
      </c>
      <c r="T22" s="76">
        <v>0.85299999999999998</v>
      </c>
      <c r="U22" s="75">
        <f t="shared" si="0"/>
        <v>103901.98745711985</v>
      </c>
    </row>
    <row r="23" spans="9:21" ht="15" x14ac:dyDescent="0.3">
      <c r="I23" s="2">
        <v>7</v>
      </c>
      <c r="J23" s="2">
        <v>120</v>
      </c>
      <c r="K23" s="2">
        <f>J23/(Arkusz1!$C$10/60)/Arkusz1!$C$110</f>
        <v>1.5179487179487181</v>
      </c>
      <c r="L23" s="2">
        <v>35</v>
      </c>
      <c r="M23" s="2">
        <v>0.84599999999999997</v>
      </c>
      <c r="N23" s="2">
        <f t="shared" si="1"/>
        <v>188658</v>
      </c>
      <c r="O23" s="2"/>
      <c r="P23" s="75">
        <v>7</v>
      </c>
      <c r="Q23" s="75">
        <v>120</v>
      </c>
      <c r="R23" s="75">
        <f>Q23/(Arkusz1!$C$10/60)/Arkusz1!$C$110</f>
        <v>1.5179487179487181</v>
      </c>
      <c r="S23" s="76">
        <v>34.5</v>
      </c>
      <c r="T23" s="76">
        <v>0.81200000000000006</v>
      </c>
      <c r="U23" s="75">
        <f t="shared" si="0"/>
        <v>98907.870826707294</v>
      </c>
    </row>
    <row r="24" spans="9:21" ht="15" x14ac:dyDescent="0.3">
      <c r="I24" s="2">
        <v>8</v>
      </c>
      <c r="J24" s="2">
        <v>140</v>
      </c>
      <c r="K24" s="2">
        <f>J24/(Arkusz1!$C$10/60)/Arkusz1!$C$110</f>
        <v>1.7709401709401711</v>
      </c>
      <c r="L24" s="2">
        <v>38.5</v>
      </c>
      <c r="M24" s="2">
        <v>0.81399999999999995</v>
      </c>
      <c r="N24" s="2">
        <f t="shared" si="1"/>
        <v>181522</v>
      </c>
      <c r="O24" s="2"/>
      <c r="P24" s="75">
        <v>8</v>
      </c>
      <c r="Q24" s="75">
        <v>140</v>
      </c>
      <c r="R24" s="75">
        <f>Q24/(Arkusz1!$C$10/60)/Arkusz1!$C$110</f>
        <v>1.7709401709401711</v>
      </c>
      <c r="S24" s="76">
        <v>37.5</v>
      </c>
      <c r="T24" s="76">
        <v>0.78200000000000003</v>
      </c>
      <c r="U24" s="75">
        <f t="shared" si="0"/>
        <v>95253.639145917608</v>
      </c>
    </row>
    <row r="25" spans="9:21" ht="15" x14ac:dyDescent="0.3">
      <c r="I25" s="2"/>
      <c r="J25" s="2"/>
      <c r="K25" s="2"/>
      <c r="L25" s="2"/>
      <c r="M25" s="2"/>
      <c r="N25" s="2"/>
      <c r="O25" s="2"/>
      <c r="P25" s="77"/>
      <c r="Q25" s="77"/>
      <c r="R25" s="77"/>
      <c r="S25" s="77"/>
      <c r="T25" s="77"/>
      <c r="U25" s="77"/>
    </row>
    <row r="26" spans="9:21" ht="15" x14ac:dyDescent="0.3">
      <c r="I26" s="2" t="s">
        <v>208</v>
      </c>
      <c r="J26" s="2">
        <f>B3</f>
        <v>1000</v>
      </c>
      <c r="K26" s="2" t="s">
        <v>6</v>
      </c>
      <c r="L26" s="2">
        <f>C3</f>
        <v>199534.02864157647</v>
      </c>
      <c r="M26" s="2" t="s">
        <v>262</v>
      </c>
      <c r="N26" s="2">
        <f>C3/A3/Arkusz1!$C$110^5/(Arkusz1!$C$10/60)^3</f>
        <v>0.10708136252759891</v>
      </c>
      <c r="O26" s="2"/>
      <c r="P26" s="75" t="s">
        <v>208</v>
      </c>
      <c r="Q26" s="75">
        <f>B8</f>
        <v>6000</v>
      </c>
      <c r="R26" s="75" t="s">
        <v>6</v>
      </c>
      <c r="S26" s="75">
        <f>C8</f>
        <v>105993.2784069542</v>
      </c>
      <c r="T26" s="75" t="s">
        <v>262</v>
      </c>
      <c r="U26" s="75">
        <f>C8/A8/Arkusz1!$C$110^5/(Arkusz1!$C$10/60)^3</f>
        <v>9.5890094705844683E-2</v>
      </c>
    </row>
    <row r="27" spans="9:21" ht="15" x14ac:dyDescent="0.3">
      <c r="I27" s="2" t="s">
        <v>263</v>
      </c>
      <c r="J27" s="2" t="s">
        <v>264</v>
      </c>
      <c r="K27" s="2" t="s">
        <v>242</v>
      </c>
      <c r="L27" s="2" t="s">
        <v>265</v>
      </c>
      <c r="M27" s="2" t="s">
        <v>266</v>
      </c>
      <c r="N27" s="2" t="s">
        <v>267</v>
      </c>
      <c r="O27" s="2"/>
      <c r="P27" s="75" t="s">
        <v>263</v>
      </c>
      <c r="Q27" s="75" t="s">
        <v>264</v>
      </c>
      <c r="R27" s="75" t="s">
        <v>242</v>
      </c>
      <c r="S27" s="75" t="s">
        <v>265</v>
      </c>
      <c r="T27" s="75" t="s">
        <v>266</v>
      </c>
      <c r="U27" s="75" t="s">
        <v>267</v>
      </c>
    </row>
    <row r="28" spans="9:21" ht="15" x14ac:dyDescent="0.3">
      <c r="I28" s="2">
        <v>1</v>
      </c>
      <c r="J28" s="2">
        <v>0</v>
      </c>
      <c r="K28" s="2">
        <f>J28/(Arkusz1!$C$10/60)/Arkusz1!$C$110</f>
        <v>0</v>
      </c>
      <c r="L28" s="2">
        <v>21.9</v>
      </c>
      <c r="M28" s="2">
        <v>0</v>
      </c>
      <c r="N28" s="2">
        <f t="shared" ref="N28:N35" si="2">$C$3*M28</f>
        <v>0</v>
      </c>
      <c r="O28" s="2"/>
      <c r="P28" s="75">
        <v>1</v>
      </c>
      <c r="Q28" s="75">
        <v>0</v>
      </c>
      <c r="R28" s="75">
        <f>Q28/(Arkusz1!$C$10/60)/Arkusz1!$C$110</f>
        <v>0</v>
      </c>
      <c r="S28" s="76">
        <v>21</v>
      </c>
      <c r="T28" s="76">
        <v>0</v>
      </c>
      <c r="U28" s="75">
        <f t="shared" ref="U28:U35" si="3">$C$8*T28</f>
        <v>0</v>
      </c>
    </row>
    <row r="29" spans="9:21" ht="15" x14ac:dyDescent="0.3">
      <c r="I29" s="2">
        <v>2</v>
      </c>
      <c r="J29" s="2">
        <v>20</v>
      </c>
      <c r="K29" s="2">
        <f>J29/(Arkusz1!$C$10/60)/Arkusz1!$C$110</f>
        <v>0.25299145299145298</v>
      </c>
      <c r="L29" s="2">
        <v>22.4</v>
      </c>
      <c r="M29" s="2">
        <v>0.34399999999999997</v>
      </c>
      <c r="N29" s="2">
        <f t="shared" si="2"/>
        <v>68639.705852702304</v>
      </c>
      <c r="O29" s="2"/>
      <c r="P29" s="75">
        <v>2</v>
      </c>
      <c r="Q29" s="75">
        <v>20</v>
      </c>
      <c r="R29" s="75">
        <f>Q29/(Arkusz1!$C$10/60)/Arkusz1!$C$110</f>
        <v>0.25299145299145298</v>
      </c>
      <c r="S29" s="76">
        <v>21.5</v>
      </c>
      <c r="T29" s="76">
        <v>0.36399999999999999</v>
      </c>
      <c r="U29" s="75">
        <f t="shared" si="3"/>
        <v>38581.55334013133</v>
      </c>
    </row>
    <row r="30" spans="9:21" ht="15" x14ac:dyDescent="0.3">
      <c r="I30" s="2">
        <v>3</v>
      </c>
      <c r="J30" s="2">
        <v>40</v>
      </c>
      <c r="K30" s="2">
        <f>J30/(Arkusz1!$C$10/60)/Arkusz1!$C$110</f>
        <v>0.50598290598290596</v>
      </c>
      <c r="L30" s="2">
        <v>23.5</v>
      </c>
      <c r="M30" s="2">
        <v>0.59299999999999997</v>
      </c>
      <c r="N30" s="2">
        <f t="shared" si="2"/>
        <v>118323.67898445485</v>
      </c>
      <c r="O30" s="2"/>
      <c r="P30" s="75">
        <v>3</v>
      </c>
      <c r="Q30" s="75">
        <v>40</v>
      </c>
      <c r="R30" s="75">
        <f>Q30/(Arkusz1!$C$10/60)/Arkusz1!$C$110</f>
        <v>0.50598290598290596</v>
      </c>
      <c r="S30" s="76">
        <v>22</v>
      </c>
      <c r="T30" s="76">
        <v>0.625</v>
      </c>
      <c r="U30" s="75">
        <f t="shared" si="3"/>
        <v>66245.799004346365</v>
      </c>
    </row>
    <row r="31" spans="9:21" ht="15" x14ac:dyDescent="0.3">
      <c r="I31" s="2">
        <v>4</v>
      </c>
      <c r="J31" s="2">
        <v>60</v>
      </c>
      <c r="K31" s="2">
        <f>J31/(Arkusz1!$C$10/60)/Arkusz1!$C$110</f>
        <v>0.75897435897435905</v>
      </c>
      <c r="L31" s="2">
        <v>25.2</v>
      </c>
      <c r="M31" s="2">
        <v>0.75800000000000001</v>
      </c>
      <c r="N31" s="2">
        <f t="shared" si="2"/>
        <v>151246.79371031496</v>
      </c>
      <c r="O31" s="2"/>
      <c r="P31" s="75">
        <v>4</v>
      </c>
      <c r="Q31" s="75">
        <v>60</v>
      </c>
      <c r="R31" s="75">
        <f>Q31/(Arkusz1!$C$10/60)/Arkusz1!$C$110</f>
        <v>0.75897435897435905</v>
      </c>
      <c r="S31" s="76">
        <v>24</v>
      </c>
      <c r="T31" s="76">
        <v>0.78800000000000003</v>
      </c>
      <c r="U31" s="75">
        <f t="shared" si="3"/>
        <v>83522.703384679917</v>
      </c>
    </row>
    <row r="32" spans="9:21" ht="15" x14ac:dyDescent="0.3">
      <c r="I32" s="2">
        <v>5</v>
      </c>
      <c r="J32" s="2">
        <v>80</v>
      </c>
      <c r="K32" s="2">
        <f>J32/(Arkusz1!$C$10/60)/Arkusz1!$C$110</f>
        <v>1.0119658119658119</v>
      </c>
      <c r="L32" s="2">
        <v>27.7</v>
      </c>
      <c r="M32" s="2">
        <v>0.81799999999999995</v>
      </c>
      <c r="N32" s="2">
        <f t="shared" si="2"/>
        <v>163218.83542880954</v>
      </c>
      <c r="O32" s="2"/>
      <c r="P32" s="75">
        <v>5</v>
      </c>
      <c r="Q32" s="75">
        <v>80</v>
      </c>
      <c r="R32" s="75">
        <f>Q32/(Arkusz1!$C$10/60)/Arkusz1!$C$110</f>
        <v>1.0119658119658119</v>
      </c>
      <c r="S32" s="76">
        <v>26.8</v>
      </c>
      <c r="T32" s="76">
        <v>0.82899999999999996</v>
      </c>
      <c r="U32" s="75">
        <f t="shared" si="3"/>
        <v>87868.427799365018</v>
      </c>
    </row>
    <row r="33" spans="9:21" ht="15" x14ac:dyDescent="0.3">
      <c r="I33" s="2">
        <v>6</v>
      </c>
      <c r="J33" s="2">
        <v>100</v>
      </c>
      <c r="K33" s="2">
        <f>J33/(Arkusz1!$C$10/60)/Arkusz1!$C$110</f>
        <v>1.2649572649572651</v>
      </c>
      <c r="L33" s="2">
        <v>31.4</v>
      </c>
      <c r="M33" s="2">
        <v>0.84899999999999998</v>
      </c>
      <c r="N33" s="2">
        <f t="shared" si="2"/>
        <v>169404.39031669841</v>
      </c>
      <c r="O33" s="2"/>
      <c r="P33" s="75">
        <v>6</v>
      </c>
      <c r="Q33" s="75">
        <v>100</v>
      </c>
      <c r="R33" s="75">
        <f>Q33/(Arkusz1!$C$10/60)/Arkusz1!$C$110</f>
        <v>1.2649572649572651</v>
      </c>
      <c r="S33" s="76">
        <v>30.8</v>
      </c>
      <c r="T33" s="76">
        <v>0.85399999999999998</v>
      </c>
      <c r="U33" s="75">
        <f t="shared" si="3"/>
        <v>90518.25975953888</v>
      </c>
    </row>
    <row r="34" spans="9:21" ht="15" x14ac:dyDescent="0.3">
      <c r="I34" s="2">
        <v>7</v>
      </c>
      <c r="J34" s="2">
        <v>120</v>
      </c>
      <c r="K34" s="2">
        <f>J34/(Arkusz1!$C$10/60)/Arkusz1!$C$110</f>
        <v>1.5179487179487181</v>
      </c>
      <c r="L34" s="2">
        <v>34.9</v>
      </c>
      <c r="M34" s="2">
        <v>0.84099999999999997</v>
      </c>
      <c r="N34" s="2">
        <f t="shared" si="2"/>
        <v>167808.11808756582</v>
      </c>
      <c r="O34" s="2"/>
      <c r="P34" s="75">
        <v>7</v>
      </c>
      <c r="Q34" s="75">
        <v>120</v>
      </c>
      <c r="R34" s="75">
        <f>Q34/(Arkusz1!$C$10/60)/Arkusz1!$C$110</f>
        <v>1.5179487179487181</v>
      </c>
      <c r="S34" s="76">
        <v>34.200000000000003</v>
      </c>
      <c r="T34" s="76">
        <v>0.80100000000000005</v>
      </c>
      <c r="U34" s="75">
        <f t="shared" si="3"/>
        <v>84900.61600397031</v>
      </c>
    </row>
    <row r="35" spans="9:21" ht="15" x14ac:dyDescent="0.3">
      <c r="I35" s="2">
        <v>8</v>
      </c>
      <c r="J35" s="2">
        <v>140</v>
      </c>
      <c r="K35" s="2">
        <f>J35/(Arkusz1!$C$10/60)/Arkusz1!$C$110</f>
        <v>1.7709401709401711</v>
      </c>
      <c r="L35" s="2">
        <v>38</v>
      </c>
      <c r="M35" s="2">
        <v>0.80900000000000005</v>
      </c>
      <c r="N35" s="2">
        <f t="shared" si="2"/>
        <v>161423.02917103536</v>
      </c>
      <c r="O35" s="2"/>
      <c r="P35" s="75">
        <v>8</v>
      </c>
      <c r="Q35" s="75">
        <v>140</v>
      </c>
      <c r="R35" s="75">
        <f>Q35/(Arkusz1!$C$10/60)/Arkusz1!$C$110</f>
        <v>1.7709401709401711</v>
      </c>
      <c r="S35" s="76">
        <v>37.200000000000003</v>
      </c>
      <c r="T35" s="76">
        <v>0.77500000000000002</v>
      </c>
      <c r="U35" s="75">
        <f t="shared" si="3"/>
        <v>82144.790765389509</v>
      </c>
    </row>
    <row r="36" spans="9:21" ht="15" x14ac:dyDescent="0.3">
      <c r="O36" s="2"/>
      <c r="P36" s="77"/>
      <c r="Q36" s="77"/>
      <c r="R36" s="77"/>
      <c r="S36" s="77"/>
      <c r="T36" s="77"/>
      <c r="U36" s="77"/>
    </row>
    <row r="37" spans="9:21" ht="15" x14ac:dyDescent="0.3">
      <c r="I37" s="2" t="s">
        <v>208</v>
      </c>
      <c r="J37" s="2">
        <f>B4</f>
        <v>2000</v>
      </c>
      <c r="K37" s="2" t="s">
        <v>6</v>
      </c>
      <c r="L37" s="2">
        <f>C4</f>
        <v>177767.80839604812</v>
      </c>
      <c r="M37" s="2" t="s">
        <v>262</v>
      </c>
      <c r="N37" s="2">
        <f>C4/A4/Arkusz1!$C$110^5/(Arkusz1!$C$10/60)^3</f>
        <v>0.10537508041448762</v>
      </c>
      <c r="O37" s="2"/>
      <c r="P37" s="75" t="s">
        <v>208</v>
      </c>
      <c r="Q37" s="75">
        <f>B9</f>
        <v>7000</v>
      </c>
      <c r="R37" s="75" t="s">
        <v>6</v>
      </c>
      <c r="S37" s="75">
        <f>C9</f>
        <v>91467.618563569733</v>
      </c>
      <c r="T37" s="75" t="s">
        <v>262</v>
      </c>
      <c r="U37" s="75">
        <f>C9/A9/Arkusz1!$C$110^5/(Arkusz1!$C$10/60)^3</f>
        <v>9.2611301633604148E-2</v>
      </c>
    </row>
    <row r="38" spans="9:21" ht="15" x14ac:dyDescent="0.3">
      <c r="I38" s="2" t="s">
        <v>263</v>
      </c>
      <c r="J38" s="2" t="s">
        <v>264</v>
      </c>
      <c r="K38" s="2" t="s">
        <v>242</v>
      </c>
      <c r="L38" s="2" t="s">
        <v>265</v>
      </c>
      <c r="M38" s="2" t="s">
        <v>266</v>
      </c>
      <c r="N38" s="2" t="s">
        <v>267</v>
      </c>
      <c r="O38" s="2"/>
      <c r="P38" s="75" t="s">
        <v>263</v>
      </c>
      <c r="Q38" s="75" t="s">
        <v>264</v>
      </c>
      <c r="R38" s="75" t="s">
        <v>242</v>
      </c>
      <c r="S38" s="75" t="s">
        <v>265</v>
      </c>
      <c r="T38" s="75" t="s">
        <v>266</v>
      </c>
      <c r="U38" s="75" t="s">
        <v>267</v>
      </c>
    </row>
    <row r="39" spans="9:21" ht="15" x14ac:dyDescent="0.3">
      <c r="I39" s="2">
        <v>1</v>
      </c>
      <c r="J39" s="2">
        <v>0</v>
      </c>
      <c r="K39" s="2">
        <f>J39/(Arkusz1!$C$10/60)/Arkusz1!$C$110</f>
        <v>0</v>
      </c>
      <c r="L39" s="2">
        <v>21.8</v>
      </c>
      <c r="M39" s="2">
        <v>0</v>
      </c>
      <c r="N39" s="2">
        <f t="shared" ref="N39:N46" si="4">$C$4*M39</f>
        <v>0</v>
      </c>
      <c r="O39" s="2"/>
      <c r="P39" s="75">
        <v>1</v>
      </c>
      <c r="Q39" s="75">
        <v>0</v>
      </c>
      <c r="R39" s="75">
        <f>Q39/(Arkusz1!$C$10/60)/Arkusz1!$C$110</f>
        <v>0</v>
      </c>
      <c r="S39" s="76">
        <v>20.5</v>
      </c>
      <c r="T39" s="76">
        <v>0</v>
      </c>
      <c r="U39" s="75">
        <f t="shared" ref="U39:U46" si="5">$C$9*T39</f>
        <v>0</v>
      </c>
    </row>
    <row r="40" spans="9:21" ht="15" x14ac:dyDescent="0.3">
      <c r="I40" s="2">
        <v>2</v>
      </c>
      <c r="J40" s="2">
        <v>20</v>
      </c>
      <c r="K40" s="2">
        <f>J40/(Arkusz1!$C$10/60)/Arkusz1!$C$110</f>
        <v>0.25299145299145298</v>
      </c>
      <c r="L40" s="2">
        <v>22.3</v>
      </c>
      <c r="M40" s="2">
        <v>0.34699999999999998</v>
      </c>
      <c r="N40" s="2">
        <f t="shared" si="4"/>
        <v>61685.429513428695</v>
      </c>
      <c r="O40" s="2"/>
      <c r="P40" s="75">
        <v>2</v>
      </c>
      <c r="Q40" s="75">
        <v>20</v>
      </c>
      <c r="R40" s="75">
        <f>Q40/(Arkusz1!$C$10/60)/Arkusz1!$C$110</f>
        <v>0.25299145299145298</v>
      </c>
      <c r="S40" s="76">
        <v>21</v>
      </c>
      <c r="T40" s="76">
        <v>0.36699999999999999</v>
      </c>
      <c r="U40" s="75">
        <f t="shared" si="5"/>
        <v>33568.616012830091</v>
      </c>
    </row>
    <row r="41" spans="9:21" ht="15" x14ac:dyDescent="0.3">
      <c r="I41" s="2">
        <v>3</v>
      </c>
      <c r="J41" s="2">
        <v>40</v>
      </c>
      <c r="K41" s="2">
        <f>J41/(Arkusz1!$C$10/60)/Arkusz1!$C$110</f>
        <v>0.50598290598290596</v>
      </c>
      <c r="L41" s="2">
        <v>23.2</v>
      </c>
      <c r="M41" s="2">
        <v>0.59699999999999998</v>
      </c>
      <c r="N41" s="2">
        <f t="shared" si="4"/>
        <v>106127.38161244072</v>
      </c>
      <c r="O41" s="2"/>
      <c r="P41" s="75">
        <v>3</v>
      </c>
      <c r="Q41" s="75">
        <v>40</v>
      </c>
      <c r="R41" s="75">
        <f>Q41/(Arkusz1!$C$10/60)/Arkusz1!$C$110</f>
        <v>0.50598290598290596</v>
      </c>
      <c r="S41" s="76">
        <v>21.5</v>
      </c>
      <c r="T41" s="76">
        <v>0.63100000000000001</v>
      </c>
      <c r="U41" s="75">
        <f t="shared" si="5"/>
        <v>57716.067313612504</v>
      </c>
    </row>
    <row r="42" spans="9:21" ht="15" x14ac:dyDescent="0.3">
      <c r="I42" s="2">
        <v>4</v>
      </c>
      <c r="J42" s="2">
        <v>60</v>
      </c>
      <c r="K42" s="2">
        <f>J42/(Arkusz1!$C$10/60)/Arkusz1!$C$110</f>
        <v>0.75897435897435905</v>
      </c>
      <c r="L42" s="2">
        <v>25</v>
      </c>
      <c r="M42" s="2">
        <v>0.76300000000000001</v>
      </c>
      <c r="N42" s="2">
        <f t="shared" si="4"/>
        <v>135636.83780618472</v>
      </c>
      <c r="O42" s="2"/>
      <c r="P42" s="75">
        <v>4</v>
      </c>
      <c r="Q42" s="75">
        <v>60</v>
      </c>
      <c r="R42" s="75">
        <f>Q42/(Arkusz1!$C$10/60)/Arkusz1!$C$110</f>
        <v>0.75897435897435905</v>
      </c>
      <c r="S42" s="76">
        <v>23.7</v>
      </c>
      <c r="T42" s="76">
        <v>0.79400000000000004</v>
      </c>
      <c r="U42" s="75">
        <f t="shared" si="5"/>
        <v>72625.289139474378</v>
      </c>
    </row>
    <row r="43" spans="9:21" ht="15" x14ac:dyDescent="0.3">
      <c r="I43" s="2">
        <v>5</v>
      </c>
      <c r="J43" s="2">
        <v>80</v>
      </c>
      <c r="K43" s="2">
        <f>J43/(Arkusz1!$C$10/60)/Arkusz1!$C$110</f>
        <v>1.0119658119658119</v>
      </c>
      <c r="L43" s="2">
        <v>27.5</v>
      </c>
      <c r="M43" s="2">
        <v>0.82099999999999995</v>
      </c>
      <c r="N43" s="2">
        <f t="shared" si="4"/>
        <v>145947.37069315551</v>
      </c>
      <c r="O43" s="2"/>
      <c r="P43" s="75">
        <v>5</v>
      </c>
      <c r="Q43" s="75">
        <v>80</v>
      </c>
      <c r="R43" s="75">
        <f>Q43/(Arkusz1!$C$10/60)/Arkusz1!$C$110</f>
        <v>1.0119658119658119</v>
      </c>
      <c r="S43" s="76">
        <v>26.6</v>
      </c>
      <c r="T43" s="76">
        <v>0.83</v>
      </c>
      <c r="U43" s="75">
        <f t="shared" si="5"/>
        <v>75918.123407762876</v>
      </c>
    </row>
    <row r="44" spans="9:21" ht="15" x14ac:dyDescent="0.3">
      <c r="I44" s="2">
        <v>6</v>
      </c>
      <c r="J44" s="2">
        <v>100</v>
      </c>
      <c r="K44" s="2">
        <f>J44/(Arkusz1!$C$10/60)/Arkusz1!$C$110</f>
        <v>1.2649572649572651</v>
      </c>
      <c r="L44" s="2">
        <v>31.3</v>
      </c>
      <c r="M44" s="2">
        <v>0.85</v>
      </c>
      <c r="N44" s="2">
        <f t="shared" si="4"/>
        <v>151102.6371366409</v>
      </c>
      <c r="O44" s="2"/>
      <c r="P44" s="75">
        <v>6</v>
      </c>
      <c r="Q44" s="75">
        <v>100</v>
      </c>
      <c r="R44" s="75">
        <f>Q44/(Arkusz1!$C$10/60)/Arkusz1!$C$110</f>
        <v>1.2649572649572651</v>
      </c>
      <c r="S44" s="76">
        <v>30.4</v>
      </c>
      <c r="T44" s="76">
        <v>0.85499999999999998</v>
      </c>
      <c r="U44" s="75">
        <f t="shared" si="5"/>
        <v>78204.813871852122</v>
      </c>
    </row>
    <row r="45" spans="9:21" ht="15" x14ac:dyDescent="0.3">
      <c r="I45" s="2">
        <v>7</v>
      </c>
      <c r="J45" s="2">
        <v>120</v>
      </c>
      <c r="K45" s="2">
        <f>J45/(Arkusz1!$C$10/60)/Arkusz1!$C$110</f>
        <v>1.5179487179487181</v>
      </c>
      <c r="L45" s="2">
        <v>34.799999999999997</v>
      </c>
      <c r="M45" s="2">
        <v>0.83499999999999996</v>
      </c>
      <c r="N45" s="2">
        <f t="shared" si="4"/>
        <v>148436.12001070016</v>
      </c>
      <c r="O45" s="2"/>
      <c r="P45" s="75">
        <v>7</v>
      </c>
      <c r="Q45" s="75">
        <v>120</v>
      </c>
      <c r="R45" s="75">
        <f>Q45/(Arkusz1!$C$10/60)/Arkusz1!$C$110</f>
        <v>1.5179487179487181</v>
      </c>
      <c r="S45" s="76">
        <v>34</v>
      </c>
      <c r="T45" s="76">
        <v>0.79200000000000004</v>
      </c>
      <c r="U45" s="75">
        <f t="shared" si="5"/>
        <v>72442.353902347226</v>
      </c>
    </row>
    <row r="46" spans="9:21" ht="15" x14ac:dyDescent="0.3">
      <c r="I46" s="2">
        <v>8</v>
      </c>
      <c r="J46" s="2">
        <v>140</v>
      </c>
      <c r="K46" s="2">
        <f>J46/(Arkusz1!$C$10/60)/Arkusz1!$C$110</f>
        <v>1.7709401709401711</v>
      </c>
      <c r="L46" s="2">
        <v>37.799999999999997</v>
      </c>
      <c r="M46" s="2">
        <v>0.80100000000000005</v>
      </c>
      <c r="N46" s="2">
        <f t="shared" si="4"/>
        <v>142392.01452523455</v>
      </c>
      <c r="O46" s="2"/>
      <c r="P46" s="75">
        <v>8</v>
      </c>
      <c r="Q46" s="75">
        <v>140</v>
      </c>
      <c r="R46" s="75">
        <f>Q46/(Arkusz1!$C$10/60)/Arkusz1!$C$110</f>
        <v>1.7709401709401711</v>
      </c>
      <c r="S46" s="76">
        <v>37</v>
      </c>
      <c r="T46" s="76">
        <v>0.76800000000000002</v>
      </c>
      <c r="U46" s="75">
        <f t="shared" si="5"/>
        <v>70247.131056821556</v>
      </c>
    </row>
    <row r="47" spans="9:21" ht="15" x14ac:dyDescent="0.3">
      <c r="I47" s="2"/>
      <c r="J47" s="2"/>
      <c r="K47" s="2"/>
      <c r="L47" s="2"/>
      <c r="M47" s="2"/>
      <c r="N47" s="2"/>
      <c r="O47" s="2"/>
      <c r="P47" s="77"/>
      <c r="Q47" s="77"/>
      <c r="R47" s="77"/>
      <c r="S47" s="77"/>
      <c r="T47" s="77"/>
      <c r="U47" s="77"/>
    </row>
    <row r="48" spans="9:21" ht="15" x14ac:dyDescent="0.3">
      <c r="I48" s="2" t="s">
        <v>208</v>
      </c>
      <c r="J48" s="2">
        <f>B5</f>
        <v>3000</v>
      </c>
      <c r="K48" s="2" t="s">
        <v>6</v>
      </c>
      <c r="L48" s="2">
        <f>C5</f>
        <v>157614.0710779753</v>
      </c>
      <c r="M48" s="2" t="s">
        <v>262</v>
      </c>
      <c r="N48" s="2">
        <f>C5/A5/Arkusz1!$C$110^5/(Arkusz1!$C$10/60)^3</f>
        <v>0.10344296760631687</v>
      </c>
      <c r="O48" s="2"/>
      <c r="P48" s="75" t="s">
        <v>208</v>
      </c>
      <c r="Q48" s="75">
        <f>B10</f>
        <v>8000</v>
      </c>
      <c r="R48" s="75" t="s">
        <v>6</v>
      </c>
      <c r="S48" s="75">
        <f>C10</f>
        <v>78156.081963805351</v>
      </c>
      <c r="T48" s="75" t="s">
        <v>262</v>
      </c>
      <c r="U48" s="75">
        <f>C10/A10/Arkusz1!$C$110^5/(Arkusz1!$C$10/60)^3</f>
        <v>8.8836121182568617E-2</v>
      </c>
    </row>
    <row r="49" spans="9:21" ht="15" x14ac:dyDescent="0.3">
      <c r="I49" s="2" t="s">
        <v>263</v>
      </c>
      <c r="J49" s="2" t="s">
        <v>264</v>
      </c>
      <c r="K49" s="2" t="s">
        <v>242</v>
      </c>
      <c r="L49" s="2" t="s">
        <v>265</v>
      </c>
      <c r="M49" s="2" t="s">
        <v>266</v>
      </c>
      <c r="N49" s="2" t="s">
        <v>267</v>
      </c>
      <c r="O49" s="2"/>
      <c r="P49" s="75" t="s">
        <v>263</v>
      </c>
      <c r="Q49" s="75" t="s">
        <v>264</v>
      </c>
      <c r="R49" s="75" t="s">
        <v>242</v>
      </c>
      <c r="S49" s="75" t="s">
        <v>265</v>
      </c>
      <c r="T49" s="75" t="s">
        <v>266</v>
      </c>
      <c r="U49" s="75" t="s">
        <v>267</v>
      </c>
    </row>
    <row r="50" spans="9:21" ht="15" x14ac:dyDescent="0.3">
      <c r="I50" s="2">
        <v>1</v>
      </c>
      <c r="J50" s="2">
        <v>0</v>
      </c>
      <c r="K50" s="2">
        <f>J50/(Arkusz1!$C$10/60)/Arkusz1!$C$110</f>
        <v>0</v>
      </c>
      <c r="L50" s="2">
        <v>21.7</v>
      </c>
      <c r="M50" s="2">
        <v>0</v>
      </c>
      <c r="N50" s="2">
        <f t="shared" ref="N50:N57" si="6">$C$5*M50</f>
        <v>0</v>
      </c>
      <c r="O50" s="2"/>
      <c r="P50" s="75">
        <v>1</v>
      </c>
      <c r="Q50" s="75">
        <v>0</v>
      </c>
      <c r="R50" s="75">
        <f>Q50/(Arkusz1!$C$10/60)/Arkusz1!$C$110</f>
        <v>0</v>
      </c>
      <c r="S50" s="76">
        <v>20</v>
      </c>
      <c r="T50" s="76">
        <v>0</v>
      </c>
      <c r="U50" s="75">
        <f t="shared" ref="U50:U57" si="7">$C$10*T50</f>
        <v>0</v>
      </c>
    </row>
    <row r="51" spans="9:21" ht="15" x14ac:dyDescent="0.3">
      <c r="I51" s="2">
        <v>2</v>
      </c>
      <c r="J51" s="2">
        <v>20</v>
      </c>
      <c r="K51" s="2">
        <f>J51/(Arkusz1!$C$10/60)/Arkusz1!$C$110</f>
        <v>0.25299145299145298</v>
      </c>
      <c r="L51" s="2">
        <v>22.2</v>
      </c>
      <c r="M51" s="2">
        <v>0.35</v>
      </c>
      <c r="N51" s="2">
        <f t="shared" si="6"/>
        <v>55164.924877291349</v>
      </c>
      <c r="O51" s="2"/>
      <c r="P51" s="75">
        <v>2</v>
      </c>
      <c r="Q51" s="75">
        <v>20</v>
      </c>
      <c r="R51" s="75">
        <f>Q51/(Arkusz1!$C$10/60)/Arkusz1!$C$110</f>
        <v>0.25299145299145298</v>
      </c>
      <c r="S51" s="76">
        <v>20.5</v>
      </c>
      <c r="T51" s="76">
        <v>0.373</v>
      </c>
      <c r="U51" s="75">
        <f t="shared" si="7"/>
        <v>29152.218572499394</v>
      </c>
    </row>
    <row r="52" spans="9:21" ht="15" x14ac:dyDescent="0.3">
      <c r="I52" s="2">
        <v>3</v>
      </c>
      <c r="J52" s="2">
        <v>40</v>
      </c>
      <c r="K52" s="2">
        <f>J52/(Arkusz1!$C$10/60)/Arkusz1!$C$110</f>
        <v>0.50598290598290596</v>
      </c>
      <c r="L52" s="2">
        <v>23</v>
      </c>
      <c r="M52" s="2">
        <v>0.60399999999999998</v>
      </c>
      <c r="N52" s="2">
        <f t="shared" si="6"/>
        <v>95198.898931097079</v>
      </c>
      <c r="O52" s="2"/>
      <c r="P52" s="75">
        <v>3</v>
      </c>
      <c r="Q52" s="75">
        <v>40</v>
      </c>
      <c r="R52" s="75">
        <f>Q52/(Arkusz1!$C$10/60)/Arkusz1!$C$110</f>
        <v>0.50598290598290596</v>
      </c>
      <c r="S52" s="76">
        <v>21</v>
      </c>
      <c r="T52" s="76">
        <v>0.64</v>
      </c>
      <c r="U52" s="75">
        <f t="shared" si="7"/>
        <v>50019.892456835427</v>
      </c>
    </row>
    <row r="53" spans="9:21" ht="15" x14ac:dyDescent="0.3">
      <c r="I53" s="2">
        <v>4</v>
      </c>
      <c r="J53" s="2">
        <v>60</v>
      </c>
      <c r="K53" s="2">
        <f>J53/(Arkusz1!$C$10/60)/Arkusz1!$C$110</f>
        <v>0.75897435897435905</v>
      </c>
      <c r="L53" s="2">
        <v>24.8</v>
      </c>
      <c r="M53" s="2">
        <v>0.76700000000000002</v>
      </c>
      <c r="N53" s="2">
        <f t="shared" si="6"/>
        <v>120889.99251680706</v>
      </c>
      <c r="O53" s="2"/>
      <c r="P53" s="75">
        <v>4</v>
      </c>
      <c r="Q53" s="75">
        <v>60</v>
      </c>
      <c r="R53" s="75">
        <f>Q53/(Arkusz1!$C$10/60)/Arkusz1!$C$110</f>
        <v>0.75897435897435905</v>
      </c>
      <c r="S53" s="76">
        <v>23.5</v>
      </c>
      <c r="T53" s="76">
        <v>0.80500000000000005</v>
      </c>
      <c r="U53" s="75">
        <f t="shared" si="7"/>
        <v>62915.645980863308</v>
      </c>
    </row>
    <row r="54" spans="9:21" ht="15" x14ac:dyDescent="0.3">
      <c r="I54" s="2">
        <v>5</v>
      </c>
      <c r="J54" s="2">
        <v>80</v>
      </c>
      <c r="K54" s="2">
        <f>J54/(Arkusz1!$C$10/60)/Arkusz1!$C$110</f>
        <v>1.0119658119658119</v>
      </c>
      <c r="L54" s="2">
        <v>27.3</v>
      </c>
      <c r="M54" s="2">
        <v>0.82299999999999995</v>
      </c>
      <c r="N54" s="2">
        <f t="shared" si="6"/>
        <v>129716.38049717367</v>
      </c>
      <c r="O54" s="2"/>
      <c r="P54" s="75">
        <v>5</v>
      </c>
      <c r="Q54" s="75">
        <v>80</v>
      </c>
      <c r="R54" s="75">
        <f>Q54/(Arkusz1!$C$10/60)/Arkusz1!$C$110</f>
        <v>1.0119658119658119</v>
      </c>
      <c r="S54" s="76">
        <v>26.4</v>
      </c>
      <c r="T54" s="76">
        <v>0.83099999999999996</v>
      </c>
      <c r="U54" s="75">
        <f t="shared" si="7"/>
        <v>64947.704111922241</v>
      </c>
    </row>
    <row r="55" spans="9:21" ht="15" x14ac:dyDescent="0.3">
      <c r="I55" s="2">
        <v>6</v>
      </c>
      <c r="J55" s="2">
        <v>100</v>
      </c>
      <c r="K55" s="2">
        <f>J55/(Arkusz1!$C$10/60)/Arkusz1!$C$110</f>
        <v>1.2649572649572651</v>
      </c>
      <c r="L55" s="2">
        <v>31.2</v>
      </c>
      <c r="M55" s="2">
        <v>0.85099999999999998</v>
      </c>
      <c r="N55" s="2">
        <f t="shared" si="6"/>
        <v>134129.57448735696</v>
      </c>
      <c r="O55" s="2"/>
      <c r="P55" s="75">
        <v>6</v>
      </c>
      <c r="Q55" s="75">
        <v>100</v>
      </c>
      <c r="R55" s="75">
        <f>Q55/(Arkusz1!$C$10/60)/Arkusz1!$C$110</f>
        <v>1.2649572649572651</v>
      </c>
      <c r="S55" s="76">
        <v>30</v>
      </c>
      <c r="T55" s="76">
        <v>0.85599999999999998</v>
      </c>
      <c r="U55" s="75">
        <f t="shared" si="7"/>
        <v>66901.606161017378</v>
      </c>
    </row>
    <row r="56" spans="9:21" ht="15" x14ac:dyDescent="0.3">
      <c r="I56" s="2">
        <v>7</v>
      </c>
      <c r="J56" s="2">
        <v>120</v>
      </c>
      <c r="K56" s="2">
        <f>J56/(Arkusz1!$C$10/60)/Arkusz1!$C$110</f>
        <v>1.5179487179487181</v>
      </c>
      <c r="L56" s="2">
        <v>34.700000000000003</v>
      </c>
      <c r="M56" s="2">
        <v>0.83199999999999996</v>
      </c>
      <c r="N56" s="2">
        <f t="shared" si="6"/>
        <v>131134.90713687544</v>
      </c>
      <c r="O56" s="2"/>
      <c r="P56" s="75">
        <v>7</v>
      </c>
      <c r="Q56" s="75">
        <v>120</v>
      </c>
      <c r="R56" s="75">
        <f>Q56/(Arkusz1!$C$10/60)/Arkusz1!$C$110</f>
        <v>1.5179487179487181</v>
      </c>
      <c r="S56" s="76">
        <v>33.5</v>
      </c>
      <c r="T56" s="76">
        <v>0.78100000000000003</v>
      </c>
      <c r="U56" s="75">
        <f t="shared" si="7"/>
        <v>61039.900013731982</v>
      </c>
    </row>
    <row r="57" spans="9:21" ht="15" x14ac:dyDescent="0.3">
      <c r="I57" s="2">
        <v>8</v>
      </c>
      <c r="J57" s="2">
        <v>140</v>
      </c>
      <c r="K57" s="2">
        <f>J57/(Arkusz1!$C$10/60)/Arkusz1!$C$110</f>
        <v>1.7709401709401711</v>
      </c>
      <c r="L57" s="2">
        <v>37.700000000000003</v>
      </c>
      <c r="M57" s="2">
        <v>0.79500000000000004</v>
      </c>
      <c r="N57" s="2">
        <f t="shared" si="6"/>
        <v>125303.18650699037</v>
      </c>
      <c r="O57" s="2"/>
      <c r="P57" s="75">
        <v>8</v>
      </c>
      <c r="Q57" s="75">
        <v>140</v>
      </c>
      <c r="R57" s="75">
        <f>Q57/(Arkusz1!$C$10/60)/Arkusz1!$C$110</f>
        <v>1.7709401709401711</v>
      </c>
      <c r="S57" s="76">
        <v>36.799999999999997</v>
      </c>
      <c r="T57" s="76">
        <v>0.76100000000000001</v>
      </c>
      <c r="U57" s="75">
        <f t="shared" si="7"/>
        <v>59476.778374455869</v>
      </c>
    </row>
    <row r="58" spans="9:21" ht="15" x14ac:dyDescent="0.3">
      <c r="I58" s="2"/>
      <c r="J58" s="2"/>
      <c r="K58" s="2"/>
      <c r="L58" s="2"/>
      <c r="M58" s="2"/>
      <c r="N58" s="2"/>
      <c r="O58" s="2"/>
    </row>
    <row r="59" spans="9:21" ht="15" x14ac:dyDescent="0.3">
      <c r="I59" s="2" t="s">
        <v>208</v>
      </c>
      <c r="J59" s="2">
        <f>B6</f>
        <v>4000</v>
      </c>
      <c r="K59" s="2" t="s">
        <v>6</v>
      </c>
      <c r="L59" s="2">
        <f>C6</f>
        <v>138988.10166237774</v>
      </c>
      <c r="M59" s="2" t="s">
        <v>262</v>
      </c>
      <c r="N59" s="2">
        <f>C6/A6/Arkusz1!$C$110^5/(Arkusz1!$C$10/60)^3</f>
        <v>0.10124853575398192</v>
      </c>
      <c r="O59" s="2"/>
      <c r="P59" s="2"/>
      <c r="Q59" s="2"/>
      <c r="R59" s="2"/>
      <c r="S59" s="2"/>
      <c r="T59" s="2"/>
      <c r="U59" s="2"/>
    </row>
    <row r="60" spans="9:21" ht="15" x14ac:dyDescent="0.3">
      <c r="I60" s="2" t="s">
        <v>263</v>
      </c>
      <c r="J60" s="2" t="s">
        <v>264</v>
      </c>
      <c r="K60" s="2" t="s">
        <v>242</v>
      </c>
      <c r="L60" s="2" t="s">
        <v>265</v>
      </c>
      <c r="M60" s="2" t="s">
        <v>266</v>
      </c>
      <c r="N60" s="2" t="s">
        <v>267</v>
      </c>
      <c r="O60" s="2"/>
      <c r="P60" s="2"/>
      <c r="Q60" s="2"/>
      <c r="R60" s="2"/>
      <c r="S60" s="2"/>
      <c r="T60" s="2"/>
      <c r="U60" s="2"/>
    </row>
    <row r="61" spans="9:21" ht="15" x14ac:dyDescent="0.3">
      <c r="I61" s="2">
        <v>1</v>
      </c>
      <c r="J61" s="2">
        <v>0</v>
      </c>
      <c r="K61" s="2">
        <f>J61/(Arkusz1!$C$10/60)/Arkusz1!$C$110</f>
        <v>0</v>
      </c>
      <c r="L61" s="2">
        <v>21.6</v>
      </c>
      <c r="M61" s="2">
        <v>0</v>
      </c>
      <c r="N61" s="2">
        <f t="shared" ref="N61:N68" si="8">$C$6*M61</f>
        <v>0</v>
      </c>
      <c r="O61" s="2"/>
      <c r="P61" s="2"/>
      <c r="Q61" s="2"/>
      <c r="R61" s="2"/>
      <c r="S61" s="2"/>
      <c r="T61" s="2"/>
      <c r="U61" s="2"/>
    </row>
    <row r="62" spans="9:21" ht="15" x14ac:dyDescent="0.3">
      <c r="I62" s="2">
        <v>2</v>
      </c>
      <c r="J62" s="2">
        <v>20</v>
      </c>
      <c r="K62" s="2">
        <f>J62/(Arkusz1!$C$10/60)/Arkusz1!$C$110</f>
        <v>0.25299145299145298</v>
      </c>
      <c r="L62" s="2">
        <v>22.1</v>
      </c>
      <c r="M62" s="2">
        <v>0.35499999999999998</v>
      </c>
      <c r="N62" s="2">
        <f t="shared" si="8"/>
        <v>49340.776090144092</v>
      </c>
      <c r="O62" s="2"/>
      <c r="P62" s="2"/>
      <c r="Q62" s="2"/>
      <c r="R62" s="2"/>
      <c r="S62" s="2"/>
      <c r="T62" s="2"/>
      <c r="U62" s="2"/>
    </row>
    <row r="63" spans="9:21" ht="15" x14ac:dyDescent="0.3">
      <c r="I63" s="2">
        <v>3</v>
      </c>
      <c r="J63" s="2">
        <v>40</v>
      </c>
      <c r="K63" s="2">
        <f>J63/(Arkusz1!$C$10/60)/Arkusz1!$C$110</f>
        <v>0.50598290598290596</v>
      </c>
      <c r="L63" s="2">
        <v>22.8</v>
      </c>
      <c r="M63" s="2">
        <v>0.61</v>
      </c>
      <c r="N63" s="2">
        <f t="shared" si="8"/>
        <v>84782.742014050425</v>
      </c>
      <c r="O63" s="2"/>
      <c r="P63" s="2"/>
      <c r="Q63" s="2"/>
      <c r="R63" s="2"/>
      <c r="S63" s="2"/>
      <c r="T63" s="2"/>
      <c r="U63" s="2"/>
    </row>
    <row r="64" spans="9:21" ht="15" x14ac:dyDescent="0.3">
      <c r="I64" s="2">
        <v>4</v>
      </c>
      <c r="J64" s="2">
        <v>60</v>
      </c>
      <c r="K64" s="2">
        <f>J64/(Arkusz1!$C$10/60)/Arkusz1!$C$110</f>
        <v>0.75897435897435905</v>
      </c>
      <c r="L64" s="2">
        <v>24.6</v>
      </c>
      <c r="M64" s="2">
        <v>0.77400000000000002</v>
      </c>
      <c r="N64" s="2">
        <f t="shared" si="8"/>
        <v>107576.79068668037</v>
      </c>
      <c r="O64" s="2"/>
      <c r="P64" s="2"/>
      <c r="Q64" s="2"/>
      <c r="R64" s="2"/>
      <c r="S64" s="2"/>
      <c r="T64" s="2"/>
      <c r="U64" s="2"/>
    </row>
    <row r="65" spans="9:21" ht="15" x14ac:dyDescent="0.3">
      <c r="I65" s="2">
        <v>5</v>
      </c>
      <c r="J65" s="2">
        <v>80</v>
      </c>
      <c r="K65" s="2">
        <f>J65/(Arkusz1!$C$10/60)/Arkusz1!$C$110</f>
        <v>1.0119658119658119</v>
      </c>
      <c r="L65" s="2">
        <v>27.2</v>
      </c>
      <c r="M65" s="2">
        <v>0.82499999999999996</v>
      </c>
      <c r="N65" s="2">
        <f t="shared" si="8"/>
        <v>114665.18387146163</v>
      </c>
      <c r="O65" s="2"/>
      <c r="P65" s="2"/>
      <c r="Q65" s="2"/>
      <c r="R65" s="2"/>
      <c r="S65" s="2"/>
      <c r="T65" s="2"/>
      <c r="U65" s="2"/>
    </row>
    <row r="66" spans="9:21" ht="15" x14ac:dyDescent="0.3">
      <c r="I66" s="2">
        <v>6</v>
      </c>
      <c r="J66" s="2">
        <v>100</v>
      </c>
      <c r="K66" s="2">
        <f>J66/(Arkusz1!$C$10/60)/Arkusz1!$C$110</f>
        <v>1.2649572649572651</v>
      </c>
      <c r="L66" s="2">
        <v>31.1</v>
      </c>
      <c r="M66" s="2">
        <v>0.85199999999999998</v>
      </c>
      <c r="N66" s="2">
        <f t="shared" si="8"/>
        <v>118417.86261634582</v>
      </c>
      <c r="O66" s="2"/>
      <c r="P66" s="2"/>
      <c r="Q66" s="2"/>
      <c r="R66" s="2"/>
      <c r="S66" s="2"/>
      <c r="T66" s="2"/>
      <c r="U66" s="2"/>
    </row>
    <row r="67" spans="9:21" ht="15" x14ac:dyDescent="0.3">
      <c r="I67" s="2">
        <v>7</v>
      </c>
      <c r="J67" s="2">
        <v>120</v>
      </c>
      <c r="K67" s="2">
        <f>J67/(Arkusz1!$C$10/60)/Arkusz1!$C$110</f>
        <v>1.5179487179487181</v>
      </c>
      <c r="L67" s="2">
        <v>34.6</v>
      </c>
      <c r="M67" s="2">
        <v>0.82099999999999995</v>
      </c>
      <c r="N67" s="2">
        <f t="shared" si="8"/>
        <v>114109.23146481212</v>
      </c>
      <c r="O67" s="2"/>
      <c r="P67" s="2"/>
      <c r="Q67" s="2"/>
      <c r="R67" s="2"/>
      <c r="S67" s="2"/>
      <c r="T67" s="2"/>
      <c r="U67" s="2"/>
    </row>
    <row r="68" spans="9:21" ht="15" x14ac:dyDescent="0.3">
      <c r="I68" s="2">
        <v>8</v>
      </c>
      <c r="J68" s="2">
        <v>140</v>
      </c>
      <c r="K68" s="2">
        <f>J68/(Arkusz1!$C$10/60)/Arkusz1!$C$110</f>
        <v>1.7709401709401711</v>
      </c>
      <c r="L68" s="2">
        <v>37.6</v>
      </c>
      <c r="M68" s="2">
        <v>0.79200000000000004</v>
      </c>
      <c r="N68" s="2">
        <f t="shared" si="8"/>
        <v>110078.57651660318</v>
      </c>
      <c r="O68" s="2"/>
      <c r="P68" s="2"/>
      <c r="Q68" s="2"/>
      <c r="R68" s="2"/>
      <c r="S68" s="2"/>
      <c r="T68" s="2"/>
      <c r="U68" s="2"/>
    </row>
    <row r="75" spans="9:21" ht="15" x14ac:dyDescent="0.3">
      <c r="P75" s="2"/>
      <c r="Q75" s="2"/>
      <c r="R75" s="2"/>
      <c r="S75" s="2"/>
      <c r="T75" s="2"/>
      <c r="U75" s="2"/>
    </row>
    <row r="86" spans="16:21" ht="15" x14ac:dyDescent="0.3">
      <c r="P86" s="2"/>
      <c r="Q86" s="2"/>
      <c r="R86" s="2"/>
      <c r="S86" s="2"/>
      <c r="T86" s="2"/>
      <c r="U86" s="2"/>
    </row>
    <row r="97" spans="16:21" ht="15" x14ac:dyDescent="0.3">
      <c r="P97" s="2"/>
      <c r="Q97" s="2"/>
      <c r="R97" s="2"/>
      <c r="S97" s="2"/>
      <c r="T97" s="2"/>
      <c r="U9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Arkusz1</vt:lpstr>
      <vt:lpstr>projekty 2 i 3</vt:lpstr>
      <vt:lpstr>projekt 4</vt:lpstr>
      <vt:lpstr>projekt 5</vt:lpstr>
      <vt:lpstr>'projekty 2 i 3'!Cx_Cz</vt:lpstr>
      <vt:lpstr>'projekty 2 i 3'!Cz_a</vt:lpstr>
      <vt:lpstr>'projekty 2 i 3'!Cz_a_1</vt:lpstr>
      <vt:lpstr>'projekty 2 i 3'!Obszar_wydruku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Czajkowski Sebastian (STUD)</dc:creator>
  <cp:lastModifiedBy>Czajkowski Sebastian (STUD)</cp:lastModifiedBy>
  <cp:lastPrinted>2023-11-16T14:39:28Z</cp:lastPrinted>
  <dcterms:created xsi:type="dcterms:W3CDTF">2023-11-12T21:20:19Z</dcterms:created>
  <dcterms:modified xsi:type="dcterms:W3CDTF">2024-02-03T09:07:08Z</dcterms:modified>
</cp:coreProperties>
</file>