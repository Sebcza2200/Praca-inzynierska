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Desktop\OBRONA\praca\Praca\Iskra\"/>
    </mc:Choice>
  </mc:AlternateContent>
  <xr:revisionPtr revIDLastSave="0" documentId="13_ncr:1_{411D1DE8-F640-429C-9F53-963851825877}" xr6:coauthVersionLast="47" xr6:coauthVersionMax="47" xr10:uidLastSave="{00000000-0000-0000-0000-000000000000}"/>
  <bookViews>
    <workbookView xWindow="0" yWindow="0" windowWidth="11520" windowHeight="12360" activeTab="1" xr2:uid="{8149A5FC-CE87-43FF-B57A-8CB287CFCCD0}"/>
  </bookViews>
  <sheets>
    <sheet name="Arkusz1" sheetId="1" r:id="rId1"/>
    <sheet name="projekty 2 i 3" sheetId="2" r:id="rId2"/>
    <sheet name="projekt 4" sheetId="3" r:id="rId3"/>
    <sheet name="projekt 5" sheetId="4" r:id="rId4"/>
  </sheets>
  <definedNames>
    <definedName name="Cx_Cz" localSheetId="1">'projekty 2 i 3'!$E$2:$F$115</definedName>
    <definedName name="Cx_Cz_1" localSheetId="1">'projekty 2 i 3'!$C$3:$C$111</definedName>
    <definedName name="Cx_Cz_2" localSheetId="1">'projekty 2 i 3'!#REF!</definedName>
    <definedName name="Cx_Cz_3" localSheetId="1">'projekty 2 i 3'!#REF!</definedName>
    <definedName name="Cz_a" localSheetId="1">'projekty 2 i 3'!$A$3:$B$229</definedName>
    <definedName name="Cz_a_1" localSheetId="1">'projekty 2 i 3'!$F$3:$G$229</definedName>
    <definedName name="Cz_a_2" localSheetId="1">'projekty 2 i 3'!$A$3:$B$128</definedName>
    <definedName name="Cz_a_3" localSheetId="1">'projekty 2 i 3'!#REF!</definedName>
    <definedName name="_xlnm.Print_Area" localSheetId="1">'projekty 2 i 3'!$G$1:$V$38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/>
  <c r="H18" i="2"/>
  <c r="H19" i="2"/>
  <c r="H20" i="2"/>
  <c r="H21" i="2"/>
  <c r="H22" i="2"/>
  <c r="H23" i="2"/>
  <c r="H24" i="2"/>
  <c r="H25" i="2"/>
  <c r="H26" i="2"/>
  <c r="H27" i="2"/>
  <c r="G18" i="2"/>
  <c r="G19" i="2"/>
  <c r="G20" i="2"/>
  <c r="G21" i="2"/>
  <c r="G22" i="2"/>
  <c r="G23" i="2"/>
  <c r="G24" i="2"/>
  <c r="G25" i="2"/>
  <c r="G26" i="2"/>
  <c r="G27" i="2"/>
  <c r="A19" i="2"/>
  <c r="I19" i="2" s="1"/>
  <c r="W19" i="2" s="1"/>
  <c r="A20" i="2"/>
  <c r="D20" i="2" s="1"/>
  <c r="A21" i="2"/>
  <c r="I21" i="2" s="1"/>
  <c r="A22" i="2"/>
  <c r="I22" i="2" s="1"/>
  <c r="A23" i="2"/>
  <c r="A24" i="2"/>
  <c r="D24" i="2" s="1"/>
  <c r="A25" i="2"/>
  <c r="I25" i="2" s="1"/>
  <c r="A26" i="2"/>
  <c r="A27" i="2"/>
  <c r="A18" i="2"/>
  <c r="D18" i="2" s="1"/>
  <c r="D21" i="2"/>
  <c r="D23" i="2"/>
  <c r="D22" i="2"/>
  <c r="D19" i="2"/>
  <c r="K18" i="2"/>
  <c r="M18" i="2"/>
  <c r="O18" i="2"/>
  <c r="S18" i="2" s="1"/>
  <c r="T18" i="2" s="1"/>
  <c r="X18" i="2" s="1"/>
  <c r="Q18" i="2"/>
  <c r="K19" i="2"/>
  <c r="M19" i="2"/>
  <c r="O19" i="2"/>
  <c r="S19" i="2" s="1"/>
  <c r="T19" i="2" s="1"/>
  <c r="X19" i="2" s="1"/>
  <c r="Q19" i="2"/>
  <c r="K20" i="2"/>
  <c r="M20" i="2"/>
  <c r="O20" i="2"/>
  <c r="P20" i="2" s="1"/>
  <c r="Q20" i="2"/>
  <c r="K22" i="2"/>
  <c r="M22" i="2"/>
  <c r="O22" i="2"/>
  <c r="S22" i="2" s="1"/>
  <c r="T22" i="2" s="1"/>
  <c r="X22" i="2" s="1"/>
  <c r="Q22" i="2"/>
  <c r="C65" i="1"/>
  <c r="I20" i="2" l="1"/>
  <c r="W20" i="2" s="1"/>
  <c r="I18" i="2"/>
  <c r="W18" i="2" s="1"/>
  <c r="P18" i="2"/>
  <c r="I24" i="2"/>
  <c r="P22" i="2"/>
  <c r="L19" i="2"/>
  <c r="F19" i="2" s="1"/>
  <c r="L22" i="2"/>
  <c r="F22" i="2" s="1"/>
  <c r="P19" i="2"/>
  <c r="W22" i="2"/>
  <c r="L20" i="2"/>
  <c r="F20" i="2" s="1"/>
  <c r="S20" i="2"/>
  <c r="T20" i="2" s="1"/>
  <c r="X20" i="2" s="1"/>
  <c r="L18" i="2"/>
  <c r="F18" i="2" s="1"/>
  <c r="B1" i="4"/>
  <c r="E2" i="4"/>
  <c r="F2" i="4"/>
  <c r="G2" i="4"/>
  <c r="H2" i="4"/>
  <c r="I2" i="4"/>
  <c r="C2" i="4"/>
  <c r="D2" i="4"/>
  <c r="B2" i="4"/>
  <c r="C86" i="1"/>
  <c r="C88" i="1" s="1"/>
  <c r="C81" i="1"/>
  <c r="C72" i="1"/>
  <c r="C70" i="1"/>
  <c r="C74" i="1"/>
  <c r="C59" i="1"/>
  <c r="C55" i="1"/>
  <c r="C57" i="1" s="1"/>
  <c r="D34" i="2"/>
  <c r="D3" i="2"/>
  <c r="G4" i="2"/>
  <c r="I4" i="2"/>
  <c r="W4" i="2" s="1"/>
  <c r="G5" i="2"/>
  <c r="I5" i="2"/>
  <c r="W5" i="2" s="1"/>
  <c r="G6" i="2"/>
  <c r="I6" i="2"/>
  <c r="W6" i="2" s="1"/>
  <c r="G7" i="2"/>
  <c r="I7" i="2"/>
  <c r="W7" i="2" s="1"/>
  <c r="G8" i="2"/>
  <c r="H8" i="2"/>
  <c r="I8" i="2"/>
  <c r="W8" i="2" s="1"/>
  <c r="G9" i="2"/>
  <c r="H9" i="2"/>
  <c r="I9" i="2"/>
  <c r="W9" i="2" s="1"/>
  <c r="G10" i="2"/>
  <c r="H10" i="2"/>
  <c r="I10" i="2"/>
  <c r="W10" i="2" s="1"/>
  <c r="G11" i="2"/>
  <c r="H11" i="2"/>
  <c r="I11" i="2"/>
  <c r="W11" i="2" s="1"/>
  <c r="G12" i="2"/>
  <c r="H12" i="2"/>
  <c r="I12" i="2"/>
  <c r="W12" i="2" s="1"/>
  <c r="G13" i="2"/>
  <c r="H13" i="2"/>
  <c r="I13" i="2"/>
  <c r="W13" i="2" s="1"/>
  <c r="G14" i="2"/>
  <c r="H14" i="2"/>
  <c r="I14" i="2"/>
  <c r="W14" i="2" s="1"/>
  <c r="G15" i="2"/>
  <c r="H15" i="2"/>
  <c r="I15" i="2"/>
  <c r="W15" i="2" s="1"/>
  <c r="G16" i="2"/>
  <c r="H16" i="2"/>
  <c r="I16" i="2"/>
  <c r="W16" i="2" s="1"/>
  <c r="G17" i="2"/>
  <c r="H17" i="2"/>
  <c r="I17" i="2"/>
  <c r="W17" i="2" s="1"/>
  <c r="W23" i="2"/>
  <c r="W24" i="2"/>
  <c r="C37" i="1"/>
  <c r="W25" i="2"/>
  <c r="I26" i="2"/>
  <c r="W26" i="2" s="1"/>
  <c r="I27" i="2"/>
  <c r="W27" i="2" s="1"/>
  <c r="G28" i="2"/>
  <c r="H28" i="2"/>
  <c r="I28" i="2"/>
  <c r="W28" i="2" s="1"/>
  <c r="G29" i="2"/>
  <c r="H29" i="2"/>
  <c r="I29" i="2"/>
  <c r="W29" i="2" s="1"/>
  <c r="G30" i="2"/>
  <c r="H30" i="2"/>
  <c r="I30" i="2"/>
  <c r="W30" i="2" s="1"/>
  <c r="G31" i="2"/>
  <c r="H31" i="2"/>
  <c r="I31" i="2"/>
  <c r="W31" i="2" s="1"/>
  <c r="G32" i="2"/>
  <c r="H32" i="2"/>
  <c r="I32" i="2"/>
  <c r="W32" i="2" s="1"/>
  <c r="G33" i="2"/>
  <c r="H33" i="2"/>
  <c r="I33" i="2"/>
  <c r="W33" i="2" s="1"/>
  <c r="G34" i="2"/>
  <c r="H34" i="2"/>
  <c r="I34" i="2"/>
  <c r="W34" i="2" s="1"/>
  <c r="G35" i="2"/>
  <c r="H35" i="2"/>
  <c r="I35" i="2"/>
  <c r="W35" i="2" s="1"/>
  <c r="G36" i="2"/>
  <c r="H36" i="2"/>
  <c r="I36" i="2"/>
  <c r="W36" i="2" s="1"/>
  <c r="G37" i="2"/>
  <c r="H37" i="2"/>
  <c r="I37" i="2"/>
  <c r="W37" i="2" s="1"/>
  <c r="I3" i="2"/>
  <c r="W3" i="2" s="1"/>
  <c r="G3" i="2"/>
  <c r="C4" i="2"/>
  <c r="H4" i="2" s="1"/>
  <c r="C5" i="2"/>
  <c r="H5" i="2" s="1"/>
  <c r="C3" i="2"/>
  <c r="H3" i="2" s="1"/>
  <c r="C39" i="2"/>
  <c r="C40" i="2"/>
  <c r="C38" i="2"/>
  <c r="C7" i="2"/>
  <c r="H7" i="2" s="1"/>
  <c r="C6" i="2"/>
  <c r="H6" i="2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25" i="2"/>
  <c r="D26" i="2"/>
  <c r="D27" i="2"/>
  <c r="D28" i="2"/>
  <c r="D29" i="2"/>
  <c r="D30" i="2"/>
  <c r="D31" i="2"/>
  <c r="D32" i="2"/>
  <c r="D33" i="2"/>
  <c r="D35" i="2"/>
  <c r="D36" i="2"/>
  <c r="D37" i="2"/>
  <c r="D38" i="2"/>
  <c r="D39" i="2"/>
  <c r="D40" i="2"/>
  <c r="C27" i="1"/>
  <c r="C21" i="1"/>
  <c r="C14" i="1"/>
  <c r="C102" i="1" s="1"/>
  <c r="O4" i="3" s="1"/>
  <c r="C64" i="1"/>
  <c r="C66" i="1" s="1"/>
  <c r="M1" i="3"/>
  <c r="J36" i="3" s="1"/>
  <c r="C101" i="1"/>
  <c r="C99" i="1"/>
  <c r="C100" i="1" s="1"/>
  <c r="K1" i="3" s="1"/>
  <c r="G36" i="3" s="1"/>
  <c r="C95" i="1"/>
  <c r="C83" i="1"/>
  <c r="C82" i="1"/>
  <c r="C30" i="1"/>
  <c r="C29" i="1"/>
  <c r="C23" i="1"/>
  <c r="C43" i="1" s="1"/>
  <c r="C22" i="1"/>
  <c r="W21" i="2" l="1"/>
  <c r="M21" i="2"/>
  <c r="O21" i="2"/>
  <c r="Q21" i="2"/>
  <c r="K21" i="2"/>
  <c r="L21" i="2" s="1"/>
  <c r="F21" i="2" s="1"/>
  <c r="H13" i="4"/>
  <c r="G6" i="4"/>
  <c r="B5" i="4"/>
  <c r="H5" i="4"/>
  <c r="H15" i="4"/>
  <c r="H14" i="4"/>
  <c r="G13" i="4"/>
  <c r="G12" i="4"/>
  <c r="G11" i="4"/>
  <c r="G10" i="4"/>
  <c r="G9" i="4"/>
  <c r="F8" i="4"/>
  <c r="F7" i="4"/>
  <c r="F6" i="4"/>
  <c r="G8" i="4"/>
  <c r="G5" i="4"/>
  <c r="G15" i="4"/>
  <c r="G14" i="4"/>
  <c r="F13" i="4"/>
  <c r="F12" i="4"/>
  <c r="F11" i="4"/>
  <c r="F10" i="4"/>
  <c r="F9" i="4"/>
  <c r="E8" i="4"/>
  <c r="E7" i="4"/>
  <c r="E6" i="4"/>
  <c r="H9" i="4"/>
  <c r="F5" i="4"/>
  <c r="F15" i="4"/>
  <c r="F14" i="4"/>
  <c r="E13" i="4"/>
  <c r="E12" i="4"/>
  <c r="E11" i="4"/>
  <c r="E10" i="4"/>
  <c r="D9" i="4"/>
  <c r="D8" i="4"/>
  <c r="D7" i="4"/>
  <c r="D6" i="4"/>
  <c r="I14" i="4"/>
  <c r="H10" i="4"/>
  <c r="E5" i="4"/>
  <c r="E15" i="4"/>
  <c r="E14" i="4"/>
  <c r="D13" i="4"/>
  <c r="D12" i="4"/>
  <c r="D11" i="4"/>
  <c r="D10" i="4"/>
  <c r="C9" i="4"/>
  <c r="C8" i="4"/>
  <c r="C7" i="4"/>
  <c r="C6" i="4"/>
  <c r="G7" i="4"/>
  <c r="D5" i="4"/>
  <c r="D15" i="4"/>
  <c r="D14" i="4"/>
  <c r="C13" i="4"/>
  <c r="C12" i="4"/>
  <c r="C11" i="4"/>
  <c r="C10" i="4"/>
  <c r="B9" i="4"/>
  <c r="B8" i="4"/>
  <c r="B7" i="4"/>
  <c r="B6" i="4"/>
  <c r="I13" i="4"/>
  <c r="H12" i="4"/>
  <c r="C5" i="4"/>
  <c r="C15" i="4"/>
  <c r="C14" i="4"/>
  <c r="B13" i="4"/>
  <c r="B12" i="4"/>
  <c r="B11" i="4"/>
  <c r="B10" i="4"/>
  <c r="I8" i="4"/>
  <c r="I7" i="4"/>
  <c r="I6" i="4"/>
  <c r="E9" i="4"/>
  <c r="I15" i="4"/>
  <c r="H11" i="4"/>
  <c r="I5" i="4"/>
  <c r="B15" i="4"/>
  <c r="B14" i="4"/>
  <c r="I12" i="4"/>
  <c r="I11" i="4"/>
  <c r="I10" i="4"/>
  <c r="I9" i="4"/>
  <c r="H8" i="4"/>
  <c r="H7" i="4"/>
  <c r="H6" i="4"/>
  <c r="C77" i="1"/>
  <c r="C79" i="1" s="1"/>
  <c r="C53" i="1"/>
  <c r="C60" i="1"/>
  <c r="C56" i="1"/>
  <c r="C68" i="1" s="1"/>
  <c r="C69" i="1" s="1"/>
  <c r="C36" i="1"/>
  <c r="C39" i="1"/>
  <c r="C25" i="1"/>
  <c r="C84" i="1"/>
  <c r="C85" i="1" s="1"/>
  <c r="C96" i="1"/>
  <c r="I1" i="3"/>
  <c r="D36" i="3" s="1"/>
  <c r="C38" i="3" s="1"/>
  <c r="F40" i="3"/>
  <c r="F38" i="3"/>
  <c r="I40" i="3"/>
  <c r="I38" i="3"/>
  <c r="C45" i="1"/>
  <c r="C46" i="1"/>
  <c r="C44" i="1"/>
  <c r="C49" i="1" s="1"/>
  <c r="C50" i="1" s="1"/>
  <c r="C52" i="1" s="1"/>
  <c r="C42" i="1"/>
  <c r="C47" i="1" s="1"/>
  <c r="C24" i="1"/>
  <c r="C80" i="1" s="1"/>
  <c r="O3" i="2" s="1"/>
  <c r="S21" i="2" l="1"/>
  <c r="T21" i="2" s="1"/>
  <c r="X21" i="2" s="1"/>
  <c r="P21" i="2"/>
  <c r="C89" i="1"/>
  <c r="C90" i="1" s="1"/>
  <c r="C40" i="3"/>
  <c r="E40" i="3" s="1"/>
  <c r="K40" i="3"/>
  <c r="I41" i="3"/>
  <c r="K41" i="3" s="1"/>
  <c r="K38" i="3"/>
  <c r="I39" i="3"/>
  <c r="K39" i="3" s="1"/>
  <c r="F39" i="3"/>
  <c r="H39" i="3" s="1"/>
  <c r="H38" i="3"/>
  <c r="H40" i="3"/>
  <c r="F41" i="3"/>
  <c r="H41" i="3" s="1"/>
  <c r="E38" i="3"/>
  <c r="C39" i="3"/>
  <c r="E39" i="3" s="1"/>
  <c r="C48" i="1"/>
  <c r="O15" i="2"/>
  <c r="O25" i="2"/>
  <c r="O29" i="2"/>
  <c r="O33" i="2"/>
  <c r="O37" i="2"/>
  <c r="O5" i="2"/>
  <c r="O7" i="2"/>
  <c r="O9" i="2"/>
  <c r="O11" i="2"/>
  <c r="O16" i="2"/>
  <c r="O26" i="2"/>
  <c r="O30" i="2"/>
  <c r="O34" i="2"/>
  <c r="O12" i="2"/>
  <c r="O14" i="2"/>
  <c r="O23" i="2"/>
  <c r="O27" i="2"/>
  <c r="O31" i="2"/>
  <c r="O35" i="2"/>
  <c r="O6" i="2"/>
  <c r="O8" i="2"/>
  <c r="O10" i="2"/>
  <c r="O4" i="2"/>
  <c r="O17" i="2"/>
  <c r="O24" i="2"/>
  <c r="O28" i="2"/>
  <c r="O32" i="2"/>
  <c r="O36" i="2"/>
  <c r="O13" i="2"/>
  <c r="C31" i="1"/>
  <c r="C38" i="1" s="1"/>
  <c r="E26" i="2" s="1"/>
  <c r="K3" i="2"/>
  <c r="L3" i="2" s="1"/>
  <c r="F3" i="2" s="1"/>
  <c r="K34" i="2"/>
  <c r="L34" i="2" s="1"/>
  <c r="F34" i="2" s="1"/>
  <c r="K16" i="2"/>
  <c r="L16" i="2" s="1"/>
  <c r="F16" i="2" s="1"/>
  <c r="K26" i="2"/>
  <c r="L26" i="2" s="1"/>
  <c r="F26" i="2" s="1"/>
  <c r="K17" i="2"/>
  <c r="L17" i="2" s="1"/>
  <c r="F17" i="2" s="1"/>
  <c r="K5" i="2"/>
  <c r="L5" i="2" s="1"/>
  <c r="F5" i="2" s="1"/>
  <c r="K12" i="2"/>
  <c r="L12" i="2" s="1"/>
  <c r="F12" i="2" s="1"/>
  <c r="K35" i="2"/>
  <c r="L35" i="2" s="1"/>
  <c r="F35" i="2" s="1"/>
  <c r="K27" i="2"/>
  <c r="L27" i="2" s="1"/>
  <c r="F27" i="2" s="1"/>
  <c r="K4" i="2"/>
  <c r="L4" i="2" s="1"/>
  <c r="F4" i="2" s="1"/>
  <c r="K32" i="2"/>
  <c r="L32" i="2" s="1"/>
  <c r="F32" i="2" s="1"/>
  <c r="K30" i="2"/>
  <c r="L30" i="2" s="1"/>
  <c r="F30" i="2" s="1"/>
  <c r="K33" i="2"/>
  <c r="L33" i="2" s="1"/>
  <c r="F33" i="2" s="1"/>
  <c r="K6" i="2"/>
  <c r="L6" i="2" s="1"/>
  <c r="F6" i="2" s="1"/>
  <c r="K11" i="2"/>
  <c r="L11" i="2" s="1"/>
  <c r="F11" i="2" s="1"/>
  <c r="K31" i="2"/>
  <c r="L31" i="2" s="1"/>
  <c r="F31" i="2" s="1"/>
  <c r="K25" i="2"/>
  <c r="L25" i="2" s="1"/>
  <c r="F25" i="2" s="1"/>
  <c r="K29" i="2"/>
  <c r="L29" i="2" s="1"/>
  <c r="F29" i="2" s="1"/>
  <c r="K14" i="2"/>
  <c r="L14" i="2" s="1"/>
  <c r="F14" i="2" s="1"/>
  <c r="K36" i="2"/>
  <c r="L36" i="2" s="1"/>
  <c r="F36" i="2" s="1"/>
  <c r="K9" i="2"/>
  <c r="L9" i="2" s="1"/>
  <c r="F9" i="2" s="1"/>
  <c r="K24" i="2"/>
  <c r="L24" i="2" s="1"/>
  <c r="F24" i="2" s="1"/>
  <c r="K28" i="2"/>
  <c r="L28" i="2" s="1"/>
  <c r="F28" i="2" s="1"/>
  <c r="K37" i="2"/>
  <c r="L37" i="2" s="1"/>
  <c r="F37" i="2" s="1"/>
  <c r="K10" i="2"/>
  <c r="L10" i="2" s="1"/>
  <c r="F10" i="2" s="1"/>
  <c r="K23" i="2"/>
  <c r="L23" i="2" s="1"/>
  <c r="F23" i="2" s="1"/>
  <c r="K15" i="2"/>
  <c r="L15" i="2" s="1"/>
  <c r="F15" i="2" s="1"/>
  <c r="K7" i="2"/>
  <c r="L7" i="2" s="1"/>
  <c r="F7" i="2" s="1"/>
  <c r="K8" i="2"/>
  <c r="L8" i="2" s="1"/>
  <c r="F8" i="2" s="1"/>
  <c r="K13" i="2"/>
  <c r="L13" i="2" s="1"/>
  <c r="F13" i="2" s="1"/>
  <c r="E24" i="2" l="1"/>
  <c r="E21" i="2"/>
  <c r="E28" i="2"/>
  <c r="E25" i="2"/>
  <c r="E20" i="2"/>
  <c r="E19" i="2"/>
  <c r="E22" i="2"/>
  <c r="E27" i="2"/>
  <c r="J27" i="2" s="1"/>
  <c r="E23" i="2"/>
  <c r="E3" i="2"/>
  <c r="J3" i="2" s="1"/>
  <c r="J18" i="2"/>
  <c r="E17" i="2"/>
  <c r="J17" i="2" s="1"/>
  <c r="E18" i="2"/>
  <c r="Q10" i="2"/>
  <c r="Q24" i="2"/>
  <c r="Q5" i="2"/>
  <c r="Q12" i="2"/>
  <c r="Q7" i="2"/>
  <c r="Q29" i="2"/>
  <c r="Q25" i="2"/>
  <c r="Q9" i="2"/>
  <c r="Q6" i="2"/>
  <c r="Q27" i="2"/>
  <c r="Q4" i="2"/>
  <c r="Q17" i="2"/>
  <c r="Q3" i="2"/>
  <c r="Q23" i="2"/>
  <c r="Q11" i="2"/>
  <c r="Q37" i="2"/>
  <c r="Q15" i="2"/>
  <c r="Q36" i="2"/>
  <c r="Q35" i="2"/>
  <c r="Q14" i="2"/>
  <c r="Q32" i="2"/>
  <c r="Q33" i="2"/>
  <c r="Q8" i="2"/>
  <c r="Q30" i="2"/>
  <c r="Q31" i="2"/>
  <c r="Q13" i="2"/>
  <c r="Q28" i="2"/>
  <c r="Q34" i="2"/>
  <c r="Q16" i="2"/>
  <c r="Q26" i="2"/>
  <c r="C41" i="3"/>
  <c r="E41" i="3" s="1"/>
  <c r="M10" i="2"/>
  <c r="M33" i="2"/>
  <c r="M14" i="2"/>
  <c r="M34" i="2"/>
  <c r="M15" i="2"/>
  <c r="M16" i="2"/>
  <c r="M23" i="2"/>
  <c r="M25" i="2"/>
  <c r="M26" i="2"/>
  <c r="M31" i="2"/>
  <c r="M4" i="2"/>
  <c r="M6" i="2"/>
  <c r="M24" i="2"/>
  <c r="M13" i="2"/>
  <c r="M9" i="2"/>
  <c r="M27" i="2"/>
  <c r="M7" i="2"/>
  <c r="M8" i="2"/>
  <c r="M29" i="2"/>
  <c r="M5" i="2"/>
  <c r="M32" i="2"/>
  <c r="M11" i="2"/>
  <c r="M17" i="2"/>
  <c r="M3" i="2"/>
  <c r="M12" i="2"/>
  <c r="M36" i="2"/>
  <c r="M37" i="2"/>
  <c r="M28" i="2"/>
  <c r="M30" i="2"/>
  <c r="M35" i="2"/>
  <c r="E35" i="2"/>
  <c r="J35" i="2" s="1"/>
  <c r="E5" i="2"/>
  <c r="J5" i="2" s="1"/>
  <c r="E30" i="2"/>
  <c r="J30" i="2" s="1"/>
  <c r="E8" i="2"/>
  <c r="J8" i="2" s="1"/>
  <c r="E13" i="2"/>
  <c r="J13" i="2" s="1"/>
  <c r="E33" i="2"/>
  <c r="J33" i="2" s="1"/>
  <c r="E7" i="2"/>
  <c r="J7" i="2" s="1"/>
  <c r="E29" i="2"/>
  <c r="J29" i="2" s="1"/>
  <c r="E14" i="2"/>
  <c r="J14" i="2" s="1"/>
  <c r="E10" i="2"/>
  <c r="J10" i="2" s="1"/>
  <c r="E32" i="2"/>
  <c r="J32" i="2" s="1"/>
  <c r="E36" i="2"/>
  <c r="J36" i="2" s="1"/>
  <c r="E4" i="2"/>
  <c r="J4" i="2" s="1"/>
  <c r="E37" i="2"/>
  <c r="J37" i="2" s="1"/>
  <c r="E34" i="2"/>
  <c r="J34" i="2" s="1"/>
  <c r="E12" i="2"/>
  <c r="J12" i="2" s="1"/>
  <c r="E9" i="2"/>
  <c r="J9" i="2" s="1"/>
  <c r="E11" i="2"/>
  <c r="J11" i="2" s="1"/>
  <c r="J28" i="2"/>
  <c r="E6" i="2"/>
  <c r="J6" i="2" s="1"/>
  <c r="E31" i="2"/>
  <c r="J31" i="2" s="1"/>
  <c r="E16" i="2"/>
  <c r="J16" i="2" s="1"/>
  <c r="E15" i="2"/>
  <c r="J15" i="2" s="1"/>
  <c r="S6" i="2"/>
  <c r="T6" i="2" s="1"/>
  <c r="X6" i="2" s="1"/>
  <c r="P6" i="2"/>
  <c r="S28" i="2"/>
  <c r="T28" i="2" s="1"/>
  <c r="P28" i="2"/>
  <c r="S12" i="2"/>
  <c r="T12" i="2" s="1"/>
  <c r="X12" i="2" s="1"/>
  <c r="P12" i="2"/>
  <c r="S33" i="2"/>
  <c r="T33" i="2" s="1"/>
  <c r="P33" i="2"/>
  <c r="S24" i="2"/>
  <c r="T24" i="2" s="1"/>
  <c r="P24" i="2"/>
  <c r="S11" i="2"/>
  <c r="T11" i="2" s="1"/>
  <c r="X11" i="2" s="1"/>
  <c r="P11" i="2"/>
  <c r="S29" i="2"/>
  <c r="T29" i="2" s="1"/>
  <c r="P29" i="2"/>
  <c r="S37" i="2"/>
  <c r="T37" i="2" s="1"/>
  <c r="P37" i="2"/>
  <c r="S35" i="2"/>
  <c r="T35" i="2" s="1"/>
  <c r="P35" i="2"/>
  <c r="S13" i="2"/>
  <c r="T13" i="2" s="1"/>
  <c r="X13" i="2" s="1"/>
  <c r="P13" i="2"/>
  <c r="S31" i="2"/>
  <c r="T31" i="2" s="1"/>
  <c r="P31" i="2"/>
  <c r="S34" i="2"/>
  <c r="T34" i="2" s="1"/>
  <c r="P34" i="2"/>
  <c r="S7" i="2"/>
  <c r="T7" i="2" s="1"/>
  <c r="X7" i="2" s="1"/>
  <c r="P7" i="2"/>
  <c r="S14" i="2"/>
  <c r="T14" i="2" s="1"/>
  <c r="X14" i="2" s="1"/>
  <c r="P14" i="2"/>
  <c r="S25" i="2"/>
  <c r="T25" i="2" s="1"/>
  <c r="P25" i="2"/>
  <c r="S4" i="2"/>
  <c r="T4" i="2" s="1"/>
  <c r="X4" i="2" s="1"/>
  <c r="P4" i="2"/>
  <c r="S27" i="2"/>
  <c r="T27" i="2" s="1"/>
  <c r="P27" i="2"/>
  <c r="S30" i="2"/>
  <c r="T30" i="2" s="1"/>
  <c r="P30" i="2"/>
  <c r="S5" i="2"/>
  <c r="T5" i="2" s="1"/>
  <c r="X5" i="2" s="1"/>
  <c r="P5" i="2"/>
  <c r="S15" i="2"/>
  <c r="T15" i="2" s="1"/>
  <c r="X15" i="2" s="1"/>
  <c r="P15" i="2"/>
  <c r="S16" i="2"/>
  <c r="T16" i="2" s="1"/>
  <c r="X16" i="2" s="1"/>
  <c r="P16" i="2"/>
  <c r="S9" i="2"/>
  <c r="T9" i="2" s="1"/>
  <c r="X9" i="2" s="1"/>
  <c r="P9" i="2"/>
  <c r="S10" i="2"/>
  <c r="T10" i="2" s="1"/>
  <c r="X10" i="2" s="1"/>
  <c r="P10" i="2"/>
  <c r="S23" i="2"/>
  <c r="T23" i="2" s="1"/>
  <c r="X23" i="2" s="1"/>
  <c r="P23" i="2"/>
  <c r="S26" i="2"/>
  <c r="T26" i="2" s="1"/>
  <c r="P26" i="2"/>
  <c r="S3" i="2"/>
  <c r="T3" i="2" s="1"/>
  <c r="X3" i="2" s="1"/>
  <c r="P3" i="2"/>
  <c r="S32" i="2"/>
  <c r="T32" i="2" s="1"/>
  <c r="P32" i="2"/>
  <c r="S17" i="2"/>
  <c r="T17" i="2" s="1"/>
  <c r="X17" i="2" s="1"/>
  <c r="P17" i="2"/>
  <c r="S36" i="2"/>
  <c r="T36" i="2" s="1"/>
  <c r="P36" i="2"/>
  <c r="S8" i="2"/>
  <c r="T8" i="2" s="1"/>
  <c r="X8" i="2" s="1"/>
  <c r="P8" i="2"/>
  <c r="B6" i="3" l="1"/>
  <c r="X34" i="2"/>
  <c r="B8" i="3"/>
  <c r="X32" i="2"/>
  <c r="B15" i="3"/>
  <c r="X25" i="2"/>
  <c r="B9" i="3"/>
  <c r="X31" i="2"/>
  <c r="B11" i="3"/>
  <c r="X29" i="2"/>
  <c r="B7" i="3"/>
  <c r="X33" i="2"/>
  <c r="B10" i="3"/>
  <c r="X30" i="2"/>
  <c r="B12" i="3"/>
  <c r="X28" i="2"/>
  <c r="B3" i="3"/>
  <c r="X37" i="2"/>
  <c r="B4" i="3"/>
  <c r="X36" i="2"/>
  <c r="B13" i="3"/>
  <c r="X27" i="2"/>
  <c r="B5" i="3"/>
  <c r="X35" i="2"/>
  <c r="B16" i="3"/>
  <c r="X24" i="2"/>
  <c r="B14" i="3"/>
  <c r="X26" i="2"/>
  <c r="J24" i="2"/>
  <c r="J20" i="2"/>
  <c r="J26" i="2"/>
  <c r="J22" i="2"/>
  <c r="J23" i="2"/>
  <c r="J19" i="2"/>
  <c r="C40" i="1" s="1"/>
  <c r="C41" i="1" s="1"/>
  <c r="J25" i="2"/>
  <c r="J21" i="2"/>
  <c r="B17" i="3"/>
  <c r="B19" i="3"/>
  <c r="B18" i="3"/>
  <c r="N23" i="2" l="1"/>
  <c r="R23" i="2" s="1"/>
  <c r="C17" i="3" s="1"/>
  <c r="N18" i="2"/>
  <c r="R18" i="2" s="1"/>
  <c r="N19" i="2"/>
  <c r="R19" i="2" s="1"/>
  <c r="N21" i="2"/>
  <c r="R21" i="2" s="1"/>
  <c r="N22" i="2"/>
  <c r="R22" i="2" s="1"/>
  <c r="N20" i="2"/>
  <c r="R20" i="2" s="1"/>
  <c r="N32" i="2"/>
  <c r="R32" i="2" s="1"/>
  <c r="N26" i="2"/>
  <c r="R26" i="2" s="1"/>
  <c r="C14" i="3" s="1"/>
  <c r="N7" i="2"/>
  <c r="R7" i="2" s="1"/>
  <c r="V7" i="2" s="1"/>
  <c r="Z7" i="2" s="1"/>
  <c r="N4" i="2"/>
  <c r="R4" i="2" s="1"/>
  <c r="U4" i="2" s="1"/>
  <c r="Y4" i="2" s="1"/>
  <c r="N12" i="2"/>
  <c r="R12" i="2" s="1"/>
  <c r="V12" i="2" s="1"/>
  <c r="Z12" i="2" s="1"/>
  <c r="N14" i="2"/>
  <c r="R14" i="2" s="1"/>
  <c r="V14" i="2" s="1"/>
  <c r="Z14" i="2" s="1"/>
  <c r="N3" i="2"/>
  <c r="R3" i="2" s="1"/>
  <c r="V3" i="2" s="1"/>
  <c r="Z3" i="2" s="1"/>
  <c r="N36" i="2"/>
  <c r="R36" i="2" s="1"/>
  <c r="N13" i="2"/>
  <c r="R13" i="2" s="1"/>
  <c r="U13" i="2" s="1"/>
  <c r="Y13" i="2" s="1"/>
  <c r="N9" i="2"/>
  <c r="R9" i="2" s="1"/>
  <c r="U9" i="2" s="1"/>
  <c r="Y9" i="2" s="1"/>
  <c r="N35" i="2"/>
  <c r="R35" i="2" s="1"/>
  <c r="N37" i="2"/>
  <c r="R37" i="2" s="1"/>
  <c r="N8" i="2"/>
  <c r="R8" i="2" s="1"/>
  <c r="V8" i="2" s="1"/>
  <c r="Z8" i="2" s="1"/>
  <c r="N31" i="2"/>
  <c r="R31" i="2" s="1"/>
  <c r="N6" i="2"/>
  <c r="R6" i="2" s="1"/>
  <c r="V6" i="2" s="1"/>
  <c r="Z6" i="2" s="1"/>
  <c r="N25" i="2"/>
  <c r="R25" i="2" s="1"/>
  <c r="C15" i="3" s="1"/>
  <c r="F15" i="3" s="1"/>
  <c r="N10" i="2"/>
  <c r="R10" i="2" s="1"/>
  <c r="U10" i="2" s="1"/>
  <c r="Y10" i="2" s="1"/>
  <c r="N28" i="2"/>
  <c r="R28" i="2" s="1"/>
  <c r="N30" i="2"/>
  <c r="R30" i="2" s="1"/>
  <c r="N27" i="2"/>
  <c r="R27" i="2" s="1"/>
  <c r="C13" i="3" s="1"/>
  <c r="N34" i="2"/>
  <c r="R34" i="2" s="1"/>
  <c r="N24" i="2"/>
  <c r="R24" i="2" s="1"/>
  <c r="C16" i="3" s="1"/>
  <c r="N29" i="2"/>
  <c r="R29" i="2" s="1"/>
  <c r="N16" i="2"/>
  <c r="R16" i="2" s="1"/>
  <c r="V16" i="2" s="1"/>
  <c r="Z16" i="2" s="1"/>
  <c r="N17" i="2"/>
  <c r="R17" i="2" s="1"/>
  <c r="N15" i="2"/>
  <c r="R15" i="2" s="1"/>
  <c r="U15" i="2" s="1"/>
  <c r="Y15" i="2" s="1"/>
  <c r="N11" i="2"/>
  <c r="R11" i="2" s="1"/>
  <c r="V11" i="2" s="1"/>
  <c r="Z11" i="2" s="1"/>
  <c r="N5" i="2"/>
  <c r="R5" i="2" s="1"/>
  <c r="N33" i="2"/>
  <c r="R33" i="2" s="1"/>
  <c r="V23" i="2" l="1"/>
  <c r="Z23" i="2" s="1"/>
  <c r="U23" i="2"/>
  <c r="Y23" i="2" s="1"/>
  <c r="V20" i="2"/>
  <c r="Z20" i="2" s="1"/>
  <c r="U20" i="2"/>
  <c r="Y20" i="2" s="1"/>
  <c r="V22" i="2"/>
  <c r="Z22" i="2" s="1"/>
  <c r="U22" i="2"/>
  <c r="Y22" i="2" s="1"/>
  <c r="U21" i="2"/>
  <c r="Y21" i="2" s="1"/>
  <c r="V21" i="2"/>
  <c r="Z21" i="2" s="1"/>
  <c r="U19" i="2"/>
  <c r="Y19" i="2" s="1"/>
  <c r="V19" i="2"/>
  <c r="Z19" i="2" s="1"/>
  <c r="U18" i="2"/>
  <c r="Y18" i="2" s="1"/>
  <c r="V18" i="2"/>
  <c r="Z18" i="2" s="1"/>
  <c r="C11" i="3"/>
  <c r="F11" i="3" s="1"/>
  <c r="K11" i="3" s="1"/>
  <c r="C12" i="3"/>
  <c r="E12" i="3" s="1"/>
  <c r="J12" i="3" s="1"/>
  <c r="C3" i="3"/>
  <c r="C5" i="3"/>
  <c r="E5" i="3" s="1"/>
  <c r="J5" i="3" s="1"/>
  <c r="F13" i="3"/>
  <c r="M13" i="3" s="1"/>
  <c r="C6" i="3"/>
  <c r="F6" i="3" s="1"/>
  <c r="K6" i="3" s="1"/>
  <c r="U36" i="2"/>
  <c r="C4" i="3"/>
  <c r="F4" i="3" s="1"/>
  <c r="M4" i="3" s="1"/>
  <c r="E16" i="3"/>
  <c r="H16" i="3" s="1"/>
  <c r="C9" i="3"/>
  <c r="F9" i="3" s="1"/>
  <c r="I9" i="3" s="1"/>
  <c r="U32" i="2"/>
  <c r="Y32" i="2" s="1"/>
  <c r="C8" i="3"/>
  <c r="F8" i="3" s="1"/>
  <c r="M8" i="3" s="1"/>
  <c r="U17" i="2"/>
  <c r="Y17" i="2" s="1"/>
  <c r="C19" i="3"/>
  <c r="F19" i="3" s="1"/>
  <c r="U33" i="2"/>
  <c r="C7" i="3"/>
  <c r="F7" i="3" s="1"/>
  <c r="I7" i="3" s="1"/>
  <c r="F17" i="3"/>
  <c r="I17" i="3" s="1"/>
  <c r="C10" i="3"/>
  <c r="F10" i="3" s="1"/>
  <c r="C18" i="3"/>
  <c r="F18" i="3" s="1"/>
  <c r="U31" i="2"/>
  <c r="V32" i="2"/>
  <c r="Z32" i="2" s="1"/>
  <c r="U26" i="2"/>
  <c r="V13" i="2"/>
  <c r="Z13" i="2" s="1"/>
  <c r="V26" i="2"/>
  <c r="Z26" i="2" s="1"/>
  <c r="V9" i="2"/>
  <c r="Z9" i="2" s="1"/>
  <c r="U6" i="2"/>
  <c r="Y6" i="2" s="1"/>
  <c r="V35" i="2"/>
  <c r="Z35" i="2" s="1"/>
  <c r="U12" i="2"/>
  <c r="Y12" i="2" s="1"/>
  <c r="U35" i="2"/>
  <c r="Y35" i="2" s="1"/>
  <c r="U7" i="2"/>
  <c r="Y7" i="2" s="1"/>
  <c r="U37" i="2"/>
  <c r="Y37" i="2" s="1"/>
  <c r="V37" i="2"/>
  <c r="Z37" i="2" s="1"/>
  <c r="U28" i="2"/>
  <c r="Y28" i="2" s="1"/>
  <c r="U14" i="2"/>
  <c r="Y14" i="2" s="1"/>
  <c r="U27" i="2"/>
  <c r="Y27" i="2" s="1"/>
  <c r="V28" i="2"/>
  <c r="Z28" i="2" s="1"/>
  <c r="U3" i="2"/>
  <c r="Y3" i="2" s="1"/>
  <c r="U30" i="2"/>
  <c r="Y30" i="2" s="1"/>
  <c r="U8" i="2"/>
  <c r="Y8" i="2" s="1"/>
  <c r="V31" i="2"/>
  <c r="Z31" i="2" s="1"/>
  <c r="V36" i="2"/>
  <c r="Z36" i="2" s="1"/>
  <c r="V4" i="2"/>
  <c r="Z4" i="2" s="1"/>
  <c r="V30" i="2"/>
  <c r="Z30" i="2" s="1"/>
  <c r="E17" i="3"/>
  <c r="H17" i="3" s="1"/>
  <c r="F16" i="3"/>
  <c r="I16" i="3" s="1"/>
  <c r="U34" i="2"/>
  <c r="Y34" i="2" s="1"/>
  <c r="V27" i="2"/>
  <c r="Z27" i="2" s="1"/>
  <c r="V10" i="2"/>
  <c r="Z10" i="2" s="1"/>
  <c r="U25" i="2"/>
  <c r="Y25" i="2" s="1"/>
  <c r="V34" i="2"/>
  <c r="Z34" i="2" s="1"/>
  <c r="V25" i="2"/>
  <c r="Z25" i="2" s="1"/>
  <c r="V24" i="2"/>
  <c r="Z24" i="2" s="1"/>
  <c r="U24" i="2"/>
  <c r="Y24" i="2" s="1"/>
  <c r="V29" i="2"/>
  <c r="Z29" i="2" s="1"/>
  <c r="U16" i="2"/>
  <c r="Y16" i="2" s="1"/>
  <c r="U29" i="2"/>
  <c r="Y29" i="2" s="1"/>
  <c r="U11" i="2"/>
  <c r="Y11" i="2" s="1"/>
  <c r="E13" i="3"/>
  <c r="L13" i="3" s="1"/>
  <c r="C97" i="1"/>
  <c r="C98" i="1" s="1"/>
  <c r="V15" i="2"/>
  <c r="Z15" i="2" s="1"/>
  <c r="I15" i="3"/>
  <c r="K15" i="3"/>
  <c r="M15" i="3"/>
  <c r="V5" i="2"/>
  <c r="Z5" i="2" s="1"/>
  <c r="U5" i="2"/>
  <c r="Y5" i="2" s="1"/>
  <c r="V17" i="2"/>
  <c r="Z17" i="2" s="1"/>
  <c r="E15" i="3"/>
  <c r="V33" i="2"/>
  <c r="Z33" i="2" s="1"/>
  <c r="D9" i="3" l="1"/>
  <c r="Y31" i="2"/>
  <c r="D7" i="3"/>
  <c r="G7" i="3" s="1"/>
  <c r="Y33" i="2"/>
  <c r="D4" i="3"/>
  <c r="Y36" i="2"/>
  <c r="D14" i="3"/>
  <c r="G14" i="3" s="1"/>
  <c r="Y26" i="2"/>
  <c r="D17" i="3"/>
  <c r="G17" i="3" s="1"/>
  <c r="L5" i="3"/>
  <c r="H5" i="3"/>
  <c r="L16" i="3"/>
  <c r="I13" i="3"/>
  <c r="M9" i="3"/>
  <c r="E8" i="3"/>
  <c r="H8" i="3" s="1"/>
  <c r="K13" i="3"/>
  <c r="J16" i="3"/>
  <c r="K17" i="3"/>
  <c r="I8" i="3"/>
  <c r="K8" i="3"/>
  <c r="E19" i="3"/>
  <c r="H19" i="3" s="1"/>
  <c r="E10" i="3"/>
  <c r="L10" i="3" s="1"/>
  <c r="E18" i="3"/>
  <c r="J18" i="3" s="1"/>
  <c r="K4" i="3"/>
  <c r="I4" i="3"/>
  <c r="I18" i="3"/>
  <c r="K18" i="3"/>
  <c r="M18" i="3"/>
  <c r="K19" i="3"/>
  <c r="I19" i="3"/>
  <c r="M19" i="3"/>
  <c r="M10" i="3"/>
  <c r="I10" i="3"/>
  <c r="K10" i="3"/>
  <c r="D16" i="3"/>
  <c r="G16" i="3" s="1"/>
  <c r="K9" i="3"/>
  <c r="F5" i="3"/>
  <c r="K5" i="3" s="1"/>
  <c r="D13" i="3"/>
  <c r="G13" i="3" s="1"/>
  <c r="D3" i="3"/>
  <c r="G3" i="3" s="1"/>
  <c r="F12" i="3"/>
  <c r="E3" i="3"/>
  <c r="H3" i="3" s="1"/>
  <c r="F3" i="3"/>
  <c r="D10" i="3"/>
  <c r="G10" i="3" s="1"/>
  <c r="D19" i="3"/>
  <c r="G19" i="3" s="1"/>
  <c r="D5" i="3"/>
  <c r="G5" i="3" s="1"/>
  <c r="D12" i="3"/>
  <c r="G12" i="3" s="1"/>
  <c r="D15" i="3"/>
  <c r="G15" i="3" s="1"/>
  <c r="M17" i="3"/>
  <c r="D11" i="3"/>
  <c r="G11" i="3" s="1"/>
  <c r="E4" i="3"/>
  <c r="L4" i="3" s="1"/>
  <c r="D6" i="3"/>
  <c r="G6" i="3" s="1"/>
  <c r="E9" i="3"/>
  <c r="J9" i="3" s="1"/>
  <c r="D18" i="3"/>
  <c r="G18" i="3" s="1"/>
  <c r="D8" i="3"/>
  <c r="G8" i="3" s="1"/>
  <c r="G9" i="3"/>
  <c r="E7" i="3"/>
  <c r="J7" i="3" s="1"/>
  <c r="M7" i="3"/>
  <c r="K7" i="3"/>
  <c r="H12" i="3"/>
  <c r="L12" i="3"/>
  <c r="E6" i="3"/>
  <c r="J6" i="3" s="1"/>
  <c r="I6" i="3"/>
  <c r="J17" i="3"/>
  <c r="L17" i="3"/>
  <c r="M6" i="3"/>
  <c r="K16" i="3"/>
  <c r="M11" i="3"/>
  <c r="I11" i="3"/>
  <c r="E11" i="3"/>
  <c r="L11" i="3" s="1"/>
  <c r="G4" i="3"/>
  <c r="M16" i="3"/>
  <c r="H13" i="3"/>
  <c r="J13" i="3"/>
  <c r="H15" i="3"/>
  <c r="L15" i="3"/>
  <c r="J15" i="3"/>
  <c r="F14" i="3"/>
  <c r="E14" i="3"/>
  <c r="H18" i="3" l="1"/>
  <c r="L8" i="3"/>
  <c r="L18" i="3"/>
  <c r="J8" i="3"/>
  <c r="L3" i="3"/>
  <c r="J3" i="3"/>
  <c r="J19" i="3"/>
  <c r="L19" i="3"/>
  <c r="H10" i="3"/>
  <c r="L9" i="3"/>
  <c r="I5" i="3"/>
  <c r="J10" i="3"/>
  <c r="M5" i="3"/>
  <c r="J4" i="3"/>
  <c r="I3" i="3"/>
  <c r="K3" i="3"/>
  <c r="M3" i="3"/>
  <c r="H4" i="3"/>
  <c r="M12" i="3"/>
  <c r="I12" i="3"/>
  <c r="K12" i="3"/>
  <c r="H9" i="3"/>
  <c r="C103" i="1"/>
  <c r="P4" i="3" s="1"/>
  <c r="L7" i="3"/>
  <c r="H7" i="3"/>
  <c r="L6" i="3"/>
  <c r="J11" i="3"/>
  <c r="H11" i="3"/>
  <c r="H6" i="3"/>
  <c r="H14" i="3"/>
  <c r="J14" i="3"/>
  <c r="L14" i="3"/>
  <c r="K14" i="3"/>
  <c r="I14" i="3"/>
  <c r="M1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7DBD0B-DB26-4560-AD23-FCEBF74A5BDA}" name="Cx(Cz)" type="6" refreshedVersion="8" background="1" saveData="1">
    <textPr codePage="852" sourceFile="C:\Users\Sebastian\Desktop\Semestr 7\OBRONA\praca\Mati ML\Cx(Cz).txt" decimal="," thousands=" " semicolon="1">
      <textFields count="2">
        <textField/>
        <textField/>
      </textFields>
    </textPr>
  </connection>
  <connection id="2" xr16:uid="{8F534B3E-7686-40A3-A178-76FB0CDFDE26}" name="Cx(Cz)1" type="6" refreshedVersion="8" background="1" saveData="1">
    <textPr codePage="852" sourceFile="C:\Users\Sebastian\Desktop\OBRONA\praca\Iskra\Cx(Cz).txt" decimal="," thousands=" " semicolon="1">
      <textFields count="2">
        <textField/>
        <textField/>
      </textFields>
    </textPr>
  </connection>
  <connection id="3" xr16:uid="{E4717F02-0E20-472D-AE9D-6B2255DE8536}" name="Cz(a)" type="6" refreshedVersion="8" background="1" saveData="1">
    <textPr codePage="852" sourceFile="C:\Users\Sebastian\Desktop\Semestr 7\OBRONA\praca\Mati ML\Cz(a).txt" decimal="," thousands=" " semicolon="1">
      <textFields count="2">
        <textField/>
        <textField/>
      </textFields>
    </textPr>
  </connection>
  <connection id="4" xr16:uid="{F5E18B20-7250-4DEA-901A-0DD907322607}" name="Cz(a)1" type="6" refreshedVersion="8" background="1" saveData="1">
    <textPr codePage="852" sourceFile="C:\Users\Sebastian\Desktop\Semestr 7\OBRONA\praca\Mati ML\Cz(a).txt" decimal="," thousands=" " semicolon="1">
      <textFields count="2">
        <textField/>
        <textField/>
      </textFields>
    </textPr>
  </connection>
  <connection id="5" xr16:uid="{C5B0D29C-3CCE-4686-BE67-8338B3A28F1A}" name="Cz(a)2" type="6" refreshedVersion="8" background="1" saveData="1">
    <textPr codePage="852" sourceFile="C:\Users\Sebastian\Desktop\OBRONA\praca\Iskra\Cz(a).txt" decimal="," thousands=" 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<sst xmlns="http://schemas.openxmlformats.org/spreadsheetml/2006/main" count="374" uniqueCount="267">
  <si>
    <t>Dana</t>
  </si>
  <si>
    <t>Symbol</t>
  </si>
  <si>
    <t>Wartość</t>
  </si>
  <si>
    <t>Jednostka</t>
  </si>
  <si>
    <t>b</t>
  </si>
  <si>
    <t>S</t>
  </si>
  <si>
    <t>N</t>
  </si>
  <si>
    <t>q</t>
  </si>
  <si>
    <t>pulap</t>
  </si>
  <si>
    <t>Pułap teoretyczny</t>
  </si>
  <si>
    <t>Rozpiętość płata</t>
  </si>
  <si>
    <t>Wysokość samolotu</t>
  </si>
  <si>
    <t>Powierzchnia nośna</t>
  </si>
  <si>
    <t>Masa pustego samolotu</t>
  </si>
  <si>
    <t>Masa maksymalna samolotu</t>
  </si>
  <si>
    <t>Masa paliwa</t>
  </si>
  <si>
    <t>Zużycie paliwa</t>
  </si>
  <si>
    <t>Prędkość maksymalna</t>
  </si>
  <si>
    <t>Maksymalna prędkość wznoszenia</t>
  </si>
  <si>
    <t>m</t>
  </si>
  <si>
    <t>m2</t>
  </si>
  <si>
    <t>kg</t>
  </si>
  <si>
    <t>m/s</t>
  </si>
  <si>
    <t>cięciwa na osi symetrii samolotu</t>
  </si>
  <si>
    <t>cięcika końcowa</t>
  </si>
  <si>
    <t>kąt skosu krawędzi natarcia płata</t>
  </si>
  <si>
    <t>położenie noska ca względem początku cięciwy przykadłubowej</t>
  </si>
  <si>
    <t>zbieżność płata</t>
  </si>
  <si>
    <t>wydłużenie geometryczne płata</t>
  </si>
  <si>
    <t>średnia cięciwa aerodynamiczna</t>
  </si>
  <si>
    <t>gęstość powietrza przy ziemii</t>
  </si>
  <si>
    <t>lepkość kinematyczna powietrzna na poziomie morza</t>
  </si>
  <si>
    <t>Liczba Reynoldsa 3M</t>
  </si>
  <si>
    <t>Czmax dla Reynoldsa 3M</t>
  </si>
  <si>
    <t>Obliczona liczba Reynoldsa</t>
  </si>
  <si>
    <t>Re</t>
  </si>
  <si>
    <t>-</t>
  </si>
  <si>
    <t>Prędkość przeciągnięcia</t>
  </si>
  <si>
    <t>środek aerodynamiczny na x</t>
  </si>
  <si>
    <t>środek aerodynamiczny na z</t>
  </si>
  <si>
    <t>Współczynnik kierunkowy prostej Cz(a)</t>
  </si>
  <si>
    <t>Przyspieszenie grawitacyjne</t>
  </si>
  <si>
    <t>g</t>
  </si>
  <si>
    <t>Współczynnik momentu podłużnego względem środka aerodynamicznego</t>
  </si>
  <si>
    <t>Cz</t>
  </si>
  <si>
    <t>Cx</t>
  </si>
  <si>
    <t>dCxRe</t>
  </si>
  <si>
    <t>Cx'</t>
  </si>
  <si>
    <t>δ</t>
  </si>
  <si>
    <t>τ</t>
  </si>
  <si>
    <t>Λ</t>
  </si>
  <si>
    <t>λ</t>
  </si>
  <si>
    <t>ρ</t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</si>
  <si>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</si>
  <si>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r>
      <t>w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</si>
  <si>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</si>
  <si>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</si>
  <si>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</si>
  <si>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</si>
  <si>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</si>
  <si>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</si>
  <si>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a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</si>
  <si>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N</t>
    </r>
  </si>
  <si>
    <r>
      <t>Re</t>
    </r>
    <r>
      <rPr>
        <vertAlign val="subscript"/>
        <sz val="11"/>
        <color theme="1"/>
        <rFont val="Calibri"/>
        <family val="2"/>
        <charset val="238"/>
        <scheme val="minor"/>
      </rPr>
      <t>3M</t>
    </r>
  </si>
  <si>
    <r>
      <t>Cz</t>
    </r>
    <r>
      <rPr>
        <vertAlign val="subscript"/>
        <sz val="11"/>
        <color theme="1"/>
        <rFont val="Calibri"/>
        <family val="2"/>
        <charset val="238"/>
        <scheme val="minor"/>
      </rPr>
      <t>max re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</si>
  <si>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S1</t>
    </r>
  </si>
  <si>
    <t>ν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</si>
  <si>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kreska</t>
    </r>
  </si>
  <si>
    <r>
      <t>z</t>
    </r>
    <r>
      <rPr>
        <vertAlign val="subscript"/>
        <sz val="11"/>
        <color theme="1"/>
        <rFont val="Calibri"/>
        <family val="2"/>
        <charset val="238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kreska</t>
    </r>
  </si>
  <si>
    <r>
      <t>Cm</t>
    </r>
    <r>
      <rPr>
        <vertAlign val="subscript"/>
        <sz val="11"/>
        <color theme="1"/>
        <rFont val="Calibri"/>
        <family val="2"/>
        <charset val="238"/>
        <scheme val="minor"/>
      </rPr>
      <t>sa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</si>
  <si>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∞</t>
    </r>
  </si>
  <si>
    <r>
      <rPr>
        <sz val="11"/>
        <color theme="1"/>
        <rFont val="Calibri"/>
        <family val="2"/>
        <charset val="238"/>
      </rPr>
      <t>Δ</t>
    </r>
    <r>
      <rPr>
        <sz val="11"/>
        <color theme="1"/>
        <rFont val="Calibri"/>
        <family val="2"/>
        <charset val="238"/>
        <scheme val="minor"/>
      </rPr>
      <t>Cx</t>
    </r>
    <r>
      <rPr>
        <vertAlign val="subscript"/>
        <sz val="11"/>
        <color theme="1"/>
        <rFont val="Calibri"/>
        <family val="2"/>
        <charset val="238"/>
        <scheme val="minor"/>
      </rPr>
      <t>tech</t>
    </r>
  </si>
  <si>
    <r>
      <t>β</t>
    </r>
    <r>
      <rPr>
        <vertAlign val="subscript"/>
        <sz val="11"/>
        <color theme="1"/>
        <rFont val="Calibri"/>
        <family val="2"/>
        <charset val="238"/>
        <scheme val="minor"/>
      </rPr>
      <t>25</t>
    </r>
  </si>
  <si>
    <r>
      <t>τ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</si>
  <si>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r>
      <t>τ</t>
    </r>
    <r>
      <rPr>
        <vertAlign val="subscript"/>
        <sz val="11"/>
        <color theme="1"/>
        <rFont val="Calibri"/>
        <family val="2"/>
        <charset val="238"/>
        <scheme val="minor"/>
      </rPr>
      <t>2</t>
    </r>
  </si>
  <si>
    <r>
      <t>δ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</si>
  <si>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r>
      <t>δ</t>
    </r>
    <r>
      <rPr>
        <vertAlign val="subscript"/>
        <sz val="11"/>
        <color theme="1"/>
        <rFont val="Calibri"/>
        <family val="2"/>
        <charset val="238"/>
        <scheme val="minor"/>
      </rPr>
      <t>2</t>
    </r>
  </si>
  <si>
    <r>
      <t>δ</t>
    </r>
    <r>
      <rPr>
        <vertAlign val="subscript"/>
        <sz val="11"/>
        <color theme="1"/>
        <rFont val="Calibri"/>
        <family val="2"/>
        <charset val="238"/>
        <scheme val="minor"/>
      </rPr>
      <t>3</t>
    </r>
  </si>
  <si>
    <r>
      <t>Cx'</t>
    </r>
    <r>
      <rPr>
        <vertAlign val="subscript"/>
        <sz val="11"/>
        <color theme="1"/>
        <rFont val="Calibri"/>
        <family val="2"/>
        <charset val="238"/>
        <scheme val="minor"/>
      </rPr>
      <t>∞ min</t>
    </r>
  </si>
  <si>
    <r>
      <t>Cz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</si>
  <si>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r>
      <t>Cz</t>
    </r>
    <r>
      <rPr>
        <vertAlign val="subscript"/>
        <sz val="11"/>
        <color theme="1"/>
        <rFont val="Calibri"/>
        <family val="2"/>
        <charset val="238"/>
        <scheme val="minor"/>
      </rPr>
      <t>∞1</t>
    </r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</si>
  <si>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∞ min2</t>
    </r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</si>
  <si>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∞ min1</t>
    </r>
  </si>
  <si>
    <t>1/rad</t>
  </si>
  <si>
    <r>
      <t>m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</si>
  <si>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m</t>
    </r>
    <r>
      <rPr>
        <vertAlign val="super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/h</t>
    </r>
  </si>
  <si>
    <r>
      <t>m/s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</si>
  <si>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kg/m</t>
    </r>
    <r>
      <rPr>
        <vertAlign val="superscript"/>
        <sz val="11"/>
        <color theme="1"/>
        <rFont val="Calibri"/>
        <family val="2"/>
        <charset val="238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</si>
  <si>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/s</t>
    </r>
  </si>
  <si>
    <t>°</t>
  </si>
  <si>
    <t>drugi współczynnik Glauerta</t>
  </si>
  <si>
    <t>Pierwszy współczynnik Glauerta</t>
  </si>
  <si>
    <t>Współczynnik do wyznaczenia tau 1</t>
  </si>
  <si>
    <t>Współczynnik do wyznaczenia tau 2</t>
  </si>
  <si>
    <t>Współczynnik do wyznaczenia delta 1</t>
  </si>
  <si>
    <t>Współczynnik do wyznaczenia delta 2</t>
  </si>
  <si>
    <t>Współczynnik do wyznaczenia delta 3</t>
  </si>
  <si>
    <t>Kąt skosu lini utworzonej z 1/4 cięciwy płata</t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</si>
  <si>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</si>
  <si>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p wykres</t>
    </r>
  </si>
  <si>
    <t>błąd</t>
  </si>
  <si>
    <t>%</t>
  </si>
  <si>
    <t>Ma</t>
  </si>
  <si>
    <t>Długość kadłuba</t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</si>
  <si>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</si>
  <si>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Re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</si>
  <si>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f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</si>
  <si>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</si>
  <si>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ck</t>
    </r>
  </si>
  <si>
    <r>
      <t>Λ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</si>
  <si>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Λ</t>
    </r>
    <r>
      <rPr>
        <vertAlign val="subscript"/>
        <sz val="11"/>
        <color theme="1"/>
        <rFont val="Calibri"/>
        <family val="2"/>
        <charset val="238"/>
        <scheme val="minor"/>
      </rPr>
      <t>nk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</si>
  <si>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d</t>
    </r>
  </si>
  <si>
    <r>
      <t>η</t>
    </r>
    <r>
      <rPr>
        <vertAlign val="subscript"/>
        <sz val="11"/>
        <color theme="1"/>
        <rFont val="Calibri"/>
        <family val="2"/>
        <charset val="238"/>
        <scheme val="minor"/>
      </rPr>
      <t>Ma</t>
    </r>
  </si>
  <si>
    <r>
      <rPr>
        <sz val="11"/>
        <color theme="1"/>
        <rFont val="Calibri"/>
        <family val="2"/>
        <charset val="238"/>
      </rPr>
      <t>η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</si>
  <si>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nk</t>
    </r>
  </si>
  <si>
    <t>pole powierzchni zewnętrznej kadłuba omywanej przez powietrze</t>
  </si>
  <si>
    <t>pole maksymalnego przekroju czołowego kadłuba</t>
  </si>
  <si>
    <t>współczynniku oporu tarcia</t>
  </si>
  <si>
    <t>wydłużenie kadłuba</t>
  </si>
  <si>
    <t>K</t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</si>
  <si>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</si>
  <si>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</si>
  <si>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t>prędkość dźwięku na poziomie morza</t>
  </si>
  <si>
    <t>prędkość dźwięku na wysokości prędkości maksymalnej</t>
  </si>
  <si>
    <t>liczba macha osiągana przez samolot</t>
  </si>
  <si>
    <t>temperatura otoczenia na wysokości prędkości maksymalnej</t>
  </si>
  <si>
    <t>temperatura otoczenia na poziomie morza</t>
  </si>
  <si>
    <t>długość części nosowej kadłuba</t>
  </si>
  <si>
    <t>współczynnik oporu kadłuba</t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</si>
  <si>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</si>
  <si>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</si>
  <si>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</si>
  <si>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sc</t>
    </r>
    <r>
      <rPr>
        <sz val="11"/>
        <color theme="1"/>
        <rFont val="Calibri"/>
        <family val="2"/>
        <charset val="238"/>
        <scheme val="minor"/>
      </rPr>
      <t xml:space="preserve"> kreska</t>
    </r>
  </si>
  <si>
    <r>
      <t>b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</si>
  <si>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(V</t>
    </r>
    <r>
      <rPr>
        <vertAlign val="subscript"/>
        <sz val="11"/>
        <color theme="1"/>
        <rFont val="Calibri"/>
        <family val="2"/>
        <charset val="238"/>
        <scheme val="minor"/>
      </rPr>
      <t>H</t>
    </r>
    <r>
      <rPr>
        <sz val="11"/>
        <color theme="1"/>
        <rFont val="Calibri"/>
        <family val="2"/>
        <charset val="238"/>
        <scheme val="minor"/>
      </rPr>
      <t>/V)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</si>
  <si>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e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</si>
  <si>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Λ</t>
    </r>
    <r>
      <rPr>
        <vertAlign val="subscript"/>
        <sz val="11"/>
        <color theme="1"/>
        <rFont val="Calibri"/>
        <family val="2"/>
        <charset val="238"/>
        <scheme val="minor"/>
      </rPr>
      <t>eH</t>
    </r>
  </si>
  <si>
    <r>
      <t>Λ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</si>
  <si>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κ'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</si>
  <si>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ΔCx</t>
    </r>
    <r>
      <rPr>
        <vertAlign val="subscript"/>
        <sz val="11"/>
        <color theme="1"/>
        <rFont val="Calibri"/>
        <family val="2"/>
        <charset val="238"/>
        <scheme val="minor"/>
      </rPr>
      <t>H szcz</t>
    </r>
  </si>
  <si>
    <r>
      <t>(Cx</t>
    </r>
    <r>
      <rPr>
        <vertAlign val="subscript"/>
        <sz val="11"/>
        <color theme="1"/>
        <rFont val="Calibri"/>
        <family val="2"/>
        <charset val="238"/>
        <scheme val="minor"/>
      </rPr>
      <t>H∞</t>
    </r>
    <r>
      <rPr>
        <sz val="11"/>
        <color theme="1"/>
        <rFont val="Calibri"/>
        <family val="2"/>
        <charset val="238"/>
        <scheme val="minor"/>
      </rPr>
      <t>)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</si>
  <si>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Pole powierzchni usterzenia poziomego</t>
  </si>
  <si>
    <t>Środek ciężkości samolotu</t>
  </si>
  <si>
    <t>Ramię usterzenia poziomego</t>
  </si>
  <si>
    <t>Kwadrat stosunku prędkości</t>
  </si>
  <si>
    <t>Rozpiętość usterzenia poziomego</t>
  </si>
  <si>
    <t>wydłużenie usterzenia</t>
  </si>
  <si>
    <t>współczynnik korekcyjny wydłużenia usterzenia</t>
  </si>
  <si>
    <t>wydłużenie usterzenia po korekcji</t>
  </si>
  <si>
    <t>cecha objętościowa usterzenia poziomego</t>
  </si>
  <si>
    <t>Przyrost oporu wynikający ze szczelin</t>
  </si>
  <si>
    <t>Liczba reynoldsa dla kadłuba</t>
  </si>
  <si>
    <t>wspóółczynnik korekcyjny</t>
  </si>
  <si>
    <t>wydłużenie noskowej części kadłuba</t>
  </si>
  <si>
    <t>współczynnik korekcyjny ściśliwości</t>
  </si>
  <si>
    <t>Pole powierzchni usterzenia pionowego</t>
  </si>
  <si>
    <t>minimalny współczynnik oporu profilu usterzenia pionowego</t>
  </si>
  <si>
    <t>minimalny współczynnik oporu profilu usterzenia poziomego</t>
  </si>
  <si>
    <r>
      <t>(Cx</t>
    </r>
    <r>
      <rPr>
        <vertAlign val="subscript"/>
        <sz val="11"/>
        <color theme="1"/>
        <rFont val="Calibri"/>
        <family val="2"/>
        <charset val="238"/>
        <scheme val="minor"/>
      </rPr>
      <t>V∞</t>
    </r>
    <r>
      <rPr>
        <sz val="11"/>
        <color theme="1"/>
        <rFont val="Calibri"/>
        <family val="2"/>
        <charset val="238"/>
        <scheme val="minor"/>
      </rPr>
      <t>)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</si>
  <si>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r>
      <t>ΔCx</t>
    </r>
    <r>
      <rPr>
        <vertAlign val="subscript"/>
        <sz val="11"/>
        <color theme="1"/>
        <rFont val="Calibri"/>
        <family val="2"/>
        <charset val="238"/>
        <scheme val="minor"/>
      </rPr>
      <t>V szcz</t>
    </r>
  </si>
  <si>
    <r>
      <t>S</t>
    </r>
    <r>
      <rPr>
        <vertAlign val="subscript"/>
        <sz val="11"/>
        <color theme="1"/>
        <rFont val="Calibri"/>
        <family val="2"/>
        <charset val="238"/>
      </rPr>
      <t>V</t>
    </r>
  </si>
  <si>
    <t>Współczynnik oporu usterzenia pionowego</t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</si>
  <si>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V</t>
    </r>
  </si>
  <si>
    <t>Opór gondoli</t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</si>
  <si>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g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</si>
  <si>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g</t>
    </r>
  </si>
  <si>
    <t>Suma iloczynów oporów i powierzchni</t>
  </si>
  <si>
    <r>
      <rPr>
        <sz val="11"/>
        <color theme="1"/>
        <rFont val="Calibri"/>
        <family val="2"/>
        <charset val="238"/>
      </rPr>
      <t>Σ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j</t>
    </r>
    <r>
      <rPr>
        <sz val="11"/>
        <color theme="1"/>
        <rFont val="Calibri"/>
        <family val="2"/>
        <charset val="238"/>
        <scheme val="minor"/>
      </rPr>
      <t>S</t>
    </r>
    <r>
      <rPr>
        <vertAlign val="subscript"/>
        <sz val="11"/>
        <color theme="1"/>
        <rFont val="Calibri"/>
        <family val="2"/>
        <charset val="238"/>
        <scheme val="minor"/>
      </rPr>
      <t>j</t>
    </r>
  </si>
  <si>
    <t>Iloczyn powierzchni i oporu kadłuba</t>
  </si>
  <si>
    <t>Iloczyn powierzchni i oporu usterzenia pionowego</t>
  </si>
  <si>
    <t>iloczyn powierzchni i oporu dwóch gondoli</t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</si>
  <si>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g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g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</si>
  <si>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V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V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</si>
  <si>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k</t>
    </r>
    <r>
      <rPr>
        <sz val="11"/>
        <color theme="1"/>
        <rFont val="Calibri"/>
        <family val="2"/>
        <charset val="238"/>
        <scheme val="minor"/>
      </rPr>
      <t>C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</si>
  <si>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t>współczynnik</t>
  </si>
  <si>
    <r>
      <t>K</t>
    </r>
    <r>
      <rPr>
        <vertAlign val="subscript"/>
        <sz val="10"/>
        <color theme="1"/>
        <rFont val="Arial"/>
        <family val="2"/>
        <charset val="238"/>
      </rPr>
      <t>int erf</t>
    </r>
  </si>
  <si>
    <t>ζ</t>
  </si>
  <si>
    <t>współczynnik wzrostu oporów na skutek interferencji aerodynamicznej</t>
  </si>
  <si>
    <t>minimalne opory szkodliwe samolotu</t>
  </si>
  <si>
    <r>
      <t>(Cx</t>
    </r>
    <r>
      <rPr>
        <vertAlign val="subscript"/>
        <sz val="11"/>
        <color theme="1"/>
        <rFont val="Calibri"/>
        <family val="2"/>
        <charset val="238"/>
        <scheme val="minor"/>
      </rPr>
      <t>szk</t>
    </r>
    <r>
      <rPr>
        <sz val="11"/>
        <color theme="1"/>
        <rFont val="Calibri"/>
        <family val="2"/>
        <charset val="238"/>
        <scheme val="minor"/>
      </rPr>
      <t>)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</si>
  <si>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Cz'</t>
  </si>
  <si>
    <t>E</t>
  </si>
  <si>
    <t>Cz'2</t>
  </si>
  <si>
    <t>e</t>
  </si>
  <si>
    <r>
      <t>Cx</t>
    </r>
    <r>
      <rPr>
        <vertAlign val="subscript"/>
        <sz val="11"/>
        <color theme="1"/>
        <rFont val="Calibri"/>
        <family val="2"/>
        <charset val="238"/>
        <scheme val="minor"/>
      </rPr>
      <t>0</t>
    </r>
  </si>
  <si>
    <r>
      <t>dCx/dCz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</si>
  <si>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r>
      <t>(Cx)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</si>
  <si>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K/10</t>
  </si>
  <si>
    <t>E/100</t>
  </si>
  <si>
    <t>wysokość przelotowa</t>
  </si>
  <si>
    <t>h</t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</si>
  <si>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</si>
  <si>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rPr>
        <sz val="11"/>
        <color theme="1"/>
        <rFont val="Calibri Light"/>
        <family val="2"/>
        <charset val="238"/>
      </rPr>
      <t>ρ</t>
    </r>
    <r>
      <rPr>
        <vertAlign val="subscript"/>
        <sz val="11"/>
        <color theme="1"/>
        <rFont val="Calibri"/>
        <family val="2"/>
        <charset val="238"/>
        <scheme val="minor"/>
      </rPr>
      <t>h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</si>
  <si>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śr</t>
    </r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</si>
  <si>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</si>
  <si>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Masa pustego samolotu z pilotem (80kg)</t>
  </si>
  <si>
    <t>Średnia masa samolotu o maksymalnej i minimalnej wadze</t>
  </si>
  <si>
    <t>gęstość powietrza na wysokości przelotowej</t>
  </si>
  <si>
    <t>współczynnik oswalda</t>
  </si>
  <si>
    <t>wydłużenie Oswalda</t>
  </si>
  <si>
    <t>Minimalny współczynnik Cx z danych</t>
  </si>
  <si>
    <t>Współczynnik Cx0 z biegunowej</t>
  </si>
  <si>
    <t>Współczynnik kierunkowy biegunowej</t>
  </si>
  <si>
    <t>błąd wartości Cx0</t>
  </si>
  <si>
    <t>A</t>
  </si>
  <si>
    <t>B</t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</si>
  <si>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max</t>
    </r>
  </si>
  <si>
    <t>V [m/s]</t>
  </si>
  <si>
    <t>w [m/s]</t>
  </si>
  <si>
    <r>
      <t>γ [</t>
    </r>
    <r>
      <rPr>
        <sz val="11"/>
        <color theme="1"/>
        <rFont val="Calibri"/>
        <family val="2"/>
        <charset val="238"/>
      </rPr>
      <t>°</t>
    </r>
    <r>
      <rPr>
        <sz val="11"/>
        <color theme="1"/>
        <rFont val="Calibri"/>
        <family val="2"/>
        <charset val="238"/>
        <scheme val="minor"/>
      </rPr>
      <t>]</t>
    </r>
  </si>
  <si>
    <r>
      <t>γ</t>
    </r>
    <r>
      <rPr>
        <vertAlign val="subscript"/>
        <sz val="11"/>
        <color theme="1"/>
        <rFont val="Calibri"/>
        <family val="2"/>
        <charset val="238"/>
        <scheme val="minor"/>
      </rPr>
      <t>min</t>
    </r>
  </si>
  <si>
    <t>obliczone</t>
  </si>
  <si>
    <t>z wykresu</t>
  </si>
  <si>
    <t>obliczone [m/s]</t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</si>
  <si>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opt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</si>
  <si>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ek</t>
    </r>
  </si>
  <si>
    <r>
      <t>w</t>
    </r>
    <r>
      <rPr>
        <vertAlign val="subscript"/>
        <sz val="11"/>
        <color theme="1"/>
        <rFont val="Calibri"/>
        <family val="2"/>
        <charset val="238"/>
        <scheme val="minor"/>
      </rPr>
      <t>opt</t>
    </r>
  </si>
  <si>
    <r>
      <t>w</t>
    </r>
    <r>
      <rPr>
        <vertAlign val="subscript"/>
        <sz val="11"/>
        <color theme="1"/>
        <rFont val="Calibri"/>
        <family val="2"/>
        <charset val="238"/>
        <scheme val="minor"/>
      </rPr>
      <t>ek</t>
    </r>
  </si>
  <si>
    <r>
      <t>m</t>
    </r>
    <r>
      <rPr>
        <vertAlign val="subscript"/>
        <sz val="11"/>
        <color theme="4"/>
        <rFont val="Calibri"/>
        <family val="2"/>
        <charset val="238"/>
        <scheme val="minor"/>
      </rPr>
      <t>min</t>
    </r>
  </si>
  <si>
    <r>
      <t>m</t>
    </r>
    <r>
      <rPr>
        <vertAlign val="subscript"/>
        <sz val="11"/>
        <color theme="5"/>
        <rFont val="Calibri"/>
        <family val="2"/>
        <charset val="238"/>
        <scheme val="minor"/>
      </rPr>
      <t>śr</t>
    </r>
  </si>
  <si>
    <r>
      <rPr>
        <sz val="11"/>
        <color theme="6"/>
        <rFont val="Calibri"/>
        <family val="2"/>
        <charset val="238"/>
        <scheme val="minor"/>
      </rPr>
      <t>m</t>
    </r>
    <r>
      <rPr>
        <vertAlign val="subscript"/>
        <sz val="11"/>
        <color theme="6"/>
        <rFont val="Calibri"/>
        <family val="2"/>
        <charset val="238"/>
        <scheme val="minor"/>
      </rPr>
      <t>max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</si>
  <si>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max2</t>
    </r>
  </si>
  <si>
    <t>Graniczna prędkość dla biegunowej prędkości</t>
  </si>
  <si>
    <t>Minimalny kąt toru lotu</t>
  </si>
  <si>
    <t>korekta technologiczna współczynnika oporu</t>
  </si>
  <si>
    <t>współczynnik a dla płata obliczony</t>
  </si>
  <si>
    <t>współczynnik a dla płata odczytany z wykresu</t>
  </si>
  <si>
    <t>błąd między wynikami współczynnika a dla płata</t>
  </si>
  <si>
    <t>maksymalny współczynnik Cz</t>
  </si>
  <si>
    <t>Minimalny współczynnik Cx'</t>
  </si>
  <si>
    <t>Korekta dottycząca liczby reynoldsa</t>
  </si>
  <si>
    <t>minimalna wartość Cx</t>
  </si>
  <si>
    <t>Cz odpowiadające minimalnej wartości Cx</t>
  </si>
  <si>
    <t>α [°]</t>
  </si>
  <si>
    <t>samolot</t>
  </si>
  <si>
    <t>płat</t>
  </si>
  <si>
    <t>profil</t>
  </si>
  <si>
    <r>
      <t>α</t>
    </r>
    <r>
      <rPr>
        <vertAlign val="subscript"/>
        <sz val="8"/>
        <color theme="1"/>
        <rFont val="Arial"/>
        <family val="2"/>
        <charset val="238"/>
      </rPr>
      <t>i</t>
    </r>
    <r>
      <rPr>
        <sz val="8"/>
        <color theme="1"/>
        <rFont val="Arial"/>
        <family val="2"/>
        <charset val="238"/>
      </rPr>
      <t xml:space="preserve"> [°]</t>
    </r>
  </si>
  <si>
    <r>
      <t>α</t>
    </r>
    <r>
      <rPr>
        <vertAlign val="subscript"/>
        <sz val="8"/>
        <color theme="1"/>
        <rFont val="Arial"/>
        <family val="2"/>
        <charset val="238"/>
      </rPr>
      <t>p</t>
    </r>
    <r>
      <rPr>
        <sz val="8"/>
        <color theme="1"/>
        <rFont val="Arial"/>
        <family val="2"/>
        <charset val="238"/>
      </rPr>
      <t xml:space="preserve"> [°]</t>
    </r>
  </si>
  <si>
    <r>
      <t>Cx</t>
    </r>
    <r>
      <rPr>
        <vertAlign val="subscript"/>
        <sz val="8"/>
        <color theme="1"/>
        <rFont val="Arial"/>
        <family val="2"/>
        <charset val="238"/>
      </rPr>
      <t>i</t>
    </r>
  </si>
  <si>
    <r>
      <t>C'x</t>
    </r>
    <r>
      <rPr>
        <vertAlign val="subscript"/>
        <sz val="8"/>
        <color theme="1"/>
        <rFont val="Arial"/>
        <family val="2"/>
        <charset val="238"/>
      </rPr>
      <t>p</t>
    </r>
  </si>
  <si>
    <r>
      <t>Cz</t>
    </r>
    <r>
      <rPr>
        <vertAlign val="subscript"/>
        <sz val="8"/>
        <color theme="1"/>
        <rFont val="Arial"/>
        <family val="2"/>
        <charset val="238"/>
      </rPr>
      <t>H</t>
    </r>
  </si>
  <si>
    <r>
      <t>Cx</t>
    </r>
    <r>
      <rPr>
        <vertAlign val="subscript"/>
        <sz val="8"/>
        <color theme="1"/>
        <rFont val="Arial"/>
        <family val="2"/>
        <charset val="238"/>
      </rPr>
      <t>H</t>
    </r>
  </si>
  <si>
    <r>
      <t>Cx'</t>
    </r>
    <r>
      <rPr>
        <vertAlign val="subscript"/>
        <sz val="8"/>
        <color theme="1"/>
        <rFont val="Arial"/>
        <family val="2"/>
        <charset val="238"/>
      </rPr>
      <t>szk</t>
    </r>
  </si>
  <si>
    <r>
      <rPr>
        <sz val="8"/>
        <color theme="1"/>
        <rFont val="Calibri"/>
        <family val="2"/>
        <charset val="238"/>
      </rPr>
      <t>Δ</t>
    </r>
    <r>
      <rPr>
        <sz val="8"/>
        <color theme="1"/>
        <rFont val="Arial"/>
        <family val="2"/>
        <charset val="238"/>
      </rPr>
      <t>Cz</t>
    </r>
    <r>
      <rPr>
        <vertAlign val="subscript"/>
        <sz val="8"/>
        <color theme="1"/>
        <rFont val="Arial"/>
        <family val="2"/>
        <charset val="238"/>
      </rPr>
      <t>H</t>
    </r>
  </si>
  <si>
    <t>a rad</t>
  </si>
  <si>
    <t>a deg</t>
  </si>
  <si>
    <t>ap rad</t>
  </si>
  <si>
    <t>Pułap praktyczny</t>
  </si>
  <si>
    <t>pułapp</t>
  </si>
  <si>
    <t>obroty startowe</t>
  </si>
  <si>
    <t>ciąg silnika nominalny</t>
  </si>
  <si>
    <t>obroty nominalne</t>
  </si>
  <si>
    <r>
      <t>n</t>
    </r>
    <r>
      <rPr>
        <vertAlign val="subscript"/>
        <sz val="11"/>
        <color theme="1"/>
        <rFont val="Calibri"/>
        <family val="2"/>
        <charset val="238"/>
        <scheme val="minor"/>
      </rPr>
      <t>nom</t>
    </r>
  </si>
  <si>
    <r>
      <t>n</t>
    </r>
    <r>
      <rPr>
        <vertAlign val="subscript"/>
        <sz val="11"/>
        <color theme="1"/>
        <rFont val="Calibri"/>
        <family val="2"/>
        <charset val="238"/>
        <scheme val="minor"/>
      </rPr>
      <t>so</t>
    </r>
  </si>
  <si>
    <r>
      <t>P</t>
    </r>
    <r>
      <rPr>
        <vertAlign val="subscript"/>
        <sz val="11"/>
        <color theme="1"/>
        <rFont val="Calibri"/>
        <family val="2"/>
        <charset val="238"/>
        <scheme val="minor"/>
      </rPr>
      <t>nom</t>
    </r>
  </si>
  <si>
    <t>obr/min</t>
  </si>
  <si>
    <t>Powierzchnia 1 wylotu powietrza</t>
  </si>
  <si>
    <r>
      <rPr>
        <b/>
        <sz val="8"/>
        <color rgb="FF000000"/>
        <rFont val="Arial"/>
        <family val="2"/>
        <charset val="238"/>
      </rPr>
      <t>Tabela 3.3</t>
    </r>
    <r>
      <rPr>
        <sz val="8"/>
        <color rgb="FF000000"/>
        <rFont val="Arial"/>
        <family val="2"/>
        <charset val="238"/>
      </rPr>
      <t xml:space="preserve"> Charakterystyki aerodynamiczne samolotu PZL TS-11 Iskra</t>
    </r>
  </si>
  <si>
    <t>ciąg statyczny silnika uzyskiwany na ziemii przy zerowej prędkości lotu</t>
  </si>
  <si>
    <r>
      <t>P</t>
    </r>
    <r>
      <rPr>
        <vertAlign val="subscript"/>
        <sz val="11"/>
        <color theme="1"/>
        <rFont val="Calibri"/>
        <family val="2"/>
        <charset val="238"/>
        <scheme val="minor"/>
      </rPr>
      <t>r-0</t>
    </r>
  </si>
  <si>
    <t>Wysokość lotu h [km]</t>
  </si>
  <si>
    <r>
      <rPr>
        <sz val="11"/>
        <color theme="1"/>
        <rFont val="Calibri Light"/>
        <family val="2"/>
        <charset val="238"/>
      </rPr>
      <t>ρ</t>
    </r>
    <r>
      <rPr>
        <sz val="9.35"/>
        <color theme="1"/>
        <rFont val="Calibri"/>
        <family val="2"/>
        <charset val="238"/>
      </rPr>
      <t xml:space="preserve"> [kg/m</t>
    </r>
    <r>
      <rPr>
        <vertAlign val="superscript"/>
        <sz val="9.35"/>
        <color theme="1"/>
        <rFont val="Calibri"/>
        <family val="2"/>
        <charset val="238"/>
      </rPr>
      <t>3</t>
    </r>
    <r>
      <rPr>
        <sz val="9.35"/>
        <color theme="1"/>
        <rFont val="Calibri"/>
        <family val="2"/>
        <charset val="238"/>
      </rPr>
      <t>]</t>
    </r>
  </si>
  <si>
    <r>
      <t>P</t>
    </r>
    <r>
      <rPr>
        <vertAlign val="subscript"/>
        <sz val="11"/>
        <color theme="1"/>
        <rFont val="Calibri"/>
        <family val="2"/>
        <charset val="238"/>
        <scheme val="minor"/>
      </rPr>
      <t>r-0</t>
    </r>
    <r>
      <rPr>
        <sz val="11"/>
        <color theme="1"/>
        <rFont val="Calibri"/>
        <family val="2"/>
        <charset val="238"/>
        <scheme val="minor"/>
      </rPr>
      <t xml:space="preserve"> [N]</t>
    </r>
  </si>
  <si>
    <r>
      <t>Λ</t>
    </r>
    <r>
      <rPr>
        <vertAlign val="subscript"/>
        <sz val="11"/>
        <color theme="1"/>
        <rFont val="Calibri"/>
        <family val="2"/>
        <charset val="238"/>
        <scheme val="minor"/>
      </rPr>
      <t>e</t>
    </r>
  </si>
  <si>
    <r>
      <rPr>
        <sz val="11"/>
        <color theme="1"/>
        <rFont val="Calibri Light"/>
        <family val="2"/>
        <charset val="238"/>
      </rPr>
      <t>ν</t>
    </r>
    <r>
      <rPr>
        <vertAlign val="subscript"/>
        <sz val="11"/>
        <color theme="1"/>
        <rFont val="Calibri"/>
        <family val="2"/>
        <charset val="238"/>
        <scheme val="minor"/>
      </rPr>
      <t>x0</t>
    </r>
  </si>
  <si>
    <t>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</si>
</sst>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00000"/>
  </numFmts>
  <fonts count="2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rgb="FF000000"/>
      <name val="Arial"/>
      <family val="2"/>
      <charset val="238"/>
    </font>
    <font>
      <sz val="12"/>
      <color theme="1"/>
      <name val="Arial"/>
      <family val="2"/>
      <charset val="238"/>
    </font>
    <font>
      <sz val="11"/>
      <color theme="1"/>
      <name val="Calibri"/>
      <family val="2"/>
      <charset val="238"/>
    </font>
    <font>
      <sz val="11"/>
      <color theme="1"/>
      <name val="Calibri Light"/>
      <family val="2"/>
      <charset val="238"/>
    </font>
    <font>
      <vertAlign val="subscript"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vertAlign val="subscript"/>
      <sz val="11"/>
      <color theme="1"/>
      <name val="Calibri"/>
      <family val="2"/>
      <charset val="238"/>
    </font>
    <font>
      <vertAlign val="subscript"/>
      <sz val="10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vertAlign val="subscript"/>
      <sz val="11"/>
      <color theme="4"/>
      <name val="Calibri"/>
      <family val="2"/>
      <charset val="238"/>
      <scheme val="minor"/>
    </font>
    <font>
      <sz val="11"/>
      <color theme="5"/>
      <name val="Calibri"/>
      <family val="2"/>
      <charset val="238"/>
      <scheme val="minor"/>
    </font>
    <font>
      <vertAlign val="subscript"/>
      <sz val="11"/>
      <color theme="5"/>
      <name val="Calibri"/>
      <family val="2"/>
      <charset val="238"/>
      <scheme val="minor"/>
    </font>
    <font>
      <sz val="11"/>
      <color theme="6"/>
      <name val="Calibri"/>
      <family val="2"/>
      <charset val="238"/>
      <scheme val="minor"/>
    </font>
    <font>
      <vertAlign val="subscript"/>
      <sz val="11"/>
      <color theme="6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z val="8"/>
      <color theme="1"/>
      <name val="Calibri"/>
      <family val="2"/>
      <charset val="238"/>
    </font>
    <font>
      <vertAlign val="subscript"/>
      <sz val="8"/>
      <color theme="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8"/>
      <color rgb="FF000000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sz val="9.35"/>
      <color theme="1"/>
      <name val="Calibri"/>
      <family val="2"/>
      <charset val="238"/>
    </font>
    <font>
      <vertAlign val="superscript"/>
      <sz val="9.35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DashDot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Dot">
        <color auto="1"/>
      </bottom>
      <diagonal/>
    </border>
    <border>
      <left style="thin">
        <color auto="1"/>
      </left>
      <right/>
      <top style="thin">
        <color auto="1"/>
      </top>
      <bottom style="mediumDashDotDot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DashDotDot">
        <color auto="1"/>
      </bottom>
      <diagonal/>
    </border>
    <border>
      <left/>
      <right style="thin">
        <color auto="1"/>
      </right>
      <top style="thin">
        <color auto="1"/>
      </top>
      <bottom style="mediumDashDotDot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DashDot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DashDot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165" fontId="0" fillId="0" borderId="1" xfId="0" applyNumberFormat="1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8" fillId="0" borderId="1" xfId="0" applyFont="1" applyBorder="1"/>
    <xf numFmtId="0" fontId="8" fillId="0" borderId="0" xfId="0" applyFont="1" applyAlignment="1">
      <alignment horizontal="left" vertical="center" wrapText="1"/>
    </xf>
    <xf numFmtId="0" fontId="8" fillId="0" borderId="2" xfId="0" applyFont="1" applyBorder="1"/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3" fillId="0" borderId="0" xfId="0" applyNumberFormat="1" applyFont="1"/>
    <xf numFmtId="0" fontId="4" fillId="0" borderId="0" xfId="0" applyFont="1"/>
    <xf numFmtId="0" fontId="12" fillId="0" borderId="0" xfId="0" applyFont="1"/>
    <xf numFmtId="0" fontId="14" fillId="0" borderId="0" xfId="0" applyFont="1"/>
    <xf numFmtId="0" fontId="16" fillId="0" borderId="0" xfId="0" applyFont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165" fontId="21" fillId="0" borderId="13" xfId="0" applyNumberFormat="1" applyFont="1" applyBorder="1" applyAlignment="1">
      <alignment horizontal="center" vertical="center" wrapText="1"/>
    </xf>
    <xf numFmtId="164" fontId="21" fillId="0" borderId="14" xfId="0" applyNumberFormat="1" applyFont="1" applyBorder="1" applyAlignment="1">
      <alignment horizontal="center" vertical="center"/>
    </xf>
    <xf numFmtId="2" fontId="18" fillId="0" borderId="14" xfId="0" applyNumberFormat="1" applyFont="1" applyBorder="1" applyAlignment="1">
      <alignment horizontal="center" vertical="center"/>
    </xf>
    <xf numFmtId="164" fontId="18" fillId="0" borderId="15" xfId="0" applyNumberFormat="1" applyFont="1" applyBorder="1" applyAlignment="1">
      <alignment horizontal="center" vertical="center"/>
    </xf>
    <xf numFmtId="165" fontId="18" fillId="0" borderId="13" xfId="0" applyNumberFormat="1" applyFont="1" applyBorder="1" applyAlignment="1">
      <alignment horizontal="center" vertical="center"/>
    </xf>
    <xf numFmtId="164" fontId="21" fillId="0" borderId="16" xfId="0" applyNumberFormat="1" applyFont="1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5" fontId="18" fillId="0" borderId="14" xfId="0" applyNumberFormat="1" applyFont="1" applyBorder="1" applyAlignment="1">
      <alignment horizontal="center" vertical="center"/>
    </xf>
    <xf numFmtId="164" fontId="21" fillId="0" borderId="7" xfId="0" applyNumberFormat="1" applyFont="1" applyBorder="1" applyAlignment="1">
      <alignment horizontal="center" vertical="center"/>
    </xf>
    <xf numFmtId="2" fontId="18" fillId="0" borderId="7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5" fontId="18" fillId="0" borderId="6" xfId="0" applyNumberFormat="1" applyFont="1" applyBorder="1" applyAlignment="1">
      <alignment horizontal="center" vertical="center"/>
    </xf>
    <xf numFmtId="164" fontId="21" fillId="0" borderId="8" xfId="0" applyNumberFormat="1" applyFont="1" applyBorder="1" applyAlignment="1">
      <alignment horizontal="center" vertical="center"/>
    </xf>
    <xf numFmtId="164" fontId="18" fillId="0" borderId="7" xfId="0" applyNumberFormat="1" applyFont="1" applyBorder="1" applyAlignment="1">
      <alignment horizontal="center" vertical="center"/>
    </xf>
    <xf numFmtId="165" fontId="18" fillId="0" borderId="7" xfId="0" applyNumberFormat="1" applyFont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165" fontId="21" fillId="0" borderId="23" xfId="0" applyNumberFormat="1" applyFont="1" applyBorder="1" applyAlignment="1">
      <alignment horizontal="center" vertical="center" wrapText="1"/>
    </xf>
    <xf numFmtId="164" fontId="21" fillId="0" borderId="24" xfId="0" applyNumberFormat="1" applyFont="1" applyBorder="1" applyAlignment="1">
      <alignment horizontal="center" vertical="center"/>
    </xf>
    <xf numFmtId="2" fontId="18" fillId="0" borderId="24" xfId="0" applyNumberFormat="1" applyFont="1" applyBorder="1" applyAlignment="1">
      <alignment horizontal="center" vertical="center"/>
    </xf>
    <xf numFmtId="164" fontId="18" fillId="0" borderId="25" xfId="0" applyNumberFormat="1" applyFont="1" applyBorder="1" applyAlignment="1">
      <alignment horizontal="center" vertical="center"/>
    </xf>
    <xf numFmtId="165" fontId="18" fillId="0" borderId="23" xfId="0" applyNumberFormat="1" applyFont="1" applyBorder="1" applyAlignment="1">
      <alignment horizontal="center" vertical="center"/>
    </xf>
    <xf numFmtId="164" fontId="21" fillId="0" borderId="26" xfId="0" applyNumberFormat="1" applyFont="1" applyBorder="1" applyAlignment="1">
      <alignment horizontal="center" vertical="center"/>
    </xf>
    <xf numFmtId="164" fontId="18" fillId="0" borderId="27" xfId="0" applyNumberFormat="1" applyFont="1" applyBorder="1" applyAlignment="1">
      <alignment horizontal="center" vertical="center"/>
    </xf>
    <xf numFmtId="164" fontId="18" fillId="0" borderId="24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24" fillId="4" borderId="28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center" vertical="center"/>
    </xf>
    <xf numFmtId="0" fontId="24" fillId="4" borderId="30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8" xfId="0" applyNumberFormat="1" applyFont="1" applyBorder="1" applyAlignment="1">
      <alignment horizontal="center" vertical="center"/>
    </xf>
    <xf numFmtId="2" fontId="18" fillId="0" borderId="26" xfId="0" applyNumberFormat="1" applyFont="1" applyBorder="1" applyAlignment="1">
      <alignment horizontal="center" vertical="center"/>
    </xf>
    <xf numFmtId="0" fontId="18" fillId="2" borderId="3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23" fillId="4" borderId="35" xfId="0" applyFont="1" applyFill="1" applyBorder="1" applyAlignment="1">
      <alignment horizontal="center" vertical="center"/>
    </xf>
    <xf numFmtId="0" fontId="23" fillId="4" borderId="36" xfId="0" applyFont="1" applyFill="1" applyBorder="1" applyAlignment="1">
      <alignment horizontal="center" vertical="center"/>
    </xf>
    <xf numFmtId="0" fontId="23" fillId="4" borderId="37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8092786706078143"/>
                  <c:y val="-0.136691863517060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'projekty 2 i 3'!$B$3:$B$40</c:f>
              <c:numCache>
                <c:formatCode>General</c:formatCode>
                <c:ptCount val="38"/>
                <c:pt idx="0">
                  <c:v>-1.0976800022731099</c:v>
                </c:pt>
                <c:pt idx="1">
                  <c:v>-0.98949394783201605</c:v>
                </c:pt>
                <c:pt idx="2">
                  <c:v>-0.90304455304881603</c:v>
                </c:pt>
                <c:pt idx="3">
                  <c:v>-0.80029266352219097</c:v>
                </c:pt>
                <c:pt idx="4">
                  <c:v>-0.58392055463999604</c:v>
                </c:pt>
                <c:pt idx="5">
                  <c:v>-0.50833948968574205</c:v>
                </c:pt>
                <c:pt idx="6">
                  <c:v>-0.29754361538898699</c:v>
                </c:pt>
                <c:pt idx="7">
                  <c:v>-0.24355714042166299</c:v>
                </c:pt>
                <c:pt idx="8">
                  <c:v>-0.18942859578337201</c:v>
                </c:pt>
                <c:pt idx="9">
                  <c:v>-0.15703671080297801</c:v>
                </c:pt>
                <c:pt idx="10">
                  <c:v>-0.10297920100017</c:v>
                </c:pt>
                <c:pt idx="11">
                  <c:v>-6.5153151105302898E-2</c:v>
                </c:pt>
                <c:pt idx="12">
                  <c:v>-2.2106040802409799E-2</c:v>
                </c:pt>
                <c:pt idx="13">
                  <c:v>1.04989486844342E-2</c:v>
                </c:pt>
                <c:pt idx="14">
                  <c:v>5.8980223901801097E-2</c:v>
                </c:pt>
                <c:pt idx="15">
                  <c:v>6.6626773227877495E-2</c:v>
                </c:pt>
                <c:pt idx="16">
                  <c:v>7.7836947789267003E-2</c:v>
                </c:pt>
                <c:pt idx="17">
                  <c:v>9.2816697532836806E-2</c:v>
                </c:pt>
                <c:pt idx="18">
                  <c:v>0.107697896291252</c:v>
                </c:pt>
                <c:pt idx="19">
                  <c:v>0.133986371581365</c:v>
                </c:pt>
                <c:pt idx="20">
                  <c:v>0.16399514656108399</c:v>
                </c:pt>
                <c:pt idx="21">
                  <c:v>0.21299962392944199</c:v>
                </c:pt>
                <c:pt idx="22">
                  <c:v>0.25823452611561798</c:v>
                </c:pt>
                <c:pt idx="23">
                  <c:v>0.29612737990774202</c:v>
                </c:pt>
                <c:pt idx="24">
                  <c:v>0.39512184449600801</c:v>
                </c:pt>
                <c:pt idx="25">
                  <c:v>0.50195345797579005</c:v>
                </c:pt>
                <c:pt idx="26">
                  <c:v>0.620723702903903</c:v>
                </c:pt>
                <c:pt idx="27">
                  <c:v>0.80992498721372896</c:v>
                </c:pt>
                <c:pt idx="28">
                  <c:v>0.89086918224697298</c:v>
                </c:pt>
                <c:pt idx="29">
                  <c:v>1.0043473319315701</c:v>
                </c:pt>
                <c:pt idx="30">
                  <c:v>1.10173609137921</c:v>
                </c:pt>
                <c:pt idx="31">
                  <c:v>1.19898278115587</c:v>
                </c:pt>
                <c:pt idx="32">
                  <c:v>1.307026765926</c:v>
                </c:pt>
                <c:pt idx="33">
                  <c:v>1.36094220605785</c:v>
                </c:pt>
                <c:pt idx="34">
                  <c:v>1.4087131329203799</c:v>
                </c:pt>
                <c:pt idx="35">
                  <c:v>1.3701767346706799</c:v>
                </c:pt>
                <c:pt idx="36">
                  <c:v>1.3151957720065901</c:v>
                </c:pt>
                <c:pt idx="37">
                  <c:v>1.2603568790134601</c:v>
                </c:pt>
              </c:numCache>
            </c:numRef>
          </c:xVal>
          <c:yVal>
            <c:numRef>
              <c:f>'projekty 2 i 3'!$C$3:$C$40</c:f>
              <c:numCache>
                <c:formatCode>General</c:formatCode>
                <c:ptCount val="38"/>
                <c:pt idx="0">
                  <c:v>1.4123271773477247E-2</c:v>
                </c:pt>
                <c:pt idx="1">
                  <c:v>1.2664039433756285E-2</c:v>
                </c:pt>
                <c:pt idx="2">
                  <c:v>1.159222119831823E-2</c:v>
                </c:pt>
                <c:pt idx="3">
                  <c:v>9.563653946631159E-3</c:v>
                </c:pt>
                <c:pt idx="4">
                  <c:v>8.5736818067965181E-3</c:v>
                </c:pt>
                <c:pt idx="5">
                  <c:v>7.5602125653552801E-3</c:v>
                </c:pt>
                <c:pt idx="6">
                  <c:v>6.82501928516328E-3</c:v>
                </c:pt>
                <c:pt idx="7">
                  <c:v>6.6238107482643402E-3</c:v>
                </c:pt>
                <c:pt idx="8">
                  <c:v>6.6208108339761802E-3</c:v>
                </c:pt>
                <c:pt idx="9">
                  <c:v>6.2880346275820702E-3</c:v>
                </c:pt>
                <c:pt idx="10">
                  <c:v>6.0876832090511696E-3</c:v>
                </c:pt>
                <c:pt idx="11">
                  <c:v>6.0193280191994502E-3</c:v>
                </c:pt>
                <c:pt idx="12">
                  <c:v>5.7523356475529296E-3</c:v>
                </c:pt>
                <c:pt idx="13">
                  <c:v>5.6856946944373104E-3</c:v>
                </c:pt>
                <c:pt idx="14">
                  <c:v>5.2213508185480397E-3</c:v>
                </c:pt>
                <c:pt idx="15">
                  <c:v>4.8026092753033498E-3</c:v>
                </c:pt>
                <c:pt idx="16">
                  <c:v>4.7258626956138503E-3</c:v>
                </c:pt>
                <c:pt idx="17">
                  <c:v>4.6487465497299998E-3</c:v>
                </c:pt>
                <c:pt idx="18">
                  <c:v>4.4959925227396396E-3</c:v>
                </c:pt>
                <c:pt idx="19">
                  <c:v>4.4177676782728098E-3</c:v>
                </c:pt>
                <c:pt idx="20">
                  <c:v>4.3013543270583902E-3</c:v>
                </c:pt>
                <c:pt idx="21">
                  <c:v>4.2965499665320803E-3</c:v>
                </c:pt>
                <c:pt idx="22">
                  <c:v>4.2921151722000997E-3</c:v>
                </c:pt>
                <c:pt idx="23">
                  <c:v>4.4396952724698102E-3</c:v>
                </c:pt>
                <c:pt idx="24">
                  <c:v>5.1864653624823396E-3</c:v>
                </c:pt>
                <c:pt idx="25">
                  <c:v>5.9162595354418498E-3</c:v>
                </c:pt>
                <c:pt idx="26">
                  <c:v>6.8303762749635797E-3</c:v>
                </c:pt>
                <c:pt idx="27">
                  <c:v>8.0016285248992892E-3</c:v>
                </c:pt>
                <c:pt idx="28">
                  <c:v>8.7188223193623102E-3</c:v>
                </c:pt>
                <c:pt idx="29">
                  <c:v>9.2386646095825899E-3</c:v>
                </c:pt>
                <c:pt idx="30">
                  <c:v>9.8242907345504494E-3</c:v>
                </c:pt>
                <c:pt idx="31">
                  <c:v>1.1067326647810001E-2</c:v>
                </c:pt>
                <c:pt idx="32">
                  <c:v>1.24427873489329E-2</c:v>
                </c:pt>
                <c:pt idx="33">
                  <c:v>1.3426116396674299E-2</c:v>
                </c:pt>
                <c:pt idx="34">
                  <c:v>1.40147424359304E-2</c:v>
                </c:pt>
                <c:pt idx="35">
                  <c:v>1.356481737967207E-2</c:v>
                </c:pt>
                <c:pt idx="36">
                  <c:v>1.2936078597739504E-2</c:v>
                </c:pt>
                <c:pt idx="37">
                  <c:v>1.2303238514174163E-2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C-4F1B-B501-068B252AF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730912"/>
        <c:axId val="2045953072"/>
      </c:scatterChart>
      <c:valAx>
        <c:axId val="13707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5953072"/>
        <c:crosses val="autoZero"/>
        <c:crossBetween val="midCat"/>
      </c:valAx>
      <c:valAx>
        <c:axId val="204595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073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Cz(</a:t>
            </a:r>
            <a:r>
              <a:rPr lang="el-GR"/>
              <a:t>α</a:t>
            </a:r>
            <a:r>
              <a:rPr lang="pl-PL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2626044004195935E-2"/>
                  <c:y val="-0.130939947780678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'projekty 2 i 3'!$D$7:$D$36</c:f>
              <c:numCache>
                <c:formatCode>General</c:formatCode>
                <c:ptCount val="30"/>
                <c:pt idx="0">
                  <c:v>-0.11587259120663988</c:v>
                </c:pt>
                <c:pt idx="1">
                  <c:v>-0.10233406515690256</c:v>
                </c:pt>
                <c:pt idx="2">
                  <c:v>-7.1273148859641963E-2</c:v>
                </c:pt>
                <c:pt idx="3">
                  <c:v>-6.1602773109829714E-2</c:v>
                </c:pt>
                <c:pt idx="4">
                  <c:v>-5.5734425432593236E-2</c:v>
                </c:pt>
                <c:pt idx="5">
                  <c:v>-4.9932199982705899E-2</c:v>
                </c:pt>
                <c:pt idx="6">
                  <c:v>-4.2162838269181449E-2</c:v>
                </c:pt>
                <c:pt idx="7">
                  <c:v>-3.6344082262456778E-2</c:v>
                </c:pt>
                <c:pt idx="8">
                  <c:v>-2.4805753590031236E-2</c:v>
                </c:pt>
                <c:pt idx="9">
                  <c:v>-2.4706570249007444E-2</c:v>
                </c:pt>
                <c:pt idx="10">
                  <c:v>-1.3151711019744657E-2</c:v>
                </c:pt>
                <c:pt idx="11">
                  <c:v>-1.1486082642806877E-2</c:v>
                </c:pt>
                <c:pt idx="12">
                  <c:v>-9.6870720733607737E-3</c:v>
                </c:pt>
                <c:pt idx="13">
                  <c:v>-7.2831194882549679E-3</c:v>
                </c:pt>
                <c:pt idx="14">
                  <c:v>-4.8949823806826824E-3</c:v>
                </c:pt>
                <c:pt idx="15">
                  <c:v>-6.7620374859740098E-4</c:v>
                </c:pt>
                <c:pt idx="16">
                  <c:v>4.1396091603813018E-3</c:v>
                </c:pt>
                <c:pt idx="17">
                  <c:v>1.2003855363959688E-2</c:v>
                </c:pt>
                <c:pt idx="18">
                  <c:v>1.9263159551878097E-2</c:v>
                </c:pt>
                <c:pt idx="19">
                  <c:v>2.5344210663544049E-2</c:v>
                </c:pt>
                <c:pt idx="20">
                  <c:v>4.1230857846036625E-2</c:v>
                </c:pt>
                <c:pt idx="21">
                  <c:v>5.8541313983564595E-2</c:v>
                </c:pt>
                <c:pt idx="22">
                  <c:v>7.9816140633151872E-2</c:v>
                </c:pt>
                <c:pt idx="23">
                  <c:v>0.10700890663048725</c:v>
                </c:pt>
                <c:pt idx="24">
                  <c:v>0.12246497727334966</c:v>
                </c:pt>
                <c:pt idx="25">
                  <c:v>0.13992124529352368</c:v>
                </c:pt>
                <c:pt idx="26">
                  <c:v>0.15162487953432199</c:v>
                </c:pt>
                <c:pt idx="27">
                  <c:v>0.16713054184769638</c:v>
                </c:pt>
                <c:pt idx="28">
                  <c:v>0.18457027931103182</c:v>
                </c:pt>
                <c:pt idx="29">
                  <c:v>0.19614166909713326</c:v>
                </c:pt>
              </c:numCache>
            </c:numRef>
          </c:xVal>
          <c:yVal>
            <c:numRef>
              <c:f>'projekty 2 i 3'!$B$7:$B$36</c:f>
              <c:numCache>
                <c:formatCode>General</c:formatCode>
                <c:ptCount val="30"/>
                <c:pt idx="0">
                  <c:v>-0.58392055463999604</c:v>
                </c:pt>
                <c:pt idx="1">
                  <c:v>-0.50833948968574205</c:v>
                </c:pt>
                <c:pt idx="2">
                  <c:v>-0.29754361538898699</c:v>
                </c:pt>
                <c:pt idx="3">
                  <c:v>-0.24355714042166299</c:v>
                </c:pt>
                <c:pt idx="4">
                  <c:v>-0.18942859578337201</c:v>
                </c:pt>
                <c:pt idx="5">
                  <c:v>-0.15703671080297801</c:v>
                </c:pt>
                <c:pt idx="6">
                  <c:v>-0.10297920100017</c:v>
                </c:pt>
                <c:pt idx="7">
                  <c:v>-6.5153151105302898E-2</c:v>
                </c:pt>
                <c:pt idx="8">
                  <c:v>-2.2106040802409799E-2</c:v>
                </c:pt>
                <c:pt idx="9">
                  <c:v>1.04989486844342E-2</c:v>
                </c:pt>
                <c:pt idx="10">
                  <c:v>5.8980223901801097E-2</c:v>
                </c:pt>
                <c:pt idx="11">
                  <c:v>6.6626773227877495E-2</c:v>
                </c:pt>
                <c:pt idx="12">
                  <c:v>7.7836947789267003E-2</c:v>
                </c:pt>
                <c:pt idx="13">
                  <c:v>9.2816697532836806E-2</c:v>
                </c:pt>
                <c:pt idx="14">
                  <c:v>0.107697896291252</c:v>
                </c:pt>
                <c:pt idx="15">
                  <c:v>0.133986371581365</c:v>
                </c:pt>
                <c:pt idx="16">
                  <c:v>0.16399514656108399</c:v>
                </c:pt>
                <c:pt idx="17">
                  <c:v>0.21299962392944199</c:v>
                </c:pt>
                <c:pt idx="18">
                  <c:v>0.25823452611561798</c:v>
                </c:pt>
                <c:pt idx="19">
                  <c:v>0.29612737990774202</c:v>
                </c:pt>
                <c:pt idx="20">
                  <c:v>0.39512184449600801</c:v>
                </c:pt>
                <c:pt idx="21">
                  <c:v>0.50195345797579005</c:v>
                </c:pt>
                <c:pt idx="22">
                  <c:v>0.620723702903903</c:v>
                </c:pt>
                <c:pt idx="23">
                  <c:v>0.80992498721372896</c:v>
                </c:pt>
                <c:pt idx="24">
                  <c:v>0.89086918224697298</c:v>
                </c:pt>
                <c:pt idx="25">
                  <c:v>1.0043473319315701</c:v>
                </c:pt>
                <c:pt idx="26">
                  <c:v>1.10173609137921</c:v>
                </c:pt>
                <c:pt idx="27">
                  <c:v>1.19898278115587</c:v>
                </c:pt>
                <c:pt idx="28">
                  <c:v>1.307026765926</c:v>
                </c:pt>
                <c:pt idx="29">
                  <c:v>1.36094220605785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9-4094-976D-F293D1E92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723664"/>
        <c:axId val="1610484368"/>
      </c:scatterChart>
      <c:valAx>
        <c:axId val="1370723664"/>
        <c:scaling>
          <c:orientation val="minMax"/>
          <c:max val="0.25"/>
          <c:min val="-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</a:t>
                </a:r>
                <a:r>
                  <a:rPr lang="pl-PL"/>
                  <a:t> [rad]</a:t>
                </a:r>
              </a:p>
            </c:rich>
          </c:tx>
          <c:layout>
            <c:manualLayout>
              <c:xMode val="edge"/>
              <c:yMode val="edge"/>
              <c:x val="0.46398250218722659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0484368"/>
        <c:crosses val="autoZero"/>
        <c:crossBetween val="midCat"/>
        <c:majorUnit val="5.000000000000001E-2"/>
      </c:valAx>
      <c:valAx>
        <c:axId val="161048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072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Cz(ap)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6470253718285212E-2"/>
                  <c:y val="-7.38498833479148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'projekty 2 i 3'!$F$7:$F$36</c:f>
              <c:numCache>
                <c:formatCode>General</c:formatCode>
                <c:ptCount val="30"/>
                <c:pt idx="0">
                  <c:v>-0.14859154163031491</c:v>
                </c:pt>
                <c:pt idx="1">
                  <c:v>-0.13081796494302736</c:v>
                </c:pt>
                <c:pt idx="2">
                  <c:v>-8.7945476496396224E-2</c:v>
                </c:pt>
                <c:pt idx="3">
                  <c:v>-7.5250064576905279E-2</c:v>
                </c:pt>
                <c:pt idx="4">
                  <c:v>-6.6348720108490897E-2</c:v>
                </c:pt>
                <c:pt idx="5">
                  <c:v>-5.8731472956796357E-2</c:v>
                </c:pt>
                <c:pt idx="6">
                  <c:v>-4.7933094762843576E-2</c:v>
                </c:pt>
                <c:pt idx="7">
                  <c:v>-3.9994823281969093E-2</c:v>
                </c:pt>
                <c:pt idx="8">
                  <c:v>-2.6044426295299693E-2</c:v>
                </c:pt>
                <c:pt idx="9">
                  <c:v>-2.4118280320219964E-2</c:v>
                </c:pt>
                <c:pt idx="10">
                  <c:v>-9.8468590043706804E-3</c:v>
                </c:pt>
                <c:pt idx="11">
                  <c:v>-7.7527698268599057E-3</c:v>
                </c:pt>
                <c:pt idx="12">
                  <c:v>-5.3256170507381372E-3</c:v>
                </c:pt>
                <c:pt idx="13">
                  <c:v>-2.0823008136350257E-3</c:v>
                </c:pt>
                <c:pt idx="14">
                  <c:v>1.1396778166451343E-3</c:v>
                </c:pt>
                <c:pt idx="15">
                  <c:v>6.8314844366927675E-3</c:v>
                </c:pt>
                <c:pt idx="16">
                  <c:v>1.332878571431091E-2</c:v>
                </c:pt>
                <c:pt idx="17">
                  <c:v>2.3938910707071392E-2</c:v>
                </c:pt>
                <c:pt idx="18">
                  <c:v>3.3732872238850159E-2</c:v>
                </c:pt>
                <c:pt idx="19">
                  <c:v>4.193718206231202E-2</c:v>
                </c:pt>
                <c:pt idx="20">
                  <c:v>6.3370808116063312E-2</c:v>
                </c:pt>
                <c:pt idx="21">
                  <c:v>8.6667383833302303E-2</c:v>
                </c:pt>
                <c:pt idx="22">
                  <c:v>0.11459729005618276</c:v>
                </c:pt>
                <c:pt idx="23">
                  <c:v>0.1523916137350172</c:v>
                </c:pt>
                <c:pt idx="24">
                  <c:v>0.17238324847702285</c:v>
                </c:pt>
                <c:pt idx="25">
                  <c:v>0.19619806291964609</c:v>
                </c:pt>
                <c:pt idx="26">
                  <c:v>0.2133587031981152</c:v>
                </c:pt>
                <c:pt idx="27">
                  <c:v>0.2343134109276605</c:v>
                </c:pt>
                <c:pt idx="28">
                  <c:v>0.25780720104110288</c:v>
                </c:pt>
                <c:pt idx="29">
                  <c:v>0.27239964668613398</c:v>
                </c:pt>
              </c:numCache>
            </c:numRef>
          </c:xVal>
          <c:yVal>
            <c:numRef>
              <c:f>'projekty 2 i 3'!$B$7:$B$36</c:f>
              <c:numCache>
                <c:formatCode>General</c:formatCode>
                <c:ptCount val="30"/>
                <c:pt idx="0">
                  <c:v>-0.58392055463999604</c:v>
                </c:pt>
                <c:pt idx="1">
                  <c:v>-0.50833948968574205</c:v>
                </c:pt>
                <c:pt idx="2">
                  <c:v>-0.29754361538898699</c:v>
                </c:pt>
                <c:pt idx="3">
                  <c:v>-0.24355714042166299</c:v>
                </c:pt>
                <c:pt idx="4">
                  <c:v>-0.18942859578337201</c:v>
                </c:pt>
                <c:pt idx="5">
                  <c:v>-0.15703671080297801</c:v>
                </c:pt>
                <c:pt idx="6">
                  <c:v>-0.10297920100017</c:v>
                </c:pt>
                <c:pt idx="7">
                  <c:v>-6.5153151105302898E-2</c:v>
                </c:pt>
                <c:pt idx="8">
                  <c:v>-2.2106040802409799E-2</c:v>
                </c:pt>
                <c:pt idx="9">
                  <c:v>1.04989486844342E-2</c:v>
                </c:pt>
                <c:pt idx="10">
                  <c:v>5.8980223901801097E-2</c:v>
                </c:pt>
                <c:pt idx="11">
                  <c:v>6.6626773227877495E-2</c:v>
                </c:pt>
                <c:pt idx="12">
                  <c:v>7.7836947789267003E-2</c:v>
                </c:pt>
                <c:pt idx="13">
                  <c:v>9.2816697532836806E-2</c:v>
                </c:pt>
                <c:pt idx="14">
                  <c:v>0.107697896291252</c:v>
                </c:pt>
                <c:pt idx="15">
                  <c:v>0.133986371581365</c:v>
                </c:pt>
                <c:pt idx="16">
                  <c:v>0.16399514656108399</c:v>
                </c:pt>
                <c:pt idx="17">
                  <c:v>0.21299962392944199</c:v>
                </c:pt>
                <c:pt idx="18">
                  <c:v>0.25823452611561798</c:v>
                </c:pt>
                <c:pt idx="19">
                  <c:v>0.29612737990774202</c:v>
                </c:pt>
                <c:pt idx="20">
                  <c:v>0.39512184449600801</c:v>
                </c:pt>
                <c:pt idx="21">
                  <c:v>0.50195345797579005</c:v>
                </c:pt>
                <c:pt idx="22">
                  <c:v>0.620723702903903</c:v>
                </c:pt>
                <c:pt idx="23">
                  <c:v>0.80992498721372896</c:v>
                </c:pt>
                <c:pt idx="24">
                  <c:v>0.89086918224697298</c:v>
                </c:pt>
                <c:pt idx="25">
                  <c:v>1.0043473319315701</c:v>
                </c:pt>
                <c:pt idx="26">
                  <c:v>1.10173609137921</c:v>
                </c:pt>
                <c:pt idx="27">
                  <c:v>1.19898278115587</c:v>
                </c:pt>
                <c:pt idx="28">
                  <c:v>1.307026765926</c:v>
                </c:pt>
                <c:pt idx="29">
                  <c:v>1.36094220605785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2-4573-BD30-9290CF857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424751"/>
        <c:axId val="1612536927"/>
      </c:scatterChart>
      <c:valAx>
        <c:axId val="1608424751"/>
        <c:scaling>
          <c:orientation val="minMax"/>
          <c:max val="0.30000000000000004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ap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2536927"/>
        <c:crosses val="autoZero"/>
        <c:crossBetween val="midCat"/>
        <c:majorUnit val="5.000000000000001E-2"/>
      </c:valAx>
      <c:valAx>
        <c:axId val="161253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842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Cz(Cx)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płat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'projekty 2 i 3'!$J$3:$J$20</c:f>
              <c:numCache>
                <c:formatCode>0.0000</c:formatCode>
                <c:ptCount val="18"/>
                <c:pt idx="0">
                  <c:v>1.6366787367236388E-2</c:v>
                </c:pt>
                <c:pt idx="1">
                  <c:v>1.4666012621676846E-2</c:v>
                </c:pt>
                <c:pt idx="2">
                  <c:v>1.3401182496609406E-2</c:v>
                </c:pt>
                <c:pt idx="3">
                  <c:v>1.1143205468136045E-2</c:v>
                </c:pt>
                <c:pt idx="4">
                  <c:v>9.6701485166242329E-3</c:v>
                </c:pt>
                <c:pt idx="5">
                  <c:v>8.4879326436582032E-3</c:v>
                </c:pt>
                <c:pt idx="6">
                  <c:v>7.2821043737577298E-3</c:v>
                </c:pt>
                <c:pt idx="7">
                  <c:v>6.9603625286267963E-3</c:v>
                </c:pt>
                <c:pt idx="8">
                  <c:v>6.8365121131902422E-3</c:v>
                </c:pt>
                <c:pt idx="9">
                  <c:v>6.4314159218569374E-3</c:v>
                </c:pt>
                <c:pt idx="10">
                  <c:v>6.1103725986358416E-3</c:v>
                </c:pt>
                <c:pt idx="11">
                  <c:v>5.9575647947926304E-3</c:v>
                </c:pt>
                <c:pt idx="12">
                  <c:v>5.5944629694769134E-3</c:v>
                </c:pt>
                <c:pt idx="13">
                  <c:v>5.5019073550914141E-3</c:v>
                </c:pt>
                <c:pt idx="14">
                  <c:v>5.1458055619236377E-3</c:v>
                </c:pt>
                <c:pt idx="15">
                  <c:v>4.8358338953196642E-3</c:v>
                </c:pt>
                <c:pt idx="16">
                  <c:v>4.8847797936720158E-3</c:v>
                </c:pt>
                <c:pt idx="17">
                  <c:v>4.9170738617160641E-3</c:v>
                </c:pt>
              </c:numCache>
            </c:numRef>
          </c:xVal>
          <c:yVal>
            <c:numRef>
              <c:f>'projekty 2 i 3'!$G$3:$G$20</c:f>
              <c:numCache>
                <c:formatCode>0.000</c:formatCode>
                <c:ptCount val="18"/>
                <c:pt idx="0">
                  <c:v>-1.0976800022731099</c:v>
                </c:pt>
                <c:pt idx="1">
                  <c:v>-0.98949394783201605</c:v>
                </c:pt>
                <c:pt idx="2">
                  <c:v>-0.90304455304881603</c:v>
                </c:pt>
                <c:pt idx="3">
                  <c:v>-0.80029266352219097</c:v>
                </c:pt>
                <c:pt idx="4">
                  <c:v>-0.58392055463999604</c:v>
                </c:pt>
                <c:pt idx="5">
                  <c:v>-0.50833948968574205</c:v>
                </c:pt>
                <c:pt idx="6">
                  <c:v>-0.29754361538898699</c:v>
                </c:pt>
                <c:pt idx="7">
                  <c:v>-0.24355714042166299</c:v>
                </c:pt>
                <c:pt idx="8">
                  <c:v>-0.18942859578337201</c:v>
                </c:pt>
                <c:pt idx="9">
                  <c:v>-0.15703671080297801</c:v>
                </c:pt>
                <c:pt idx="10">
                  <c:v>-0.10297920100017</c:v>
                </c:pt>
                <c:pt idx="11">
                  <c:v>-6.5153151105302898E-2</c:v>
                </c:pt>
                <c:pt idx="12">
                  <c:v>-2.2106040802409799E-2</c:v>
                </c:pt>
                <c:pt idx="13">
                  <c:v>1.04989486844342E-2</c:v>
                </c:pt>
                <c:pt idx="14">
                  <c:v>5.8980223901801097E-2</c:v>
                </c:pt>
                <c:pt idx="15">
                  <c:v>6.6626773227877495E-2</c:v>
                </c:pt>
                <c:pt idx="16">
                  <c:v>7.7836947789267003E-2</c:v>
                </c:pt>
                <c:pt idx="17">
                  <c:v>9.2816697532836806E-2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12-4923-8785-1063B1AF8DFD}"/>
            </c:ext>
          </c:extLst>
        </c:ser>
        <c:ser>
          <c:idx val="1"/>
          <c:order val="1"/>
          <c:tx>
            <c:v>profil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'projekty 2 i 3'!$N$3:$N$20</c:f>
              <c:numCache>
                <c:formatCode>0.0000</c:formatCode>
                <c:ptCount val="18"/>
                <c:pt idx="0">
                  <c:v>8.3578907985383213E-2</c:v>
                </c:pt>
                <c:pt idx="1">
                  <c:v>6.9418263595814531E-2</c:v>
                </c:pt>
                <c:pt idx="2">
                  <c:v>5.9125460477464524E-2</c:v>
                </c:pt>
                <c:pt idx="3">
                  <c:v>4.7209776499444293E-2</c:v>
                </c:pt>
                <c:pt idx="4">
                  <c:v>2.9209954965663584E-2</c:v>
                </c:pt>
                <c:pt idx="5">
                  <c:v>2.3472379923772362E-2</c:v>
                </c:pt>
                <c:pt idx="6">
                  <c:v>1.289270750901437E-2</c:v>
                </c:pt>
                <c:pt idx="7">
                  <c:v>1.0959033791785816E-2</c:v>
                </c:pt>
                <c:pt idx="8">
                  <c:v>9.5419303282229286E-3</c:v>
                </c:pt>
                <c:pt idx="9">
                  <c:v>8.51756484450885E-3</c:v>
                </c:pt>
                <c:pt idx="10">
                  <c:v>7.4209184286901063E-3</c:v>
                </c:pt>
                <c:pt idx="11">
                  <c:v>6.9171762985285375E-3</c:v>
                </c:pt>
                <c:pt idx="12">
                  <c:v>6.3468033692304967E-3</c:v>
                </c:pt>
                <c:pt idx="13">
                  <c:v>6.2333648424604607E-3</c:v>
                </c:pt>
                <c:pt idx="14">
                  <c:v>6.0631343094127519E-3</c:v>
                </c:pt>
                <c:pt idx="15">
                  <c:v>5.8061610598433219E-3</c:v>
                </c:pt>
                <c:pt idx="16">
                  <c:v>5.9444693415186805E-3</c:v>
                </c:pt>
                <c:pt idx="17">
                  <c:v>6.1178233507100614E-3</c:v>
                </c:pt>
              </c:numCache>
            </c:numRef>
          </c:xVal>
          <c:yVal>
            <c:numRef>
              <c:f>'projekty 2 i 3'!$G$3:$G$20</c:f>
              <c:numCache>
                <c:formatCode>0.000</c:formatCode>
                <c:ptCount val="18"/>
                <c:pt idx="0">
                  <c:v>-1.0976800022731099</c:v>
                </c:pt>
                <c:pt idx="1">
                  <c:v>-0.98949394783201605</c:v>
                </c:pt>
                <c:pt idx="2">
                  <c:v>-0.90304455304881603</c:v>
                </c:pt>
                <c:pt idx="3">
                  <c:v>-0.80029266352219097</c:v>
                </c:pt>
                <c:pt idx="4">
                  <c:v>-0.58392055463999604</c:v>
                </c:pt>
                <c:pt idx="5">
                  <c:v>-0.50833948968574205</c:v>
                </c:pt>
                <c:pt idx="6">
                  <c:v>-0.29754361538898699</c:v>
                </c:pt>
                <c:pt idx="7">
                  <c:v>-0.24355714042166299</c:v>
                </c:pt>
                <c:pt idx="8">
                  <c:v>-0.18942859578337201</c:v>
                </c:pt>
                <c:pt idx="9">
                  <c:v>-0.15703671080297801</c:v>
                </c:pt>
                <c:pt idx="10">
                  <c:v>-0.10297920100017</c:v>
                </c:pt>
                <c:pt idx="11">
                  <c:v>-6.5153151105302898E-2</c:v>
                </c:pt>
                <c:pt idx="12">
                  <c:v>-2.2106040802409799E-2</c:v>
                </c:pt>
                <c:pt idx="13">
                  <c:v>1.04989486844342E-2</c:v>
                </c:pt>
                <c:pt idx="14">
                  <c:v>5.8980223901801097E-2</c:v>
                </c:pt>
                <c:pt idx="15">
                  <c:v>6.6626773227877495E-2</c:v>
                </c:pt>
                <c:pt idx="16">
                  <c:v>7.7836947789267003E-2</c:v>
                </c:pt>
                <c:pt idx="17">
                  <c:v>9.2816697532836806E-2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12-4923-8785-1063B1AF8DFD}"/>
            </c:ext>
          </c:extLst>
        </c:ser>
        <c:ser>
          <c:idx val="2"/>
          <c:order val="2"/>
          <c:tx>
            <c:v>samolot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'projekty 2 i 3'!$R$3:$R$20</c:f>
              <c:numCache>
                <c:formatCode>0.0000</c:formatCode>
                <c:ptCount val="18"/>
                <c:pt idx="0">
                  <c:v>9.6029128783039389E-2</c:v>
                </c:pt>
                <c:pt idx="1">
                  <c:v>8.1433714684294695E-2</c:v>
                </c:pt>
                <c:pt idx="2">
                  <c:v>7.0814454157905424E-2</c:v>
                </c:pt>
                <c:pt idx="3">
                  <c:v>5.8517695573703801E-2</c:v>
                </c:pt>
                <c:pt idx="4">
                  <c:v>3.9859327099608613E-2</c:v>
                </c:pt>
                <c:pt idx="5">
                  <c:v>3.3903375706310933E-2</c:v>
                </c:pt>
                <c:pt idx="6">
                  <c:v>2.2824910797561163E-2</c:v>
                </c:pt>
                <c:pt idx="7">
                  <c:v>2.0779438529607383E-2</c:v>
                </c:pt>
                <c:pt idx="8">
                  <c:v>1.9260851053098108E-2</c:v>
                </c:pt>
                <c:pt idx="9">
                  <c:v>1.8172312356309239E-2</c:v>
                </c:pt>
                <c:pt idx="10">
                  <c:v>1.6980967571003834E-2</c:v>
                </c:pt>
                <c:pt idx="11">
                  <c:v>1.6416338183111626E-2</c:v>
                </c:pt>
                <c:pt idx="12">
                  <c:v>1.5776836278446973E-2</c:v>
                </c:pt>
                <c:pt idx="13">
                  <c:v>1.5643091035550429E-2</c:v>
                </c:pt>
                <c:pt idx="14">
                  <c:v>1.5522925615731568E-2</c:v>
                </c:pt>
                <c:pt idx="15">
                  <c:v>1.5269259112928635E-2</c:v>
                </c:pt>
                <c:pt idx="16">
                  <c:v>1.5422722416528856E-2</c:v>
                </c:pt>
                <c:pt idx="17">
                  <c:v>1.5616110055113921E-2</c:v>
                </c:pt>
              </c:numCache>
            </c:numRef>
          </c:xVal>
          <c:yVal>
            <c:numRef>
              <c:f>'projekty 2 i 3'!$T$3:$T$20</c:f>
              <c:numCache>
                <c:formatCode>0.000</c:formatCode>
                <c:ptCount val="18"/>
                <c:pt idx="0">
                  <c:v>-1.1203912984807236</c:v>
                </c:pt>
                <c:pt idx="1">
                  <c:v>-1.0114065953455393</c:v>
                </c:pt>
                <c:pt idx="2">
                  <c:v>-0.92431901575557096</c:v>
                </c:pt>
                <c:pt idx="3">
                  <c:v>-0.820808593506686</c:v>
                </c:pt>
                <c:pt idx="4">
                  <c:v>-0.60283918723631014</c:v>
                </c:pt>
                <c:pt idx="5">
                  <c:v>-0.52670016941894904</c:v>
                </c:pt>
                <c:pt idx="6">
                  <c:v>-0.31434816248942088</c:v>
                </c:pt>
                <c:pt idx="7">
                  <c:v>-0.2599631497627346</c:v>
                </c:pt>
                <c:pt idx="8">
                  <c:v>-0.20543501858150406</c:v>
                </c:pt>
                <c:pt idx="9">
                  <c:v>-0.17280401094549269</c:v>
                </c:pt>
                <c:pt idx="10">
                  <c:v>-0.11834743899153377</c:v>
                </c:pt>
                <c:pt idx="11">
                  <c:v>-8.0242150469218773E-2</c:v>
                </c:pt>
                <c:pt idx="12">
                  <c:v>-3.687725874241312E-2</c:v>
                </c:pt>
                <c:pt idx="13">
                  <c:v>-4.0315734245858579E-3</c:v>
                </c:pt>
                <c:pt idx="14">
                  <c:v>4.4807599188524137E-2</c:v>
                </c:pt>
                <c:pt idx="15">
                  <c:v>5.2510596701616119E-2</c:v>
                </c:pt>
                <c:pt idx="16">
                  <c:v>6.3803526765276522E-2</c:v>
                </c:pt>
                <c:pt idx="17">
                  <c:v>7.8893859685507217E-2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00-4962-A57F-4D50DC914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117695"/>
        <c:axId val="2138846559"/>
      </c:scatterChart>
      <c:valAx>
        <c:axId val="1088117695"/>
        <c:scaling>
          <c:orientation val="minMax"/>
          <c:max val="0.1400000000000000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38846559"/>
        <c:crosses val="autoZero"/>
        <c:crossBetween val="midCat"/>
        <c:majorUnit val="2.0000000000000004E-2"/>
      </c:valAx>
      <c:valAx>
        <c:axId val="213884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8117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profil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'projekty 2 i 3'!$I$3:$I$20</c:f>
              <c:numCache>
                <c:formatCode>0.00</c:formatCode>
                <c:ptCount val="18"/>
                <c:pt idx="0">
                  <c:v>-10.5411907332689</c:v>
                </c:pt>
                <c:pt idx="1">
                  <c:v>-9.7598075429523803</c:v>
                </c:pt>
                <c:pt idx="2">
                  <c:v>-8.9822128771949696</c:v>
                </c:pt>
                <c:pt idx="3">
                  <c:v>-8.2017768180182191</c:v>
                </c:pt>
                <c:pt idx="4">
                  <c:v>-6.6390104373851599</c:v>
                </c:pt>
                <c:pt idx="5">
                  <c:v>-5.8633100339072897</c:v>
                </c:pt>
                <c:pt idx="6">
                  <c:v>-4.0836506222651403</c:v>
                </c:pt>
                <c:pt idx="7">
                  <c:v>-3.52957890549524</c:v>
                </c:pt>
                <c:pt idx="8">
                  <c:v>-3.1933473508741899</c:v>
                </c:pt>
                <c:pt idx="9">
                  <c:v>-2.8609043208122502</c:v>
                </c:pt>
                <c:pt idx="10">
                  <c:v>-2.4157526851167699</c:v>
                </c:pt>
                <c:pt idx="11">
                  <c:v>-2.0823625239150498</c:v>
                </c:pt>
                <c:pt idx="12">
                  <c:v>-1.4212649883502799</c:v>
                </c:pt>
                <c:pt idx="13">
                  <c:v>-1.41558220151161</c:v>
                </c:pt>
                <c:pt idx="14">
                  <c:v>-0.75353753480706498</c:v>
                </c:pt>
                <c:pt idx="15">
                  <c:v>-0.65810405857130472</c:v>
                </c:pt>
                <c:pt idx="16">
                  <c:v>-0.55502834564261616</c:v>
                </c:pt>
                <c:pt idx="17">
                  <c:v>-0.41729200836648961</c:v>
                </c:pt>
              </c:numCache>
            </c:numRef>
          </c:xVal>
          <c:yVal>
            <c:numRef>
              <c:f>'projekty 2 i 3'!$G$3:$G$20</c:f>
              <c:numCache>
                <c:formatCode>0.000</c:formatCode>
                <c:ptCount val="18"/>
                <c:pt idx="0">
                  <c:v>-1.0976800022731099</c:v>
                </c:pt>
                <c:pt idx="1">
                  <c:v>-0.98949394783201605</c:v>
                </c:pt>
                <c:pt idx="2">
                  <c:v>-0.90304455304881603</c:v>
                </c:pt>
                <c:pt idx="3">
                  <c:v>-0.80029266352219097</c:v>
                </c:pt>
                <c:pt idx="4">
                  <c:v>-0.58392055463999604</c:v>
                </c:pt>
                <c:pt idx="5">
                  <c:v>-0.50833948968574205</c:v>
                </c:pt>
                <c:pt idx="6">
                  <c:v>-0.29754361538898699</c:v>
                </c:pt>
                <c:pt idx="7">
                  <c:v>-0.24355714042166299</c:v>
                </c:pt>
                <c:pt idx="8">
                  <c:v>-0.18942859578337201</c:v>
                </c:pt>
                <c:pt idx="9">
                  <c:v>-0.15703671080297801</c:v>
                </c:pt>
                <c:pt idx="10">
                  <c:v>-0.10297920100017</c:v>
                </c:pt>
                <c:pt idx="11">
                  <c:v>-6.5153151105302898E-2</c:v>
                </c:pt>
                <c:pt idx="12">
                  <c:v>-2.2106040802409799E-2</c:v>
                </c:pt>
                <c:pt idx="13">
                  <c:v>1.04989486844342E-2</c:v>
                </c:pt>
                <c:pt idx="14">
                  <c:v>5.8980223901801097E-2</c:v>
                </c:pt>
                <c:pt idx="15">
                  <c:v>6.6626773227877495E-2</c:v>
                </c:pt>
                <c:pt idx="16">
                  <c:v>7.7836947789267003E-2</c:v>
                </c:pt>
                <c:pt idx="17">
                  <c:v>9.2816697532836806E-2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A4-4DC5-B82A-EF286940F425}"/>
            </c:ext>
          </c:extLst>
        </c:ser>
        <c:ser>
          <c:idx val="1"/>
          <c:order val="1"/>
          <c:tx>
            <c:v>płat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'projekty 2 i 3'!$L$3:$L$20</c:f>
              <c:numCache>
                <c:formatCode>0.00</c:formatCode>
                <c:ptCount val="18"/>
                <c:pt idx="0">
                  <c:v>-14.065256341503606</c:v>
                </c:pt>
                <c:pt idx="1">
                  <c:v>-12.936545375371773</c:v>
                </c:pt>
                <c:pt idx="2">
                  <c:v>-11.88140776597205</c:v>
                </c:pt>
                <c:pt idx="3">
                  <c:v>-10.771090139023222</c:v>
                </c:pt>
                <c:pt idx="4">
                  <c:v>-8.5136682067595153</c:v>
                </c:pt>
                <c:pt idx="5">
                  <c:v>-7.495317275725828</c:v>
                </c:pt>
                <c:pt idx="6">
                  <c:v>-5.0389046305104817</c:v>
                </c:pt>
                <c:pt idx="7">
                  <c:v>-4.3115111083435709</c:v>
                </c:pt>
                <c:pt idx="8">
                  <c:v>-3.8015016383113061</c:v>
                </c:pt>
                <c:pt idx="9">
                  <c:v>-3.3650655250111612</c:v>
                </c:pt>
                <c:pt idx="10">
                  <c:v>-2.7463640289115663</c:v>
                </c:pt>
                <c:pt idx="11">
                  <c:v>-2.2915345764283925</c:v>
                </c:pt>
                <c:pt idx="12">
                  <c:v>-1.4922357065602148</c:v>
                </c:pt>
                <c:pt idx="13">
                  <c:v>-1.3818756714620355</c:v>
                </c:pt>
                <c:pt idx="14">
                  <c:v>-0.56418346241083184</c:v>
                </c:pt>
                <c:pt idx="15">
                  <c:v>-0.44420099061544255</c:v>
                </c:pt>
                <c:pt idx="16">
                  <c:v>-0.30513538031020404</c:v>
                </c:pt>
                <c:pt idx="17">
                  <c:v>-0.11930704829794436</c:v>
                </c:pt>
              </c:numCache>
            </c:numRef>
          </c:xVal>
          <c:yVal>
            <c:numRef>
              <c:f>'projekty 2 i 3'!$G$3:$G$20</c:f>
              <c:numCache>
                <c:formatCode>0.000</c:formatCode>
                <c:ptCount val="18"/>
                <c:pt idx="0">
                  <c:v>-1.0976800022731099</c:v>
                </c:pt>
                <c:pt idx="1">
                  <c:v>-0.98949394783201605</c:v>
                </c:pt>
                <c:pt idx="2">
                  <c:v>-0.90304455304881603</c:v>
                </c:pt>
                <c:pt idx="3">
                  <c:v>-0.80029266352219097</c:v>
                </c:pt>
                <c:pt idx="4">
                  <c:v>-0.58392055463999604</c:v>
                </c:pt>
                <c:pt idx="5">
                  <c:v>-0.50833948968574205</c:v>
                </c:pt>
                <c:pt idx="6">
                  <c:v>-0.29754361538898699</c:v>
                </c:pt>
                <c:pt idx="7">
                  <c:v>-0.24355714042166299</c:v>
                </c:pt>
                <c:pt idx="8">
                  <c:v>-0.18942859578337201</c:v>
                </c:pt>
                <c:pt idx="9">
                  <c:v>-0.15703671080297801</c:v>
                </c:pt>
                <c:pt idx="10">
                  <c:v>-0.10297920100017</c:v>
                </c:pt>
                <c:pt idx="11">
                  <c:v>-6.5153151105302898E-2</c:v>
                </c:pt>
                <c:pt idx="12">
                  <c:v>-2.2106040802409799E-2</c:v>
                </c:pt>
                <c:pt idx="13">
                  <c:v>1.04989486844342E-2</c:v>
                </c:pt>
                <c:pt idx="14">
                  <c:v>5.8980223901801097E-2</c:v>
                </c:pt>
                <c:pt idx="15">
                  <c:v>6.6626773227877495E-2</c:v>
                </c:pt>
                <c:pt idx="16">
                  <c:v>7.7836947789267003E-2</c:v>
                </c:pt>
                <c:pt idx="17">
                  <c:v>9.2816697532836806E-2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A4-4DC5-B82A-EF286940F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134479"/>
        <c:axId val="1088105279"/>
      </c:scatterChart>
      <c:valAx>
        <c:axId val="2135134479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a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8105279"/>
        <c:crosses val="autoZero"/>
        <c:crossBetween val="midCat"/>
        <c:majorUnit val="2"/>
      </c:valAx>
      <c:valAx>
        <c:axId val="108810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3513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Cx(Cz2)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1152230971128608E-2"/>
                  <c:y val="-0.137957494896471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'projekty 2 i 3'!$X$3:$X$33</c:f>
              <c:numCache>
                <c:formatCode>0.000</c:formatCode>
                <c:ptCount val="31"/>
                <c:pt idx="0">
                  <c:v>1.2552766617113218</c:v>
                </c:pt>
                <c:pt idx="1">
                  <c:v>1.0229433011084557</c:v>
                </c:pt>
                <c:pt idx="2">
                  <c:v>0.8543656428873474</c:v>
                </c:pt>
                <c:pt idx="3">
                  <c:v>0.67372674717442405</c:v>
                </c:pt>
                <c:pt idx="4">
                  <c:v>0.363415085667735</c:v>
                </c:pt>
                <c:pt idx="5">
                  <c:v>0.2774130684659496</c:v>
                </c:pt>
                <c:pt idx="6">
                  <c:v>9.8814767260475347E-2</c:v>
                </c:pt>
                <c:pt idx="7">
                  <c:v>6.7580839234561985E-2</c:v>
                </c:pt>
                <c:pt idx="8">
                  <c:v>4.220354685958292E-2</c:v>
                </c:pt>
                <c:pt idx="9">
                  <c:v>2.9861226198849958E-2</c:v>
                </c:pt>
                <c:pt idx="10">
                  <c:v>1.4006116315854808E-2</c:v>
                </c:pt>
                <c:pt idx="11">
                  <c:v>6.438802711924747E-3</c:v>
                </c:pt>
                <c:pt idx="12">
                  <c:v>1.3599322123548849E-3</c:v>
                </c:pt>
                <c:pt idx="13">
                  <c:v>1.6253584277826941E-5</c:v>
                </c:pt>
                <c:pt idx="14">
                  <c:v>2.0077209450394288E-3</c:v>
                </c:pt>
                <c:pt idx="15">
                  <c:v>2.7573627659597776E-3</c:v>
                </c:pt>
                <c:pt idx="16">
                  <c:v>4.0708900276873574E-3</c:v>
                </c:pt>
                <c:pt idx="17">
                  <c:v>6.2242410960765011E-3</c:v>
                </c:pt>
                <c:pt idx="18">
                  <c:v>8.8143770955050812E-3</c:v>
                </c:pt>
                <c:pt idx="19">
                  <c:v>1.4488324365121085E-2</c:v>
                </c:pt>
                <c:pt idx="20">
                  <c:v>2.2679685522769791E-2</c:v>
                </c:pt>
                <c:pt idx="21">
                  <c:v>3.9985600423575587E-2</c:v>
                </c:pt>
                <c:pt idx="22">
                  <c:v>6.0286371637771091E-2</c:v>
                </c:pt>
                <c:pt idx="23">
                  <c:v>8.0488764018273498E-2</c:v>
                </c:pt>
                <c:pt idx="24">
                  <c:v>0.1470190840697557</c:v>
                </c:pt>
                <c:pt idx="25">
                  <c:v>0.24113102612315249</c:v>
                </c:pt>
                <c:pt idx="26">
                  <c:v>0.37295200867524525</c:v>
                </c:pt>
                <c:pt idx="27">
                  <c:v>0.64207523200940664</c:v>
                </c:pt>
                <c:pt idx="28">
                  <c:v>0.77940242179263697</c:v>
                </c:pt>
                <c:pt idx="29">
                  <c:v>0.99431525280803279</c:v>
                </c:pt>
                <c:pt idx="30">
                  <c:v>1.1995972625456655</c:v>
                </c:pt>
              </c:numCache>
            </c:numRef>
          </c:xVal>
          <c:yVal>
            <c:numRef>
              <c:f>'projekty 2 i 3'!$R$3:$R$37</c:f>
              <c:numCache>
                <c:formatCode>0.0000</c:formatCode>
                <c:ptCount val="35"/>
                <c:pt idx="0">
                  <c:v>9.6029128783039389E-2</c:v>
                </c:pt>
                <c:pt idx="1">
                  <c:v>8.1433714684294695E-2</c:v>
                </c:pt>
                <c:pt idx="2">
                  <c:v>7.0814454157905424E-2</c:v>
                </c:pt>
                <c:pt idx="3">
                  <c:v>5.8517695573703801E-2</c:v>
                </c:pt>
                <c:pt idx="4">
                  <c:v>3.9859327099608613E-2</c:v>
                </c:pt>
                <c:pt idx="5">
                  <c:v>3.3903375706310933E-2</c:v>
                </c:pt>
                <c:pt idx="6">
                  <c:v>2.2824910797561163E-2</c:v>
                </c:pt>
                <c:pt idx="7">
                  <c:v>2.0779438529607383E-2</c:v>
                </c:pt>
                <c:pt idx="8">
                  <c:v>1.9260851053098108E-2</c:v>
                </c:pt>
                <c:pt idx="9">
                  <c:v>1.8172312356309239E-2</c:v>
                </c:pt>
                <c:pt idx="10">
                  <c:v>1.6980967571003834E-2</c:v>
                </c:pt>
                <c:pt idx="11">
                  <c:v>1.6416338183111626E-2</c:v>
                </c:pt>
                <c:pt idx="12">
                  <c:v>1.5776836278446973E-2</c:v>
                </c:pt>
                <c:pt idx="13">
                  <c:v>1.5643091035550429E-2</c:v>
                </c:pt>
                <c:pt idx="14">
                  <c:v>1.5522925615731568E-2</c:v>
                </c:pt>
                <c:pt idx="15">
                  <c:v>1.5269259112928635E-2</c:v>
                </c:pt>
                <c:pt idx="16">
                  <c:v>1.5422722416528856E-2</c:v>
                </c:pt>
                <c:pt idx="17">
                  <c:v>1.5616110055113921E-2</c:v>
                </c:pt>
                <c:pt idx="18">
                  <c:v>1.5747730981753884E-2</c:v>
                </c:pt>
                <c:pt idx="19">
                  <c:v>1.6140964673517149E-2</c:v>
                </c:pt>
                <c:pt idx="20">
                  <c:v>1.625791265678609E-2</c:v>
                </c:pt>
                <c:pt idx="21">
                  <c:v>1.7458921499102192E-2</c:v>
                </c:pt>
                <c:pt idx="22">
                  <c:v>1.8807605843098898E-2</c:v>
                </c:pt>
                <c:pt idx="23">
                  <c:v>2.0269092744556485E-2</c:v>
                </c:pt>
                <c:pt idx="24">
                  <c:v>2.5218761167003289E-2</c:v>
                </c:pt>
                <c:pt idx="25">
                  <c:v>3.1720934920332573E-2</c:v>
                </c:pt>
                <c:pt idx="26">
                  <c:v>4.05634782251739E-2</c:v>
                </c:pt>
                <c:pt idx="27">
                  <c:v>5.7640363529286837E-2</c:v>
                </c:pt>
                <c:pt idx="28">
                  <c:v>6.6398034352080651E-2</c:v>
                </c:pt>
                <c:pt idx="29">
                  <c:v>7.9422790484599007E-2</c:v>
                </c:pt>
                <c:pt idx="30">
                  <c:v>9.1899587909088698E-2</c:v>
                </c:pt>
                <c:pt idx="31">
                  <c:v>0.10609550259058699</c:v>
                </c:pt>
                <c:pt idx="32">
                  <c:v>0.12311095258315431</c:v>
                </c:pt>
                <c:pt idx="33">
                  <c:v>0.13239653021129985</c:v>
                </c:pt>
                <c:pt idx="34">
                  <c:v>0.14060913320267765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E4-4F2E-950A-05D78A4C1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217088"/>
        <c:axId val="695958800"/>
      </c:scatterChart>
      <c:valAx>
        <c:axId val="538217088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5958800"/>
        <c:crosses val="autoZero"/>
        <c:crossBetween val="midCat"/>
        <c:majorUnit val="0.25"/>
      </c:valAx>
      <c:valAx>
        <c:axId val="6959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821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Doskonałość, f. energetyczna i Cz' od kąta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α</a:t>
            </a:r>
            <a:endParaRPr lang="pl-P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Cz'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'projekty 2 i 3'!$I$3:$I$20</c:f>
              <c:numCache>
                <c:formatCode>0.00</c:formatCode>
                <c:ptCount val="18"/>
                <c:pt idx="0">
                  <c:v>-10.5411907332689</c:v>
                </c:pt>
                <c:pt idx="1">
                  <c:v>-9.7598075429523803</c:v>
                </c:pt>
                <c:pt idx="2">
                  <c:v>-8.9822128771949696</c:v>
                </c:pt>
                <c:pt idx="3">
                  <c:v>-8.2017768180182191</c:v>
                </c:pt>
                <c:pt idx="4">
                  <c:v>-6.6390104373851599</c:v>
                </c:pt>
                <c:pt idx="5">
                  <c:v>-5.8633100339072897</c:v>
                </c:pt>
                <c:pt idx="6">
                  <c:v>-4.0836506222651403</c:v>
                </c:pt>
                <c:pt idx="7">
                  <c:v>-3.52957890549524</c:v>
                </c:pt>
                <c:pt idx="8">
                  <c:v>-3.1933473508741899</c:v>
                </c:pt>
                <c:pt idx="9">
                  <c:v>-2.8609043208122502</c:v>
                </c:pt>
                <c:pt idx="10">
                  <c:v>-2.4157526851167699</c:v>
                </c:pt>
                <c:pt idx="11">
                  <c:v>-2.0823625239150498</c:v>
                </c:pt>
                <c:pt idx="12">
                  <c:v>-1.4212649883502799</c:v>
                </c:pt>
                <c:pt idx="13">
                  <c:v>-1.41558220151161</c:v>
                </c:pt>
                <c:pt idx="14">
                  <c:v>-0.75353753480706498</c:v>
                </c:pt>
                <c:pt idx="15">
                  <c:v>-0.65810405857130472</c:v>
                </c:pt>
                <c:pt idx="16">
                  <c:v>-0.55502834564261616</c:v>
                </c:pt>
                <c:pt idx="17">
                  <c:v>-0.41729200836648961</c:v>
                </c:pt>
              </c:numCache>
            </c:numRef>
          </c:xVal>
          <c:yVal>
            <c:numRef>
              <c:f>'projekty 2 i 3'!$T$3:$T$20</c:f>
              <c:numCache>
                <c:formatCode>0.000</c:formatCode>
                <c:ptCount val="18"/>
                <c:pt idx="0">
                  <c:v>-1.1203912984807236</c:v>
                </c:pt>
                <c:pt idx="1">
                  <c:v>-1.0114065953455393</c:v>
                </c:pt>
                <c:pt idx="2">
                  <c:v>-0.92431901575557096</c:v>
                </c:pt>
                <c:pt idx="3">
                  <c:v>-0.820808593506686</c:v>
                </c:pt>
                <c:pt idx="4">
                  <c:v>-0.60283918723631014</c:v>
                </c:pt>
                <c:pt idx="5">
                  <c:v>-0.52670016941894904</c:v>
                </c:pt>
                <c:pt idx="6">
                  <c:v>-0.31434816248942088</c:v>
                </c:pt>
                <c:pt idx="7">
                  <c:v>-0.2599631497627346</c:v>
                </c:pt>
                <c:pt idx="8">
                  <c:v>-0.20543501858150406</c:v>
                </c:pt>
                <c:pt idx="9">
                  <c:v>-0.17280401094549269</c:v>
                </c:pt>
                <c:pt idx="10">
                  <c:v>-0.11834743899153377</c:v>
                </c:pt>
                <c:pt idx="11">
                  <c:v>-8.0242150469218773E-2</c:v>
                </c:pt>
                <c:pt idx="12">
                  <c:v>-3.687725874241312E-2</c:v>
                </c:pt>
                <c:pt idx="13">
                  <c:v>-4.0315734245858579E-3</c:v>
                </c:pt>
                <c:pt idx="14">
                  <c:v>4.4807599188524137E-2</c:v>
                </c:pt>
                <c:pt idx="15">
                  <c:v>5.2510596701616119E-2</c:v>
                </c:pt>
                <c:pt idx="16">
                  <c:v>6.3803526765276522E-2</c:v>
                </c:pt>
                <c:pt idx="17">
                  <c:v>7.8893859685507217E-2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C7-4ECE-BF69-5DF44BFDEFE8}"/>
            </c:ext>
          </c:extLst>
        </c:ser>
        <c:ser>
          <c:idx val="1"/>
          <c:order val="1"/>
          <c:tx>
            <c:v>K/10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'projekty 2 i 3'!$I$3:$I$20</c:f>
              <c:numCache>
                <c:formatCode>0.00</c:formatCode>
                <c:ptCount val="18"/>
                <c:pt idx="0">
                  <c:v>-10.5411907332689</c:v>
                </c:pt>
                <c:pt idx="1">
                  <c:v>-9.7598075429523803</c:v>
                </c:pt>
                <c:pt idx="2">
                  <c:v>-8.9822128771949696</c:v>
                </c:pt>
                <c:pt idx="3">
                  <c:v>-8.2017768180182191</c:v>
                </c:pt>
                <c:pt idx="4">
                  <c:v>-6.6390104373851599</c:v>
                </c:pt>
                <c:pt idx="5">
                  <c:v>-5.8633100339072897</c:v>
                </c:pt>
                <c:pt idx="6">
                  <c:v>-4.0836506222651403</c:v>
                </c:pt>
                <c:pt idx="7">
                  <c:v>-3.52957890549524</c:v>
                </c:pt>
                <c:pt idx="8">
                  <c:v>-3.1933473508741899</c:v>
                </c:pt>
                <c:pt idx="9">
                  <c:v>-2.8609043208122502</c:v>
                </c:pt>
                <c:pt idx="10">
                  <c:v>-2.4157526851167699</c:v>
                </c:pt>
                <c:pt idx="11">
                  <c:v>-2.0823625239150498</c:v>
                </c:pt>
                <c:pt idx="12">
                  <c:v>-1.4212649883502799</c:v>
                </c:pt>
                <c:pt idx="13">
                  <c:v>-1.41558220151161</c:v>
                </c:pt>
                <c:pt idx="14">
                  <c:v>-0.75353753480706498</c:v>
                </c:pt>
                <c:pt idx="15">
                  <c:v>-0.65810405857130472</c:v>
                </c:pt>
                <c:pt idx="16">
                  <c:v>-0.55502834564261616</c:v>
                </c:pt>
                <c:pt idx="17">
                  <c:v>-0.41729200836648961</c:v>
                </c:pt>
              </c:numCache>
            </c:numRef>
          </c:xVal>
          <c:yVal>
            <c:numRef>
              <c:f>'projekty 2 i 3'!$Y$3:$Y$36</c:f>
              <c:numCache>
                <c:formatCode>General</c:formatCode>
                <c:ptCount val="34"/>
                <c:pt idx="0">
                  <c:v>-1.1667202573627915</c:v>
                </c:pt>
                <c:pt idx="1">
                  <c:v>-1.2419998268120258</c:v>
                </c:pt>
                <c:pt idx="2">
                  <c:v>-1.3052688561214927</c:v>
                </c:pt>
                <c:pt idx="3">
                  <c:v>-1.4026673221826838</c:v>
                </c:pt>
                <c:pt idx="4">
                  <c:v>-1.5124168697826048</c:v>
                </c:pt>
                <c:pt idx="5">
                  <c:v>-1.5535331171193865</c:v>
                </c:pt>
                <c:pt idx="6">
                  <c:v>-1.3772152946289231</c:v>
                </c:pt>
                <c:pt idx="7">
                  <c:v>-1.2510595480832103</c:v>
                </c:pt>
                <c:pt idx="8">
                  <c:v>-1.0665936723936187</c:v>
                </c:pt>
                <c:pt idx="9">
                  <c:v>-0.95091922017011188</c:v>
                </c:pt>
                <c:pt idx="10">
                  <c:v>-0.69694167011790387</c:v>
                </c:pt>
                <c:pt idx="11">
                  <c:v>-0.48879445327075566</c:v>
                </c:pt>
                <c:pt idx="12">
                  <c:v>-0.23374305273606613</c:v>
                </c:pt>
                <c:pt idx="13">
                  <c:v>-2.5772230152108173E-2</c:v>
                </c:pt>
                <c:pt idx="14">
                  <c:v>0.28865434453357353</c:v>
                </c:pt>
                <c:pt idx="15">
                  <c:v>0.34389747605471482</c:v>
                </c:pt>
                <c:pt idx="16">
                  <c:v>0.41369821126325235</c:v>
                </c:pt>
                <c:pt idx="17">
                  <c:v>0.50520814343051623</c:v>
                </c:pt>
                <c:pt idx="18">
                  <c:v>0.59618058124350737</c:v>
                </c:pt>
                <c:pt idx="19">
                  <c:v>0.74572652889277247</c:v>
                </c:pt>
                <c:pt idx="20">
                  <c:v>0.92630440243052059</c:v>
                </c:pt>
                <c:pt idx="21">
                  <c:v>1.1453399216488216</c:v>
                </c:pt>
                <c:pt idx="22">
                  <c:v>1.3054975425673114</c:v>
                </c:pt>
                <c:pt idx="23">
                  <c:v>1.3996947039053682</c:v>
                </c:pt>
                <c:pt idx="24">
                  <c:v>1.520418368164369</c:v>
                </c:pt>
                <c:pt idx="25">
                  <c:v>1.548034260937508</c:v>
                </c:pt>
                <c:pt idx="26">
                  <c:v>1.5055364953297965</c:v>
                </c:pt>
                <c:pt idx="27">
                  <c:v>1.390164671475167</c:v>
                </c:pt>
                <c:pt idx="28">
                  <c:v>1.3296142248565386</c:v>
                </c:pt>
                <c:pt idx="29">
                  <c:v>1.2555005550084466</c:v>
                </c:pt>
                <c:pt idx="30">
                  <c:v>1.1918021623891035</c:v>
                </c:pt>
                <c:pt idx="31">
                  <c:v>1.1246714789287968</c:v>
                </c:pt>
                <c:pt idx="32">
                  <c:v>1.0576373713489602</c:v>
                </c:pt>
                <c:pt idx="33">
                  <c:v>1.0244837187786033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C7-4ECE-BF69-5DF44BFDEFE8}"/>
            </c:ext>
          </c:extLst>
        </c:ser>
        <c:ser>
          <c:idx val="2"/>
          <c:order val="2"/>
          <c:tx>
            <c:v>E/100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'projekty 2 i 3'!$I$3:$I$20</c:f>
              <c:numCache>
                <c:formatCode>0.00</c:formatCode>
                <c:ptCount val="18"/>
                <c:pt idx="0">
                  <c:v>-10.5411907332689</c:v>
                </c:pt>
                <c:pt idx="1">
                  <c:v>-9.7598075429523803</c:v>
                </c:pt>
                <c:pt idx="2">
                  <c:v>-8.9822128771949696</c:v>
                </c:pt>
                <c:pt idx="3">
                  <c:v>-8.2017768180182191</c:v>
                </c:pt>
                <c:pt idx="4">
                  <c:v>-6.6390104373851599</c:v>
                </c:pt>
                <c:pt idx="5">
                  <c:v>-5.8633100339072897</c:v>
                </c:pt>
                <c:pt idx="6">
                  <c:v>-4.0836506222651403</c:v>
                </c:pt>
                <c:pt idx="7">
                  <c:v>-3.52957890549524</c:v>
                </c:pt>
                <c:pt idx="8">
                  <c:v>-3.1933473508741899</c:v>
                </c:pt>
                <c:pt idx="9">
                  <c:v>-2.8609043208122502</c:v>
                </c:pt>
                <c:pt idx="10">
                  <c:v>-2.4157526851167699</c:v>
                </c:pt>
                <c:pt idx="11">
                  <c:v>-2.0823625239150498</c:v>
                </c:pt>
                <c:pt idx="12">
                  <c:v>-1.4212649883502799</c:v>
                </c:pt>
                <c:pt idx="13">
                  <c:v>-1.41558220151161</c:v>
                </c:pt>
                <c:pt idx="14">
                  <c:v>-0.75353753480706498</c:v>
                </c:pt>
                <c:pt idx="15">
                  <c:v>-0.65810405857130472</c:v>
                </c:pt>
                <c:pt idx="16">
                  <c:v>-0.55502834564261616</c:v>
                </c:pt>
                <c:pt idx="17">
                  <c:v>-0.41729200836648961</c:v>
                </c:pt>
              </c:numCache>
            </c:numRef>
          </c:xVal>
          <c:yVal>
            <c:numRef>
              <c:f>'projekty 2 i 3'!$Z$3:$Z$36</c:f>
              <c:numCache>
                <c:formatCode>General</c:formatCode>
                <c:ptCount val="34"/>
                <c:pt idx="0">
                  <c:v>-1.5251171476544814</c:v>
                </c:pt>
                <c:pt idx="1">
                  <c:v>-1.5601589682365937</c:v>
                </c:pt>
                <c:pt idx="2">
                  <c:v>-1.5747870666550607</c:v>
                </c:pt>
                <c:pt idx="3">
                  <c:v>-1.6149208937179376</c:v>
                </c:pt>
                <c:pt idx="4">
                  <c:v>-1.3789372432801807</c:v>
                </c:pt>
                <c:pt idx="5">
                  <c:v>-1.2711725012779114</c:v>
                </c:pt>
                <c:pt idx="6">
                  <c:v>-0.59623106531862169</c:v>
                </c:pt>
                <c:pt idx="7">
                  <c:v>-0.40688132199245081</c:v>
                </c:pt>
                <c:pt idx="8">
                  <c:v>-0.23370740944366633</c:v>
                </c:pt>
                <c:pt idx="9">
                  <c:v>-0.1562575712632138</c:v>
                </c:pt>
                <c:pt idx="10">
                  <c:v>-5.7484628341825529E-2</c:v>
                </c:pt>
                <c:pt idx="11">
                  <c:v>-1.9171455998215622E-2</c:v>
                </c:pt>
                <c:pt idx="12">
                  <c:v>-2.0148190753820358E-3</c:v>
                </c:pt>
                <c:pt idx="13">
                  <c:v>-2.6778027044199416E-6</c:v>
                </c:pt>
                <c:pt idx="14">
                  <c:v>3.7334287861906408E-3</c:v>
                </c:pt>
                <c:pt idx="15">
                  <c:v>6.2101906108720231E-3</c:v>
                </c:pt>
                <c:pt idx="16">
                  <c:v>1.0919731790664694E-2</c:v>
                </c:pt>
                <c:pt idx="17">
                  <c:v>2.0136495435257043E-2</c:v>
                </c:pt>
                <c:pt idx="18">
                  <c:v>3.3369635702986927E-2</c:v>
                </c:pt>
                <c:pt idx="19">
                  <c:v>6.6937311720911191E-2</c:v>
                </c:pt>
                <c:pt idx="20">
                  <c:v>0.1292188793787897</c:v>
                </c:pt>
                <c:pt idx="21">
                  <c:v>0.2623134794355666</c:v>
                </c:pt>
                <c:pt idx="22">
                  <c:v>0.41846745768701171</c:v>
                </c:pt>
                <c:pt idx="23">
                  <c:v>0.55582012544948523</c:v>
                </c:pt>
                <c:pt idx="24">
                  <c:v>0.88636596544175117</c:v>
                </c:pt>
                <c:pt idx="25">
                  <c:v>1.1767594200837752</c:v>
                </c:pt>
                <c:pt idx="26">
                  <c:v>1.3842325279656893</c:v>
                </c:pt>
                <c:pt idx="27">
                  <c:v>1.5485507885722769</c:v>
                </c:pt>
                <c:pt idx="28">
                  <c:v>1.5607458217935217</c:v>
                </c:pt>
                <c:pt idx="29">
                  <c:v>1.571794876680795</c:v>
                </c:pt>
                <c:pt idx="30">
                  <c:v>1.5557007860712946</c:v>
                </c:pt>
                <c:pt idx="31">
                  <c:v>1.5092946057571266</c:v>
                </c:pt>
                <c:pt idx="32">
                  <c:v>1.4564884869119508</c:v>
                </c:pt>
                <c:pt idx="33">
                  <c:v>1.4236124789822784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C7-4ECE-BF69-5DF44BFDE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832448"/>
        <c:axId val="1885903008"/>
      </c:scatterChart>
      <c:valAx>
        <c:axId val="1809832448"/>
        <c:scaling>
          <c:orientation val="minMax"/>
          <c:max val="14"/>
          <c:min val="-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α</a:t>
                </a:r>
                <a:r>
                  <a:rPr lang="pl-PL"/>
                  <a:t>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903008"/>
        <c:crosses val="autoZero"/>
        <c:crossBetween val="midCat"/>
        <c:majorUnit val="2"/>
      </c:valAx>
      <c:valAx>
        <c:axId val="1885903008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Cz', K/10, E/100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820946340040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9832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γ</a:t>
            </a:r>
            <a:r>
              <a:rPr lang="pl-PL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m_min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'projekt 4'!$H$3:$H$19</c:f>
              <c:numCache>
                <c:formatCode>0.00</c:formatCode>
                <c:ptCount val="17"/>
                <c:pt idx="0">
                  <c:v>53.371723476147402</c:v>
                </c:pt>
                <c:pt idx="1">
                  <c:v>54.316924124367873</c:v>
                </c:pt>
                <c:pt idx="2">
                  <c:v>55.446292874671876</c:v>
                </c:pt>
                <c:pt idx="3">
                  <c:v>57.934764413444107</c:v>
                </c:pt>
                <c:pt idx="4">
                  <c:v>60.483231274610375</c:v>
                </c:pt>
                <c:pt idx="5">
                  <c:v>63.399804617617065</c:v>
                </c:pt>
                <c:pt idx="6">
                  <c:v>67.391125529239417</c:v>
                </c:pt>
                <c:pt idx="7">
                  <c:v>70.745483846056345</c:v>
                </c:pt>
                <c:pt idx="8">
                  <c:v>81.052119125911588</c:v>
                </c:pt>
                <c:pt idx="9">
                  <c:v>90.394116910105964</c:v>
                </c:pt>
                <c:pt idx="10">
                  <c:v>102.292424935084</c:v>
                </c:pt>
                <c:pt idx="11">
                  <c:v>118.89647288138627</c:v>
                </c:pt>
                <c:pt idx="12">
                  <c:v>127.78079681712804</c:v>
                </c:pt>
                <c:pt idx="13">
                  <c:v>141.5321589660941</c:v>
                </c:pt>
                <c:pt idx="14">
                  <c:v>162.9251977150291</c:v>
                </c:pt>
                <c:pt idx="15">
                  <c:v>181.95583523211872</c:v>
                </c:pt>
                <c:pt idx="16">
                  <c:v>205.51576408983269</c:v>
                </c:pt>
              </c:numCache>
            </c:numRef>
          </c:xVal>
          <c:yVal>
            <c:numRef>
              <c:f>'projekt 4'!$G$3:$G$19</c:f>
              <c:numCache>
                <c:formatCode>0.000</c:formatCode>
                <c:ptCount val="17"/>
                <c:pt idx="0">
                  <c:v>5.7170024380434592</c:v>
                </c:pt>
                <c:pt idx="1">
                  <c:v>5.5749881871231937</c:v>
                </c:pt>
                <c:pt idx="2">
                  <c:v>5.4012796826371794</c:v>
                </c:pt>
                <c:pt idx="3">
                  <c:v>5.0810838679305741</c:v>
                </c:pt>
                <c:pt idx="4">
                  <c:v>4.7962561640627843</c:v>
                </c:pt>
                <c:pt idx="5">
                  <c:v>4.5539666300134805</c:v>
                </c:pt>
                <c:pt idx="6">
                  <c:v>4.3011057042529588</c:v>
                </c:pt>
                <c:pt idx="7">
                  <c:v>4.114423342165491</c:v>
                </c:pt>
                <c:pt idx="8">
                  <c:v>3.8000900374780455</c:v>
                </c:pt>
                <c:pt idx="9">
                  <c:v>3.6960604310979366</c:v>
                </c:pt>
                <c:pt idx="10">
                  <c:v>3.7630021049257514</c:v>
                </c:pt>
                <c:pt idx="11">
                  <c:v>4.0865049004661902</c:v>
                </c:pt>
                <c:pt idx="12">
                  <c:v>4.3802543363176305</c:v>
                </c:pt>
                <c:pt idx="13">
                  <c:v>4.9898593763079671</c:v>
                </c:pt>
                <c:pt idx="14">
                  <c:v>6.1615532639976029</c:v>
                </c:pt>
                <c:pt idx="15">
                  <c:v>7.6376530308520856</c:v>
                </c:pt>
                <c:pt idx="16">
                  <c:v>9.5218358135731496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7C-4C57-8812-6C2B6B082A70}"/>
            </c:ext>
          </c:extLst>
        </c:ser>
        <c:ser>
          <c:idx val="1"/>
          <c:order val="1"/>
          <c:tx>
            <c:v>m_śr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'projekt 4'!$J$3:$J$19</c:f>
              <c:numCache>
                <c:formatCode>0.00</c:formatCode>
                <c:ptCount val="17"/>
                <c:pt idx="0">
                  <c:v>59.126445169340748</c:v>
                </c:pt>
                <c:pt idx="1">
                  <c:v>60.173560582917553</c:v>
                </c:pt>
                <c:pt idx="2">
                  <c:v>61.424701732981021</c:v>
                </c:pt>
                <c:pt idx="3">
                  <c:v>64.181488780685001</c:v>
                </c:pt>
                <c:pt idx="4">
                  <c:v>67.004740051556382</c:v>
                </c:pt>
                <c:pt idx="5">
                  <c:v>70.235788303627814</c:v>
                </c:pt>
                <c:pt idx="6">
                  <c:v>74.657467081525084</c:v>
                </c:pt>
                <c:pt idx="7">
                  <c:v>78.373503779988354</c:v>
                </c:pt>
                <c:pt idx="8">
                  <c:v>89.791435712186527</c:v>
                </c:pt>
                <c:pt idx="9">
                  <c:v>100.14071963602551</c:v>
                </c:pt>
                <c:pt idx="10">
                  <c:v>113.32194391035867</c:v>
                </c:pt>
                <c:pt idx="11">
                  <c:v>131.71629707238273</c:v>
                </c:pt>
                <c:pt idx="12">
                  <c:v>141.55855918872717</c:v>
                </c:pt>
                <c:pt idx="13">
                  <c:v>156.79264021794413</c:v>
                </c:pt>
                <c:pt idx="14">
                  <c:v>180.49234954360955</c:v>
                </c:pt>
                <c:pt idx="15">
                  <c:v>201.57493546000165</c:v>
                </c:pt>
                <c:pt idx="16">
                  <c:v>227.67517639416883</c:v>
                </c:pt>
              </c:numCache>
            </c:numRef>
          </c:xVal>
          <c:yVal>
            <c:numRef>
              <c:f>'projekt 4'!$G$3:$G$19</c:f>
              <c:numCache>
                <c:formatCode>0.000</c:formatCode>
                <c:ptCount val="17"/>
                <c:pt idx="0">
                  <c:v>5.7170024380434592</c:v>
                </c:pt>
                <c:pt idx="1">
                  <c:v>5.5749881871231937</c:v>
                </c:pt>
                <c:pt idx="2">
                  <c:v>5.4012796826371794</c:v>
                </c:pt>
                <c:pt idx="3">
                  <c:v>5.0810838679305741</c:v>
                </c:pt>
                <c:pt idx="4">
                  <c:v>4.7962561640627843</c:v>
                </c:pt>
                <c:pt idx="5">
                  <c:v>4.5539666300134805</c:v>
                </c:pt>
                <c:pt idx="6">
                  <c:v>4.3011057042529588</c:v>
                </c:pt>
                <c:pt idx="7">
                  <c:v>4.114423342165491</c:v>
                </c:pt>
                <c:pt idx="8">
                  <c:v>3.8000900374780455</c:v>
                </c:pt>
                <c:pt idx="9">
                  <c:v>3.6960604310979366</c:v>
                </c:pt>
                <c:pt idx="10">
                  <c:v>3.7630021049257514</c:v>
                </c:pt>
                <c:pt idx="11">
                  <c:v>4.0865049004661902</c:v>
                </c:pt>
                <c:pt idx="12">
                  <c:v>4.3802543363176305</c:v>
                </c:pt>
                <c:pt idx="13">
                  <c:v>4.9898593763079671</c:v>
                </c:pt>
                <c:pt idx="14">
                  <c:v>6.1615532639976029</c:v>
                </c:pt>
                <c:pt idx="15">
                  <c:v>7.6376530308520856</c:v>
                </c:pt>
                <c:pt idx="16">
                  <c:v>9.5218358135731496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7C-4C57-8812-6C2B6B082A70}"/>
            </c:ext>
          </c:extLst>
        </c:ser>
        <c:ser>
          <c:idx val="2"/>
          <c:order val="2"/>
          <c:tx>
            <c:strRef>
              <c:f>'projekt 4'!$L$1</c:f>
              <c:strCache>
                <c:ptCount val="1"/>
                <c:pt idx="0">
                  <c:v>mmax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'projekt 4'!$L$3:$L$19</c:f>
              <c:numCache>
                <c:formatCode>0.00</c:formatCode>
                <c:ptCount val="17"/>
                <c:pt idx="0">
                  <c:v>64.368720430903181</c:v>
                </c:pt>
                <c:pt idx="1">
                  <c:v>65.508675304266092</c:v>
                </c:pt>
                <c:pt idx="2">
                  <c:v>66.870745265979167</c:v>
                </c:pt>
                <c:pt idx="3">
                  <c:v>69.871954864374018</c:v>
                </c:pt>
                <c:pt idx="4">
                  <c:v>72.945521544062473</c:v>
                </c:pt>
                <c:pt idx="5">
                  <c:v>76.463041344900915</c:v>
                </c:pt>
                <c:pt idx="6">
                  <c:v>81.276755483719327</c:v>
                </c:pt>
                <c:pt idx="7">
                  <c:v>85.322263828915624</c:v>
                </c:pt>
                <c:pt idx="8">
                  <c:v>97.752533674122702</c:v>
                </c:pt>
                <c:pt idx="9">
                  <c:v>109.01940692594245</c:v>
                </c:pt>
                <c:pt idx="10">
                  <c:v>123.36930632918853</c:v>
                </c:pt>
                <c:pt idx="11">
                  <c:v>143.39454161608154</c:v>
                </c:pt>
                <c:pt idx="12">
                  <c:v>154.10943943820118</c:v>
                </c:pt>
                <c:pt idx="13">
                  <c:v>170.69420620344326</c:v>
                </c:pt>
                <c:pt idx="14">
                  <c:v>196.49518171462563</c:v>
                </c:pt>
                <c:pt idx="15">
                  <c:v>219.44699413842454</c:v>
                </c:pt>
                <c:pt idx="16">
                  <c:v>247.86133745060769</c:v>
                </c:pt>
              </c:numCache>
            </c:numRef>
          </c:xVal>
          <c:yVal>
            <c:numRef>
              <c:f>'projekt 4'!$G$3:$G$19</c:f>
              <c:numCache>
                <c:formatCode>0.000</c:formatCode>
                <c:ptCount val="17"/>
                <c:pt idx="0">
                  <c:v>5.7170024380434592</c:v>
                </c:pt>
                <c:pt idx="1">
                  <c:v>5.5749881871231937</c:v>
                </c:pt>
                <c:pt idx="2">
                  <c:v>5.4012796826371794</c:v>
                </c:pt>
                <c:pt idx="3">
                  <c:v>5.0810838679305741</c:v>
                </c:pt>
                <c:pt idx="4">
                  <c:v>4.7962561640627843</c:v>
                </c:pt>
                <c:pt idx="5">
                  <c:v>4.5539666300134805</c:v>
                </c:pt>
                <c:pt idx="6">
                  <c:v>4.3011057042529588</c:v>
                </c:pt>
                <c:pt idx="7">
                  <c:v>4.114423342165491</c:v>
                </c:pt>
                <c:pt idx="8">
                  <c:v>3.8000900374780455</c:v>
                </c:pt>
                <c:pt idx="9">
                  <c:v>3.6960604310979366</c:v>
                </c:pt>
                <c:pt idx="10">
                  <c:v>3.7630021049257514</c:v>
                </c:pt>
                <c:pt idx="11">
                  <c:v>4.0865049004661902</c:v>
                </c:pt>
                <c:pt idx="12">
                  <c:v>4.3802543363176305</c:v>
                </c:pt>
                <c:pt idx="13">
                  <c:v>4.9898593763079671</c:v>
                </c:pt>
                <c:pt idx="14">
                  <c:v>6.1615532639976029</c:v>
                </c:pt>
                <c:pt idx="15">
                  <c:v>7.6376530308520856</c:v>
                </c:pt>
                <c:pt idx="16">
                  <c:v>9.5218358135731496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7C-4C57-8812-6C2B6B08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832448"/>
        <c:axId val="2043195104"/>
      </c:scatterChart>
      <c:valAx>
        <c:axId val="1809832448"/>
        <c:scaling>
          <c:orientation val="minMax"/>
          <c:max val="17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3195104"/>
        <c:crosses val="autoZero"/>
        <c:crossBetween val="midCat"/>
        <c:majorUnit val="10"/>
      </c:valAx>
      <c:valAx>
        <c:axId val="2043195104"/>
        <c:scaling>
          <c:orientation val="minMax"/>
          <c:max val="7.5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γ [°]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09832448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Biegunowa prędkości w(V)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2186374565412103"/>
          <c:y val="0.38061637456608238"/>
          <c:w val="0.83369180990143454"/>
          <c:h val="0.55110354754042845"/>
        </c:manualLayout>
      </c:layout>
      <c:scatterChart>
        <c:scatterStyle val="smoothMarker"/>
        <c:varyColors val="0"/>
        <c:ser>
          <c:idx val="0"/>
          <c:order val="0"/>
          <c:tx>
            <c:v>m_min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'projekt 4'!$H$3:$H$19</c:f>
              <c:numCache>
                <c:formatCode>0.00</c:formatCode>
                <c:ptCount val="17"/>
                <c:pt idx="0">
                  <c:v>53.371723476147402</c:v>
                </c:pt>
                <c:pt idx="1">
                  <c:v>54.316924124367873</c:v>
                </c:pt>
                <c:pt idx="2">
                  <c:v>55.446292874671876</c:v>
                </c:pt>
                <c:pt idx="3">
                  <c:v>57.934764413444107</c:v>
                </c:pt>
                <c:pt idx="4">
                  <c:v>60.483231274610375</c:v>
                </c:pt>
                <c:pt idx="5">
                  <c:v>63.399804617617065</c:v>
                </c:pt>
                <c:pt idx="6">
                  <c:v>67.391125529239417</c:v>
                </c:pt>
                <c:pt idx="7">
                  <c:v>70.745483846056345</c:v>
                </c:pt>
                <c:pt idx="8">
                  <c:v>81.052119125911588</c:v>
                </c:pt>
                <c:pt idx="9">
                  <c:v>90.394116910105964</c:v>
                </c:pt>
                <c:pt idx="10">
                  <c:v>102.292424935084</c:v>
                </c:pt>
                <c:pt idx="11">
                  <c:v>118.89647288138627</c:v>
                </c:pt>
                <c:pt idx="12">
                  <c:v>127.78079681712804</c:v>
                </c:pt>
                <c:pt idx="13">
                  <c:v>141.5321589660941</c:v>
                </c:pt>
                <c:pt idx="14">
                  <c:v>162.9251977150291</c:v>
                </c:pt>
                <c:pt idx="15">
                  <c:v>181.95583523211872</c:v>
                </c:pt>
                <c:pt idx="16">
                  <c:v>205.51576408983269</c:v>
                </c:pt>
              </c:numCache>
            </c:numRef>
          </c:xVal>
          <c:yVal>
            <c:numRef>
              <c:f>'projekt 4'!$I$3:$I$19</c:f>
              <c:numCache>
                <c:formatCode>0.000</c:formatCode>
                <c:ptCount val="17"/>
                <c:pt idx="0">
                  <c:v>5.3166256558285472</c:v>
                </c:pt>
                <c:pt idx="1">
                  <c:v>5.276804195072498</c:v>
                </c:pt>
                <c:pt idx="2">
                  <c:v>5.2191899798997463</c:v>
                </c:pt>
                <c:pt idx="3">
                  <c:v>5.1310184970758668</c:v>
                </c:pt>
                <c:pt idx="4">
                  <c:v>5.0571680893868578</c:v>
                </c:pt>
                <c:pt idx="5">
                  <c:v>5.0338210229165776</c:v>
                </c:pt>
                <c:pt idx="6">
                  <c:v>5.0541976558826205</c:v>
                </c:pt>
                <c:pt idx="7">
                  <c:v>5.0758846561913877</c:v>
                </c:pt>
                <c:pt idx="8">
                  <c:v>5.3717671595157723</c:v>
                </c:pt>
                <c:pt idx="9">
                  <c:v>5.8271385988659938</c:v>
                </c:pt>
                <c:pt idx="10">
                  <c:v>6.7134079866480016</c:v>
                </c:pt>
                <c:pt idx="11">
                  <c:v>8.4728612320543473</c:v>
                </c:pt>
                <c:pt idx="12">
                  <c:v>9.7593110580789926</c:v>
                </c:pt>
                <c:pt idx="13">
                  <c:v>12.310386174131224</c:v>
                </c:pt>
                <c:pt idx="14">
                  <c:v>17.487125469162336</c:v>
                </c:pt>
                <c:pt idx="15">
                  <c:v>24.183342140330982</c:v>
                </c:pt>
                <c:pt idx="16">
                  <c:v>33.997131669062924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35-4AD7-8906-FA5F18FDCF71}"/>
            </c:ext>
          </c:extLst>
        </c:ser>
        <c:ser>
          <c:idx val="1"/>
          <c:order val="1"/>
          <c:tx>
            <c:v>m_śr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'projekt 4'!$J$3:$J$19</c:f>
              <c:numCache>
                <c:formatCode>0.00</c:formatCode>
                <c:ptCount val="17"/>
                <c:pt idx="0">
                  <c:v>59.126445169340748</c:v>
                </c:pt>
                <c:pt idx="1">
                  <c:v>60.173560582917553</c:v>
                </c:pt>
                <c:pt idx="2">
                  <c:v>61.424701732981021</c:v>
                </c:pt>
                <c:pt idx="3">
                  <c:v>64.181488780685001</c:v>
                </c:pt>
                <c:pt idx="4">
                  <c:v>67.004740051556382</c:v>
                </c:pt>
                <c:pt idx="5">
                  <c:v>70.235788303627814</c:v>
                </c:pt>
                <c:pt idx="6">
                  <c:v>74.657467081525084</c:v>
                </c:pt>
                <c:pt idx="7">
                  <c:v>78.373503779988354</c:v>
                </c:pt>
                <c:pt idx="8">
                  <c:v>89.791435712186527</c:v>
                </c:pt>
                <c:pt idx="9">
                  <c:v>100.14071963602551</c:v>
                </c:pt>
                <c:pt idx="10">
                  <c:v>113.32194391035867</c:v>
                </c:pt>
                <c:pt idx="11">
                  <c:v>131.71629707238273</c:v>
                </c:pt>
                <c:pt idx="12">
                  <c:v>141.55855918872717</c:v>
                </c:pt>
                <c:pt idx="13">
                  <c:v>156.79264021794413</c:v>
                </c:pt>
                <c:pt idx="14">
                  <c:v>180.49234954360955</c:v>
                </c:pt>
                <c:pt idx="15">
                  <c:v>201.57493546000165</c:v>
                </c:pt>
                <c:pt idx="16">
                  <c:v>227.67517639416883</c:v>
                </c:pt>
              </c:numCache>
            </c:numRef>
          </c:xVal>
          <c:yVal>
            <c:numRef>
              <c:f>'projekt 4'!$K$3:$K$19</c:f>
              <c:numCache>
                <c:formatCode>0.000</c:formatCode>
                <c:ptCount val="17"/>
                <c:pt idx="0">
                  <c:v>5.8898824105941765</c:v>
                </c:pt>
                <c:pt idx="1">
                  <c:v>5.8457672637972431</c:v>
                </c:pt>
                <c:pt idx="2">
                  <c:v>5.7819408869722801</c:v>
                </c:pt>
                <c:pt idx="3">
                  <c:v>5.6842624534284312</c:v>
                </c:pt>
                <c:pt idx="4">
                  <c:v>5.6024492423015859</c:v>
                </c:pt>
                <c:pt idx="5">
                  <c:v>5.5765848153052024</c:v>
                </c:pt>
                <c:pt idx="6">
                  <c:v>5.5991585265015615</c:v>
                </c:pt>
                <c:pt idx="7">
                  <c:v>5.6231838933274405</c:v>
                </c:pt>
                <c:pt idx="8">
                  <c:v>5.9509694597275038</c:v>
                </c:pt>
                <c:pt idx="9">
                  <c:v>6.4554406044987163</c:v>
                </c:pt>
                <c:pt idx="10">
                  <c:v>7.4372705876615646</c:v>
                </c:pt>
                <c:pt idx="11">
                  <c:v>9.3864340972309996</c:v>
                </c:pt>
                <c:pt idx="12">
                  <c:v>10.811593341630292</c:v>
                </c:pt>
                <c:pt idx="13">
                  <c:v>13.637734098346584</c:v>
                </c:pt>
                <c:pt idx="14">
                  <c:v>19.3726471224767</c:v>
                </c:pt>
                <c:pt idx="15">
                  <c:v>26.790872768250011</c:v>
                </c:pt>
                <c:pt idx="16">
                  <c:v>37.662818635490815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35-4AD7-8906-FA5F18FDCF71}"/>
            </c:ext>
          </c:extLst>
        </c:ser>
        <c:ser>
          <c:idx val="2"/>
          <c:order val="2"/>
          <c:tx>
            <c:v>m_max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'projekt 4'!$L$3:$L$19</c:f>
              <c:numCache>
                <c:formatCode>0.00</c:formatCode>
                <c:ptCount val="17"/>
                <c:pt idx="0">
                  <c:v>64.368720430903181</c:v>
                </c:pt>
                <c:pt idx="1">
                  <c:v>65.508675304266092</c:v>
                </c:pt>
                <c:pt idx="2">
                  <c:v>66.870745265979167</c:v>
                </c:pt>
                <c:pt idx="3">
                  <c:v>69.871954864374018</c:v>
                </c:pt>
                <c:pt idx="4">
                  <c:v>72.945521544062473</c:v>
                </c:pt>
                <c:pt idx="5">
                  <c:v>76.463041344900915</c:v>
                </c:pt>
                <c:pt idx="6">
                  <c:v>81.276755483719327</c:v>
                </c:pt>
                <c:pt idx="7">
                  <c:v>85.322263828915624</c:v>
                </c:pt>
                <c:pt idx="8">
                  <c:v>97.752533674122702</c:v>
                </c:pt>
                <c:pt idx="9">
                  <c:v>109.01940692594245</c:v>
                </c:pt>
                <c:pt idx="10">
                  <c:v>123.36930632918853</c:v>
                </c:pt>
                <c:pt idx="11">
                  <c:v>143.39454161608154</c:v>
                </c:pt>
                <c:pt idx="12">
                  <c:v>154.10943943820118</c:v>
                </c:pt>
                <c:pt idx="13">
                  <c:v>170.69420620344326</c:v>
                </c:pt>
                <c:pt idx="14">
                  <c:v>196.49518171462563</c:v>
                </c:pt>
                <c:pt idx="15">
                  <c:v>219.44699413842454</c:v>
                </c:pt>
                <c:pt idx="16">
                  <c:v>247.86133745060769</c:v>
                </c:pt>
              </c:numCache>
            </c:numRef>
          </c:xVal>
          <c:yVal>
            <c:numRef>
              <c:f>'projekt 4'!$M$3:$M$19</c:f>
              <c:numCache>
                <c:formatCode>0.000</c:formatCode>
                <c:ptCount val="17"/>
                <c:pt idx="0">
                  <c:v>6.4120918004219982</c:v>
                </c:pt>
                <c:pt idx="1">
                  <c:v>6.3640653117195702</c:v>
                </c:pt>
                <c:pt idx="2">
                  <c:v>6.2945799537854548</c:v>
                </c:pt>
                <c:pt idx="3">
                  <c:v>6.1882411444268826</c:v>
                </c:pt>
                <c:pt idx="4">
                  <c:v>6.0991742015471662</c:v>
                </c:pt>
                <c:pt idx="5">
                  <c:v>6.0710165799335636</c:v>
                </c:pt>
                <c:pt idx="6">
                  <c:v>6.0955917239478001</c:v>
                </c:pt>
                <c:pt idx="7">
                  <c:v>6.1217472304396194</c:v>
                </c:pt>
                <c:pt idx="8">
                  <c:v>6.4785949560970986</c:v>
                </c:pt>
                <c:pt idx="9">
                  <c:v>7.0277935759402865</c:v>
                </c:pt>
                <c:pt idx="10">
                  <c:v>8.0966746750133431</c:v>
                </c:pt>
                <c:pt idx="11">
                  <c:v>10.218655129990053</c:v>
                </c:pt>
                <c:pt idx="12">
                  <c:v>11.770171997096137</c:v>
                </c:pt>
                <c:pt idx="13">
                  <c:v>14.846884350535269</c:v>
                </c:pt>
                <c:pt idx="14">
                  <c:v>21.090266852028769</c:v>
                </c:pt>
                <c:pt idx="15">
                  <c:v>29.166208020461148</c:v>
                </c:pt>
                <c:pt idx="16">
                  <c:v>41.002083525305729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35-4AD7-8906-FA5F18FDCF71}"/>
            </c:ext>
          </c:extLst>
        </c:ser>
        <c:ser>
          <c:idx val="3"/>
          <c:order val="3"/>
          <c:tx>
            <c:v>γ_min</c:v>
          </c:tx>
          <c:spPr>
            <a:ln w="31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175" cap="rnd">
                <a:solidFill>
                  <a:schemeClr val="accent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A35-4AD7-8906-FA5F18FDCF71}"/>
              </c:ext>
            </c:extLst>
          </c:dPt>
          <c:xVal>
            <c:numRef>
              <c:f>'projekt 4'!$O$3:$O$4</c:f>
              <c:numCache>
                <c:formatCode>General</c:formatCode>
                <c:ptCount val="2"/>
                <c:pt idx="0">
                  <c:v>0</c:v>
                </c:pt>
                <c:pt idx="1">
                  <c:v>240</c:v>
                </c:pt>
              </c:numCache>
            </c:numRef>
          </c:xVal>
          <c:yVal>
            <c:numRef>
              <c:f>'projekt 4'!$P$3:$P$4</c:f>
              <c:numCache>
                <c:formatCode>General</c:formatCode>
                <c:ptCount val="2"/>
                <c:pt idx="0">
                  <c:v>0</c:v>
                </c:pt>
                <c:pt idx="1">
                  <c:v>15.503532838779236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35-4AD7-8906-FA5F18FD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643200"/>
        <c:axId val="2035257184"/>
      </c:scatterChart>
      <c:valAx>
        <c:axId val="2061643200"/>
        <c:scaling>
          <c:orientation val="minMax"/>
          <c:max val="22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V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5257184"/>
        <c:crosses val="autoZero"/>
        <c:crossBetween val="midCat"/>
        <c:majorUnit val="20"/>
      </c:valAx>
      <c:valAx>
        <c:axId val="2035257184"/>
        <c:scaling>
          <c:orientation val="maxMin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1643200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46795427293685"/>
          <c:y val="0.1489242231817797"/>
          <c:w val="0.60026932500420815"/>
          <c:h val="7.2581153162306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Charakterystyki silnika Pr(Ma,h)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94983187714131"/>
          <c:y val="0.14927317571398194"/>
          <c:w val="0.71804815661235677"/>
          <c:h val="0.7273579443632654"/>
        </c:manualLayout>
      </c:layout>
      <c:scatterChart>
        <c:scatterStyle val="smoothMarker"/>
        <c:varyColors val="0"/>
        <c:ser>
          <c:idx val="0"/>
          <c:order val="0"/>
          <c:tx>
            <c:v>h=0km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'projekt 5'!$A$5:$A$15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'projekt 5'!$B$5:$B$15</c:f>
              <c:numCache>
                <c:formatCode>General</c:formatCode>
                <c:ptCount val="11"/>
                <c:pt idx="0">
                  <c:v>9800</c:v>
                </c:pt>
                <c:pt idx="1">
                  <c:v>9278.15</c:v>
                </c:pt>
                <c:pt idx="2">
                  <c:v>8898.4</c:v>
                </c:pt>
                <c:pt idx="3">
                  <c:v>8660.75</c:v>
                </c:pt>
                <c:pt idx="4">
                  <c:v>8565.2000000000007</c:v>
                </c:pt>
                <c:pt idx="5">
                  <c:v>8611.75</c:v>
                </c:pt>
                <c:pt idx="6">
                  <c:v>8800.4</c:v>
                </c:pt>
                <c:pt idx="7">
                  <c:v>9131.15</c:v>
                </c:pt>
                <c:pt idx="8">
                  <c:v>9604.0000000000018</c:v>
                </c:pt>
                <c:pt idx="9">
                  <c:v>10218.950000000001</c:v>
                </c:pt>
                <c:pt idx="10">
                  <c:v>10976.000000000002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EA-4DBF-8D1C-C89D9AA12113}"/>
            </c:ext>
          </c:extLst>
        </c:ser>
        <c:ser>
          <c:idx val="1"/>
          <c:order val="1"/>
          <c:tx>
            <c:v>h=2km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'projekt 5'!$A$5:$A$15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'projekt 5'!$C$5:$C$15</c:f>
              <c:numCache>
                <c:formatCode>General</c:formatCode>
                <c:ptCount val="11"/>
                <c:pt idx="0">
                  <c:v>8291.7245933023369</c:v>
                </c:pt>
                <c:pt idx="1">
                  <c:v>7850.1902587089871</c:v>
                </c:pt>
                <c:pt idx="2">
                  <c:v>7528.8859307185221</c:v>
                </c:pt>
                <c:pt idx="3">
                  <c:v>7327.8116093309409</c:v>
                </c:pt>
                <c:pt idx="4">
                  <c:v>7246.9672945462426</c:v>
                </c:pt>
                <c:pt idx="5">
                  <c:v>7286.3529863644289</c:v>
                </c:pt>
                <c:pt idx="6">
                  <c:v>7445.9686847854982</c:v>
                </c:pt>
                <c:pt idx="7">
                  <c:v>7725.8143898094522</c:v>
                </c:pt>
                <c:pt idx="8">
                  <c:v>8125.8901014362909</c:v>
                </c:pt>
                <c:pt idx="9">
                  <c:v>8646.1958196660125</c:v>
                </c:pt>
                <c:pt idx="10">
                  <c:v>9286.731544498618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EA-4DBF-8D1C-C89D9AA12113}"/>
            </c:ext>
          </c:extLst>
        </c:ser>
        <c:ser>
          <c:idx val="2"/>
          <c:order val="2"/>
          <c:tx>
            <c:v>h=4km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'projekt 5'!$A$5:$A$15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'projekt 5'!$D$5:$D$15</c:f>
              <c:numCache>
                <c:formatCode>General</c:formatCode>
                <c:ptCount val="11"/>
                <c:pt idx="0">
                  <c:v>6959.0104816317789</c:v>
                </c:pt>
                <c:pt idx="1">
                  <c:v>6588.4431734848868</c:v>
                </c:pt>
                <c:pt idx="2">
                  <c:v>6318.7815173216559</c:v>
                </c:pt>
                <c:pt idx="3">
                  <c:v>6150.0255131420845</c:v>
                </c:pt>
                <c:pt idx="4">
                  <c:v>6082.1751609461744</c:v>
                </c:pt>
                <c:pt idx="5">
                  <c:v>6115.2304607339256</c:v>
                </c:pt>
                <c:pt idx="6">
                  <c:v>6249.1914125053372</c:v>
                </c:pt>
                <c:pt idx="7">
                  <c:v>6484.0580162604101</c:v>
                </c:pt>
                <c:pt idx="8">
                  <c:v>6819.8302719991443</c:v>
                </c:pt>
                <c:pt idx="9">
                  <c:v>7256.508179721538</c:v>
                </c:pt>
                <c:pt idx="10">
                  <c:v>7794.091739427593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EA-4DBF-8D1C-C89D9AA12113}"/>
            </c:ext>
          </c:extLst>
        </c:ser>
        <c:ser>
          <c:idx val="3"/>
          <c:order val="3"/>
          <c:tx>
            <c:v>h=6km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'projekt 5'!$A$5:$A$15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'projekt 5'!$E$5:$E$15</c:f>
              <c:numCache>
                <c:formatCode>General</c:formatCode>
                <c:ptCount val="11"/>
                <c:pt idx="0">
                  <c:v>5788.6306580928886</c:v>
                </c:pt>
                <c:pt idx="1">
                  <c:v>5480.3860755494425</c:v>
                </c:pt>
                <c:pt idx="2">
                  <c:v>5256.0766375483427</c:v>
                </c:pt>
                <c:pt idx="3">
                  <c:v>5115.70234408959</c:v>
                </c:pt>
                <c:pt idx="4">
                  <c:v>5059.2631951731846</c:v>
                </c:pt>
                <c:pt idx="5">
                  <c:v>5086.7591907991264</c:v>
                </c:pt>
                <c:pt idx="6">
                  <c:v>5198.1903309674144</c:v>
                </c:pt>
                <c:pt idx="7">
                  <c:v>5393.5566156780487</c:v>
                </c:pt>
                <c:pt idx="8">
                  <c:v>5672.8580449310311</c:v>
                </c:pt>
                <c:pt idx="9">
                  <c:v>6036.0946187263598</c:v>
                </c:pt>
                <c:pt idx="10">
                  <c:v>6483.2663370640357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EA-4DBF-8D1C-C89D9AA12113}"/>
            </c:ext>
          </c:extLst>
        </c:ser>
        <c:ser>
          <c:idx val="4"/>
          <c:order val="4"/>
          <c:tx>
            <c:v>h=8km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'projekt 5'!$A$5:$A$15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'projekt 5'!$F$5:$F$15</c:f>
              <c:numCache>
                <c:formatCode>General</c:formatCode>
                <c:ptCount val="11"/>
                <c:pt idx="0">
                  <c:v>4767.7575487620325</c:v>
                </c:pt>
                <c:pt idx="1">
                  <c:v>4513.8744592904541</c:v>
                </c:pt>
                <c:pt idx="2">
                  <c:v>4329.1238542759256</c:v>
                </c:pt>
                <c:pt idx="3">
                  <c:v>4213.5057337184462</c:v>
                </c:pt>
                <c:pt idx="4">
                  <c:v>4167.0200976180167</c:v>
                </c:pt>
                <c:pt idx="5">
                  <c:v>4189.6669459746363</c:v>
                </c:pt>
                <c:pt idx="6">
                  <c:v>4281.4462787883049</c:v>
                </c:pt>
                <c:pt idx="7">
                  <c:v>4442.3580960590234</c:v>
                </c:pt>
                <c:pt idx="8">
                  <c:v>4672.4023977867919</c:v>
                </c:pt>
                <c:pt idx="9">
                  <c:v>4971.5791839716094</c:v>
                </c:pt>
                <c:pt idx="10">
                  <c:v>5339.8884546134768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EA-4DBF-8D1C-C89D9AA12113}"/>
            </c:ext>
          </c:extLst>
        </c:ser>
        <c:ser>
          <c:idx val="5"/>
          <c:order val="5"/>
          <c:tx>
            <c:v>h=10km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'projekt 5'!$A$5:$A$15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'projekt 5'!$G$5:$G$15</c:f>
              <c:numCache>
                <c:formatCode>General</c:formatCode>
                <c:ptCount val="11"/>
                <c:pt idx="0">
                  <c:v>3883.9708732151303</c:v>
                </c:pt>
                <c:pt idx="1">
                  <c:v>3677.1494242164244</c:v>
                </c:pt>
                <c:pt idx="2">
                  <c:v>3526.6455528793385</c:v>
                </c:pt>
                <c:pt idx="3">
                  <c:v>3432.4592592038716</c:v>
                </c:pt>
                <c:pt idx="4">
                  <c:v>3394.5905431900237</c:v>
                </c:pt>
                <c:pt idx="5">
                  <c:v>3413.0394048377957</c:v>
                </c:pt>
                <c:pt idx="6">
                  <c:v>3487.8058441471871</c:v>
                </c:pt>
                <c:pt idx="7">
                  <c:v>3618.8898611181976</c:v>
                </c:pt>
                <c:pt idx="8">
                  <c:v>3806.2914557508279</c:v>
                </c:pt>
                <c:pt idx="9">
                  <c:v>4050.0106280450773</c:v>
                </c:pt>
                <c:pt idx="10">
                  <c:v>4350.0473780009461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EA-4DBF-8D1C-C89D9AA12113}"/>
            </c:ext>
          </c:extLst>
        </c:ser>
        <c:ser>
          <c:idx val="6"/>
          <c:order val="6"/>
          <c:tx>
            <c:v>h=12km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'projekt 5'!$A$5:$A$15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'projekt 5'!$H$5:$H$15</c:f>
              <c:numCache>
                <c:formatCode>General</c:formatCode>
                <c:ptCount val="11"/>
                <c:pt idx="0">
                  <c:v>3125.2660952758069</c:v>
                </c:pt>
                <c:pt idx="1">
                  <c:v>2958.84567570237</c:v>
                </c:pt>
                <c:pt idx="2">
                  <c:v>2837.741614510433</c:v>
                </c:pt>
                <c:pt idx="3">
                  <c:v>2761.9539116999945</c:v>
                </c:pt>
                <c:pt idx="4">
                  <c:v>2731.4825672710554</c:v>
                </c:pt>
                <c:pt idx="5">
                  <c:v>2746.3275812236157</c:v>
                </c:pt>
                <c:pt idx="6">
                  <c:v>2806.4889535576749</c:v>
                </c:pt>
                <c:pt idx="7">
                  <c:v>2911.9666842732331</c:v>
                </c:pt>
                <c:pt idx="8">
                  <c:v>3062.7607733702912</c:v>
                </c:pt>
                <c:pt idx="9">
                  <c:v>3258.8712208488478</c:v>
                </c:pt>
                <c:pt idx="10">
                  <c:v>3500.2980267089042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7EA-4DBF-8D1C-C89D9AA12113}"/>
            </c:ext>
          </c:extLst>
        </c:ser>
        <c:ser>
          <c:idx val="7"/>
          <c:order val="7"/>
          <c:tx>
            <c:v>h=14km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'projekt 5'!$A$5:$A$15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'projekt 5'!$I$5:$I$15</c:f>
              <c:numCache>
                <c:formatCode>General</c:formatCode>
                <c:ptCount val="11"/>
                <c:pt idx="0">
                  <c:v>2480.0635448498047</c:v>
                </c:pt>
                <c:pt idx="1">
                  <c:v>2348.0001610865525</c:v>
                </c:pt>
                <c:pt idx="2">
                  <c:v>2251.8976987236229</c:v>
                </c:pt>
                <c:pt idx="3">
                  <c:v>2191.7561577610149</c:v>
                </c:pt>
                <c:pt idx="4">
                  <c:v>2167.5755381987292</c:v>
                </c:pt>
                <c:pt idx="5">
                  <c:v>2179.355840036766</c:v>
                </c:pt>
                <c:pt idx="6">
                  <c:v>2227.0970632751246</c:v>
                </c:pt>
                <c:pt idx="7">
                  <c:v>2310.7992079138053</c:v>
                </c:pt>
                <c:pt idx="8">
                  <c:v>2430.4622739528086</c:v>
                </c:pt>
                <c:pt idx="9">
                  <c:v>2586.086261392134</c:v>
                </c:pt>
                <c:pt idx="10">
                  <c:v>2777.6711702317816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7EA-4DBF-8D1C-C89D9AA12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37679"/>
        <c:axId val="339889951"/>
      </c:scatterChart>
      <c:valAx>
        <c:axId val="5933767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39889951"/>
        <c:crosses val="autoZero"/>
        <c:crossBetween val="midCat"/>
        <c:majorUnit val="0.1"/>
      </c:valAx>
      <c:valAx>
        <c:axId val="33988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337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201023592110834"/>
          <c:y val="0.1980934073229714"/>
          <c:w val="0.15572942301849488"/>
          <c:h val="0.68519259710664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68580</xdr:colOff>
      <xdr:row>36</xdr:row>
      <xdr:rowOff>186690</xdr:rowOff>
    </xdr:from>
    <xdr:to>
      <xdr:col>18</xdr:col>
      <xdr:colOff>632460</xdr:colOff>
      <xdr:row>51</xdr:row>
      <xdr:rowOff>186690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DAC7E1D-5634-E89C-5204-30E1C8E47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37</xdr:row>
      <xdr:rowOff>95250</xdr:rowOff>
    </xdr:from>
    <xdr:to>
      <xdr:col>10</xdr:col>
      <xdr:colOff>704850</xdr:colOff>
      <xdr:row>52</xdr:row>
      <xdr:rowOff>156210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5354250-5FD1-1801-8A85-11C130C37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320040</xdr:colOff>
      <xdr:row>52</xdr:row>
      <xdr:rowOff>110490</xdr:rowOff>
    </xdr:from>
    <xdr:to>
      <xdr:col>10</xdr:col>
      <xdr:colOff>419100</xdr:colOff>
      <xdr:row>66</xdr:row>
      <xdr:rowOff>186690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8124D42-79B4-4CC7-670B-3C9369BAF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361950</xdr:colOff>
      <xdr:row>66</xdr:row>
      <xdr:rowOff>186690</xdr:rowOff>
    </xdr:from>
    <xdr:to>
      <xdr:col>10</xdr:col>
      <xdr:colOff>461010</xdr:colOff>
      <xdr:row>81</xdr:row>
      <xdr:rowOff>72390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727F4E6-AECB-F022-151B-03125AD15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369570</xdr:colOff>
      <xdr:row>81</xdr:row>
      <xdr:rowOff>102870</xdr:rowOff>
    </xdr:from>
    <xdr:to>
      <xdr:col>10</xdr:col>
      <xdr:colOff>468630</xdr:colOff>
      <xdr:row>95</xdr:row>
      <xdr:rowOff>179070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3ECED905-D80A-0BDD-EDCD-03179A027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53</xdr:row>
      <xdr:rowOff>0</xdr:rowOff>
    </xdr:from>
    <xdr:to>
      <xdr:col>18</xdr:col>
      <xdr:colOff>304800</xdr:colOff>
      <xdr:row>67</xdr:row>
      <xdr:rowOff>76200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A017BB60-2B95-432A-819B-82C736AF6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441960</xdr:colOff>
      <xdr:row>95</xdr:row>
      <xdr:rowOff>167640</xdr:rowOff>
    </xdr:from>
    <xdr:to>
      <xdr:col>10</xdr:col>
      <xdr:colOff>541020</xdr:colOff>
      <xdr:row>110</xdr:row>
      <xdr:rowOff>53340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C51E96ED-378B-4C96-A0B8-89D4636DC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375173</xdr:colOff>
      <xdr:row>19</xdr:row>
      <xdr:rowOff>163381</xdr:rowOff>
    </xdr:from>
    <xdr:to>
      <xdr:col>8</xdr:col>
      <xdr:colOff>70373</xdr:colOff>
      <xdr:row>34</xdr:row>
      <xdr:rowOff>163381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EF85FE7-B0DF-B40A-A940-5270164F7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197000</xdr:colOff>
      <xdr:row>19</xdr:row>
      <xdr:rowOff>19947</xdr:rowOff>
    </xdr:from>
    <xdr:to>
      <xdr:col>16</xdr:col>
      <xdr:colOff>132230</xdr:colOff>
      <xdr:row>35</xdr:row>
      <xdr:rowOff>46617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159093F-E5D7-D43E-CB80-6373AF55A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129987</xdr:colOff>
      <xdr:row>0</xdr:row>
      <xdr:rowOff>26892</xdr:rowOff>
    </xdr:from>
    <xdr:to>
      <xdr:col>18</xdr:col>
      <xdr:colOff>143434</xdr:colOff>
      <xdr:row>16</xdr:row>
      <xdr:rowOff>8963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C71592D2-5A9A-D941-CD76-C01A2D755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x_Cz_1" connectionId="2" xr16:uid="{0B809069-E7B8-4B68-B5C6-C415DDAD2E0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z_a_2" connectionId="5" xr16:uid="{809C63EC-04B0-44C6-B977-3D9CC436DF8B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x(Cz)" connectionId="1" xr16:uid="{69BDD63A-D12F-4AFB-B397-40DDA203CD71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z(a)" connectionId="3" xr16:uid="{FE2610C2-DB44-4343-BE50-A015197361A6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z_a_1" connectionId="4" xr16:uid="{A8E7374A-9144-4A67-8B4B-EE38FBB7C40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7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74FF-3B14-4C31-BFE0-72903642C0C0}">
  <dimension ref="A1:D105"/>
  <sheetViews>
    <sheetView workbookViewId="0">
      <selection activeCell="A69" sqref="A69"/>
    </sheetView>
  </sheetViews>
  <sheetFormatPr defaultRowHeight="14.4" x14ac:dyDescent="0.3"/>
  <cols>
    <col min="1" max="1" width="61.21875" style="18" customWidth="1"/>
    <col min="2" max="2" width="11.109375" style="5" customWidth="1"/>
    <col min="3" max="3" width="13.109375" style="5" customWidth="1"/>
    <col min="4" max="4" width="8.88671875" style="5"/>
  </cols>
  <sheetData>
    <row r="1" spans="1:4" x14ac:dyDescent="0.3">
      <c r="A1" s="19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8" t="s">
        <v>10</v>
      </c>
      <c r="B2" s="5" t="s">
        <v>4</v>
      </c>
      <c r="C2" s="5">
        <v>10.07</v>
      </c>
      <c r="D2" s="5" t="s">
        <v>19</v>
      </c>
    </row>
    <row r="3" spans="1:4" ht="15.6" x14ac:dyDescent="0.35">
      <c r="A3" s="18" t="s">
        <v>11</v>
      </c>
      <c r="B3" s="5" t="s">
        <v>58</v>
      </c>
      <c r="C3" s="5">
        <v>3.6</v>
      </c>
      <c r="D3" s="5" t="s">
        <v>19</v>
      </c>
    </row>
    <row r="4" spans="1:4" ht="15.6" x14ac:dyDescent="0.35">
      <c r="A4" s="18" t="s">
        <v>103</v>
      </c>
      <c r="B4" s="5" t="s">
        <v>104</v>
      </c>
      <c r="C4" s="5">
        <v>11.25</v>
      </c>
      <c r="D4" s="5" t="s">
        <v>19</v>
      </c>
    </row>
    <row r="5" spans="1:4" ht="16.2" x14ac:dyDescent="0.3">
      <c r="A5" s="18" t="s">
        <v>12</v>
      </c>
      <c r="B5" s="5" t="s">
        <v>5</v>
      </c>
      <c r="C5" s="5">
        <v>17.5</v>
      </c>
      <c r="D5" s="5" t="s">
        <v>84</v>
      </c>
    </row>
    <row r="6" spans="1:4" ht="15.6" x14ac:dyDescent="0.35">
      <c r="A6" s="18" t="s">
        <v>13</v>
      </c>
      <c r="B6" s="5" t="s">
        <v>56</v>
      </c>
      <c r="C6" s="5">
        <v>2560</v>
      </c>
      <c r="D6" s="5" t="s">
        <v>21</v>
      </c>
    </row>
    <row r="7" spans="1:4" ht="15.6" x14ac:dyDescent="0.35">
      <c r="A7" s="18" t="s">
        <v>14</v>
      </c>
      <c r="B7" s="5" t="s">
        <v>57</v>
      </c>
      <c r="C7" s="5">
        <v>3840</v>
      </c>
      <c r="D7" s="5" t="s">
        <v>21</v>
      </c>
    </row>
    <row r="8" spans="1:4" ht="15.6" x14ac:dyDescent="0.35">
      <c r="A8" s="18" t="s">
        <v>15</v>
      </c>
      <c r="B8" s="5" t="s">
        <v>55</v>
      </c>
      <c r="C8" s="5">
        <v>996</v>
      </c>
      <c r="D8" s="5" t="s">
        <v>21</v>
      </c>
    </row>
    <row r="9" spans="1:4" ht="15.6" x14ac:dyDescent="0.35">
      <c r="A9" s="20" t="s">
        <v>259</v>
      </c>
      <c r="B9" s="5" t="s">
        <v>260</v>
      </c>
      <c r="C9" s="5">
        <v>9800</v>
      </c>
      <c r="D9" s="5" t="s">
        <v>6</v>
      </c>
    </row>
    <row r="10" spans="1:4" ht="15.6" x14ac:dyDescent="0.35">
      <c r="A10" s="18" t="s">
        <v>250</v>
      </c>
      <c r="B10" s="5" t="s">
        <v>254</v>
      </c>
      <c r="C10" s="5">
        <v>14600</v>
      </c>
      <c r="D10" s="5" t="s">
        <v>256</v>
      </c>
    </row>
    <row r="11" spans="1:4" ht="15.6" x14ac:dyDescent="0.35">
      <c r="A11" s="18" t="s">
        <v>251</v>
      </c>
      <c r="B11" s="5" t="s">
        <v>255</v>
      </c>
      <c r="C11" s="5">
        <v>8200</v>
      </c>
      <c r="D11" s="5" t="s">
        <v>6</v>
      </c>
    </row>
    <row r="12" spans="1:4" ht="15.6" x14ac:dyDescent="0.35">
      <c r="A12" s="18" t="s">
        <v>252</v>
      </c>
      <c r="B12" s="5" t="s">
        <v>253</v>
      </c>
      <c r="C12" s="5">
        <v>13600</v>
      </c>
      <c r="D12" s="5" t="s">
        <v>256</v>
      </c>
    </row>
    <row r="13" spans="1:4" ht="16.2" x14ac:dyDescent="0.3">
      <c r="A13" s="18" t="s">
        <v>16</v>
      </c>
      <c r="B13" s="5" t="s">
        <v>7</v>
      </c>
      <c r="C13" s="5">
        <v>1E-3</v>
      </c>
      <c r="D13" s="5" t="s">
        <v>85</v>
      </c>
    </row>
    <row r="14" spans="1:4" ht="15.6" x14ac:dyDescent="0.35">
      <c r="A14" s="18" t="s">
        <v>17</v>
      </c>
      <c r="B14" s="5" t="s">
        <v>53</v>
      </c>
      <c r="C14" s="5">
        <f>720*1000/3600</f>
        <v>200</v>
      </c>
      <c r="D14" s="5" t="s">
        <v>22</v>
      </c>
    </row>
    <row r="15" spans="1:4" ht="15.6" x14ac:dyDescent="0.35">
      <c r="A15" s="18" t="s">
        <v>18</v>
      </c>
      <c r="B15" s="5" t="s">
        <v>54</v>
      </c>
      <c r="C15" s="5">
        <v>16</v>
      </c>
      <c r="D15" s="5" t="s">
        <v>22</v>
      </c>
    </row>
    <row r="16" spans="1:4" ht="16.2" x14ac:dyDescent="0.3">
      <c r="A16" s="18" t="s">
        <v>41</v>
      </c>
      <c r="B16" s="5" t="s">
        <v>42</v>
      </c>
      <c r="C16" s="5">
        <v>9.81</v>
      </c>
      <c r="D16" s="5" t="s">
        <v>86</v>
      </c>
    </row>
    <row r="17" spans="1:4" x14ac:dyDescent="0.3">
      <c r="A17" s="18" t="s">
        <v>248</v>
      </c>
      <c r="B17" s="5" t="s">
        <v>249</v>
      </c>
      <c r="C17" s="5">
        <v>12500</v>
      </c>
      <c r="D17" s="5" t="s">
        <v>19</v>
      </c>
    </row>
    <row r="18" spans="1:4" x14ac:dyDescent="0.3">
      <c r="A18" s="20" t="s">
        <v>9</v>
      </c>
      <c r="B18" s="6" t="s">
        <v>8</v>
      </c>
      <c r="C18" s="6">
        <v>13100</v>
      </c>
      <c r="D18" s="6" t="s">
        <v>19</v>
      </c>
    </row>
    <row r="19" spans="1:4" ht="15.6" x14ac:dyDescent="0.35">
      <c r="A19" s="18" t="s">
        <v>23</v>
      </c>
      <c r="B19" s="5" t="s">
        <v>59</v>
      </c>
      <c r="C19" s="5">
        <v>2.4900000000000002</v>
      </c>
      <c r="D19" s="5" t="s">
        <v>19</v>
      </c>
    </row>
    <row r="20" spans="1:4" ht="15.6" x14ac:dyDescent="0.35">
      <c r="A20" s="18" t="s">
        <v>24</v>
      </c>
      <c r="B20" s="5" t="s">
        <v>60</v>
      </c>
      <c r="C20" s="5">
        <v>1.1399999999999999</v>
      </c>
      <c r="D20" s="5" t="s">
        <v>19</v>
      </c>
    </row>
    <row r="21" spans="1:4" ht="15.6" x14ac:dyDescent="0.35">
      <c r="A21" s="18" t="s">
        <v>25</v>
      </c>
      <c r="B21" s="5" t="s">
        <v>265</v>
      </c>
      <c r="C21" s="12">
        <f>DEGREES(ATAN(23/115))</f>
        <v>11.309932474020215</v>
      </c>
      <c r="D21" s="7" t="s">
        <v>89</v>
      </c>
    </row>
    <row r="22" spans="1:4" x14ac:dyDescent="0.3">
      <c r="A22" s="18" t="s">
        <v>27</v>
      </c>
      <c r="B22" s="5" t="s">
        <v>51</v>
      </c>
      <c r="C22" s="12">
        <f>C20/C19</f>
        <v>0.45783132530120474</v>
      </c>
      <c r="D22" s="5" t="s">
        <v>36</v>
      </c>
    </row>
    <row r="23" spans="1:4" x14ac:dyDescent="0.3">
      <c r="A23" s="18" t="s">
        <v>28</v>
      </c>
      <c r="B23" s="5" t="s">
        <v>50</v>
      </c>
      <c r="C23" s="12">
        <f>C2*C2/C5</f>
        <v>5.7945657142857145</v>
      </c>
      <c r="D23" s="5" t="s">
        <v>36</v>
      </c>
    </row>
    <row r="24" spans="1:4" ht="15.6" x14ac:dyDescent="0.35">
      <c r="A24" s="18" t="s">
        <v>29</v>
      </c>
      <c r="B24" s="5" t="s">
        <v>61</v>
      </c>
      <c r="C24" s="12">
        <f>2*C19*(1+C22+C22^2)/(3+3*C22)</f>
        <v>1.8986776859504133</v>
      </c>
      <c r="D24" s="5" t="s">
        <v>19</v>
      </c>
    </row>
    <row r="25" spans="1:4" ht="15.6" x14ac:dyDescent="0.35">
      <c r="A25" s="18" t="s">
        <v>26</v>
      </c>
      <c r="B25" s="5" t="s">
        <v>62</v>
      </c>
      <c r="C25" s="11">
        <f>C2*TAN(RADIANS(C21))*(1+2*C22)/(6+6*C22)</f>
        <v>0.44108264462809926</v>
      </c>
      <c r="D25" s="5" t="s">
        <v>19</v>
      </c>
    </row>
    <row r="26" spans="1:4" ht="16.2" x14ac:dyDescent="0.3">
      <c r="A26" s="18" t="s">
        <v>30</v>
      </c>
      <c r="B26" s="8" t="s">
        <v>52</v>
      </c>
      <c r="C26" s="5">
        <v>1.2255</v>
      </c>
      <c r="D26" s="5" t="s">
        <v>87</v>
      </c>
    </row>
    <row r="27" spans="1:4" ht="15.6" x14ac:dyDescent="0.35">
      <c r="A27" s="18" t="s">
        <v>32</v>
      </c>
      <c r="B27" s="5" t="s">
        <v>63</v>
      </c>
      <c r="C27" s="5">
        <f>2*10^6</f>
        <v>2000000</v>
      </c>
      <c r="D27" s="5" t="s">
        <v>36</v>
      </c>
    </row>
    <row r="28" spans="1:4" ht="15.6" x14ac:dyDescent="0.35">
      <c r="A28" s="18" t="s">
        <v>33</v>
      </c>
      <c r="B28" s="5" t="s">
        <v>64</v>
      </c>
      <c r="C28" s="5">
        <v>1.36</v>
      </c>
      <c r="D28" s="5" t="s">
        <v>36</v>
      </c>
    </row>
    <row r="29" spans="1:4" ht="16.2" x14ac:dyDescent="0.3">
      <c r="A29" s="18" t="s">
        <v>31</v>
      </c>
      <c r="B29" s="8" t="s">
        <v>66</v>
      </c>
      <c r="C29" s="5">
        <f>1.4607*10^-5</f>
        <v>1.4607000000000003E-5</v>
      </c>
      <c r="D29" s="5" t="s">
        <v>88</v>
      </c>
    </row>
    <row r="30" spans="1:4" ht="15.6" x14ac:dyDescent="0.35">
      <c r="A30" s="18" t="s">
        <v>37</v>
      </c>
      <c r="B30" s="5" t="s">
        <v>65</v>
      </c>
      <c r="C30" s="13">
        <f>SQRT(2*C7*C16/C26/C5/C28)</f>
        <v>50.82413283192659</v>
      </c>
      <c r="D30" s="5" t="s">
        <v>22</v>
      </c>
    </row>
    <row r="31" spans="1:4" x14ac:dyDescent="0.3">
      <c r="A31" s="18" t="s">
        <v>34</v>
      </c>
      <c r="B31" s="5" t="s">
        <v>35</v>
      </c>
      <c r="C31" s="14">
        <f>C30*C24/C29</f>
        <v>6606328.9461052092</v>
      </c>
      <c r="D31" s="5" t="s">
        <v>36</v>
      </c>
    </row>
    <row r="32" spans="1:4" ht="15.6" x14ac:dyDescent="0.35">
      <c r="A32" s="18" t="s">
        <v>38</v>
      </c>
      <c r="B32" s="5" t="s">
        <v>67</v>
      </c>
      <c r="C32" s="5">
        <v>0.26300000000000001</v>
      </c>
      <c r="D32" s="5" t="s">
        <v>36</v>
      </c>
    </row>
    <row r="33" spans="1:4" ht="15.6" x14ac:dyDescent="0.35">
      <c r="A33" s="18" t="s">
        <v>39</v>
      </c>
      <c r="B33" s="5" t="s">
        <v>68</v>
      </c>
      <c r="C33" s="5">
        <v>-2.5999999999999999E-2</v>
      </c>
      <c r="D33" s="5" t="s">
        <v>36</v>
      </c>
    </row>
    <row r="34" spans="1:4" ht="15.6" x14ac:dyDescent="0.35">
      <c r="A34" s="18" t="s">
        <v>43</v>
      </c>
      <c r="B34" s="5" t="s">
        <v>69</v>
      </c>
      <c r="C34" s="5">
        <v>-3.3640000000000003E-2</v>
      </c>
      <c r="D34" s="5" t="s">
        <v>36</v>
      </c>
    </row>
    <row r="35" spans="1:4" ht="15.6" x14ac:dyDescent="0.35">
      <c r="A35" s="20" t="s">
        <v>40</v>
      </c>
      <c r="B35" s="6" t="s">
        <v>70</v>
      </c>
      <c r="C35" s="16">
        <v>6.2313000000000001</v>
      </c>
      <c r="D35" s="6" t="s">
        <v>83</v>
      </c>
    </row>
    <row r="36" spans="1:4" ht="15.6" x14ac:dyDescent="0.35">
      <c r="A36" s="18" t="s">
        <v>231</v>
      </c>
      <c r="B36" s="5" t="s">
        <v>82</v>
      </c>
      <c r="C36" s="11">
        <f>MIN('projekty 2 i 3'!H3:H20)</f>
        <v>4.6487465497299998E-3</v>
      </c>
      <c r="D36" s="5" t="s">
        <v>36</v>
      </c>
    </row>
    <row r="37" spans="1:4" ht="15.6" x14ac:dyDescent="0.35">
      <c r="A37" s="18" t="s">
        <v>232</v>
      </c>
      <c r="B37" s="5" t="s">
        <v>80</v>
      </c>
      <c r="C37" s="11">
        <f>'projekty 2 i 3'!G25</f>
        <v>0.25823452611561798</v>
      </c>
      <c r="D37" s="5" t="s">
        <v>36</v>
      </c>
    </row>
    <row r="38" spans="1:4" ht="15.6" x14ac:dyDescent="0.35">
      <c r="A38" s="18" t="s">
        <v>230</v>
      </c>
      <c r="B38" s="5" t="s">
        <v>81</v>
      </c>
      <c r="C38" s="11">
        <f>C36*(C31/10^7)^0.11</f>
        <v>4.4415186538621461E-3</v>
      </c>
      <c r="D38" s="5" t="s">
        <v>36</v>
      </c>
    </row>
    <row r="39" spans="1:4" ht="15.6" x14ac:dyDescent="0.35">
      <c r="A39" s="18" t="s">
        <v>228</v>
      </c>
      <c r="B39" s="5" t="s">
        <v>79</v>
      </c>
      <c r="C39" s="11">
        <f>MAX('projekty 2 i 3'!G3:G20)</f>
        <v>9.2816697532836806E-2</v>
      </c>
      <c r="D39" s="5" t="s">
        <v>36</v>
      </c>
    </row>
    <row r="40" spans="1:4" ht="15.6" x14ac:dyDescent="0.35">
      <c r="A40" s="18" t="s">
        <v>229</v>
      </c>
      <c r="B40" s="5" t="s">
        <v>78</v>
      </c>
      <c r="C40" s="11">
        <f>MIN('projekty 2 i 3'!J3:J20)</f>
        <v>4.8358338953196642E-3</v>
      </c>
      <c r="D40" s="5" t="s">
        <v>36</v>
      </c>
    </row>
    <row r="41" spans="1:4" ht="15.6" x14ac:dyDescent="0.35">
      <c r="A41" s="18" t="s">
        <v>224</v>
      </c>
      <c r="B41" s="5" t="s">
        <v>71</v>
      </c>
      <c r="C41" s="11">
        <f>0.15*C40</f>
        <v>7.2537508429794959E-4</v>
      </c>
      <c r="D41" s="5" t="s">
        <v>36</v>
      </c>
    </row>
    <row r="42" spans="1:4" ht="15.6" x14ac:dyDescent="0.35">
      <c r="A42" s="18" t="s">
        <v>97</v>
      </c>
      <c r="B42" s="5" t="s">
        <v>72</v>
      </c>
      <c r="C42" s="12">
        <f>DEGREES(ATAN(TAN(RADIANS(C21))+C19/2/C2*(C22-1)))</f>
        <v>7.5741443850701451</v>
      </c>
      <c r="D42" s="5" t="s">
        <v>89</v>
      </c>
    </row>
    <row r="43" spans="1:4" ht="15.6" x14ac:dyDescent="0.35">
      <c r="A43" s="18" t="s">
        <v>92</v>
      </c>
      <c r="B43" s="5" t="s">
        <v>73</v>
      </c>
      <c r="C43" s="11">
        <f>0.023*(C23/C35)^3-0.103*(C23/C35)^2+0.25*(C23/C35)</f>
        <v>0.16190521413578574</v>
      </c>
      <c r="D43" s="5" t="s">
        <v>36</v>
      </c>
    </row>
    <row r="44" spans="1:4" ht="15.6" x14ac:dyDescent="0.35">
      <c r="A44" s="18" t="s">
        <v>93</v>
      </c>
      <c r="B44" s="5" t="s">
        <v>74</v>
      </c>
      <c r="C44" s="9">
        <f>-0.18*C22^5+1.52*C22^4-3.51*C22^3+3.5*C22^2-1.33*C22+0.17</f>
        <v>2.1039877198850171E-2</v>
      </c>
      <c r="D44" s="5" t="s">
        <v>36</v>
      </c>
    </row>
    <row r="45" spans="1:4" ht="15.6" x14ac:dyDescent="0.35">
      <c r="A45" s="18" t="s">
        <v>94</v>
      </c>
      <c r="B45" s="5" t="s">
        <v>75</v>
      </c>
      <c r="C45" s="9">
        <f>0.0537*C23/C35-0.005</f>
        <v>4.493631808084074E-2</v>
      </c>
      <c r="D45" s="5" t="s">
        <v>36</v>
      </c>
    </row>
    <row r="46" spans="1:4" ht="15.6" x14ac:dyDescent="0.35">
      <c r="A46" s="18" t="s">
        <v>95</v>
      </c>
      <c r="B46" s="5" t="s">
        <v>76</v>
      </c>
      <c r="C46" s="9">
        <f>-0.43*C22^5+1.83*C22^4-3.06*C22^3+2.56*C22^2-C22+0.148</f>
        <v>4.8672463428552637E-3</v>
      </c>
      <c r="D46" s="5" t="s">
        <v>36</v>
      </c>
    </row>
    <row r="47" spans="1:4" ht="15.6" x14ac:dyDescent="0.35">
      <c r="A47" s="18" t="s">
        <v>96</v>
      </c>
      <c r="B47" s="5" t="s">
        <v>77</v>
      </c>
      <c r="C47" s="11">
        <f>1+C42^3*(-2.2*(10^(-7))*C23^3+(10^(-7))*C23^2+1.6*(10^(-5)))</f>
        <v>0.98981228229169815</v>
      </c>
      <c r="D47" s="5" t="s">
        <v>36</v>
      </c>
    </row>
    <row r="48" spans="1:4" x14ac:dyDescent="0.3">
      <c r="A48" s="18" t="s">
        <v>91</v>
      </c>
      <c r="B48" s="5" t="s">
        <v>48</v>
      </c>
      <c r="C48" s="9">
        <f>C45*C46*C47/0.048</f>
        <v>4.5101648260684815E-3</v>
      </c>
      <c r="D48" s="5" t="s">
        <v>36</v>
      </c>
    </row>
    <row r="49" spans="1:4" x14ac:dyDescent="0.3">
      <c r="A49" s="18" t="s">
        <v>90</v>
      </c>
      <c r="B49" s="5" t="s">
        <v>49</v>
      </c>
      <c r="C49" s="9">
        <f>C43*C44/0.17</f>
        <v>2.003803425453219E-2</v>
      </c>
      <c r="D49" s="5" t="s">
        <v>36</v>
      </c>
    </row>
    <row r="50" spans="1:4" ht="15.6" x14ac:dyDescent="0.35">
      <c r="A50" s="18" t="s">
        <v>225</v>
      </c>
      <c r="B50" s="5" t="s">
        <v>98</v>
      </c>
      <c r="C50" s="11">
        <f>C35/(1+C35/PI()/C23*(1+C49))</f>
        <v>4.6186522215143384</v>
      </c>
      <c r="D50" s="5" t="s">
        <v>83</v>
      </c>
    </row>
    <row r="51" spans="1:4" ht="15.6" x14ac:dyDescent="0.35">
      <c r="A51" s="18" t="s">
        <v>226</v>
      </c>
      <c r="B51" s="5" t="s">
        <v>99</v>
      </c>
      <c r="C51" s="7">
        <v>4.6195000000000004</v>
      </c>
      <c r="D51" s="5" t="s">
        <v>83</v>
      </c>
    </row>
    <row r="52" spans="1:4" x14ac:dyDescent="0.3">
      <c r="A52" s="20" t="s">
        <v>227</v>
      </c>
      <c r="B52" s="6" t="s">
        <v>100</v>
      </c>
      <c r="C52" s="16">
        <f>ABS(C51-C50)/C51*100</f>
        <v>1.8352169837904022E-2</v>
      </c>
      <c r="D52" s="6" t="s">
        <v>101</v>
      </c>
    </row>
    <row r="53" spans="1:4" ht="15.6" x14ac:dyDescent="0.35">
      <c r="A53" s="18" t="s">
        <v>151</v>
      </c>
      <c r="B53" s="5" t="s">
        <v>105</v>
      </c>
      <c r="C53" s="5">
        <f>C14*C4/C29</f>
        <v>154035736.29081944</v>
      </c>
      <c r="D53" s="5" t="s">
        <v>36</v>
      </c>
    </row>
    <row r="54" spans="1:4" ht="15.6" x14ac:dyDescent="0.35">
      <c r="A54" s="18" t="s">
        <v>117</v>
      </c>
      <c r="B54" s="5" t="s">
        <v>106</v>
      </c>
      <c r="C54" s="5">
        <v>1.9499999999999999E-3</v>
      </c>
      <c r="D54" s="5" t="s">
        <v>36</v>
      </c>
    </row>
    <row r="55" spans="1:4" ht="15.6" x14ac:dyDescent="0.35">
      <c r="A55" s="18" t="s">
        <v>116</v>
      </c>
      <c r="B55" s="5" t="s">
        <v>107</v>
      </c>
      <c r="C55" s="5">
        <f>PI()*72.45^2*14/2*22/2/1000000</f>
        <v>1.2697475323359333</v>
      </c>
      <c r="D55" s="5" t="s">
        <v>20</v>
      </c>
    </row>
    <row r="56" spans="1:4" ht="15.6" x14ac:dyDescent="0.35">
      <c r="A56" s="17" t="s">
        <v>115</v>
      </c>
      <c r="B56" s="5" t="s">
        <v>108</v>
      </c>
      <c r="C56" s="13">
        <f>2.85*C4*SQRT(C55)</f>
        <v>36.12901082499544</v>
      </c>
      <c r="D56" s="5" t="s">
        <v>20</v>
      </c>
    </row>
    <row r="57" spans="1:4" ht="15.6" x14ac:dyDescent="0.35">
      <c r="A57" s="18" t="s">
        <v>118</v>
      </c>
      <c r="B57" s="5" t="s">
        <v>109</v>
      </c>
      <c r="C57" s="12">
        <f>C4/SQRT(4*C55/PI())</f>
        <v>8.8478708431395923</v>
      </c>
      <c r="D57" s="5" t="s">
        <v>36</v>
      </c>
    </row>
    <row r="58" spans="1:4" ht="15.6" x14ac:dyDescent="0.35">
      <c r="A58" s="18" t="s">
        <v>152</v>
      </c>
      <c r="B58" s="5" t="s">
        <v>113</v>
      </c>
      <c r="C58" s="5">
        <v>1.08</v>
      </c>
      <c r="D58" s="5" t="s">
        <v>36</v>
      </c>
    </row>
    <row r="59" spans="1:4" ht="15.6" x14ac:dyDescent="0.35">
      <c r="A59" s="18" t="s">
        <v>127</v>
      </c>
      <c r="B59" s="5" t="s">
        <v>114</v>
      </c>
      <c r="C59" s="5">
        <f>55/1000*72.45</f>
        <v>3.98475</v>
      </c>
      <c r="D59" s="5" t="s">
        <v>19</v>
      </c>
    </row>
    <row r="60" spans="1:4" ht="15.6" x14ac:dyDescent="0.35">
      <c r="A60" s="18" t="s">
        <v>153</v>
      </c>
      <c r="B60" s="5" t="s">
        <v>110</v>
      </c>
      <c r="C60" s="12">
        <f>C59/SQRT(4*C55/PI())</f>
        <v>3.1339158526400435</v>
      </c>
      <c r="D60" s="5" t="s">
        <v>36</v>
      </c>
    </row>
    <row r="61" spans="1:4" ht="15.6" x14ac:dyDescent="0.35">
      <c r="A61" s="18" t="s">
        <v>122</v>
      </c>
      <c r="B61" s="5" t="s">
        <v>121</v>
      </c>
      <c r="C61" s="5">
        <v>340.3</v>
      </c>
      <c r="D61" s="5" t="s">
        <v>22</v>
      </c>
    </row>
    <row r="62" spans="1:4" ht="15.6" x14ac:dyDescent="0.35">
      <c r="A62" s="18" t="s">
        <v>126</v>
      </c>
      <c r="B62" s="5" t="s">
        <v>120</v>
      </c>
      <c r="C62" s="5">
        <v>288.14999999999998</v>
      </c>
      <c r="D62" s="5" t="s">
        <v>119</v>
      </c>
    </row>
    <row r="63" spans="1:4" x14ac:dyDescent="0.3">
      <c r="A63" s="18" t="s">
        <v>189</v>
      </c>
      <c r="B63" s="5" t="s">
        <v>190</v>
      </c>
      <c r="C63" s="5">
        <v>5000</v>
      </c>
      <c r="D63" s="5" t="s">
        <v>19</v>
      </c>
    </row>
    <row r="64" spans="1:4" ht="15.6" x14ac:dyDescent="0.35">
      <c r="A64" s="18" t="s">
        <v>125</v>
      </c>
      <c r="B64" s="5" t="s">
        <v>191</v>
      </c>
      <c r="C64" s="5">
        <f>C62-6.5*C63/1000</f>
        <v>255.64999999999998</v>
      </c>
      <c r="D64" s="5" t="s">
        <v>119</v>
      </c>
    </row>
    <row r="65" spans="1:4" ht="15.6" x14ac:dyDescent="0.35">
      <c r="A65" s="18" t="s">
        <v>123</v>
      </c>
      <c r="B65" s="5" t="s">
        <v>111</v>
      </c>
      <c r="C65" s="13">
        <f>C61*SQRT(C64/C62)</f>
        <v>320.53505723537256</v>
      </c>
      <c r="D65" s="5" t="s">
        <v>22</v>
      </c>
    </row>
    <row r="66" spans="1:4" x14ac:dyDescent="0.3">
      <c r="A66" s="18" t="s">
        <v>124</v>
      </c>
      <c r="B66" s="5" t="s">
        <v>102</v>
      </c>
      <c r="C66" s="11">
        <f>C14/C65</f>
        <v>0.62395671077294268</v>
      </c>
    </row>
    <row r="67" spans="1:4" ht="15.6" x14ac:dyDescent="0.35">
      <c r="A67" s="18" t="s">
        <v>154</v>
      </c>
      <c r="B67" s="5" t="s">
        <v>112</v>
      </c>
      <c r="C67" s="5">
        <v>1.05</v>
      </c>
      <c r="D67" s="5" t="s">
        <v>36</v>
      </c>
    </row>
    <row r="68" spans="1:4" ht="15.6" x14ac:dyDescent="0.35">
      <c r="A68" s="18" t="s">
        <v>128</v>
      </c>
      <c r="B68" s="5" t="s">
        <v>129</v>
      </c>
      <c r="C68" s="5">
        <f>C54*C58*C67*C56/C55</f>
        <v>6.2919658910725582E-2</v>
      </c>
      <c r="D68" s="5" t="s">
        <v>36</v>
      </c>
    </row>
    <row r="69" spans="1:4" ht="16.8" x14ac:dyDescent="0.35">
      <c r="A69" s="20" t="s">
        <v>168</v>
      </c>
      <c r="B69" s="6" t="s">
        <v>173</v>
      </c>
      <c r="C69" s="6">
        <f>C68*C55</f>
        <v>7.9892081637312429E-2</v>
      </c>
      <c r="D69" s="6" t="s">
        <v>84</v>
      </c>
    </row>
    <row r="70" spans="1:4" ht="16.8" x14ac:dyDescent="0.35">
      <c r="A70" s="21" t="s">
        <v>141</v>
      </c>
      <c r="B70" s="5" t="s">
        <v>131</v>
      </c>
      <c r="C70" s="5">
        <f>53/1000*14/1000*72.45^2</f>
        <v>3.8947598550000007</v>
      </c>
      <c r="D70" s="5" t="s">
        <v>84</v>
      </c>
    </row>
    <row r="71" spans="1:4" ht="15.6" x14ac:dyDescent="0.35">
      <c r="A71" s="21" t="s">
        <v>142</v>
      </c>
      <c r="B71" s="5" t="s">
        <v>132</v>
      </c>
      <c r="C71" s="5">
        <v>0.28000000000000003</v>
      </c>
      <c r="D71" s="5" t="s">
        <v>36</v>
      </c>
    </row>
    <row r="72" spans="1:4" ht="15.6" x14ac:dyDescent="0.35">
      <c r="A72" s="21" t="s">
        <v>143</v>
      </c>
      <c r="B72" s="5" t="s">
        <v>130</v>
      </c>
      <c r="C72" s="5">
        <f>71*72.45/1000</f>
        <v>5.1439500000000002</v>
      </c>
      <c r="D72" s="5" t="s">
        <v>19</v>
      </c>
    </row>
    <row r="73" spans="1:4" ht="16.8" x14ac:dyDescent="0.35">
      <c r="A73" s="21" t="s">
        <v>144</v>
      </c>
      <c r="B73" s="5" t="s">
        <v>134</v>
      </c>
      <c r="C73" s="5">
        <v>0.85</v>
      </c>
      <c r="D73" s="5" t="s">
        <v>36</v>
      </c>
    </row>
    <row r="74" spans="1:4" ht="15.6" x14ac:dyDescent="0.35">
      <c r="A74" s="21" t="s">
        <v>145</v>
      </c>
      <c r="B74" s="5" t="s">
        <v>133</v>
      </c>
      <c r="C74" s="5">
        <f>53/1000*72.45</f>
        <v>3.8398500000000002</v>
      </c>
      <c r="D74" s="5" t="s">
        <v>19</v>
      </c>
    </row>
    <row r="75" spans="1:4" ht="15.6" x14ac:dyDescent="0.35">
      <c r="A75" s="18" t="s">
        <v>157</v>
      </c>
      <c r="B75" s="5" t="s">
        <v>140</v>
      </c>
      <c r="C75" s="5">
        <v>4.1000000000000003E-3</v>
      </c>
      <c r="D75" s="5" t="s">
        <v>36</v>
      </c>
    </row>
    <row r="76" spans="1:4" ht="15.6" x14ac:dyDescent="0.35">
      <c r="A76" s="18" t="s">
        <v>150</v>
      </c>
      <c r="B76" s="5" t="s">
        <v>139</v>
      </c>
      <c r="C76" s="5">
        <v>4.0000000000000001E-3</v>
      </c>
      <c r="D76" s="5" t="s">
        <v>36</v>
      </c>
    </row>
    <row r="77" spans="1:4" ht="15.6" x14ac:dyDescent="0.35">
      <c r="A77" s="18" t="s">
        <v>146</v>
      </c>
      <c r="B77" s="5" t="s">
        <v>137</v>
      </c>
      <c r="C77" s="12">
        <f>C74^2/C70</f>
        <v>3.7857142857142856</v>
      </c>
      <c r="D77" s="5" t="s">
        <v>36</v>
      </c>
    </row>
    <row r="78" spans="1:4" ht="15.6" x14ac:dyDescent="0.35">
      <c r="A78" s="18" t="s">
        <v>147</v>
      </c>
      <c r="B78" s="5" t="s">
        <v>135</v>
      </c>
      <c r="C78" s="5">
        <v>0.7</v>
      </c>
      <c r="D78" s="5" t="s">
        <v>36</v>
      </c>
    </row>
    <row r="79" spans="1:4" ht="15.6" x14ac:dyDescent="0.35">
      <c r="A79" s="18" t="s">
        <v>148</v>
      </c>
      <c r="B79" s="5" t="s">
        <v>136</v>
      </c>
      <c r="C79" s="12">
        <f>C78*C77</f>
        <v>2.65</v>
      </c>
      <c r="D79" s="5" t="s">
        <v>36</v>
      </c>
    </row>
    <row r="80" spans="1:4" ht="15.6" x14ac:dyDescent="0.35">
      <c r="A80" s="20" t="s">
        <v>149</v>
      </c>
      <c r="B80" s="6" t="s">
        <v>138</v>
      </c>
      <c r="C80" s="16">
        <f>C70*C72/C5/C24*C73</f>
        <v>0.51251555870305254</v>
      </c>
      <c r="D80" s="6" t="s">
        <v>36</v>
      </c>
    </row>
    <row r="81" spans="1:4" ht="16.8" x14ac:dyDescent="0.35">
      <c r="A81" s="18" t="s">
        <v>155</v>
      </c>
      <c r="B81" s="7" t="s">
        <v>160</v>
      </c>
      <c r="C81" s="5">
        <f>72.45^2/1000000*((28+9)/2*22)</f>
        <v>2.1363440175000004</v>
      </c>
      <c r="D81" s="5" t="s">
        <v>84</v>
      </c>
    </row>
    <row r="82" spans="1:4" ht="15.6" x14ac:dyDescent="0.35">
      <c r="A82" s="18" t="s">
        <v>156</v>
      </c>
      <c r="B82" s="5" t="s">
        <v>158</v>
      </c>
      <c r="C82" s="5">
        <f>C75</f>
        <v>4.1000000000000003E-3</v>
      </c>
      <c r="D82" s="5" t="s">
        <v>36</v>
      </c>
    </row>
    <row r="83" spans="1:4" ht="15.6" x14ac:dyDescent="0.35">
      <c r="A83" s="18" t="s">
        <v>150</v>
      </c>
      <c r="B83" s="5" t="s">
        <v>159</v>
      </c>
      <c r="C83" s="5">
        <f>C76</f>
        <v>4.0000000000000001E-3</v>
      </c>
      <c r="D83" s="5" t="s">
        <v>36</v>
      </c>
    </row>
    <row r="84" spans="1:4" ht="15.6" x14ac:dyDescent="0.35">
      <c r="A84" s="18" t="s">
        <v>161</v>
      </c>
      <c r="B84" s="5" t="s">
        <v>162</v>
      </c>
      <c r="C84" s="5">
        <f>C82+C83</f>
        <v>8.0999999999999996E-3</v>
      </c>
      <c r="D84" s="5" t="s">
        <v>36</v>
      </c>
    </row>
    <row r="85" spans="1:4" ht="16.8" x14ac:dyDescent="0.35">
      <c r="A85" s="20" t="s">
        <v>169</v>
      </c>
      <c r="B85" s="6" t="s">
        <v>172</v>
      </c>
      <c r="C85" s="6">
        <f>C84*C81</f>
        <v>1.730438654175E-2</v>
      </c>
      <c r="D85" s="6" t="s">
        <v>84</v>
      </c>
    </row>
    <row r="86" spans="1:4" ht="16.8" x14ac:dyDescent="0.35">
      <c r="A86" s="18" t="s">
        <v>257</v>
      </c>
      <c r="B86" s="5" t="s">
        <v>164</v>
      </c>
      <c r="C86" s="5">
        <f>5*6*72.45^2/1000000</f>
        <v>0.15747007500000001</v>
      </c>
      <c r="D86" s="5" t="s">
        <v>84</v>
      </c>
    </row>
    <row r="87" spans="1:4" ht="15.6" x14ac:dyDescent="0.35">
      <c r="A87" s="18" t="s">
        <v>163</v>
      </c>
      <c r="B87" s="5" t="s">
        <v>165</v>
      </c>
      <c r="C87" s="5">
        <v>0.09</v>
      </c>
      <c r="D87" s="5" t="s">
        <v>36</v>
      </c>
    </row>
    <row r="88" spans="1:4" ht="16.8" x14ac:dyDescent="0.35">
      <c r="A88" s="20" t="s">
        <v>170</v>
      </c>
      <c r="B88" s="6" t="s">
        <v>171</v>
      </c>
      <c r="C88" s="6">
        <f>C86*C87*2</f>
        <v>2.8344613500000001E-2</v>
      </c>
      <c r="D88" s="6" t="s">
        <v>84</v>
      </c>
    </row>
    <row r="89" spans="1:4" ht="16.8" x14ac:dyDescent="0.35">
      <c r="A89" s="22" t="s">
        <v>166</v>
      </c>
      <c r="B89" s="23" t="s">
        <v>167</v>
      </c>
      <c r="C89" s="24">
        <f>C88+C85+C69</f>
        <v>0.12554108167906242</v>
      </c>
      <c r="D89" s="23" t="s">
        <v>84</v>
      </c>
    </row>
    <row r="90" spans="1:4" ht="15.6" x14ac:dyDescent="0.35">
      <c r="A90" s="18" t="s">
        <v>178</v>
      </c>
      <c r="B90" s="5" t="s">
        <v>179</v>
      </c>
      <c r="C90" s="10">
        <f>C89/C5</f>
        <v>7.1737760959464242E-3</v>
      </c>
      <c r="D90" s="5" t="s">
        <v>36</v>
      </c>
    </row>
    <row r="91" spans="1:4" x14ac:dyDescent="0.3">
      <c r="A91" s="18" t="s">
        <v>174</v>
      </c>
      <c r="B91" s="7" t="s">
        <v>176</v>
      </c>
      <c r="C91" s="5">
        <v>6</v>
      </c>
      <c r="D91" s="5" t="s">
        <v>36</v>
      </c>
    </row>
    <row r="92" spans="1:4" ht="15.6" x14ac:dyDescent="0.35">
      <c r="A92" s="20" t="s">
        <v>177</v>
      </c>
      <c r="B92" s="25" t="s">
        <v>175</v>
      </c>
      <c r="C92" s="6">
        <v>0.02</v>
      </c>
      <c r="D92" s="6" t="s">
        <v>36</v>
      </c>
    </row>
    <row r="93" spans="1:4" ht="15.6" x14ac:dyDescent="0.35">
      <c r="A93" s="18" t="s">
        <v>201</v>
      </c>
      <c r="B93" s="5" t="s">
        <v>184</v>
      </c>
      <c r="C93" s="5">
        <v>1.55E-2</v>
      </c>
      <c r="D93" s="5" t="s">
        <v>36</v>
      </c>
    </row>
    <row r="94" spans="1:4" ht="16.2" x14ac:dyDescent="0.3">
      <c r="A94" s="18" t="s">
        <v>202</v>
      </c>
      <c r="B94" s="5" t="s">
        <v>185</v>
      </c>
      <c r="C94" s="5">
        <v>6.2E-2</v>
      </c>
      <c r="D94" s="5" t="s">
        <v>36</v>
      </c>
    </row>
    <row r="95" spans="1:4" ht="15.6" x14ac:dyDescent="0.35">
      <c r="A95" s="18" t="s">
        <v>199</v>
      </c>
      <c r="B95" s="5" t="s">
        <v>264</v>
      </c>
      <c r="C95" s="12">
        <f>1/PI()/C94</f>
        <v>5.1340304223192046</v>
      </c>
      <c r="D95" s="5" t="s">
        <v>36</v>
      </c>
    </row>
    <row r="96" spans="1:4" x14ac:dyDescent="0.3">
      <c r="A96" s="18" t="s">
        <v>198</v>
      </c>
      <c r="B96" s="5" t="s">
        <v>183</v>
      </c>
      <c r="C96" s="12">
        <f>C95/C23</f>
        <v>0.8860078003191767</v>
      </c>
      <c r="D96" s="5" t="s">
        <v>36</v>
      </c>
    </row>
    <row r="97" spans="1:4" ht="15.6" x14ac:dyDescent="0.35">
      <c r="A97" s="18" t="s">
        <v>200</v>
      </c>
      <c r="B97" s="5" t="s">
        <v>186</v>
      </c>
      <c r="C97" s="10">
        <f>MIN('projekty 2 i 3'!$R$3:$R$20)</f>
        <v>1.5269259112928635E-2</v>
      </c>
      <c r="D97" s="5" t="s">
        <v>36</v>
      </c>
    </row>
    <row r="98" spans="1:4" x14ac:dyDescent="0.3">
      <c r="A98" s="20" t="s">
        <v>203</v>
      </c>
      <c r="B98" s="6" t="s">
        <v>100</v>
      </c>
      <c r="C98" s="16">
        <f>ABS(C97-C93)/C97*100</f>
        <v>1.5111465812771083</v>
      </c>
      <c r="D98" s="6" t="s">
        <v>101</v>
      </c>
    </row>
    <row r="99" spans="1:4" ht="15.6" x14ac:dyDescent="0.35">
      <c r="A99" s="18" t="s">
        <v>195</v>
      </c>
      <c r="B99" s="5" t="s">
        <v>194</v>
      </c>
      <c r="C99" s="5">
        <f>C6+80</f>
        <v>2640</v>
      </c>
      <c r="D99" s="5" t="s">
        <v>21</v>
      </c>
    </row>
    <row r="100" spans="1:4" ht="15.6" x14ac:dyDescent="0.35">
      <c r="A100" s="18" t="s">
        <v>196</v>
      </c>
      <c r="B100" s="5" t="s">
        <v>193</v>
      </c>
      <c r="C100" s="5">
        <f>(C99+C7)/2</f>
        <v>3240</v>
      </c>
      <c r="D100" s="5" t="s">
        <v>21</v>
      </c>
    </row>
    <row r="101" spans="1:4" ht="16.8" x14ac:dyDescent="0.35">
      <c r="A101" s="18" t="s">
        <v>197</v>
      </c>
      <c r="B101" s="5" t="s">
        <v>192</v>
      </c>
      <c r="C101" s="11">
        <f>C26*(1-C63/44300)^4.256</f>
        <v>0.7361287016189566</v>
      </c>
      <c r="D101" s="5" t="s">
        <v>87</v>
      </c>
    </row>
    <row r="102" spans="1:4" ht="15.6" x14ac:dyDescent="0.35">
      <c r="A102" s="18" t="s">
        <v>222</v>
      </c>
      <c r="B102" s="5" t="s">
        <v>221</v>
      </c>
      <c r="C102" s="5">
        <f>1.2*C14</f>
        <v>240</v>
      </c>
      <c r="D102" s="5" t="s">
        <v>22</v>
      </c>
    </row>
    <row r="103" spans="1:4" ht="15.6" x14ac:dyDescent="0.35">
      <c r="A103" s="20" t="s">
        <v>223</v>
      </c>
      <c r="B103" s="6" t="s">
        <v>210</v>
      </c>
      <c r="C103" s="16">
        <f ca="1">MIN('projekt 4'!G3:G19)</f>
        <v>3.6960604310979366</v>
      </c>
      <c r="D103" s="31" t="s">
        <v>89</v>
      </c>
    </row>
    <row r="105" spans="1:4" x14ac:dyDescent="0.3">
      <c r="C10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B059-EA8F-4A62-BCF0-077C1DFB2193}">
  <dimension ref="A1:Z42"/>
  <sheetViews>
    <sheetView tabSelected="1" workbookViewId="0"/>
  </sheetViews>
  <sheetFormatPr defaultRowHeight="15" x14ac:dyDescent="0.25"/>
  <cols>
    <col min="1" max="2" width="12.6640625" style="15" bestFit="1" customWidth="1"/>
    <col min="3" max="4" width="8.88671875" style="15"/>
    <col min="5" max="6" width="12.6640625" style="15" bestFit="1" customWidth="1"/>
    <col min="7" max="7" width="8.33203125" style="15" customWidth="1"/>
    <col min="8" max="8" width="8.88671875" style="15"/>
    <col min="9" max="9" width="8" style="15" customWidth="1"/>
    <col min="10" max="10" width="8.88671875" style="15"/>
    <col min="11" max="11" width="9" style="15" customWidth="1"/>
    <col min="12" max="18" width="8.88671875" style="15"/>
    <col min="19" max="19" width="9.77734375" style="15" bestFit="1" customWidth="1"/>
    <col min="20" max="20" width="7.88671875" style="15" customWidth="1"/>
    <col min="21" max="21" width="8.21875" style="15" customWidth="1"/>
    <col min="22" max="16384" width="8.88671875" style="15"/>
  </cols>
  <sheetData>
    <row r="1" spans="1:26" ht="13.2" customHeight="1" x14ac:dyDescent="0.25">
      <c r="G1" s="87" t="s">
        <v>236</v>
      </c>
      <c r="H1" s="88"/>
      <c r="I1" s="88"/>
      <c r="J1" s="89"/>
      <c r="K1" s="87" t="s">
        <v>235</v>
      </c>
      <c r="L1" s="88"/>
      <c r="M1" s="88"/>
      <c r="N1" s="90"/>
      <c r="O1" s="91" t="s">
        <v>234</v>
      </c>
      <c r="P1" s="88"/>
      <c r="Q1" s="88"/>
      <c r="R1" s="88"/>
      <c r="S1" s="88"/>
      <c r="T1" s="88"/>
      <c r="U1" s="88"/>
      <c r="V1" s="90"/>
      <c r="W1" s="82"/>
    </row>
    <row r="2" spans="1:26" ht="13.2" customHeight="1" thickBot="1" x14ac:dyDescent="0.3">
      <c r="A2" s="15" t="s">
        <v>246</v>
      </c>
      <c r="B2" s="15" t="s">
        <v>44</v>
      </c>
      <c r="C2" s="15" t="s">
        <v>45</v>
      </c>
      <c r="D2" s="15" t="s">
        <v>245</v>
      </c>
      <c r="E2" s="15" t="s">
        <v>46</v>
      </c>
      <c r="F2" s="15" t="s">
        <v>247</v>
      </c>
      <c r="G2" s="33" t="s">
        <v>44</v>
      </c>
      <c r="H2" s="34" t="s">
        <v>45</v>
      </c>
      <c r="I2" s="35" t="s">
        <v>233</v>
      </c>
      <c r="J2" s="36" t="s">
        <v>47</v>
      </c>
      <c r="K2" s="33" t="s">
        <v>237</v>
      </c>
      <c r="L2" s="34" t="s">
        <v>238</v>
      </c>
      <c r="M2" s="34" t="s">
        <v>239</v>
      </c>
      <c r="N2" s="37" t="s">
        <v>240</v>
      </c>
      <c r="O2" s="38" t="s">
        <v>241</v>
      </c>
      <c r="P2" s="34" t="s">
        <v>242</v>
      </c>
      <c r="Q2" s="34" t="s">
        <v>243</v>
      </c>
      <c r="R2" s="34" t="s">
        <v>45</v>
      </c>
      <c r="S2" s="34" t="s">
        <v>244</v>
      </c>
      <c r="T2" s="34" t="s">
        <v>180</v>
      </c>
      <c r="U2" s="34" t="s">
        <v>119</v>
      </c>
      <c r="V2" s="37" t="s">
        <v>181</v>
      </c>
      <c r="W2" s="83" t="s">
        <v>266</v>
      </c>
      <c r="X2" s="15" t="s">
        <v>182</v>
      </c>
      <c r="Y2" s="15" t="s">
        <v>187</v>
      </c>
      <c r="Z2" s="15" t="s">
        <v>188</v>
      </c>
    </row>
    <row r="3" spans="1:26" x14ac:dyDescent="0.25">
      <c r="A3" s="15">
        <v>-10.5411907332689</v>
      </c>
      <c r="B3" s="15">
        <v>-1.0976800022731099</v>
      </c>
      <c r="C3" s="15">
        <f>0.0056*B3^2-0.0018*B3+0.0054</f>
        <v>1.4123271773477247E-2</v>
      </c>
      <c r="D3" s="15">
        <f>RADIANS(A3)</f>
        <v>-0.18397848537625769</v>
      </c>
      <c r="E3" s="1">
        <f>(Arkusz1!C$38-Arkusz1!C$36)*(1-ABS('projekty 2 i 3'!G3/Arkusz1!C$39))</f>
        <v>2.2435155937591388E-3</v>
      </c>
      <c r="F3" s="15">
        <f>RADIANS(L3)</f>
        <v>-0.24548503329624988</v>
      </c>
      <c r="G3" s="39">
        <f>B3</f>
        <v>-1.0976800022731099</v>
      </c>
      <c r="H3" s="40">
        <f>C3</f>
        <v>1.4123271773477247E-2</v>
      </c>
      <c r="I3" s="41">
        <f>A3</f>
        <v>-10.5411907332689</v>
      </c>
      <c r="J3" s="42">
        <f>H3+E3</f>
        <v>1.6366787367236388E-2</v>
      </c>
      <c r="K3" s="43">
        <f>DEGREES(G3*(1+Arkusz1!C$49)/Arkusz1!C$23/PI())</f>
        <v>-3.5240656082347064</v>
      </c>
      <c r="L3" s="41">
        <f t="shared" ref="L3:L17" si="0">I3+K3</f>
        <v>-14.065256341503606</v>
      </c>
      <c r="M3" s="40">
        <f>G3^2*(1+Arkusz1!C$48)/Arkusz1!C$23/PI()</f>
        <v>6.6486745533848882E-2</v>
      </c>
      <c r="N3" s="44">
        <f>J3+M3+Arkusz1!C$41</f>
        <v>8.3578907985383213E-2</v>
      </c>
      <c r="O3" s="54">
        <f>Arkusz1!C$34/Arkusz1!C$80+(Arkusz1!C$71-Arkusz1!C$32)/Arkusz1!C$80*'projekty 2 i 3'!G3</f>
        <v>-0.10204677526472014</v>
      </c>
      <c r="P3" s="45">
        <f>Arkusz1!C$75+Arkusz1!C$76+1/PI()/Arkusz1!C$79*'projekty 2 i 3'!O3^2</f>
        <v>9.3508430619807757E-3</v>
      </c>
      <c r="Q3" s="45">
        <f>Arkusz1!C$90*(1+1/Arkusz1!C$91*ABS('projekty 2 i 3'!G3))</f>
        <v>8.4861945228306319E-3</v>
      </c>
      <c r="R3" s="45">
        <f>(N3+Q3+P3*Arkusz1!C$70/Arkusz1!C$5)*(1+Arkusz1!C$92)</f>
        <v>9.6029128783039389E-2</v>
      </c>
      <c r="S3" s="45">
        <f>O3*Arkusz1!C$70/Arkusz1!C$5</f>
        <v>-2.2711296207613661E-2</v>
      </c>
      <c r="T3" s="46">
        <f>G3+S3</f>
        <v>-1.1203912984807236</v>
      </c>
      <c r="U3" s="41">
        <f>T3/R3</f>
        <v>-11.667202573627915</v>
      </c>
      <c r="V3" s="84">
        <f>T3^3/R3^2</f>
        <v>-152.51171476544815</v>
      </c>
      <c r="W3" s="56">
        <f>I3</f>
        <v>-10.5411907332689</v>
      </c>
      <c r="X3" s="26">
        <f>T3^2</f>
        <v>1.2552766617113218</v>
      </c>
      <c r="Y3" s="15">
        <f>U3/10</f>
        <v>-1.1667202573627915</v>
      </c>
      <c r="Z3" s="15">
        <f>V3/100</f>
        <v>-1.5251171476544814</v>
      </c>
    </row>
    <row r="4" spans="1:26" x14ac:dyDescent="0.25">
      <c r="A4" s="15">
        <v>-9.7598075429523803</v>
      </c>
      <c r="B4" s="15">
        <v>-0.98949394783201605</v>
      </c>
      <c r="C4" s="15">
        <f t="shared" ref="C4:C5" si="1">0.0056*B4^2-0.0018*B4+0.0054</f>
        <v>1.2664039433756285E-2</v>
      </c>
      <c r="D4" s="15">
        <f t="shared" ref="D4:D24" si="2">RADIANS(A4)</f>
        <v>-0.17034077598549693</v>
      </c>
      <c r="E4" s="1">
        <f>(Arkusz1!C$38-Arkusz1!C$36)*(1-ABS('projekty 2 i 3'!G4/Arkusz1!C$39))</f>
        <v>2.0019731879205613E-3</v>
      </c>
      <c r="F4" s="15">
        <f t="shared" ref="F4:F23" si="3">RADIANS(L4)</f>
        <v>-0.22578531063388321</v>
      </c>
      <c r="G4" s="39">
        <f t="shared" ref="G4:G27" si="4">B4</f>
        <v>-0.98949394783201605</v>
      </c>
      <c r="H4" s="40">
        <f t="shared" ref="H4:H27" si="5">C4</f>
        <v>1.2664039433756285E-2</v>
      </c>
      <c r="I4" s="41">
        <f t="shared" ref="I4:I25" si="6">A4</f>
        <v>-9.7598075429523803</v>
      </c>
      <c r="J4" s="49">
        <f t="shared" ref="J4:J17" si="7">H4+E4</f>
        <v>1.4666012621676846E-2</v>
      </c>
      <c r="K4" s="50">
        <f>DEGREES(G4*(1+Arkusz1!C$49)/Arkusz1!C$23/PI())</f>
        <v>-3.1767378324193936</v>
      </c>
      <c r="L4" s="48">
        <f t="shared" si="0"/>
        <v>-12.936545375371773</v>
      </c>
      <c r="M4" s="47">
        <f>G4^2*(1+Arkusz1!C$48)/Arkusz1!C$23/PI()</f>
        <v>5.4026875889839739E-2</v>
      </c>
      <c r="N4" s="51">
        <f>J4+M4+Arkusz1!C$41</f>
        <v>6.9418263595814531E-2</v>
      </c>
      <c r="O4" s="55">
        <f>Arkusz1!C$34/Arkusz1!C$80+(Arkusz1!C$71-Arkusz1!C$32)/Arkusz1!C$80*'projekty 2 i 3'!G4</f>
        <v>-9.845827361971117E-2</v>
      </c>
      <c r="P4" s="52">
        <f>Arkusz1!C$75+Arkusz1!C$76+1/PI()/Arkusz1!C$79*'projekty 2 i 3'!O4^2</f>
        <v>9.264417399743043E-3</v>
      </c>
      <c r="Q4" s="52">
        <f>Arkusz1!C$90*(1+1/Arkusz1!C$91*ABS('projekty 2 i 3'!G4))</f>
        <v>8.3568441009532531E-3</v>
      </c>
      <c r="R4" s="52">
        <f>(N4+Q4+P4*Arkusz1!C$70/Arkusz1!C$5)*(1+Arkusz1!C$92)</f>
        <v>8.1433714684294695E-2</v>
      </c>
      <c r="S4" s="52">
        <f>O4*Arkusz1!C$70/Arkusz1!C$5</f>
        <v>-2.1912647513523238E-2</v>
      </c>
      <c r="T4" s="53">
        <f t="shared" ref="T4:T17" si="8">G4+S4</f>
        <v>-1.0114065953455393</v>
      </c>
      <c r="U4" s="48">
        <f t="shared" ref="U4:U17" si="9">T4/R4</f>
        <v>-12.419998268120258</v>
      </c>
      <c r="V4" s="85">
        <f t="shared" ref="V4:V17" si="10">T4^3/R4^2</f>
        <v>-156.01589682365938</v>
      </c>
      <c r="W4" s="56">
        <f t="shared" ref="W4:W37" si="11">I4</f>
        <v>-9.7598075429523803</v>
      </c>
      <c r="X4" s="26">
        <f t="shared" ref="X4:X37" si="12">T4^2</f>
        <v>1.0229433011084557</v>
      </c>
      <c r="Y4" s="15">
        <f t="shared" ref="Y4:Y37" si="13">U4/10</f>
        <v>-1.2419998268120258</v>
      </c>
      <c r="Z4" s="15">
        <f t="shared" ref="Z4:Z37" si="14">V4/100</f>
        <v>-1.5601589682365937</v>
      </c>
    </row>
    <row r="5" spans="1:26" x14ac:dyDescent="0.25">
      <c r="A5" s="15">
        <v>-8.9822128771949696</v>
      </c>
      <c r="B5" s="15">
        <v>-0.90304455304881603</v>
      </c>
      <c r="C5" s="15">
        <f t="shared" si="1"/>
        <v>1.159222119831823E-2</v>
      </c>
      <c r="D5" s="15">
        <f t="shared" si="2"/>
        <v>-0.15676918882208532</v>
      </c>
      <c r="E5" s="1">
        <f>(Arkusz1!C$38-Arkusz1!C$36)*(1-ABS('projekty 2 i 3'!G5/Arkusz1!C$39))</f>
        <v>1.8089612982911756E-3</v>
      </c>
      <c r="F5" s="15">
        <f t="shared" si="3"/>
        <v>-0.20736968528823616</v>
      </c>
      <c r="G5" s="39">
        <f t="shared" si="4"/>
        <v>-0.90304455304881603</v>
      </c>
      <c r="H5" s="40">
        <f t="shared" si="5"/>
        <v>1.159222119831823E-2</v>
      </c>
      <c r="I5" s="41">
        <f t="shared" si="6"/>
        <v>-8.9822128771949696</v>
      </c>
      <c r="J5" s="49">
        <f t="shared" si="7"/>
        <v>1.3401182496609406E-2</v>
      </c>
      <c r="K5" s="50">
        <f>DEGREES(G5*(1+Arkusz1!C$49)/Arkusz1!C$23/PI())</f>
        <v>-2.8991948887770809</v>
      </c>
      <c r="L5" s="48">
        <f t="shared" si="0"/>
        <v>-11.88140776597205</v>
      </c>
      <c r="M5" s="47">
        <f>G5^2*(1+Arkusz1!C$48)/Arkusz1!C$23/PI()</f>
        <v>4.4998902896557169E-2</v>
      </c>
      <c r="N5" s="51">
        <f>J5+M5+Arkusz1!C$41</f>
        <v>5.9125460477464524E-2</v>
      </c>
      <c r="O5" s="55">
        <f>Arkusz1!C$34/Arkusz1!C$80+(Arkusz1!C$71-Arkusz1!C$32)/Arkusz1!C$80*'projekty 2 i 3'!G5</f>
        <v>-9.5590770992018459E-2</v>
      </c>
      <c r="P5" s="52">
        <f>Arkusz1!C$75+Arkusz1!C$76+1/PI()/Arkusz1!C$79*'projekty 2 i 3'!O5^2</f>
        <v>9.197579993672449E-3</v>
      </c>
      <c r="Q5" s="52">
        <f>Arkusz1!C$90*(1+1/Arkusz1!C$91*ABS('projekty 2 i 3'!G5))</f>
        <v>8.2534826673191265E-3</v>
      </c>
      <c r="R5" s="52">
        <f>(N5+Q5+P5*Arkusz1!C$70/Arkusz1!C$5)*(1+Arkusz1!C$92)</f>
        <v>7.0814454157905424E-2</v>
      </c>
      <c r="S5" s="52">
        <f>O5*Arkusz1!C$70/Arkusz1!C$5</f>
        <v>-2.1274462706754978E-2</v>
      </c>
      <c r="T5" s="53">
        <f t="shared" si="8"/>
        <v>-0.92431901575557096</v>
      </c>
      <c r="U5" s="48">
        <f t="shared" si="9"/>
        <v>-13.052688561214927</v>
      </c>
      <c r="V5" s="85">
        <f t="shared" si="10"/>
        <v>-157.47870666550608</v>
      </c>
      <c r="W5" s="56">
        <f t="shared" si="11"/>
        <v>-8.9822128771949696</v>
      </c>
      <c r="X5" s="26">
        <f t="shared" si="12"/>
        <v>0.8543656428873474</v>
      </c>
      <c r="Y5" s="15">
        <f t="shared" si="13"/>
        <v>-1.3052688561214927</v>
      </c>
      <c r="Z5" s="15">
        <f t="shared" si="14"/>
        <v>-1.5747870666550607</v>
      </c>
    </row>
    <row r="6" spans="1:26" x14ac:dyDescent="0.25">
      <c r="A6" s="15">
        <v>-8.2017768180182191</v>
      </c>
      <c r="B6" s="15">
        <v>-0.80029266352219097</v>
      </c>
      <c r="C6" s="15">
        <f>-0.0018*B6^4+0.003*B6^3+0.0059*B6^2-0.0032*B6+0.0055</f>
        <v>9.563653946631159E-3</v>
      </c>
      <c r="D6" s="15">
        <f t="shared" si="2"/>
        <v>-0.14314800998816171</v>
      </c>
      <c r="E6" s="1">
        <f>(Arkusz1!C$38-Arkusz1!C$36)*(1-ABS('projekty 2 i 3'!G6/Arkusz1!C$39))</f>
        <v>1.5795515215048859E-3</v>
      </c>
      <c r="F6" s="15">
        <f t="shared" si="3"/>
        <v>-0.18799098695504898</v>
      </c>
      <c r="G6" s="39">
        <f t="shared" si="4"/>
        <v>-0.80029266352219097</v>
      </c>
      <c r="H6" s="40">
        <f t="shared" si="5"/>
        <v>9.563653946631159E-3</v>
      </c>
      <c r="I6" s="41">
        <f t="shared" si="6"/>
        <v>-8.2017768180182191</v>
      </c>
      <c r="J6" s="49">
        <f t="shared" si="7"/>
        <v>1.1143205468136045E-2</v>
      </c>
      <c r="K6" s="50">
        <f>DEGREES(G6*(1+Arkusz1!C$49)/Arkusz1!C$23/PI())</f>
        <v>-2.5693133210050032</v>
      </c>
      <c r="L6" s="48">
        <f t="shared" si="0"/>
        <v>-10.771090139023222</v>
      </c>
      <c r="M6" s="47">
        <f>G6^2*(1+Arkusz1!C$48)/Arkusz1!C$23/PI()</f>
        <v>3.5341195947010295E-2</v>
      </c>
      <c r="N6" s="51">
        <f>J6+M6+Arkusz1!C$41</f>
        <v>4.7209776499444293E-2</v>
      </c>
      <c r="O6" s="55">
        <f>Arkusz1!C$34/Arkusz1!C$80+(Arkusz1!C$71-Arkusz1!C$32)/Arkusz1!C$80*'projekty 2 i 3'!G6</f>
        <v>-9.21825191013384E-2</v>
      </c>
      <c r="P6" s="52">
        <f>Arkusz1!C$75+Arkusz1!C$76+1/PI()/Arkusz1!C$79*'projekty 2 i 3'!O6^2</f>
        <v>9.1207077152121972E-3</v>
      </c>
      <c r="Q6" s="52">
        <f>Arkusz1!C$90*(1+1/Arkusz1!C$91*ABS('projekty 2 i 3'!G6))</f>
        <v>8.1306294925025564E-3</v>
      </c>
      <c r="R6" s="52">
        <f>(N6+Q6+P6*Arkusz1!C$70/Arkusz1!C$5)*(1+Arkusz1!C$92)</f>
        <v>5.8517695573703801E-2</v>
      </c>
      <c r="S6" s="52">
        <f>O6*Arkusz1!C$70/Arkusz1!C$5</f>
        <v>-2.0515929984495057E-2</v>
      </c>
      <c r="T6" s="53">
        <f t="shared" si="8"/>
        <v>-0.820808593506686</v>
      </c>
      <c r="U6" s="48">
        <f t="shared" si="9"/>
        <v>-14.026673221826838</v>
      </c>
      <c r="V6" s="85">
        <f t="shared" si="10"/>
        <v>-161.49208937179375</v>
      </c>
      <c r="W6" s="56">
        <f t="shared" si="11"/>
        <v>-8.2017768180182191</v>
      </c>
      <c r="X6" s="26">
        <f t="shared" si="12"/>
        <v>0.67372674717442405</v>
      </c>
      <c r="Y6" s="15">
        <f t="shared" si="13"/>
        <v>-1.4026673221826838</v>
      </c>
      <c r="Z6" s="15">
        <f t="shared" si="14"/>
        <v>-1.6149208937179376</v>
      </c>
    </row>
    <row r="7" spans="1:26" x14ac:dyDescent="0.25">
      <c r="A7" s="15">
        <v>-6.6390104373851599</v>
      </c>
      <c r="B7" s="15">
        <v>-0.58392055463999604</v>
      </c>
      <c r="C7" s="15">
        <f>-0.0018*B7^4+0.003*B7^3+0.0059*B7^2-0.0032*B7+0.0055</f>
        <v>8.5736818067965181E-3</v>
      </c>
      <c r="D7" s="15">
        <f t="shared" si="2"/>
        <v>-0.11587259120663988</v>
      </c>
      <c r="E7" s="1">
        <f>(Arkusz1!C$38-Arkusz1!C$36)*(1-ABS('projekty 2 i 3'!G7/Arkusz1!C$39))</f>
        <v>1.0964667098277148E-3</v>
      </c>
      <c r="F7" s="15">
        <f t="shared" si="3"/>
        <v>-0.14859154163031491</v>
      </c>
      <c r="G7" s="39">
        <f t="shared" si="4"/>
        <v>-0.58392055463999604</v>
      </c>
      <c r="H7" s="40">
        <f t="shared" si="5"/>
        <v>8.5736818067965181E-3</v>
      </c>
      <c r="I7" s="41">
        <f t="shared" si="6"/>
        <v>-6.6390104373851599</v>
      </c>
      <c r="J7" s="49">
        <f t="shared" si="7"/>
        <v>9.6701485166242329E-3</v>
      </c>
      <c r="K7" s="50">
        <f>DEGREES(G7*(1+Arkusz1!C$49)/Arkusz1!C$23/PI())</f>
        <v>-1.8746577693743547</v>
      </c>
      <c r="L7" s="48">
        <f t="shared" si="0"/>
        <v>-8.5136682067595153</v>
      </c>
      <c r="M7" s="47">
        <f>G7^2*(1+Arkusz1!C$48)/Arkusz1!C$23/PI()</f>
        <v>1.88144313647414E-2</v>
      </c>
      <c r="N7" s="51">
        <f>J7+M7+Arkusz1!C$41</f>
        <v>2.9209954965663584E-2</v>
      </c>
      <c r="O7" s="55">
        <f>Arkusz1!C$34/Arkusz1!C$80+(Arkusz1!C$71-Arkusz1!C$32)/Arkusz1!C$80*'projekty 2 i 3'!G7</f>
        <v>-8.5005515811320209E-2</v>
      </c>
      <c r="P7" s="52">
        <f>Arkusz1!C$75+Arkusz1!C$76+1/PI()/Arkusz1!C$79*'projekty 2 i 3'!O7^2</f>
        <v>8.9679575142259261E-3</v>
      </c>
      <c r="Q7" s="52">
        <f>Arkusz1!C$90*(1+1/Arkusz1!C$91*ABS('projekty 2 i 3'!G7))</f>
        <v>7.8719286487477867E-3</v>
      </c>
      <c r="R7" s="52">
        <f>(N7+Q7+P7*Arkusz1!C$70/Arkusz1!C$5)*(1+Arkusz1!C$92)</f>
        <v>3.9859327099608613E-2</v>
      </c>
      <c r="S7" s="52">
        <f>O7*Arkusz1!C$70/Arkusz1!C$5</f>
        <v>-1.8918632596314156E-2</v>
      </c>
      <c r="T7" s="53">
        <f t="shared" si="8"/>
        <v>-0.60283918723631014</v>
      </c>
      <c r="U7" s="48">
        <f t="shared" si="9"/>
        <v>-15.124168697826049</v>
      </c>
      <c r="V7" s="85">
        <f t="shared" si="10"/>
        <v>-137.89372432801807</v>
      </c>
      <c r="W7" s="56">
        <f t="shared" si="11"/>
        <v>-6.6390104373851599</v>
      </c>
      <c r="X7" s="26">
        <f t="shared" si="12"/>
        <v>0.363415085667735</v>
      </c>
      <c r="Y7" s="15">
        <f t="shared" si="13"/>
        <v>-1.5124168697826048</v>
      </c>
      <c r="Z7" s="15">
        <f t="shared" si="14"/>
        <v>-1.3789372432801807</v>
      </c>
    </row>
    <row r="8" spans="1:26" x14ac:dyDescent="0.25">
      <c r="A8" s="15">
        <v>-5.8633100339072897</v>
      </c>
      <c r="B8" s="15">
        <v>-0.50833948968574205</v>
      </c>
      <c r="C8" s="15">
        <v>7.5602125653552801E-3</v>
      </c>
      <c r="D8" s="15">
        <f t="shared" si="2"/>
        <v>-0.10233406515690256</v>
      </c>
      <c r="E8" s="1">
        <f>(Arkusz1!C$38-Arkusz1!C$36)*(1-ABS('projekty 2 i 3'!G8/Arkusz1!C$39))</f>
        <v>9.2772007830292322E-4</v>
      </c>
      <c r="F8" s="15">
        <f t="shared" si="3"/>
        <v>-0.13081796494302736</v>
      </c>
      <c r="G8" s="39">
        <f t="shared" si="4"/>
        <v>-0.50833948968574205</v>
      </c>
      <c r="H8" s="40">
        <f t="shared" si="5"/>
        <v>7.5602125653552801E-3</v>
      </c>
      <c r="I8" s="41">
        <f t="shared" si="6"/>
        <v>-5.8633100339072897</v>
      </c>
      <c r="J8" s="49">
        <f t="shared" si="7"/>
        <v>8.4879326436582032E-3</v>
      </c>
      <c r="K8" s="50">
        <f>DEGREES(G8*(1+Arkusz1!C$49)/Arkusz1!C$23/PI())</f>
        <v>-1.6320072418185383</v>
      </c>
      <c r="L8" s="48">
        <f t="shared" si="0"/>
        <v>-7.495317275725828</v>
      </c>
      <c r="M8" s="47">
        <f>G8^2*(1+Arkusz1!C$48)/Arkusz1!C$23/PI()</f>
        <v>1.4259072195816208E-2</v>
      </c>
      <c r="N8" s="51">
        <f>J8+M8+Arkusz1!C$41</f>
        <v>2.3472379923772362E-2</v>
      </c>
      <c r="O8" s="55">
        <f>Arkusz1!C$34/Arkusz1!C$80+(Arkusz1!C$71-Arkusz1!C$32)/Arkusz1!C$80*'projekty 2 i 3'!G8</f>
        <v>-8.24985126922856E-2</v>
      </c>
      <c r="P8" s="52">
        <f>Arkusz1!C$75+Arkusz1!C$76+1/PI()/Arkusz1!C$79*'projekty 2 i 3'!O8^2</f>
        <v>8.917516433380724E-3</v>
      </c>
      <c r="Q8" s="52">
        <f>Arkusz1!C$90*(1+1/Arkusz1!C$91*ABS('projekty 2 i 3'!G8))</f>
        <v>7.7815617092352879E-3</v>
      </c>
      <c r="R8" s="52">
        <f>(N8+Q8+P8*Arkusz1!C$70/Arkusz1!C$5)*(1+Arkusz1!C$92)</f>
        <v>3.3903375706310933E-2</v>
      </c>
      <c r="S8" s="52">
        <f>O8*Arkusz1!C$70/Arkusz1!C$5</f>
        <v>-1.8360679733206969E-2</v>
      </c>
      <c r="T8" s="53">
        <f t="shared" si="8"/>
        <v>-0.52670016941894904</v>
      </c>
      <c r="U8" s="48">
        <f t="shared" si="9"/>
        <v>-15.535331171193864</v>
      </c>
      <c r="V8" s="85">
        <f t="shared" si="10"/>
        <v>-127.11725012779114</v>
      </c>
      <c r="W8" s="56">
        <f t="shared" si="11"/>
        <v>-5.8633100339072897</v>
      </c>
      <c r="X8" s="26">
        <f t="shared" si="12"/>
        <v>0.2774130684659496</v>
      </c>
      <c r="Y8" s="15">
        <f t="shared" si="13"/>
        <v>-1.5535331171193865</v>
      </c>
      <c r="Z8" s="15">
        <f t="shared" si="14"/>
        <v>-1.2711725012779114</v>
      </c>
    </row>
    <row r="9" spans="1:26" x14ac:dyDescent="0.25">
      <c r="A9" s="15">
        <v>-4.0836506222651403</v>
      </c>
      <c r="B9" s="15">
        <v>-0.29754361538898699</v>
      </c>
      <c r="C9" s="15">
        <v>6.82501928516328E-3</v>
      </c>
      <c r="D9" s="15">
        <f t="shared" si="2"/>
        <v>-7.1273148859641963E-2</v>
      </c>
      <c r="E9" s="1">
        <f>(Arkusz1!C$38-Arkusz1!C$36)*(1-ABS('projekty 2 i 3'!G9/Arkusz1!C$39))</f>
        <v>4.5708508859444963E-4</v>
      </c>
      <c r="F9" s="15">
        <f t="shared" si="3"/>
        <v>-8.7945476496396224E-2</v>
      </c>
      <c r="G9" s="39">
        <f t="shared" si="4"/>
        <v>-0.29754361538898699</v>
      </c>
      <c r="H9" s="40">
        <f t="shared" si="5"/>
        <v>6.82501928516328E-3</v>
      </c>
      <c r="I9" s="41">
        <f t="shared" si="6"/>
        <v>-4.0836506222651403</v>
      </c>
      <c r="J9" s="49">
        <f t="shared" si="7"/>
        <v>7.2821043737577298E-3</v>
      </c>
      <c r="K9" s="50">
        <f>DEGREES(G9*(1+Arkusz1!C$49)/Arkusz1!C$23/PI())</f>
        <v>-0.95525400824534179</v>
      </c>
      <c r="L9" s="48">
        <f t="shared" si="0"/>
        <v>-5.0389046305104817</v>
      </c>
      <c r="M9" s="47">
        <f>G9^2*(1+Arkusz1!C$48)/Arkusz1!C$23/PI()</f>
        <v>4.8852280509586905E-3</v>
      </c>
      <c r="N9" s="51">
        <f>J9+M9+Arkusz1!C$41</f>
        <v>1.289270750901437E-2</v>
      </c>
      <c r="O9" s="55">
        <f>Arkusz1!C$34/Arkusz1!C$80+(Arkusz1!C$71-Arkusz1!C$32)/Arkusz1!C$80*'projekty 2 i 3'!G9</f>
        <v>-7.5506471568474356E-2</v>
      </c>
      <c r="P9" s="52">
        <f>Arkusz1!C$75+Arkusz1!C$76+1/PI()/Arkusz1!C$79*'projekty 2 i 3'!O9^2</f>
        <v>8.7848139609993398E-3</v>
      </c>
      <c r="Q9" s="52">
        <f>Arkusz1!C$90*(1+1/Arkusz1!C$91*ABS('projekty 2 i 3'!G9))</f>
        <v>7.5295279752095896E-3</v>
      </c>
      <c r="R9" s="52">
        <f>(N9+Q9+P9*Arkusz1!C$70/Arkusz1!C$5)*(1+Arkusz1!C$92)</f>
        <v>2.2824910797561163E-2</v>
      </c>
      <c r="S9" s="52">
        <f>O9*Arkusz1!C$70/Arkusz1!C$5</f>
        <v>-1.6804547100433876E-2</v>
      </c>
      <c r="T9" s="53">
        <f t="shared" si="8"/>
        <v>-0.31434816248942088</v>
      </c>
      <c r="U9" s="48">
        <f t="shared" si="9"/>
        <v>-13.772152946289232</v>
      </c>
      <c r="V9" s="85">
        <f t="shared" si="10"/>
        <v>-59.62310653186217</v>
      </c>
      <c r="W9" s="56">
        <f t="shared" si="11"/>
        <v>-4.0836506222651403</v>
      </c>
      <c r="X9" s="26">
        <f t="shared" si="12"/>
        <v>9.8814767260475347E-2</v>
      </c>
      <c r="Y9" s="15">
        <f t="shared" si="13"/>
        <v>-1.3772152946289231</v>
      </c>
      <c r="Z9" s="15">
        <f t="shared" si="14"/>
        <v>-0.59623106531862169</v>
      </c>
    </row>
    <row r="10" spans="1:26" x14ac:dyDescent="0.25">
      <c r="A10" s="15">
        <v>-3.52957890549524</v>
      </c>
      <c r="B10" s="15">
        <v>-0.24355714042166299</v>
      </c>
      <c r="C10" s="15">
        <v>6.6238107482643402E-3</v>
      </c>
      <c r="D10" s="15">
        <f t="shared" si="2"/>
        <v>-6.1602773109829714E-2</v>
      </c>
      <c r="E10" s="1">
        <f>(Arkusz1!C$38-Arkusz1!C$36)*(1-ABS('projekty 2 i 3'!G10/Arkusz1!C$39))</f>
        <v>3.3655178036245628E-4</v>
      </c>
      <c r="F10" s="15">
        <f t="shared" si="3"/>
        <v>-7.5250064576905279E-2</v>
      </c>
      <c r="G10" s="39">
        <f t="shared" si="4"/>
        <v>-0.24355714042166299</v>
      </c>
      <c r="H10" s="40">
        <f t="shared" si="5"/>
        <v>6.6238107482643402E-3</v>
      </c>
      <c r="I10" s="41">
        <f t="shared" si="6"/>
        <v>-3.52957890549524</v>
      </c>
      <c r="J10" s="49">
        <f t="shared" si="7"/>
        <v>6.9603625286267963E-3</v>
      </c>
      <c r="K10" s="50">
        <f>DEGREES(G10*(1+Arkusz1!C$49)/Arkusz1!C$23/PI())</f>
        <v>-0.78193220284833098</v>
      </c>
      <c r="L10" s="48">
        <f t="shared" si="0"/>
        <v>-4.3115111083435709</v>
      </c>
      <c r="M10" s="47">
        <f>G10^2*(1+Arkusz1!C$48)/Arkusz1!C$23/PI()</f>
        <v>3.2732961788610698E-3</v>
      </c>
      <c r="N10" s="51">
        <f>J10+M10+Arkusz1!C$41</f>
        <v>1.0959033791785816E-2</v>
      </c>
      <c r="O10" s="55">
        <f>Arkusz1!C$34/Arkusz1!C$80+(Arkusz1!C$71-Arkusz1!C$32)/Arkusz1!C$80*'projekty 2 i 3'!G10</f>
        <v>-7.3715755054878207E-2</v>
      </c>
      <c r="P10" s="52">
        <f>Arkusz1!C$75+Arkusz1!C$76+1/PI()/Arkusz1!C$79*'projekty 2 i 3'!O10^2</f>
        <v>8.7527169487481328E-3</v>
      </c>
      <c r="Q10" s="52">
        <f>Arkusz1!C$90*(1+1/Arkusz1!C$91*ABS('projekty 2 i 3'!G10))</f>
        <v>7.464980161272089E-3</v>
      </c>
      <c r="R10" s="52">
        <f>(N10+Q10+P10*Arkusz1!C$70/Arkusz1!C$5)*(1+Arkusz1!C$92)</f>
        <v>2.0779438529607383E-2</v>
      </c>
      <c r="S10" s="52">
        <f>O10*Arkusz1!C$70/Arkusz1!C$5</f>
        <v>-1.6406009341071601E-2</v>
      </c>
      <c r="T10" s="53">
        <f t="shared" si="8"/>
        <v>-0.2599631497627346</v>
      </c>
      <c r="U10" s="48">
        <f t="shared" si="9"/>
        <v>-12.510595480832103</v>
      </c>
      <c r="V10" s="85">
        <f t="shared" si="10"/>
        <v>-40.688132199245082</v>
      </c>
      <c r="W10" s="56">
        <f t="shared" si="11"/>
        <v>-3.52957890549524</v>
      </c>
      <c r="X10" s="26">
        <f t="shared" si="12"/>
        <v>6.7580839234561985E-2</v>
      </c>
      <c r="Y10" s="15">
        <f t="shared" si="13"/>
        <v>-1.2510595480832103</v>
      </c>
      <c r="Z10" s="15">
        <f t="shared" si="14"/>
        <v>-0.40688132199245081</v>
      </c>
    </row>
    <row r="11" spans="1:26" x14ac:dyDescent="0.25">
      <c r="A11" s="15">
        <v>-3.1933473508741899</v>
      </c>
      <c r="B11" s="15">
        <v>-0.18942859578337201</v>
      </c>
      <c r="C11" s="15">
        <v>6.6208108339761802E-3</v>
      </c>
      <c r="D11" s="15">
        <f t="shared" si="2"/>
        <v>-5.5734425432593236E-2</v>
      </c>
      <c r="E11" s="1">
        <f>(Arkusz1!C$38-Arkusz1!C$36)*(1-ABS('projekty 2 i 3'!G11/Arkusz1!C$39))</f>
        <v>2.157012792140623E-4</v>
      </c>
      <c r="F11" s="15">
        <f t="shared" si="3"/>
        <v>-6.6348720108490897E-2</v>
      </c>
      <c r="G11" s="39">
        <f t="shared" si="4"/>
        <v>-0.18942859578337201</v>
      </c>
      <c r="H11" s="40">
        <f t="shared" si="5"/>
        <v>6.6208108339761802E-3</v>
      </c>
      <c r="I11" s="41">
        <f t="shared" si="6"/>
        <v>-3.1933473508741899</v>
      </c>
      <c r="J11" s="49">
        <f t="shared" si="7"/>
        <v>6.8365121131902422E-3</v>
      </c>
      <c r="K11" s="50">
        <f>DEGREES(G11*(1+Arkusz1!C$49)/Arkusz1!C$23/PI())</f>
        <v>-0.60815428743711619</v>
      </c>
      <c r="L11" s="48">
        <f t="shared" si="0"/>
        <v>-3.8015016383113061</v>
      </c>
      <c r="M11" s="47">
        <f>G11^2*(1+Arkusz1!C$48)/Arkusz1!C$23/PI()</f>
        <v>1.9800431307347367E-3</v>
      </c>
      <c r="N11" s="51">
        <f>J11+M11+Arkusz1!C$41</f>
        <v>9.5419303282229286E-3</v>
      </c>
      <c r="O11" s="55">
        <f>Arkusz1!C$34/Arkusz1!C$80+(Arkusz1!C$71-Arkusz1!C$32)/Arkusz1!C$80*'projekty 2 i 3'!G11</f>
        <v>-7.1920326129404175E-2</v>
      </c>
      <c r="P11" s="52">
        <f>Arkusz1!C$75+Arkusz1!C$76+1/PI()/Arkusz1!C$79*'projekty 2 i 3'!O11^2</f>
        <v>8.7213088639117638E-3</v>
      </c>
      <c r="Q11" s="52">
        <f>Arkusz1!C$90*(1+1/Arkusz1!C$91*ABS('projekty 2 i 3'!G11))</f>
        <v>7.4002624846663334E-3</v>
      </c>
      <c r="R11" s="52">
        <f>(N11+Q11+P11*Arkusz1!C$70/Arkusz1!C$5)*(1+Arkusz1!C$92)</f>
        <v>1.9260851053098108E-2</v>
      </c>
      <c r="S11" s="52">
        <f>O11*Arkusz1!C$70/Arkusz1!C$5</f>
        <v>-1.6006422798132053E-2</v>
      </c>
      <c r="T11" s="53">
        <f t="shared" si="8"/>
        <v>-0.20543501858150406</v>
      </c>
      <c r="U11" s="48">
        <f t="shared" si="9"/>
        <v>-10.665936723936186</v>
      </c>
      <c r="V11" s="85">
        <f t="shared" si="10"/>
        <v>-23.370740944366634</v>
      </c>
      <c r="W11" s="56">
        <f t="shared" si="11"/>
        <v>-3.1933473508741899</v>
      </c>
      <c r="X11" s="26">
        <f t="shared" si="12"/>
        <v>4.220354685958292E-2</v>
      </c>
      <c r="Y11" s="15">
        <f t="shared" si="13"/>
        <v>-1.0665936723936187</v>
      </c>
      <c r="Z11" s="15">
        <f t="shared" si="14"/>
        <v>-0.23370740944366633</v>
      </c>
    </row>
    <row r="12" spans="1:26" x14ac:dyDescent="0.25">
      <c r="A12" s="15">
        <v>-2.8609043208122502</v>
      </c>
      <c r="B12" s="15">
        <v>-0.15703671080297801</v>
      </c>
      <c r="C12" s="15">
        <v>6.2880346275820702E-3</v>
      </c>
      <c r="D12" s="15">
        <f t="shared" si="2"/>
        <v>-4.9932199982705899E-2</v>
      </c>
      <c r="E12" s="1">
        <f>(Arkusz1!C$38-Arkusz1!C$36)*(1-ABS('projekty 2 i 3'!G12/Arkusz1!C$39))</f>
        <v>1.4338129427486716E-4</v>
      </c>
      <c r="F12" s="15">
        <f t="shared" si="3"/>
        <v>-5.8731472956796357E-2</v>
      </c>
      <c r="G12" s="39">
        <f t="shared" si="4"/>
        <v>-0.15703671080297801</v>
      </c>
      <c r="H12" s="40">
        <f t="shared" si="5"/>
        <v>6.2880346275820702E-3</v>
      </c>
      <c r="I12" s="41">
        <f t="shared" si="6"/>
        <v>-2.8609043208122502</v>
      </c>
      <c r="J12" s="49">
        <f t="shared" si="7"/>
        <v>6.4314159218569374E-3</v>
      </c>
      <c r="K12" s="50">
        <f>DEGREES(G12*(1+Arkusz1!C$49)/Arkusz1!C$23/PI())</f>
        <v>-0.50416120419891097</v>
      </c>
      <c r="L12" s="48">
        <f t="shared" si="0"/>
        <v>-3.3650655250111612</v>
      </c>
      <c r="M12" s="47">
        <f>G12^2*(1+Arkusz1!C$48)/Arkusz1!C$23/PI()</f>
        <v>1.360773838353964E-3</v>
      </c>
      <c r="N12" s="51">
        <f>J12+M12+Arkusz1!C$41</f>
        <v>8.51756484450885E-3</v>
      </c>
      <c r="O12" s="55">
        <f>Arkusz1!C$34/Arkusz1!C$80+(Arkusz1!C$71-Arkusz1!C$32)/Arkusz1!C$80*'projekty 2 i 3'!G12</f>
        <v>-7.0845896221246499E-2</v>
      </c>
      <c r="P12" s="52">
        <f>Arkusz1!C$75+Arkusz1!C$76+1/PI()/Arkusz1!C$79*'projekty 2 i 3'!O12^2</f>
        <v>8.7028838505948929E-3</v>
      </c>
      <c r="Q12" s="52">
        <f>Arkusz1!C$90*(1+1/Arkusz1!C$91*ABS('projekty 2 i 3'!G12))</f>
        <v>7.3615337963038327E-3</v>
      </c>
      <c r="R12" s="52">
        <f>(N12+Q12+P12*Arkusz1!C$70/Arkusz1!C$5)*(1+Arkusz1!C$92)</f>
        <v>1.8172312356309239E-2</v>
      </c>
      <c r="S12" s="52">
        <f>O12*Arkusz1!C$70/Arkusz1!C$5</f>
        <v>-1.5767300142514689E-2</v>
      </c>
      <c r="T12" s="53">
        <f t="shared" si="8"/>
        <v>-0.17280401094549269</v>
      </c>
      <c r="U12" s="48">
        <f t="shared" si="9"/>
        <v>-9.5091922017011186</v>
      </c>
      <c r="V12" s="85">
        <f t="shared" si="10"/>
        <v>-15.625757126321378</v>
      </c>
      <c r="W12" s="56">
        <f t="shared" si="11"/>
        <v>-2.8609043208122502</v>
      </c>
      <c r="X12" s="26">
        <f t="shared" si="12"/>
        <v>2.9861226198849958E-2</v>
      </c>
      <c r="Y12" s="15">
        <f t="shared" si="13"/>
        <v>-0.95091922017011188</v>
      </c>
      <c r="Z12" s="15">
        <f t="shared" si="14"/>
        <v>-0.1562575712632138</v>
      </c>
    </row>
    <row r="13" spans="1:26" x14ac:dyDescent="0.25">
      <c r="A13" s="15">
        <v>-2.4157526851167699</v>
      </c>
      <c r="B13" s="15">
        <v>-0.10297920100017</v>
      </c>
      <c r="C13" s="15">
        <v>6.0876832090511696E-3</v>
      </c>
      <c r="D13" s="15">
        <f t="shared" si="2"/>
        <v>-4.2162838269181449E-2</v>
      </c>
      <c r="E13" s="1">
        <f>(Arkusz1!C$38-Arkusz1!C$36)*(1-ABS('projekty 2 i 3'!G13/Arkusz1!C$39))</f>
        <v>2.2689389584672305E-5</v>
      </c>
      <c r="F13" s="15">
        <f t="shared" si="3"/>
        <v>-4.7933094762843576E-2</v>
      </c>
      <c r="G13" s="39">
        <f t="shared" si="4"/>
        <v>-0.10297920100017</v>
      </c>
      <c r="H13" s="40">
        <f t="shared" si="5"/>
        <v>6.0876832090511696E-3</v>
      </c>
      <c r="I13" s="41">
        <f t="shared" si="6"/>
        <v>-2.4157526851167699</v>
      </c>
      <c r="J13" s="49">
        <f t="shared" si="7"/>
        <v>6.1103725986358416E-3</v>
      </c>
      <c r="K13" s="50">
        <f>DEGREES(G13*(1+Arkusz1!C$49)/Arkusz1!C$23/PI())</f>
        <v>-0.33061134379479656</v>
      </c>
      <c r="L13" s="48">
        <f t="shared" si="0"/>
        <v>-2.7463640289115663</v>
      </c>
      <c r="M13" s="47">
        <f>G13^2*(1+Arkusz1!C$48)/Arkusz1!C$23/PI()</f>
        <v>5.8517074575631454E-4</v>
      </c>
      <c r="N13" s="51">
        <f>J13+M13+Arkusz1!C$41</f>
        <v>7.4209184286901063E-3</v>
      </c>
      <c r="O13" s="55">
        <f>Arkusz1!C$34/Arkusz1!C$80+(Arkusz1!C$71-Arkusz1!C$32)/Arkusz1!C$80*'projekty 2 i 3'!G13</f>
        <v>-6.9052823501711394E-2</v>
      </c>
      <c r="P13" s="52">
        <f>Arkusz1!C$75+Arkusz1!C$76+1/PI()/Arkusz1!C$79*'projekty 2 i 3'!O13^2</f>
        <v>8.6727526874781271E-3</v>
      </c>
      <c r="Q13" s="52">
        <f>Arkusz1!C$90*(1+1/Arkusz1!C$91*ABS('projekty 2 i 3'!G13))</f>
        <v>7.2969010510322051E-3</v>
      </c>
      <c r="R13" s="52">
        <f>(N13+Q13+P13*Arkusz1!C$70/Arkusz1!C$5)*(1+Arkusz1!C$92)</f>
        <v>1.6980967571003834E-2</v>
      </c>
      <c r="S13" s="52">
        <f>O13*Arkusz1!C$70/Arkusz1!C$5</f>
        <v>-1.5368237991363779E-2</v>
      </c>
      <c r="T13" s="53">
        <f t="shared" si="8"/>
        <v>-0.11834743899153377</v>
      </c>
      <c r="U13" s="48">
        <f t="shared" si="9"/>
        <v>-6.9694167011790382</v>
      </c>
      <c r="V13" s="85">
        <f t="shared" si="10"/>
        <v>-5.7484628341825532</v>
      </c>
      <c r="W13" s="56">
        <f t="shared" si="11"/>
        <v>-2.4157526851167699</v>
      </c>
      <c r="X13" s="26">
        <f t="shared" si="12"/>
        <v>1.4006116315854808E-2</v>
      </c>
      <c r="Y13" s="15">
        <f t="shared" si="13"/>
        <v>-0.69694167011790387</v>
      </c>
      <c r="Z13" s="15">
        <f t="shared" si="14"/>
        <v>-5.7484628341825529E-2</v>
      </c>
    </row>
    <row r="14" spans="1:26" x14ac:dyDescent="0.25">
      <c r="A14" s="15">
        <v>-2.0823625239150498</v>
      </c>
      <c r="B14" s="15">
        <v>-6.5153151105302898E-2</v>
      </c>
      <c r="C14" s="15">
        <v>6.0193280191994502E-3</v>
      </c>
      <c r="D14" s="15">
        <f t="shared" si="2"/>
        <v>-3.6344082262456778E-2</v>
      </c>
      <c r="E14" s="1">
        <f>(Arkusz1!C$38-Arkusz1!C$36)*(1-ABS('projekty 2 i 3'!G14/Arkusz1!C$39))</f>
        <v>-6.1763224406819988E-5</v>
      </c>
      <c r="F14" s="15">
        <f t="shared" si="3"/>
        <v>-3.9994823281969093E-2</v>
      </c>
      <c r="G14" s="39">
        <f t="shared" si="4"/>
        <v>-6.5153151105302898E-2</v>
      </c>
      <c r="H14" s="40">
        <f t="shared" si="5"/>
        <v>6.0193280191994502E-3</v>
      </c>
      <c r="I14" s="41">
        <f t="shared" si="6"/>
        <v>-2.0823625239150498</v>
      </c>
      <c r="J14" s="49">
        <f t="shared" si="7"/>
        <v>5.9575647947926304E-3</v>
      </c>
      <c r="K14" s="50">
        <f>DEGREES(G14*(1+Arkusz1!C$49)/Arkusz1!C$23/PI())</f>
        <v>-0.20917205251334264</v>
      </c>
      <c r="L14" s="48">
        <f t="shared" si="0"/>
        <v>-2.2915345764283925</v>
      </c>
      <c r="M14" s="47">
        <f>G14^2*(1+Arkusz1!C$48)/Arkusz1!C$23/PI()</f>
        <v>2.3423641943795754E-4</v>
      </c>
      <c r="N14" s="51">
        <f>J14+M14+Arkusz1!C$41</f>
        <v>6.9171762985285375E-3</v>
      </c>
      <c r="O14" s="55">
        <f>Arkusz1!C$34/Arkusz1!C$80+(Arkusz1!C$71-Arkusz1!C$32)/Arkusz1!C$80*'projekty 2 i 3'!G14</f>
        <v>-6.7798143839224667E-2</v>
      </c>
      <c r="P14" s="52">
        <f>Arkusz1!C$75+Arkusz1!C$76+1/PI()/Arkusz1!C$79*'projekty 2 i 3'!O14^2</f>
        <v>8.6521281136480339E-3</v>
      </c>
      <c r="Q14" s="52">
        <f>Arkusz1!C$90*(1+1/Arkusz1!C$91*ABS('projekty 2 i 3'!G14))</f>
        <v>7.2516751156088913E-3</v>
      </c>
      <c r="R14" s="52">
        <f>(N14+Q14+P14*Arkusz1!C$70/Arkusz1!C$5)*(1+Arkusz1!C$92)</f>
        <v>1.6416338183111626E-2</v>
      </c>
      <c r="S14" s="52">
        <f>O14*Arkusz1!C$70/Arkusz1!C$5</f>
        <v>-1.5088999363915879E-2</v>
      </c>
      <c r="T14" s="53">
        <f t="shared" si="8"/>
        <v>-8.0242150469218773E-2</v>
      </c>
      <c r="U14" s="48">
        <f t="shared" si="9"/>
        <v>-4.8879445327075564</v>
      </c>
      <c r="V14" s="85">
        <f t="shared" si="10"/>
        <v>-1.9171455998215623</v>
      </c>
      <c r="W14" s="56">
        <f t="shared" si="11"/>
        <v>-2.0823625239150498</v>
      </c>
      <c r="X14" s="26">
        <f t="shared" si="12"/>
        <v>6.438802711924747E-3</v>
      </c>
      <c r="Y14" s="15">
        <f t="shared" si="13"/>
        <v>-0.48879445327075566</v>
      </c>
      <c r="Z14" s="15">
        <f t="shared" si="14"/>
        <v>-1.9171455998215622E-2</v>
      </c>
    </row>
    <row r="15" spans="1:26" x14ac:dyDescent="0.25">
      <c r="A15" s="15">
        <v>-1.4212649883502799</v>
      </c>
      <c r="B15" s="15">
        <v>-2.2106040802409799E-2</v>
      </c>
      <c r="C15" s="15">
        <v>5.7523356475529296E-3</v>
      </c>
      <c r="D15" s="15">
        <f t="shared" si="2"/>
        <v>-2.4805753590031236E-2</v>
      </c>
      <c r="E15" s="1">
        <f>(Arkusz1!C$38-Arkusz1!C$36)*(1-ABS('projekty 2 i 3'!G15/Arkusz1!C$39))</f>
        <v>-1.5787267807601589E-4</v>
      </c>
      <c r="F15" s="15">
        <f t="shared" si="3"/>
        <v>-2.6044426295299693E-2</v>
      </c>
      <c r="G15" s="39">
        <f t="shared" si="4"/>
        <v>-2.2106040802409799E-2</v>
      </c>
      <c r="H15" s="40">
        <f t="shared" si="5"/>
        <v>5.7523356475529296E-3</v>
      </c>
      <c r="I15" s="41">
        <f t="shared" si="6"/>
        <v>-1.4212649883502799</v>
      </c>
      <c r="J15" s="49">
        <f t="shared" si="7"/>
        <v>5.5944629694769134E-3</v>
      </c>
      <c r="K15" s="50">
        <f>DEGREES(G15*(1+Arkusz1!C$49)/Arkusz1!C$23/PI())</f>
        <v>-7.0970718209934849E-2</v>
      </c>
      <c r="L15" s="48">
        <f t="shared" si="0"/>
        <v>-1.4922357065602148</v>
      </c>
      <c r="M15" s="47">
        <f>G15^2*(1+Arkusz1!C$48)/Arkusz1!C$23/PI()</f>
        <v>2.6965315455633048E-5</v>
      </c>
      <c r="N15" s="51">
        <f>J15+M15+Arkusz1!C$41</f>
        <v>6.3468033692304967E-3</v>
      </c>
      <c r="O15" s="55">
        <f>Arkusz1!C$34/Arkusz1!C$80+(Arkusz1!C$71-Arkusz1!C$32)/Arkusz1!C$80*'projekty 2 i 3'!G15</f>
        <v>-6.6370283040225617E-2</v>
      </c>
      <c r="P15" s="52">
        <f>Arkusz1!C$75+Arkusz1!C$76+1/PI()/Arkusz1!C$79*'projekty 2 i 3'!O15^2</f>
        <v>8.6291168508871412E-3</v>
      </c>
      <c r="Q15" s="52">
        <f>Arkusz1!C$90*(1+1/Arkusz1!C$91*ABS('projekty 2 i 3'!G15))</f>
        <v>7.2002067271271482E-3</v>
      </c>
      <c r="R15" s="52">
        <f>(N15+Q15+P15*Arkusz1!C$70/Arkusz1!C$5)*(1+Arkusz1!C$92)</f>
        <v>1.5776836278446973E-2</v>
      </c>
      <c r="S15" s="52">
        <f>O15*Arkusz1!C$70/Arkusz1!C$5</f>
        <v>-1.4771217940003321E-2</v>
      </c>
      <c r="T15" s="53">
        <f t="shared" si="8"/>
        <v>-3.687725874241312E-2</v>
      </c>
      <c r="U15" s="48">
        <f t="shared" si="9"/>
        <v>-2.3374305273606613</v>
      </c>
      <c r="V15" s="85">
        <f t="shared" si="10"/>
        <v>-0.20148190753820358</v>
      </c>
      <c r="W15" s="56">
        <f t="shared" si="11"/>
        <v>-1.4212649883502799</v>
      </c>
      <c r="X15" s="26">
        <f t="shared" si="12"/>
        <v>1.3599322123548849E-3</v>
      </c>
      <c r="Y15" s="15">
        <f t="shared" si="13"/>
        <v>-0.23374305273606613</v>
      </c>
      <c r="Z15" s="15">
        <f t="shared" si="14"/>
        <v>-2.0148190753820358E-3</v>
      </c>
    </row>
    <row r="16" spans="1:26" x14ac:dyDescent="0.25">
      <c r="A16" s="15">
        <v>-1.41558220151161</v>
      </c>
      <c r="B16" s="15">
        <v>1.04989486844342E-2</v>
      </c>
      <c r="C16" s="15">
        <v>5.6856946944373104E-3</v>
      </c>
      <c r="D16" s="15">
        <f t="shared" si="2"/>
        <v>-2.4706570249007444E-2</v>
      </c>
      <c r="E16" s="1">
        <f>(Arkusz1!C$38-Arkusz1!C$36)*(1-ABS('projekty 2 i 3'!G16/Arkusz1!C$39))</f>
        <v>-1.8378733934589655E-4</v>
      </c>
      <c r="F16" s="15">
        <f t="shared" si="3"/>
        <v>-2.4118280320219964E-2</v>
      </c>
      <c r="G16" s="39">
        <f t="shared" si="4"/>
        <v>1.04989486844342E-2</v>
      </c>
      <c r="H16" s="40">
        <f t="shared" si="5"/>
        <v>5.6856946944373104E-3</v>
      </c>
      <c r="I16" s="41">
        <f t="shared" si="6"/>
        <v>-1.41558220151161</v>
      </c>
      <c r="J16" s="49">
        <f t="shared" si="7"/>
        <v>5.5019073550914141E-3</v>
      </c>
      <c r="K16" s="50">
        <f>DEGREES(G16*(1+Arkusz1!C$49)/Arkusz1!C$23/PI())</f>
        <v>3.3706530049574496E-2</v>
      </c>
      <c r="L16" s="48">
        <f t="shared" si="0"/>
        <v>-1.3818756714620355</v>
      </c>
      <c r="M16" s="47">
        <f>G16^2*(1+Arkusz1!C$48)/Arkusz1!C$23/PI()</f>
        <v>6.0824030710970228E-6</v>
      </c>
      <c r="N16" s="51">
        <f>J16+M16+Arkusz1!C$41</f>
        <v>6.2333648424604607E-3</v>
      </c>
      <c r="O16" s="55">
        <f>Arkusz1!C$34/Arkusz1!C$80+(Arkusz1!C$71-Arkusz1!C$32)/Arkusz1!C$80*'projekty 2 i 3'!G16</f>
        <v>-6.528878451425113E-2</v>
      </c>
      <c r="P16" s="52">
        <f>Arkusz1!C$75+Arkusz1!C$76+1/PI()/Arkusz1!C$79*'projekty 2 i 3'!O16^2</f>
        <v>8.6120135096670707E-3</v>
      </c>
      <c r="Q16" s="52">
        <f>Arkusz1!C$90*(1+1/Arkusz1!C$91*ABS('projekty 2 i 3'!G16))</f>
        <v>7.1863289471305845E-3</v>
      </c>
      <c r="R16" s="52">
        <f>(N16+Q16+P16*Arkusz1!C$70/Arkusz1!C$5)*(1+Arkusz1!C$92)</f>
        <v>1.5643091035550429E-2</v>
      </c>
      <c r="S16" s="52">
        <f>O16*Arkusz1!C$70/Arkusz1!C$5</f>
        <v>-1.4530522109020057E-2</v>
      </c>
      <c r="T16" s="53">
        <f t="shared" si="8"/>
        <v>-4.0315734245858579E-3</v>
      </c>
      <c r="U16" s="48">
        <f t="shared" si="9"/>
        <v>-0.25772230152108172</v>
      </c>
      <c r="V16" s="85">
        <f t="shared" si="10"/>
        <v>-2.6778027044199417E-4</v>
      </c>
      <c r="W16" s="56">
        <f t="shared" si="11"/>
        <v>-1.41558220151161</v>
      </c>
      <c r="X16" s="26">
        <f t="shared" si="12"/>
        <v>1.6253584277826941E-5</v>
      </c>
      <c r="Y16" s="15">
        <f t="shared" si="13"/>
        <v>-2.5772230152108173E-2</v>
      </c>
      <c r="Z16" s="15">
        <f t="shared" si="14"/>
        <v>-2.6778027044199416E-6</v>
      </c>
    </row>
    <row r="17" spans="1:26" x14ac:dyDescent="0.25">
      <c r="A17" s="15">
        <v>-0.75353753480706498</v>
      </c>
      <c r="B17" s="15">
        <v>5.8980223901801097E-2</v>
      </c>
      <c r="C17" s="15">
        <v>5.2213508185480397E-3</v>
      </c>
      <c r="D17" s="15">
        <f t="shared" si="2"/>
        <v>-1.3151711019744657E-2</v>
      </c>
      <c r="E17" s="1">
        <f>(Arkusz1!C$38-Arkusz1!C$36)*(1-ABS('projekty 2 i 3'!G17/Arkusz1!C$39))</f>
        <v>-7.5545256624401914E-5</v>
      </c>
      <c r="F17" s="15">
        <f t="shared" si="3"/>
        <v>-9.8468590043706804E-3</v>
      </c>
      <c r="G17" s="39">
        <f t="shared" si="4"/>
        <v>5.8980223901801097E-2</v>
      </c>
      <c r="H17" s="40">
        <f t="shared" si="5"/>
        <v>5.2213508185480397E-3</v>
      </c>
      <c r="I17" s="41">
        <f t="shared" si="6"/>
        <v>-0.75353753480706498</v>
      </c>
      <c r="J17" s="49">
        <f t="shared" si="7"/>
        <v>5.1458055619236377E-3</v>
      </c>
      <c r="K17" s="50">
        <f>DEGREES(G17*(1+Arkusz1!C$49)/Arkusz1!C$23/PI())</f>
        <v>0.18935407239623317</v>
      </c>
      <c r="L17" s="48">
        <f t="shared" si="0"/>
        <v>-0.56418346241083184</v>
      </c>
      <c r="M17" s="47">
        <f>G17^2*(1+Arkusz1!C$48)/Arkusz1!C$23/PI()</f>
        <v>1.9195366319116507E-4</v>
      </c>
      <c r="N17" s="51">
        <f>J17+M17+Arkusz1!C$41</f>
        <v>6.0631343094127519E-3</v>
      </c>
      <c r="O17" s="55">
        <f>Arkusz1!C$34/Arkusz1!C$80+(Arkusz1!C$71-Arkusz1!C$32)/Arkusz1!C$80*'projekty 2 i 3'!G17</f>
        <v>-6.3680673960923001E-2</v>
      </c>
      <c r="P17" s="52">
        <f>Arkusz1!C$75+Arkusz1!C$76+1/PI()/Arkusz1!C$79*'projekty 2 i 3'!O17^2</f>
        <v>8.5871015993538927E-3</v>
      </c>
      <c r="Q17" s="52">
        <f>Arkusz1!C$90*(1+1/Arkusz1!C$91*ABS('projekty 2 i 3'!G17))</f>
        <v>7.2442945826731425E-3</v>
      </c>
      <c r="R17" s="52">
        <f>(N17+Q17+P17*Arkusz1!C$70/Arkusz1!C$5)*(1+Arkusz1!C$92)</f>
        <v>1.5522925615731568E-2</v>
      </c>
      <c r="S17" s="52">
        <f>O17*Arkusz1!C$70/Arkusz1!C$5</f>
        <v>-1.4172624713276958E-2</v>
      </c>
      <c r="T17" s="53">
        <f t="shared" si="8"/>
        <v>4.4807599188524137E-2</v>
      </c>
      <c r="U17" s="48">
        <f t="shared" si="9"/>
        <v>2.886543445335735</v>
      </c>
      <c r="V17" s="85">
        <f t="shared" si="10"/>
        <v>0.37334287861906407</v>
      </c>
      <c r="W17" s="56">
        <f t="shared" si="11"/>
        <v>-0.75353753480706498</v>
      </c>
      <c r="X17" s="26">
        <f t="shared" si="12"/>
        <v>2.0077209450394288E-3</v>
      </c>
      <c r="Y17" s="15">
        <f t="shared" si="13"/>
        <v>0.28865434453357353</v>
      </c>
      <c r="Z17" s="15">
        <f t="shared" si="14"/>
        <v>3.7334287861906408E-3</v>
      </c>
    </row>
    <row r="18" spans="1:26" x14ac:dyDescent="0.25">
      <c r="A18" s="15">
        <f>DEGREES((B18-0.1382)/6.2313)</f>
        <v>-0.65810405857130472</v>
      </c>
      <c r="B18" s="15">
        <v>6.6626773227877495E-2</v>
      </c>
      <c r="C18" s="15">
        <v>4.8026092753033498E-3</v>
      </c>
      <c r="D18" s="15">
        <f t="shared" si="2"/>
        <v>-1.1486082642806877E-2</v>
      </c>
      <c r="E18" s="1">
        <f>(Arkusz1!C$38-Arkusz1!C$36)*(1-ABS('projekty 2 i 3'!G18/Arkusz1!C$39))</f>
        <v>-5.8473130922752458E-5</v>
      </c>
      <c r="F18" s="15">
        <f t="shared" si="3"/>
        <v>-7.7527698268599057E-3</v>
      </c>
      <c r="G18" s="39">
        <f t="shared" si="4"/>
        <v>6.6626773227877495E-2</v>
      </c>
      <c r="H18" s="40">
        <f t="shared" si="5"/>
        <v>4.8026092753033498E-3</v>
      </c>
      <c r="I18" s="41">
        <f t="shared" si="6"/>
        <v>-0.65810405857130472</v>
      </c>
      <c r="J18" s="49">
        <f>H18+E21</f>
        <v>4.8358338953196642E-3</v>
      </c>
      <c r="K18" s="50">
        <f>DEGREES(G18*(1+Arkusz1!C$49)/Arkusz1!C$23/PI())</f>
        <v>0.21390306795586217</v>
      </c>
      <c r="L18" s="48">
        <f t="shared" ref="L18:L22" si="15">I18+K18</f>
        <v>-0.44420099061544255</v>
      </c>
      <c r="M18" s="47">
        <f>G18^2*(1+Arkusz1!C$48)/Arkusz1!C$23/PI()</f>
        <v>2.4495208022570872E-4</v>
      </c>
      <c r="N18" s="51">
        <f>J18+M18+Arkusz1!C$41</f>
        <v>5.8061610598433219E-3</v>
      </c>
      <c r="O18" s="55">
        <f>Arkusz1!C$34/Arkusz1!C$80+(Arkusz1!C$71-Arkusz1!C$32)/Arkusz1!C$80*'projekty 2 i 3'!G18</f>
        <v>-6.3427040024672851E-2</v>
      </c>
      <c r="P18" s="52">
        <f>Arkusz1!C$75+Arkusz1!C$76+1/PI()/Arkusz1!C$79*'projekty 2 i 3'!O18^2</f>
        <v>8.583229169824614E-3</v>
      </c>
      <c r="Q18" s="52">
        <f>Arkusz1!C$90*(1+1/Arkusz1!C$91*ABS('projekty 2 i 3'!G18))</f>
        <v>7.253437021468457E-3</v>
      </c>
      <c r="R18" s="52">
        <f>(N18+Q18+P18*Arkusz1!C$70/Arkusz1!C$5)*(1+Arkusz1!C$92)</f>
        <v>1.5269259112928635E-2</v>
      </c>
      <c r="S18" s="52">
        <f>O18*Arkusz1!C$70/Arkusz1!C$5</f>
        <v>-1.4116176526261376E-2</v>
      </c>
      <c r="T18" s="53">
        <f t="shared" ref="T18:T22" si="16">G18+S18</f>
        <v>5.2510596701616119E-2</v>
      </c>
      <c r="U18" s="48">
        <f t="shared" ref="U18:U22" si="17">T18/R18</f>
        <v>3.4389747605471483</v>
      </c>
      <c r="V18" s="85">
        <f t="shared" ref="V18:V22" si="18">T18^3/R18^2</f>
        <v>0.62101906108720228</v>
      </c>
      <c r="W18" s="56">
        <f t="shared" si="11"/>
        <v>-0.65810405857130472</v>
      </c>
      <c r="X18" s="26">
        <f t="shared" si="12"/>
        <v>2.7573627659597776E-3</v>
      </c>
      <c r="Y18" s="15">
        <f t="shared" si="13"/>
        <v>0.34389747605471482</v>
      </c>
      <c r="Z18" s="15">
        <f t="shared" si="14"/>
        <v>6.2101906108720231E-3</v>
      </c>
    </row>
    <row r="19" spans="1:26" x14ac:dyDescent="0.25">
      <c r="A19" s="15">
        <f t="shared" ref="A19:A27" si="19">DEGREES((B19-0.1382)/6.2313)</f>
        <v>-0.55502834564261616</v>
      </c>
      <c r="B19" s="15">
        <v>7.7836947789267003E-2</v>
      </c>
      <c r="C19" s="15">
        <v>4.7258626956138503E-3</v>
      </c>
      <c r="D19" s="15">
        <f t="shared" si="2"/>
        <v>-9.6870720733607737E-3</v>
      </c>
      <c r="E19" s="1">
        <f>(Arkusz1!C$38-Arkusz1!C$36)*(1-ABS('projekty 2 i 3'!G19/Arkusz1!C$39))</f>
        <v>-3.3444650612448018E-5</v>
      </c>
      <c r="F19" s="15">
        <f t="shared" si="3"/>
        <v>-5.3256170507381372E-3</v>
      </c>
      <c r="G19" s="39">
        <f t="shared" si="4"/>
        <v>7.7836947789267003E-2</v>
      </c>
      <c r="H19" s="40">
        <f t="shared" si="5"/>
        <v>4.7258626956138503E-3</v>
      </c>
      <c r="I19" s="41">
        <f t="shared" si="6"/>
        <v>-0.55502834564261616</v>
      </c>
      <c r="J19" s="49">
        <f>H19+E23</f>
        <v>4.8847797936720158E-3</v>
      </c>
      <c r="K19" s="50">
        <f>DEGREES(G19*(1+Arkusz1!C$49)/Arkusz1!C$23/PI())</f>
        <v>0.24989296533241212</v>
      </c>
      <c r="L19" s="48">
        <f t="shared" si="15"/>
        <v>-0.30513538031020404</v>
      </c>
      <c r="M19" s="47">
        <f>G19^2*(1+Arkusz1!C$48)/Arkusz1!C$23/PI()</f>
        <v>3.3431446354871439E-4</v>
      </c>
      <c r="N19" s="51">
        <f>J19+M19+Arkusz1!C$41</f>
        <v>5.9444693415186805E-3</v>
      </c>
      <c r="O19" s="55">
        <f>Arkusz1!C$34/Arkusz1!C$80+(Arkusz1!C$71-Arkusz1!C$32)/Arkusz1!C$80*'projekty 2 i 3'!G19</f>
        <v>-6.3055201620340548E-2</v>
      </c>
      <c r="P19" s="52">
        <f>Arkusz1!C$75+Arkusz1!C$76+1/PI()/Arkusz1!C$79*'projekty 2 i 3'!O19^2</f>
        <v>8.5775799555210634E-3</v>
      </c>
      <c r="Q19" s="52">
        <f>Arkusz1!C$90*(1+1/Arkusz1!C$91*ABS('projekty 2 i 3'!G19))</f>
        <v>7.2668402351851041E-3</v>
      </c>
      <c r="R19" s="52">
        <f>(N19+Q19+P19*Arkusz1!C$70/Arkusz1!C$5)*(1+Arkusz1!C$92)</f>
        <v>1.5422722416528856E-2</v>
      </c>
      <c r="S19" s="52">
        <f>O19*Arkusz1!C$70/Arkusz1!C$5</f>
        <v>-1.4033421023990477E-2</v>
      </c>
      <c r="T19" s="53">
        <f t="shared" si="16"/>
        <v>6.3803526765276522E-2</v>
      </c>
      <c r="U19" s="48">
        <f t="shared" si="17"/>
        <v>4.1369821126325235</v>
      </c>
      <c r="V19" s="85">
        <f t="shared" si="18"/>
        <v>1.0919731790664693</v>
      </c>
      <c r="W19" s="56">
        <f t="shared" si="11"/>
        <v>-0.55502834564261616</v>
      </c>
      <c r="X19" s="26">
        <f t="shared" si="12"/>
        <v>4.0708900276873574E-3</v>
      </c>
      <c r="Y19" s="15">
        <f t="shared" si="13"/>
        <v>0.41369821126325235</v>
      </c>
      <c r="Z19" s="15">
        <f t="shared" si="14"/>
        <v>1.0919731790664694E-2</v>
      </c>
    </row>
    <row r="20" spans="1:26" x14ac:dyDescent="0.25">
      <c r="A20" s="15">
        <f t="shared" si="19"/>
        <v>-0.41729200836648961</v>
      </c>
      <c r="B20" s="15">
        <v>9.2816697532836806E-2</v>
      </c>
      <c r="C20" s="15">
        <v>4.6487465497299998E-3</v>
      </c>
      <c r="D20" s="15">
        <f t="shared" si="2"/>
        <v>-7.2831194882549679E-3</v>
      </c>
      <c r="E20" s="1">
        <f>(Arkusz1!C$38-Arkusz1!C$36)*(1-ABS('projekty 2 i 3'!G20/Arkusz1!C$39))</f>
        <v>0</v>
      </c>
      <c r="F20" s="15">
        <f t="shared" si="3"/>
        <v>-2.0823008136350257E-3</v>
      </c>
      <c r="G20" s="39">
        <f t="shared" si="4"/>
        <v>9.2816697532836806E-2</v>
      </c>
      <c r="H20" s="40">
        <f t="shared" si="5"/>
        <v>4.6487465497299998E-3</v>
      </c>
      <c r="I20" s="41">
        <f t="shared" si="6"/>
        <v>-0.41729200836648961</v>
      </c>
      <c r="J20" s="49">
        <f>H20+E24</f>
        <v>4.9170738617160641E-3</v>
      </c>
      <c r="K20" s="50">
        <f>DEGREES(G20*(1+Arkusz1!C$49)/Arkusz1!C$23/PI())</f>
        <v>0.29798496006854525</v>
      </c>
      <c r="L20" s="48">
        <f t="shared" si="15"/>
        <v>-0.11930704829794436</v>
      </c>
      <c r="M20" s="47">
        <f>G20^2*(1+Arkusz1!C$48)/Arkusz1!C$23/PI()</f>
        <v>4.7537440469604727E-4</v>
      </c>
      <c r="N20" s="51">
        <f>J20+M20+Arkusz1!C$41</f>
        <v>6.1178233507100614E-3</v>
      </c>
      <c r="O20" s="55">
        <f>Arkusz1!C$34/Arkusz1!C$80+(Arkusz1!C$71-Arkusz1!C$32)/Arkusz1!C$80*'projekty 2 i 3'!G20</f>
        <v>-6.2558327444881157E-2</v>
      </c>
      <c r="P20" s="52">
        <f>Arkusz1!C$75+Arkusz1!C$76+1/PI()/Arkusz1!C$79*'projekty 2 i 3'!O20^2</f>
        <v>8.5700829626857607E-3</v>
      </c>
      <c r="Q20" s="52">
        <f>Arkusz1!C$90*(1+1/Arkusz1!C$91*ABS('projekty 2 i 3'!G20))</f>
        <v>7.2847504636240502E-3</v>
      </c>
      <c r="R20" s="52">
        <f>(N20+Q20+P20*Arkusz1!C$70/Arkusz1!C$5)*(1+Arkusz1!C$92)</f>
        <v>1.5616110055113921E-2</v>
      </c>
      <c r="S20" s="52">
        <f>O20*Arkusz1!C$70/Arkusz1!C$5</f>
        <v>-1.3922837847329594E-2</v>
      </c>
      <c r="T20" s="53">
        <f t="shared" si="16"/>
        <v>7.8893859685507217E-2</v>
      </c>
      <c r="U20" s="48">
        <f t="shared" si="17"/>
        <v>5.0520814343051628</v>
      </c>
      <c r="V20" s="85">
        <f t="shared" si="18"/>
        <v>2.0136495435257045</v>
      </c>
      <c r="W20" s="56">
        <f t="shared" si="11"/>
        <v>-0.41729200836648961</v>
      </c>
      <c r="X20" s="26">
        <f t="shared" si="12"/>
        <v>6.2242410960765011E-3</v>
      </c>
      <c r="Y20" s="15">
        <f t="shared" si="13"/>
        <v>0.50520814343051623</v>
      </c>
      <c r="Z20" s="15">
        <f t="shared" si="14"/>
        <v>2.0136495435257043E-2</v>
      </c>
    </row>
    <row r="21" spans="1:26" x14ac:dyDescent="0.25">
      <c r="A21" s="15">
        <f t="shared" si="19"/>
        <v>-0.28046183120401774</v>
      </c>
      <c r="B21" s="15">
        <v>0.107697896291252</v>
      </c>
      <c r="C21" s="15">
        <v>4.4959925227396396E-3</v>
      </c>
      <c r="D21" s="15">
        <f t="shared" si="2"/>
        <v>-4.8949823806826824E-3</v>
      </c>
      <c r="E21" s="1">
        <f>(Arkusz1!C$38-Arkusz1!C$36)*(1-ABS('projekty 2 i 3'!G21/Arkusz1!C$39))</f>
        <v>3.32246200163145E-5</v>
      </c>
      <c r="F21" s="15">
        <f t="shared" si="3"/>
        <v>1.1396778166451343E-3</v>
      </c>
      <c r="G21" s="39">
        <f t="shared" si="4"/>
        <v>0.107697896291252</v>
      </c>
      <c r="H21" s="40">
        <f t="shared" si="5"/>
        <v>4.4959925227396396E-3</v>
      </c>
      <c r="I21" s="41">
        <f t="shared" si="6"/>
        <v>-0.28046183120401774</v>
      </c>
      <c r="J21" s="49">
        <f>H21+E25</f>
        <v>4.8653138783514545E-3</v>
      </c>
      <c r="K21" s="50">
        <f>DEGREES(G21*(1+Arkusz1!C$49)/Arkusz1!C$23/PI())</f>
        <v>0.34576056010246842</v>
      </c>
      <c r="L21" s="48">
        <f t="shared" si="15"/>
        <v>6.5298728898450675E-2</v>
      </c>
      <c r="M21" s="47">
        <f>G21^2*(1+Arkusz1!C$48)/Arkusz1!C$23/PI()</f>
        <v>6.4002658079718739E-4</v>
      </c>
      <c r="N21" s="51">
        <f>J21+M21+Arkusz1!C$41</f>
        <v>6.2307155434465911E-3</v>
      </c>
      <c r="O21" s="55">
        <f>Arkusz1!C$34/Arkusz1!C$80+(Arkusz1!C$71-Arkusz1!C$32)/Arkusz1!C$80*'projekty 2 i 3'!G21</f>
        <v>-6.2064722178470831E-2</v>
      </c>
      <c r="P21" s="52">
        <f>Arkusz1!C$75+Arkusz1!C$76+1/PI()/Arkusz1!C$79*'projekty 2 i 3'!O21^2</f>
        <v>8.5626940180477586E-3</v>
      </c>
      <c r="Q21" s="52">
        <f>Arkusz1!C$90*(1+1/Arkusz1!C$91*ABS('projekty 2 i 3'!G21))</f>
        <v>7.3025428616127416E-3</v>
      </c>
      <c r="R21" s="52">
        <f>(N21+Q21+P21*Arkusz1!C$70/Arkusz1!C$5)*(1+Arkusz1!C$92)</f>
        <v>1.5747730981753884E-2</v>
      </c>
      <c r="S21" s="52">
        <f>O21*Arkusz1!C$70/Arkusz1!C$5</f>
        <v>-1.3812982191567793E-2</v>
      </c>
      <c r="T21" s="53">
        <f t="shared" si="16"/>
        <v>9.3884914099684205E-2</v>
      </c>
      <c r="U21" s="48">
        <f t="shared" si="17"/>
        <v>5.9618058124350739</v>
      </c>
      <c r="V21" s="85">
        <f t="shared" si="18"/>
        <v>3.3369635702986926</v>
      </c>
      <c r="W21" s="56">
        <f t="shared" si="11"/>
        <v>-0.28046183120401774</v>
      </c>
      <c r="X21" s="26">
        <f t="shared" si="12"/>
        <v>8.8143770955050812E-3</v>
      </c>
      <c r="Y21" s="15">
        <f t="shared" si="13"/>
        <v>0.59618058124350737</v>
      </c>
      <c r="Z21" s="15">
        <f t="shared" si="14"/>
        <v>3.3369635702986927E-2</v>
      </c>
    </row>
    <row r="22" spans="1:26" x14ac:dyDescent="0.25">
      <c r="A22" s="15">
        <f t="shared" si="19"/>
        <v>-3.8743620885556433E-2</v>
      </c>
      <c r="B22" s="15">
        <v>0.133986371581365</v>
      </c>
      <c r="C22" s="15">
        <v>4.4177676782728098E-3</v>
      </c>
      <c r="D22" s="15">
        <f t="shared" si="2"/>
        <v>-6.7620374859740098E-4</v>
      </c>
      <c r="E22" s="1">
        <f>(Arkusz1!C$38-Arkusz1!C$36)*(1-ABS('projekty 2 i 3'!G22/Arkusz1!C$39))</f>
        <v>9.1917781535198409E-5</v>
      </c>
      <c r="F22" s="15">
        <f t="shared" si="3"/>
        <v>6.8314844366927675E-3</v>
      </c>
      <c r="G22" s="39">
        <f t="shared" si="4"/>
        <v>0.133986371581365</v>
      </c>
      <c r="H22" s="40">
        <f t="shared" si="5"/>
        <v>4.4177676782728098E-3</v>
      </c>
      <c r="I22" s="41">
        <f t="shared" si="6"/>
        <v>-3.8743620885556433E-2</v>
      </c>
      <c r="J22" s="49">
        <f>H22+E26</f>
        <v>4.8716907980983536E-3</v>
      </c>
      <c r="K22" s="50">
        <f>DEGREES(G22*(1+Arkusz1!C$49)/Arkusz1!C$23/PI())</f>
        <v>0.43015884691735862</v>
      </c>
      <c r="L22" s="48">
        <f t="shared" si="15"/>
        <v>0.39141522603180218</v>
      </c>
      <c r="M22" s="47">
        <f>G22^2*(1+Arkusz1!C$48)/Arkusz1!C$23/PI()</f>
        <v>9.9061482572756696E-4</v>
      </c>
      <c r="N22" s="51">
        <f>J22+M22+Arkusz1!C$41</f>
        <v>6.5876807081238706E-3</v>
      </c>
      <c r="O22" s="55">
        <f>Arkusz1!C$34/Arkusz1!C$80+(Arkusz1!C$71-Arkusz1!C$32)/Arkusz1!C$80*'projekty 2 i 3'!G22</f>
        <v>-6.1192740689630112E-2</v>
      </c>
      <c r="P22" s="52">
        <f>Arkusz1!C$75+Arkusz1!C$76+1/PI()/Arkusz1!C$79*'projekty 2 i 3'!O22^2</f>
        <v>8.5497840626214509E-3</v>
      </c>
      <c r="Q22" s="52">
        <f>Arkusz1!C$90*(1+1/Arkusz1!C$91*ABS('projekty 2 i 3'!G22))</f>
        <v>7.3339741342185894E-3</v>
      </c>
      <c r="R22" s="52">
        <f>(N22+Q22+P22*Arkusz1!C$70/Arkusz1!C$5)*(1+Arkusz1!C$92)</f>
        <v>1.6140964673517149E-2</v>
      </c>
      <c r="S22" s="52">
        <f>O22*Arkusz1!C$70/Arkusz1!C$5</f>
        <v>-1.3618915991736938E-2</v>
      </c>
      <c r="T22" s="53">
        <f t="shared" si="16"/>
        <v>0.12036745558962807</v>
      </c>
      <c r="U22" s="48">
        <f t="shared" si="17"/>
        <v>7.4572652889277249</v>
      </c>
      <c r="V22" s="85">
        <f t="shared" si="18"/>
        <v>6.6937311720911188</v>
      </c>
      <c r="W22" s="56">
        <f t="shared" si="11"/>
        <v>-3.8743620885556433E-2</v>
      </c>
      <c r="X22" s="26">
        <f t="shared" si="12"/>
        <v>1.4488324365121085E-2</v>
      </c>
      <c r="Y22" s="15">
        <f t="shared" si="13"/>
        <v>0.74572652889277247</v>
      </c>
      <c r="Z22" s="15">
        <f t="shared" si="14"/>
        <v>6.6937311720911191E-2</v>
      </c>
    </row>
    <row r="23" spans="1:26" x14ac:dyDescent="0.25">
      <c r="A23" s="15">
        <f t="shared" si="19"/>
        <v>0.23718213372354291</v>
      </c>
      <c r="B23" s="15">
        <v>0.16399514656108399</v>
      </c>
      <c r="C23" s="15">
        <v>4.3013543270583902E-3</v>
      </c>
      <c r="D23" s="15">
        <f t="shared" si="2"/>
        <v>4.1396091603813018E-3</v>
      </c>
      <c r="E23" s="1">
        <f>(Arkusz1!C$38-Arkusz1!C$36)*(1-ABS('projekty 2 i 3'!G23/Arkusz1!C$39))</f>
        <v>1.5891709805816585E-4</v>
      </c>
      <c r="F23" s="15">
        <f t="shared" si="3"/>
        <v>1.332878571431091E-2</v>
      </c>
      <c r="G23" s="39">
        <f t="shared" si="4"/>
        <v>0.16399514656108399</v>
      </c>
      <c r="H23" s="40">
        <f t="shared" si="5"/>
        <v>4.3013543270583902E-3</v>
      </c>
      <c r="I23" s="41">
        <f t="shared" si="6"/>
        <v>0.23718213372354291</v>
      </c>
      <c r="J23" s="42">
        <f t="shared" ref="J23:J37" si="20">H23+E23</f>
        <v>4.4602714251165557E-3</v>
      </c>
      <c r="K23" s="43">
        <f>DEGREES(G23*(1+Arkusz1!C$49)/Arkusz1!C$23/PI())</f>
        <v>0.52650103374073642</v>
      </c>
      <c r="L23" s="41">
        <f t="shared" ref="L23:L37" si="21">I23+K23</f>
        <v>0.76368316746427933</v>
      </c>
      <c r="M23" s="40">
        <f>G23^2*(1+Arkusz1!C$48)/Arkusz1!C$23/PI()</f>
        <v>1.484039844296286E-3</v>
      </c>
      <c r="N23" s="44">
        <f>J23+M23+Arkusz1!C$41</f>
        <v>6.6696863537107909E-3</v>
      </c>
      <c r="O23" s="54">
        <f>Arkusz1!C$34/Arkusz1!C$80+(Arkusz1!C$71-Arkusz1!C$32)/Arkusz1!C$80*'projekty 2 i 3'!G23</f>
        <v>-6.0197357884186738E-2</v>
      </c>
      <c r="P23" s="45">
        <f>Arkusz1!C$75+Arkusz1!C$76+1/PI()/Arkusz1!C$79*'projekty 2 i 3'!O23^2</f>
        <v>8.5352703790010798E-3</v>
      </c>
      <c r="Q23" s="45">
        <f>Arkusz1!C$90*(1+1/Arkusz1!C$91*ABS('projekty 2 i 3'!G23))</f>
        <v>7.369853506321614E-3</v>
      </c>
      <c r="R23" s="45">
        <f>(N23+Q23+P23*Arkusz1!C$70/Arkusz1!C$5)*(1+Arkusz1!C$92)</f>
        <v>1.625791265678609E-2</v>
      </c>
      <c r="S23" s="45">
        <f>O23*Arkusz1!C$70/Arkusz1!C$5</f>
        <v>-1.3397385877965616E-2</v>
      </c>
      <c r="T23" s="46">
        <f t="shared" ref="T23:T37" si="22">G23+S23</f>
        <v>0.15059776068311836</v>
      </c>
      <c r="U23" s="41">
        <f t="shared" ref="U23:U37" si="23">T23/R23</f>
        <v>9.2630440243052057</v>
      </c>
      <c r="V23" s="84">
        <f t="shared" ref="V23:V37" si="24">T23^3/R23^2</f>
        <v>12.921887937878969</v>
      </c>
      <c r="W23" s="56">
        <f t="shared" si="11"/>
        <v>0.23718213372354291</v>
      </c>
      <c r="X23" s="26">
        <f t="shared" si="12"/>
        <v>2.2679685522769791E-2</v>
      </c>
      <c r="Y23" s="15">
        <f t="shared" si="13"/>
        <v>0.92630440243052059</v>
      </c>
      <c r="Z23" s="15">
        <f t="shared" si="14"/>
        <v>0.1292188793787897</v>
      </c>
    </row>
    <row r="24" spans="1:26" x14ac:dyDescent="0.25">
      <c r="A24" s="15">
        <f t="shared" si="19"/>
        <v>0.68777025024036487</v>
      </c>
      <c r="B24" s="15">
        <v>0.21299962392944199</v>
      </c>
      <c r="C24" s="15">
        <v>4.2965499665320803E-3</v>
      </c>
      <c r="D24" s="15">
        <f t="shared" si="2"/>
        <v>1.2003855363959688E-2</v>
      </c>
      <c r="E24" s="1">
        <f>(Arkusz1!C$38-Arkusz1!C$36)*(1-ABS('projekty 2 i 3'!G24/Arkusz1!C$39))</f>
        <v>2.6832731198606394E-4</v>
      </c>
      <c r="F24" s="15">
        <f t="shared" ref="F24:F37" si="25">RADIANS(L24)</f>
        <v>2.3938910707071392E-2</v>
      </c>
      <c r="G24" s="39">
        <f t="shared" si="4"/>
        <v>0.21299962392944199</v>
      </c>
      <c r="H24" s="40">
        <f t="shared" si="5"/>
        <v>4.2965499665320803E-3</v>
      </c>
      <c r="I24" s="41">
        <f t="shared" si="6"/>
        <v>0.68777025024036487</v>
      </c>
      <c r="J24" s="49">
        <f t="shared" si="20"/>
        <v>4.5648772785181445E-3</v>
      </c>
      <c r="K24" s="50">
        <f>DEGREES(G24*(1+Arkusz1!C$49)/Arkusz1!C$23/PI())</f>
        <v>0.68382829941536316</v>
      </c>
      <c r="L24" s="48">
        <f t="shared" si="21"/>
        <v>1.3715985496557281</v>
      </c>
      <c r="M24" s="47">
        <f>G24^2*(1+Arkusz1!C$48)/Arkusz1!C$23/PI()</f>
        <v>2.5034633855709168E-3</v>
      </c>
      <c r="N24" s="51">
        <f>J24+M24+Arkusz1!C$41</f>
        <v>7.79371574838701E-3</v>
      </c>
      <c r="O24" s="55">
        <f>Arkusz1!C$34/Arkusz1!C$80+(Arkusz1!C$71-Arkusz1!C$32)/Arkusz1!C$80*'projekty 2 i 3'!G24</f>
        <v>-5.857189285953416E-2</v>
      </c>
      <c r="P24" s="52">
        <f>Arkusz1!C$75+Arkusz1!C$76+1/PI()/Arkusz1!C$79*'projekty 2 i 3'!O24^2</f>
        <v>8.5120811718989078E-3</v>
      </c>
      <c r="Q24" s="52">
        <f>Arkusz1!C$90*(1+1/Arkusz1!C$91*ABS('projekty 2 i 3'!G24))</f>
        <v>7.4284446977115259E-3</v>
      </c>
      <c r="R24" s="52">
        <f>(N24+Q24+P24*Arkusz1!C$70/Arkusz1!C$5)*(1+Arkusz1!C$92)</f>
        <v>1.7458921499102192E-2</v>
      </c>
      <c r="S24" s="52">
        <f>O24*Arkusz1!C$70/Arkusz1!C$5</f>
        <v>-1.3035626110895706E-2</v>
      </c>
      <c r="T24" s="53">
        <f t="shared" si="22"/>
        <v>0.19996399781854629</v>
      </c>
      <c r="U24" s="48">
        <f t="shared" si="23"/>
        <v>11.453399216488215</v>
      </c>
      <c r="V24" s="85">
        <f t="shared" si="24"/>
        <v>26.23134794355666</v>
      </c>
      <c r="W24" s="56">
        <f t="shared" si="11"/>
        <v>0.68777025024036487</v>
      </c>
      <c r="X24" s="26">
        <f t="shared" si="12"/>
        <v>3.9985600423575587E-2</v>
      </c>
      <c r="Y24" s="15">
        <f t="shared" si="13"/>
        <v>1.1453399216488216</v>
      </c>
      <c r="Z24" s="15">
        <f t="shared" si="14"/>
        <v>0.2623134794355666</v>
      </c>
    </row>
    <row r="25" spans="1:26" x14ac:dyDescent="0.25">
      <c r="A25" s="15">
        <f t="shared" si="19"/>
        <v>1.1036977424097332</v>
      </c>
      <c r="B25" s="15">
        <v>0.25823452611561798</v>
      </c>
      <c r="C25" s="15">
        <v>4.2921151722000997E-3</v>
      </c>
      <c r="D25" s="15">
        <f t="shared" ref="D25:D40" si="26">RADIANS(A25)</f>
        <v>1.9263159551878097E-2</v>
      </c>
      <c r="E25" s="1">
        <f>(Arkusz1!C$38-Arkusz1!C$36)*(1-ABS('projekty 2 i 3'!G25/Arkusz1!C$39))</f>
        <v>3.6932135561181466E-4</v>
      </c>
      <c r="F25" s="15">
        <f t="shared" si="25"/>
        <v>3.3732872238850159E-2</v>
      </c>
      <c r="G25" s="39">
        <f t="shared" si="4"/>
        <v>0.25823452611561798</v>
      </c>
      <c r="H25" s="40">
        <f t="shared" si="5"/>
        <v>4.2921151722000997E-3</v>
      </c>
      <c r="I25" s="41">
        <f t="shared" si="6"/>
        <v>1.1036977424097332</v>
      </c>
      <c r="J25" s="49">
        <f t="shared" si="20"/>
        <v>4.6614365278119145E-3</v>
      </c>
      <c r="K25" s="50">
        <f>DEGREES(G25*(1+Arkusz1!C$49)/Arkusz1!C$23/PI())</f>
        <v>0.82905346773040112</v>
      </c>
      <c r="L25" s="48">
        <f t="shared" si="21"/>
        <v>1.9327512101401343</v>
      </c>
      <c r="M25" s="47">
        <f>G25^2*(1+Arkusz1!C$48)/Arkusz1!C$23/PI()</f>
        <v>3.6796980717160458E-3</v>
      </c>
      <c r="N25" s="51">
        <f>J25+M25+Arkusz1!C$41</f>
        <v>9.0665096838259095E-3</v>
      </c>
      <c r="O25" s="55">
        <f>Arkusz1!C$34/Arkusz1!C$80+(Arkusz1!C$71-Arkusz1!C$32)/Arkusz1!C$80*'projekty 2 i 3'!G25</f>
        <v>-5.7071463606008725E-2</v>
      </c>
      <c r="P25" s="52">
        <f>Arkusz1!C$75+Arkusz1!C$76+1/PI()/Arkusz1!C$79*'projekty 2 i 3'!O25^2</f>
        <v>8.4912391204061514E-3</v>
      </c>
      <c r="Q25" s="52">
        <f>Arkusz1!C$90*(1+1/Arkusz1!C$91*ABS('projekty 2 i 3'!G25))</f>
        <v>7.4825288743791364E-3</v>
      </c>
      <c r="R25" s="52">
        <f>(N25+Q25+P25*Arkusz1!C$70/Arkusz1!C$5)*(1+Arkusz1!C$92)</f>
        <v>1.8807605843098898E-2</v>
      </c>
      <c r="S25" s="52">
        <f>O25*Arkusz1!C$70/Arkusz1!C$5</f>
        <v>-1.2701694018215793E-2</v>
      </c>
      <c r="T25" s="53">
        <f t="shared" si="22"/>
        <v>0.24553283209740218</v>
      </c>
      <c r="U25" s="48">
        <f t="shared" si="23"/>
        <v>13.054975425673113</v>
      </c>
      <c r="V25" s="85">
        <f t="shared" si="24"/>
        <v>41.846745768701169</v>
      </c>
      <c r="W25" s="56">
        <f t="shared" si="11"/>
        <v>1.1036977424097332</v>
      </c>
      <c r="X25" s="26">
        <f t="shared" si="12"/>
        <v>6.0286371637771091E-2</v>
      </c>
      <c r="Y25" s="15">
        <f t="shared" si="13"/>
        <v>1.3054975425673114</v>
      </c>
      <c r="Z25" s="15">
        <f t="shared" si="14"/>
        <v>0.41846745768701171</v>
      </c>
    </row>
    <row r="26" spans="1:26" x14ac:dyDescent="0.25">
      <c r="A26" s="15">
        <f t="shared" si="19"/>
        <v>1.4521163061115296</v>
      </c>
      <c r="B26" s="15">
        <v>0.29612737990774202</v>
      </c>
      <c r="C26" s="15">
        <v>4.4396952724698102E-3</v>
      </c>
      <c r="D26" s="15">
        <f t="shared" si="26"/>
        <v>2.5344210663544049E-2</v>
      </c>
      <c r="E26" s="1">
        <f>(Arkusz1!C$38-Arkusz1!C$36)*(1-ABS('projekty 2 i 3'!G26/Arkusz1!C$39))</f>
        <v>4.5392311982554398E-4</v>
      </c>
      <c r="F26" s="15">
        <f t="shared" si="25"/>
        <v>4.193718206231202E-2</v>
      </c>
      <c r="G26" s="39">
        <f t="shared" si="4"/>
        <v>0.29612737990774202</v>
      </c>
      <c r="H26" s="40">
        <f t="shared" si="5"/>
        <v>4.4396952724698102E-3</v>
      </c>
      <c r="I26" s="41">
        <f t="shared" ref="I26:I37" si="27">A26</f>
        <v>1.4521163061115296</v>
      </c>
      <c r="J26" s="49">
        <f t="shared" si="20"/>
        <v>4.8936183922953539E-3</v>
      </c>
      <c r="K26" s="50">
        <f>DEGREES(G26*(1+Arkusz1!C$49)/Arkusz1!C$23/PI())</f>
        <v>0.95070723073069108</v>
      </c>
      <c r="L26" s="48">
        <f t="shared" si="21"/>
        <v>2.4028235368422206</v>
      </c>
      <c r="M26" s="47">
        <f>G26^2*(1+Arkusz1!C$48)/Arkusz1!C$23/PI()</f>
        <v>4.8388337246543433E-3</v>
      </c>
      <c r="N26" s="51">
        <f>J26+M26+Arkusz1!C$41</f>
        <v>1.0457827201247646E-2</v>
      </c>
      <c r="O26" s="55">
        <f>Arkusz1!C$34/Arkusz1!C$80+(Arkusz1!C$71-Arkusz1!C$32)/Arkusz1!C$80*'projekty 2 i 3'!G26</f>
        <v>-5.5814568076639356E-2</v>
      </c>
      <c r="P26" s="52">
        <f>Arkusz1!C$75+Arkusz1!C$76+1/PI()/Arkusz1!C$79*'projekty 2 i 3'!O26^2</f>
        <v>8.4741962146951764E-3</v>
      </c>
      <c r="Q26" s="52">
        <f>Arkusz1!C$90*(1+1/Arkusz1!C$91*ABS('projekty 2 i 3'!G26))</f>
        <v>7.5278346825026592E-3</v>
      </c>
      <c r="R26" s="52">
        <f>(N26+Q26+P26*Arkusz1!C$70/Arkusz1!C$5)*(1+Arkusz1!C$92)</f>
        <v>2.0269092744556485E-2</v>
      </c>
      <c r="S26" s="52">
        <f>O26*Arkusz1!C$70/Arkusz1!C$5</f>
        <v>-1.2421962232517689E-2</v>
      </c>
      <c r="T26" s="53">
        <f t="shared" si="22"/>
        <v>0.28370541767522434</v>
      </c>
      <c r="U26" s="48">
        <f t="shared" si="23"/>
        <v>13.996947039053682</v>
      </c>
      <c r="V26" s="85">
        <f t="shared" si="24"/>
        <v>55.582012544948526</v>
      </c>
      <c r="W26" s="56">
        <f t="shared" si="11"/>
        <v>1.4521163061115296</v>
      </c>
      <c r="X26" s="26">
        <f t="shared" si="12"/>
        <v>8.0488764018273498E-2</v>
      </c>
      <c r="Y26" s="15">
        <f t="shared" si="13"/>
        <v>1.3996947039053682</v>
      </c>
      <c r="Z26" s="15">
        <f t="shared" si="14"/>
        <v>0.55582012544948523</v>
      </c>
    </row>
    <row r="27" spans="1:26" x14ac:dyDescent="0.25">
      <c r="A27" s="15">
        <f t="shared" si="19"/>
        <v>2.3623541402817549</v>
      </c>
      <c r="B27" s="15">
        <v>0.39512184449600801</v>
      </c>
      <c r="C27" s="15">
        <v>5.1864653624823396E-3</v>
      </c>
      <c r="D27" s="15">
        <f t="shared" si="26"/>
        <v>4.1230857846036625E-2</v>
      </c>
      <c r="E27" s="1">
        <f>(Arkusz1!C$38-Arkusz1!C$36)*(1-ABS('projekty 2 i 3'!G27/Arkusz1!C$39))</f>
        <v>6.7494385364268411E-4</v>
      </c>
      <c r="F27" s="15">
        <f t="shared" si="25"/>
        <v>6.3370808116063312E-2</v>
      </c>
      <c r="G27" s="39">
        <f t="shared" si="4"/>
        <v>0.39512184449600801</v>
      </c>
      <c r="H27" s="40">
        <f t="shared" si="5"/>
        <v>5.1864653624823396E-3</v>
      </c>
      <c r="I27" s="41">
        <f t="shared" si="27"/>
        <v>2.3623541402817549</v>
      </c>
      <c r="J27" s="49">
        <f t="shared" si="20"/>
        <v>5.8614092161250238E-3</v>
      </c>
      <c r="K27" s="50">
        <f>DEGREES(G27*(1+Arkusz1!C$49)/Arkusz1!C$23/PI())</f>
        <v>1.2685257091020563</v>
      </c>
      <c r="L27" s="48">
        <f t="shared" si="21"/>
        <v>3.6308798493838115</v>
      </c>
      <c r="M27" s="47">
        <f>G27^2*(1+Arkusz1!C$48)/Arkusz1!C$23/PI()</f>
        <v>8.6148089730638706E-3</v>
      </c>
      <c r="N27" s="51">
        <f>J27+M27+Arkusz1!C$41</f>
        <v>1.5201593273486844E-2</v>
      </c>
      <c r="O27" s="55">
        <f>Arkusz1!C$34/Arkusz1!C$80+(Arkusz1!C$71-Arkusz1!C$32)/Arkusz1!C$80*'projekty 2 i 3'!G27</f>
        <v>-5.2530948936843479E-2</v>
      </c>
      <c r="P27" s="52">
        <f>Arkusz1!C$75+Arkusz1!C$76+1/PI()/Arkusz1!C$79*'projekty 2 i 3'!O27^2</f>
        <v>8.4314627625291308E-3</v>
      </c>
      <c r="Q27" s="52">
        <f>Arkusz1!C$90*(1+1/Arkusz1!C$91*ABS('projekty 2 i 3'!G27))</f>
        <v>7.6461953697850443E-3</v>
      </c>
      <c r="R27" s="52">
        <f>(N27+Q27+P27*Arkusz1!C$70/Arkusz1!C$5)*(1+Arkusz1!C$92)</f>
        <v>2.5218761167003289E-2</v>
      </c>
      <c r="S27" s="52">
        <f>O27*Arkusz1!C$70/Arkusz1!C$5</f>
        <v>-1.1691167489387025E-2</v>
      </c>
      <c r="T27" s="53">
        <f t="shared" si="22"/>
        <v>0.38343067700662098</v>
      </c>
      <c r="U27" s="48">
        <f t="shared" si="23"/>
        <v>15.204183681643689</v>
      </c>
      <c r="V27" s="85">
        <f t="shared" si="24"/>
        <v>88.63659654417512</v>
      </c>
      <c r="W27" s="56">
        <f t="shared" si="11"/>
        <v>2.3623541402817549</v>
      </c>
      <c r="X27" s="26">
        <f t="shared" si="12"/>
        <v>0.1470190840697557</v>
      </c>
      <c r="Y27" s="15">
        <f t="shared" si="13"/>
        <v>1.520418368164369</v>
      </c>
      <c r="Z27" s="15">
        <f t="shared" si="14"/>
        <v>0.88636596544175117</v>
      </c>
    </row>
    <row r="28" spans="1:26" x14ac:dyDescent="0.25">
      <c r="A28" s="15">
        <v>3.3541702184084401</v>
      </c>
      <c r="B28" s="15">
        <v>0.50195345797579005</v>
      </c>
      <c r="C28" s="15">
        <v>5.9162595354418498E-3</v>
      </c>
      <c r="D28" s="15">
        <f t="shared" si="26"/>
        <v>5.8541313983564595E-2</v>
      </c>
      <c r="E28" s="1">
        <f>(Arkusz1!C$38-Arkusz1!C$36)*(1-ABS('projekty 2 i 3'!G28/Arkusz1!C$39))</f>
        <v>9.1346225671074086E-4</v>
      </c>
      <c r="F28" s="15">
        <f t="shared" si="25"/>
        <v>8.6667383833302303E-2</v>
      </c>
      <c r="G28" s="39">
        <f t="shared" ref="G28:G37" si="28">B28</f>
        <v>0.50195345797579005</v>
      </c>
      <c r="H28" s="40">
        <f t="shared" ref="H28:H37" si="29">C28</f>
        <v>5.9162595354418498E-3</v>
      </c>
      <c r="I28" s="41">
        <f t="shared" si="27"/>
        <v>3.3541702184084401</v>
      </c>
      <c r="J28" s="49">
        <f t="shared" si="20"/>
        <v>6.8297217921525905E-3</v>
      </c>
      <c r="K28" s="50">
        <f>DEGREES(G28*(1+Arkusz1!C$49)/Arkusz1!C$23/PI())</f>
        <v>1.6115050966801239</v>
      </c>
      <c r="L28" s="48">
        <f t="shared" si="21"/>
        <v>4.9656753150885642</v>
      </c>
      <c r="M28" s="47">
        <f>G28^2*(1+Arkusz1!C$48)/Arkusz1!C$23/PI()</f>
        <v>1.3903062387856255E-2</v>
      </c>
      <c r="N28" s="51">
        <f>J28+M28+Arkusz1!C$41</f>
        <v>2.1458159264306796E-2</v>
      </c>
      <c r="O28" s="55">
        <f>Arkusz1!C$34/Arkusz1!C$80+(Arkusz1!C$71-Arkusz1!C$32)/Arkusz1!C$80*'projekty 2 i 3'!G28</f>
        <v>-4.8987373725678907E-2</v>
      </c>
      <c r="P28" s="52">
        <f>Arkusz1!C$75+Arkusz1!C$76+1/PI()/Arkusz1!C$79*'projekty 2 i 3'!O28^2</f>
        <v>8.3882521580433255E-3</v>
      </c>
      <c r="Q28" s="52">
        <f>Arkusz1!C$90*(1+1/Arkusz1!C$91*ABS('projekty 2 i 3'!G28))</f>
        <v>7.7739263822971527E-3</v>
      </c>
      <c r="R28" s="52">
        <f>(N28+Q28+P28*Arkusz1!C$70/Arkusz1!C$5)*(1+Arkusz1!C$92)</f>
        <v>3.1720934920332573E-2</v>
      </c>
      <c r="S28" s="52">
        <f>O28*Arkusz1!C$70/Arkusz1!C$5</f>
        <v>-1.0902517519351774E-2</v>
      </c>
      <c r="T28" s="53">
        <f t="shared" si="22"/>
        <v>0.49105094045643827</v>
      </c>
      <c r="U28" s="48">
        <f t="shared" si="23"/>
        <v>15.48034260937508</v>
      </c>
      <c r="V28" s="85">
        <f t="shared" si="24"/>
        <v>117.67594200837752</v>
      </c>
      <c r="W28" s="56">
        <f t="shared" si="11"/>
        <v>3.3541702184084401</v>
      </c>
      <c r="X28" s="26">
        <f t="shared" si="12"/>
        <v>0.24113102612315249</v>
      </c>
      <c r="Y28" s="15">
        <f t="shared" si="13"/>
        <v>1.548034260937508</v>
      </c>
      <c r="Z28" s="15">
        <f t="shared" si="14"/>
        <v>1.1767594200837752</v>
      </c>
    </row>
    <row r="29" spans="1:26" x14ac:dyDescent="0.25">
      <c r="A29" s="15">
        <v>4.5731279953022401</v>
      </c>
      <c r="B29" s="15">
        <v>0.620723702903903</v>
      </c>
      <c r="C29" s="15">
        <v>6.8303762749635797E-3</v>
      </c>
      <c r="D29" s="15">
        <f t="shared" si="26"/>
        <v>7.9816140633151872E-2</v>
      </c>
      <c r="E29" s="1">
        <f>(Arkusz1!C$38-Arkusz1!C$36)*(1-ABS('projekty 2 i 3'!G29/Arkusz1!C$39))</f>
        <v>1.1786355348211265E-3</v>
      </c>
      <c r="F29" s="15">
        <f t="shared" si="25"/>
        <v>0.11459729005618276</v>
      </c>
      <c r="G29" s="39">
        <f t="shared" si="28"/>
        <v>0.620723702903903</v>
      </c>
      <c r="H29" s="40">
        <f t="shared" si="29"/>
        <v>6.8303762749635797E-3</v>
      </c>
      <c r="I29" s="41">
        <f t="shared" si="27"/>
        <v>4.5731279953022401</v>
      </c>
      <c r="J29" s="49">
        <f t="shared" si="20"/>
        <v>8.0090118097847062E-3</v>
      </c>
      <c r="K29" s="50">
        <f>DEGREES(G29*(1+Arkusz1!C$49)/Arkusz1!C$23/PI())</f>
        <v>1.9928130685535486</v>
      </c>
      <c r="L29" s="48">
        <f t="shared" si="21"/>
        <v>6.5659410638557887</v>
      </c>
      <c r="M29" s="47">
        <f>G29^2*(1+Arkusz1!C$48)/Arkusz1!C$23/PI()</f>
        <v>2.1260830737248285E-2</v>
      </c>
      <c r="N29" s="51">
        <f>J29+M29+Arkusz1!C$41</f>
        <v>2.9995217631330943E-2</v>
      </c>
      <c r="O29" s="55">
        <f>Arkusz1!C$34/Arkusz1!C$80+(Arkusz1!C$71-Arkusz1!C$32)/Arkusz1!C$80*'projekty 2 i 3'!G29</f>
        <v>-4.5047797395767392E-2</v>
      </c>
      <c r="P29" s="52">
        <f>Arkusz1!C$75+Arkusz1!C$76+1/PI()/Arkusz1!C$79*'projekty 2 i 3'!O29^2</f>
        <v>8.3437537891527108E-3</v>
      </c>
      <c r="Q29" s="52">
        <f>Arkusz1!C$90*(1+1/Arkusz1!C$91*ABS('projekty 2 i 3'!G29))</f>
        <v>7.9159315729596513E-3</v>
      </c>
      <c r="R29" s="52">
        <f>(N29+Q29+P29*Arkusz1!C$70/Arkusz1!C$5)*(1+Arkusz1!C$92)</f>
        <v>4.05634782251739E-2</v>
      </c>
      <c r="S29" s="52">
        <f>O29*Arkusz1!C$70/Arkusz1!C$5</f>
        <v>-1.0025734448754767E-2</v>
      </c>
      <c r="T29" s="53">
        <f t="shared" si="22"/>
        <v>0.61069796845514823</v>
      </c>
      <c r="U29" s="48">
        <f t="shared" si="23"/>
        <v>15.055364953297964</v>
      </c>
      <c r="V29" s="85">
        <f t="shared" si="24"/>
        <v>138.42325279656893</v>
      </c>
      <c r="W29" s="56">
        <f t="shared" si="11"/>
        <v>4.5731279953022401</v>
      </c>
      <c r="X29" s="26">
        <f t="shared" si="12"/>
        <v>0.37295200867524525</v>
      </c>
      <c r="Y29" s="15">
        <f t="shared" si="13"/>
        <v>1.5055364953297965</v>
      </c>
      <c r="Z29" s="15">
        <f t="shared" si="14"/>
        <v>1.3842325279656893</v>
      </c>
    </row>
    <row r="30" spans="1:26" x14ac:dyDescent="0.25">
      <c r="A30" s="15">
        <v>6.1311587202364102</v>
      </c>
      <c r="B30" s="15">
        <v>0.80992498721372896</v>
      </c>
      <c r="C30" s="15">
        <v>8.0016285248992892E-3</v>
      </c>
      <c r="D30" s="15">
        <f t="shared" si="26"/>
        <v>0.10700890663048725</v>
      </c>
      <c r="E30" s="1">
        <f>(Arkusz1!C$38-Arkusz1!C$36)*(1-ABS('projekty 2 i 3'!G30/Arkusz1!C$39))</f>
        <v>1.601057201236804E-3</v>
      </c>
      <c r="F30" s="15">
        <f t="shared" si="25"/>
        <v>0.1523916137350172</v>
      </c>
      <c r="G30" s="39">
        <f t="shared" si="28"/>
        <v>0.80992498721372896</v>
      </c>
      <c r="H30" s="40">
        <f t="shared" si="29"/>
        <v>8.0016285248992892E-3</v>
      </c>
      <c r="I30" s="41">
        <f t="shared" si="27"/>
        <v>6.1311587202364102</v>
      </c>
      <c r="J30" s="49">
        <f t="shared" si="20"/>
        <v>9.6026857261360937E-3</v>
      </c>
      <c r="K30" s="50">
        <f>DEGREES(G30*(1+Arkusz1!C$49)/Arkusz1!C$23/PI())</f>
        <v>2.600237579967942</v>
      </c>
      <c r="L30" s="48">
        <f t="shared" si="21"/>
        <v>8.7313963002043522</v>
      </c>
      <c r="M30" s="47">
        <f>G30^2*(1+Arkusz1!C$48)/Arkusz1!C$23/PI()</f>
        <v>3.6197049035327757E-2</v>
      </c>
      <c r="N30" s="51">
        <f>J30+M30+Arkusz1!C$41</f>
        <v>4.6525109845761803E-2</v>
      </c>
      <c r="O30" s="55">
        <f>Arkusz1!C$34/Arkusz1!C$80+(Arkusz1!C$71-Arkusz1!C$32)/Arkusz1!C$80*'projekty 2 i 3'!G30</f>
        <v>-3.8772042877394594E-2</v>
      </c>
      <c r="P30" s="52">
        <f>Arkusz1!C$75+Arkusz1!C$76+1/PI()/Arkusz1!C$79*'projekty 2 i 3'!O30^2</f>
        <v>8.2805683468811422E-3</v>
      </c>
      <c r="Q30" s="52">
        <f>Arkusz1!C$90*(1+1/Arkusz1!C$91*ABS('projekty 2 i 3'!G30))</f>
        <v>8.1421461814103497E-3</v>
      </c>
      <c r="R30" s="52">
        <f>(N30+Q30+P30*Arkusz1!C$70/Arkusz1!C$5)*(1+Arkusz1!C$92)</f>
        <v>5.7640363529286837E-2</v>
      </c>
      <c r="S30" s="52">
        <f>O30*Arkusz1!C$70/Arkusz1!C$5</f>
        <v>-8.6290169197265811E-3</v>
      </c>
      <c r="T30" s="53">
        <f t="shared" si="22"/>
        <v>0.80129597029400235</v>
      </c>
      <c r="U30" s="48">
        <f t="shared" si="23"/>
        <v>13.901646714751671</v>
      </c>
      <c r="V30" s="85">
        <f t="shared" si="24"/>
        <v>154.85507885722768</v>
      </c>
      <c r="W30" s="56">
        <f t="shared" si="11"/>
        <v>6.1311587202364102</v>
      </c>
      <c r="X30" s="26">
        <f t="shared" si="12"/>
        <v>0.64207523200940664</v>
      </c>
      <c r="Y30" s="15">
        <f t="shared" si="13"/>
        <v>1.390164671475167</v>
      </c>
      <c r="Z30" s="15">
        <f t="shared" si="14"/>
        <v>1.5485507885722769</v>
      </c>
    </row>
    <row r="31" spans="1:26" x14ac:dyDescent="0.25">
      <c r="A31" s="15">
        <v>7.0167263359284799</v>
      </c>
      <c r="B31" s="15">
        <v>0.89086918224697298</v>
      </c>
      <c r="C31" s="15">
        <v>8.7188223193623102E-3</v>
      </c>
      <c r="D31" s="15">
        <f t="shared" si="26"/>
        <v>0.12246497727334966</v>
      </c>
      <c r="E31" s="1">
        <f>(Arkusz1!C$38-Arkusz1!C$36)*(1-ABS('projekty 2 i 3'!G31/Arkusz1!C$39))</f>
        <v>1.7817778653556929E-3</v>
      </c>
      <c r="F31" s="15">
        <f t="shared" si="25"/>
        <v>0.17238324847702285</v>
      </c>
      <c r="G31" s="39">
        <f t="shared" si="28"/>
        <v>0.89086918224697298</v>
      </c>
      <c r="H31" s="40">
        <f t="shared" si="29"/>
        <v>8.7188223193623102E-3</v>
      </c>
      <c r="I31" s="41">
        <f t="shared" si="27"/>
        <v>7.0167263359284799</v>
      </c>
      <c r="J31" s="49">
        <f t="shared" si="20"/>
        <v>1.0500600184718004E-2</v>
      </c>
      <c r="K31" s="50">
        <f>DEGREES(G31*(1+Arkusz1!C$49)/Arkusz1!C$23/PI())</f>
        <v>2.8601062605599066</v>
      </c>
      <c r="L31" s="48">
        <f t="shared" si="21"/>
        <v>9.8768325964883861</v>
      </c>
      <c r="M31" s="47">
        <f>G31^2*(1+Arkusz1!C$48)/Arkusz1!C$23/PI()</f>
        <v>4.3793680142497175E-2</v>
      </c>
      <c r="N31" s="51">
        <f>J31+M31+Arkusz1!C$41</f>
        <v>5.501965541151313E-2</v>
      </c>
      <c r="O31" s="55">
        <f>Arkusz1!C$34/Arkusz1!C$80+(Arkusz1!C$71-Arkusz1!C$32)/Arkusz1!C$80*'projekty 2 i 3'!G31</f>
        <v>-3.6087146209969861E-2</v>
      </c>
      <c r="P31" s="52">
        <f>Arkusz1!C$75+Arkusz1!C$76+1/PI()/Arkusz1!C$79*'projekty 2 i 3'!O31^2</f>
        <v>8.2564261410940504E-3</v>
      </c>
      <c r="Q31" s="52">
        <f>Arkusz1!C$90*(1+1/Arkusz1!C$91*ABS('projekty 2 i 3'!G31))</f>
        <v>8.2389254366495371E-3</v>
      </c>
      <c r="R31" s="52">
        <f>(N31+Q31+P31*Arkusz1!C$70/Arkusz1!C$5)*(1+Arkusz1!C$92)</f>
        <v>6.6398034352080651E-2</v>
      </c>
      <c r="S31" s="52">
        <f>O31*Arkusz1!C$70/Arkusz1!C$5</f>
        <v>-8.0314724765774888E-3</v>
      </c>
      <c r="T31" s="53">
        <f t="shared" si="22"/>
        <v>0.88283770977039544</v>
      </c>
      <c r="U31" s="48">
        <f t="shared" si="23"/>
        <v>13.296142248565387</v>
      </c>
      <c r="V31" s="85">
        <f t="shared" si="24"/>
        <v>156.07458217935218</v>
      </c>
      <c r="W31" s="56">
        <f t="shared" si="11"/>
        <v>7.0167263359284799</v>
      </c>
      <c r="X31" s="26">
        <f t="shared" si="12"/>
        <v>0.77940242179263697</v>
      </c>
      <c r="Y31" s="15">
        <f t="shared" si="13"/>
        <v>1.3296142248565386</v>
      </c>
      <c r="Z31" s="15">
        <f t="shared" si="14"/>
        <v>1.5607458217935217</v>
      </c>
    </row>
    <row r="32" spans="1:26" x14ac:dyDescent="0.25">
      <c r="A32" s="15">
        <v>8.0168968195336401</v>
      </c>
      <c r="B32" s="15">
        <v>1.0043473319315701</v>
      </c>
      <c r="C32" s="15">
        <v>9.2386646095825899E-3</v>
      </c>
      <c r="D32" s="15">
        <f t="shared" si="26"/>
        <v>0.13992124529352368</v>
      </c>
      <c r="E32" s="1">
        <f>(Arkusz1!C$38-Arkusz1!C$36)*(1-ABS('projekty 2 i 3'!G32/Arkusz1!C$39))</f>
        <v>2.0351357073301606E-3</v>
      </c>
      <c r="F32" s="15">
        <f t="shared" si="25"/>
        <v>0.19619806291964609</v>
      </c>
      <c r="G32" s="39">
        <f t="shared" si="28"/>
        <v>1.0043473319315701</v>
      </c>
      <c r="H32" s="40">
        <f t="shared" si="29"/>
        <v>9.2386646095825899E-3</v>
      </c>
      <c r="I32" s="41">
        <f t="shared" si="27"/>
        <v>8.0168968195336401</v>
      </c>
      <c r="J32" s="49">
        <f t="shared" si="20"/>
        <v>1.127380031691275E-2</v>
      </c>
      <c r="K32" s="50">
        <f>DEGREES(G32*(1+Arkusz1!C$49)/Arkusz1!C$23/PI())</f>
        <v>3.2244241344042548</v>
      </c>
      <c r="L32" s="48">
        <f t="shared" si="21"/>
        <v>11.241320953937894</v>
      </c>
      <c r="M32" s="47">
        <f>G32^2*(1+Arkusz1!C$48)/Arkusz1!C$23/PI()</f>
        <v>5.5661054665636277E-2</v>
      </c>
      <c r="N32" s="51">
        <f>J32+M32+Arkusz1!C$41</f>
        <v>6.7660230066846974E-2</v>
      </c>
      <c r="O32" s="55">
        <f>Arkusz1!C$34/Arkusz1!C$80+(Arkusz1!C$71-Arkusz1!C$32)/Arkusz1!C$80*'projekty 2 i 3'!G32</f>
        <v>-3.232310722250982E-2</v>
      </c>
      <c r="P32" s="52">
        <f>Arkusz1!C$75+Arkusz1!C$76+1/PI()/Arkusz1!C$79*'projekty 2 i 3'!O32^2</f>
        <v>8.2254961663178004E-3</v>
      </c>
      <c r="Q32" s="52">
        <f>Arkusz1!C$90*(1+1/Arkusz1!C$91*ABS('projekty 2 i 3'!G32))</f>
        <v>8.3746032429194671E-3</v>
      </c>
      <c r="R32" s="52">
        <f>(N32+Q32+P32*Arkusz1!C$70/Arkusz1!C$5)*(1+Arkusz1!C$92)</f>
        <v>7.9422790484599007E-2</v>
      </c>
      <c r="S32" s="52">
        <f>O32*Arkusz1!C$70/Arkusz1!C$5</f>
        <v>-7.1937565942338183E-3</v>
      </c>
      <c r="T32" s="53">
        <f t="shared" si="22"/>
        <v>0.99715357533733628</v>
      </c>
      <c r="U32" s="48">
        <f t="shared" si="23"/>
        <v>12.555005550084466</v>
      </c>
      <c r="V32" s="85">
        <f t="shared" si="24"/>
        <v>157.1794876680795</v>
      </c>
      <c r="W32" s="56">
        <f t="shared" si="11"/>
        <v>8.0168968195336401</v>
      </c>
      <c r="X32" s="26">
        <f t="shared" si="12"/>
        <v>0.99431525280803279</v>
      </c>
      <c r="Y32" s="15">
        <f t="shared" si="13"/>
        <v>1.2555005550084466</v>
      </c>
      <c r="Z32" s="15">
        <f t="shared" si="14"/>
        <v>1.571794876680795</v>
      </c>
    </row>
    <row r="33" spans="1:26" x14ac:dyDescent="0.25">
      <c r="A33" s="15">
        <v>8.6874656664961805</v>
      </c>
      <c r="B33" s="15">
        <v>1.10173609137921</v>
      </c>
      <c r="C33" s="15">
        <v>9.8242907345504494E-3</v>
      </c>
      <c r="D33" s="15">
        <f t="shared" si="26"/>
        <v>0.15162487953432199</v>
      </c>
      <c r="E33" s="1">
        <f>(Arkusz1!C$38-Arkusz1!C$36)*(1-ABS('projekty 2 i 3'!G33/Arkusz1!C$39))</f>
        <v>2.2525714515223639E-3</v>
      </c>
      <c r="F33" s="15">
        <f t="shared" si="25"/>
        <v>0.2133587031981152</v>
      </c>
      <c r="G33" s="39">
        <f t="shared" si="28"/>
        <v>1.10173609137921</v>
      </c>
      <c r="H33" s="40">
        <f t="shared" si="29"/>
        <v>9.8242907345504494E-3</v>
      </c>
      <c r="I33" s="41">
        <f t="shared" si="27"/>
        <v>8.6874656664961805</v>
      </c>
      <c r="J33" s="49">
        <f t="shared" si="20"/>
        <v>1.2076862186072814E-2</v>
      </c>
      <c r="K33" s="50">
        <f>DEGREES(G33*(1+Arkusz1!C$49)/Arkusz1!C$23/PI())</f>
        <v>3.5370875491402005</v>
      </c>
      <c r="L33" s="48">
        <f t="shared" si="21"/>
        <v>12.22455321563638</v>
      </c>
      <c r="M33" s="47">
        <f>G33^2*(1+Arkusz1!C$48)/Arkusz1!C$23/PI()</f>
        <v>6.6979009964743347E-2</v>
      </c>
      <c r="N33" s="51">
        <f>J33+M33+Arkusz1!C$41</f>
        <v>7.9781247235114108E-2</v>
      </c>
      <c r="O33" s="55">
        <f>Arkusz1!C$34/Arkusz1!C$80+(Arkusz1!C$71-Arkusz1!C$32)/Arkusz1!C$80*'projekty 2 i 3'!G33</f>
        <v>-2.9092748880219718E-2</v>
      </c>
      <c r="P33" s="52">
        <f>Arkusz1!C$75+Arkusz1!C$76+1/PI()/Arkusz1!C$79*'projekty 2 i 3'!O33^2</f>
        <v>8.2016655395677398E-3</v>
      </c>
      <c r="Q33" s="52">
        <f>Arkusz1!C$90*(1+1/Arkusz1!C$91*ABS('projekty 2 i 3'!G33))</f>
        <v>8.4910441020093607E-3</v>
      </c>
      <c r="R33" s="52">
        <f>(N33+Q33+P33*Arkusz1!C$70/Arkusz1!C$5)*(1+Arkusz1!C$92)</f>
        <v>9.1899587909088698E-2</v>
      </c>
      <c r="S33" s="52">
        <f>O33*Arkusz1!C$70/Arkusz1!C$5</f>
        <v>-6.4748154520157704E-3</v>
      </c>
      <c r="T33" s="53">
        <f t="shared" si="22"/>
        <v>1.0952612759271942</v>
      </c>
      <c r="U33" s="48">
        <f t="shared" si="23"/>
        <v>11.918021623891036</v>
      </c>
      <c r="V33" s="85">
        <f t="shared" si="24"/>
        <v>155.57007860712946</v>
      </c>
      <c r="W33" s="56">
        <f t="shared" si="11"/>
        <v>8.6874656664961805</v>
      </c>
      <c r="X33" s="26">
        <f t="shared" si="12"/>
        <v>1.1995972625456655</v>
      </c>
      <c r="Y33" s="15">
        <f t="shared" si="13"/>
        <v>1.1918021623891035</v>
      </c>
      <c r="Z33" s="15">
        <f t="shared" si="14"/>
        <v>1.5557007860712946</v>
      </c>
    </row>
    <row r="34" spans="1:26" x14ac:dyDescent="0.25">
      <c r="A34" s="15">
        <v>9.5758746756075901</v>
      </c>
      <c r="B34" s="15">
        <v>1.19898278115587</v>
      </c>
      <c r="C34" s="15">
        <v>1.1067326647810001E-2</v>
      </c>
      <c r="D34" s="15">
        <f t="shared" si="26"/>
        <v>0.16713054184769638</v>
      </c>
      <c r="E34" s="1">
        <f>(Arkusz1!C$38-Arkusz1!C$36)*(1-ABS('projekty 2 i 3'!G34/Arkusz1!C$39))</f>
        <v>2.4696900027981368E-3</v>
      </c>
      <c r="F34" s="15">
        <f t="shared" si="25"/>
        <v>0.2343134109276605</v>
      </c>
      <c r="G34" s="39">
        <f t="shared" si="28"/>
        <v>1.19898278115587</v>
      </c>
      <c r="H34" s="40">
        <f t="shared" si="29"/>
        <v>1.1067326647810001E-2</v>
      </c>
      <c r="I34" s="41">
        <f t="shared" si="27"/>
        <v>9.5758746756075901</v>
      </c>
      <c r="J34" s="49">
        <f t="shared" si="20"/>
        <v>1.3537016650608137E-2</v>
      </c>
      <c r="K34" s="50">
        <f>DEGREES(G34*(1+Arkusz1!C$49)/Arkusz1!C$23/PI())</f>
        <v>3.8492948538619003</v>
      </c>
      <c r="L34" s="48">
        <f t="shared" si="21"/>
        <v>13.425169529469491</v>
      </c>
      <c r="M34" s="47">
        <f>G34^2*(1+Arkusz1!C$48)/Arkusz1!C$23/PI()</f>
        <v>7.9324887161765431E-2</v>
      </c>
      <c r="N34" s="51">
        <f>J34+M34+Arkusz1!C$41</f>
        <v>9.3587278896671511E-2</v>
      </c>
      <c r="O34" s="55">
        <f>Arkusz1!C$34/Arkusz1!C$80+(Arkusz1!C$71-Arkusz1!C$32)/Arkusz1!C$80*'projekty 2 i 3'!G34</f>
        <v>-2.5867102949807937E-2</v>
      </c>
      <c r="P34" s="52">
        <f>Arkusz1!C$75+Arkusz1!C$76+1/PI()/Arkusz1!C$79*'projekty 2 i 3'!O34^2</f>
        <v>8.1803710859601909E-3</v>
      </c>
      <c r="Q34" s="52">
        <f>Arkusz1!C$90*(1+1/Arkusz1!C$91*ABS('projekty 2 i 3'!G34))</f>
        <v>8.6073150984309829E-3</v>
      </c>
      <c r="R34" s="52">
        <f>(N34+Q34+P34*Arkusz1!C$70/Arkusz1!C$5)*(1+Arkusz1!C$92)</f>
        <v>0.10609550259058699</v>
      </c>
      <c r="S34" s="52">
        <f>O34*Arkusz1!C$70/Arkusz1!C$5</f>
        <v>-5.7569230933750878E-3</v>
      </c>
      <c r="T34" s="53">
        <f t="shared" si="22"/>
        <v>1.1932258580624948</v>
      </c>
      <c r="U34" s="48">
        <f t="shared" si="23"/>
        <v>11.246714789287969</v>
      </c>
      <c r="V34" s="85">
        <f t="shared" si="24"/>
        <v>150.92946057571265</v>
      </c>
      <c r="W34" s="56">
        <f t="shared" si="11"/>
        <v>9.5758746756075901</v>
      </c>
      <c r="X34" s="26">
        <f t="shared" si="12"/>
        <v>1.423787948348977</v>
      </c>
      <c r="Y34" s="15">
        <f t="shared" si="13"/>
        <v>1.1246714789287968</v>
      </c>
      <c r="Z34" s="15">
        <f t="shared" si="14"/>
        <v>1.5092946057571266</v>
      </c>
    </row>
    <row r="35" spans="1:26" x14ac:dyDescent="0.25">
      <c r="A35" s="15">
        <v>10.575098028072899</v>
      </c>
      <c r="B35" s="15">
        <v>1.307026765926</v>
      </c>
      <c r="C35" s="15">
        <v>1.24427873489329E-2</v>
      </c>
      <c r="D35" s="15">
        <f t="shared" si="26"/>
        <v>0.18457027931103182</v>
      </c>
      <c r="E35" s="1">
        <f>(Arkusz1!C$38-Arkusz1!C$36)*(1-ABS('projekty 2 i 3'!G35/Arkusz1!C$39))</f>
        <v>2.7109152157203209E-3</v>
      </c>
      <c r="F35" s="15">
        <f t="shared" si="25"/>
        <v>0.25780720104110288</v>
      </c>
      <c r="G35" s="39">
        <f t="shared" si="28"/>
        <v>1.307026765926</v>
      </c>
      <c r="H35" s="40">
        <f t="shared" si="29"/>
        <v>1.24427873489329E-2</v>
      </c>
      <c r="I35" s="41">
        <f t="shared" si="27"/>
        <v>10.575098028072899</v>
      </c>
      <c r="J35" s="49">
        <f t="shared" si="20"/>
        <v>1.5153702564653222E-2</v>
      </c>
      <c r="K35" s="50">
        <f>DEGREES(G35*(1+Arkusz1!C$49)/Arkusz1!C$23/PI())</f>
        <v>4.19616651966302</v>
      </c>
      <c r="L35" s="48">
        <f t="shared" si="21"/>
        <v>14.771264547735919</v>
      </c>
      <c r="M35" s="47">
        <f>G35^2*(1+Arkusz1!C$48)/Arkusz1!C$23/PI()</f>
        <v>9.4265447469861194E-2</v>
      </c>
      <c r="N35" s="51">
        <f>J35+M35+Arkusz1!C$41</f>
        <v>0.11014452511881236</v>
      </c>
      <c r="O35" s="55">
        <f>Arkusz1!C$34/Arkusz1!C$80+(Arkusz1!C$71-Arkusz1!C$32)/Arkusz1!C$80*'projekty 2 i 3'!G35</f>
        <v>-2.2283313716676759E-2</v>
      </c>
      <c r="P35" s="52">
        <f>Arkusz1!C$75+Arkusz1!C$76+1/PI()/Arkusz1!C$79*'projekty 2 i 3'!O35^2</f>
        <v>8.1596435936185062E-3</v>
      </c>
      <c r="Q35" s="52">
        <f>Arkusz1!C$90*(1+1/Arkusz1!C$91*ABS('projekty 2 i 3'!G35))</f>
        <v>8.7364956576401077E-3</v>
      </c>
      <c r="R35" s="52">
        <f>(N35+Q35+P35*Arkusz1!C$70/Arkusz1!C$5)*(1+Arkusz1!C$92)</f>
        <v>0.12311095258315431</v>
      </c>
      <c r="S35" s="52">
        <f>O35*Arkusz1!C$70/Arkusz1!C$5</f>
        <v>-4.9593231828619138E-3</v>
      </c>
      <c r="T35" s="53">
        <f t="shared" si="22"/>
        <v>1.302067442743138</v>
      </c>
      <c r="U35" s="48">
        <f t="shared" si="23"/>
        <v>10.576373713489602</v>
      </c>
      <c r="V35" s="85">
        <f t="shared" si="24"/>
        <v>145.64884869119507</v>
      </c>
      <c r="W35" s="56">
        <f t="shared" si="11"/>
        <v>10.575098028072899</v>
      </c>
      <c r="X35" s="26">
        <f t="shared" si="12"/>
        <v>1.6953796254516551</v>
      </c>
      <c r="Y35" s="15">
        <f t="shared" si="13"/>
        <v>1.0576373713489602</v>
      </c>
      <c r="Z35" s="15">
        <f t="shared" si="14"/>
        <v>1.4564884869119508</v>
      </c>
    </row>
    <row r="36" spans="1:26" x14ac:dyDescent="0.25">
      <c r="A36" s="15">
        <v>11.238089825917299</v>
      </c>
      <c r="B36" s="15">
        <v>1.36094220605785</v>
      </c>
      <c r="C36" s="15">
        <v>1.3426116396674299E-2</v>
      </c>
      <c r="D36" s="15">
        <f t="shared" si="26"/>
        <v>0.19614166909713326</v>
      </c>
      <c r="E36" s="1">
        <f>(Arkusz1!C$38-Arkusz1!C$36)*(1-ABS('projekty 2 i 3'!G36/Arkusz1!C$39))</f>
        <v>2.8312899274941352E-3</v>
      </c>
      <c r="F36" s="15">
        <f t="shared" si="25"/>
        <v>0.27239964668613398</v>
      </c>
      <c r="G36" s="39">
        <f t="shared" si="28"/>
        <v>1.36094220605785</v>
      </c>
      <c r="H36" s="40">
        <f t="shared" si="29"/>
        <v>1.3426116396674299E-2</v>
      </c>
      <c r="I36" s="41">
        <f t="shared" si="27"/>
        <v>11.238089825917299</v>
      </c>
      <c r="J36" s="49">
        <f t="shared" si="20"/>
        <v>1.6257406324168434E-2</v>
      </c>
      <c r="K36" s="50">
        <f>DEGREES(G36*(1+Arkusz1!C$49)/Arkusz1!C$23/PI())</f>
        <v>4.3692602700529592</v>
      </c>
      <c r="L36" s="48">
        <f t="shared" si="21"/>
        <v>15.607350095970258</v>
      </c>
      <c r="M36" s="47">
        <f>G36^2*(1+Arkusz1!C$48)/Arkusz1!C$23/PI()</f>
        <v>0.10220283345600276</v>
      </c>
      <c r="N36" s="51">
        <f>J36+M36+Arkusz1!C$41</f>
        <v>0.11918561486446913</v>
      </c>
      <c r="O36" s="55">
        <f>Arkusz1!C$34/Arkusz1!C$80+(Arkusz1!C$71-Arkusz1!C$32)/Arkusz1!C$80*'projekty 2 i 3'!G36</f>
        <v>-2.0494953409019245E-2</v>
      </c>
      <c r="P36" s="52">
        <f>Arkusz1!C$75+Arkusz1!C$76+1/PI()/Arkusz1!C$79*'projekty 2 i 3'!O36^2</f>
        <v>8.1504542929070386E-3</v>
      </c>
      <c r="Q36" s="52">
        <f>Arkusz1!C$90*(1+1/Arkusz1!C$91*ABS('projekty 2 i 3'!G36))</f>
        <v>8.8009585402434899E-3</v>
      </c>
      <c r="R36" s="52">
        <f>(N36+Q36+P36*Arkusz1!C$70/Arkusz1!C$5)*(1+Arkusz1!C$92)</f>
        <v>0.13239653021129985</v>
      </c>
      <c r="S36" s="52">
        <f>O36*Arkusz1!C$70/Arkusz1!C$5</f>
        <v>-4.5613098152882036E-3</v>
      </c>
      <c r="T36" s="53">
        <f t="shared" si="22"/>
        <v>1.3563808962425619</v>
      </c>
      <c r="U36" s="48">
        <f t="shared" si="23"/>
        <v>10.244837187786034</v>
      </c>
      <c r="V36" s="85">
        <f t="shared" si="24"/>
        <v>142.36124789822784</v>
      </c>
      <c r="W36" s="56">
        <f t="shared" si="11"/>
        <v>11.238089825917299</v>
      </c>
      <c r="X36" s="26">
        <f t="shared" si="12"/>
        <v>1.8397691356917754</v>
      </c>
      <c r="Y36" s="15">
        <f t="shared" si="13"/>
        <v>1.0244837187786033</v>
      </c>
      <c r="Z36" s="15">
        <f t="shared" si="14"/>
        <v>1.4236124789822784</v>
      </c>
    </row>
    <row r="37" spans="1:26" ht="15.6" thickBot="1" x14ac:dyDescent="0.3">
      <c r="A37" s="15">
        <v>12.989335303366101</v>
      </c>
      <c r="B37" s="15">
        <v>1.4087131329203799</v>
      </c>
      <c r="C37" s="15">
        <v>1.40147424359304E-2</v>
      </c>
      <c r="D37" s="15">
        <f t="shared" si="26"/>
        <v>0.22670666868927494</v>
      </c>
      <c r="E37" s="1">
        <f>(Arkusz1!C$38-Arkusz1!C$36)*(1-ABS('projekty 2 i 3'!G37/Arkusz1!C$39))</f>
        <v>2.9379460456336213E-3</v>
      </c>
      <c r="F37" s="15">
        <f t="shared" si="25"/>
        <v>0.30564140525736622</v>
      </c>
      <c r="G37" s="58">
        <f t="shared" si="28"/>
        <v>1.4087131329203799</v>
      </c>
      <c r="H37" s="59">
        <f t="shared" si="29"/>
        <v>1.40147424359304E-2</v>
      </c>
      <c r="I37" s="60">
        <f t="shared" si="27"/>
        <v>12.989335303366101</v>
      </c>
      <c r="J37" s="61">
        <f t="shared" si="20"/>
        <v>1.6952688481564022E-2</v>
      </c>
      <c r="K37" s="62">
        <f>DEGREES(G37*(1+Arkusz1!C$49)/Arkusz1!C$23/PI())</f>
        <v>4.5226272623285926</v>
      </c>
      <c r="L37" s="60">
        <f t="shared" si="21"/>
        <v>17.511962565694695</v>
      </c>
      <c r="M37" s="59">
        <f>G37^2*(1+Arkusz1!C$48)/Arkusz1!C$23/PI()</f>
        <v>0.10950367573400334</v>
      </c>
      <c r="N37" s="63">
        <f>J37+M37+Arkusz1!C$41</f>
        <v>0.12718173929986532</v>
      </c>
      <c r="O37" s="64">
        <f>Arkusz1!C$34/Arkusz1!C$80+(Arkusz1!C$71-Arkusz1!C$32)/Arkusz1!C$80*'projekty 2 i 3'!G37</f>
        <v>-1.891040491508067E-2</v>
      </c>
      <c r="P37" s="65">
        <f>Arkusz1!C$75+Arkusz1!C$76+1/PI()/Arkusz1!C$79*'projekty 2 i 3'!O37^2</f>
        <v>8.1429542271795937E-3</v>
      </c>
      <c r="Q37" s="65">
        <f>Arkusz1!C$90*(1+1/Arkusz1!C$91*ABS('projekty 2 i 3'!G37))</f>
        <v>8.8580748624447602E-3</v>
      </c>
      <c r="R37" s="65">
        <f>(N37+Q37+P37*Arkusz1!C$70/Arkusz1!C$5)*(1+Arkusz1!C$92)</f>
        <v>0.14060913320267765</v>
      </c>
      <c r="S37" s="65">
        <f>O37*Arkusz1!C$70/Arkusz1!C$5</f>
        <v>-4.2086563374314793E-3</v>
      </c>
      <c r="T37" s="66">
        <f t="shared" si="22"/>
        <v>1.4045044765829484</v>
      </c>
      <c r="U37" s="60">
        <f t="shared" si="23"/>
        <v>9.9887144212635128</v>
      </c>
      <c r="V37" s="86">
        <f t="shared" si="24"/>
        <v>140.13361362488214</v>
      </c>
      <c r="W37" s="56">
        <f t="shared" si="11"/>
        <v>12.989335303366101</v>
      </c>
      <c r="X37" s="26">
        <f t="shared" si="12"/>
        <v>1.9726328247415419</v>
      </c>
      <c r="Y37" s="15">
        <f t="shared" si="13"/>
        <v>0.99887144212635126</v>
      </c>
      <c r="Z37" s="15">
        <f t="shared" si="14"/>
        <v>1.4013361362488215</v>
      </c>
    </row>
    <row r="38" spans="1:26" ht="81.599999999999994" x14ac:dyDescent="0.25">
      <c r="A38" s="15">
        <v>13.745145952908601</v>
      </c>
      <c r="B38" s="15">
        <v>1.3701767346706799</v>
      </c>
      <c r="C38" s="15">
        <f>-0.0018*B38^4+0.003*B38^3+0.0059*B38^2-0.0032*B38+0.0055</f>
        <v>1.356481737967207E-2</v>
      </c>
      <c r="D38" s="15">
        <f t="shared" si="26"/>
        <v>0.23989805304542855</v>
      </c>
      <c r="E38" s="1"/>
      <c r="G38" s="57" t="s">
        <v>258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</row>
    <row r="39" spans="1:26" x14ac:dyDescent="0.25">
      <c r="A39" s="15">
        <v>14.7159553711807</v>
      </c>
      <c r="B39" s="15">
        <v>1.3151957720065901</v>
      </c>
      <c r="C39" s="15">
        <f>-0.0018*B39^4+0.003*B39^3+0.0059*B39^2-0.0032*B39+0.0055</f>
        <v>1.2936078597739504E-2</v>
      </c>
      <c r="D39" s="15">
        <f t="shared" si="26"/>
        <v>0.25684187380364748</v>
      </c>
      <c r="E39" s="1"/>
      <c r="G39" s="3"/>
      <c r="H39" s="1"/>
      <c r="I39" s="1"/>
      <c r="J39" s="2"/>
    </row>
    <row r="40" spans="1:26" x14ac:dyDescent="0.25">
      <c r="A40" s="15">
        <v>15.468924627303901</v>
      </c>
      <c r="B40" s="15">
        <v>1.2603568790134601</v>
      </c>
      <c r="C40" s="15">
        <f>-0.0018*B40^4+0.003*B40^3+0.0059*B40^2-0.0032*B40+0.0055</f>
        <v>1.2303238514174163E-2</v>
      </c>
      <c r="D40" s="15">
        <f t="shared" si="26"/>
        <v>0.26998366648928979</v>
      </c>
      <c r="E40" s="1"/>
      <c r="G40" s="3"/>
      <c r="H40" s="1"/>
      <c r="I40" s="1"/>
      <c r="J40" s="2"/>
    </row>
    <row r="41" spans="1:26" x14ac:dyDescent="0.25">
      <c r="F41" s="2"/>
      <c r="G41" s="3"/>
      <c r="H41" s="1"/>
      <c r="I41" s="1"/>
      <c r="J41" s="2"/>
    </row>
    <row r="42" spans="1:26" x14ac:dyDescent="0.25">
      <c r="F42" s="2"/>
      <c r="G42" s="3"/>
      <c r="H42" s="1"/>
      <c r="I42" s="1"/>
      <c r="J42" s="2"/>
    </row>
  </sheetData>
  <mergeCells count="3">
    <mergeCell ref="G1:J1"/>
    <mergeCell ref="K1:N1"/>
    <mergeCell ref="O1:V1"/>
  </mergeCells>
  <pageMargins left="0.25" right="0.25" top="0.75" bottom="0.75" header="0.3" footer="0.3"/>
  <pageSetup paperSize="9" orientation="landscape" r:id="rId1"/>
  <colBreaks count="1" manualBreakCount="1">
    <brk id="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12EF-D8FE-4F62-837B-742336806F64}">
  <dimension ref="A1:P41"/>
  <sheetViews>
    <sheetView zoomScaleNormal="100" workbookViewId="0"/>
  </sheetViews>
  <sheetFormatPr defaultRowHeight="14.4" x14ac:dyDescent="0.3"/>
  <sheetData>
    <row r="1" spans="1:16" ht="15.6" x14ac:dyDescent="0.35">
      <c r="H1" t="s">
        <v>194</v>
      </c>
      <c r="I1">
        <f>Arkusz1!C99</f>
        <v>2640</v>
      </c>
      <c r="J1" t="s">
        <v>193</v>
      </c>
      <c r="K1">
        <f>Arkusz1!C100</f>
        <v>3240</v>
      </c>
      <c r="L1" t="s">
        <v>206</v>
      </c>
      <c r="M1">
        <f>Arkusz1!C7</f>
        <v>3840</v>
      </c>
    </row>
    <row r="2" spans="1:16" x14ac:dyDescent="0.3">
      <c r="B2" t="s">
        <v>44</v>
      </c>
      <c r="C2" t="s">
        <v>45</v>
      </c>
      <c r="D2" t="s">
        <v>119</v>
      </c>
      <c r="E2" t="s">
        <v>204</v>
      </c>
      <c r="F2" t="s">
        <v>205</v>
      </c>
      <c r="G2" t="s">
        <v>209</v>
      </c>
      <c r="H2" t="s">
        <v>207</v>
      </c>
      <c r="I2" t="s">
        <v>208</v>
      </c>
      <c r="J2" t="s">
        <v>207</v>
      </c>
      <c r="K2" t="s">
        <v>208</v>
      </c>
      <c r="L2" t="s">
        <v>207</v>
      </c>
      <c r="M2" t="s">
        <v>208</v>
      </c>
    </row>
    <row r="3" spans="1:16" ht="15" x14ac:dyDescent="0.3">
      <c r="A3">
        <v>1</v>
      </c>
      <c r="B3" s="68">
        <f ca="1">OFFSET('projekty 2 i 3'!$T$37,-A3+1,0,1,1)</f>
        <v>1.4045044765829484</v>
      </c>
      <c r="C3" s="69">
        <f ca="1">OFFSET('projekty 2 i 3'!$R$37,-A3+1,0,1,1)</f>
        <v>0.14060913320267765</v>
      </c>
      <c r="D3" s="68">
        <f ca="1">OFFSET('projekty 2 i 3'!$U$37,-A3+1,0,1,1)</f>
        <v>9.9887144212635128</v>
      </c>
      <c r="E3" s="69">
        <f ca="1">SQRT(1/SQRT(B3^2+C3^2))</f>
        <v>0.84169677316919134</v>
      </c>
      <c r="F3" s="69">
        <f ca="1">SQRT(C3^2/(C3^2+B3^2)^(3/2))</f>
        <v>8.3845646480937799E-2</v>
      </c>
      <c r="G3" s="68">
        <f ca="1">DEGREES(ATAN(1/D3))</f>
        <v>5.7170024380434592</v>
      </c>
      <c r="H3" s="67">
        <f ca="1">'projekt 4'!$E3*SQRT(2*Arkusz1!$C$16/Arkusz1!$C$5/Arkusz1!$C$101*'projekt 4'!I$1)</f>
        <v>53.371723476147402</v>
      </c>
      <c r="I3" s="68">
        <f ca="1">'projekt 4'!$F3*SQRT(2*Arkusz1!$C$16/Arkusz1!$C$5/Arkusz1!$C$101*'projekt 4'!I$1)</f>
        <v>5.3166256558285472</v>
      </c>
      <c r="J3" s="67">
        <f ca="1">'projekt 4'!$E3*SQRT(2*Arkusz1!$C$16/Arkusz1!$C$5/Arkusz1!$C$101*'projekt 4'!K$1)</f>
        <v>59.126445169340748</v>
      </c>
      <c r="K3" s="68">
        <f ca="1">'projekt 4'!$F3*SQRT(2*Arkusz1!$C$16/Arkusz1!$C$5/Arkusz1!$C$101*'projekt 4'!K$1)</f>
        <v>5.8898824105941765</v>
      </c>
      <c r="L3" s="67">
        <f ca="1">'projekt 4'!$E3*SQRT(2*Arkusz1!$C$16/Arkusz1!$C$5/Arkusz1!$C$101*'projekt 4'!M$1)</f>
        <v>64.368720430903181</v>
      </c>
      <c r="M3" s="68">
        <f ca="1">'projekt 4'!$F3*SQRT(2*Arkusz1!$C$16/Arkusz1!$C$5/Arkusz1!$C$101*'projekt 4'!M$1)</f>
        <v>6.4120918004219982</v>
      </c>
      <c r="O3">
        <v>0</v>
      </c>
      <c r="P3">
        <v>0</v>
      </c>
    </row>
    <row r="4" spans="1:16" ht="15" x14ac:dyDescent="0.3">
      <c r="A4">
        <v>2</v>
      </c>
      <c r="B4" s="68">
        <f ca="1">OFFSET('projekty 2 i 3'!$T$37,-A4+1,0,1,1)</f>
        <v>1.3563808962425619</v>
      </c>
      <c r="C4" s="69">
        <f ca="1">OFFSET('projekty 2 i 3'!$R$37,-A4+1,0,1,1)</f>
        <v>0.13239653021129985</v>
      </c>
      <c r="D4" s="68">
        <f ca="1">OFFSET('projekty 2 i 3'!$U$37,-A4+1,0,1,1)</f>
        <v>10.244837187786034</v>
      </c>
      <c r="E4" s="69">
        <f t="shared" ref="E4:E19" ca="1" si="0">SQRT(1/SQRT(B4^2+C4^2))</f>
        <v>0.85660302471567085</v>
      </c>
      <c r="F4" s="69">
        <f t="shared" ref="F4:F19" ca="1" si="1">SQRT(C4^2/(C4^2+B4^2)^(3/2))</f>
        <v>8.3217643620280141E-2</v>
      </c>
      <c r="G4" s="68">
        <f t="shared" ref="G4:G19" ca="1" si="2">DEGREES(ATAN(1/D4))</f>
        <v>5.5749881871231937</v>
      </c>
      <c r="H4" s="67">
        <f ca="1">'projekt 4'!$E4*SQRT(2*Arkusz1!$C$16/Arkusz1!$C$5/Arkusz1!$C$101*'projekt 4'!I$1)</f>
        <v>54.316924124367873</v>
      </c>
      <c r="I4" s="68">
        <f ca="1">'projekt 4'!$F4*SQRT(2*Arkusz1!$C$16/Arkusz1!$C$5/Arkusz1!$C$101*'projekt 4'!I$1)</f>
        <v>5.276804195072498</v>
      </c>
      <c r="J4" s="67">
        <f ca="1">'projekt 4'!$E4*SQRT(2*Arkusz1!$C$16/Arkusz1!$C$5/Arkusz1!$C$101*'projekt 4'!K$1)</f>
        <v>60.173560582917553</v>
      </c>
      <c r="K4" s="68">
        <f ca="1">'projekt 4'!$F4*SQRT(2*Arkusz1!$C$16/Arkusz1!$C$5/Arkusz1!$C$101*'projekt 4'!K$1)</f>
        <v>5.8457672637972431</v>
      </c>
      <c r="L4" s="67">
        <f ca="1">'projekt 4'!$E4*SQRT(2*Arkusz1!$C$16/Arkusz1!$C$5/Arkusz1!$C$101*'projekt 4'!M$1)</f>
        <v>65.508675304266092</v>
      </c>
      <c r="M4" s="68">
        <f ca="1">'projekt 4'!$F4*SQRT(2*Arkusz1!$C$16/Arkusz1!$C$5/Arkusz1!$C$101*'projekt 4'!M$1)</f>
        <v>6.3640653117195702</v>
      </c>
      <c r="O4">
        <f>Arkusz1!C102</f>
        <v>240</v>
      </c>
      <c r="P4" s="27">
        <f ca="1">O4*TAN(RADIANS(Arkusz1!C103))</f>
        <v>15.503532838779236</v>
      </c>
    </row>
    <row r="5" spans="1:16" ht="15" x14ac:dyDescent="0.3">
      <c r="A5">
        <v>3</v>
      </c>
      <c r="B5" s="68">
        <f ca="1">OFFSET('projekty 2 i 3'!$T$37,-A5+1,0,1,1)</f>
        <v>1.302067442743138</v>
      </c>
      <c r="C5" s="69">
        <f ca="1">OFFSET('projekty 2 i 3'!$R$37,-A5+1,0,1,1)</f>
        <v>0.12311095258315431</v>
      </c>
      <c r="D5" s="68">
        <f ca="1">OFFSET('projekty 2 i 3'!$U$37,-A5+1,0,1,1)</f>
        <v>10.576373713489602</v>
      </c>
      <c r="E5" s="69">
        <f t="shared" ca="1" si="0"/>
        <v>0.87441369244263367</v>
      </c>
      <c r="F5" s="69">
        <f t="shared" ca="1" si="1"/>
        <v>8.2309040790145699E-2</v>
      </c>
      <c r="G5" s="68">
        <f t="shared" ca="1" si="2"/>
        <v>5.4012796826371794</v>
      </c>
      <c r="H5" s="67">
        <f ca="1">'projekt 4'!$E5*SQRT(2*Arkusz1!$C$16/Arkusz1!$C$5/Arkusz1!$C$101*'projekt 4'!I$1)</f>
        <v>55.446292874671876</v>
      </c>
      <c r="I5" s="68">
        <f ca="1">'projekt 4'!$F5*SQRT(2*Arkusz1!$C$16/Arkusz1!$C$5/Arkusz1!$C$101*'projekt 4'!I$1)</f>
        <v>5.2191899798997463</v>
      </c>
      <c r="J5" s="67">
        <f ca="1">'projekt 4'!$E5*SQRT(2*Arkusz1!$C$16/Arkusz1!$C$5/Arkusz1!$C$101*'projekt 4'!K$1)</f>
        <v>61.424701732981021</v>
      </c>
      <c r="K5" s="68">
        <f ca="1">'projekt 4'!$F5*SQRT(2*Arkusz1!$C$16/Arkusz1!$C$5/Arkusz1!$C$101*'projekt 4'!K$1)</f>
        <v>5.7819408869722801</v>
      </c>
      <c r="L5" s="67">
        <f ca="1">'projekt 4'!$E5*SQRT(2*Arkusz1!$C$16/Arkusz1!$C$5/Arkusz1!$C$101*'projekt 4'!M$1)</f>
        <v>66.870745265979167</v>
      </c>
      <c r="M5" s="68">
        <f ca="1">'projekt 4'!$F5*SQRT(2*Arkusz1!$C$16/Arkusz1!$C$5/Arkusz1!$C$101*'projekt 4'!M$1)</f>
        <v>6.2945799537854548</v>
      </c>
    </row>
    <row r="6" spans="1:16" ht="15" x14ac:dyDescent="0.3">
      <c r="A6">
        <v>4</v>
      </c>
      <c r="B6" s="68">
        <f ca="1">OFFSET('projekty 2 i 3'!$T$37,-A6+1,0,1,1)</f>
        <v>1.1932258580624948</v>
      </c>
      <c r="C6" s="69">
        <f ca="1">OFFSET('projekty 2 i 3'!$R$37,-A6+1,0,1,1)</f>
        <v>0.10609550259058699</v>
      </c>
      <c r="D6" s="68">
        <f ca="1">OFFSET('projekty 2 i 3'!$U$37,-A6+1,0,1,1)</f>
        <v>11.246714789287969</v>
      </c>
      <c r="E6" s="69">
        <f t="shared" ca="1" si="0"/>
        <v>0.91365803997141526</v>
      </c>
      <c r="F6" s="69">
        <f t="shared" ca="1" si="1"/>
        <v>8.0918535710961415E-2</v>
      </c>
      <c r="G6" s="68">
        <f t="shared" ca="1" si="2"/>
        <v>5.0810838679305741</v>
      </c>
      <c r="H6" s="67">
        <f ca="1">'projekt 4'!$E6*SQRT(2*Arkusz1!$C$16/Arkusz1!$C$5/Arkusz1!$C$101*'projekt 4'!I$1)</f>
        <v>57.934764413444107</v>
      </c>
      <c r="I6" s="68">
        <f ca="1">'projekt 4'!$F6*SQRT(2*Arkusz1!$C$16/Arkusz1!$C$5/Arkusz1!$C$101*'projekt 4'!I$1)</f>
        <v>5.1310184970758668</v>
      </c>
      <c r="J6" s="67">
        <f ca="1">'projekt 4'!$E6*SQRT(2*Arkusz1!$C$16/Arkusz1!$C$5/Arkusz1!$C$101*'projekt 4'!K$1)</f>
        <v>64.181488780685001</v>
      </c>
      <c r="K6" s="68">
        <f ca="1">'projekt 4'!$F6*SQRT(2*Arkusz1!$C$16/Arkusz1!$C$5/Arkusz1!$C$101*'projekt 4'!K$1)</f>
        <v>5.6842624534284312</v>
      </c>
      <c r="L6" s="67">
        <f ca="1">'projekt 4'!$E6*SQRT(2*Arkusz1!$C$16/Arkusz1!$C$5/Arkusz1!$C$101*'projekt 4'!M$1)</f>
        <v>69.871954864374018</v>
      </c>
      <c r="M6" s="68">
        <f ca="1">'projekt 4'!$F6*SQRT(2*Arkusz1!$C$16/Arkusz1!$C$5/Arkusz1!$C$101*'projekt 4'!M$1)</f>
        <v>6.1882411444268826</v>
      </c>
    </row>
    <row r="7" spans="1:16" ht="15" x14ac:dyDescent="0.3">
      <c r="A7">
        <v>5</v>
      </c>
      <c r="B7" s="68">
        <f ca="1">OFFSET('projekty 2 i 3'!$T$37,-A7+1,0,1,1)</f>
        <v>1.0952612759271942</v>
      </c>
      <c r="C7" s="69">
        <f ca="1">OFFSET('projekty 2 i 3'!$R$37,-A7+1,0,1,1)</f>
        <v>9.1899587909088698E-2</v>
      </c>
      <c r="D7" s="68">
        <f ca="1">OFFSET('projekty 2 i 3'!$U$37,-A7+1,0,1,1)</f>
        <v>11.918021623891036</v>
      </c>
      <c r="E7" s="69">
        <f t="shared" ca="1" si="0"/>
        <v>0.95384854149289811</v>
      </c>
      <c r="F7" s="69">
        <f t="shared" ca="1" si="1"/>
        <v>7.9753880612707967E-2</v>
      </c>
      <c r="G7" s="68">
        <f t="shared" ca="1" si="2"/>
        <v>4.7962561640627843</v>
      </c>
      <c r="H7" s="67">
        <f ca="1">'projekt 4'!$E7*SQRT(2*Arkusz1!$C$16/Arkusz1!$C$5/Arkusz1!$C$101*'projekt 4'!I$1)</f>
        <v>60.483231274610375</v>
      </c>
      <c r="I7" s="68">
        <f ca="1">'projekt 4'!$F7*SQRT(2*Arkusz1!$C$16/Arkusz1!$C$5/Arkusz1!$C$101*'projekt 4'!I$1)</f>
        <v>5.0571680893868578</v>
      </c>
      <c r="J7" s="67">
        <f ca="1">'projekt 4'!$E7*SQRT(2*Arkusz1!$C$16/Arkusz1!$C$5/Arkusz1!$C$101*'projekt 4'!K$1)</f>
        <v>67.004740051556382</v>
      </c>
      <c r="K7" s="68">
        <f ca="1">'projekt 4'!$F7*SQRT(2*Arkusz1!$C$16/Arkusz1!$C$5/Arkusz1!$C$101*'projekt 4'!K$1)</f>
        <v>5.6024492423015859</v>
      </c>
      <c r="L7" s="67">
        <f ca="1">'projekt 4'!$E7*SQRT(2*Arkusz1!$C$16/Arkusz1!$C$5/Arkusz1!$C$101*'projekt 4'!M$1)</f>
        <v>72.945521544062473</v>
      </c>
      <c r="M7" s="68">
        <f ca="1">'projekt 4'!$F7*SQRT(2*Arkusz1!$C$16/Arkusz1!$C$5/Arkusz1!$C$101*'projekt 4'!M$1)</f>
        <v>6.0991742015471662</v>
      </c>
    </row>
    <row r="8" spans="1:16" ht="15" x14ac:dyDescent="0.3">
      <c r="A8">
        <v>6</v>
      </c>
      <c r="B8" s="68">
        <f ca="1">OFFSET('projekty 2 i 3'!$T$37,-A8+1,0,1,1)</f>
        <v>0.99715357533733628</v>
      </c>
      <c r="C8" s="69">
        <f ca="1">OFFSET('projekty 2 i 3'!$R$37,-A8+1,0,1,1)</f>
        <v>7.9422790484599007E-2</v>
      </c>
      <c r="D8" s="68">
        <f ca="1">OFFSET('projekty 2 i 3'!$U$37,-A8+1,0,1,1)</f>
        <v>12.555005550084466</v>
      </c>
      <c r="E8" s="69">
        <f t="shared" ca="1" si="0"/>
        <v>0.99984425254796894</v>
      </c>
      <c r="F8" s="69">
        <f t="shared" ca="1" si="1"/>
        <v>7.9385686572285355E-2</v>
      </c>
      <c r="G8" s="68">
        <f t="shared" ca="1" si="2"/>
        <v>4.5539666300134805</v>
      </c>
      <c r="H8" s="67">
        <f ca="1">'projekt 4'!$E8*SQRT(2*Arkusz1!$C$16/Arkusz1!$C$5/Arkusz1!$C$101*'projekt 4'!I$1)</f>
        <v>63.399804617617065</v>
      </c>
      <c r="I8" s="68">
        <f ca="1">'projekt 4'!$F8*SQRT(2*Arkusz1!$C$16/Arkusz1!$C$5/Arkusz1!$C$101*'projekt 4'!I$1)</f>
        <v>5.0338210229165776</v>
      </c>
      <c r="J8" s="67">
        <f ca="1">'projekt 4'!$E8*SQRT(2*Arkusz1!$C$16/Arkusz1!$C$5/Arkusz1!$C$101*'projekt 4'!K$1)</f>
        <v>70.235788303627814</v>
      </c>
      <c r="K8" s="68">
        <f ca="1">'projekt 4'!$F8*SQRT(2*Arkusz1!$C$16/Arkusz1!$C$5/Arkusz1!$C$101*'projekt 4'!K$1)</f>
        <v>5.5765848153052024</v>
      </c>
      <c r="L8" s="67">
        <f ca="1">'projekt 4'!$E8*SQRT(2*Arkusz1!$C$16/Arkusz1!$C$5/Arkusz1!$C$101*'projekt 4'!M$1)</f>
        <v>76.463041344900915</v>
      </c>
      <c r="M8" s="68">
        <f ca="1">'projekt 4'!$F8*SQRT(2*Arkusz1!$C$16/Arkusz1!$C$5/Arkusz1!$C$101*'projekt 4'!M$1)</f>
        <v>6.0710165799335636</v>
      </c>
    </row>
    <row r="9" spans="1:16" ht="15" x14ac:dyDescent="0.3">
      <c r="A9">
        <v>7</v>
      </c>
      <c r="B9" s="68">
        <f ca="1">OFFSET('projekty 2 i 3'!$T$37,-A9+1,0,1,1)</f>
        <v>0.88283770977039544</v>
      </c>
      <c r="C9" s="69">
        <f ca="1">OFFSET('projekty 2 i 3'!$R$37,-A9+1,0,1,1)</f>
        <v>6.6398034352080651E-2</v>
      </c>
      <c r="D9" s="68">
        <f ca="1">OFFSET('projekty 2 i 3'!$U$37,-A9+1,0,1,1)</f>
        <v>13.296142248565387</v>
      </c>
      <c r="E9" s="69">
        <f t="shared" ca="1" si="0"/>
        <v>1.0627892300227295</v>
      </c>
      <c r="F9" s="69">
        <f t="shared" ca="1" si="1"/>
        <v>7.9707035501990348E-2</v>
      </c>
      <c r="G9" s="68">
        <f t="shared" ca="1" si="2"/>
        <v>4.3011057042529588</v>
      </c>
      <c r="H9" s="67">
        <f ca="1">'projekt 4'!$E9*SQRT(2*Arkusz1!$C$16/Arkusz1!$C$5/Arkusz1!$C$101*'projekt 4'!I$1)</f>
        <v>67.391125529239417</v>
      </c>
      <c r="I9" s="68">
        <f ca="1">'projekt 4'!$F9*SQRT(2*Arkusz1!$C$16/Arkusz1!$C$5/Arkusz1!$C$101*'projekt 4'!I$1)</f>
        <v>5.0541976558826205</v>
      </c>
      <c r="J9" s="67">
        <f ca="1">'projekt 4'!$E9*SQRT(2*Arkusz1!$C$16/Arkusz1!$C$5/Arkusz1!$C$101*'projekt 4'!K$1)</f>
        <v>74.657467081525084</v>
      </c>
      <c r="K9" s="68">
        <f ca="1">'projekt 4'!$F9*SQRT(2*Arkusz1!$C$16/Arkusz1!$C$5/Arkusz1!$C$101*'projekt 4'!K$1)</f>
        <v>5.5991585265015615</v>
      </c>
      <c r="L9" s="67">
        <f ca="1">'projekt 4'!$E9*SQRT(2*Arkusz1!$C$16/Arkusz1!$C$5/Arkusz1!$C$101*'projekt 4'!M$1)</f>
        <v>81.276755483719327</v>
      </c>
      <c r="M9" s="68">
        <f ca="1">'projekt 4'!$F9*SQRT(2*Arkusz1!$C$16/Arkusz1!$C$5/Arkusz1!$C$101*'projekt 4'!M$1)</f>
        <v>6.0955917239478001</v>
      </c>
    </row>
    <row r="10" spans="1:16" ht="15" x14ac:dyDescent="0.3">
      <c r="A10">
        <v>8</v>
      </c>
      <c r="B10" s="68">
        <f ca="1">OFFSET('projekty 2 i 3'!$T$37,-A10+1,0,1,1)</f>
        <v>0.80129597029400235</v>
      </c>
      <c r="C10" s="69">
        <f ca="1">OFFSET('projekty 2 i 3'!$R$37,-A10+1,0,1,1)</f>
        <v>5.7640363529286837E-2</v>
      </c>
      <c r="D10" s="68">
        <f ca="1">OFFSET('projekty 2 i 3'!$U$37,-A10+1,0,1,1)</f>
        <v>13.901646714751671</v>
      </c>
      <c r="E10" s="69">
        <f t="shared" ca="1" si="0"/>
        <v>1.115689012668494</v>
      </c>
      <c r="F10" s="69">
        <f t="shared" ca="1" si="1"/>
        <v>8.0049049530968946E-2</v>
      </c>
      <c r="G10" s="68">
        <f t="shared" ca="1" si="2"/>
        <v>4.114423342165491</v>
      </c>
      <c r="H10" s="67">
        <f ca="1">'projekt 4'!$E10*SQRT(2*Arkusz1!$C$16/Arkusz1!$C$5/Arkusz1!$C$101*'projekt 4'!I$1)</f>
        <v>70.745483846056345</v>
      </c>
      <c r="I10" s="68">
        <f ca="1">'projekt 4'!$F10*SQRT(2*Arkusz1!$C$16/Arkusz1!$C$5/Arkusz1!$C$101*'projekt 4'!I$1)</f>
        <v>5.0758846561913877</v>
      </c>
      <c r="J10" s="67">
        <f ca="1">'projekt 4'!$E10*SQRT(2*Arkusz1!$C$16/Arkusz1!$C$5/Arkusz1!$C$101*'projekt 4'!K$1)</f>
        <v>78.373503779988354</v>
      </c>
      <c r="K10" s="68">
        <f ca="1">'projekt 4'!$F10*SQRT(2*Arkusz1!$C$16/Arkusz1!$C$5/Arkusz1!$C$101*'projekt 4'!K$1)</f>
        <v>5.6231838933274405</v>
      </c>
      <c r="L10" s="67">
        <f ca="1">'projekt 4'!$E10*SQRT(2*Arkusz1!$C$16/Arkusz1!$C$5/Arkusz1!$C$101*'projekt 4'!M$1)</f>
        <v>85.322263828915624</v>
      </c>
      <c r="M10" s="68">
        <f ca="1">'projekt 4'!$F10*SQRT(2*Arkusz1!$C$16/Arkusz1!$C$5/Arkusz1!$C$101*'projekt 4'!M$1)</f>
        <v>6.1217472304396194</v>
      </c>
    </row>
    <row r="11" spans="1:16" ht="15" x14ac:dyDescent="0.3">
      <c r="A11">
        <v>9</v>
      </c>
      <c r="B11" s="68">
        <f ca="1">OFFSET('projekty 2 i 3'!$T$37,-A11+1,0,1,1)</f>
        <v>0.61069796845514823</v>
      </c>
      <c r="C11" s="69">
        <f ca="1">OFFSET('projekty 2 i 3'!$R$37,-A11+1,0,1,1)</f>
        <v>4.05634782251739E-2</v>
      </c>
      <c r="D11" s="68">
        <f ca="1">OFFSET('projekty 2 i 3'!$U$37,-A11+1,0,1,1)</f>
        <v>15.055364953297964</v>
      </c>
      <c r="E11" s="69">
        <f t="shared" ca="1" si="0"/>
        <v>1.2782294196906303</v>
      </c>
      <c r="F11" s="69">
        <f t="shared" ca="1" si="1"/>
        <v>8.4715253506874991E-2</v>
      </c>
      <c r="G11" s="68">
        <f t="shared" ca="1" si="2"/>
        <v>3.8000900374780455</v>
      </c>
      <c r="H11" s="67">
        <f ca="1">'projekt 4'!$E11*SQRT(2*Arkusz1!$C$16/Arkusz1!$C$5/Arkusz1!$C$101*'projekt 4'!I$1)</f>
        <v>81.052119125911588</v>
      </c>
      <c r="I11" s="68">
        <f ca="1">'projekt 4'!$F11*SQRT(2*Arkusz1!$C$16/Arkusz1!$C$5/Arkusz1!$C$101*'projekt 4'!I$1)</f>
        <v>5.3717671595157723</v>
      </c>
      <c r="J11" s="67">
        <f ca="1">'projekt 4'!$E11*SQRT(2*Arkusz1!$C$16/Arkusz1!$C$5/Arkusz1!$C$101*'projekt 4'!K$1)</f>
        <v>89.791435712186527</v>
      </c>
      <c r="K11" s="68">
        <f ca="1">'projekt 4'!$F11*SQRT(2*Arkusz1!$C$16/Arkusz1!$C$5/Arkusz1!$C$101*'projekt 4'!K$1)</f>
        <v>5.9509694597275038</v>
      </c>
      <c r="L11" s="67">
        <f ca="1">'projekt 4'!$E11*SQRT(2*Arkusz1!$C$16/Arkusz1!$C$5/Arkusz1!$C$101*'projekt 4'!M$1)</f>
        <v>97.752533674122702</v>
      </c>
      <c r="M11" s="68">
        <f ca="1">'projekt 4'!$F11*SQRT(2*Arkusz1!$C$16/Arkusz1!$C$5/Arkusz1!$C$101*'projekt 4'!M$1)</f>
        <v>6.4785949560970986</v>
      </c>
    </row>
    <row r="12" spans="1:16" ht="15" x14ac:dyDescent="0.3">
      <c r="A12">
        <v>10</v>
      </c>
      <c r="B12" s="68">
        <f ca="1">OFFSET('projekty 2 i 3'!$T$37,-A12+1,0,1,1)</f>
        <v>0.49105094045643827</v>
      </c>
      <c r="C12" s="69">
        <f ca="1">OFFSET('projekty 2 i 3'!$R$37,-A12+1,0,1,1)</f>
        <v>3.1720934920332573E-2</v>
      </c>
      <c r="D12" s="68">
        <f ca="1">OFFSET('projekty 2 i 3'!$U$37,-A12+1,0,1,1)</f>
        <v>15.48034260937508</v>
      </c>
      <c r="E12" s="69">
        <f t="shared" ca="1" si="0"/>
        <v>1.4255570470891401</v>
      </c>
      <c r="F12" s="69">
        <f t="shared" ca="1" si="1"/>
        <v>9.1896671796014323E-2</v>
      </c>
      <c r="G12" s="68">
        <f t="shared" ca="1" si="2"/>
        <v>3.6960604310979366</v>
      </c>
      <c r="H12" s="67">
        <f ca="1">'projekt 4'!$E12*SQRT(2*Arkusz1!$C$16/Arkusz1!$C$5/Arkusz1!$C$101*'projekt 4'!I$1)</f>
        <v>90.394116910105964</v>
      </c>
      <c r="I12" s="68">
        <f ca="1">'projekt 4'!$F12*SQRT(2*Arkusz1!$C$16/Arkusz1!$C$5/Arkusz1!$C$101*'projekt 4'!I$1)</f>
        <v>5.8271385988659938</v>
      </c>
      <c r="J12" s="67">
        <f ca="1">'projekt 4'!$E12*SQRT(2*Arkusz1!$C$16/Arkusz1!$C$5/Arkusz1!$C$101*'projekt 4'!K$1)</f>
        <v>100.14071963602551</v>
      </c>
      <c r="K12" s="68">
        <f ca="1">'projekt 4'!$F12*SQRT(2*Arkusz1!$C$16/Arkusz1!$C$5/Arkusz1!$C$101*'projekt 4'!K$1)</f>
        <v>6.4554406044987163</v>
      </c>
      <c r="L12" s="67">
        <f ca="1">'projekt 4'!$E12*SQRT(2*Arkusz1!$C$16/Arkusz1!$C$5/Arkusz1!$C$101*'projekt 4'!M$1)</f>
        <v>109.01940692594245</v>
      </c>
      <c r="M12" s="68">
        <f ca="1">'projekt 4'!$F12*SQRT(2*Arkusz1!$C$16/Arkusz1!$C$5/Arkusz1!$C$101*'projekt 4'!M$1)</f>
        <v>7.0277935759402865</v>
      </c>
    </row>
    <row r="13" spans="1:16" ht="15" x14ac:dyDescent="0.3">
      <c r="A13">
        <v>11</v>
      </c>
      <c r="B13" s="68">
        <f ca="1">OFFSET('projekty 2 i 3'!$T$37,-A13+1,0,1,1)</f>
        <v>0.38343067700662098</v>
      </c>
      <c r="C13" s="69">
        <f ca="1">OFFSET('projekty 2 i 3'!$R$37,-A13+1,0,1,1)</f>
        <v>2.5218761167003289E-2</v>
      </c>
      <c r="D13" s="68">
        <f ca="1">OFFSET('projekty 2 i 3'!$U$37,-A13+1,0,1,1)</f>
        <v>15.204183681643689</v>
      </c>
      <c r="E13" s="69">
        <f t="shared" ca="1" si="0"/>
        <v>1.6131988697346624</v>
      </c>
      <c r="F13" s="69">
        <f t="shared" ca="1" si="1"/>
        <v>0.10587355009915053</v>
      </c>
      <c r="G13" s="68">
        <f t="shared" ca="1" si="2"/>
        <v>3.7630021049257514</v>
      </c>
      <c r="H13" s="67">
        <f ca="1">'projekt 4'!$E13*SQRT(2*Arkusz1!$C$16/Arkusz1!$C$5/Arkusz1!$C$101*'projekt 4'!I$1)</f>
        <v>102.292424935084</v>
      </c>
      <c r="I13" s="68">
        <f ca="1">'projekt 4'!$F13*SQRT(2*Arkusz1!$C$16/Arkusz1!$C$5/Arkusz1!$C$101*'projekt 4'!I$1)</f>
        <v>6.7134079866480016</v>
      </c>
      <c r="J13" s="67">
        <f ca="1">'projekt 4'!$E13*SQRT(2*Arkusz1!$C$16/Arkusz1!$C$5/Arkusz1!$C$101*'projekt 4'!K$1)</f>
        <v>113.32194391035867</v>
      </c>
      <c r="K13" s="68">
        <f ca="1">'projekt 4'!$F13*SQRT(2*Arkusz1!$C$16/Arkusz1!$C$5/Arkusz1!$C$101*'projekt 4'!K$1)</f>
        <v>7.4372705876615646</v>
      </c>
      <c r="L13" s="67">
        <f ca="1">'projekt 4'!$E13*SQRT(2*Arkusz1!$C$16/Arkusz1!$C$5/Arkusz1!$C$101*'projekt 4'!M$1)</f>
        <v>123.36930632918853</v>
      </c>
      <c r="M13" s="68">
        <f ca="1">'projekt 4'!$F13*SQRT(2*Arkusz1!$C$16/Arkusz1!$C$5/Arkusz1!$C$101*'projekt 4'!M$1)</f>
        <v>8.0966746750133431</v>
      </c>
    </row>
    <row r="14" spans="1:16" ht="15" x14ac:dyDescent="0.3">
      <c r="A14">
        <v>12</v>
      </c>
      <c r="B14" s="68">
        <f ca="1">OFFSET('projekty 2 i 3'!$T$37,-A14+1,0,1,1)</f>
        <v>0.28370541767522434</v>
      </c>
      <c r="C14" s="69">
        <f ca="1">OFFSET('projekty 2 i 3'!$R$37,-A14+1,0,1,1)</f>
        <v>2.0269092744556485E-2</v>
      </c>
      <c r="D14" s="68">
        <f ca="1">OFFSET('projekty 2 i 3'!$U$37,-A14+1,0,1,1)</f>
        <v>13.996947039053682</v>
      </c>
      <c r="E14" s="69">
        <f t="shared" ca="1" si="0"/>
        <v>1.8750523881842782</v>
      </c>
      <c r="F14" s="69">
        <f t="shared" ca="1" si="1"/>
        <v>0.13362094184044271</v>
      </c>
      <c r="G14" s="68">
        <f t="shared" ca="1" si="2"/>
        <v>4.0865049004661902</v>
      </c>
      <c r="H14" s="67">
        <f ca="1">'projekt 4'!$E14*SQRT(2*Arkusz1!$C$16/Arkusz1!$C$5/Arkusz1!$C$101*'projekt 4'!I$1)</f>
        <v>118.89647288138627</v>
      </c>
      <c r="I14" s="68">
        <f ca="1">'projekt 4'!$F14*SQRT(2*Arkusz1!$C$16/Arkusz1!$C$5/Arkusz1!$C$101*'projekt 4'!I$1)</f>
        <v>8.4728612320543473</v>
      </c>
      <c r="J14" s="67">
        <f ca="1">'projekt 4'!$E14*SQRT(2*Arkusz1!$C$16/Arkusz1!$C$5/Arkusz1!$C$101*'projekt 4'!K$1)</f>
        <v>131.71629707238273</v>
      </c>
      <c r="K14" s="68">
        <f ca="1">'projekt 4'!$F14*SQRT(2*Arkusz1!$C$16/Arkusz1!$C$5/Arkusz1!$C$101*'projekt 4'!K$1)</f>
        <v>9.3864340972309996</v>
      </c>
      <c r="L14" s="67">
        <f ca="1">'projekt 4'!$E14*SQRT(2*Arkusz1!$C$16/Arkusz1!$C$5/Arkusz1!$C$101*'projekt 4'!M$1)</f>
        <v>143.39454161608154</v>
      </c>
      <c r="M14" s="68">
        <f ca="1">'projekt 4'!$F14*SQRT(2*Arkusz1!$C$16/Arkusz1!$C$5/Arkusz1!$C$101*'projekt 4'!M$1)</f>
        <v>10.218655129990053</v>
      </c>
    </row>
    <row r="15" spans="1:16" ht="15" x14ac:dyDescent="0.3">
      <c r="A15">
        <v>13</v>
      </c>
      <c r="B15" s="68">
        <f ca="1">OFFSET('projekty 2 i 3'!$T$37,-A15+1,0,1,1)</f>
        <v>0.24553283209740218</v>
      </c>
      <c r="C15" s="69">
        <f ca="1">OFFSET('projekty 2 i 3'!$R$37,-A15+1,0,1,1)</f>
        <v>1.8807605843098898E-2</v>
      </c>
      <c r="D15" s="68">
        <f ca="1">OFFSET('projekty 2 i 3'!$U$37,-A15+1,0,1,1)</f>
        <v>13.054975425673113</v>
      </c>
      <c r="E15" s="69">
        <f t="shared" ca="1" si="0"/>
        <v>2.0151622872368287</v>
      </c>
      <c r="F15" s="69">
        <f t="shared" ca="1" si="1"/>
        <v>0.15390885080956063</v>
      </c>
      <c r="G15" s="68">
        <f t="shared" ca="1" si="2"/>
        <v>4.3802543363176305</v>
      </c>
      <c r="H15" s="67">
        <f ca="1">'projekt 4'!$E15*SQRT(2*Arkusz1!$C$16/Arkusz1!$C$5/Arkusz1!$C$101*'projekt 4'!I$1)</f>
        <v>127.78079681712804</v>
      </c>
      <c r="I15" s="68">
        <f ca="1">'projekt 4'!$F15*SQRT(2*Arkusz1!$C$16/Arkusz1!$C$5/Arkusz1!$C$101*'projekt 4'!I$1)</f>
        <v>9.7593110580789926</v>
      </c>
      <c r="J15" s="67">
        <f ca="1">'projekt 4'!$E15*SQRT(2*Arkusz1!$C$16/Arkusz1!$C$5/Arkusz1!$C$101*'projekt 4'!K$1)</f>
        <v>141.55855918872717</v>
      </c>
      <c r="K15" s="68">
        <f ca="1">'projekt 4'!$F15*SQRT(2*Arkusz1!$C$16/Arkusz1!$C$5/Arkusz1!$C$101*'projekt 4'!K$1)</f>
        <v>10.811593341630292</v>
      </c>
      <c r="L15" s="67">
        <f ca="1">'projekt 4'!$E15*SQRT(2*Arkusz1!$C$16/Arkusz1!$C$5/Arkusz1!$C$101*'projekt 4'!M$1)</f>
        <v>154.10943943820118</v>
      </c>
      <c r="M15" s="68">
        <f ca="1">'projekt 4'!$F15*SQRT(2*Arkusz1!$C$16/Arkusz1!$C$5/Arkusz1!$C$101*'projekt 4'!M$1)</f>
        <v>11.770171997096137</v>
      </c>
    </row>
    <row r="16" spans="1:16" ht="15" x14ac:dyDescent="0.3">
      <c r="A16">
        <v>14</v>
      </c>
      <c r="B16" s="68">
        <f ca="1">OFFSET('projekty 2 i 3'!$T$37,-A16+1,0,1,1)</f>
        <v>0.19996399781854629</v>
      </c>
      <c r="C16" s="69">
        <f ca="1">OFFSET('projekty 2 i 3'!$R$37,-A16+1,0,1,1)</f>
        <v>1.7458921499102192E-2</v>
      </c>
      <c r="D16" s="68">
        <f ca="1">OFFSET('projekty 2 i 3'!$U$37,-A16+1,0,1,1)</f>
        <v>11.453399216488215</v>
      </c>
      <c r="E16" s="69">
        <f t="shared" ca="1" si="0"/>
        <v>2.2320276307859928</v>
      </c>
      <c r="F16" s="69">
        <f t="shared" ca="1" si="1"/>
        <v>0.19414048571737869</v>
      </c>
      <c r="G16" s="68">
        <f t="shared" ca="1" si="2"/>
        <v>4.9898593763079671</v>
      </c>
      <c r="H16" s="67">
        <f ca="1">'projekt 4'!$E16*SQRT(2*Arkusz1!$C$16/Arkusz1!$C$5/Arkusz1!$C$101*'projekt 4'!I$1)</f>
        <v>141.5321589660941</v>
      </c>
      <c r="I16" s="68">
        <f ca="1">'projekt 4'!$F16*SQRT(2*Arkusz1!$C$16/Arkusz1!$C$5/Arkusz1!$C$101*'projekt 4'!I$1)</f>
        <v>12.310386174131224</v>
      </c>
      <c r="J16" s="67">
        <f ca="1">'projekt 4'!$E16*SQRT(2*Arkusz1!$C$16/Arkusz1!$C$5/Arkusz1!$C$101*'projekt 4'!K$1)</f>
        <v>156.79264021794413</v>
      </c>
      <c r="K16" s="68">
        <f ca="1">'projekt 4'!$F16*SQRT(2*Arkusz1!$C$16/Arkusz1!$C$5/Arkusz1!$C$101*'projekt 4'!K$1)</f>
        <v>13.637734098346584</v>
      </c>
      <c r="L16" s="67">
        <f ca="1">'projekt 4'!$E16*SQRT(2*Arkusz1!$C$16/Arkusz1!$C$5/Arkusz1!$C$101*'projekt 4'!M$1)</f>
        <v>170.69420620344326</v>
      </c>
      <c r="M16" s="68">
        <f ca="1">'projekt 4'!$F16*SQRT(2*Arkusz1!$C$16/Arkusz1!$C$5/Arkusz1!$C$101*'projekt 4'!M$1)</f>
        <v>14.846884350535269</v>
      </c>
    </row>
    <row r="17" spans="1:13" ht="15" x14ac:dyDescent="0.3">
      <c r="A17">
        <v>15</v>
      </c>
      <c r="B17" s="68">
        <f ca="1">OFFSET('projekty 2 i 3'!$T$37,-A17+1,0,1,1)</f>
        <v>0.15059776068311836</v>
      </c>
      <c r="C17" s="69">
        <f ca="1">OFFSET('projekty 2 i 3'!$R$37,-A17+1,0,1,1)</f>
        <v>1.625791265678609E-2</v>
      </c>
      <c r="D17" s="68">
        <f ca="1">OFFSET('projekty 2 i 3'!$U$37,-A17+1,0,1,1)</f>
        <v>9.2630440243052057</v>
      </c>
      <c r="E17" s="69">
        <f t="shared" ca="1" si="0"/>
        <v>2.5694057499563323</v>
      </c>
      <c r="F17" s="69">
        <f t="shared" ca="1" si="1"/>
        <v>0.27578005956612572</v>
      </c>
      <c r="G17" s="68">
        <f t="shared" ca="1" si="2"/>
        <v>6.1615532639976029</v>
      </c>
      <c r="H17" s="67">
        <f ca="1">'projekt 4'!$E17*SQRT(2*Arkusz1!$C$16/Arkusz1!$C$5/Arkusz1!$C$101*'projekt 4'!I$1)</f>
        <v>162.9251977150291</v>
      </c>
      <c r="I17" s="68">
        <f ca="1">'projekt 4'!$F17*SQRT(2*Arkusz1!$C$16/Arkusz1!$C$5/Arkusz1!$C$101*'projekt 4'!I$1)</f>
        <v>17.487125469162336</v>
      </c>
      <c r="J17" s="67">
        <f ca="1">'projekt 4'!$E17*SQRT(2*Arkusz1!$C$16/Arkusz1!$C$5/Arkusz1!$C$101*'projekt 4'!K$1)</f>
        <v>180.49234954360955</v>
      </c>
      <c r="K17" s="68">
        <f ca="1">'projekt 4'!$F17*SQRT(2*Arkusz1!$C$16/Arkusz1!$C$5/Arkusz1!$C$101*'projekt 4'!K$1)</f>
        <v>19.3726471224767</v>
      </c>
      <c r="L17" s="67">
        <f ca="1">'projekt 4'!$E17*SQRT(2*Arkusz1!$C$16/Arkusz1!$C$5/Arkusz1!$C$101*'projekt 4'!M$1)</f>
        <v>196.49518171462563</v>
      </c>
      <c r="M17" s="68">
        <f ca="1">'projekt 4'!$F17*SQRT(2*Arkusz1!$C$16/Arkusz1!$C$5/Arkusz1!$C$101*'projekt 4'!M$1)</f>
        <v>21.090266852028769</v>
      </c>
    </row>
    <row r="18" spans="1:13" ht="15" x14ac:dyDescent="0.3">
      <c r="A18">
        <v>16</v>
      </c>
      <c r="B18" s="68">
        <f ca="1">OFFSET('projekty 2 i 3'!$T$37,-A18+1,0,1,1)</f>
        <v>0.12036745558962807</v>
      </c>
      <c r="C18" s="69">
        <f ca="1">OFFSET('projekty 2 i 3'!$R$37,-A18+1,0,1,1)</f>
        <v>1.6140964673517149E-2</v>
      </c>
      <c r="D18" s="68">
        <f ca="1">OFFSET('projekty 2 i 3'!$U$37,-A18+1,0,1,1)</f>
        <v>7.4572652889277249</v>
      </c>
      <c r="E18" s="69">
        <f t="shared" ca="1" si="0"/>
        <v>2.8695277086681505</v>
      </c>
      <c r="F18" s="69">
        <f t="shared" ca="1" si="1"/>
        <v>0.38138249466611429</v>
      </c>
      <c r="G18" s="68">
        <f t="shared" ca="1" si="2"/>
        <v>7.6376530308520856</v>
      </c>
      <c r="H18" s="67">
        <f ca="1">'projekt 4'!$E18*SQRT(2*Arkusz1!$C$16/Arkusz1!$C$5/Arkusz1!$C$101*'projekt 4'!I$1)</f>
        <v>181.95583523211872</v>
      </c>
      <c r="I18" s="68">
        <f ca="1">'projekt 4'!$F18*SQRT(2*Arkusz1!$C$16/Arkusz1!$C$5/Arkusz1!$C$101*'projekt 4'!I$1)</f>
        <v>24.183342140330982</v>
      </c>
      <c r="J18" s="67">
        <f ca="1">'projekt 4'!$E18*SQRT(2*Arkusz1!$C$16/Arkusz1!$C$5/Arkusz1!$C$101*'projekt 4'!K$1)</f>
        <v>201.57493546000165</v>
      </c>
      <c r="K18" s="68">
        <f ca="1">'projekt 4'!$F18*SQRT(2*Arkusz1!$C$16/Arkusz1!$C$5/Arkusz1!$C$101*'projekt 4'!K$1)</f>
        <v>26.790872768250011</v>
      </c>
      <c r="L18" s="67">
        <f ca="1">'projekt 4'!$E18*SQRT(2*Arkusz1!$C$16/Arkusz1!$C$5/Arkusz1!$C$101*'projekt 4'!M$1)</f>
        <v>219.44699413842454</v>
      </c>
      <c r="M18" s="68">
        <f ca="1">'projekt 4'!$F18*SQRT(2*Arkusz1!$C$16/Arkusz1!$C$5/Arkusz1!$C$101*'projekt 4'!M$1)</f>
        <v>29.166208020461148</v>
      </c>
    </row>
    <row r="19" spans="1:13" ht="15" x14ac:dyDescent="0.3">
      <c r="A19">
        <v>17</v>
      </c>
      <c r="B19" s="68">
        <f ca="1">OFFSET('projekty 2 i 3'!$T$37,-A19+1,0,1,1)</f>
        <v>9.3884914099684205E-2</v>
      </c>
      <c r="C19" s="69">
        <f ca="1">OFFSET('projekty 2 i 3'!$R$37,-A19+1,0,1,1)</f>
        <v>1.5747730981753884E-2</v>
      </c>
      <c r="D19" s="68">
        <f ca="1">OFFSET('projekty 2 i 3'!$U$37,-A19+1,0,1,1)</f>
        <v>5.9618058124350739</v>
      </c>
      <c r="E19" s="69">
        <f t="shared" ca="1" si="0"/>
        <v>3.2410786874274558</v>
      </c>
      <c r="F19" s="69">
        <f t="shared" ca="1" si="1"/>
        <v>0.53615049616389043</v>
      </c>
      <c r="G19" s="68">
        <f t="shared" ca="1" si="2"/>
        <v>9.5218358135731496</v>
      </c>
      <c r="H19" s="67">
        <f ca="1">'projekt 4'!$E19*SQRT(2*Arkusz1!$C$16/Arkusz1!$C$5/Arkusz1!$C$101*'projekt 4'!I$1)</f>
        <v>205.51576408983269</v>
      </c>
      <c r="I19" s="68">
        <f ca="1">'projekt 4'!$F19*SQRT(2*Arkusz1!$C$16/Arkusz1!$C$5/Arkusz1!$C$101*'projekt 4'!I$1)</f>
        <v>33.997131669062924</v>
      </c>
      <c r="J19" s="67">
        <f ca="1">'projekt 4'!$E19*SQRT(2*Arkusz1!$C$16/Arkusz1!$C$5/Arkusz1!$C$101*'projekt 4'!K$1)</f>
        <v>227.67517639416883</v>
      </c>
      <c r="K19" s="68">
        <f ca="1">'projekt 4'!$F19*SQRT(2*Arkusz1!$C$16/Arkusz1!$C$5/Arkusz1!$C$101*'projekt 4'!K$1)</f>
        <v>37.662818635490815</v>
      </c>
      <c r="L19" s="67">
        <f ca="1">'projekt 4'!$E19*SQRT(2*Arkusz1!$C$16/Arkusz1!$C$5/Arkusz1!$C$101*'projekt 4'!M$1)</f>
        <v>247.86133745060769</v>
      </c>
      <c r="M19" s="68">
        <f ca="1">'projekt 4'!$F19*SQRT(2*Arkusz1!$C$16/Arkusz1!$C$5/Arkusz1!$C$101*'projekt 4'!M$1)</f>
        <v>41.002083525305729</v>
      </c>
    </row>
    <row r="36" spans="2:11" ht="15.6" x14ac:dyDescent="0.35">
      <c r="C36" s="28" t="s">
        <v>218</v>
      </c>
      <c r="D36">
        <f>I1</f>
        <v>2640</v>
      </c>
      <c r="F36" s="29" t="s">
        <v>219</v>
      </c>
      <c r="G36">
        <f>K1</f>
        <v>3240</v>
      </c>
      <c r="I36" s="30" t="s">
        <v>220</v>
      </c>
      <c r="J36">
        <f>M1</f>
        <v>3840</v>
      </c>
    </row>
    <row r="37" spans="2:11" x14ac:dyDescent="0.3">
      <c r="C37" t="s">
        <v>213</v>
      </c>
      <c r="D37" t="s">
        <v>212</v>
      </c>
      <c r="E37" t="s">
        <v>100</v>
      </c>
      <c r="F37" t="s">
        <v>211</v>
      </c>
      <c r="G37" t="s">
        <v>212</v>
      </c>
      <c r="H37" t="s">
        <v>100</v>
      </c>
      <c r="I37" t="s">
        <v>211</v>
      </c>
      <c r="J37" t="s">
        <v>212</v>
      </c>
      <c r="K37" t="s">
        <v>100</v>
      </c>
    </row>
    <row r="38" spans="2:11" ht="15.6" x14ac:dyDescent="0.35">
      <c r="B38" t="s">
        <v>214</v>
      </c>
      <c r="C38" s="67">
        <f>SQRT(2*Arkusz1!$C$16/Arkusz1!$C$5/Arkusz1!$C$101/SQRT(Arkusz1!$C$95*PI()*Arkusz1!$C$93)*'projekt 4'!D$36)</f>
        <v>89.674830168348478</v>
      </c>
      <c r="D38" s="2">
        <v>90</v>
      </c>
      <c r="E38" s="67">
        <f>100*ABS(C38-D38)/MAX(C38:D38)</f>
        <v>0.36129981294613522</v>
      </c>
      <c r="F38" s="67">
        <f>SQRT(2*Arkusz1!$C$16/Arkusz1!$C$5/Arkusz1!$C$101/SQRT(Arkusz1!$C$95*PI()*Arkusz1!$C$93)*'projekt 4'!G$36)</f>
        <v>99.343876938664152</v>
      </c>
      <c r="G38" s="2">
        <v>99</v>
      </c>
      <c r="H38" s="67">
        <f>100*ABS(F38-G38)/MAX(F38:G38)</f>
        <v>0.34614809614936343</v>
      </c>
      <c r="I38" s="67">
        <f>SQRT(2*Arkusz1!$C$16/Arkusz1!$C$5/Arkusz1!$C$101/SQRT(Arkusz1!$C$95*PI()*Arkusz1!$C$93)*'projekt 4'!J$36)</f>
        <v>108.1519144753654</v>
      </c>
      <c r="J38" s="2">
        <v>108</v>
      </c>
      <c r="K38" s="67">
        <f>100*ABS(I38-J38)/MAX(I38:J38)</f>
        <v>0.14046397246162901</v>
      </c>
    </row>
    <row r="39" spans="2:11" ht="15.6" x14ac:dyDescent="0.35">
      <c r="B39" t="s">
        <v>215</v>
      </c>
      <c r="C39" s="67">
        <f>C38/(3^(1/4))</f>
        <v>68.138136066657168</v>
      </c>
      <c r="D39" s="2">
        <v>68</v>
      </c>
      <c r="E39" s="67">
        <f t="shared" ref="E39:E41" si="3">100*ABS(C39-D39)/MAX(C39:D39)</f>
        <v>0.2027294473127858</v>
      </c>
      <c r="F39" s="67">
        <f t="shared" ref="F39:I39" si="4">F38/(3^(1/4))</f>
        <v>75.485022848977295</v>
      </c>
      <c r="G39" s="2">
        <v>75.5</v>
      </c>
      <c r="H39" s="67">
        <f t="shared" ref="H39:H41" si="5">100*ABS(F39-G39)/MAX(F39:G39)</f>
        <v>1.9837286122788702E-2</v>
      </c>
      <c r="I39" s="67">
        <f t="shared" si="4"/>
        <v>82.177684089921655</v>
      </c>
      <c r="J39" s="2">
        <v>82</v>
      </c>
      <c r="K39" s="67">
        <f t="shared" ref="K39:K41" si="6">100*ABS(I39-J39)/MAX(I39:J39)</f>
        <v>0.21621939324455425</v>
      </c>
    </row>
    <row r="40" spans="2:11" ht="15.6" x14ac:dyDescent="0.35">
      <c r="B40" t="s">
        <v>216</v>
      </c>
      <c r="C40" s="67">
        <f>SQRT(8*SQRT(Arkusz1!$C$93)*Arkusz1!$C$16/Arkusz1!$C$5/Arkusz1!$C$101/((Arkusz1!$C$95*PI())^(3/2))*'projekt 4'!D$36)</f>
        <v>5.5598394704376064</v>
      </c>
      <c r="D40" s="2">
        <v>5.5</v>
      </c>
      <c r="E40" s="67">
        <f t="shared" si="3"/>
        <v>1.0762805429146056</v>
      </c>
      <c r="F40" s="67">
        <f>SQRT(8*SQRT(Arkusz1!$C$93)*Arkusz1!$C$16/Arkusz1!$C$5/Arkusz1!$C$101/((Arkusz1!$C$95*PI())^(3/2))*'projekt 4'!G$36)</f>
        <v>6.1593203701971779</v>
      </c>
      <c r="G40" s="2">
        <v>6</v>
      </c>
      <c r="H40" s="67">
        <f t="shared" si="5"/>
        <v>2.5866550304490432</v>
      </c>
      <c r="I40" s="67">
        <f>SQRT(8*SQRT(Arkusz1!$C$93)*Arkusz1!$C$16/Arkusz1!$C$5/Arkusz1!$C$101/((Arkusz1!$C$95*PI())^(3/2))*'projekt 4'!J$36)</f>
        <v>6.7054186974726555</v>
      </c>
      <c r="J40" s="2">
        <v>6.5</v>
      </c>
      <c r="K40" s="67">
        <f t="shared" si="6"/>
        <v>3.063473091547289</v>
      </c>
    </row>
    <row r="41" spans="2:11" ht="15.6" x14ac:dyDescent="0.35">
      <c r="B41" t="s">
        <v>217</v>
      </c>
      <c r="C41" s="67">
        <f>C40*2/(3^(3/4))</f>
        <v>4.8781068288203215</v>
      </c>
      <c r="D41" s="2">
        <v>5</v>
      </c>
      <c r="E41" s="67">
        <f t="shared" si="3"/>
        <v>2.4378634235935692</v>
      </c>
      <c r="F41" s="67">
        <f t="shared" ref="F41:I41" si="7">F40*2/(3^(3/4))</f>
        <v>5.4040809844436213</v>
      </c>
      <c r="G41" s="2">
        <v>5.5</v>
      </c>
      <c r="H41" s="67">
        <f t="shared" si="5"/>
        <v>1.7439821010250676</v>
      </c>
      <c r="I41" s="67">
        <f t="shared" si="7"/>
        <v>5.8832181958063421</v>
      </c>
      <c r="J41" s="2">
        <v>6</v>
      </c>
      <c r="K41" s="67">
        <f t="shared" si="6"/>
        <v>1.9463634032276318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AA2B-1DE6-4258-924D-06FBFD87E02D}">
  <dimension ref="A1:N68"/>
  <sheetViews>
    <sheetView zoomScale="85" zoomScaleNormal="85" workbookViewId="0">
      <selection activeCell="K23" sqref="K23:L23"/>
    </sheetView>
  </sheetViews>
  <sheetFormatPr defaultRowHeight="14.4" x14ac:dyDescent="0.3"/>
  <cols>
    <col min="1" max="16384" width="8.88671875" style="32"/>
  </cols>
  <sheetData>
    <row r="1" spans="1:14" ht="15.6" x14ac:dyDescent="0.3">
      <c r="A1" s="76" t="s">
        <v>263</v>
      </c>
      <c r="B1" s="97">
        <f>Arkusz1!C9</f>
        <v>9800</v>
      </c>
      <c r="C1" s="97"/>
      <c r="D1" s="97"/>
      <c r="E1" s="97"/>
      <c r="F1" s="97"/>
      <c r="G1" s="97"/>
      <c r="H1" s="97"/>
      <c r="I1" s="97"/>
    </row>
    <row r="2" spans="1:14" ht="15.6" thickBot="1" x14ac:dyDescent="0.35">
      <c r="A2" s="78" t="s">
        <v>262</v>
      </c>
      <c r="B2" s="77">
        <f>Arkusz1!$C$26*(1-B4*10/443)^4.256</f>
        <v>1.2255</v>
      </c>
      <c r="C2" s="77">
        <f>Arkusz1!$C$26*(1-C4*10/443)^4.256</f>
        <v>1.0067546873840096</v>
      </c>
      <c r="D2" s="77">
        <f>Arkusz1!$C$26*(1-D4*10/443)^4.256</f>
        <v>0.81921393881961735</v>
      </c>
      <c r="E2" s="77">
        <f>Arkusz1!$C$26*(1-E4*10/443)^4.256</f>
        <v>0.65964919805020483</v>
      </c>
      <c r="F2" s="77">
        <f>Arkusz1!$C$26*(1-F4*10/443)^4.256</f>
        <v>0.52502701808540919</v>
      </c>
      <c r="G2" s="77">
        <f>Arkusz1!$C$26*(1-G4*10/443)^4.256</f>
        <v>0.41250653364731776</v>
      </c>
      <c r="H2" s="77">
        <f>Arkusz1!$C$26*(1-H4*10/443)^4.256</f>
        <v>0.31943683325898986</v>
      </c>
      <c r="I2" s="77">
        <f>Arkusz1!$C$26*(1-I4*10/443)^4.256</f>
        <v>0.24335422109432633</v>
      </c>
    </row>
    <row r="3" spans="1:14" ht="16.2" thickBot="1" x14ac:dyDescent="0.35">
      <c r="A3" s="95" t="s">
        <v>102</v>
      </c>
      <c r="B3" s="92" t="s">
        <v>261</v>
      </c>
      <c r="C3" s="93"/>
      <c r="D3" s="93"/>
      <c r="E3" s="93"/>
      <c r="F3" s="93"/>
      <c r="G3" s="93"/>
      <c r="H3" s="93"/>
      <c r="I3" s="94"/>
    </row>
    <row r="4" spans="1:14" ht="16.2" thickBot="1" x14ac:dyDescent="0.35">
      <c r="A4" s="96"/>
      <c r="B4" s="73">
        <v>0</v>
      </c>
      <c r="C4" s="74">
        <v>2</v>
      </c>
      <c r="D4" s="74">
        <v>4</v>
      </c>
      <c r="E4" s="74">
        <v>6</v>
      </c>
      <c r="F4" s="74">
        <v>8</v>
      </c>
      <c r="G4" s="74">
        <v>10</v>
      </c>
      <c r="H4" s="74">
        <v>12</v>
      </c>
      <c r="I4" s="75">
        <v>14</v>
      </c>
    </row>
    <row r="5" spans="1:14" ht="15.6" x14ac:dyDescent="0.3">
      <c r="A5" s="71">
        <v>0</v>
      </c>
      <c r="B5" s="70">
        <f>$B$1*((B$2/$B$2)^0.85)*(1-0.605*$A5+0.725*$A5^2)</f>
        <v>9800</v>
      </c>
      <c r="C5" s="70">
        <f>$B$1*((C$2/$B$2)^0.85)*(1-0.605*$A5+0.725*$A5^2)</f>
        <v>8291.7245933023369</v>
      </c>
      <c r="D5" s="70">
        <f t="shared" ref="D5:I15" si="0">$B$1*((D$2/$B$2)^0.85)*(1-0.605*$A5+0.725*$A5^2)</f>
        <v>6959.0104816317789</v>
      </c>
      <c r="E5" s="70">
        <f t="shared" si="0"/>
        <v>5788.6306580928886</v>
      </c>
      <c r="F5" s="70">
        <f t="shared" si="0"/>
        <v>4767.7575487620325</v>
      </c>
      <c r="G5" s="70">
        <f t="shared" si="0"/>
        <v>3883.9708732151303</v>
      </c>
      <c r="H5" s="70">
        <f t="shared" si="0"/>
        <v>3125.2660952758069</v>
      </c>
      <c r="I5" s="79">
        <f>$B$1*((I$2/$B$2)^0.85)*(1-0.605*$A5+0.725*$A5^2)</f>
        <v>2480.0635448498047</v>
      </c>
    </row>
    <row r="6" spans="1:14" ht="15.6" x14ac:dyDescent="0.3">
      <c r="A6" s="71">
        <v>0.1</v>
      </c>
      <c r="B6" s="70">
        <f t="shared" ref="B6:C15" si="1">$B$1*((B$2/$B$2)^0.85)*(1-0.605*$A6+0.725*$A6^2)</f>
        <v>9278.15</v>
      </c>
      <c r="C6" s="70">
        <f t="shared" si="1"/>
        <v>7850.1902587089871</v>
      </c>
      <c r="D6" s="70">
        <f t="shared" si="0"/>
        <v>6588.4431734848868</v>
      </c>
      <c r="E6" s="70">
        <f t="shared" si="0"/>
        <v>5480.3860755494425</v>
      </c>
      <c r="F6" s="70">
        <f t="shared" si="0"/>
        <v>4513.8744592904541</v>
      </c>
      <c r="G6" s="70">
        <f t="shared" si="0"/>
        <v>3677.1494242164244</v>
      </c>
      <c r="H6" s="70">
        <f t="shared" si="0"/>
        <v>2958.84567570237</v>
      </c>
      <c r="I6" s="79">
        <f t="shared" si="0"/>
        <v>2348.0001610865525</v>
      </c>
    </row>
    <row r="7" spans="1:14" ht="15.6" x14ac:dyDescent="0.3">
      <c r="A7" s="71">
        <v>0.2</v>
      </c>
      <c r="B7" s="70">
        <f t="shared" si="1"/>
        <v>8898.4</v>
      </c>
      <c r="C7" s="70">
        <f t="shared" si="1"/>
        <v>7528.8859307185221</v>
      </c>
      <c r="D7" s="70">
        <f t="shared" si="0"/>
        <v>6318.7815173216559</v>
      </c>
      <c r="E7" s="70">
        <f t="shared" si="0"/>
        <v>5256.0766375483427</v>
      </c>
      <c r="F7" s="70">
        <f t="shared" si="0"/>
        <v>4329.1238542759256</v>
      </c>
      <c r="G7" s="70">
        <f t="shared" si="0"/>
        <v>3526.6455528793385</v>
      </c>
      <c r="H7" s="70">
        <f t="shared" si="0"/>
        <v>2837.741614510433</v>
      </c>
      <c r="I7" s="79">
        <f t="shared" si="0"/>
        <v>2251.8976987236229</v>
      </c>
    </row>
    <row r="8" spans="1:14" ht="15.6" x14ac:dyDescent="0.3">
      <c r="A8" s="71">
        <v>0.3</v>
      </c>
      <c r="B8" s="70">
        <f t="shared" si="1"/>
        <v>8660.75</v>
      </c>
      <c r="C8" s="70">
        <f t="shared" si="1"/>
        <v>7327.8116093309409</v>
      </c>
      <c r="D8" s="70">
        <f t="shared" si="0"/>
        <v>6150.0255131420845</v>
      </c>
      <c r="E8" s="70">
        <f t="shared" si="0"/>
        <v>5115.70234408959</v>
      </c>
      <c r="F8" s="70">
        <f t="shared" si="0"/>
        <v>4213.5057337184462</v>
      </c>
      <c r="G8" s="70">
        <f t="shared" si="0"/>
        <v>3432.4592592038716</v>
      </c>
      <c r="H8" s="70">
        <f t="shared" si="0"/>
        <v>2761.9539116999945</v>
      </c>
      <c r="I8" s="79">
        <f t="shared" si="0"/>
        <v>2191.7561577610149</v>
      </c>
    </row>
    <row r="9" spans="1:14" ht="15.6" x14ac:dyDescent="0.3">
      <c r="A9" s="71">
        <v>0.4</v>
      </c>
      <c r="B9" s="70">
        <f t="shared" si="1"/>
        <v>8565.2000000000007</v>
      </c>
      <c r="C9" s="70">
        <f t="shared" si="1"/>
        <v>7246.9672945462426</v>
      </c>
      <c r="D9" s="70">
        <f t="shared" si="0"/>
        <v>6082.1751609461744</v>
      </c>
      <c r="E9" s="70">
        <f>$B$1*((E$2/$B$2)^0.85)*(1-0.605*$A9+0.725*$A9^2)</f>
        <v>5059.2631951731846</v>
      </c>
      <c r="F9" s="70">
        <f t="shared" si="0"/>
        <v>4167.0200976180167</v>
      </c>
      <c r="G9" s="70">
        <f t="shared" si="0"/>
        <v>3394.5905431900237</v>
      </c>
      <c r="H9" s="70">
        <f t="shared" si="0"/>
        <v>2731.4825672710554</v>
      </c>
      <c r="I9" s="79">
        <f t="shared" si="0"/>
        <v>2167.5755381987292</v>
      </c>
    </row>
    <row r="10" spans="1:14" ht="15.6" x14ac:dyDescent="0.3">
      <c r="A10" s="71">
        <v>0.5</v>
      </c>
      <c r="B10" s="70">
        <f t="shared" si="1"/>
        <v>8611.75</v>
      </c>
      <c r="C10" s="70">
        <f t="shared" si="1"/>
        <v>7286.3529863644289</v>
      </c>
      <c r="D10" s="70">
        <f t="shared" si="0"/>
        <v>6115.2304607339256</v>
      </c>
      <c r="E10" s="70">
        <f t="shared" si="0"/>
        <v>5086.7591907991264</v>
      </c>
      <c r="F10" s="70">
        <f t="shared" si="0"/>
        <v>4189.6669459746363</v>
      </c>
      <c r="G10" s="70">
        <f t="shared" si="0"/>
        <v>3413.0394048377957</v>
      </c>
      <c r="H10" s="70">
        <f t="shared" si="0"/>
        <v>2746.3275812236157</v>
      </c>
      <c r="I10" s="79">
        <f t="shared" si="0"/>
        <v>2179.355840036766</v>
      </c>
    </row>
    <row r="11" spans="1:14" ht="15.6" x14ac:dyDescent="0.3">
      <c r="A11" s="71">
        <v>0.6</v>
      </c>
      <c r="B11" s="70">
        <f t="shared" si="1"/>
        <v>8800.4</v>
      </c>
      <c r="C11" s="70">
        <f t="shared" si="1"/>
        <v>7445.9686847854982</v>
      </c>
      <c r="D11" s="70">
        <f t="shared" si="0"/>
        <v>6249.1914125053372</v>
      </c>
      <c r="E11" s="70">
        <f t="shared" si="0"/>
        <v>5198.1903309674144</v>
      </c>
      <c r="F11" s="70">
        <f t="shared" si="0"/>
        <v>4281.4462787883049</v>
      </c>
      <c r="G11" s="70">
        <f t="shared" si="0"/>
        <v>3487.8058441471871</v>
      </c>
      <c r="H11" s="70">
        <f t="shared" si="0"/>
        <v>2806.4889535576749</v>
      </c>
      <c r="I11" s="79">
        <f t="shared" si="0"/>
        <v>2227.0970632751246</v>
      </c>
    </row>
    <row r="12" spans="1:14" ht="15.6" x14ac:dyDescent="0.3">
      <c r="A12" s="71">
        <v>0.7</v>
      </c>
      <c r="B12" s="70">
        <f t="shared" si="1"/>
        <v>9131.15</v>
      </c>
      <c r="C12" s="70">
        <f t="shared" si="1"/>
        <v>7725.8143898094522</v>
      </c>
      <c r="D12" s="70">
        <f t="shared" si="0"/>
        <v>6484.0580162604101</v>
      </c>
      <c r="E12" s="70">
        <f t="shared" si="0"/>
        <v>5393.5566156780487</v>
      </c>
      <c r="F12" s="70">
        <f t="shared" si="0"/>
        <v>4442.3580960590234</v>
      </c>
      <c r="G12" s="70">
        <f t="shared" si="0"/>
        <v>3618.8898611181976</v>
      </c>
      <c r="H12" s="70">
        <f t="shared" si="0"/>
        <v>2911.9666842732331</v>
      </c>
      <c r="I12" s="79">
        <f t="shared" si="0"/>
        <v>2310.7992079138053</v>
      </c>
    </row>
    <row r="13" spans="1:14" ht="15.6" x14ac:dyDescent="0.3">
      <c r="A13" s="71">
        <v>0.8</v>
      </c>
      <c r="B13" s="70">
        <f t="shared" si="1"/>
        <v>9604.0000000000018</v>
      </c>
      <c r="C13" s="70">
        <f t="shared" si="1"/>
        <v>8125.8901014362909</v>
      </c>
      <c r="D13" s="70">
        <f t="shared" si="0"/>
        <v>6819.8302719991443</v>
      </c>
      <c r="E13" s="70">
        <f t="shared" si="0"/>
        <v>5672.8580449310311</v>
      </c>
      <c r="F13" s="70">
        <f t="shared" si="0"/>
        <v>4672.4023977867919</v>
      </c>
      <c r="G13" s="70">
        <f t="shared" si="0"/>
        <v>3806.2914557508279</v>
      </c>
      <c r="H13" s="70">
        <f>$B$1*((H$2/$B$2)^0.85)*(1-0.605*$A13+0.725*$A13^2)</f>
        <v>3062.7607733702912</v>
      </c>
      <c r="I13" s="79">
        <f t="shared" si="0"/>
        <v>2430.4622739528086</v>
      </c>
    </row>
    <row r="14" spans="1:14" ht="15.6" x14ac:dyDescent="0.3">
      <c r="A14" s="71">
        <v>0.9</v>
      </c>
      <c r="B14" s="70">
        <f t="shared" si="1"/>
        <v>10218.950000000001</v>
      </c>
      <c r="C14" s="70">
        <f t="shared" si="1"/>
        <v>8646.1958196660125</v>
      </c>
      <c r="D14" s="70">
        <f t="shared" si="0"/>
        <v>7256.508179721538</v>
      </c>
      <c r="E14" s="70">
        <f t="shared" si="0"/>
        <v>6036.0946187263598</v>
      </c>
      <c r="F14" s="70">
        <f t="shared" si="0"/>
        <v>4971.5791839716094</v>
      </c>
      <c r="G14" s="70">
        <f t="shared" si="0"/>
        <v>4050.0106280450773</v>
      </c>
      <c r="H14" s="70">
        <f t="shared" si="0"/>
        <v>3258.8712208488478</v>
      </c>
      <c r="I14" s="79">
        <f t="shared" si="0"/>
        <v>2586.086261392134</v>
      </c>
    </row>
    <row r="15" spans="1:14" ht="16.2" thickBot="1" x14ac:dyDescent="0.35">
      <c r="A15" s="72">
        <v>1</v>
      </c>
      <c r="B15" s="80">
        <f t="shared" si="1"/>
        <v>10976.000000000002</v>
      </c>
      <c r="C15" s="80">
        <f t="shared" si="1"/>
        <v>9286.731544498618</v>
      </c>
      <c r="D15" s="80">
        <f t="shared" si="0"/>
        <v>7794.091739427593</v>
      </c>
      <c r="E15" s="80">
        <f t="shared" si="0"/>
        <v>6483.2663370640357</v>
      </c>
      <c r="F15" s="80">
        <f t="shared" si="0"/>
        <v>5339.8884546134768</v>
      </c>
      <c r="G15" s="80">
        <f t="shared" si="0"/>
        <v>4350.0473780009461</v>
      </c>
      <c r="H15" s="80">
        <f t="shared" si="0"/>
        <v>3500.2980267089042</v>
      </c>
      <c r="I15" s="81">
        <f t="shared" si="0"/>
        <v>2777.6711702317816</v>
      </c>
    </row>
    <row r="16" spans="1:14" ht="15" x14ac:dyDescent="0.3">
      <c r="K16" s="2"/>
      <c r="L16" s="2"/>
      <c r="M16" s="2"/>
      <c r="N16" s="2"/>
    </row>
    <row r="17" spans="2:14" ht="15" x14ac:dyDescent="0.3">
      <c r="K17" s="2"/>
      <c r="L17" s="2"/>
      <c r="M17" s="2"/>
      <c r="N17" s="2"/>
    </row>
    <row r="18" spans="2:14" ht="15" x14ac:dyDescent="0.3">
      <c r="K18" s="2"/>
      <c r="L18" s="2"/>
      <c r="M18" s="2"/>
      <c r="N18" s="2"/>
    </row>
    <row r="19" spans="2:14" ht="15" x14ac:dyDescent="0.3">
      <c r="K19" s="2"/>
      <c r="L19" s="2"/>
      <c r="M19" s="2"/>
      <c r="N19" s="2"/>
    </row>
    <row r="20" spans="2:14" ht="15" x14ac:dyDescent="0.3">
      <c r="K20" s="2"/>
      <c r="L20" s="2"/>
      <c r="M20" s="2"/>
      <c r="N20" s="2"/>
    </row>
    <row r="21" spans="2:14" ht="15" x14ac:dyDescent="0.3">
      <c r="K21" s="2"/>
      <c r="L21" s="2"/>
      <c r="M21" s="2"/>
      <c r="N21" s="2"/>
    </row>
    <row r="22" spans="2:14" ht="15" x14ac:dyDescent="0.3">
      <c r="K22" s="2"/>
      <c r="L22" s="2"/>
      <c r="M22" s="2"/>
      <c r="N22" s="2"/>
    </row>
    <row r="23" spans="2:14" ht="15" x14ac:dyDescent="0.3">
      <c r="K23" s="2"/>
      <c r="L23" s="2"/>
      <c r="M23" s="2"/>
      <c r="N23" s="2"/>
    </row>
    <row r="24" spans="2:14" ht="15" x14ac:dyDescent="0.3">
      <c r="K24" s="2"/>
      <c r="L24" s="2"/>
      <c r="M24" s="2"/>
      <c r="N24" s="2"/>
    </row>
    <row r="25" spans="2:14" ht="15" x14ac:dyDescent="0.3">
      <c r="K25" s="2"/>
      <c r="L25" s="2"/>
      <c r="M25" s="2"/>
      <c r="N25" s="2"/>
    </row>
    <row r="26" spans="2:14" ht="15" x14ac:dyDescent="0.3">
      <c r="K26" s="2"/>
      <c r="L26" s="2"/>
      <c r="M26" s="2"/>
      <c r="N26" s="2"/>
    </row>
    <row r="27" spans="2:14" ht="1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 ht="1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 ht="15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14" ht="15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14" ht="15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 ht="15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 ht="15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ht="15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 ht="15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 ht="15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ht="15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 ht="15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 ht="15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4" ht="15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4" ht="15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14" ht="15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14" ht="15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 ht="15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 ht="15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14" ht="15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14" ht="15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 ht="15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2:14" ht="15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2:14" ht="15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2:14" ht="15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 ht="15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 ht="15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 ht="15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 ht="15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 ht="15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 ht="15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 ht="15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 ht="15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 ht="15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 ht="15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 ht="15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 ht="15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 ht="15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 ht="15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 ht="15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 ht="15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 ht="15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</sheetData>
  <mergeCells count="3">
    <mergeCell ref="B3:I3"/>
    <mergeCell ref="A3:A4"/>
    <mergeCell ref="B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6</vt:i4>
      </vt:variant>
    </vt:vector>
  </HeadingPairs>
  <TitlesOfParts>
    <vt:vector size="10" baseType="lpstr">
      <vt:lpstr>Arkusz1</vt:lpstr>
      <vt:lpstr>projekty 2 i 3</vt:lpstr>
      <vt:lpstr>projekt 4</vt:lpstr>
      <vt:lpstr>projekt 5</vt:lpstr>
      <vt:lpstr>'projekty 2 i 3'!Cx_Cz</vt:lpstr>
      <vt:lpstr>'projekty 2 i 3'!Cx_Cz_1</vt:lpstr>
      <vt:lpstr>'projekty 2 i 3'!Cz_a</vt:lpstr>
      <vt:lpstr>'projekty 2 i 3'!Cz_a_1</vt:lpstr>
      <vt:lpstr>'projekty 2 i 3'!Cz_a_2</vt:lpstr>
      <vt:lpstr>'projekty 2 i 3'!Obszar_wydruku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Czajkowski Sebastian (STUD)</dc:creator>
  <cp:lastModifiedBy>Czajkowski Sebastian (STUD)</cp:lastModifiedBy>
  <cp:lastPrinted>2023-11-18T00:30:43Z</cp:lastPrinted>
  <dcterms:created xsi:type="dcterms:W3CDTF">2023-11-12T21:20:19Z</dcterms:created>
  <dcterms:modified xsi:type="dcterms:W3CDTF">2023-12-04T09:32:36Z</dcterms:modified>
</cp:coreProperties>
</file>