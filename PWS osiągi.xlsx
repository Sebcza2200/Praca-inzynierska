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queryTables/queryTable15.xml" ContentType="application/vnd.openxmlformats-officedocument.spreadsheetml.query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6.xml" ContentType="application/vnd.openxmlformats-officedocument.drawing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9.xml" ContentType="application/vnd.openxmlformats-officedocument.drawing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0.xml" ContentType="application/vnd.openxmlformats-officedocument.drawing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1.xml" ContentType="application/vnd.openxmlformats-officedocument.drawing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2.xml" ContentType="application/vnd.openxmlformats-officedocument.drawing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3.xml" ContentType="application/vnd.openxmlformats-officedocument.drawing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4.xml" ContentType="application/vnd.openxmlformats-officedocument.drawing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Sebastian\Desktop\OBRONA\praca\Praca\PWS-51\"/>
    </mc:Choice>
  </mc:AlternateContent>
  <xr:revisionPtr revIDLastSave="0" documentId="13_ncr:1_{8C55BE9E-C793-470B-A8EC-17ACC678BDF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odsumowanie" sheetId="1" r:id="rId1"/>
    <sheet name="Metoda Ciągu, zmienna masa" sheetId="23" r:id="rId2"/>
    <sheet name="Nr(V)" sheetId="12" r:id="rId3"/>
    <sheet name="h=0m" sheetId="11" r:id="rId4"/>
    <sheet name="h=500m" sheetId="13" r:id="rId5"/>
    <sheet name="h=1000m" sheetId="14" r:id="rId6"/>
    <sheet name="h=1500m" sheetId="15" r:id="rId7"/>
    <sheet name="h=2000m" sheetId="16" r:id="rId8"/>
    <sheet name="h=2500m" sheetId="17" r:id="rId9"/>
    <sheet name="h=3000m" sheetId="18" r:id="rId10"/>
    <sheet name="h=3500m" sheetId="19" r:id="rId11"/>
    <sheet name="h=4000m" sheetId="20" r:id="rId12"/>
    <sheet name="h=4500m" sheetId="21" r:id="rId13"/>
  </sheets>
  <definedNames>
    <definedName name="g_v__dane" localSheetId="0">Podsumowanie!#REF!</definedName>
    <definedName name="g_v__dane_1" localSheetId="0">Podsumowanie!$V$1:$V$11</definedName>
    <definedName name="h_0" localSheetId="3">'h=0m'!$I$40:$J$54</definedName>
    <definedName name="h_0" localSheetId="5">'h=1000m'!$I$39:$J$53</definedName>
    <definedName name="h_0" localSheetId="6">'h=1500m'!$I$39:$J$53</definedName>
    <definedName name="h_0" localSheetId="7">'h=2000m'!$I$39:$J$52</definedName>
    <definedName name="h_0" localSheetId="8">'h=2500m'!$I$39:$J$52</definedName>
    <definedName name="h_0" localSheetId="9">'h=3000m'!$I$38:$J$52</definedName>
    <definedName name="h_0" localSheetId="10">'h=3500m'!$I$38:$J$52</definedName>
    <definedName name="h_0" localSheetId="11">'h=4000m'!$I$38:$J$52</definedName>
    <definedName name="h_0" localSheetId="12">'h=4500m'!$I$38:$J$52</definedName>
    <definedName name="h_0" localSheetId="4">'h=500m'!$I$39:$J$53</definedName>
    <definedName name="h_0" localSheetId="2">'Nr(V)'!$B$2:$B$373</definedName>
    <definedName name="h_1" localSheetId="5">'h=1000m'!$I$39:$J$53</definedName>
    <definedName name="h_1" localSheetId="6">'h=1500m'!$I$39:$J$53</definedName>
    <definedName name="h_1" localSheetId="7">'h=2000m'!$I$39:$J$52</definedName>
    <definedName name="h_1" localSheetId="8">'h=2500m'!$I$39:$J$52</definedName>
    <definedName name="h_1" localSheetId="9">'h=3000m'!$I$38:$J$52</definedName>
    <definedName name="h_1" localSheetId="10">'h=3500m'!$I$38:$J$52</definedName>
    <definedName name="h_1" localSheetId="11">'h=4000m'!$I$38:$J$52</definedName>
    <definedName name="h_1" localSheetId="12">'h=4500m'!$I$38:$J$52</definedName>
    <definedName name="h_1" localSheetId="4">'h=500m'!$I$39:$J$53</definedName>
    <definedName name="h_1000" localSheetId="2">'Nr(V)'!$D$2:$D$112</definedName>
    <definedName name="h_1500" localSheetId="2">'Nr(V)'!$E$2:$E$94</definedName>
    <definedName name="h_2000" localSheetId="2">'Nr(V)'!$F$2:$F$280</definedName>
    <definedName name="h_2500" localSheetId="2">'Nr(V)'!$G$2:$G$281</definedName>
    <definedName name="h_3000" localSheetId="2">'Nr(V)'!$H$2:$H$372</definedName>
    <definedName name="h_3500" localSheetId="2">'Nr(V)'!$I$2:$I$288</definedName>
    <definedName name="h_4000" localSheetId="2">'Nr(V)'!$J$2:$J$288</definedName>
    <definedName name="h_4500" localSheetId="2">'Nr(V)'!$K$2:$K$369</definedName>
    <definedName name="h_500" localSheetId="2">'Nr(V)'!$C$2:$C$378</definedName>
    <definedName name="h_5000" localSheetId="2">'Nr(V)'!#REF!</definedName>
    <definedName name="h_5011" localSheetId="2">'Nr(V)'!$A$2:$A$510</definedName>
    <definedName name="_xlnm.Print_Area" localSheetId="2">'Nr(V)'!$A$1:$A$114</definedName>
    <definedName name="PWS_Vmin" localSheetId="0">Podsumowanie!#REF!</definedName>
    <definedName name="PWS_Vmin_1" localSheetId="0">Podsumowanie!#REF!</definedName>
    <definedName name="solver_adj" localSheetId="3" hidden="1">'h=0m'!$E$71:$F$71</definedName>
    <definedName name="solver_adj" localSheetId="5" hidden="1">'h=1000m'!$E$70:$F$70</definedName>
    <definedName name="solver_adj" localSheetId="6" hidden="1">'h=1500m'!$E$70:$F$70</definedName>
    <definedName name="solver_adj" localSheetId="7" hidden="1">'h=2000m'!$E$69:$F$69</definedName>
    <definedName name="solver_adj" localSheetId="8" hidden="1">'h=2500m'!$E$59:$F$59</definedName>
    <definedName name="solver_adj" localSheetId="9" hidden="1">'h=3000m'!$E$69:$F$69</definedName>
    <definedName name="solver_adj" localSheetId="10" hidden="1">'h=3500m'!$E$69:$F$69</definedName>
    <definedName name="solver_adj" localSheetId="11" hidden="1">'h=4000m'!$E$69:$F$69</definedName>
    <definedName name="solver_adj" localSheetId="12" hidden="1">'h=4500m'!$E$69:$F$69</definedName>
    <definedName name="solver_adj" localSheetId="4" hidden="1">'h=500m'!$E$70:$F$70</definedName>
    <definedName name="solver_adj" localSheetId="1" hidden="1">'Metoda Ciągu, zmienna masa'!$T$174:$U$174</definedName>
    <definedName name="solver_cvg" localSheetId="3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4" hidden="1">0.0001</definedName>
    <definedName name="solver_cvg" localSheetId="1" hidden="1">0.0001</definedName>
    <definedName name="solver_drv" localSheetId="3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4" hidden="1">1</definedName>
    <definedName name="solver_drv" localSheetId="1" hidden="1">1</definedName>
    <definedName name="solver_eng" localSheetId="3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4" hidden="1">1</definedName>
    <definedName name="solver_eng" localSheetId="1" hidden="1">1</definedName>
    <definedName name="solver_est" localSheetId="3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4" hidden="1">1</definedName>
    <definedName name="solver_est" localSheetId="1" hidden="1">1</definedName>
    <definedName name="solver_itr" localSheetId="3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4" hidden="1">2147483647</definedName>
    <definedName name="solver_itr" localSheetId="1" hidden="1">2147483647</definedName>
    <definedName name="solver_lhs1" localSheetId="3" hidden="1">'h=0m'!$G$71</definedName>
    <definedName name="solver_lhs1" localSheetId="5" hidden="1">'h=1000m'!$G$70</definedName>
    <definedName name="solver_lhs1" localSheetId="6" hidden="1">'h=1500m'!$G$70</definedName>
    <definedName name="solver_lhs1" localSheetId="7" hidden="1">'h=2000m'!$G$69</definedName>
    <definedName name="solver_lhs1" localSheetId="8" hidden="1">'h=2500m'!$G$59</definedName>
    <definedName name="solver_lhs1" localSheetId="9" hidden="1">'h=3000m'!$G$69</definedName>
    <definedName name="solver_lhs1" localSheetId="10" hidden="1">'h=3500m'!$G$69</definedName>
    <definedName name="solver_lhs1" localSheetId="11" hidden="1">'h=4000m'!$G$69</definedName>
    <definedName name="solver_lhs1" localSheetId="12" hidden="1">'h=4500m'!$G$69</definedName>
    <definedName name="solver_lhs1" localSheetId="4" hidden="1">'h=500m'!$G$70</definedName>
    <definedName name="solver_lhs1" localSheetId="1" hidden="1">'Metoda Ciągu, zmienna masa'!$W$174</definedName>
    <definedName name="solver_mip" localSheetId="3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4" hidden="1">2147483647</definedName>
    <definedName name="solver_mip" localSheetId="1" hidden="1">2147483647</definedName>
    <definedName name="solver_mni" localSheetId="3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4" hidden="1">30</definedName>
    <definedName name="solver_mni" localSheetId="1" hidden="1">30</definedName>
    <definedName name="solver_mrt" localSheetId="3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4" hidden="1">0.075</definedName>
    <definedName name="solver_mrt" localSheetId="1" hidden="1">0.075</definedName>
    <definedName name="solver_msl" localSheetId="3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4" hidden="1">2</definedName>
    <definedName name="solver_msl" localSheetId="1" hidden="1">2</definedName>
    <definedName name="solver_neg" localSheetId="3" hidden="1">2</definedName>
    <definedName name="solver_neg" localSheetId="5" hidden="1">2</definedName>
    <definedName name="solver_neg" localSheetId="6" hidden="1">2</definedName>
    <definedName name="solver_neg" localSheetId="7" hidden="1">2</definedName>
    <definedName name="solver_neg" localSheetId="8" hidden="1">2</definedName>
    <definedName name="solver_neg" localSheetId="9" hidden="1">2</definedName>
    <definedName name="solver_neg" localSheetId="10" hidden="1">2</definedName>
    <definedName name="solver_neg" localSheetId="11" hidden="1">2</definedName>
    <definedName name="solver_neg" localSheetId="12" hidden="1">2</definedName>
    <definedName name="solver_neg" localSheetId="4" hidden="1">2</definedName>
    <definedName name="solver_neg" localSheetId="1" hidden="1">2</definedName>
    <definedName name="solver_nod" localSheetId="3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4" hidden="1">2147483647</definedName>
    <definedName name="solver_nod" localSheetId="1" hidden="1">2147483647</definedName>
    <definedName name="solver_num" localSheetId="3" hidden="1">1</definedName>
    <definedName name="solver_num" localSheetId="5" hidden="1">1</definedName>
    <definedName name="solver_num" localSheetId="6" hidden="1">1</definedName>
    <definedName name="solver_num" localSheetId="7" hidden="1">1</definedName>
    <definedName name="solver_num" localSheetId="8" hidden="1">1</definedName>
    <definedName name="solver_num" localSheetId="9" hidden="1">1</definedName>
    <definedName name="solver_num" localSheetId="10" hidden="1">1</definedName>
    <definedName name="solver_num" localSheetId="11" hidden="1">1</definedName>
    <definedName name="solver_num" localSheetId="12" hidden="1">1</definedName>
    <definedName name="solver_num" localSheetId="4" hidden="1">1</definedName>
    <definedName name="solver_num" localSheetId="1" hidden="1">1</definedName>
    <definedName name="solver_nwt" localSheetId="3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4" hidden="1">1</definedName>
    <definedName name="solver_nwt" localSheetId="1" hidden="1">1</definedName>
    <definedName name="solver_opt" localSheetId="3" hidden="1">'h=0m'!$D$71</definedName>
    <definedName name="solver_opt" localSheetId="5" hidden="1">'h=1000m'!$D$70</definedName>
    <definedName name="solver_opt" localSheetId="6" hidden="1">'h=1500m'!$D$70</definedName>
    <definedName name="solver_opt" localSheetId="7" hidden="1">'h=2000m'!$D$69</definedName>
    <definedName name="solver_opt" localSheetId="8" hidden="1">'h=2500m'!$D$59</definedName>
    <definedName name="solver_opt" localSheetId="9" hidden="1">'h=3000m'!$D$69</definedName>
    <definedName name="solver_opt" localSheetId="10" hidden="1">'h=3500m'!$D$69</definedName>
    <definedName name="solver_opt" localSheetId="11" hidden="1">'h=4000m'!$D$69</definedName>
    <definedName name="solver_opt" localSheetId="12" hidden="1">'h=4500m'!$D$69</definedName>
    <definedName name="solver_opt" localSheetId="4" hidden="1">'h=500m'!$D$70</definedName>
    <definedName name="solver_opt" localSheetId="1" hidden="1">'Metoda Ciągu, zmienna masa'!$R$174</definedName>
    <definedName name="solver_pre" localSheetId="3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4" hidden="1">0.000001</definedName>
    <definedName name="solver_pre" localSheetId="1" hidden="1">0.000001</definedName>
    <definedName name="solver_rbv" localSheetId="3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4" hidden="1">1</definedName>
    <definedName name="solver_rbv" localSheetId="1" hidden="1">1</definedName>
    <definedName name="solver_rel1" localSheetId="3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1" localSheetId="9" hidden="1">2</definedName>
    <definedName name="solver_rel1" localSheetId="10" hidden="1">2</definedName>
    <definedName name="solver_rel1" localSheetId="11" hidden="1">2</definedName>
    <definedName name="solver_rel1" localSheetId="12" hidden="1">2</definedName>
    <definedName name="solver_rel1" localSheetId="4" hidden="1">2</definedName>
    <definedName name="solver_rel1" localSheetId="1" hidden="1">2</definedName>
    <definedName name="solver_rhs1" localSheetId="3" hidden="1">0</definedName>
    <definedName name="solver_rhs1" localSheetId="5" hidden="1">0</definedName>
    <definedName name="solver_rhs1" localSheetId="6" hidden="1">0</definedName>
    <definedName name="solver_rhs1" localSheetId="7" hidden="1">0</definedName>
    <definedName name="solver_rhs1" localSheetId="8" hidden="1">0</definedName>
    <definedName name="solver_rhs1" localSheetId="9" hidden="1">0</definedName>
    <definedName name="solver_rhs1" localSheetId="10" hidden="1">0</definedName>
    <definedName name="solver_rhs1" localSheetId="11" hidden="1">0</definedName>
    <definedName name="solver_rhs1" localSheetId="12" hidden="1">0</definedName>
    <definedName name="solver_rhs1" localSheetId="4" hidden="1">0</definedName>
    <definedName name="solver_rhs1" localSheetId="1" hidden="1">0</definedName>
    <definedName name="solver_rlx" localSheetId="3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4" hidden="1">2</definedName>
    <definedName name="solver_rlx" localSheetId="1" hidden="1">2</definedName>
    <definedName name="solver_rsd" localSheetId="3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4" hidden="1">0</definedName>
    <definedName name="solver_rsd" localSheetId="1" hidden="1">0</definedName>
    <definedName name="solver_scl" localSheetId="3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4" hidden="1">1</definedName>
    <definedName name="solver_scl" localSheetId="1" hidden="1">1</definedName>
    <definedName name="solver_sho" localSheetId="3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4" hidden="1">2</definedName>
    <definedName name="solver_sho" localSheetId="1" hidden="1">2</definedName>
    <definedName name="solver_ssz" localSheetId="3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4" hidden="1">100</definedName>
    <definedName name="solver_ssz" localSheetId="1" hidden="1">100</definedName>
    <definedName name="solver_tim" localSheetId="3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4" hidden="1">2147483647</definedName>
    <definedName name="solver_tim" localSheetId="1" hidden="1">2147483647</definedName>
    <definedName name="solver_tol" localSheetId="3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4" hidden="1">0.01</definedName>
    <definedName name="solver_tol" localSheetId="1" hidden="1">0.01</definedName>
    <definedName name="solver_typ" localSheetId="3" hidden="1">3</definedName>
    <definedName name="solver_typ" localSheetId="5" hidden="1">3</definedName>
    <definedName name="solver_typ" localSheetId="6" hidden="1">3</definedName>
    <definedName name="solver_typ" localSheetId="7" hidden="1">3</definedName>
    <definedName name="solver_typ" localSheetId="8" hidden="1">3</definedName>
    <definedName name="solver_typ" localSheetId="9" hidden="1">3</definedName>
    <definedName name="solver_typ" localSheetId="10" hidden="1">3</definedName>
    <definedName name="solver_typ" localSheetId="11" hidden="1">3</definedName>
    <definedName name="solver_typ" localSheetId="12" hidden="1">3</definedName>
    <definedName name="solver_typ" localSheetId="4" hidden="1">3</definedName>
    <definedName name="solver_typ" localSheetId="1" hidden="1">3</definedName>
    <definedName name="solver_val" localSheetId="3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4" hidden="1">0</definedName>
    <definedName name="solver_val" localSheetId="1" hidden="1">0</definedName>
    <definedName name="solver_ver" localSheetId="3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4" hidden="1">3</definedName>
    <definedName name="solver_ver" localSheetId="1" hidden="1">3</definedName>
    <definedName name="V_minmax" localSheetId="0">Podsumowanie!#REF!</definedName>
    <definedName name="V_PWS" localSheetId="0">Podsumowanie!$AC$3:$AD$106</definedName>
    <definedName name="V_PWS_1" localSheetId="0">Podsumowanie!#REF!</definedName>
    <definedName name="V2_PWS" localSheetId="0">Podsumowanie!$AI$50:$AJ$150</definedName>
    <definedName name="w_V__dane" localSheetId="0">Podsumowanie!#REF!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1" l="1"/>
  <c r="AL46" i="1" l="1"/>
  <c r="AJ46" i="1"/>
  <c r="AD46" i="1"/>
  <c r="N51" i="1"/>
  <c r="O51" i="1"/>
  <c r="P51" i="1"/>
  <c r="Q51" i="1" s="1"/>
  <c r="R51" i="1"/>
  <c r="S51" i="1"/>
  <c r="T51" i="1"/>
  <c r="U51" i="1"/>
  <c r="V51" i="1"/>
  <c r="W51" i="1"/>
  <c r="X51" i="1"/>
  <c r="Y51" i="1"/>
  <c r="N52" i="1"/>
  <c r="O52" i="1"/>
  <c r="P52" i="1"/>
  <c r="Q52" i="1"/>
  <c r="R52" i="1"/>
  <c r="S52" i="1"/>
  <c r="T52" i="1"/>
  <c r="U52" i="1"/>
  <c r="V52" i="1"/>
  <c r="W52" i="1"/>
  <c r="X52" i="1"/>
  <c r="Y52" i="1"/>
  <c r="N53" i="1"/>
  <c r="O53" i="1"/>
  <c r="P53" i="1"/>
  <c r="Q53" i="1"/>
  <c r="R53" i="1"/>
  <c r="S53" i="1"/>
  <c r="T53" i="1"/>
  <c r="U53" i="1"/>
  <c r="V53" i="1"/>
  <c r="W53" i="1"/>
  <c r="X53" i="1"/>
  <c r="Y53" i="1"/>
  <c r="N54" i="1"/>
  <c r="O54" i="1"/>
  <c r="P54" i="1"/>
  <c r="Q54" i="1"/>
  <c r="R54" i="1"/>
  <c r="S54" i="1"/>
  <c r="T54" i="1"/>
  <c r="U54" i="1"/>
  <c r="V54" i="1"/>
  <c r="W54" i="1"/>
  <c r="X54" i="1"/>
  <c r="Y54" i="1"/>
  <c r="N55" i="1"/>
  <c r="O55" i="1"/>
  <c r="P55" i="1"/>
  <c r="Q55" i="1"/>
  <c r="R55" i="1"/>
  <c r="S55" i="1"/>
  <c r="T55" i="1"/>
  <c r="U55" i="1"/>
  <c r="V55" i="1"/>
  <c r="W55" i="1"/>
  <c r="X55" i="1"/>
  <c r="Y55" i="1"/>
  <c r="N56" i="1"/>
  <c r="O56" i="1"/>
  <c r="P56" i="1"/>
  <c r="Q56" i="1"/>
  <c r="R56" i="1"/>
  <c r="S56" i="1"/>
  <c r="T56" i="1"/>
  <c r="U56" i="1"/>
  <c r="V56" i="1"/>
  <c r="W56" i="1"/>
  <c r="X56" i="1"/>
  <c r="Y56" i="1"/>
  <c r="N57" i="1"/>
  <c r="O57" i="1"/>
  <c r="P57" i="1"/>
  <c r="Q57" i="1"/>
  <c r="R57" i="1"/>
  <c r="S57" i="1"/>
  <c r="T57" i="1"/>
  <c r="U57" i="1"/>
  <c r="V57" i="1"/>
  <c r="W57" i="1"/>
  <c r="X57" i="1"/>
  <c r="Y57" i="1"/>
  <c r="N39" i="1"/>
  <c r="O39" i="1"/>
  <c r="P39" i="1"/>
  <c r="Q39" i="1" s="1"/>
  <c r="R39" i="1"/>
  <c r="S39" i="1"/>
  <c r="T39" i="1"/>
  <c r="U39" i="1"/>
  <c r="V39" i="1"/>
  <c r="W39" i="1"/>
  <c r="X39" i="1"/>
  <c r="Y39" i="1"/>
  <c r="N40" i="1"/>
  <c r="O40" i="1"/>
  <c r="P40" i="1"/>
  <c r="Q40" i="1"/>
  <c r="R40" i="1"/>
  <c r="S40" i="1"/>
  <c r="T40" i="1"/>
  <c r="U40" i="1"/>
  <c r="V40" i="1"/>
  <c r="W40" i="1"/>
  <c r="X40" i="1"/>
  <c r="Y40" i="1"/>
  <c r="N41" i="1"/>
  <c r="O41" i="1"/>
  <c r="P41" i="1"/>
  <c r="Q41" i="1"/>
  <c r="R41" i="1"/>
  <c r="S41" i="1"/>
  <c r="T41" i="1"/>
  <c r="U41" i="1"/>
  <c r="V41" i="1"/>
  <c r="W41" i="1"/>
  <c r="X41" i="1"/>
  <c r="Y41" i="1"/>
  <c r="N42" i="1"/>
  <c r="O42" i="1"/>
  <c r="P42" i="1"/>
  <c r="Q42" i="1"/>
  <c r="R42" i="1"/>
  <c r="S42" i="1"/>
  <c r="T42" i="1"/>
  <c r="U42" i="1"/>
  <c r="V42" i="1"/>
  <c r="W42" i="1"/>
  <c r="X42" i="1"/>
  <c r="Y42" i="1"/>
  <c r="N43" i="1"/>
  <c r="O43" i="1"/>
  <c r="P43" i="1"/>
  <c r="Q43" i="1"/>
  <c r="R43" i="1"/>
  <c r="S43" i="1"/>
  <c r="T43" i="1"/>
  <c r="U43" i="1"/>
  <c r="V43" i="1"/>
  <c r="W43" i="1"/>
  <c r="X43" i="1"/>
  <c r="Y43" i="1"/>
  <c r="N44" i="1"/>
  <c r="O44" i="1"/>
  <c r="P44" i="1"/>
  <c r="Q44" i="1"/>
  <c r="R44" i="1"/>
  <c r="S44" i="1"/>
  <c r="T44" i="1"/>
  <c r="U44" i="1"/>
  <c r="V44" i="1"/>
  <c r="W44" i="1"/>
  <c r="X44" i="1"/>
  <c r="Y44" i="1"/>
  <c r="N45" i="1"/>
  <c r="O45" i="1"/>
  <c r="P45" i="1"/>
  <c r="Q45" i="1"/>
  <c r="R45" i="1"/>
  <c r="S45" i="1"/>
  <c r="T45" i="1"/>
  <c r="U45" i="1"/>
  <c r="V45" i="1"/>
  <c r="W45" i="1"/>
  <c r="X45" i="1"/>
  <c r="Y45" i="1"/>
  <c r="N28" i="1"/>
  <c r="O28" i="1" s="1"/>
  <c r="P28" i="1"/>
  <c r="Q28" i="1"/>
  <c r="R28" i="1"/>
  <c r="S28" i="1"/>
  <c r="T28" i="1"/>
  <c r="U28" i="1"/>
  <c r="V28" i="1"/>
  <c r="W28" i="1"/>
  <c r="X28" i="1"/>
  <c r="Y28" i="1"/>
  <c r="N29" i="1"/>
  <c r="O29" i="1"/>
  <c r="P29" i="1"/>
  <c r="Q29" i="1"/>
  <c r="R29" i="1"/>
  <c r="S29" i="1"/>
  <c r="T29" i="1"/>
  <c r="U29" i="1"/>
  <c r="V29" i="1"/>
  <c r="W29" i="1"/>
  <c r="X29" i="1"/>
  <c r="Y29" i="1"/>
  <c r="N30" i="1"/>
  <c r="O30" i="1"/>
  <c r="P30" i="1"/>
  <c r="Q30" i="1"/>
  <c r="R30" i="1"/>
  <c r="S30" i="1"/>
  <c r="T30" i="1"/>
  <c r="U30" i="1"/>
  <c r="V30" i="1"/>
  <c r="W30" i="1"/>
  <c r="X30" i="1"/>
  <c r="Y30" i="1"/>
  <c r="N31" i="1"/>
  <c r="O31" i="1"/>
  <c r="P31" i="1"/>
  <c r="Q31" i="1"/>
  <c r="R31" i="1"/>
  <c r="S31" i="1"/>
  <c r="T31" i="1"/>
  <c r="U31" i="1"/>
  <c r="V31" i="1"/>
  <c r="W31" i="1"/>
  <c r="X31" i="1"/>
  <c r="Y31" i="1"/>
  <c r="N32" i="1"/>
  <c r="O32" i="1"/>
  <c r="P32" i="1"/>
  <c r="Q32" i="1"/>
  <c r="R32" i="1"/>
  <c r="S32" i="1"/>
  <c r="T32" i="1"/>
  <c r="U32" i="1"/>
  <c r="V32" i="1"/>
  <c r="W32" i="1"/>
  <c r="X32" i="1"/>
  <c r="Y32" i="1"/>
  <c r="N33" i="1"/>
  <c r="O33" i="1"/>
  <c r="P33" i="1"/>
  <c r="Q33" i="1"/>
  <c r="R33" i="1"/>
  <c r="S33" i="1"/>
  <c r="T33" i="1"/>
  <c r="U33" i="1"/>
  <c r="V33" i="1"/>
  <c r="W33" i="1"/>
  <c r="X33" i="1"/>
  <c r="Y33" i="1"/>
  <c r="N34" i="1"/>
  <c r="O34" i="1"/>
  <c r="P34" i="1"/>
  <c r="Q34" i="1"/>
  <c r="R34" i="1"/>
  <c r="S34" i="1"/>
  <c r="T34" i="1"/>
  <c r="U34" i="1"/>
  <c r="V34" i="1"/>
  <c r="W34" i="1"/>
  <c r="X34" i="1"/>
  <c r="Y34" i="1"/>
  <c r="N16" i="1"/>
  <c r="O16" i="1"/>
  <c r="P16" i="1"/>
  <c r="Q16" i="1" s="1"/>
  <c r="R16" i="1"/>
  <c r="S16" i="1"/>
  <c r="T16" i="1"/>
  <c r="U16" i="1"/>
  <c r="V16" i="1"/>
  <c r="W16" i="1"/>
  <c r="X16" i="1"/>
  <c r="Y16" i="1"/>
  <c r="N17" i="1"/>
  <c r="O17" i="1"/>
  <c r="P17" i="1"/>
  <c r="Q17" i="1"/>
  <c r="R17" i="1"/>
  <c r="S17" i="1"/>
  <c r="T17" i="1"/>
  <c r="U17" i="1"/>
  <c r="V17" i="1"/>
  <c r="W17" i="1"/>
  <c r="X17" i="1"/>
  <c r="Y17" i="1"/>
  <c r="N18" i="1"/>
  <c r="O18" i="1"/>
  <c r="P18" i="1"/>
  <c r="Q18" i="1"/>
  <c r="R18" i="1"/>
  <c r="S18" i="1"/>
  <c r="T18" i="1"/>
  <c r="U18" i="1"/>
  <c r="V18" i="1"/>
  <c r="W18" i="1"/>
  <c r="X18" i="1"/>
  <c r="Y18" i="1"/>
  <c r="N19" i="1"/>
  <c r="O19" i="1"/>
  <c r="P19" i="1"/>
  <c r="Q19" i="1"/>
  <c r="R19" i="1"/>
  <c r="S19" i="1"/>
  <c r="T19" i="1"/>
  <c r="U19" i="1"/>
  <c r="V19" i="1"/>
  <c r="W19" i="1"/>
  <c r="X19" i="1"/>
  <c r="Y19" i="1"/>
  <c r="N20" i="1"/>
  <c r="O20" i="1"/>
  <c r="P20" i="1"/>
  <c r="Q20" i="1"/>
  <c r="R20" i="1"/>
  <c r="S20" i="1"/>
  <c r="T20" i="1"/>
  <c r="U20" i="1"/>
  <c r="V20" i="1"/>
  <c r="W20" i="1"/>
  <c r="X20" i="1"/>
  <c r="Y20" i="1"/>
  <c r="N21" i="1"/>
  <c r="O21" i="1"/>
  <c r="P21" i="1"/>
  <c r="Q21" i="1"/>
  <c r="R21" i="1"/>
  <c r="S21" i="1"/>
  <c r="T21" i="1"/>
  <c r="U21" i="1"/>
  <c r="V21" i="1"/>
  <c r="W21" i="1"/>
  <c r="X21" i="1"/>
  <c r="Y21" i="1"/>
  <c r="N22" i="1"/>
  <c r="O22" i="1"/>
  <c r="P22" i="1"/>
  <c r="Q22" i="1"/>
  <c r="R22" i="1"/>
  <c r="S22" i="1"/>
  <c r="T22" i="1"/>
  <c r="U22" i="1"/>
  <c r="V22" i="1"/>
  <c r="W22" i="1"/>
  <c r="X22" i="1"/>
  <c r="Y22" i="1"/>
  <c r="N23" i="1"/>
  <c r="O23" i="1"/>
  <c r="P23" i="1"/>
  <c r="Q23" i="1"/>
  <c r="R23" i="1"/>
  <c r="S23" i="1"/>
  <c r="T23" i="1"/>
  <c r="U23" i="1"/>
  <c r="V23" i="1"/>
  <c r="W23" i="1"/>
  <c r="X23" i="1"/>
  <c r="Y23" i="1"/>
  <c r="N4" i="1"/>
  <c r="O4" i="1"/>
  <c r="P4" i="1"/>
  <c r="Q4" i="1" s="1"/>
  <c r="R4" i="1"/>
  <c r="S4" i="1"/>
  <c r="T4" i="1"/>
  <c r="U4" i="1"/>
  <c r="V4" i="1"/>
  <c r="W4" i="1"/>
  <c r="X4" i="1"/>
  <c r="Y4" i="1"/>
  <c r="N5" i="1"/>
  <c r="O5" i="1"/>
  <c r="P5" i="1"/>
  <c r="Q5" i="1"/>
  <c r="R5" i="1"/>
  <c r="S5" i="1"/>
  <c r="T5" i="1"/>
  <c r="U5" i="1"/>
  <c r="V5" i="1"/>
  <c r="W5" i="1"/>
  <c r="X5" i="1"/>
  <c r="Y5" i="1"/>
  <c r="N6" i="1"/>
  <c r="O6" i="1"/>
  <c r="P6" i="1"/>
  <c r="Q6" i="1"/>
  <c r="R6" i="1"/>
  <c r="S6" i="1"/>
  <c r="T6" i="1"/>
  <c r="U6" i="1"/>
  <c r="V6" i="1"/>
  <c r="W6" i="1"/>
  <c r="X6" i="1"/>
  <c r="Y6" i="1"/>
  <c r="N7" i="1"/>
  <c r="O7" i="1"/>
  <c r="P7" i="1"/>
  <c r="Q7" i="1"/>
  <c r="R7" i="1"/>
  <c r="S7" i="1"/>
  <c r="T7" i="1"/>
  <c r="U7" i="1"/>
  <c r="V7" i="1"/>
  <c r="W7" i="1"/>
  <c r="X7" i="1"/>
  <c r="Y7" i="1"/>
  <c r="N8" i="1"/>
  <c r="O8" i="1"/>
  <c r="P8" i="1"/>
  <c r="Q8" i="1"/>
  <c r="R8" i="1"/>
  <c r="S8" i="1"/>
  <c r="T8" i="1"/>
  <c r="U8" i="1"/>
  <c r="V8" i="1"/>
  <c r="W8" i="1"/>
  <c r="X8" i="1"/>
  <c r="Y8" i="1"/>
  <c r="N9" i="1"/>
  <c r="O9" i="1"/>
  <c r="P9" i="1"/>
  <c r="Q9" i="1"/>
  <c r="R9" i="1"/>
  <c r="S9" i="1"/>
  <c r="T9" i="1"/>
  <c r="U9" i="1"/>
  <c r="V9" i="1"/>
  <c r="W9" i="1"/>
  <c r="X9" i="1"/>
  <c r="Y9" i="1"/>
  <c r="N10" i="1"/>
  <c r="O10" i="1"/>
  <c r="P10" i="1"/>
  <c r="Q10" i="1"/>
  <c r="R10" i="1"/>
  <c r="S10" i="1"/>
  <c r="T10" i="1"/>
  <c r="U10" i="1"/>
  <c r="V10" i="1"/>
  <c r="W10" i="1"/>
  <c r="X10" i="1"/>
  <c r="Y10" i="1"/>
  <c r="N11" i="1"/>
  <c r="O11" i="1"/>
  <c r="P11" i="1"/>
  <c r="Q11" i="1"/>
  <c r="R11" i="1"/>
  <c r="S11" i="1"/>
  <c r="T11" i="1"/>
  <c r="U11" i="1"/>
  <c r="V11" i="1"/>
  <c r="W11" i="1"/>
  <c r="X11" i="1"/>
  <c r="Y11" i="1"/>
  <c r="X50" i="1"/>
  <c r="V50" i="1"/>
  <c r="T50" i="1"/>
  <c r="R50" i="1"/>
  <c r="P50" i="1"/>
  <c r="N50" i="1"/>
  <c r="X38" i="1"/>
  <c r="V38" i="1"/>
  <c r="T38" i="1"/>
  <c r="R38" i="1"/>
  <c r="P38" i="1"/>
  <c r="N38" i="1"/>
  <c r="X3" i="1"/>
  <c r="V3" i="1"/>
  <c r="T3" i="1"/>
  <c r="R3" i="1"/>
  <c r="P3" i="1"/>
  <c r="N3" i="1"/>
  <c r="AA28" i="1"/>
  <c r="AA29" i="1"/>
  <c r="AA30" i="1"/>
  <c r="AA31" i="1"/>
  <c r="AA32" i="1"/>
  <c r="AA33" i="1"/>
  <c r="AA34" i="1"/>
  <c r="AA27" i="1"/>
  <c r="AA16" i="1"/>
  <c r="AA17" i="1"/>
  <c r="AA18" i="1"/>
  <c r="AA19" i="1"/>
  <c r="AA20" i="1"/>
  <c r="AA21" i="1"/>
  <c r="AA22" i="1"/>
  <c r="AA23" i="1"/>
  <c r="AA15" i="1"/>
  <c r="B98" i="1"/>
  <c r="A80" i="1"/>
  <c r="B80" i="1"/>
  <c r="C80" i="1"/>
  <c r="D80" i="1"/>
  <c r="E80" i="1"/>
  <c r="F80" i="1"/>
  <c r="G80" i="1"/>
  <c r="A81" i="1"/>
  <c r="B81" i="1"/>
  <c r="C81" i="1"/>
  <c r="D81" i="1"/>
  <c r="E81" i="1"/>
  <c r="F81" i="1"/>
  <c r="G81" i="1"/>
  <c r="A82" i="1"/>
  <c r="B82" i="1"/>
  <c r="C82" i="1"/>
  <c r="D82" i="1"/>
  <c r="E82" i="1"/>
  <c r="F82" i="1"/>
  <c r="G82" i="1"/>
  <c r="A83" i="1"/>
  <c r="B83" i="1"/>
  <c r="C83" i="1"/>
  <c r="D83" i="1"/>
  <c r="E83" i="1"/>
  <c r="F83" i="1"/>
  <c r="G83" i="1"/>
  <c r="A84" i="1"/>
  <c r="B84" i="1"/>
  <c r="C84" i="1"/>
  <c r="D84" i="1"/>
  <c r="E84" i="1"/>
  <c r="F84" i="1"/>
  <c r="G84" i="1"/>
  <c r="A85" i="1"/>
  <c r="B85" i="1"/>
  <c r="C85" i="1"/>
  <c r="D85" i="1"/>
  <c r="E85" i="1"/>
  <c r="F85" i="1"/>
  <c r="G85" i="1"/>
  <c r="A86" i="1"/>
  <c r="B86" i="1"/>
  <c r="C86" i="1"/>
  <c r="D86" i="1"/>
  <c r="E86" i="1"/>
  <c r="F86" i="1"/>
  <c r="G86" i="1"/>
  <c r="A87" i="1"/>
  <c r="B87" i="1"/>
  <c r="C87" i="1"/>
  <c r="D87" i="1"/>
  <c r="E87" i="1"/>
  <c r="F87" i="1"/>
  <c r="G87" i="1"/>
  <c r="A91" i="1"/>
  <c r="B91" i="1"/>
  <c r="C91" i="1"/>
  <c r="D91" i="1"/>
  <c r="E91" i="1"/>
  <c r="F91" i="1"/>
  <c r="G91" i="1"/>
  <c r="A92" i="1"/>
  <c r="B92" i="1"/>
  <c r="C92" i="1"/>
  <c r="D92" i="1"/>
  <c r="E92" i="1"/>
  <c r="F92" i="1"/>
  <c r="G92" i="1"/>
  <c r="A93" i="1"/>
  <c r="B93" i="1"/>
  <c r="C93" i="1"/>
  <c r="D93" i="1"/>
  <c r="E93" i="1"/>
  <c r="F93" i="1"/>
  <c r="G93" i="1"/>
  <c r="A94" i="1"/>
  <c r="B94" i="1"/>
  <c r="C94" i="1"/>
  <c r="D94" i="1"/>
  <c r="E94" i="1"/>
  <c r="F94" i="1"/>
  <c r="G94" i="1"/>
  <c r="A95" i="1"/>
  <c r="B95" i="1"/>
  <c r="C95" i="1"/>
  <c r="D95" i="1"/>
  <c r="E95" i="1"/>
  <c r="F95" i="1"/>
  <c r="G95" i="1"/>
  <c r="A96" i="1"/>
  <c r="B96" i="1"/>
  <c r="C96" i="1"/>
  <c r="D96" i="1"/>
  <c r="E96" i="1"/>
  <c r="F96" i="1"/>
  <c r="G96" i="1"/>
  <c r="A97" i="1"/>
  <c r="B97" i="1"/>
  <c r="C97" i="1"/>
  <c r="D97" i="1"/>
  <c r="E97" i="1"/>
  <c r="F97" i="1"/>
  <c r="G97" i="1"/>
  <c r="A98" i="1"/>
  <c r="C98" i="1"/>
  <c r="D98" i="1"/>
  <c r="E98" i="1"/>
  <c r="F98" i="1"/>
  <c r="G98" i="1"/>
  <c r="G90" i="1"/>
  <c r="F90" i="1"/>
  <c r="E90" i="1"/>
  <c r="D90" i="1"/>
  <c r="C90" i="1"/>
  <c r="B90" i="1"/>
  <c r="A90" i="1"/>
  <c r="Z38" i="1"/>
  <c r="AA38" i="1" s="1"/>
  <c r="H79" i="1"/>
  <c r="G79" i="1"/>
  <c r="F79" i="1"/>
  <c r="E79" i="1"/>
  <c r="D79" i="1"/>
  <c r="C79" i="1"/>
  <c r="B79" i="1"/>
  <c r="A79" i="1"/>
  <c r="AJ47" i="1"/>
  <c r="AK47" i="1"/>
  <c r="AL47" i="1"/>
  <c r="AI47" i="1"/>
  <c r="M58" i="1"/>
  <c r="Z50" i="1" s="1"/>
  <c r="M46" i="1"/>
  <c r="AA58" i="1"/>
  <c r="S58" i="1"/>
  <c r="W58" i="1" s="1"/>
  <c r="Q58" i="1"/>
  <c r="U58" i="1" s="1"/>
  <c r="Y58" i="1" s="1"/>
  <c r="Y50" i="1"/>
  <c r="W50" i="1"/>
  <c r="U50" i="1"/>
  <c r="S50" i="1"/>
  <c r="Q50" i="1"/>
  <c r="O50" i="1"/>
  <c r="AA46" i="1"/>
  <c r="S46" i="1"/>
  <c r="W46" i="1" s="1"/>
  <c r="Q46" i="1"/>
  <c r="U46" i="1" s="1"/>
  <c r="Y46" i="1" s="1"/>
  <c r="Y38" i="1"/>
  <c r="W38" i="1"/>
  <c r="U38" i="1"/>
  <c r="S38" i="1"/>
  <c r="Q38" i="1"/>
  <c r="O38" i="1"/>
  <c r="J40" i="19"/>
  <c r="J40" i="13"/>
  <c r="K174" i="23"/>
  <c r="K157" i="23"/>
  <c r="K162" i="23"/>
  <c r="K159" i="23"/>
  <c r="K158" i="23"/>
  <c r="K119" i="23"/>
  <c r="K118" i="23"/>
  <c r="K133" i="23"/>
  <c r="K134" i="23"/>
  <c r="K136" i="23"/>
  <c r="K135" i="23"/>
  <c r="K137" i="23"/>
  <c r="K138" i="23"/>
  <c r="K122" i="23"/>
  <c r="K121" i="23"/>
  <c r="K120" i="23"/>
  <c r="K96" i="23"/>
  <c r="K100" i="23"/>
  <c r="K84" i="23"/>
  <c r="K62" i="23"/>
  <c r="K46" i="23"/>
  <c r="K47" i="23"/>
  <c r="K27" i="23"/>
  <c r="Z51" i="1" l="1"/>
  <c r="AA50" i="1"/>
  <c r="Z39" i="1"/>
  <c r="AA51" i="1"/>
  <c r="Z52" i="1"/>
  <c r="J59" i="17"/>
  <c r="Z40" i="1" l="1"/>
  <c r="AA39" i="1"/>
  <c r="Z53" i="1"/>
  <c r="AA53" i="1" s="1"/>
  <c r="AA52" i="1"/>
  <c r="M62" i="13"/>
  <c r="J49" i="21"/>
  <c r="J48" i="21"/>
  <c r="J47" i="21"/>
  <c r="J46" i="21"/>
  <c r="J45" i="21"/>
  <c r="J44" i="21"/>
  <c r="J43" i="21"/>
  <c r="J42" i="21"/>
  <c r="J41" i="21"/>
  <c r="J40" i="21"/>
  <c r="J39" i="21"/>
  <c r="J38" i="21"/>
  <c r="J69" i="21"/>
  <c r="K69" i="21" s="1"/>
  <c r="J68" i="21"/>
  <c r="J67" i="21"/>
  <c r="K67" i="21" s="1"/>
  <c r="J66" i="21"/>
  <c r="J65" i="21"/>
  <c r="J64" i="21"/>
  <c r="J63" i="21"/>
  <c r="K63" i="21" s="1"/>
  <c r="J62" i="21"/>
  <c r="K62" i="21" s="1"/>
  <c r="J61" i="21"/>
  <c r="J60" i="21"/>
  <c r="J59" i="21"/>
  <c r="K59" i="21" s="1"/>
  <c r="J58" i="21"/>
  <c r="K58" i="21" s="1"/>
  <c r="J57" i="21"/>
  <c r="J56" i="21"/>
  <c r="K56" i="21" s="1"/>
  <c r="J55" i="21"/>
  <c r="J69" i="20"/>
  <c r="J68" i="20"/>
  <c r="J67" i="20"/>
  <c r="J66" i="20"/>
  <c r="J65" i="20"/>
  <c r="J64" i="20"/>
  <c r="J63" i="20"/>
  <c r="K63" i="20" s="1"/>
  <c r="J62" i="20"/>
  <c r="K62" i="20" s="1"/>
  <c r="J61" i="20"/>
  <c r="J60" i="20"/>
  <c r="J59" i="20"/>
  <c r="J58" i="20"/>
  <c r="J57" i="20"/>
  <c r="J56" i="20"/>
  <c r="J55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49" i="19"/>
  <c r="J48" i="19"/>
  <c r="J47" i="19"/>
  <c r="J46" i="19"/>
  <c r="J45" i="19"/>
  <c r="J44" i="19"/>
  <c r="J43" i="19"/>
  <c r="J42" i="19"/>
  <c r="J41" i="19"/>
  <c r="J39" i="19"/>
  <c r="J38" i="19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69" i="17"/>
  <c r="J68" i="17"/>
  <c r="J67" i="17"/>
  <c r="J66" i="17"/>
  <c r="J65" i="17"/>
  <c r="J64" i="17"/>
  <c r="J63" i="17"/>
  <c r="J62" i="17"/>
  <c r="J61" i="17"/>
  <c r="J60" i="17"/>
  <c r="J58" i="17"/>
  <c r="J57" i="17"/>
  <c r="J56" i="17"/>
  <c r="J55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M69" i="21"/>
  <c r="L69" i="21"/>
  <c r="I69" i="21"/>
  <c r="M68" i="21"/>
  <c r="L68" i="21"/>
  <c r="K68" i="21"/>
  <c r="I68" i="21"/>
  <c r="M67" i="21"/>
  <c r="L67" i="21"/>
  <c r="I67" i="21"/>
  <c r="M66" i="21"/>
  <c r="L66" i="21"/>
  <c r="K66" i="21"/>
  <c r="I66" i="21"/>
  <c r="M65" i="21"/>
  <c r="L65" i="21"/>
  <c r="K65" i="21"/>
  <c r="I65" i="21"/>
  <c r="M64" i="21"/>
  <c r="L64" i="21"/>
  <c r="K64" i="21"/>
  <c r="I64" i="21"/>
  <c r="M63" i="21"/>
  <c r="L63" i="21"/>
  <c r="I63" i="21"/>
  <c r="M62" i="21"/>
  <c r="L62" i="21"/>
  <c r="I62" i="21"/>
  <c r="M61" i="21"/>
  <c r="L61" i="21"/>
  <c r="K61" i="21"/>
  <c r="I61" i="21"/>
  <c r="M60" i="21"/>
  <c r="L60" i="21"/>
  <c r="K60" i="21"/>
  <c r="I60" i="21"/>
  <c r="M59" i="21"/>
  <c r="L59" i="21"/>
  <c r="I59" i="21"/>
  <c r="M58" i="21"/>
  <c r="L58" i="21"/>
  <c r="I58" i="21"/>
  <c r="M57" i="21"/>
  <c r="L57" i="21"/>
  <c r="K57" i="21"/>
  <c r="I57" i="21"/>
  <c r="M56" i="21"/>
  <c r="L56" i="21"/>
  <c r="I56" i="21"/>
  <c r="M55" i="21"/>
  <c r="L55" i="21"/>
  <c r="M69" i="20"/>
  <c r="N69" i="20" s="1"/>
  <c r="L69" i="20"/>
  <c r="K69" i="20"/>
  <c r="I69" i="20"/>
  <c r="M68" i="20"/>
  <c r="N68" i="20" s="1"/>
  <c r="L68" i="20"/>
  <c r="K68" i="20"/>
  <c r="I68" i="20"/>
  <c r="M67" i="20"/>
  <c r="N67" i="20" s="1"/>
  <c r="L67" i="20"/>
  <c r="K67" i="20"/>
  <c r="I67" i="20"/>
  <c r="M66" i="20"/>
  <c r="N66" i="20" s="1"/>
  <c r="L66" i="20"/>
  <c r="K66" i="20"/>
  <c r="I66" i="20"/>
  <c r="M65" i="20"/>
  <c r="N65" i="20" s="1"/>
  <c r="L65" i="20"/>
  <c r="K65" i="20"/>
  <c r="I65" i="20"/>
  <c r="M64" i="20"/>
  <c r="N64" i="20" s="1"/>
  <c r="L64" i="20"/>
  <c r="K64" i="20"/>
  <c r="I64" i="20"/>
  <c r="M63" i="20"/>
  <c r="N63" i="20" s="1"/>
  <c r="L63" i="20"/>
  <c r="I63" i="20"/>
  <c r="M62" i="20"/>
  <c r="N62" i="20" s="1"/>
  <c r="L62" i="20"/>
  <c r="I62" i="20"/>
  <c r="M61" i="20"/>
  <c r="N61" i="20" s="1"/>
  <c r="L61" i="20"/>
  <c r="K61" i="20"/>
  <c r="I61" i="20"/>
  <c r="M60" i="20"/>
  <c r="N60" i="20" s="1"/>
  <c r="L60" i="20"/>
  <c r="K60" i="20"/>
  <c r="I60" i="20"/>
  <c r="M59" i="20"/>
  <c r="N59" i="20" s="1"/>
  <c r="L59" i="20"/>
  <c r="K59" i="20"/>
  <c r="I59" i="20"/>
  <c r="M58" i="20"/>
  <c r="N58" i="20" s="1"/>
  <c r="L58" i="20"/>
  <c r="K58" i="20"/>
  <c r="I58" i="20"/>
  <c r="M57" i="20"/>
  <c r="N57" i="20" s="1"/>
  <c r="L57" i="20"/>
  <c r="K57" i="20"/>
  <c r="I57" i="20"/>
  <c r="M56" i="20"/>
  <c r="N56" i="20" s="1"/>
  <c r="L56" i="20"/>
  <c r="K56" i="20"/>
  <c r="M55" i="20"/>
  <c r="L55" i="20"/>
  <c r="M69" i="19"/>
  <c r="L69" i="19"/>
  <c r="I69" i="19"/>
  <c r="M68" i="19"/>
  <c r="L68" i="19"/>
  <c r="I68" i="19"/>
  <c r="M67" i="19"/>
  <c r="L67" i="19"/>
  <c r="I67" i="19"/>
  <c r="M66" i="19"/>
  <c r="L66" i="19"/>
  <c r="I66" i="19"/>
  <c r="M65" i="19"/>
  <c r="L65" i="19"/>
  <c r="I65" i="19"/>
  <c r="M64" i="19"/>
  <c r="L64" i="19"/>
  <c r="I64" i="19"/>
  <c r="M63" i="19"/>
  <c r="L63" i="19"/>
  <c r="I63" i="19"/>
  <c r="M62" i="19"/>
  <c r="L62" i="19"/>
  <c r="I62" i="19"/>
  <c r="M61" i="19"/>
  <c r="L61" i="19"/>
  <c r="I61" i="19"/>
  <c r="M60" i="19"/>
  <c r="L60" i="19"/>
  <c r="I60" i="19"/>
  <c r="M59" i="19"/>
  <c r="L59" i="19"/>
  <c r="I59" i="19"/>
  <c r="M58" i="19"/>
  <c r="L58" i="19"/>
  <c r="I58" i="19"/>
  <c r="M57" i="19"/>
  <c r="L57" i="19"/>
  <c r="M56" i="19"/>
  <c r="N56" i="19" s="1"/>
  <c r="L56" i="19"/>
  <c r="M55" i="19"/>
  <c r="L55" i="19"/>
  <c r="M69" i="18"/>
  <c r="L69" i="18"/>
  <c r="I69" i="18"/>
  <c r="M68" i="18"/>
  <c r="L68" i="18"/>
  <c r="I68" i="18"/>
  <c r="M67" i="18"/>
  <c r="L67" i="18"/>
  <c r="I67" i="18"/>
  <c r="M66" i="18"/>
  <c r="N66" i="18" s="1"/>
  <c r="L66" i="18"/>
  <c r="I66" i="18"/>
  <c r="M65" i="18"/>
  <c r="N65" i="18" s="1"/>
  <c r="L65" i="18"/>
  <c r="I65" i="18"/>
  <c r="M64" i="18"/>
  <c r="N64" i="18" s="1"/>
  <c r="L64" i="18"/>
  <c r="I64" i="18"/>
  <c r="M63" i="18"/>
  <c r="N63" i="18" s="1"/>
  <c r="L63" i="18"/>
  <c r="I63" i="18"/>
  <c r="M62" i="18"/>
  <c r="L62" i="18"/>
  <c r="I62" i="18"/>
  <c r="M61" i="18"/>
  <c r="L61" i="18"/>
  <c r="I61" i="18"/>
  <c r="M60" i="18"/>
  <c r="L60" i="18"/>
  <c r="I60" i="18"/>
  <c r="M59" i="18"/>
  <c r="L59" i="18"/>
  <c r="I59" i="18"/>
  <c r="M58" i="18"/>
  <c r="L58" i="18"/>
  <c r="I58" i="18"/>
  <c r="M57" i="18"/>
  <c r="L57" i="18"/>
  <c r="M56" i="18"/>
  <c r="L56" i="18"/>
  <c r="M55" i="18"/>
  <c r="L55" i="18"/>
  <c r="M69" i="17"/>
  <c r="N69" i="17" s="1"/>
  <c r="L69" i="17"/>
  <c r="I69" i="17"/>
  <c r="M68" i="17"/>
  <c r="N68" i="17" s="1"/>
  <c r="L68" i="17"/>
  <c r="I68" i="17"/>
  <c r="M67" i="17"/>
  <c r="N67" i="17" s="1"/>
  <c r="L67" i="17"/>
  <c r="I67" i="17"/>
  <c r="M66" i="17"/>
  <c r="L66" i="17"/>
  <c r="I66" i="17"/>
  <c r="M65" i="17"/>
  <c r="L65" i="17"/>
  <c r="I65" i="17"/>
  <c r="M64" i="17"/>
  <c r="N64" i="17" s="1"/>
  <c r="L64" i="17"/>
  <c r="I64" i="17"/>
  <c r="M63" i="17"/>
  <c r="L63" i="17"/>
  <c r="I63" i="17"/>
  <c r="M62" i="17"/>
  <c r="L62" i="17"/>
  <c r="I62" i="17"/>
  <c r="M61" i="17"/>
  <c r="N61" i="17" s="1"/>
  <c r="L61" i="17"/>
  <c r="I61" i="17"/>
  <c r="M60" i="17"/>
  <c r="L60" i="17"/>
  <c r="I60" i="17"/>
  <c r="M59" i="17"/>
  <c r="L59" i="17"/>
  <c r="I59" i="17"/>
  <c r="M58" i="17"/>
  <c r="N58" i="17" s="1"/>
  <c r="L58" i="17"/>
  <c r="I58" i="17"/>
  <c r="M57" i="17"/>
  <c r="L57" i="17"/>
  <c r="I57" i="17"/>
  <c r="M56" i="17"/>
  <c r="L56" i="17"/>
  <c r="M55" i="17"/>
  <c r="L55" i="17"/>
  <c r="M69" i="16"/>
  <c r="L69" i="16"/>
  <c r="I69" i="16"/>
  <c r="M68" i="16"/>
  <c r="L68" i="16"/>
  <c r="I68" i="16"/>
  <c r="M67" i="16"/>
  <c r="L67" i="16"/>
  <c r="I67" i="16"/>
  <c r="M66" i="16"/>
  <c r="L66" i="16"/>
  <c r="I66" i="16"/>
  <c r="M65" i="16"/>
  <c r="L65" i="16"/>
  <c r="I65" i="16"/>
  <c r="M64" i="16"/>
  <c r="L64" i="16"/>
  <c r="I64" i="16"/>
  <c r="M63" i="16"/>
  <c r="L63" i="16"/>
  <c r="I63" i="16"/>
  <c r="M62" i="16"/>
  <c r="L62" i="16"/>
  <c r="I62" i="16"/>
  <c r="M61" i="16"/>
  <c r="L61" i="16"/>
  <c r="I61" i="16"/>
  <c r="M60" i="16"/>
  <c r="L60" i="16"/>
  <c r="I60" i="16"/>
  <c r="M59" i="16"/>
  <c r="L59" i="16"/>
  <c r="I59" i="16"/>
  <c r="M58" i="16"/>
  <c r="L58" i="16"/>
  <c r="I58" i="16"/>
  <c r="M57" i="16"/>
  <c r="L57" i="16"/>
  <c r="I57" i="16"/>
  <c r="M56" i="16"/>
  <c r="L56" i="16"/>
  <c r="I56" i="16"/>
  <c r="M55" i="16"/>
  <c r="L55" i="16"/>
  <c r="M70" i="15"/>
  <c r="L70" i="15"/>
  <c r="I70" i="15"/>
  <c r="M69" i="15"/>
  <c r="L69" i="15"/>
  <c r="I69" i="15"/>
  <c r="M68" i="15"/>
  <c r="L68" i="15"/>
  <c r="I68" i="15"/>
  <c r="M67" i="15"/>
  <c r="L67" i="15"/>
  <c r="I67" i="15"/>
  <c r="M66" i="15"/>
  <c r="L66" i="15"/>
  <c r="I66" i="15"/>
  <c r="M65" i="15"/>
  <c r="L65" i="15"/>
  <c r="I65" i="15"/>
  <c r="M64" i="15"/>
  <c r="L64" i="15"/>
  <c r="I64" i="15"/>
  <c r="M63" i="15"/>
  <c r="L63" i="15"/>
  <c r="I63" i="15"/>
  <c r="M62" i="15"/>
  <c r="L62" i="15"/>
  <c r="I62" i="15"/>
  <c r="M61" i="15"/>
  <c r="L61" i="15"/>
  <c r="I61" i="15"/>
  <c r="M60" i="15"/>
  <c r="L60" i="15"/>
  <c r="I60" i="15"/>
  <c r="M59" i="15"/>
  <c r="L59" i="15"/>
  <c r="I59" i="15"/>
  <c r="M58" i="15"/>
  <c r="L58" i="15"/>
  <c r="I58" i="15"/>
  <c r="M57" i="15"/>
  <c r="L57" i="15"/>
  <c r="M56" i="15"/>
  <c r="L56" i="15"/>
  <c r="M70" i="14"/>
  <c r="L70" i="14"/>
  <c r="I70" i="14"/>
  <c r="M69" i="14"/>
  <c r="L69" i="14"/>
  <c r="I69" i="14"/>
  <c r="M68" i="14"/>
  <c r="L68" i="14"/>
  <c r="I68" i="14"/>
  <c r="M67" i="14"/>
  <c r="L67" i="14"/>
  <c r="I67" i="14"/>
  <c r="M66" i="14"/>
  <c r="L66" i="14"/>
  <c r="I66" i="14"/>
  <c r="M65" i="14"/>
  <c r="L65" i="14"/>
  <c r="I65" i="14"/>
  <c r="M64" i="14"/>
  <c r="L64" i="14"/>
  <c r="I64" i="14"/>
  <c r="M63" i="14"/>
  <c r="L63" i="14"/>
  <c r="I63" i="14"/>
  <c r="M62" i="14"/>
  <c r="L62" i="14"/>
  <c r="I62" i="14"/>
  <c r="M61" i="14"/>
  <c r="L61" i="14"/>
  <c r="I61" i="14"/>
  <c r="M60" i="14"/>
  <c r="L60" i="14"/>
  <c r="I60" i="14"/>
  <c r="M59" i="14"/>
  <c r="L59" i="14"/>
  <c r="I59" i="14"/>
  <c r="M58" i="14"/>
  <c r="L58" i="14"/>
  <c r="I58" i="14"/>
  <c r="M57" i="14"/>
  <c r="L57" i="14"/>
  <c r="I57" i="14"/>
  <c r="M56" i="14"/>
  <c r="L56" i="14"/>
  <c r="M70" i="13"/>
  <c r="L70" i="13"/>
  <c r="I70" i="13"/>
  <c r="M69" i="13"/>
  <c r="L69" i="13"/>
  <c r="I69" i="13"/>
  <c r="M68" i="13"/>
  <c r="L68" i="13"/>
  <c r="I68" i="13"/>
  <c r="M67" i="13"/>
  <c r="L67" i="13"/>
  <c r="I67" i="13"/>
  <c r="M66" i="13"/>
  <c r="L66" i="13"/>
  <c r="I66" i="13"/>
  <c r="M65" i="13"/>
  <c r="L65" i="13"/>
  <c r="I65" i="13"/>
  <c r="M64" i="13"/>
  <c r="L64" i="13"/>
  <c r="I64" i="13"/>
  <c r="M63" i="13"/>
  <c r="L63" i="13"/>
  <c r="I63" i="13"/>
  <c r="L62" i="13"/>
  <c r="I62" i="13"/>
  <c r="M61" i="13"/>
  <c r="L61" i="13"/>
  <c r="I61" i="13"/>
  <c r="M60" i="13"/>
  <c r="L60" i="13"/>
  <c r="I60" i="13"/>
  <c r="M59" i="13"/>
  <c r="L59" i="13"/>
  <c r="I59" i="13"/>
  <c r="M58" i="13"/>
  <c r="L58" i="13"/>
  <c r="I58" i="13"/>
  <c r="M57" i="13"/>
  <c r="L57" i="13"/>
  <c r="I57" i="13"/>
  <c r="M56" i="13"/>
  <c r="L56" i="13"/>
  <c r="N49" i="21"/>
  <c r="G49" i="21"/>
  <c r="F49" i="21"/>
  <c r="N48" i="21"/>
  <c r="G48" i="21"/>
  <c r="F48" i="21"/>
  <c r="N47" i="21"/>
  <c r="G47" i="21"/>
  <c r="F47" i="21"/>
  <c r="N46" i="21"/>
  <c r="G46" i="21"/>
  <c r="F46" i="21"/>
  <c r="N45" i="21"/>
  <c r="G45" i="21"/>
  <c r="F45" i="21"/>
  <c r="N44" i="21"/>
  <c r="G44" i="21"/>
  <c r="F44" i="21"/>
  <c r="N43" i="21"/>
  <c r="G43" i="21"/>
  <c r="F43" i="21"/>
  <c r="N42" i="21"/>
  <c r="G42" i="21"/>
  <c r="F42" i="21"/>
  <c r="N41" i="21"/>
  <c r="G41" i="21"/>
  <c r="F41" i="21"/>
  <c r="N40" i="21"/>
  <c r="G40" i="21"/>
  <c r="F40" i="21"/>
  <c r="N39" i="21"/>
  <c r="G39" i="21"/>
  <c r="F39" i="21"/>
  <c r="N38" i="21"/>
  <c r="G38" i="21"/>
  <c r="F38" i="21"/>
  <c r="N49" i="20"/>
  <c r="G49" i="20"/>
  <c r="F49" i="20"/>
  <c r="N48" i="20"/>
  <c r="G48" i="20"/>
  <c r="F48" i="20"/>
  <c r="N47" i="20"/>
  <c r="G47" i="20"/>
  <c r="F47" i="20"/>
  <c r="N46" i="20"/>
  <c r="G46" i="20"/>
  <c r="F46" i="20"/>
  <c r="N45" i="20"/>
  <c r="G45" i="20"/>
  <c r="F45" i="20"/>
  <c r="N44" i="20"/>
  <c r="G44" i="20"/>
  <c r="F44" i="20"/>
  <c r="N43" i="20"/>
  <c r="G43" i="20"/>
  <c r="F43" i="20"/>
  <c r="N42" i="20"/>
  <c r="G42" i="20"/>
  <c r="F42" i="20"/>
  <c r="N41" i="20"/>
  <c r="G41" i="20"/>
  <c r="F41" i="20"/>
  <c r="N40" i="20"/>
  <c r="G40" i="20"/>
  <c r="F40" i="20"/>
  <c r="N39" i="20"/>
  <c r="G39" i="20"/>
  <c r="F39" i="20"/>
  <c r="N38" i="20"/>
  <c r="G38" i="20"/>
  <c r="F38" i="20"/>
  <c r="N49" i="19"/>
  <c r="G49" i="19"/>
  <c r="F49" i="19"/>
  <c r="N48" i="19"/>
  <c r="G48" i="19"/>
  <c r="F48" i="19"/>
  <c r="N47" i="19"/>
  <c r="G47" i="19"/>
  <c r="F47" i="19"/>
  <c r="N46" i="19"/>
  <c r="G46" i="19"/>
  <c r="F46" i="19"/>
  <c r="N45" i="19"/>
  <c r="G45" i="19"/>
  <c r="F45" i="19"/>
  <c r="N44" i="19"/>
  <c r="G44" i="19"/>
  <c r="F44" i="19"/>
  <c r="N43" i="19"/>
  <c r="G43" i="19"/>
  <c r="F43" i="19"/>
  <c r="N42" i="19"/>
  <c r="G42" i="19"/>
  <c r="F42" i="19"/>
  <c r="N41" i="19"/>
  <c r="G41" i="19"/>
  <c r="F41" i="19"/>
  <c r="N40" i="19"/>
  <c r="G40" i="19"/>
  <c r="F40" i="19"/>
  <c r="N39" i="19"/>
  <c r="G39" i="19"/>
  <c r="F39" i="19"/>
  <c r="N38" i="19"/>
  <c r="G38" i="19"/>
  <c r="F38" i="19"/>
  <c r="N50" i="18"/>
  <c r="G50" i="18"/>
  <c r="F50" i="18"/>
  <c r="N49" i="18"/>
  <c r="G49" i="18"/>
  <c r="F49" i="18"/>
  <c r="N48" i="18"/>
  <c r="G48" i="18"/>
  <c r="F48" i="18"/>
  <c r="N47" i="18"/>
  <c r="G47" i="18"/>
  <c r="F47" i="18"/>
  <c r="N46" i="18"/>
  <c r="G46" i="18"/>
  <c r="F46" i="18"/>
  <c r="N45" i="18"/>
  <c r="G45" i="18"/>
  <c r="F45" i="18"/>
  <c r="N44" i="18"/>
  <c r="G44" i="18"/>
  <c r="F44" i="18"/>
  <c r="N43" i="18"/>
  <c r="G43" i="18"/>
  <c r="F43" i="18"/>
  <c r="N42" i="18"/>
  <c r="G42" i="18"/>
  <c r="F42" i="18"/>
  <c r="N41" i="18"/>
  <c r="G41" i="18"/>
  <c r="F41" i="18"/>
  <c r="N40" i="18"/>
  <c r="G40" i="18"/>
  <c r="F40" i="18"/>
  <c r="N39" i="18"/>
  <c r="G39" i="18"/>
  <c r="F39" i="18"/>
  <c r="N38" i="18"/>
  <c r="G38" i="18"/>
  <c r="F38" i="18"/>
  <c r="N51" i="17"/>
  <c r="G51" i="17"/>
  <c r="F51" i="17"/>
  <c r="N50" i="17"/>
  <c r="G50" i="17"/>
  <c r="F50" i="17"/>
  <c r="N49" i="17"/>
  <c r="G49" i="17"/>
  <c r="F49" i="17"/>
  <c r="N48" i="17"/>
  <c r="G48" i="17"/>
  <c r="F48" i="17"/>
  <c r="N47" i="17"/>
  <c r="G47" i="17"/>
  <c r="F47" i="17"/>
  <c r="N46" i="17"/>
  <c r="G46" i="17"/>
  <c r="F46" i="17"/>
  <c r="N45" i="17"/>
  <c r="G45" i="17"/>
  <c r="F45" i="17"/>
  <c r="N44" i="17"/>
  <c r="G44" i="17"/>
  <c r="F44" i="17"/>
  <c r="N43" i="17"/>
  <c r="G43" i="17"/>
  <c r="F43" i="17"/>
  <c r="N42" i="17"/>
  <c r="G42" i="17"/>
  <c r="F42" i="17"/>
  <c r="N41" i="17"/>
  <c r="G41" i="17"/>
  <c r="F41" i="17"/>
  <c r="N40" i="17"/>
  <c r="G40" i="17"/>
  <c r="F40" i="17"/>
  <c r="N39" i="17"/>
  <c r="G39" i="17"/>
  <c r="F39" i="17"/>
  <c r="N51" i="16"/>
  <c r="G51" i="16"/>
  <c r="F51" i="16"/>
  <c r="N50" i="16"/>
  <c r="G50" i="16"/>
  <c r="F50" i="16"/>
  <c r="N49" i="16"/>
  <c r="G49" i="16"/>
  <c r="F49" i="16"/>
  <c r="N48" i="16"/>
  <c r="G48" i="16"/>
  <c r="F48" i="16"/>
  <c r="N47" i="16"/>
  <c r="G47" i="16"/>
  <c r="F47" i="16"/>
  <c r="N46" i="16"/>
  <c r="G46" i="16"/>
  <c r="F46" i="16"/>
  <c r="N45" i="16"/>
  <c r="G45" i="16"/>
  <c r="F45" i="16"/>
  <c r="N44" i="16"/>
  <c r="G44" i="16"/>
  <c r="F44" i="16"/>
  <c r="N43" i="16"/>
  <c r="G43" i="16"/>
  <c r="F43" i="16"/>
  <c r="N42" i="16"/>
  <c r="G42" i="16"/>
  <c r="F42" i="16"/>
  <c r="N41" i="16"/>
  <c r="G41" i="16"/>
  <c r="F41" i="16"/>
  <c r="N40" i="16"/>
  <c r="G40" i="16"/>
  <c r="F40" i="16"/>
  <c r="N39" i="16"/>
  <c r="G39" i="16"/>
  <c r="F39" i="16"/>
  <c r="N52" i="15"/>
  <c r="G52" i="15"/>
  <c r="F52" i="15"/>
  <c r="N51" i="15"/>
  <c r="G51" i="15"/>
  <c r="F51" i="15"/>
  <c r="N50" i="15"/>
  <c r="G50" i="15"/>
  <c r="F50" i="15"/>
  <c r="N49" i="15"/>
  <c r="G49" i="15"/>
  <c r="F49" i="15"/>
  <c r="N48" i="15"/>
  <c r="G48" i="15"/>
  <c r="F48" i="15"/>
  <c r="N47" i="15"/>
  <c r="G47" i="15"/>
  <c r="F47" i="15"/>
  <c r="N46" i="15"/>
  <c r="G46" i="15"/>
  <c r="F46" i="15"/>
  <c r="N45" i="15"/>
  <c r="G45" i="15"/>
  <c r="F45" i="15"/>
  <c r="N44" i="15"/>
  <c r="G44" i="15"/>
  <c r="F44" i="15"/>
  <c r="N43" i="15"/>
  <c r="G43" i="15"/>
  <c r="F43" i="15"/>
  <c r="N42" i="15"/>
  <c r="G42" i="15"/>
  <c r="F42" i="15"/>
  <c r="N41" i="15"/>
  <c r="G41" i="15"/>
  <c r="F41" i="15"/>
  <c r="N40" i="15"/>
  <c r="G40" i="15"/>
  <c r="F40" i="15"/>
  <c r="N39" i="15"/>
  <c r="G39" i="15"/>
  <c r="F39" i="15"/>
  <c r="N52" i="14"/>
  <c r="G52" i="14"/>
  <c r="F52" i="14"/>
  <c r="N51" i="14"/>
  <c r="G51" i="14"/>
  <c r="F51" i="14"/>
  <c r="N50" i="14"/>
  <c r="G50" i="14"/>
  <c r="F50" i="14"/>
  <c r="N49" i="14"/>
  <c r="G49" i="14"/>
  <c r="F49" i="14"/>
  <c r="N48" i="14"/>
  <c r="G48" i="14"/>
  <c r="F48" i="14"/>
  <c r="N47" i="14"/>
  <c r="G47" i="14"/>
  <c r="F47" i="14"/>
  <c r="N46" i="14"/>
  <c r="G46" i="14"/>
  <c r="F46" i="14"/>
  <c r="N45" i="14"/>
  <c r="G45" i="14"/>
  <c r="F45" i="14"/>
  <c r="N44" i="14"/>
  <c r="G44" i="14"/>
  <c r="F44" i="14"/>
  <c r="N43" i="14"/>
  <c r="G43" i="14"/>
  <c r="F43" i="14"/>
  <c r="N42" i="14"/>
  <c r="G42" i="14"/>
  <c r="F42" i="14"/>
  <c r="N41" i="14"/>
  <c r="G41" i="14"/>
  <c r="F41" i="14"/>
  <c r="N40" i="14"/>
  <c r="G40" i="14"/>
  <c r="F40" i="14"/>
  <c r="N39" i="14"/>
  <c r="G39" i="14"/>
  <c r="F39" i="14"/>
  <c r="N52" i="13"/>
  <c r="G52" i="13"/>
  <c r="F52" i="13"/>
  <c r="N51" i="13"/>
  <c r="G51" i="13"/>
  <c r="F51" i="13"/>
  <c r="N50" i="13"/>
  <c r="G50" i="13"/>
  <c r="F50" i="13"/>
  <c r="N49" i="13"/>
  <c r="G49" i="13"/>
  <c r="F49" i="13"/>
  <c r="N48" i="13"/>
  <c r="G48" i="13"/>
  <c r="F48" i="13"/>
  <c r="N47" i="13"/>
  <c r="G47" i="13"/>
  <c r="F47" i="13"/>
  <c r="N46" i="13"/>
  <c r="G46" i="13"/>
  <c r="F46" i="13"/>
  <c r="N45" i="13"/>
  <c r="G45" i="13"/>
  <c r="F45" i="13"/>
  <c r="N44" i="13"/>
  <c r="G44" i="13"/>
  <c r="F44" i="13"/>
  <c r="N43" i="13"/>
  <c r="G43" i="13"/>
  <c r="F43" i="13"/>
  <c r="N42" i="13"/>
  <c r="G42" i="13"/>
  <c r="F42" i="13"/>
  <c r="N41" i="13"/>
  <c r="G41" i="13"/>
  <c r="F41" i="13"/>
  <c r="N40" i="13"/>
  <c r="G40" i="13"/>
  <c r="F40" i="13"/>
  <c r="N39" i="13"/>
  <c r="G39" i="13"/>
  <c r="F39" i="13"/>
  <c r="L58" i="11"/>
  <c r="M58" i="11"/>
  <c r="L59" i="11"/>
  <c r="M59" i="11"/>
  <c r="L60" i="11"/>
  <c r="M60" i="11"/>
  <c r="L61" i="11"/>
  <c r="M61" i="11"/>
  <c r="L62" i="11"/>
  <c r="M62" i="11"/>
  <c r="L63" i="11"/>
  <c r="M63" i="11"/>
  <c r="L64" i="11"/>
  <c r="M64" i="11"/>
  <c r="L65" i="11"/>
  <c r="M65" i="11"/>
  <c r="L66" i="11"/>
  <c r="M66" i="11"/>
  <c r="L67" i="11"/>
  <c r="M67" i="11"/>
  <c r="L68" i="11"/>
  <c r="M68" i="11"/>
  <c r="L69" i="11"/>
  <c r="M69" i="11"/>
  <c r="L70" i="11"/>
  <c r="M70" i="11"/>
  <c r="L71" i="11"/>
  <c r="M71" i="11"/>
  <c r="M57" i="11"/>
  <c r="L57" i="11"/>
  <c r="Z41" i="1" l="1"/>
  <c r="AA41" i="1" s="1"/>
  <c r="AA40" i="1"/>
  <c r="Z54" i="1"/>
  <c r="N68" i="21"/>
  <c r="N66" i="21"/>
  <c r="N64" i="21"/>
  <c r="N62" i="21"/>
  <c r="N60" i="21"/>
  <c r="N58" i="21"/>
  <c r="N56" i="21"/>
  <c r="N64" i="19"/>
  <c r="N67" i="18"/>
  <c r="N61" i="18"/>
  <c r="N59" i="18"/>
  <c r="N63" i="17"/>
  <c r="N62" i="14"/>
  <c r="N68" i="13"/>
  <c r="N66" i="13"/>
  <c r="N64" i="13"/>
  <c r="N60" i="13"/>
  <c r="N58" i="13"/>
  <c r="N62" i="13"/>
  <c r="N64" i="14"/>
  <c r="N65" i="14"/>
  <c r="N63" i="14"/>
  <c r="N59" i="17"/>
  <c r="N57" i="17"/>
  <c r="N65" i="17"/>
  <c r="N69" i="18"/>
  <c r="N62" i="19"/>
  <c r="N68" i="19"/>
  <c r="N66" i="19"/>
  <c r="N69" i="19"/>
  <c r="N57" i="21"/>
  <c r="N59" i="21"/>
  <c r="N61" i="21"/>
  <c r="N63" i="21"/>
  <c r="N65" i="21"/>
  <c r="N67" i="21"/>
  <c r="N69" i="21"/>
  <c r="N58" i="19"/>
  <c r="N60" i="19"/>
  <c r="N65" i="19"/>
  <c r="N67" i="19"/>
  <c r="N61" i="19"/>
  <c r="N63" i="19"/>
  <c r="N57" i="19"/>
  <c r="N59" i="19"/>
  <c r="N56" i="18"/>
  <c r="N58" i="18"/>
  <c r="N60" i="18"/>
  <c r="N62" i="18"/>
  <c r="N68" i="18"/>
  <c r="N57" i="18"/>
  <c r="N56" i="17"/>
  <c r="N62" i="17"/>
  <c r="N60" i="17"/>
  <c r="N66" i="17"/>
  <c r="N67" i="14"/>
  <c r="N69" i="14"/>
  <c r="N57" i="14"/>
  <c r="N59" i="14"/>
  <c r="N61" i="14"/>
  <c r="N66" i="14"/>
  <c r="N68" i="14"/>
  <c r="N58" i="14"/>
  <c r="N60" i="14"/>
  <c r="N67" i="13"/>
  <c r="N65" i="13"/>
  <c r="N59" i="13"/>
  <c r="N61" i="13"/>
  <c r="N63" i="13"/>
  <c r="N57" i="13"/>
  <c r="N69" i="13"/>
  <c r="N70" i="13"/>
  <c r="N70" i="14"/>
  <c r="N58" i="15"/>
  <c r="N60" i="15"/>
  <c r="N62" i="15"/>
  <c r="N64" i="15"/>
  <c r="N66" i="15"/>
  <c r="N68" i="15"/>
  <c r="N70" i="15"/>
  <c r="N57" i="15"/>
  <c r="N59" i="15"/>
  <c r="N61" i="15"/>
  <c r="N63" i="15"/>
  <c r="N65" i="15"/>
  <c r="N67" i="15"/>
  <c r="N69" i="15"/>
  <c r="N56" i="16"/>
  <c r="N58" i="16"/>
  <c r="N60" i="16"/>
  <c r="N62" i="16"/>
  <c r="N64" i="16"/>
  <c r="N66" i="16"/>
  <c r="N68" i="16"/>
  <c r="N57" i="16"/>
  <c r="N59" i="16"/>
  <c r="N61" i="16"/>
  <c r="N63" i="16"/>
  <c r="N65" i="16"/>
  <c r="N67" i="16"/>
  <c r="N69" i="16"/>
  <c r="Z42" i="1" l="1"/>
  <c r="Z55" i="1"/>
  <c r="AA54" i="1"/>
  <c r="I67" i="11"/>
  <c r="N67" i="11" s="1"/>
  <c r="I68" i="11"/>
  <c r="N68" i="11" s="1"/>
  <c r="I69" i="11"/>
  <c r="N69" i="11" s="1"/>
  <c r="I70" i="11"/>
  <c r="N70" i="11" s="1"/>
  <c r="I71" i="11"/>
  <c r="N71" i="11" s="1"/>
  <c r="I58" i="11"/>
  <c r="N58" i="11" s="1"/>
  <c r="I59" i="11"/>
  <c r="N59" i="11" s="1"/>
  <c r="I60" i="11"/>
  <c r="N60" i="11" s="1"/>
  <c r="I61" i="11"/>
  <c r="N61" i="11" s="1"/>
  <c r="I62" i="11"/>
  <c r="N62" i="11" s="1"/>
  <c r="I63" i="11"/>
  <c r="N63" i="11" s="1"/>
  <c r="I64" i="11"/>
  <c r="N64" i="11" s="1"/>
  <c r="I65" i="11"/>
  <c r="N65" i="11" s="1"/>
  <c r="I66" i="11"/>
  <c r="N66" i="11" s="1"/>
  <c r="G40" i="11"/>
  <c r="N40" i="11"/>
  <c r="G41" i="11"/>
  <c r="N41" i="11"/>
  <c r="G42" i="11"/>
  <c r="N42" i="11"/>
  <c r="G43" i="11"/>
  <c r="N43" i="11"/>
  <c r="G44" i="11"/>
  <c r="N44" i="11"/>
  <c r="G45" i="11"/>
  <c r="N45" i="11"/>
  <c r="G46" i="11"/>
  <c r="N46" i="11"/>
  <c r="G47" i="11"/>
  <c r="N47" i="11"/>
  <c r="G48" i="11"/>
  <c r="N48" i="11"/>
  <c r="G49" i="11"/>
  <c r="N49" i="11"/>
  <c r="G50" i="11"/>
  <c r="N50" i="11"/>
  <c r="G51" i="11"/>
  <c r="N51" i="11"/>
  <c r="G52" i="11"/>
  <c r="N52" i="11"/>
  <c r="G53" i="11"/>
  <c r="N53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K6" i="23"/>
  <c r="K11" i="23"/>
  <c r="K4" i="23"/>
  <c r="K5" i="23"/>
  <c r="K7" i="23"/>
  <c r="K8" i="23"/>
  <c r="K9" i="23"/>
  <c r="K10" i="23"/>
  <c r="K12" i="23"/>
  <c r="K13" i="23"/>
  <c r="K14" i="23"/>
  <c r="K15" i="23"/>
  <c r="K16" i="23"/>
  <c r="K17" i="23"/>
  <c r="K22" i="23"/>
  <c r="K23" i="23"/>
  <c r="K24" i="23"/>
  <c r="K25" i="23"/>
  <c r="K26" i="23"/>
  <c r="K28" i="23"/>
  <c r="K29" i="23"/>
  <c r="K30" i="23"/>
  <c r="K31" i="23"/>
  <c r="K32" i="23"/>
  <c r="K33" i="23"/>
  <c r="K34" i="23"/>
  <c r="K35" i="23"/>
  <c r="K40" i="23"/>
  <c r="K41" i="23"/>
  <c r="K42" i="23"/>
  <c r="K43" i="23"/>
  <c r="K44" i="23"/>
  <c r="K45" i="23"/>
  <c r="K48" i="23"/>
  <c r="K49" i="23"/>
  <c r="K50" i="23"/>
  <c r="K51" i="23"/>
  <c r="K52" i="23"/>
  <c r="K53" i="23"/>
  <c r="K58" i="23"/>
  <c r="K59" i="23"/>
  <c r="K60" i="23"/>
  <c r="K61" i="23"/>
  <c r="K63" i="23"/>
  <c r="K64" i="23"/>
  <c r="K65" i="23"/>
  <c r="K66" i="23"/>
  <c r="K67" i="23"/>
  <c r="K68" i="23"/>
  <c r="K69" i="23"/>
  <c r="K70" i="23"/>
  <c r="K71" i="23"/>
  <c r="K76" i="23"/>
  <c r="K77" i="23"/>
  <c r="K78" i="23"/>
  <c r="K79" i="23"/>
  <c r="K80" i="23"/>
  <c r="K81" i="23"/>
  <c r="K82" i="23"/>
  <c r="K83" i="23"/>
  <c r="K85" i="23"/>
  <c r="K86" i="23"/>
  <c r="K87" i="23"/>
  <c r="K88" i="23"/>
  <c r="K89" i="23"/>
  <c r="K94" i="23"/>
  <c r="K95" i="23"/>
  <c r="K97" i="23"/>
  <c r="K98" i="23"/>
  <c r="K99" i="23"/>
  <c r="K101" i="23"/>
  <c r="K102" i="23"/>
  <c r="K103" i="23"/>
  <c r="K104" i="23"/>
  <c r="K105" i="23"/>
  <c r="K106" i="23"/>
  <c r="K107" i="23"/>
  <c r="K112" i="23"/>
  <c r="K113" i="23"/>
  <c r="K114" i="23"/>
  <c r="K115" i="23"/>
  <c r="K116" i="23"/>
  <c r="K117" i="23"/>
  <c r="K123" i="23"/>
  <c r="K124" i="23"/>
  <c r="K125" i="23"/>
  <c r="K126" i="23"/>
  <c r="K130" i="23"/>
  <c r="K131" i="23"/>
  <c r="K132" i="23"/>
  <c r="K139" i="23"/>
  <c r="K140" i="23"/>
  <c r="K141" i="23"/>
  <c r="K142" i="23"/>
  <c r="K143" i="23"/>
  <c r="K144" i="23"/>
  <c r="K148" i="23"/>
  <c r="K149" i="23"/>
  <c r="K150" i="23"/>
  <c r="K151" i="23"/>
  <c r="K152" i="23"/>
  <c r="K153" i="23"/>
  <c r="K154" i="23"/>
  <c r="K155" i="23"/>
  <c r="K156" i="23"/>
  <c r="K160" i="23"/>
  <c r="K166" i="23"/>
  <c r="K167" i="23"/>
  <c r="K168" i="23"/>
  <c r="K169" i="23"/>
  <c r="K170" i="23"/>
  <c r="K171" i="23"/>
  <c r="K172" i="23"/>
  <c r="K173" i="23"/>
  <c r="K175" i="23"/>
  <c r="K176" i="23"/>
  <c r="K177" i="23"/>
  <c r="K178" i="23"/>
  <c r="K179" i="23"/>
  <c r="K180" i="23"/>
  <c r="K18" i="23"/>
  <c r="A77" i="1"/>
  <c r="A48" i="1"/>
  <c r="A49" i="1"/>
  <c r="A50" i="1"/>
  <c r="A51" i="1"/>
  <c r="A52" i="1"/>
  <c r="A53" i="1"/>
  <c r="A54" i="1"/>
  <c r="A55" i="1"/>
  <c r="A56" i="1"/>
  <c r="A58" i="1"/>
  <c r="B58" i="1"/>
  <c r="C58" i="1"/>
  <c r="D58" i="1"/>
  <c r="E58" i="1"/>
  <c r="F58" i="1"/>
  <c r="G58" i="1"/>
  <c r="H58" i="1"/>
  <c r="A59" i="1"/>
  <c r="A60" i="1"/>
  <c r="A61" i="1"/>
  <c r="A62" i="1"/>
  <c r="A63" i="1"/>
  <c r="G63" i="1"/>
  <c r="A64" i="1"/>
  <c r="A65" i="1"/>
  <c r="A66" i="1"/>
  <c r="F66" i="1"/>
  <c r="A67" i="1"/>
  <c r="A69" i="1"/>
  <c r="B69" i="1"/>
  <c r="C69" i="1"/>
  <c r="D69" i="1"/>
  <c r="E69" i="1"/>
  <c r="F69" i="1"/>
  <c r="G69" i="1"/>
  <c r="H69" i="1"/>
  <c r="A70" i="1"/>
  <c r="A71" i="1"/>
  <c r="A72" i="1"/>
  <c r="A73" i="1"/>
  <c r="A74" i="1"/>
  <c r="A75" i="1"/>
  <c r="A76" i="1"/>
  <c r="H47" i="1"/>
  <c r="G47" i="1"/>
  <c r="F47" i="1"/>
  <c r="E47" i="1"/>
  <c r="D47" i="1"/>
  <c r="C47" i="1"/>
  <c r="B47" i="1"/>
  <c r="A47" i="1"/>
  <c r="AH46" i="1"/>
  <c r="AF46" i="1"/>
  <c r="E71" i="1"/>
  <c r="C72" i="1"/>
  <c r="C74" i="1"/>
  <c r="G74" i="1"/>
  <c r="E75" i="1"/>
  <c r="C76" i="1"/>
  <c r="E77" i="1"/>
  <c r="B49" i="1"/>
  <c r="B50" i="1"/>
  <c r="B51" i="1"/>
  <c r="B52" i="1"/>
  <c r="B53" i="1"/>
  <c r="B54" i="1"/>
  <c r="E60" i="1"/>
  <c r="C61" i="1"/>
  <c r="E61" i="1"/>
  <c r="G61" i="1"/>
  <c r="C62" i="1"/>
  <c r="E62" i="1"/>
  <c r="C63" i="1"/>
  <c r="C64" i="1"/>
  <c r="E64" i="1"/>
  <c r="C65" i="1"/>
  <c r="E66" i="1"/>
  <c r="G66" i="1"/>
  <c r="C67" i="1"/>
  <c r="G67" i="1"/>
  <c r="E49" i="1"/>
  <c r="F49" i="1"/>
  <c r="C50" i="1"/>
  <c r="G50" i="1"/>
  <c r="C51" i="1"/>
  <c r="D51" i="1"/>
  <c r="G51" i="1"/>
  <c r="D52" i="1"/>
  <c r="C53" i="1"/>
  <c r="D53" i="1"/>
  <c r="E53" i="1"/>
  <c r="F53" i="1"/>
  <c r="G53" i="1"/>
  <c r="C55" i="1"/>
  <c r="G55" i="1"/>
  <c r="X27" i="1"/>
  <c r="G70" i="1" s="1"/>
  <c r="V27" i="1"/>
  <c r="F70" i="1" s="1"/>
  <c r="T27" i="1"/>
  <c r="E70" i="1" s="1"/>
  <c r="R27" i="1"/>
  <c r="D70" i="1" s="1"/>
  <c r="P27" i="1"/>
  <c r="C70" i="1" s="1"/>
  <c r="N27" i="1"/>
  <c r="B70" i="1" s="1"/>
  <c r="X15" i="1"/>
  <c r="G59" i="1" s="1"/>
  <c r="V15" i="1"/>
  <c r="F59" i="1" s="1"/>
  <c r="T15" i="1"/>
  <c r="E59" i="1" s="1"/>
  <c r="R15" i="1"/>
  <c r="D59" i="1" s="1"/>
  <c r="P15" i="1"/>
  <c r="C59" i="1" s="1"/>
  <c r="N15" i="1"/>
  <c r="B59" i="1" s="1"/>
  <c r="G48" i="1"/>
  <c r="F48" i="1"/>
  <c r="E48" i="1"/>
  <c r="C48" i="1"/>
  <c r="B48" i="1"/>
  <c r="K108" i="23"/>
  <c r="K90" i="23"/>
  <c r="K72" i="23"/>
  <c r="K54" i="23"/>
  <c r="K36" i="23"/>
  <c r="Z43" i="1" l="1"/>
  <c r="AA42" i="1"/>
  <c r="H84" i="1" s="1"/>
  <c r="Z56" i="1"/>
  <c r="AA56" i="1" s="1"/>
  <c r="AA55" i="1"/>
  <c r="H96" i="1" s="1"/>
  <c r="F55" i="1"/>
  <c r="G49" i="1"/>
  <c r="G52" i="1"/>
  <c r="D48" i="1"/>
  <c r="H91" i="1"/>
  <c r="H80" i="1"/>
  <c r="H92" i="1"/>
  <c r="H93" i="1"/>
  <c r="H81" i="1"/>
  <c r="H94" i="1"/>
  <c r="H82" i="1"/>
  <c r="H83" i="1"/>
  <c r="H95" i="1"/>
  <c r="G76" i="1"/>
  <c r="G73" i="1"/>
  <c r="F63" i="1"/>
  <c r="F52" i="1"/>
  <c r="F73" i="1"/>
  <c r="G65" i="1"/>
  <c r="G54" i="1"/>
  <c r="G75" i="1"/>
  <c r="F65" i="1"/>
  <c r="G62" i="1"/>
  <c r="F54" i="1"/>
  <c r="F75" i="1"/>
  <c r="G72" i="1"/>
  <c r="F62" i="1"/>
  <c r="G56" i="1"/>
  <c r="F51" i="1"/>
  <c r="F71" i="1"/>
  <c r="F72" i="1"/>
  <c r="F67" i="1"/>
  <c r="G64" i="1"/>
  <c r="F56" i="1"/>
  <c r="G77" i="1"/>
  <c r="F64" i="1"/>
  <c r="F74" i="1"/>
  <c r="G71" i="1"/>
  <c r="F60" i="1"/>
  <c r="E76" i="1"/>
  <c r="E74" i="1"/>
  <c r="E73" i="1"/>
  <c r="E72" i="1"/>
  <c r="E67" i="1"/>
  <c r="E65" i="1"/>
  <c r="E63" i="1"/>
  <c r="E56" i="1"/>
  <c r="E55" i="1"/>
  <c r="E54" i="1"/>
  <c r="E52" i="1"/>
  <c r="E51" i="1"/>
  <c r="E50" i="1"/>
  <c r="F77" i="1"/>
  <c r="D76" i="1"/>
  <c r="D75" i="1"/>
  <c r="D74" i="1"/>
  <c r="D73" i="1"/>
  <c r="D72" i="1"/>
  <c r="D71" i="1"/>
  <c r="D67" i="1"/>
  <c r="D66" i="1"/>
  <c r="D65" i="1"/>
  <c r="D64" i="1"/>
  <c r="D63" i="1"/>
  <c r="D62" i="1"/>
  <c r="D61" i="1"/>
  <c r="D60" i="1"/>
  <c r="D56" i="1"/>
  <c r="D55" i="1"/>
  <c r="D54" i="1"/>
  <c r="D50" i="1"/>
  <c r="D49" i="1"/>
  <c r="D77" i="1"/>
  <c r="C75" i="1"/>
  <c r="C73" i="1"/>
  <c r="C71" i="1"/>
  <c r="C66" i="1"/>
  <c r="C60" i="1"/>
  <c r="C56" i="1"/>
  <c r="C54" i="1"/>
  <c r="C52" i="1"/>
  <c r="C49" i="1"/>
  <c r="C77" i="1"/>
  <c r="G60" i="1"/>
  <c r="F76" i="1"/>
  <c r="F61" i="1"/>
  <c r="B76" i="1"/>
  <c r="B75" i="1"/>
  <c r="B74" i="1"/>
  <c r="B73" i="1"/>
  <c r="B72" i="1"/>
  <c r="B71" i="1"/>
  <c r="B67" i="1"/>
  <c r="B66" i="1"/>
  <c r="B65" i="1"/>
  <c r="B64" i="1"/>
  <c r="B63" i="1"/>
  <c r="B62" i="1"/>
  <c r="B61" i="1"/>
  <c r="B60" i="1"/>
  <c r="B56" i="1"/>
  <c r="B55" i="1"/>
  <c r="B77" i="1"/>
  <c r="F50" i="1"/>
  <c r="C16" i="23"/>
  <c r="Z44" i="1" l="1"/>
  <c r="AA43" i="1"/>
  <c r="H85" i="1" s="1"/>
  <c r="Z57" i="1"/>
  <c r="AA57" i="1" s="1"/>
  <c r="H98" i="1" s="1"/>
  <c r="H97" i="1"/>
  <c r="C16" i="21"/>
  <c r="C16" i="20"/>
  <c r="C16" i="19"/>
  <c r="C16" i="18"/>
  <c r="C16" i="17"/>
  <c r="C16" i="16"/>
  <c r="C16" i="15"/>
  <c r="C16" i="14"/>
  <c r="C16" i="13"/>
  <c r="C16" i="11"/>
  <c r="Z45" i="1" l="1"/>
  <c r="AA45" i="1" s="1"/>
  <c r="H87" i="1" s="1"/>
  <c r="AA44" i="1"/>
  <c r="H86" i="1" s="1"/>
  <c r="AH47" i="1"/>
  <c r="AF47" i="1"/>
  <c r="AD47" i="1"/>
  <c r="Z3" i="1"/>
  <c r="Z4" i="1" s="1"/>
  <c r="Z15" i="1"/>
  <c r="Z16" i="1" s="1"/>
  <c r="Z27" i="1"/>
  <c r="M35" i="1" s="1"/>
  <c r="AG47" i="1"/>
  <c r="AE47" i="1"/>
  <c r="AC47" i="1"/>
  <c r="AA35" i="1"/>
  <c r="AA24" i="1"/>
  <c r="S24" i="1"/>
  <c r="S35" i="1" s="1"/>
  <c r="W35" i="1" s="1"/>
  <c r="W12" i="1"/>
  <c r="Q12" i="1"/>
  <c r="U12" i="1" s="1"/>
  <c r="Y12" i="1" s="1"/>
  <c r="Q24" i="1"/>
  <c r="U24" i="1" s="1"/>
  <c r="Y24" i="1" s="1"/>
  <c r="Q35" i="1"/>
  <c r="U35" i="1" s="1"/>
  <c r="Y35" i="1" s="1"/>
  <c r="W24" i="1" l="1"/>
  <c r="Z28" i="1"/>
  <c r="H71" i="1" s="1"/>
  <c r="M12" i="1"/>
  <c r="Z5" i="1"/>
  <c r="AA4" i="1"/>
  <c r="H49" i="1" s="1"/>
  <c r="AA3" i="1"/>
  <c r="H48" i="1" s="1"/>
  <c r="Z17" i="1"/>
  <c r="H60" i="1"/>
  <c r="H59" i="1"/>
  <c r="M24" i="1"/>
  <c r="H70" i="1"/>
  <c r="Z29" i="1" l="1"/>
  <c r="H72" i="1" s="1"/>
  <c r="Z6" i="1"/>
  <c r="AA5" i="1"/>
  <c r="H50" i="1" s="1"/>
  <c r="Z18" i="1"/>
  <c r="H61" i="1"/>
  <c r="Z30" i="1" l="1"/>
  <c r="Z31" i="1" s="1"/>
  <c r="Z32" i="1" s="1"/>
  <c r="Z7" i="1"/>
  <c r="AA6" i="1"/>
  <c r="H51" i="1" s="1"/>
  <c r="Z19" i="1"/>
  <c r="H62" i="1"/>
  <c r="H74" i="1" l="1"/>
  <c r="H73" i="1"/>
  <c r="Z8" i="1"/>
  <c r="AA7" i="1"/>
  <c r="H52" i="1" s="1"/>
  <c r="Z20" i="1"/>
  <c r="H63" i="1"/>
  <c r="Z33" i="1"/>
  <c r="H75" i="1"/>
  <c r="Z9" i="1" l="1"/>
  <c r="AA8" i="1"/>
  <c r="H53" i="1" s="1"/>
  <c r="Z21" i="1"/>
  <c r="H64" i="1"/>
  <c r="Z34" i="1"/>
  <c r="H76" i="1" l="1"/>
  <c r="H77" i="1"/>
  <c r="Z10" i="1"/>
  <c r="AA9" i="1"/>
  <c r="H54" i="1" s="1"/>
  <c r="Z22" i="1"/>
  <c r="H65" i="1"/>
  <c r="Z11" i="1" l="1"/>
  <c r="AA11" i="1" s="1"/>
  <c r="H56" i="1" s="1"/>
  <c r="AA10" i="1"/>
  <c r="H55" i="1" s="1"/>
  <c r="Z23" i="1"/>
  <c r="H67" i="1" s="1"/>
  <c r="H66" i="1"/>
  <c r="Y27" i="1" l="1"/>
  <c r="W27" i="1"/>
  <c r="U27" i="1"/>
  <c r="S27" i="1"/>
  <c r="Q27" i="1"/>
  <c r="O27" i="1"/>
  <c r="Y15" i="1"/>
  <c r="W15" i="1"/>
  <c r="U15" i="1"/>
  <c r="S15" i="1"/>
  <c r="Q15" i="1"/>
  <c r="O15" i="1"/>
  <c r="W3" i="1"/>
  <c r="S3" i="1"/>
  <c r="Y3" i="1"/>
  <c r="U3" i="1"/>
  <c r="Q3" i="1"/>
  <c r="O3" i="1"/>
  <c r="J36" i="23" l="1"/>
  <c r="C15" i="23"/>
  <c r="C13" i="23"/>
  <c r="G11" i="23" s="1"/>
  <c r="C12" i="23"/>
  <c r="C11" i="23"/>
  <c r="C10" i="23"/>
  <c r="C9" i="23"/>
  <c r="C8" i="23"/>
  <c r="C7" i="23"/>
  <c r="C5" i="23"/>
  <c r="C4" i="23"/>
  <c r="C3" i="23"/>
  <c r="C2" i="23"/>
  <c r="J54" i="23" l="1"/>
  <c r="V180" i="23"/>
  <c r="M180" i="23" s="1"/>
  <c r="X180" i="23"/>
  <c r="S180" i="23"/>
  <c r="N180" i="23" s="1"/>
  <c r="V179" i="23"/>
  <c r="M179" i="23" s="1"/>
  <c r="X179" i="23"/>
  <c r="S179" i="23"/>
  <c r="N179" i="23" s="1"/>
  <c r="V178" i="23"/>
  <c r="M178" i="23" s="1"/>
  <c r="X178" i="23"/>
  <c r="S178" i="23"/>
  <c r="N178" i="23" s="1"/>
  <c r="V177" i="23"/>
  <c r="M177" i="23" s="1"/>
  <c r="X177" i="23"/>
  <c r="S177" i="23"/>
  <c r="N177" i="23" s="1"/>
  <c r="V176" i="23"/>
  <c r="M176" i="23" s="1"/>
  <c r="X176" i="23"/>
  <c r="S176" i="23"/>
  <c r="N176" i="23" s="1"/>
  <c r="V175" i="23"/>
  <c r="M175" i="23" s="1"/>
  <c r="X175" i="23"/>
  <c r="S175" i="23"/>
  <c r="N175" i="23" s="1"/>
  <c r="V174" i="23"/>
  <c r="M174" i="23" s="1"/>
  <c r="X174" i="23"/>
  <c r="S174" i="23"/>
  <c r="N174" i="23" s="1"/>
  <c r="V173" i="23"/>
  <c r="M173" i="23" s="1"/>
  <c r="X173" i="23"/>
  <c r="S173" i="23"/>
  <c r="N173" i="23" s="1"/>
  <c r="V172" i="23"/>
  <c r="M172" i="23" s="1"/>
  <c r="X172" i="23"/>
  <c r="S172" i="23"/>
  <c r="N172" i="23" s="1"/>
  <c r="V171" i="23"/>
  <c r="M171" i="23" s="1"/>
  <c r="X171" i="23"/>
  <c r="S171" i="23"/>
  <c r="N171" i="23" s="1"/>
  <c r="V170" i="23"/>
  <c r="M170" i="23" s="1"/>
  <c r="X170" i="23"/>
  <c r="S170" i="23"/>
  <c r="N170" i="23" s="1"/>
  <c r="V169" i="23"/>
  <c r="M169" i="23" s="1"/>
  <c r="X169" i="23"/>
  <c r="S169" i="23"/>
  <c r="N169" i="23" s="1"/>
  <c r="V168" i="23"/>
  <c r="M168" i="23" s="1"/>
  <c r="X168" i="23"/>
  <c r="S168" i="23"/>
  <c r="N168" i="23" s="1"/>
  <c r="V167" i="23"/>
  <c r="M167" i="23" s="1"/>
  <c r="X167" i="23"/>
  <c r="S167" i="23"/>
  <c r="N167" i="23" s="1"/>
  <c r="V166" i="23"/>
  <c r="M166" i="23" s="1"/>
  <c r="X166" i="23"/>
  <c r="S166" i="23"/>
  <c r="N166" i="23" s="1"/>
  <c r="V162" i="23"/>
  <c r="M162" i="23" s="1"/>
  <c r="X162" i="23"/>
  <c r="S162" i="23"/>
  <c r="N162" i="23" s="1"/>
  <c r="V161" i="23"/>
  <c r="M161" i="23" s="1"/>
  <c r="X161" i="23"/>
  <c r="S161" i="23"/>
  <c r="N161" i="23" s="1"/>
  <c r="V160" i="23"/>
  <c r="M160" i="23" s="1"/>
  <c r="X160" i="23"/>
  <c r="S160" i="23"/>
  <c r="N160" i="23" s="1"/>
  <c r="V159" i="23"/>
  <c r="M159" i="23" s="1"/>
  <c r="X159" i="23"/>
  <c r="S159" i="23"/>
  <c r="N159" i="23" s="1"/>
  <c r="V158" i="23"/>
  <c r="M158" i="23" s="1"/>
  <c r="X158" i="23"/>
  <c r="S158" i="23"/>
  <c r="N158" i="23" s="1"/>
  <c r="V157" i="23"/>
  <c r="M157" i="23" s="1"/>
  <c r="X157" i="23"/>
  <c r="S157" i="23"/>
  <c r="N157" i="23" s="1"/>
  <c r="V156" i="23"/>
  <c r="M156" i="23" s="1"/>
  <c r="X156" i="23"/>
  <c r="S156" i="23"/>
  <c r="N156" i="23" s="1"/>
  <c r="V155" i="23"/>
  <c r="M155" i="23" s="1"/>
  <c r="X155" i="23"/>
  <c r="S155" i="23"/>
  <c r="N155" i="23" s="1"/>
  <c r="V154" i="23"/>
  <c r="M154" i="23" s="1"/>
  <c r="X154" i="23"/>
  <c r="S154" i="23"/>
  <c r="N154" i="23" s="1"/>
  <c r="V153" i="23"/>
  <c r="M153" i="23" s="1"/>
  <c r="X153" i="23"/>
  <c r="S153" i="23"/>
  <c r="N153" i="23" s="1"/>
  <c r="V152" i="23"/>
  <c r="M152" i="23" s="1"/>
  <c r="X152" i="23"/>
  <c r="S152" i="23"/>
  <c r="N152" i="23" s="1"/>
  <c r="V151" i="23"/>
  <c r="M151" i="23" s="1"/>
  <c r="X151" i="23"/>
  <c r="S151" i="23"/>
  <c r="N151" i="23" s="1"/>
  <c r="V150" i="23"/>
  <c r="M150" i="23" s="1"/>
  <c r="X150" i="23"/>
  <c r="S150" i="23"/>
  <c r="N150" i="23" s="1"/>
  <c r="V149" i="23"/>
  <c r="M149" i="23" s="1"/>
  <c r="X149" i="23"/>
  <c r="S149" i="23"/>
  <c r="N149" i="23" s="1"/>
  <c r="V148" i="23"/>
  <c r="M148" i="23" s="1"/>
  <c r="X148" i="23"/>
  <c r="S148" i="23"/>
  <c r="N148" i="23" s="1"/>
  <c r="V144" i="23"/>
  <c r="M144" i="23" s="1"/>
  <c r="X144" i="23"/>
  <c r="S144" i="23"/>
  <c r="N144" i="23" s="1"/>
  <c r="V143" i="23"/>
  <c r="M143" i="23" s="1"/>
  <c r="X143" i="23"/>
  <c r="S143" i="23"/>
  <c r="N143" i="23" s="1"/>
  <c r="V142" i="23"/>
  <c r="M142" i="23" s="1"/>
  <c r="X142" i="23"/>
  <c r="S142" i="23"/>
  <c r="N142" i="23" s="1"/>
  <c r="V141" i="23"/>
  <c r="M141" i="23" s="1"/>
  <c r="X141" i="23"/>
  <c r="S141" i="23"/>
  <c r="N141" i="23" s="1"/>
  <c r="V140" i="23"/>
  <c r="M140" i="23" s="1"/>
  <c r="X140" i="23"/>
  <c r="S140" i="23"/>
  <c r="N140" i="23" s="1"/>
  <c r="V139" i="23"/>
  <c r="M139" i="23" s="1"/>
  <c r="X139" i="23"/>
  <c r="S139" i="23"/>
  <c r="N139" i="23" s="1"/>
  <c r="V138" i="23"/>
  <c r="M138" i="23" s="1"/>
  <c r="X138" i="23"/>
  <c r="S138" i="23"/>
  <c r="N138" i="23" s="1"/>
  <c r="V137" i="23"/>
  <c r="M137" i="23" s="1"/>
  <c r="X137" i="23"/>
  <c r="S137" i="23"/>
  <c r="N137" i="23" s="1"/>
  <c r="V136" i="23"/>
  <c r="M136" i="23" s="1"/>
  <c r="X136" i="23"/>
  <c r="S136" i="23"/>
  <c r="N136" i="23" s="1"/>
  <c r="V135" i="23"/>
  <c r="M135" i="23" s="1"/>
  <c r="X135" i="23"/>
  <c r="S135" i="23"/>
  <c r="N135" i="23" s="1"/>
  <c r="V134" i="23"/>
  <c r="M134" i="23" s="1"/>
  <c r="X134" i="23"/>
  <c r="S134" i="23"/>
  <c r="N134" i="23" s="1"/>
  <c r="V133" i="23"/>
  <c r="M133" i="23" s="1"/>
  <c r="X133" i="23"/>
  <c r="S133" i="23"/>
  <c r="N133" i="23" s="1"/>
  <c r="V132" i="23"/>
  <c r="M132" i="23" s="1"/>
  <c r="X132" i="23"/>
  <c r="S132" i="23"/>
  <c r="N132" i="23" s="1"/>
  <c r="V131" i="23"/>
  <c r="M131" i="23" s="1"/>
  <c r="X131" i="23"/>
  <c r="S131" i="23"/>
  <c r="N131" i="23" s="1"/>
  <c r="V130" i="23"/>
  <c r="M130" i="23" s="1"/>
  <c r="X130" i="23"/>
  <c r="S130" i="23"/>
  <c r="N130" i="23" s="1"/>
  <c r="V126" i="23"/>
  <c r="M126" i="23" s="1"/>
  <c r="X126" i="23"/>
  <c r="S126" i="23"/>
  <c r="N126" i="23" s="1"/>
  <c r="V125" i="23"/>
  <c r="M125" i="23" s="1"/>
  <c r="X125" i="23"/>
  <c r="S125" i="23"/>
  <c r="N125" i="23" s="1"/>
  <c r="V124" i="23"/>
  <c r="M124" i="23" s="1"/>
  <c r="X124" i="23"/>
  <c r="S124" i="23"/>
  <c r="N124" i="23" s="1"/>
  <c r="V123" i="23"/>
  <c r="M123" i="23" s="1"/>
  <c r="X123" i="23"/>
  <c r="S123" i="23"/>
  <c r="N123" i="23" s="1"/>
  <c r="V122" i="23"/>
  <c r="M122" i="23" s="1"/>
  <c r="X122" i="23"/>
  <c r="S122" i="23"/>
  <c r="N122" i="23" s="1"/>
  <c r="V121" i="23"/>
  <c r="M121" i="23" s="1"/>
  <c r="X121" i="23"/>
  <c r="S121" i="23"/>
  <c r="N121" i="23" s="1"/>
  <c r="V120" i="23"/>
  <c r="M120" i="23" s="1"/>
  <c r="X120" i="23"/>
  <c r="S120" i="23"/>
  <c r="N120" i="23" s="1"/>
  <c r="V119" i="23"/>
  <c r="M119" i="23" s="1"/>
  <c r="X119" i="23"/>
  <c r="S119" i="23"/>
  <c r="N119" i="23" s="1"/>
  <c r="V118" i="23"/>
  <c r="M118" i="23" s="1"/>
  <c r="X118" i="23"/>
  <c r="S118" i="23"/>
  <c r="N118" i="23" s="1"/>
  <c r="V117" i="23"/>
  <c r="M117" i="23" s="1"/>
  <c r="X117" i="23"/>
  <c r="S117" i="23"/>
  <c r="N117" i="23" s="1"/>
  <c r="V116" i="23"/>
  <c r="M116" i="23" s="1"/>
  <c r="X116" i="23"/>
  <c r="S116" i="23"/>
  <c r="N116" i="23" s="1"/>
  <c r="V115" i="23"/>
  <c r="M115" i="23" s="1"/>
  <c r="X115" i="23"/>
  <c r="S115" i="23"/>
  <c r="N115" i="23" s="1"/>
  <c r="V114" i="23"/>
  <c r="M114" i="23" s="1"/>
  <c r="X114" i="23"/>
  <c r="S114" i="23"/>
  <c r="N114" i="23" s="1"/>
  <c r="V113" i="23"/>
  <c r="M113" i="23" s="1"/>
  <c r="X113" i="23"/>
  <c r="S113" i="23"/>
  <c r="N113" i="23" s="1"/>
  <c r="V112" i="23"/>
  <c r="M112" i="23" s="1"/>
  <c r="X112" i="23"/>
  <c r="S112" i="23"/>
  <c r="N112" i="23" s="1"/>
  <c r="V108" i="23"/>
  <c r="M108" i="23" s="1"/>
  <c r="X108" i="23"/>
  <c r="S108" i="23"/>
  <c r="N108" i="23" s="1"/>
  <c r="V107" i="23"/>
  <c r="M107" i="23" s="1"/>
  <c r="X107" i="23"/>
  <c r="S107" i="23"/>
  <c r="N107" i="23" s="1"/>
  <c r="V106" i="23"/>
  <c r="M106" i="23" s="1"/>
  <c r="X106" i="23"/>
  <c r="S106" i="23"/>
  <c r="N106" i="23" s="1"/>
  <c r="V105" i="23"/>
  <c r="M105" i="23" s="1"/>
  <c r="X105" i="23"/>
  <c r="S105" i="23"/>
  <c r="N105" i="23" s="1"/>
  <c r="V104" i="23"/>
  <c r="M104" i="23" s="1"/>
  <c r="X104" i="23"/>
  <c r="S104" i="23"/>
  <c r="N104" i="23" s="1"/>
  <c r="V103" i="23"/>
  <c r="M103" i="23" s="1"/>
  <c r="X103" i="23"/>
  <c r="S103" i="23"/>
  <c r="N103" i="23" s="1"/>
  <c r="V102" i="23"/>
  <c r="M102" i="23" s="1"/>
  <c r="X102" i="23"/>
  <c r="S102" i="23"/>
  <c r="N102" i="23" s="1"/>
  <c r="V101" i="23"/>
  <c r="M101" i="23" s="1"/>
  <c r="X101" i="23"/>
  <c r="S101" i="23"/>
  <c r="N101" i="23" s="1"/>
  <c r="V100" i="23"/>
  <c r="M100" i="23" s="1"/>
  <c r="X100" i="23"/>
  <c r="S100" i="23"/>
  <c r="N100" i="23" s="1"/>
  <c r="V99" i="23"/>
  <c r="M99" i="23" s="1"/>
  <c r="X99" i="23"/>
  <c r="S99" i="23"/>
  <c r="N99" i="23" s="1"/>
  <c r="V98" i="23"/>
  <c r="M98" i="23" s="1"/>
  <c r="X98" i="23"/>
  <c r="S98" i="23"/>
  <c r="N98" i="23" s="1"/>
  <c r="V97" i="23"/>
  <c r="M97" i="23" s="1"/>
  <c r="X97" i="23"/>
  <c r="S97" i="23"/>
  <c r="N97" i="23" s="1"/>
  <c r="V96" i="23"/>
  <c r="M96" i="23" s="1"/>
  <c r="X96" i="23"/>
  <c r="S96" i="23"/>
  <c r="N96" i="23" s="1"/>
  <c r="V95" i="23"/>
  <c r="M95" i="23" s="1"/>
  <c r="X95" i="23"/>
  <c r="S95" i="23"/>
  <c r="N95" i="23" s="1"/>
  <c r="V94" i="23"/>
  <c r="M94" i="23" s="1"/>
  <c r="X94" i="23"/>
  <c r="S94" i="23"/>
  <c r="N94" i="23" s="1"/>
  <c r="V90" i="23"/>
  <c r="M90" i="23" s="1"/>
  <c r="X90" i="23"/>
  <c r="S90" i="23"/>
  <c r="N90" i="23" s="1"/>
  <c r="V89" i="23"/>
  <c r="M89" i="23" s="1"/>
  <c r="X89" i="23"/>
  <c r="S89" i="23"/>
  <c r="N89" i="23" s="1"/>
  <c r="V88" i="23"/>
  <c r="M88" i="23" s="1"/>
  <c r="X88" i="23"/>
  <c r="S88" i="23"/>
  <c r="N88" i="23" s="1"/>
  <c r="V87" i="23"/>
  <c r="M87" i="23" s="1"/>
  <c r="X87" i="23"/>
  <c r="S87" i="23"/>
  <c r="N87" i="23" s="1"/>
  <c r="V86" i="23"/>
  <c r="M86" i="23" s="1"/>
  <c r="X86" i="23"/>
  <c r="S86" i="23"/>
  <c r="N86" i="23" s="1"/>
  <c r="V85" i="23"/>
  <c r="M85" i="23" s="1"/>
  <c r="X85" i="23"/>
  <c r="S85" i="23"/>
  <c r="N85" i="23" s="1"/>
  <c r="V84" i="23"/>
  <c r="M84" i="23" s="1"/>
  <c r="X84" i="23"/>
  <c r="S84" i="23"/>
  <c r="N84" i="23" s="1"/>
  <c r="V83" i="23"/>
  <c r="M83" i="23" s="1"/>
  <c r="X83" i="23"/>
  <c r="S83" i="23"/>
  <c r="N83" i="23" s="1"/>
  <c r="V82" i="23"/>
  <c r="M82" i="23" s="1"/>
  <c r="X82" i="23"/>
  <c r="S82" i="23"/>
  <c r="N82" i="23" s="1"/>
  <c r="V81" i="23"/>
  <c r="M81" i="23" s="1"/>
  <c r="X81" i="23"/>
  <c r="S81" i="23"/>
  <c r="N81" i="23" s="1"/>
  <c r="V80" i="23"/>
  <c r="M80" i="23" s="1"/>
  <c r="X80" i="23"/>
  <c r="S80" i="23"/>
  <c r="N80" i="23" s="1"/>
  <c r="V79" i="23"/>
  <c r="M79" i="23" s="1"/>
  <c r="X79" i="23"/>
  <c r="S79" i="23"/>
  <c r="N79" i="23" s="1"/>
  <c r="V78" i="23"/>
  <c r="M78" i="23" s="1"/>
  <c r="X78" i="23"/>
  <c r="S78" i="23"/>
  <c r="N78" i="23" s="1"/>
  <c r="V77" i="23"/>
  <c r="M77" i="23" s="1"/>
  <c r="X77" i="23"/>
  <c r="S77" i="23"/>
  <c r="N77" i="23" s="1"/>
  <c r="V76" i="23"/>
  <c r="M76" i="23" s="1"/>
  <c r="X76" i="23"/>
  <c r="S76" i="23"/>
  <c r="N76" i="23" s="1"/>
  <c r="V72" i="23"/>
  <c r="M72" i="23" s="1"/>
  <c r="X72" i="23"/>
  <c r="S72" i="23"/>
  <c r="N72" i="23" s="1"/>
  <c r="V71" i="23"/>
  <c r="M71" i="23" s="1"/>
  <c r="X71" i="23"/>
  <c r="S71" i="23"/>
  <c r="N71" i="23" s="1"/>
  <c r="V70" i="23"/>
  <c r="M70" i="23" s="1"/>
  <c r="X70" i="23"/>
  <c r="S70" i="23"/>
  <c r="N70" i="23" s="1"/>
  <c r="V69" i="23"/>
  <c r="M69" i="23" s="1"/>
  <c r="X69" i="23"/>
  <c r="S69" i="23"/>
  <c r="N69" i="23" s="1"/>
  <c r="V68" i="23"/>
  <c r="M68" i="23" s="1"/>
  <c r="X68" i="23"/>
  <c r="S68" i="23"/>
  <c r="N68" i="23" s="1"/>
  <c r="V67" i="23"/>
  <c r="M67" i="23" s="1"/>
  <c r="X67" i="23"/>
  <c r="S67" i="23"/>
  <c r="N67" i="23" s="1"/>
  <c r="V66" i="23"/>
  <c r="M66" i="23" s="1"/>
  <c r="X66" i="23"/>
  <c r="S66" i="23"/>
  <c r="N66" i="23" s="1"/>
  <c r="V65" i="23"/>
  <c r="M65" i="23" s="1"/>
  <c r="X65" i="23"/>
  <c r="S65" i="23"/>
  <c r="N65" i="23" s="1"/>
  <c r="V64" i="23"/>
  <c r="M64" i="23" s="1"/>
  <c r="X64" i="23"/>
  <c r="S64" i="23"/>
  <c r="N64" i="23" s="1"/>
  <c r="V63" i="23"/>
  <c r="M63" i="23" s="1"/>
  <c r="X63" i="23"/>
  <c r="S63" i="23"/>
  <c r="N63" i="23" s="1"/>
  <c r="V62" i="23"/>
  <c r="M62" i="23" s="1"/>
  <c r="X62" i="23"/>
  <c r="S62" i="23"/>
  <c r="N62" i="23" s="1"/>
  <c r="V61" i="23"/>
  <c r="M61" i="23" s="1"/>
  <c r="X61" i="23"/>
  <c r="S61" i="23"/>
  <c r="N61" i="23" s="1"/>
  <c r="V60" i="23"/>
  <c r="M60" i="23" s="1"/>
  <c r="X60" i="23"/>
  <c r="S60" i="23"/>
  <c r="N60" i="23" s="1"/>
  <c r="V59" i="23"/>
  <c r="M59" i="23" s="1"/>
  <c r="X59" i="23"/>
  <c r="S59" i="23"/>
  <c r="N59" i="23" s="1"/>
  <c r="V58" i="23"/>
  <c r="M58" i="23" s="1"/>
  <c r="X58" i="23"/>
  <c r="S58" i="23"/>
  <c r="N58" i="23" s="1"/>
  <c r="V54" i="23"/>
  <c r="M54" i="23" s="1"/>
  <c r="X54" i="23"/>
  <c r="S54" i="23"/>
  <c r="N54" i="23" s="1"/>
  <c r="O54" i="23" s="1"/>
  <c r="P54" i="23" s="1"/>
  <c r="V53" i="23"/>
  <c r="M53" i="23" s="1"/>
  <c r="X53" i="23"/>
  <c r="S53" i="23"/>
  <c r="N53" i="23" s="1"/>
  <c r="V52" i="23"/>
  <c r="M52" i="23" s="1"/>
  <c r="X52" i="23"/>
  <c r="S52" i="23"/>
  <c r="N52" i="23" s="1"/>
  <c r="V51" i="23"/>
  <c r="M51" i="23" s="1"/>
  <c r="X51" i="23"/>
  <c r="S51" i="23"/>
  <c r="N51" i="23" s="1"/>
  <c r="V50" i="23"/>
  <c r="M50" i="23" s="1"/>
  <c r="X50" i="23"/>
  <c r="S50" i="23"/>
  <c r="N50" i="23" s="1"/>
  <c r="V49" i="23"/>
  <c r="M49" i="23" s="1"/>
  <c r="X49" i="23"/>
  <c r="S49" i="23"/>
  <c r="N49" i="23" s="1"/>
  <c r="V48" i="23"/>
  <c r="M48" i="23" s="1"/>
  <c r="X48" i="23"/>
  <c r="S48" i="23"/>
  <c r="N48" i="23" s="1"/>
  <c r="V47" i="23"/>
  <c r="M47" i="23" s="1"/>
  <c r="X47" i="23"/>
  <c r="S47" i="23"/>
  <c r="N47" i="23" s="1"/>
  <c r="V46" i="23"/>
  <c r="M46" i="23" s="1"/>
  <c r="X46" i="23"/>
  <c r="S46" i="23"/>
  <c r="N46" i="23" s="1"/>
  <c r="V45" i="23"/>
  <c r="M45" i="23" s="1"/>
  <c r="X45" i="23"/>
  <c r="S45" i="23"/>
  <c r="N45" i="23" s="1"/>
  <c r="V44" i="23"/>
  <c r="M44" i="23" s="1"/>
  <c r="X44" i="23"/>
  <c r="S44" i="23"/>
  <c r="N44" i="23" s="1"/>
  <c r="V43" i="23"/>
  <c r="M43" i="23" s="1"/>
  <c r="X43" i="23"/>
  <c r="S43" i="23"/>
  <c r="N43" i="23" s="1"/>
  <c r="V42" i="23"/>
  <c r="M42" i="23" s="1"/>
  <c r="X42" i="23"/>
  <c r="S42" i="23"/>
  <c r="N42" i="23" s="1"/>
  <c r="V41" i="23"/>
  <c r="M41" i="23" s="1"/>
  <c r="X41" i="23"/>
  <c r="S41" i="23"/>
  <c r="N41" i="23" s="1"/>
  <c r="V40" i="23"/>
  <c r="M40" i="23" s="1"/>
  <c r="X40" i="23"/>
  <c r="S40" i="23"/>
  <c r="N40" i="23" s="1"/>
  <c r="V36" i="23"/>
  <c r="M36" i="23" s="1"/>
  <c r="X36" i="23"/>
  <c r="S36" i="23"/>
  <c r="N36" i="23" s="1"/>
  <c r="O36" i="23" s="1"/>
  <c r="P36" i="23" s="1"/>
  <c r="V35" i="23"/>
  <c r="M35" i="23" s="1"/>
  <c r="X35" i="23"/>
  <c r="S35" i="23"/>
  <c r="N35" i="23" s="1"/>
  <c r="V34" i="23"/>
  <c r="M34" i="23" s="1"/>
  <c r="X34" i="23"/>
  <c r="S34" i="23"/>
  <c r="N34" i="23" s="1"/>
  <c r="V33" i="23"/>
  <c r="M33" i="23" s="1"/>
  <c r="X33" i="23"/>
  <c r="S33" i="23"/>
  <c r="N33" i="23" s="1"/>
  <c r="V32" i="23"/>
  <c r="M32" i="23" s="1"/>
  <c r="X32" i="23"/>
  <c r="S32" i="23"/>
  <c r="N32" i="23" s="1"/>
  <c r="V31" i="23"/>
  <c r="M31" i="23" s="1"/>
  <c r="X31" i="23"/>
  <c r="S31" i="23"/>
  <c r="N31" i="23" s="1"/>
  <c r="V30" i="23"/>
  <c r="M30" i="23" s="1"/>
  <c r="X30" i="23"/>
  <c r="S30" i="23"/>
  <c r="N30" i="23" s="1"/>
  <c r="V29" i="23"/>
  <c r="M29" i="23" s="1"/>
  <c r="X29" i="23"/>
  <c r="S29" i="23"/>
  <c r="N29" i="23" s="1"/>
  <c r="V28" i="23"/>
  <c r="M28" i="23" s="1"/>
  <c r="X28" i="23"/>
  <c r="S28" i="23"/>
  <c r="N28" i="23" s="1"/>
  <c r="V27" i="23"/>
  <c r="M27" i="23" s="1"/>
  <c r="X27" i="23"/>
  <c r="S27" i="23"/>
  <c r="N27" i="23" s="1"/>
  <c r="V26" i="23"/>
  <c r="M26" i="23" s="1"/>
  <c r="X26" i="23"/>
  <c r="S26" i="23"/>
  <c r="N26" i="23" s="1"/>
  <c r="V25" i="23"/>
  <c r="M25" i="23" s="1"/>
  <c r="X25" i="23"/>
  <c r="S25" i="23"/>
  <c r="N25" i="23" s="1"/>
  <c r="V24" i="23"/>
  <c r="M24" i="23" s="1"/>
  <c r="X24" i="23"/>
  <c r="S24" i="23"/>
  <c r="N24" i="23" s="1"/>
  <c r="V23" i="23"/>
  <c r="M23" i="23" s="1"/>
  <c r="X23" i="23"/>
  <c r="S23" i="23"/>
  <c r="N23" i="23" s="1"/>
  <c r="V22" i="23"/>
  <c r="M22" i="23" s="1"/>
  <c r="X22" i="23"/>
  <c r="S22" i="23"/>
  <c r="N22" i="23" s="1"/>
  <c r="V18" i="23"/>
  <c r="M18" i="23" s="1"/>
  <c r="X18" i="23"/>
  <c r="S18" i="23"/>
  <c r="N18" i="23" s="1"/>
  <c r="O18" i="23" s="1"/>
  <c r="P18" i="23" s="1"/>
  <c r="V17" i="23"/>
  <c r="M17" i="23" s="1"/>
  <c r="X17" i="23"/>
  <c r="S17" i="23"/>
  <c r="N17" i="23" s="1"/>
  <c r="V16" i="23"/>
  <c r="M16" i="23" s="1"/>
  <c r="X16" i="23"/>
  <c r="S16" i="23"/>
  <c r="N16" i="23" s="1"/>
  <c r="V15" i="23"/>
  <c r="M15" i="23" s="1"/>
  <c r="X15" i="23"/>
  <c r="S15" i="23"/>
  <c r="N15" i="23" s="1"/>
  <c r="V14" i="23"/>
  <c r="M14" i="23" s="1"/>
  <c r="X14" i="23"/>
  <c r="S14" i="23"/>
  <c r="N14" i="23" s="1"/>
  <c r="V13" i="23"/>
  <c r="M13" i="23" s="1"/>
  <c r="X13" i="23"/>
  <c r="S13" i="23"/>
  <c r="N13" i="23" s="1"/>
  <c r="V12" i="23"/>
  <c r="M12" i="23" s="1"/>
  <c r="X12" i="23"/>
  <c r="S12" i="23"/>
  <c r="N12" i="23" s="1"/>
  <c r="V11" i="23"/>
  <c r="M11" i="23" s="1"/>
  <c r="X11" i="23"/>
  <c r="S11" i="23"/>
  <c r="N11" i="23" s="1"/>
  <c r="V10" i="23"/>
  <c r="M10" i="23" s="1"/>
  <c r="X10" i="23"/>
  <c r="S10" i="23"/>
  <c r="N10" i="23" s="1"/>
  <c r="V9" i="23"/>
  <c r="M9" i="23" s="1"/>
  <c r="X9" i="23"/>
  <c r="S9" i="23"/>
  <c r="N9" i="23" s="1"/>
  <c r="V8" i="23"/>
  <c r="M8" i="23" s="1"/>
  <c r="X8" i="23"/>
  <c r="S8" i="23"/>
  <c r="N8" i="23" s="1"/>
  <c r="V7" i="23"/>
  <c r="M7" i="23" s="1"/>
  <c r="X7" i="23"/>
  <c r="S7" i="23"/>
  <c r="N7" i="23" s="1"/>
  <c r="V6" i="23"/>
  <c r="M6" i="23" s="1"/>
  <c r="X6" i="23"/>
  <c r="S6" i="23"/>
  <c r="N6" i="23" s="1"/>
  <c r="V5" i="23"/>
  <c r="M5" i="23" s="1"/>
  <c r="X5" i="23"/>
  <c r="S5" i="23"/>
  <c r="N5" i="23" s="1"/>
  <c r="V4" i="23"/>
  <c r="M4" i="23" s="1"/>
  <c r="X4" i="23"/>
  <c r="S4" i="23"/>
  <c r="N4" i="23" s="1"/>
  <c r="O72" i="23" l="1"/>
  <c r="P72" i="23" s="1"/>
  <c r="G98" i="23"/>
  <c r="G99" i="23" s="1"/>
  <c r="G100" i="23" s="1"/>
  <c r="G116" i="23"/>
  <c r="G134" i="23"/>
  <c r="G152" i="23"/>
  <c r="G170" i="23"/>
  <c r="G26" i="23"/>
  <c r="G44" i="23"/>
  <c r="G62" i="23"/>
  <c r="G80" i="23"/>
  <c r="G8" i="23"/>
  <c r="J90" i="23" l="1"/>
  <c r="G63" i="23"/>
  <c r="G64" i="23" s="1"/>
  <c r="G27" i="23"/>
  <c r="G28" i="23" s="1"/>
  <c r="G171" i="23"/>
  <c r="G172" i="23" s="1"/>
  <c r="G153" i="23"/>
  <c r="G154" i="23" s="1"/>
  <c r="G135" i="23"/>
  <c r="G136" i="23" s="1"/>
  <c r="G117" i="23"/>
  <c r="G118" i="23" s="1"/>
  <c r="G45" i="23"/>
  <c r="G46" i="23" s="1"/>
  <c r="G81" i="23"/>
  <c r="G82" i="23" s="1"/>
  <c r="G9" i="23"/>
  <c r="G10" i="23" s="1"/>
  <c r="Q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J22" i="13" s="1"/>
  <c r="Q42" i="13"/>
  <c r="J23" i="13" s="1"/>
  <c r="Q43" i="13"/>
  <c r="Q44" i="13"/>
  <c r="Q45" i="13"/>
  <c r="Q46" i="13"/>
  <c r="Q47" i="13"/>
  <c r="J41" i="13" s="1"/>
  <c r="Q48" i="13"/>
  <c r="Q49" i="13"/>
  <c r="J42" i="13" s="1"/>
  <c r="Q50" i="13"/>
  <c r="K58" i="13" s="1"/>
  <c r="Q51" i="13"/>
  <c r="J26" i="13" s="1"/>
  <c r="Q52" i="13"/>
  <c r="Q53" i="13"/>
  <c r="Q54" i="13"/>
  <c r="Q55" i="13"/>
  <c r="Q56" i="13"/>
  <c r="Q57" i="13"/>
  <c r="Q58" i="13"/>
  <c r="K60" i="13" s="1"/>
  <c r="Q59" i="13"/>
  <c r="Q60" i="13"/>
  <c r="Q61" i="13"/>
  <c r="Q62" i="13"/>
  <c r="K61" i="13" s="1"/>
  <c r="Q63" i="13"/>
  <c r="Q64" i="13"/>
  <c r="J46" i="13" s="1"/>
  <c r="Q65" i="13"/>
  <c r="J30" i="13" s="1"/>
  <c r="Q66" i="13"/>
  <c r="Q67" i="13"/>
  <c r="Q68" i="13"/>
  <c r="K62" i="13" s="1"/>
  <c r="Q69" i="13"/>
  <c r="Q70" i="13"/>
  <c r="J47" i="13" s="1"/>
  <c r="Q71" i="13"/>
  <c r="J31" i="13" s="1"/>
  <c r="Q72" i="13"/>
  <c r="Q73" i="13"/>
  <c r="Q74" i="13"/>
  <c r="K63" i="13" s="1"/>
  <c r="Q75" i="13"/>
  <c r="Q76" i="13"/>
  <c r="J48" i="13" s="1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K66" i="13" s="1"/>
  <c r="Q91" i="13"/>
  <c r="J50" i="13" s="1"/>
  <c r="Q92" i="13"/>
  <c r="Q93" i="13"/>
  <c r="J34" i="13" s="1"/>
  <c r="Q94" i="13"/>
  <c r="Q95" i="13"/>
  <c r="Q96" i="13"/>
  <c r="Q97" i="13"/>
  <c r="Q98" i="13"/>
  <c r="K68" i="13" s="1"/>
  <c r="Q99" i="13"/>
  <c r="J51" i="13" s="1"/>
  <c r="Q100" i="13"/>
  <c r="Q101" i="13"/>
  <c r="Q102" i="13"/>
  <c r="K69" i="13" s="1"/>
  <c r="Q103" i="13"/>
  <c r="J35" i="13" s="1"/>
  <c r="Q104" i="13"/>
  <c r="Q105" i="13"/>
  <c r="Q106" i="13"/>
  <c r="K70" i="13" s="1"/>
  <c r="Q107" i="13"/>
  <c r="Q108" i="13"/>
  <c r="Q109" i="13"/>
  <c r="Q110" i="13"/>
  <c r="J52" i="13" s="1"/>
  <c r="Q111" i="13"/>
  <c r="Q112" i="13"/>
  <c r="Q113" i="13"/>
  <c r="Q114" i="13"/>
  <c r="Q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J22" i="14" s="1"/>
  <c r="Q43" i="14"/>
  <c r="Q44" i="14"/>
  <c r="Q45" i="14"/>
  <c r="J24" i="14" s="1"/>
  <c r="Q46" i="14"/>
  <c r="Q47" i="14"/>
  <c r="Q48" i="14"/>
  <c r="J25" i="14" s="1"/>
  <c r="Q49" i="14"/>
  <c r="Q50" i="14"/>
  <c r="K58" i="14" s="1"/>
  <c r="Q51" i="14"/>
  <c r="Q52" i="14"/>
  <c r="J26" i="14" s="1"/>
  <c r="Q53" i="14"/>
  <c r="Q54" i="14"/>
  <c r="K59" i="14" s="1"/>
  <c r="Q55" i="14"/>
  <c r="J27" i="14" s="1"/>
  <c r="Q56" i="14"/>
  <c r="Q57" i="14"/>
  <c r="Q58" i="14"/>
  <c r="Q59" i="14"/>
  <c r="Q60" i="14"/>
  <c r="Q61" i="14"/>
  <c r="Q62" i="14"/>
  <c r="Q63" i="14"/>
  <c r="Q64" i="14"/>
  <c r="Q65" i="14"/>
  <c r="Q66" i="14"/>
  <c r="Q67" i="14"/>
  <c r="J30" i="14" s="1"/>
  <c r="Q68" i="14"/>
  <c r="K62" i="14" s="1"/>
  <c r="Q69" i="14"/>
  <c r="Q70" i="14"/>
  <c r="Q71" i="14"/>
  <c r="Q72" i="14"/>
  <c r="Q73" i="14"/>
  <c r="J31" i="14" s="1"/>
  <c r="Q74" i="14"/>
  <c r="K63" i="14" s="1"/>
  <c r="Q75" i="14"/>
  <c r="Q76" i="14"/>
  <c r="Q77" i="14"/>
  <c r="Q78" i="14"/>
  <c r="Q79" i="14"/>
  <c r="Q80" i="14"/>
  <c r="K64" i="14" s="1"/>
  <c r="Q81" i="14"/>
  <c r="Q82" i="14"/>
  <c r="J32" i="14" s="1"/>
  <c r="Q83" i="14"/>
  <c r="Q84" i="14"/>
  <c r="Q85" i="14"/>
  <c r="Q86" i="14"/>
  <c r="K65" i="14" s="1"/>
  <c r="Q87" i="14"/>
  <c r="J33" i="14" s="1"/>
  <c r="Q88" i="14"/>
  <c r="Q89" i="14"/>
  <c r="Q90" i="14"/>
  <c r="K66" i="14" s="1"/>
  <c r="Q91" i="14"/>
  <c r="Q92" i="14"/>
  <c r="Q93" i="14"/>
  <c r="Q94" i="14"/>
  <c r="K67" i="14" s="1"/>
  <c r="Q95" i="14"/>
  <c r="J34" i="14" s="1"/>
  <c r="Q96" i="14"/>
  <c r="Q97" i="14"/>
  <c r="Q98" i="14"/>
  <c r="K68" i="14" s="1"/>
  <c r="Q99" i="14"/>
  <c r="Q100" i="14"/>
  <c r="Q101" i="14"/>
  <c r="Q102" i="14"/>
  <c r="K69" i="14" s="1"/>
  <c r="Q103" i="14"/>
  <c r="Q104" i="14"/>
  <c r="Q105" i="14"/>
  <c r="J35" i="14" s="1"/>
  <c r="Q106" i="14"/>
  <c r="K70" i="14" s="1"/>
  <c r="Q107" i="14"/>
  <c r="Q108" i="14"/>
  <c r="Q109" i="14"/>
  <c r="Q110" i="14"/>
  <c r="Q111" i="14"/>
  <c r="Q112" i="14"/>
  <c r="Q113" i="14"/>
  <c r="Q114" i="14"/>
  <c r="Q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J24" i="15" s="1"/>
  <c r="Q48" i="15"/>
  <c r="Q49" i="15"/>
  <c r="J25" i="15" s="1"/>
  <c r="Q50" i="15"/>
  <c r="K58" i="15" s="1"/>
  <c r="Q51" i="15"/>
  <c r="Q52" i="15"/>
  <c r="Q53" i="15"/>
  <c r="J26" i="15" s="1"/>
  <c r="Q54" i="15"/>
  <c r="Q55" i="15"/>
  <c r="Q56" i="15"/>
  <c r="J27" i="15" s="1"/>
  <c r="Q57" i="15"/>
  <c r="Q58" i="15"/>
  <c r="K60" i="15" s="1"/>
  <c r="Q59" i="15"/>
  <c r="J28" i="15" s="1"/>
  <c r="Q60" i="15"/>
  <c r="Q61" i="15"/>
  <c r="Q62" i="15"/>
  <c r="Q63" i="15"/>
  <c r="J29" i="15" s="1"/>
  <c r="Q64" i="15"/>
  <c r="Q65" i="15"/>
  <c r="Q66" i="15"/>
  <c r="Q67" i="15"/>
  <c r="Q68" i="15"/>
  <c r="Q69" i="15"/>
  <c r="Q70" i="15"/>
  <c r="Q71" i="15"/>
  <c r="Q72" i="15"/>
  <c r="Q73" i="15"/>
  <c r="Q74" i="15"/>
  <c r="K63" i="15" s="1"/>
  <c r="Q75" i="15"/>
  <c r="J31" i="15" s="1"/>
  <c r="Q76" i="15"/>
  <c r="Q77" i="15"/>
  <c r="Q78" i="15"/>
  <c r="Q79" i="15"/>
  <c r="Q80" i="15"/>
  <c r="Q81" i="15"/>
  <c r="Q82" i="15"/>
  <c r="Q83" i="15"/>
  <c r="Q84" i="15"/>
  <c r="J32" i="15" s="1"/>
  <c r="Q85" i="15"/>
  <c r="Q86" i="15"/>
  <c r="Q87" i="15"/>
  <c r="Q88" i="15"/>
  <c r="Q89" i="15"/>
  <c r="J33" i="15" s="1"/>
  <c r="Q90" i="15"/>
  <c r="K66" i="15" s="1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K70" i="15" s="1"/>
  <c r="Q107" i="15"/>
  <c r="Q108" i="15"/>
  <c r="J35" i="15" s="1"/>
  <c r="Q109" i="15"/>
  <c r="Q110" i="15"/>
  <c r="Q111" i="15"/>
  <c r="Q112" i="15"/>
  <c r="Q113" i="15"/>
  <c r="Q114" i="15"/>
  <c r="Q2" i="16"/>
  <c r="Q3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J22" i="16" s="1"/>
  <c r="Q45" i="16"/>
  <c r="Q46" i="16"/>
  <c r="K56" i="16" s="1"/>
  <c r="Q47" i="16"/>
  <c r="Q48" i="16"/>
  <c r="Q49" i="16"/>
  <c r="Q50" i="16"/>
  <c r="Q51" i="16"/>
  <c r="Q52" i="16"/>
  <c r="Q53" i="16"/>
  <c r="Q54" i="16"/>
  <c r="Q55" i="16"/>
  <c r="Q56" i="16"/>
  <c r="Q57" i="16"/>
  <c r="J27" i="16" s="1"/>
  <c r="Q58" i="16"/>
  <c r="K59" i="16" s="1"/>
  <c r="Q59" i="16"/>
  <c r="Q60" i="16"/>
  <c r="J28" i="16" s="1"/>
  <c r="Q61" i="16"/>
  <c r="Q62" i="16"/>
  <c r="K60" i="16" s="1"/>
  <c r="Q63" i="16"/>
  <c r="Q64" i="16"/>
  <c r="J29" i="16" s="1"/>
  <c r="Q65" i="16"/>
  <c r="Q66" i="16"/>
  <c r="Q67" i="16"/>
  <c r="Q68" i="16"/>
  <c r="K61" i="16" s="1"/>
  <c r="Q69" i="16"/>
  <c r="Q70" i="16"/>
  <c r="J30" i="16" s="1"/>
  <c r="Q71" i="16"/>
  <c r="Q72" i="16"/>
  <c r="Q73" i="16"/>
  <c r="Q74" i="16"/>
  <c r="K62" i="16" s="1"/>
  <c r="Q75" i="16"/>
  <c r="Q76" i="16"/>
  <c r="Q77" i="16"/>
  <c r="J31" i="16" s="1"/>
  <c r="Q78" i="16"/>
  <c r="Q79" i="16"/>
  <c r="Q80" i="16"/>
  <c r="K63" i="16" s="1"/>
  <c r="Q81" i="16"/>
  <c r="Q82" i="16"/>
  <c r="Q83" i="16"/>
  <c r="Q84" i="16"/>
  <c r="Q85" i="16"/>
  <c r="Q86" i="16"/>
  <c r="Q87" i="16"/>
  <c r="Q88" i="16"/>
  <c r="Q89" i="16"/>
  <c r="Q90" i="16"/>
  <c r="K65" i="16" s="1"/>
  <c r="Q91" i="16"/>
  <c r="Q92" i="16"/>
  <c r="J33" i="16" s="1"/>
  <c r="Q93" i="16"/>
  <c r="Q94" i="16"/>
  <c r="K66" i="16" s="1"/>
  <c r="Q95" i="16"/>
  <c r="Q96" i="16"/>
  <c r="Q97" i="16"/>
  <c r="Q98" i="16"/>
  <c r="K67" i="16" s="1"/>
  <c r="Q99" i="16"/>
  <c r="Q100" i="16"/>
  <c r="J34" i="16" s="1"/>
  <c r="Q101" i="16"/>
  <c r="Q102" i="16"/>
  <c r="K68" i="16" s="1"/>
  <c r="Q103" i="16"/>
  <c r="Q104" i="16"/>
  <c r="Q105" i="16"/>
  <c r="Q106" i="16"/>
  <c r="K69" i="16" s="1"/>
  <c r="Q107" i="16"/>
  <c r="Q108" i="16"/>
  <c r="Q109" i="16"/>
  <c r="Q110" i="16"/>
  <c r="J35" i="16" s="1"/>
  <c r="Q111" i="16"/>
  <c r="Q112" i="16"/>
  <c r="Q113" i="16"/>
  <c r="Q114" i="16"/>
  <c r="Q2" i="17"/>
  <c r="Q3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J22" i="17" s="1"/>
  <c r="Q46" i="17"/>
  <c r="K56" i="17" s="1"/>
  <c r="Q47" i="17"/>
  <c r="Q48" i="17"/>
  <c r="J4" i="17" s="1"/>
  <c r="Q49" i="17"/>
  <c r="J24" i="17" s="1"/>
  <c r="Q50" i="17"/>
  <c r="K57" i="17" s="1"/>
  <c r="Q51" i="17"/>
  <c r="J25" i="17" s="1"/>
  <c r="Q52" i="17"/>
  <c r="Q53" i="17"/>
  <c r="Q54" i="17"/>
  <c r="K58" i="17" s="1"/>
  <c r="Q55" i="17"/>
  <c r="J26" i="17" s="1"/>
  <c r="Q56" i="17"/>
  <c r="Q57" i="17"/>
  <c r="Q58" i="17"/>
  <c r="Q59" i="17"/>
  <c r="Q60" i="17"/>
  <c r="Q61" i="17"/>
  <c r="Q62" i="17"/>
  <c r="Q63" i="17"/>
  <c r="Q64" i="17"/>
  <c r="Q65" i="17"/>
  <c r="Q66" i="17"/>
  <c r="J29" i="17" s="1"/>
  <c r="Q67" i="17"/>
  <c r="Q68" i="17"/>
  <c r="Q69" i="17"/>
  <c r="Q70" i="17"/>
  <c r="Q71" i="17"/>
  <c r="Q72" i="17"/>
  <c r="J30" i="17" s="1"/>
  <c r="Q73" i="17"/>
  <c r="Q74" i="17"/>
  <c r="K62" i="17" s="1"/>
  <c r="Q75" i="17"/>
  <c r="Q76" i="17"/>
  <c r="Q77" i="17"/>
  <c r="Q78" i="17"/>
  <c r="J31" i="17" s="1"/>
  <c r="Q79" i="17"/>
  <c r="Q80" i="17"/>
  <c r="Q81" i="17"/>
  <c r="Q82" i="17"/>
  <c r="Q83" i="17"/>
  <c r="Q84" i="17"/>
  <c r="Q85" i="17"/>
  <c r="Q86" i="17"/>
  <c r="K64" i="17" s="1"/>
  <c r="Q87" i="17"/>
  <c r="Q88" i="17"/>
  <c r="J32" i="17" s="1"/>
  <c r="Q89" i="17"/>
  <c r="Q90" i="17"/>
  <c r="K65" i="17" s="1"/>
  <c r="Q91" i="17"/>
  <c r="Q92" i="17"/>
  <c r="Q93" i="17"/>
  <c r="Q94" i="17"/>
  <c r="Q95" i="17"/>
  <c r="Q96" i="17"/>
  <c r="Q97" i="17"/>
  <c r="Q98" i="17"/>
  <c r="K67" i="17" s="1"/>
  <c r="Q99" i="17"/>
  <c r="Q100" i="17"/>
  <c r="Q101" i="17"/>
  <c r="Q102" i="17"/>
  <c r="K68" i="17" s="1"/>
  <c r="Q103" i="17"/>
  <c r="J34" i="17" s="1"/>
  <c r="Q104" i="17"/>
  <c r="Q105" i="17"/>
  <c r="Q106" i="17"/>
  <c r="K69" i="17" s="1"/>
  <c r="Q107" i="17"/>
  <c r="Q108" i="17"/>
  <c r="Q109" i="17"/>
  <c r="Q110" i="17"/>
  <c r="Q111" i="17"/>
  <c r="Q112" i="17"/>
  <c r="Q113" i="17"/>
  <c r="J35" i="17" s="1"/>
  <c r="Q114" i="17"/>
  <c r="Q2" i="18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J4" i="18" s="1"/>
  <c r="Q50" i="18"/>
  <c r="Q51" i="18"/>
  <c r="Q52" i="18"/>
  <c r="J25" i="18" s="1"/>
  <c r="Q53" i="18"/>
  <c r="Q54" i="18"/>
  <c r="Q55" i="18"/>
  <c r="Q56" i="18"/>
  <c r="Q57" i="18"/>
  <c r="J26" i="18" s="1"/>
  <c r="Q58" i="18"/>
  <c r="Q59" i="18"/>
  <c r="Q60" i="18"/>
  <c r="J27" i="18" s="1"/>
  <c r="Q61" i="18"/>
  <c r="Q62" i="18"/>
  <c r="K60" i="18" s="1"/>
  <c r="Q63" i="18"/>
  <c r="J28" i="18" s="1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K64" i="18" s="1"/>
  <c r="Q87" i="18"/>
  <c r="Q88" i="18"/>
  <c r="Q89" i="18"/>
  <c r="Q90" i="18"/>
  <c r="Q91" i="18"/>
  <c r="Q92" i="18"/>
  <c r="Q93" i="18"/>
  <c r="Q94" i="18"/>
  <c r="K66" i="18" s="1"/>
  <c r="Q95" i="18"/>
  <c r="Q96" i="18"/>
  <c r="J33" i="18" s="1"/>
  <c r="Q97" i="18"/>
  <c r="Q98" i="18"/>
  <c r="K67" i="18" s="1"/>
  <c r="Q99" i="18"/>
  <c r="Q100" i="18"/>
  <c r="Q101" i="18"/>
  <c r="Q102" i="18"/>
  <c r="K68" i="18" s="1"/>
  <c r="Q103" i="18"/>
  <c r="Q104" i="18"/>
  <c r="Q105" i="18"/>
  <c r="J34" i="18" s="1"/>
  <c r="Q106" i="18"/>
  <c r="K69" i="18" s="1"/>
  <c r="Q107" i="18"/>
  <c r="Q108" i="18"/>
  <c r="Q109" i="18"/>
  <c r="Q110" i="18"/>
  <c r="Q111" i="18"/>
  <c r="Q112" i="18"/>
  <c r="Q113" i="18"/>
  <c r="Q114" i="18"/>
  <c r="Q2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K56" i="19" s="1"/>
  <c r="Q47" i="19"/>
  <c r="Q48" i="19"/>
  <c r="J22" i="19" s="1"/>
  <c r="Q49" i="19"/>
  <c r="Q50" i="19"/>
  <c r="Q51" i="19"/>
  <c r="J24" i="19" s="1"/>
  <c r="Q52" i="19"/>
  <c r="J5" i="19" s="1"/>
  <c r="Q53" i="19"/>
  <c r="J25" i="19" s="1"/>
  <c r="Q54" i="19"/>
  <c r="K58" i="19" s="1"/>
  <c r="Q55" i="19"/>
  <c r="Q56" i="19"/>
  <c r="Q57" i="19"/>
  <c r="Q58" i="19"/>
  <c r="Q59" i="19"/>
  <c r="Q60" i="19"/>
  <c r="Q61" i="19"/>
  <c r="J27" i="19" s="1"/>
  <c r="Q62" i="19"/>
  <c r="K60" i="19" s="1"/>
  <c r="Q63" i="19"/>
  <c r="Q64" i="19"/>
  <c r="Q65" i="19"/>
  <c r="J28" i="19" s="1"/>
  <c r="Q66" i="19"/>
  <c r="Q67" i="19"/>
  <c r="Q68" i="19"/>
  <c r="K61" i="19" s="1"/>
  <c r="Q69" i="19"/>
  <c r="J29" i="19" s="1"/>
  <c r="Q70" i="19"/>
  <c r="Q71" i="19"/>
  <c r="Q72" i="19"/>
  <c r="Q73" i="19"/>
  <c r="Q74" i="19"/>
  <c r="Q75" i="19"/>
  <c r="J30" i="19" s="1"/>
  <c r="Q76" i="19"/>
  <c r="Q77" i="19"/>
  <c r="Q78" i="19"/>
  <c r="Q79" i="19"/>
  <c r="Q80" i="19"/>
  <c r="Q81" i="19"/>
  <c r="Q82" i="19"/>
  <c r="J31" i="19" s="1"/>
  <c r="Q83" i="19"/>
  <c r="Q84" i="19"/>
  <c r="Q85" i="19"/>
  <c r="Q86" i="19"/>
  <c r="K64" i="19" s="1"/>
  <c r="Q87" i="19"/>
  <c r="Q88" i="19"/>
  <c r="Q89" i="19"/>
  <c r="Q90" i="19"/>
  <c r="Q91" i="19"/>
  <c r="Q92" i="19"/>
  <c r="Q93" i="19"/>
  <c r="J32" i="19" s="1"/>
  <c r="Q94" i="19"/>
  <c r="K66" i="19" s="1"/>
  <c r="Q95" i="19"/>
  <c r="Q96" i="19"/>
  <c r="Q97" i="19"/>
  <c r="Q98" i="19"/>
  <c r="Q99" i="19"/>
  <c r="J33" i="19" s="1"/>
  <c r="Q100" i="19"/>
  <c r="Q101" i="19"/>
  <c r="Q102" i="19"/>
  <c r="K68" i="19" s="1"/>
  <c r="Q103" i="19"/>
  <c r="Q104" i="19"/>
  <c r="Q105" i="19"/>
  <c r="Q106" i="19"/>
  <c r="Q107" i="19"/>
  <c r="Q108" i="19"/>
  <c r="J34" i="19" s="1"/>
  <c r="Q109" i="19"/>
  <c r="Q110" i="19"/>
  <c r="Q111" i="19"/>
  <c r="Q112" i="19"/>
  <c r="Q113" i="19"/>
  <c r="Q114" i="19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J22" i="20" s="1"/>
  <c r="Q50" i="20"/>
  <c r="Q51" i="20"/>
  <c r="Q52" i="20"/>
  <c r="J4" i="20" s="1"/>
  <c r="Q53" i="20"/>
  <c r="J24" i="20" s="1"/>
  <c r="Q54" i="20"/>
  <c r="Q55" i="20"/>
  <c r="J25" i="20" s="1"/>
  <c r="Q56" i="20"/>
  <c r="J6" i="20" s="1"/>
  <c r="Q57" i="20"/>
  <c r="Q58" i="20"/>
  <c r="Q59" i="20"/>
  <c r="Q60" i="20"/>
  <c r="J26" i="20" s="1"/>
  <c r="Q61" i="20"/>
  <c r="Q62" i="20"/>
  <c r="Q63" i="20"/>
  <c r="J27" i="20" s="1"/>
  <c r="Q64" i="20"/>
  <c r="Q65" i="20"/>
  <c r="Q66" i="20"/>
  <c r="Q67" i="20"/>
  <c r="J28" i="20" s="1"/>
  <c r="Q68" i="20"/>
  <c r="Q69" i="20"/>
  <c r="Q70" i="20"/>
  <c r="Q71" i="20"/>
  <c r="J29" i="20" s="1"/>
  <c r="Q72" i="20"/>
  <c r="Q73" i="20"/>
  <c r="Q74" i="20"/>
  <c r="Q75" i="20"/>
  <c r="Q76" i="20"/>
  <c r="Q77" i="20"/>
  <c r="J30" i="20" s="1"/>
  <c r="Q78" i="20"/>
  <c r="Q79" i="20"/>
  <c r="Q80" i="20"/>
  <c r="Q81" i="20"/>
  <c r="Q82" i="20"/>
  <c r="Q83" i="20"/>
  <c r="Q84" i="20"/>
  <c r="Q85" i="20"/>
  <c r="J31" i="20" s="1"/>
  <c r="Q86" i="20"/>
  <c r="Q87" i="20"/>
  <c r="Q88" i="20"/>
  <c r="Q89" i="20"/>
  <c r="Q90" i="20"/>
  <c r="Q91" i="20"/>
  <c r="Q92" i="20"/>
  <c r="Q93" i="20"/>
  <c r="Q94" i="20"/>
  <c r="Q95" i="20"/>
  <c r="J32" i="20" s="1"/>
  <c r="Q96" i="20"/>
  <c r="Q97" i="20"/>
  <c r="Q98" i="20"/>
  <c r="Q99" i="20"/>
  <c r="Q100" i="20"/>
  <c r="Q101" i="20"/>
  <c r="J33" i="20" s="1"/>
  <c r="Q102" i="20"/>
  <c r="Q103" i="20"/>
  <c r="Q104" i="20"/>
  <c r="Q105" i="20"/>
  <c r="Q106" i="20"/>
  <c r="Q107" i="20"/>
  <c r="Q108" i="20"/>
  <c r="Q109" i="20"/>
  <c r="Q110" i="20"/>
  <c r="Q111" i="20"/>
  <c r="J34" i="20" s="1"/>
  <c r="Q112" i="20"/>
  <c r="Q113" i="20"/>
  <c r="Q114" i="20"/>
  <c r="Q2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J5" i="21" s="1"/>
  <c r="K5" i="21" s="1"/>
  <c r="Q57" i="21"/>
  <c r="J25" i="21" s="1"/>
  <c r="Q58" i="21"/>
  <c r="Q59" i="21"/>
  <c r="Q60" i="21"/>
  <c r="J7" i="21" s="1"/>
  <c r="K7" i="21" s="1"/>
  <c r="Q61" i="21"/>
  <c r="J26" i="21" s="1"/>
  <c r="Q62" i="21"/>
  <c r="Q63" i="21"/>
  <c r="Q64" i="21"/>
  <c r="Q65" i="21"/>
  <c r="J27" i="21" s="1"/>
  <c r="Q66" i="21"/>
  <c r="Q67" i="21"/>
  <c r="Q68" i="21"/>
  <c r="Q69" i="21"/>
  <c r="Q70" i="21"/>
  <c r="Q71" i="21"/>
  <c r="Q72" i="21"/>
  <c r="Q73" i="21"/>
  <c r="J29" i="21" s="1"/>
  <c r="Q74" i="21"/>
  <c r="Q75" i="21"/>
  <c r="Q76" i="21"/>
  <c r="Q77" i="21"/>
  <c r="Q78" i="21"/>
  <c r="Q79" i="21"/>
  <c r="J30" i="21" s="1"/>
  <c r="Q80" i="21"/>
  <c r="Q81" i="21"/>
  <c r="Q82" i="21"/>
  <c r="Q83" i="21"/>
  <c r="Q84" i="21"/>
  <c r="Q85" i="21"/>
  <c r="Q86" i="21"/>
  <c r="Q87" i="21"/>
  <c r="J31" i="21" s="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J33" i="21" s="1"/>
  <c r="Q105" i="21"/>
  <c r="Q106" i="21"/>
  <c r="Q107" i="21"/>
  <c r="Q108" i="21"/>
  <c r="Q109" i="21"/>
  <c r="Q110" i="21"/>
  <c r="Q111" i="21"/>
  <c r="Q112" i="21"/>
  <c r="Q113" i="21"/>
  <c r="Q114" i="21"/>
  <c r="J34" i="21" s="1"/>
  <c r="Q1" i="21"/>
  <c r="Q1" i="20"/>
  <c r="Q1" i="19"/>
  <c r="Q1" i="18"/>
  <c r="Q1" i="17"/>
  <c r="Q1" i="16"/>
  <c r="Q1" i="15"/>
  <c r="Q1" i="14"/>
  <c r="Q1" i="13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100" i="21"/>
  <c r="P99" i="21"/>
  <c r="P98" i="21"/>
  <c r="P97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72" i="21"/>
  <c r="P71" i="21"/>
  <c r="P70" i="21"/>
  <c r="P69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D51" i="21"/>
  <c r="L17" i="21" s="1"/>
  <c r="P50" i="21"/>
  <c r="D50" i="21"/>
  <c r="M17" i="21" s="1"/>
  <c r="N17" i="21" s="1"/>
  <c r="P49" i="21"/>
  <c r="D49" i="21"/>
  <c r="L16" i="21" s="1"/>
  <c r="P48" i="21"/>
  <c r="D48" i="21"/>
  <c r="M16" i="21" s="1"/>
  <c r="N16" i="21" s="1"/>
  <c r="P47" i="21"/>
  <c r="D47" i="21"/>
  <c r="L15" i="21" s="1"/>
  <c r="P46" i="21"/>
  <c r="D46" i="21"/>
  <c r="M15" i="21" s="1"/>
  <c r="N15" i="21" s="1"/>
  <c r="P45" i="21"/>
  <c r="D45" i="21"/>
  <c r="L14" i="21" s="1"/>
  <c r="P44" i="21"/>
  <c r="D44" i="21"/>
  <c r="M14" i="21" s="1"/>
  <c r="N14" i="21" s="1"/>
  <c r="P43" i="21"/>
  <c r="D43" i="21"/>
  <c r="L13" i="21" s="1"/>
  <c r="P42" i="21"/>
  <c r="D42" i="21"/>
  <c r="M13" i="21" s="1"/>
  <c r="N13" i="21" s="1"/>
  <c r="P41" i="21"/>
  <c r="D41" i="21"/>
  <c r="L12" i="21" s="1"/>
  <c r="P40" i="21"/>
  <c r="D40" i="21"/>
  <c r="M12" i="21" s="1"/>
  <c r="N12" i="21" s="1"/>
  <c r="P39" i="21"/>
  <c r="D39" i="21"/>
  <c r="L11" i="21" s="1"/>
  <c r="P38" i="21"/>
  <c r="D38" i="21"/>
  <c r="M11" i="21" s="1"/>
  <c r="N11" i="21" s="1"/>
  <c r="P37" i="21"/>
  <c r="D37" i="21"/>
  <c r="L10" i="21" s="1"/>
  <c r="P36" i="21"/>
  <c r="D36" i="21"/>
  <c r="M10" i="21" s="1"/>
  <c r="N10" i="21" s="1"/>
  <c r="P35" i="21"/>
  <c r="D35" i="21"/>
  <c r="L9" i="21" s="1"/>
  <c r="P34" i="21"/>
  <c r="D34" i="21"/>
  <c r="M9" i="21" s="1"/>
  <c r="N9" i="21" s="1"/>
  <c r="P33" i="21"/>
  <c r="D33" i="21"/>
  <c r="L8" i="21" s="1"/>
  <c r="P32" i="21"/>
  <c r="D32" i="21"/>
  <c r="M8" i="21" s="1"/>
  <c r="N8" i="21" s="1"/>
  <c r="P31" i="21"/>
  <c r="D31" i="21"/>
  <c r="L7" i="21" s="1"/>
  <c r="P30" i="21"/>
  <c r="D30" i="21"/>
  <c r="M7" i="21" s="1"/>
  <c r="N7" i="21" s="1"/>
  <c r="P29" i="21"/>
  <c r="D29" i="21"/>
  <c r="L6" i="21" s="1"/>
  <c r="P28" i="21"/>
  <c r="D28" i="21"/>
  <c r="M6" i="21" s="1"/>
  <c r="N6" i="21" s="1"/>
  <c r="P27" i="21"/>
  <c r="D27" i="21"/>
  <c r="L5" i="21" s="1"/>
  <c r="P26" i="21"/>
  <c r="D26" i="21"/>
  <c r="M5" i="21" s="1"/>
  <c r="N5" i="21" s="1"/>
  <c r="P25" i="21"/>
  <c r="D25" i="21"/>
  <c r="L4" i="21" s="1"/>
  <c r="P24" i="21"/>
  <c r="D24" i="21"/>
  <c r="M4" i="21" s="1"/>
  <c r="N4" i="21" s="1"/>
  <c r="P23" i="21"/>
  <c r="D23" i="21"/>
  <c r="L3" i="21" s="1"/>
  <c r="P22" i="21"/>
  <c r="D22" i="21"/>
  <c r="M3" i="21" s="1"/>
  <c r="P21" i="21"/>
  <c r="P20" i="21"/>
  <c r="P19" i="21"/>
  <c r="P18" i="21"/>
  <c r="P17" i="21"/>
  <c r="J17" i="21"/>
  <c r="K17" i="21" s="1"/>
  <c r="P16" i="21"/>
  <c r="J16" i="21"/>
  <c r="K16" i="21" s="1"/>
  <c r="P15" i="21"/>
  <c r="J15" i="21"/>
  <c r="K15" i="21" s="1"/>
  <c r="P14" i="21"/>
  <c r="J14" i="21"/>
  <c r="K14" i="21" s="1"/>
  <c r="C14" i="21"/>
  <c r="C17" i="21" s="1"/>
  <c r="P13" i="21"/>
  <c r="J13" i="21"/>
  <c r="K13" i="21" s="1"/>
  <c r="C13" i="21"/>
  <c r="P12" i="21"/>
  <c r="J12" i="21"/>
  <c r="K12" i="21" s="1"/>
  <c r="C12" i="21"/>
  <c r="P11" i="21"/>
  <c r="C11" i="21"/>
  <c r="P10" i="21"/>
  <c r="J10" i="21"/>
  <c r="K10" i="21" s="1"/>
  <c r="C10" i="21"/>
  <c r="P9" i="21"/>
  <c r="P8" i="21"/>
  <c r="J8" i="21"/>
  <c r="K8" i="21" s="1"/>
  <c r="P7" i="21"/>
  <c r="C7" i="21"/>
  <c r="P6" i="21"/>
  <c r="C6" i="21"/>
  <c r="P5" i="21"/>
  <c r="C5" i="21"/>
  <c r="P4" i="21"/>
  <c r="C4" i="21"/>
  <c r="P3" i="21"/>
  <c r="P2" i="21"/>
  <c r="P1" i="21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97" i="20"/>
  <c r="P96" i="20"/>
  <c r="P95" i="20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D51" i="20"/>
  <c r="P50" i="20"/>
  <c r="D50" i="20"/>
  <c r="M17" i="20" s="1"/>
  <c r="N17" i="20" s="1"/>
  <c r="P49" i="20"/>
  <c r="D49" i="20"/>
  <c r="L16" i="20" s="1"/>
  <c r="P48" i="20"/>
  <c r="D48" i="20"/>
  <c r="M16" i="20" s="1"/>
  <c r="N16" i="20" s="1"/>
  <c r="P47" i="20"/>
  <c r="D47" i="20"/>
  <c r="L15" i="20" s="1"/>
  <c r="P46" i="20"/>
  <c r="D46" i="20"/>
  <c r="M15" i="20" s="1"/>
  <c r="N15" i="20" s="1"/>
  <c r="P45" i="20"/>
  <c r="D45" i="20"/>
  <c r="L14" i="20" s="1"/>
  <c r="P44" i="20"/>
  <c r="D44" i="20"/>
  <c r="M14" i="20" s="1"/>
  <c r="N14" i="20" s="1"/>
  <c r="P43" i="20"/>
  <c r="D43" i="20"/>
  <c r="L13" i="20" s="1"/>
  <c r="P42" i="20"/>
  <c r="D42" i="20"/>
  <c r="M13" i="20" s="1"/>
  <c r="N13" i="20" s="1"/>
  <c r="P41" i="20"/>
  <c r="D41" i="20"/>
  <c r="L12" i="20" s="1"/>
  <c r="P40" i="20"/>
  <c r="D40" i="20"/>
  <c r="M12" i="20" s="1"/>
  <c r="N12" i="20" s="1"/>
  <c r="P39" i="20"/>
  <c r="D39" i="20"/>
  <c r="L11" i="20" s="1"/>
  <c r="P38" i="20"/>
  <c r="D38" i="20"/>
  <c r="M11" i="20" s="1"/>
  <c r="N11" i="20" s="1"/>
  <c r="P37" i="20"/>
  <c r="D37" i="20"/>
  <c r="L10" i="20" s="1"/>
  <c r="P36" i="20"/>
  <c r="D36" i="20"/>
  <c r="M10" i="20" s="1"/>
  <c r="N10" i="20" s="1"/>
  <c r="P35" i="20"/>
  <c r="D35" i="20"/>
  <c r="L9" i="20" s="1"/>
  <c r="P34" i="20"/>
  <c r="D34" i="20"/>
  <c r="M9" i="20" s="1"/>
  <c r="N9" i="20" s="1"/>
  <c r="P33" i="20"/>
  <c r="D33" i="20"/>
  <c r="L8" i="20" s="1"/>
  <c r="P32" i="20"/>
  <c r="D32" i="20"/>
  <c r="M8" i="20" s="1"/>
  <c r="N8" i="20" s="1"/>
  <c r="P31" i="20"/>
  <c r="D31" i="20"/>
  <c r="L7" i="20" s="1"/>
  <c r="P30" i="20"/>
  <c r="D30" i="20"/>
  <c r="M7" i="20" s="1"/>
  <c r="N7" i="20" s="1"/>
  <c r="P29" i="20"/>
  <c r="D29" i="20"/>
  <c r="L6" i="20" s="1"/>
  <c r="P28" i="20"/>
  <c r="D28" i="20"/>
  <c r="M6" i="20" s="1"/>
  <c r="N6" i="20" s="1"/>
  <c r="P27" i="20"/>
  <c r="D27" i="20"/>
  <c r="L5" i="20" s="1"/>
  <c r="P26" i="20"/>
  <c r="D26" i="20"/>
  <c r="M5" i="20" s="1"/>
  <c r="N5" i="20" s="1"/>
  <c r="P25" i="20"/>
  <c r="D25" i="20"/>
  <c r="L4" i="20" s="1"/>
  <c r="P24" i="20"/>
  <c r="D24" i="20"/>
  <c r="M4" i="20" s="1"/>
  <c r="N4" i="20" s="1"/>
  <c r="P23" i="20"/>
  <c r="D23" i="20"/>
  <c r="L3" i="20" s="1"/>
  <c r="P22" i="20"/>
  <c r="D22" i="20"/>
  <c r="M3" i="20" s="1"/>
  <c r="P21" i="20"/>
  <c r="P20" i="20"/>
  <c r="P19" i="20"/>
  <c r="P18" i="20"/>
  <c r="P17" i="20"/>
  <c r="L17" i="20"/>
  <c r="J17" i="20"/>
  <c r="K17" i="20" s="1"/>
  <c r="P16" i="20"/>
  <c r="J16" i="20"/>
  <c r="K16" i="20" s="1"/>
  <c r="P15" i="20"/>
  <c r="J15" i="20"/>
  <c r="K15" i="20" s="1"/>
  <c r="P14" i="20"/>
  <c r="J14" i="20"/>
  <c r="K14" i="20" s="1"/>
  <c r="C14" i="20"/>
  <c r="C17" i="20" s="1"/>
  <c r="P13" i="20"/>
  <c r="J13" i="20"/>
  <c r="K13" i="20" s="1"/>
  <c r="C13" i="20"/>
  <c r="P12" i="20"/>
  <c r="J12" i="20"/>
  <c r="K12" i="20" s="1"/>
  <c r="C12" i="20"/>
  <c r="P11" i="20"/>
  <c r="C11" i="20"/>
  <c r="P10" i="20"/>
  <c r="J10" i="20"/>
  <c r="K10" i="20" s="1"/>
  <c r="C10" i="20"/>
  <c r="P9" i="20"/>
  <c r="J9" i="20"/>
  <c r="K9" i="20" s="1"/>
  <c r="P8" i="20"/>
  <c r="J8" i="20"/>
  <c r="K8" i="20" s="1"/>
  <c r="P7" i="20"/>
  <c r="J7" i="20"/>
  <c r="K7" i="20" s="1"/>
  <c r="C7" i="20"/>
  <c r="P6" i="20"/>
  <c r="K6" i="20"/>
  <c r="C6" i="20"/>
  <c r="P5" i="20"/>
  <c r="C5" i="20"/>
  <c r="P4" i="20"/>
  <c r="K4" i="20"/>
  <c r="C4" i="20"/>
  <c r="P3" i="20"/>
  <c r="P2" i="20"/>
  <c r="P1" i="20"/>
  <c r="P114" i="19"/>
  <c r="P113" i="19"/>
  <c r="P112" i="19"/>
  <c r="P111" i="19"/>
  <c r="P110" i="19"/>
  <c r="P109" i="19"/>
  <c r="P108" i="19"/>
  <c r="P107" i="19"/>
  <c r="P106" i="19"/>
  <c r="P105" i="19"/>
  <c r="P104" i="19"/>
  <c r="P103" i="19"/>
  <c r="P102" i="19"/>
  <c r="P101" i="19"/>
  <c r="P100" i="19"/>
  <c r="P99" i="19"/>
  <c r="P98" i="19"/>
  <c r="P97" i="19"/>
  <c r="P96" i="19"/>
  <c r="P95" i="19"/>
  <c r="P94" i="19"/>
  <c r="P93" i="19"/>
  <c r="P92" i="19"/>
  <c r="P91" i="19"/>
  <c r="P90" i="19"/>
  <c r="P89" i="19"/>
  <c r="P88" i="19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3" i="19"/>
  <c r="P72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1" i="19"/>
  <c r="D51" i="19"/>
  <c r="L17" i="19" s="1"/>
  <c r="P50" i="19"/>
  <c r="D50" i="19"/>
  <c r="M17" i="19" s="1"/>
  <c r="N17" i="19" s="1"/>
  <c r="P49" i="19"/>
  <c r="D49" i="19"/>
  <c r="L16" i="19" s="1"/>
  <c r="P48" i="19"/>
  <c r="D48" i="19"/>
  <c r="M16" i="19" s="1"/>
  <c r="N16" i="19" s="1"/>
  <c r="P47" i="19"/>
  <c r="D47" i="19"/>
  <c r="L15" i="19" s="1"/>
  <c r="P46" i="19"/>
  <c r="D46" i="19"/>
  <c r="M15" i="19" s="1"/>
  <c r="N15" i="19" s="1"/>
  <c r="P45" i="19"/>
  <c r="D45" i="19"/>
  <c r="L14" i="19" s="1"/>
  <c r="P44" i="19"/>
  <c r="D44" i="19"/>
  <c r="M14" i="19" s="1"/>
  <c r="N14" i="19" s="1"/>
  <c r="P43" i="19"/>
  <c r="D43" i="19"/>
  <c r="L13" i="19" s="1"/>
  <c r="P42" i="19"/>
  <c r="D42" i="19"/>
  <c r="M13" i="19" s="1"/>
  <c r="N13" i="19" s="1"/>
  <c r="P41" i="19"/>
  <c r="D41" i="19"/>
  <c r="L12" i="19" s="1"/>
  <c r="P40" i="19"/>
  <c r="D40" i="19"/>
  <c r="M12" i="19" s="1"/>
  <c r="N12" i="19" s="1"/>
  <c r="P39" i="19"/>
  <c r="D39" i="19"/>
  <c r="L11" i="19" s="1"/>
  <c r="P38" i="19"/>
  <c r="D38" i="19"/>
  <c r="M11" i="19" s="1"/>
  <c r="N11" i="19" s="1"/>
  <c r="P37" i="19"/>
  <c r="D37" i="19"/>
  <c r="L10" i="19" s="1"/>
  <c r="P36" i="19"/>
  <c r="D36" i="19"/>
  <c r="M10" i="19" s="1"/>
  <c r="N10" i="19" s="1"/>
  <c r="P35" i="19"/>
  <c r="D35" i="19"/>
  <c r="L9" i="19" s="1"/>
  <c r="P34" i="19"/>
  <c r="D34" i="19"/>
  <c r="M9" i="19" s="1"/>
  <c r="N9" i="19" s="1"/>
  <c r="P33" i="19"/>
  <c r="D33" i="19"/>
  <c r="L8" i="19" s="1"/>
  <c r="P32" i="19"/>
  <c r="D32" i="19"/>
  <c r="M8" i="19" s="1"/>
  <c r="N8" i="19" s="1"/>
  <c r="P31" i="19"/>
  <c r="D31" i="19"/>
  <c r="L7" i="19" s="1"/>
  <c r="P30" i="19"/>
  <c r="D30" i="19"/>
  <c r="M7" i="19" s="1"/>
  <c r="N7" i="19" s="1"/>
  <c r="P29" i="19"/>
  <c r="D29" i="19"/>
  <c r="L6" i="19" s="1"/>
  <c r="P28" i="19"/>
  <c r="D28" i="19"/>
  <c r="M6" i="19" s="1"/>
  <c r="N6" i="19" s="1"/>
  <c r="P27" i="19"/>
  <c r="D27" i="19"/>
  <c r="L5" i="19" s="1"/>
  <c r="P26" i="19"/>
  <c r="D26" i="19"/>
  <c r="M5" i="19" s="1"/>
  <c r="N5" i="19" s="1"/>
  <c r="P25" i="19"/>
  <c r="D25" i="19"/>
  <c r="L4" i="19" s="1"/>
  <c r="P24" i="19"/>
  <c r="D24" i="19"/>
  <c r="M4" i="19" s="1"/>
  <c r="N4" i="19" s="1"/>
  <c r="P23" i="19"/>
  <c r="D23" i="19"/>
  <c r="L3" i="19" s="1"/>
  <c r="P22" i="19"/>
  <c r="D22" i="19"/>
  <c r="M3" i="19" s="1"/>
  <c r="P21" i="19"/>
  <c r="P20" i="19"/>
  <c r="P19" i="19"/>
  <c r="P18" i="19"/>
  <c r="P17" i="19"/>
  <c r="P16" i="19"/>
  <c r="J16" i="19"/>
  <c r="K16" i="19" s="1"/>
  <c r="P15" i="19"/>
  <c r="P14" i="19"/>
  <c r="J14" i="19"/>
  <c r="K14" i="19" s="1"/>
  <c r="C14" i="19"/>
  <c r="C17" i="19" s="1"/>
  <c r="P13" i="19"/>
  <c r="C13" i="19"/>
  <c r="P12" i="19"/>
  <c r="J12" i="19"/>
  <c r="K12" i="19" s="1"/>
  <c r="C12" i="19"/>
  <c r="P11" i="19"/>
  <c r="C11" i="19"/>
  <c r="P10" i="19"/>
  <c r="C10" i="19"/>
  <c r="P9" i="19"/>
  <c r="J9" i="19"/>
  <c r="K9" i="19" s="1"/>
  <c r="P8" i="19"/>
  <c r="J8" i="19"/>
  <c r="K8" i="19" s="1"/>
  <c r="P7" i="19"/>
  <c r="C7" i="19"/>
  <c r="P6" i="19"/>
  <c r="J6" i="19"/>
  <c r="K6" i="19" s="1"/>
  <c r="C6" i="19"/>
  <c r="P5" i="19"/>
  <c r="K5" i="19"/>
  <c r="C5" i="19"/>
  <c r="P4" i="19"/>
  <c r="C4" i="19"/>
  <c r="P3" i="19"/>
  <c r="P2" i="19"/>
  <c r="P1" i="19"/>
  <c r="P114" i="18"/>
  <c r="P113" i="18"/>
  <c r="P112" i="18"/>
  <c r="P111" i="18"/>
  <c r="P110" i="18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1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8" i="18"/>
  <c r="P77" i="18"/>
  <c r="P76" i="18"/>
  <c r="P75" i="18"/>
  <c r="P74" i="18"/>
  <c r="P73" i="18"/>
  <c r="P72" i="18"/>
  <c r="P71" i="18"/>
  <c r="P70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D51" i="18"/>
  <c r="L17" i="18" s="1"/>
  <c r="P50" i="18"/>
  <c r="D50" i="18"/>
  <c r="M17" i="18" s="1"/>
  <c r="N17" i="18" s="1"/>
  <c r="P49" i="18"/>
  <c r="D49" i="18"/>
  <c r="L16" i="18" s="1"/>
  <c r="P48" i="18"/>
  <c r="D48" i="18"/>
  <c r="M16" i="18" s="1"/>
  <c r="N16" i="18" s="1"/>
  <c r="P47" i="18"/>
  <c r="D47" i="18"/>
  <c r="L15" i="18" s="1"/>
  <c r="P46" i="18"/>
  <c r="D46" i="18"/>
  <c r="M15" i="18" s="1"/>
  <c r="N15" i="18" s="1"/>
  <c r="P45" i="18"/>
  <c r="D45" i="18"/>
  <c r="L14" i="18" s="1"/>
  <c r="P44" i="18"/>
  <c r="D44" i="18"/>
  <c r="M14" i="18" s="1"/>
  <c r="N14" i="18" s="1"/>
  <c r="P43" i="18"/>
  <c r="D43" i="18"/>
  <c r="L13" i="18" s="1"/>
  <c r="P42" i="18"/>
  <c r="D42" i="18"/>
  <c r="M13" i="18" s="1"/>
  <c r="N13" i="18" s="1"/>
  <c r="P41" i="18"/>
  <c r="D41" i="18"/>
  <c r="L12" i="18" s="1"/>
  <c r="P40" i="18"/>
  <c r="D40" i="18"/>
  <c r="M12" i="18" s="1"/>
  <c r="N12" i="18" s="1"/>
  <c r="P39" i="18"/>
  <c r="D39" i="18"/>
  <c r="L11" i="18" s="1"/>
  <c r="P38" i="18"/>
  <c r="D38" i="18"/>
  <c r="M11" i="18" s="1"/>
  <c r="N11" i="18" s="1"/>
  <c r="P37" i="18"/>
  <c r="D37" i="18"/>
  <c r="L10" i="18" s="1"/>
  <c r="P36" i="18"/>
  <c r="D36" i="18"/>
  <c r="M10" i="18" s="1"/>
  <c r="N10" i="18" s="1"/>
  <c r="P35" i="18"/>
  <c r="D35" i="18"/>
  <c r="L9" i="18" s="1"/>
  <c r="P34" i="18"/>
  <c r="D34" i="18"/>
  <c r="M9" i="18" s="1"/>
  <c r="N9" i="18" s="1"/>
  <c r="P33" i="18"/>
  <c r="D33" i="18"/>
  <c r="L8" i="18" s="1"/>
  <c r="P32" i="18"/>
  <c r="D32" i="18"/>
  <c r="M8" i="18" s="1"/>
  <c r="N8" i="18" s="1"/>
  <c r="P31" i="18"/>
  <c r="D31" i="18"/>
  <c r="L7" i="18" s="1"/>
  <c r="P30" i="18"/>
  <c r="D30" i="18"/>
  <c r="M7" i="18" s="1"/>
  <c r="N7" i="18" s="1"/>
  <c r="P29" i="18"/>
  <c r="D29" i="18"/>
  <c r="L6" i="18" s="1"/>
  <c r="P28" i="18"/>
  <c r="D28" i="18"/>
  <c r="M6" i="18" s="1"/>
  <c r="N6" i="18" s="1"/>
  <c r="P27" i="18"/>
  <c r="D27" i="18"/>
  <c r="L5" i="18" s="1"/>
  <c r="P26" i="18"/>
  <c r="D26" i="18"/>
  <c r="M5" i="18" s="1"/>
  <c r="N5" i="18" s="1"/>
  <c r="P25" i="18"/>
  <c r="D25" i="18"/>
  <c r="L4" i="18" s="1"/>
  <c r="P24" i="18"/>
  <c r="D24" i="18"/>
  <c r="M4" i="18" s="1"/>
  <c r="N4" i="18" s="1"/>
  <c r="P23" i="18"/>
  <c r="D23" i="18"/>
  <c r="L3" i="18" s="1"/>
  <c r="P22" i="18"/>
  <c r="D22" i="18"/>
  <c r="M3" i="18" s="1"/>
  <c r="P21" i="18"/>
  <c r="P20" i="18"/>
  <c r="P19" i="18"/>
  <c r="P18" i="18"/>
  <c r="P17" i="18"/>
  <c r="J17" i="18"/>
  <c r="K17" i="18" s="1"/>
  <c r="P16" i="18"/>
  <c r="J16" i="18"/>
  <c r="K16" i="18" s="1"/>
  <c r="P15" i="18"/>
  <c r="J15" i="18"/>
  <c r="K15" i="18" s="1"/>
  <c r="P14" i="18"/>
  <c r="J14" i="18"/>
  <c r="K14" i="18" s="1"/>
  <c r="C14" i="18"/>
  <c r="C17" i="18" s="1"/>
  <c r="P13" i="18"/>
  <c r="J13" i="18"/>
  <c r="K13" i="18" s="1"/>
  <c r="C13" i="18"/>
  <c r="P12" i="18"/>
  <c r="J12" i="18"/>
  <c r="K12" i="18" s="1"/>
  <c r="C12" i="18"/>
  <c r="P11" i="18"/>
  <c r="J11" i="18"/>
  <c r="K11" i="18" s="1"/>
  <c r="C11" i="18"/>
  <c r="P10" i="18"/>
  <c r="J10" i="18"/>
  <c r="K10" i="18" s="1"/>
  <c r="C10" i="18"/>
  <c r="P9" i="18"/>
  <c r="J9" i="18"/>
  <c r="K9" i="18" s="1"/>
  <c r="P8" i="18"/>
  <c r="J8" i="18"/>
  <c r="K8" i="18" s="1"/>
  <c r="P7" i="18"/>
  <c r="C7" i="18"/>
  <c r="P6" i="18"/>
  <c r="C6" i="18"/>
  <c r="P5" i="18"/>
  <c r="J5" i="18"/>
  <c r="K5" i="18" s="1"/>
  <c r="C5" i="18"/>
  <c r="P4" i="18"/>
  <c r="K4" i="18"/>
  <c r="C4" i="18"/>
  <c r="P3" i="18"/>
  <c r="P2" i="18"/>
  <c r="P1" i="18"/>
  <c r="P114" i="17"/>
  <c r="P113" i="17"/>
  <c r="P112" i="17"/>
  <c r="P111" i="17"/>
  <c r="P110" i="17"/>
  <c r="P109" i="17"/>
  <c r="P108" i="17"/>
  <c r="P107" i="17"/>
  <c r="P106" i="17"/>
  <c r="P105" i="17"/>
  <c r="P104" i="17"/>
  <c r="P103" i="17"/>
  <c r="P102" i="17"/>
  <c r="P101" i="17"/>
  <c r="P100" i="17"/>
  <c r="P99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P83" i="17"/>
  <c r="P82" i="17"/>
  <c r="P81" i="17"/>
  <c r="P80" i="17"/>
  <c r="P79" i="17"/>
  <c r="P78" i="17"/>
  <c r="P77" i="17"/>
  <c r="P76" i="17"/>
  <c r="P75" i="17"/>
  <c r="P74" i="17"/>
  <c r="P73" i="17"/>
  <c r="P72" i="17"/>
  <c r="P71" i="17"/>
  <c r="P70" i="17"/>
  <c r="P69" i="17"/>
  <c r="P68" i="17"/>
  <c r="P67" i="17"/>
  <c r="P66" i="17"/>
  <c r="P65" i="17"/>
  <c r="P64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D51" i="17"/>
  <c r="L17" i="17" s="1"/>
  <c r="P50" i="17"/>
  <c r="D50" i="17"/>
  <c r="M17" i="17" s="1"/>
  <c r="N17" i="17" s="1"/>
  <c r="P49" i="17"/>
  <c r="D49" i="17"/>
  <c r="L16" i="17" s="1"/>
  <c r="P48" i="17"/>
  <c r="D48" i="17"/>
  <c r="M16" i="17" s="1"/>
  <c r="N16" i="17" s="1"/>
  <c r="P47" i="17"/>
  <c r="D47" i="17"/>
  <c r="L15" i="17" s="1"/>
  <c r="P46" i="17"/>
  <c r="D46" i="17"/>
  <c r="M15" i="17" s="1"/>
  <c r="N15" i="17" s="1"/>
  <c r="P45" i="17"/>
  <c r="D45" i="17"/>
  <c r="L14" i="17" s="1"/>
  <c r="P44" i="17"/>
  <c r="D44" i="17"/>
  <c r="M14" i="17" s="1"/>
  <c r="N14" i="17" s="1"/>
  <c r="P43" i="17"/>
  <c r="D43" i="17"/>
  <c r="L13" i="17" s="1"/>
  <c r="P42" i="17"/>
  <c r="D42" i="17"/>
  <c r="M13" i="17" s="1"/>
  <c r="N13" i="17" s="1"/>
  <c r="P41" i="17"/>
  <c r="D41" i="17"/>
  <c r="L12" i="17" s="1"/>
  <c r="P40" i="17"/>
  <c r="D40" i="17"/>
  <c r="M12" i="17" s="1"/>
  <c r="N12" i="17" s="1"/>
  <c r="P39" i="17"/>
  <c r="D39" i="17"/>
  <c r="L11" i="17" s="1"/>
  <c r="P38" i="17"/>
  <c r="D38" i="17"/>
  <c r="M11" i="17" s="1"/>
  <c r="N11" i="17" s="1"/>
  <c r="P37" i="17"/>
  <c r="D37" i="17"/>
  <c r="L10" i="17" s="1"/>
  <c r="P36" i="17"/>
  <c r="D36" i="17"/>
  <c r="M10" i="17" s="1"/>
  <c r="N10" i="17" s="1"/>
  <c r="P35" i="17"/>
  <c r="D35" i="17"/>
  <c r="L9" i="17" s="1"/>
  <c r="P34" i="17"/>
  <c r="D34" i="17"/>
  <c r="M9" i="17" s="1"/>
  <c r="N9" i="17" s="1"/>
  <c r="P33" i="17"/>
  <c r="D33" i="17"/>
  <c r="L8" i="17" s="1"/>
  <c r="P32" i="17"/>
  <c r="D32" i="17"/>
  <c r="M8" i="17" s="1"/>
  <c r="N8" i="17" s="1"/>
  <c r="P31" i="17"/>
  <c r="D31" i="17"/>
  <c r="L7" i="17" s="1"/>
  <c r="P30" i="17"/>
  <c r="D30" i="17"/>
  <c r="M7" i="17" s="1"/>
  <c r="N7" i="17" s="1"/>
  <c r="P29" i="17"/>
  <c r="D29" i="17"/>
  <c r="L6" i="17" s="1"/>
  <c r="P28" i="17"/>
  <c r="D28" i="17"/>
  <c r="M6" i="17" s="1"/>
  <c r="N6" i="17" s="1"/>
  <c r="P27" i="17"/>
  <c r="D27" i="17"/>
  <c r="L5" i="17" s="1"/>
  <c r="P26" i="17"/>
  <c r="D26" i="17"/>
  <c r="M5" i="17" s="1"/>
  <c r="N5" i="17" s="1"/>
  <c r="P25" i="17"/>
  <c r="D25" i="17"/>
  <c r="L4" i="17" s="1"/>
  <c r="P24" i="17"/>
  <c r="D24" i="17"/>
  <c r="M4" i="17" s="1"/>
  <c r="N4" i="17" s="1"/>
  <c r="P23" i="17"/>
  <c r="D23" i="17"/>
  <c r="L3" i="17" s="1"/>
  <c r="P22" i="17"/>
  <c r="D22" i="17"/>
  <c r="M3" i="17" s="1"/>
  <c r="P21" i="17"/>
  <c r="P20" i="17"/>
  <c r="P19" i="17"/>
  <c r="P18" i="17"/>
  <c r="P17" i="17"/>
  <c r="J17" i="17"/>
  <c r="K17" i="17" s="1"/>
  <c r="P16" i="17"/>
  <c r="J16" i="17"/>
  <c r="K16" i="17" s="1"/>
  <c r="P15" i="17"/>
  <c r="J15" i="17"/>
  <c r="K15" i="17" s="1"/>
  <c r="P14" i="17"/>
  <c r="J14" i="17"/>
  <c r="K14" i="17" s="1"/>
  <c r="C14" i="17"/>
  <c r="C17" i="17" s="1"/>
  <c r="P13" i="17"/>
  <c r="J13" i="17"/>
  <c r="K13" i="17" s="1"/>
  <c r="C13" i="17"/>
  <c r="P12" i="17"/>
  <c r="K12" i="17"/>
  <c r="J12" i="17"/>
  <c r="C12" i="17"/>
  <c r="P11" i="17"/>
  <c r="C11" i="17"/>
  <c r="P10" i="17"/>
  <c r="J10" i="17"/>
  <c r="K10" i="17" s="1"/>
  <c r="C10" i="17"/>
  <c r="P9" i="17"/>
  <c r="P8" i="17"/>
  <c r="J8" i="17"/>
  <c r="K8" i="17" s="1"/>
  <c r="P7" i="17"/>
  <c r="J7" i="17"/>
  <c r="K7" i="17" s="1"/>
  <c r="C7" i="17"/>
  <c r="P6" i="17"/>
  <c r="J6" i="17"/>
  <c r="K6" i="17" s="1"/>
  <c r="C6" i="17"/>
  <c r="P5" i="17"/>
  <c r="J5" i="17"/>
  <c r="K5" i="17" s="1"/>
  <c r="C5" i="17"/>
  <c r="P4" i="17"/>
  <c r="K4" i="17"/>
  <c r="C4" i="17"/>
  <c r="P3" i="17"/>
  <c r="P2" i="17"/>
  <c r="P1" i="17"/>
  <c r="P114" i="16"/>
  <c r="P113" i="16"/>
  <c r="P112" i="16"/>
  <c r="P111" i="16"/>
  <c r="P110" i="16"/>
  <c r="P109" i="16"/>
  <c r="P108" i="16"/>
  <c r="P107" i="16"/>
  <c r="P106" i="16"/>
  <c r="P105" i="16"/>
  <c r="P104" i="16"/>
  <c r="P103" i="16"/>
  <c r="P102" i="16"/>
  <c r="P101" i="16"/>
  <c r="P100" i="16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5" i="16"/>
  <c r="P84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69" i="16"/>
  <c r="P68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54" i="16"/>
  <c r="P53" i="16"/>
  <c r="P52" i="16"/>
  <c r="P51" i="16"/>
  <c r="D51" i="16"/>
  <c r="L17" i="16" s="1"/>
  <c r="P50" i="16"/>
  <c r="D50" i="16"/>
  <c r="M17" i="16" s="1"/>
  <c r="N17" i="16" s="1"/>
  <c r="P49" i="16"/>
  <c r="D49" i="16"/>
  <c r="L16" i="16" s="1"/>
  <c r="P48" i="16"/>
  <c r="D48" i="16"/>
  <c r="M16" i="16" s="1"/>
  <c r="N16" i="16" s="1"/>
  <c r="P47" i="16"/>
  <c r="D47" i="16"/>
  <c r="L15" i="16" s="1"/>
  <c r="P46" i="16"/>
  <c r="D46" i="16"/>
  <c r="M15" i="16" s="1"/>
  <c r="N15" i="16" s="1"/>
  <c r="P45" i="16"/>
  <c r="D45" i="16"/>
  <c r="L14" i="16" s="1"/>
  <c r="P44" i="16"/>
  <c r="D44" i="16"/>
  <c r="M14" i="16" s="1"/>
  <c r="N14" i="16" s="1"/>
  <c r="P43" i="16"/>
  <c r="D43" i="16"/>
  <c r="L13" i="16" s="1"/>
  <c r="P42" i="16"/>
  <c r="D42" i="16"/>
  <c r="M13" i="16" s="1"/>
  <c r="N13" i="16" s="1"/>
  <c r="P41" i="16"/>
  <c r="D41" i="16"/>
  <c r="L12" i="16" s="1"/>
  <c r="P40" i="16"/>
  <c r="D40" i="16"/>
  <c r="M12" i="16" s="1"/>
  <c r="N12" i="16" s="1"/>
  <c r="P39" i="16"/>
  <c r="D39" i="16"/>
  <c r="L11" i="16" s="1"/>
  <c r="P38" i="16"/>
  <c r="D38" i="16"/>
  <c r="M11" i="16" s="1"/>
  <c r="N11" i="16" s="1"/>
  <c r="P37" i="16"/>
  <c r="D37" i="16"/>
  <c r="L10" i="16" s="1"/>
  <c r="P36" i="16"/>
  <c r="D36" i="16"/>
  <c r="M10" i="16" s="1"/>
  <c r="N10" i="16" s="1"/>
  <c r="P35" i="16"/>
  <c r="D35" i="16"/>
  <c r="L9" i="16" s="1"/>
  <c r="P34" i="16"/>
  <c r="D34" i="16"/>
  <c r="M9" i="16" s="1"/>
  <c r="N9" i="16" s="1"/>
  <c r="P33" i="16"/>
  <c r="D33" i="16"/>
  <c r="L8" i="16" s="1"/>
  <c r="P32" i="16"/>
  <c r="D32" i="16"/>
  <c r="M8" i="16" s="1"/>
  <c r="N8" i="16" s="1"/>
  <c r="P31" i="16"/>
  <c r="D31" i="16"/>
  <c r="L7" i="16" s="1"/>
  <c r="P30" i="16"/>
  <c r="D30" i="16"/>
  <c r="M7" i="16" s="1"/>
  <c r="N7" i="16" s="1"/>
  <c r="P29" i="16"/>
  <c r="D29" i="16"/>
  <c r="L6" i="16" s="1"/>
  <c r="P28" i="16"/>
  <c r="D28" i="16"/>
  <c r="M6" i="16" s="1"/>
  <c r="N6" i="16" s="1"/>
  <c r="P27" i="16"/>
  <c r="D27" i="16"/>
  <c r="L5" i="16" s="1"/>
  <c r="P26" i="16"/>
  <c r="D26" i="16"/>
  <c r="M5" i="16" s="1"/>
  <c r="N5" i="16" s="1"/>
  <c r="P25" i="16"/>
  <c r="D25" i="16"/>
  <c r="L4" i="16" s="1"/>
  <c r="P24" i="16"/>
  <c r="D24" i="16"/>
  <c r="M4" i="16" s="1"/>
  <c r="N4" i="16" s="1"/>
  <c r="P23" i="16"/>
  <c r="D23" i="16"/>
  <c r="L3" i="16" s="1"/>
  <c r="P22" i="16"/>
  <c r="D22" i="16"/>
  <c r="M3" i="16" s="1"/>
  <c r="P21" i="16"/>
  <c r="P20" i="16"/>
  <c r="P19" i="16"/>
  <c r="P18" i="16"/>
  <c r="P17" i="16"/>
  <c r="J17" i="16"/>
  <c r="K17" i="16" s="1"/>
  <c r="P16" i="16"/>
  <c r="J16" i="16"/>
  <c r="K16" i="16" s="1"/>
  <c r="P15" i="16"/>
  <c r="J15" i="16"/>
  <c r="K15" i="16" s="1"/>
  <c r="P14" i="16"/>
  <c r="J14" i="16"/>
  <c r="K14" i="16" s="1"/>
  <c r="C14" i="16"/>
  <c r="C17" i="16" s="1"/>
  <c r="P13" i="16"/>
  <c r="J13" i="16"/>
  <c r="K13" i="16" s="1"/>
  <c r="C13" i="16"/>
  <c r="P12" i="16"/>
  <c r="J12" i="16"/>
  <c r="K12" i="16" s="1"/>
  <c r="C12" i="16"/>
  <c r="P11" i="16"/>
  <c r="J11" i="16"/>
  <c r="K11" i="16" s="1"/>
  <c r="C11" i="16"/>
  <c r="P10" i="16"/>
  <c r="J10" i="16"/>
  <c r="K10" i="16" s="1"/>
  <c r="C10" i="16"/>
  <c r="P9" i="16"/>
  <c r="J9" i="16"/>
  <c r="K9" i="16" s="1"/>
  <c r="P8" i="16"/>
  <c r="J8" i="16"/>
  <c r="K8" i="16" s="1"/>
  <c r="P7" i="16"/>
  <c r="J7" i="16"/>
  <c r="K7" i="16" s="1"/>
  <c r="C7" i="16"/>
  <c r="P6" i="16"/>
  <c r="J6" i="16"/>
  <c r="K6" i="16" s="1"/>
  <c r="C6" i="16"/>
  <c r="P5" i="16"/>
  <c r="J5" i="16"/>
  <c r="K5" i="16" s="1"/>
  <c r="C5" i="16"/>
  <c r="P4" i="16"/>
  <c r="C4" i="16"/>
  <c r="P3" i="16"/>
  <c r="P2" i="16"/>
  <c r="P1" i="16"/>
  <c r="P114" i="15"/>
  <c r="P113" i="15"/>
  <c r="P112" i="15"/>
  <c r="P111" i="15"/>
  <c r="P110" i="15"/>
  <c r="P109" i="15"/>
  <c r="P108" i="15"/>
  <c r="P107" i="15"/>
  <c r="P106" i="15"/>
  <c r="P105" i="15"/>
  <c r="P104" i="15"/>
  <c r="P103" i="15"/>
  <c r="P102" i="15"/>
  <c r="P101" i="15"/>
  <c r="P100" i="15"/>
  <c r="P99" i="15"/>
  <c r="P98" i="15"/>
  <c r="P97" i="15"/>
  <c r="P96" i="15"/>
  <c r="P95" i="15"/>
  <c r="P94" i="15"/>
  <c r="P93" i="15"/>
  <c r="P92" i="15"/>
  <c r="P91" i="15"/>
  <c r="P90" i="15"/>
  <c r="P89" i="15"/>
  <c r="P88" i="15"/>
  <c r="P87" i="15"/>
  <c r="P86" i="15"/>
  <c r="P85" i="15"/>
  <c r="P84" i="15"/>
  <c r="P83" i="15"/>
  <c r="P82" i="15"/>
  <c r="P81" i="15"/>
  <c r="P80" i="15"/>
  <c r="P79" i="15"/>
  <c r="P78" i="15"/>
  <c r="P77" i="15"/>
  <c r="P76" i="15"/>
  <c r="P75" i="15"/>
  <c r="P74" i="15"/>
  <c r="P73" i="15"/>
  <c r="P72" i="15"/>
  <c r="P71" i="15"/>
  <c r="P70" i="15"/>
  <c r="P69" i="15"/>
  <c r="P68" i="15"/>
  <c r="P67" i="15"/>
  <c r="P66" i="15"/>
  <c r="P65" i="15"/>
  <c r="P64" i="15"/>
  <c r="P63" i="15"/>
  <c r="P62" i="15"/>
  <c r="P61" i="15"/>
  <c r="P60" i="15"/>
  <c r="P59" i="15"/>
  <c r="P58" i="15"/>
  <c r="P57" i="15"/>
  <c r="P56" i="15"/>
  <c r="P55" i="15"/>
  <c r="P54" i="15"/>
  <c r="P53" i="15"/>
  <c r="P52" i="15"/>
  <c r="P51" i="15"/>
  <c r="D51" i="15"/>
  <c r="L17" i="15" s="1"/>
  <c r="P50" i="15"/>
  <c r="D50" i="15"/>
  <c r="M17" i="15" s="1"/>
  <c r="N17" i="15" s="1"/>
  <c r="P49" i="15"/>
  <c r="D49" i="15"/>
  <c r="L16" i="15" s="1"/>
  <c r="P48" i="15"/>
  <c r="D48" i="15"/>
  <c r="M16" i="15" s="1"/>
  <c r="N16" i="15" s="1"/>
  <c r="P47" i="15"/>
  <c r="D47" i="15"/>
  <c r="L15" i="15" s="1"/>
  <c r="P46" i="15"/>
  <c r="D46" i="15"/>
  <c r="M15" i="15" s="1"/>
  <c r="N15" i="15" s="1"/>
  <c r="P45" i="15"/>
  <c r="D45" i="15"/>
  <c r="L14" i="15" s="1"/>
  <c r="P44" i="15"/>
  <c r="D44" i="15"/>
  <c r="M14" i="15" s="1"/>
  <c r="N14" i="15" s="1"/>
  <c r="P43" i="15"/>
  <c r="D43" i="15"/>
  <c r="L13" i="15" s="1"/>
  <c r="P42" i="15"/>
  <c r="D42" i="15"/>
  <c r="M13" i="15" s="1"/>
  <c r="N13" i="15" s="1"/>
  <c r="P41" i="15"/>
  <c r="D41" i="15"/>
  <c r="L12" i="15" s="1"/>
  <c r="P40" i="15"/>
  <c r="D40" i="15"/>
  <c r="M12" i="15" s="1"/>
  <c r="N12" i="15" s="1"/>
  <c r="P39" i="15"/>
  <c r="D39" i="15"/>
  <c r="L11" i="15" s="1"/>
  <c r="P38" i="15"/>
  <c r="D38" i="15"/>
  <c r="M11" i="15" s="1"/>
  <c r="N11" i="15" s="1"/>
  <c r="P37" i="15"/>
  <c r="D37" i="15"/>
  <c r="L10" i="15" s="1"/>
  <c r="P36" i="15"/>
  <c r="D36" i="15"/>
  <c r="M10" i="15" s="1"/>
  <c r="N10" i="15" s="1"/>
  <c r="P35" i="15"/>
  <c r="D35" i="15"/>
  <c r="L9" i="15" s="1"/>
  <c r="P34" i="15"/>
  <c r="D34" i="15"/>
  <c r="M9" i="15" s="1"/>
  <c r="N9" i="15" s="1"/>
  <c r="P33" i="15"/>
  <c r="D33" i="15"/>
  <c r="L8" i="15" s="1"/>
  <c r="P32" i="15"/>
  <c r="D32" i="15"/>
  <c r="M8" i="15" s="1"/>
  <c r="N8" i="15" s="1"/>
  <c r="P31" i="15"/>
  <c r="D31" i="15"/>
  <c r="L7" i="15" s="1"/>
  <c r="P30" i="15"/>
  <c r="D30" i="15"/>
  <c r="M7" i="15" s="1"/>
  <c r="N7" i="15" s="1"/>
  <c r="P29" i="15"/>
  <c r="D29" i="15"/>
  <c r="L6" i="15" s="1"/>
  <c r="P28" i="15"/>
  <c r="D28" i="15"/>
  <c r="M6" i="15" s="1"/>
  <c r="N6" i="15" s="1"/>
  <c r="P27" i="15"/>
  <c r="D27" i="15"/>
  <c r="L5" i="15" s="1"/>
  <c r="P26" i="15"/>
  <c r="D26" i="15"/>
  <c r="M5" i="15" s="1"/>
  <c r="N5" i="15" s="1"/>
  <c r="P25" i="15"/>
  <c r="D25" i="15"/>
  <c r="L4" i="15" s="1"/>
  <c r="P24" i="15"/>
  <c r="D24" i="15"/>
  <c r="M4" i="15" s="1"/>
  <c r="N4" i="15" s="1"/>
  <c r="P23" i="15"/>
  <c r="D23" i="15"/>
  <c r="L3" i="15" s="1"/>
  <c r="P22" i="15"/>
  <c r="D22" i="15"/>
  <c r="M3" i="15" s="1"/>
  <c r="P21" i="15"/>
  <c r="P20" i="15"/>
  <c r="P19" i="15"/>
  <c r="P18" i="15"/>
  <c r="P17" i="15"/>
  <c r="J17" i="15"/>
  <c r="K17" i="15" s="1"/>
  <c r="P16" i="15"/>
  <c r="P15" i="15"/>
  <c r="J15" i="15"/>
  <c r="K15" i="15" s="1"/>
  <c r="P14" i="15"/>
  <c r="C14" i="15"/>
  <c r="C17" i="15" s="1"/>
  <c r="P13" i="15"/>
  <c r="J13" i="15"/>
  <c r="K13" i="15" s="1"/>
  <c r="C13" i="15"/>
  <c r="P12" i="15"/>
  <c r="C12" i="15"/>
  <c r="P11" i="15"/>
  <c r="C11" i="15"/>
  <c r="P10" i="15"/>
  <c r="J10" i="15"/>
  <c r="K10" i="15" s="1"/>
  <c r="C10" i="15"/>
  <c r="P9" i="15"/>
  <c r="J9" i="15"/>
  <c r="K9" i="15" s="1"/>
  <c r="P8" i="15"/>
  <c r="P7" i="15"/>
  <c r="J7" i="15"/>
  <c r="K7" i="15" s="1"/>
  <c r="C7" i="15"/>
  <c r="P6" i="15"/>
  <c r="C6" i="15"/>
  <c r="P5" i="15"/>
  <c r="J5" i="15"/>
  <c r="K5" i="15" s="1"/>
  <c r="C5" i="15"/>
  <c r="P4" i="15"/>
  <c r="C4" i="15"/>
  <c r="P3" i="15"/>
  <c r="P2" i="15"/>
  <c r="P1" i="15"/>
  <c r="P114" i="14"/>
  <c r="P113" i="14"/>
  <c r="P112" i="14"/>
  <c r="P111" i="14"/>
  <c r="P110" i="14"/>
  <c r="P109" i="14"/>
  <c r="P108" i="14"/>
  <c r="P107" i="14"/>
  <c r="P106" i="14"/>
  <c r="P105" i="14"/>
  <c r="P104" i="14"/>
  <c r="P103" i="14"/>
  <c r="P102" i="14"/>
  <c r="P101" i="14"/>
  <c r="P100" i="14"/>
  <c r="P99" i="14"/>
  <c r="P98" i="14"/>
  <c r="P97" i="14"/>
  <c r="P96" i="14"/>
  <c r="P95" i="14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D51" i="14"/>
  <c r="L17" i="14" s="1"/>
  <c r="P50" i="14"/>
  <c r="D50" i="14"/>
  <c r="M17" i="14" s="1"/>
  <c r="N17" i="14" s="1"/>
  <c r="P49" i="14"/>
  <c r="D49" i="14"/>
  <c r="L16" i="14" s="1"/>
  <c r="P48" i="14"/>
  <c r="D48" i="14"/>
  <c r="M16" i="14" s="1"/>
  <c r="N16" i="14" s="1"/>
  <c r="P47" i="14"/>
  <c r="D47" i="14"/>
  <c r="L15" i="14" s="1"/>
  <c r="P46" i="14"/>
  <c r="D46" i="14"/>
  <c r="M15" i="14" s="1"/>
  <c r="N15" i="14" s="1"/>
  <c r="P45" i="14"/>
  <c r="D45" i="14"/>
  <c r="L14" i="14" s="1"/>
  <c r="P44" i="14"/>
  <c r="D44" i="14"/>
  <c r="M14" i="14" s="1"/>
  <c r="N14" i="14" s="1"/>
  <c r="P43" i="14"/>
  <c r="D43" i="14"/>
  <c r="L13" i="14" s="1"/>
  <c r="P42" i="14"/>
  <c r="D42" i="14"/>
  <c r="M13" i="14" s="1"/>
  <c r="N13" i="14" s="1"/>
  <c r="P41" i="14"/>
  <c r="D41" i="14"/>
  <c r="L12" i="14" s="1"/>
  <c r="P40" i="14"/>
  <c r="D40" i="14"/>
  <c r="M12" i="14" s="1"/>
  <c r="N12" i="14" s="1"/>
  <c r="P39" i="14"/>
  <c r="D39" i="14"/>
  <c r="L11" i="14" s="1"/>
  <c r="P38" i="14"/>
  <c r="D38" i="14"/>
  <c r="M11" i="14" s="1"/>
  <c r="N11" i="14" s="1"/>
  <c r="P37" i="14"/>
  <c r="D37" i="14"/>
  <c r="L10" i="14" s="1"/>
  <c r="P36" i="14"/>
  <c r="D36" i="14"/>
  <c r="M10" i="14" s="1"/>
  <c r="N10" i="14" s="1"/>
  <c r="P35" i="14"/>
  <c r="D35" i="14"/>
  <c r="L9" i="14" s="1"/>
  <c r="P34" i="14"/>
  <c r="D34" i="14"/>
  <c r="M9" i="14" s="1"/>
  <c r="N9" i="14" s="1"/>
  <c r="P33" i="14"/>
  <c r="D33" i="14"/>
  <c r="L8" i="14" s="1"/>
  <c r="P32" i="14"/>
  <c r="D32" i="14"/>
  <c r="M8" i="14" s="1"/>
  <c r="N8" i="14" s="1"/>
  <c r="P31" i="14"/>
  <c r="D31" i="14"/>
  <c r="L7" i="14" s="1"/>
  <c r="P30" i="14"/>
  <c r="D30" i="14"/>
  <c r="M7" i="14" s="1"/>
  <c r="N7" i="14" s="1"/>
  <c r="P29" i="14"/>
  <c r="D29" i="14"/>
  <c r="L6" i="14" s="1"/>
  <c r="P28" i="14"/>
  <c r="D28" i="14"/>
  <c r="M6" i="14" s="1"/>
  <c r="N6" i="14" s="1"/>
  <c r="P27" i="14"/>
  <c r="D27" i="14"/>
  <c r="L5" i="14" s="1"/>
  <c r="P26" i="14"/>
  <c r="D26" i="14"/>
  <c r="M5" i="14" s="1"/>
  <c r="N5" i="14" s="1"/>
  <c r="P25" i="14"/>
  <c r="D25" i="14"/>
  <c r="L4" i="14" s="1"/>
  <c r="P24" i="14"/>
  <c r="D24" i="14"/>
  <c r="M4" i="14" s="1"/>
  <c r="N4" i="14" s="1"/>
  <c r="P23" i="14"/>
  <c r="D23" i="14"/>
  <c r="L3" i="14" s="1"/>
  <c r="P22" i="14"/>
  <c r="D22" i="14"/>
  <c r="M3" i="14" s="1"/>
  <c r="P21" i="14"/>
  <c r="P20" i="14"/>
  <c r="P19" i="14"/>
  <c r="P18" i="14"/>
  <c r="P17" i="14"/>
  <c r="K17" i="14"/>
  <c r="J17" i="14"/>
  <c r="P16" i="14"/>
  <c r="J16" i="14"/>
  <c r="K16" i="14" s="1"/>
  <c r="P15" i="14"/>
  <c r="J15" i="14"/>
  <c r="K15" i="14" s="1"/>
  <c r="P14" i="14"/>
  <c r="J14" i="14"/>
  <c r="K14" i="14" s="1"/>
  <c r="C14" i="14"/>
  <c r="C17" i="14" s="1"/>
  <c r="P13" i="14"/>
  <c r="J13" i="14"/>
  <c r="K13" i="14" s="1"/>
  <c r="C13" i="14"/>
  <c r="P12" i="14"/>
  <c r="J12" i="14"/>
  <c r="K12" i="14" s="1"/>
  <c r="C12" i="14"/>
  <c r="P11" i="14"/>
  <c r="J11" i="14"/>
  <c r="K11" i="14" s="1"/>
  <c r="C11" i="14"/>
  <c r="P10" i="14"/>
  <c r="J10" i="14"/>
  <c r="K10" i="14" s="1"/>
  <c r="C10" i="14"/>
  <c r="P9" i="14"/>
  <c r="J9" i="14"/>
  <c r="K9" i="14" s="1"/>
  <c r="P8" i="14"/>
  <c r="J8" i="14"/>
  <c r="K8" i="14" s="1"/>
  <c r="P7" i="14"/>
  <c r="J7" i="14"/>
  <c r="K7" i="14" s="1"/>
  <c r="C7" i="14"/>
  <c r="P6" i="14"/>
  <c r="J6" i="14"/>
  <c r="K6" i="14" s="1"/>
  <c r="C6" i="14"/>
  <c r="P5" i="14"/>
  <c r="J5" i="14"/>
  <c r="K5" i="14" s="1"/>
  <c r="C5" i="14"/>
  <c r="P4" i="14"/>
  <c r="C4" i="14"/>
  <c r="P3" i="14"/>
  <c r="P2" i="14"/>
  <c r="P1" i="14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D51" i="13"/>
  <c r="L17" i="13" s="1"/>
  <c r="P50" i="13"/>
  <c r="D50" i="13"/>
  <c r="M17" i="13" s="1"/>
  <c r="N17" i="13" s="1"/>
  <c r="P49" i="13"/>
  <c r="D49" i="13"/>
  <c r="L16" i="13" s="1"/>
  <c r="P48" i="13"/>
  <c r="D48" i="13"/>
  <c r="M16" i="13" s="1"/>
  <c r="N16" i="13" s="1"/>
  <c r="P47" i="13"/>
  <c r="D47" i="13"/>
  <c r="L15" i="13" s="1"/>
  <c r="P46" i="13"/>
  <c r="D46" i="13"/>
  <c r="M15" i="13" s="1"/>
  <c r="N15" i="13" s="1"/>
  <c r="P45" i="13"/>
  <c r="D45" i="13"/>
  <c r="L14" i="13" s="1"/>
  <c r="P44" i="13"/>
  <c r="D44" i="13"/>
  <c r="M14" i="13" s="1"/>
  <c r="N14" i="13" s="1"/>
  <c r="P43" i="13"/>
  <c r="D43" i="13"/>
  <c r="L13" i="13" s="1"/>
  <c r="P42" i="13"/>
  <c r="D42" i="13"/>
  <c r="M13" i="13" s="1"/>
  <c r="N13" i="13" s="1"/>
  <c r="P41" i="13"/>
  <c r="D41" i="13"/>
  <c r="L12" i="13" s="1"/>
  <c r="P40" i="13"/>
  <c r="D40" i="13"/>
  <c r="M12" i="13" s="1"/>
  <c r="N12" i="13" s="1"/>
  <c r="P39" i="13"/>
  <c r="D39" i="13"/>
  <c r="L11" i="13" s="1"/>
  <c r="P38" i="13"/>
  <c r="D38" i="13"/>
  <c r="M11" i="13" s="1"/>
  <c r="N11" i="13" s="1"/>
  <c r="P37" i="13"/>
  <c r="D37" i="13"/>
  <c r="L10" i="13" s="1"/>
  <c r="P36" i="13"/>
  <c r="D36" i="13"/>
  <c r="M10" i="13" s="1"/>
  <c r="N10" i="13" s="1"/>
  <c r="P35" i="13"/>
  <c r="D35" i="13"/>
  <c r="L9" i="13" s="1"/>
  <c r="P34" i="13"/>
  <c r="D34" i="13"/>
  <c r="M9" i="13" s="1"/>
  <c r="N9" i="13" s="1"/>
  <c r="P33" i="13"/>
  <c r="D33" i="13"/>
  <c r="L8" i="13" s="1"/>
  <c r="P32" i="13"/>
  <c r="D32" i="13"/>
  <c r="M8" i="13" s="1"/>
  <c r="N8" i="13" s="1"/>
  <c r="P31" i="13"/>
  <c r="D31" i="13"/>
  <c r="L7" i="13" s="1"/>
  <c r="P30" i="13"/>
  <c r="D30" i="13"/>
  <c r="M7" i="13" s="1"/>
  <c r="N7" i="13" s="1"/>
  <c r="P29" i="13"/>
  <c r="D29" i="13"/>
  <c r="L6" i="13" s="1"/>
  <c r="P28" i="13"/>
  <c r="D28" i="13"/>
  <c r="M6" i="13" s="1"/>
  <c r="N6" i="13" s="1"/>
  <c r="P27" i="13"/>
  <c r="D27" i="13"/>
  <c r="L5" i="13" s="1"/>
  <c r="P26" i="13"/>
  <c r="D26" i="13"/>
  <c r="M5" i="13" s="1"/>
  <c r="N5" i="13" s="1"/>
  <c r="P25" i="13"/>
  <c r="D25" i="13"/>
  <c r="L4" i="13" s="1"/>
  <c r="P24" i="13"/>
  <c r="D24" i="13"/>
  <c r="M4" i="13" s="1"/>
  <c r="N4" i="13" s="1"/>
  <c r="P23" i="13"/>
  <c r="D23" i="13"/>
  <c r="L3" i="13" s="1"/>
  <c r="P22" i="13"/>
  <c r="D22" i="13"/>
  <c r="M3" i="13" s="1"/>
  <c r="P21" i="13"/>
  <c r="P20" i="13"/>
  <c r="P19" i="13"/>
  <c r="P18" i="13"/>
  <c r="P17" i="13"/>
  <c r="J17" i="13"/>
  <c r="K17" i="13" s="1"/>
  <c r="P16" i="13"/>
  <c r="J16" i="13"/>
  <c r="K16" i="13" s="1"/>
  <c r="P15" i="13"/>
  <c r="J15" i="13"/>
  <c r="K15" i="13" s="1"/>
  <c r="P14" i="13"/>
  <c r="C14" i="13"/>
  <c r="C17" i="13" s="1"/>
  <c r="P13" i="13"/>
  <c r="J13" i="13"/>
  <c r="K13" i="13" s="1"/>
  <c r="C13" i="13"/>
  <c r="P12" i="13"/>
  <c r="C12" i="13"/>
  <c r="P11" i="13"/>
  <c r="C11" i="13"/>
  <c r="P10" i="13"/>
  <c r="J10" i="13"/>
  <c r="K10" i="13" s="1"/>
  <c r="C10" i="13"/>
  <c r="P9" i="13"/>
  <c r="J9" i="13"/>
  <c r="K9" i="13" s="1"/>
  <c r="P8" i="13"/>
  <c r="J8" i="13"/>
  <c r="K8" i="13" s="1"/>
  <c r="P7" i="13"/>
  <c r="J7" i="13"/>
  <c r="K7" i="13" s="1"/>
  <c r="C7" i="13"/>
  <c r="P6" i="13"/>
  <c r="C6" i="13"/>
  <c r="P5" i="13"/>
  <c r="J5" i="13"/>
  <c r="K5" i="13" s="1"/>
  <c r="C5" i="13"/>
  <c r="P4" i="13"/>
  <c r="C4" i="13"/>
  <c r="P3" i="13"/>
  <c r="P2" i="13"/>
  <c r="P1" i="13"/>
  <c r="J28" i="21" l="1"/>
  <c r="J32" i="21"/>
  <c r="J6" i="21"/>
  <c r="K6" i="21" s="1"/>
  <c r="J22" i="21"/>
  <c r="J9" i="21"/>
  <c r="K9" i="21" s="1"/>
  <c r="J11" i="21"/>
  <c r="K11" i="21" s="1"/>
  <c r="J11" i="20"/>
  <c r="K11" i="20" s="1"/>
  <c r="J5" i="20"/>
  <c r="K5" i="20" s="1"/>
  <c r="J11" i="19"/>
  <c r="K11" i="19" s="1"/>
  <c r="K63" i="19"/>
  <c r="J17" i="19"/>
  <c r="K17" i="19" s="1"/>
  <c r="K69" i="19"/>
  <c r="J15" i="19"/>
  <c r="K15" i="19" s="1"/>
  <c r="K67" i="19"/>
  <c r="J13" i="19"/>
  <c r="K13" i="19" s="1"/>
  <c r="K65" i="19"/>
  <c r="J10" i="19"/>
  <c r="K10" i="19" s="1"/>
  <c r="K62" i="19"/>
  <c r="J26" i="19"/>
  <c r="K59" i="19"/>
  <c r="J4" i="19"/>
  <c r="K4" i="19" s="1"/>
  <c r="K57" i="19"/>
  <c r="J32" i="18"/>
  <c r="K65" i="18"/>
  <c r="J30" i="18"/>
  <c r="K62" i="18"/>
  <c r="J7" i="18"/>
  <c r="K7" i="18" s="1"/>
  <c r="K59" i="18"/>
  <c r="J24" i="18"/>
  <c r="K57" i="18"/>
  <c r="J31" i="18"/>
  <c r="K63" i="18"/>
  <c r="J6" i="18"/>
  <c r="K6" i="18" s="1"/>
  <c r="K58" i="18"/>
  <c r="J22" i="18"/>
  <c r="K56" i="18"/>
  <c r="J29" i="18"/>
  <c r="K61" i="18"/>
  <c r="J27" i="17"/>
  <c r="K59" i="17"/>
  <c r="J11" i="17"/>
  <c r="K11" i="17" s="1"/>
  <c r="K63" i="17"/>
  <c r="J33" i="17"/>
  <c r="K66" i="17"/>
  <c r="J28" i="17"/>
  <c r="K60" i="17"/>
  <c r="J9" i="17"/>
  <c r="K9" i="17" s="1"/>
  <c r="K61" i="17"/>
  <c r="J25" i="16"/>
  <c r="K57" i="16"/>
  <c r="J32" i="16"/>
  <c r="K64" i="16"/>
  <c r="J26" i="16"/>
  <c r="K58" i="16"/>
  <c r="J30" i="15"/>
  <c r="K62" i="15"/>
  <c r="J22" i="15"/>
  <c r="J34" i="15"/>
  <c r="K68" i="15"/>
  <c r="J11" i="15"/>
  <c r="K11" i="15" s="1"/>
  <c r="K64" i="15"/>
  <c r="J16" i="15"/>
  <c r="K16" i="15" s="1"/>
  <c r="K69" i="15"/>
  <c r="J14" i="15"/>
  <c r="K14" i="15" s="1"/>
  <c r="K67" i="15"/>
  <c r="J12" i="15"/>
  <c r="K12" i="15" s="1"/>
  <c r="K65" i="15"/>
  <c r="J8" i="15"/>
  <c r="K8" i="15" s="1"/>
  <c r="K61" i="15"/>
  <c r="J6" i="15"/>
  <c r="K6" i="15" s="1"/>
  <c r="K59" i="15"/>
  <c r="J4" i="15"/>
  <c r="K4" i="15" s="1"/>
  <c r="K57" i="15"/>
  <c r="J29" i="14"/>
  <c r="K61" i="14"/>
  <c r="J4" i="14"/>
  <c r="K4" i="14" s="1"/>
  <c r="K57" i="14"/>
  <c r="J28" i="14"/>
  <c r="K60" i="14"/>
  <c r="J14" i="13"/>
  <c r="K14" i="13" s="1"/>
  <c r="K67" i="13"/>
  <c r="J12" i="13"/>
  <c r="K12" i="13" s="1"/>
  <c r="K65" i="13"/>
  <c r="K59" i="13"/>
  <c r="J43" i="13"/>
  <c r="K57" i="13"/>
  <c r="J33" i="13"/>
  <c r="J49" i="13"/>
  <c r="J29" i="13"/>
  <c r="J45" i="13"/>
  <c r="J24" i="13"/>
  <c r="J39" i="13"/>
  <c r="J3" i="13"/>
  <c r="J28" i="13"/>
  <c r="J44" i="13"/>
  <c r="J32" i="13"/>
  <c r="K64" i="13"/>
  <c r="J3" i="19"/>
  <c r="J23" i="19"/>
  <c r="J3" i="15"/>
  <c r="J23" i="15"/>
  <c r="J4" i="21"/>
  <c r="K4" i="21" s="1"/>
  <c r="J24" i="21"/>
  <c r="J6" i="13"/>
  <c r="K6" i="13" s="1"/>
  <c r="J27" i="13"/>
  <c r="J4" i="13"/>
  <c r="K4" i="13" s="1"/>
  <c r="J25" i="13"/>
  <c r="J7" i="19"/>
  <c r="K7" i="19" s="1"/>
  <c r="J3" i="18"/>
  <c r="J23" i="18"/>
  <c r="J3" i="14"/>
  <c r="J23" i="14"/>
  <c r="J3" i="21"/>
  <c r="J23" i="21"/>
  <c r="J11" i="13"/>
  <c r="K11" i="13" s="1"/>
  <c r="J3" i="17"/>
  <c r="J23" i="17"/>
  <c r="J4" i="16"/>
  <c r="K4" i="16" s="1"/>
  <c r="J24" i="16"/>
  <c r="J3" i="20"/>
  <c r="J23" i="20"/>
  <c r="J3" i="16"/>
  <c r="J23" i="16"/>
  <c r="J108" i="23"/>
  <c r="O90" i="23"/>
  <c r="P90" i="23" s="1"/>
  <c r="C18" i="16"/>
  <c r="C19" i="16" s="1"/>
  <c r="C18" i="18"/>
  <c r="C19" i="18" s="1"/>
  <c r="C18" i="21"/>
  <c r="C19" i="21" s="1"/>
  <c r="C18" i="13"/>
  <c r="C19" i="13" s="1"/>
  <c r="C18" i="20"/>
  <c r="C19" i="20" s="1"/>
  <c r="C18" i="19"/>
  <c r="C19" i="19" s="1"/>
  <c r="C18" i="17"/>
  <c r="C19" i="17" s="1"/>
  <c r="C18" i="15"/>
  <c r="C19" i="15" s="1"/>
  <c r="C18" i="14"/>
  <c r="C19" i="14" s="1"/>
  <c r="J14" i="11"/>
  <c r="P2" i="11"/>
  <c r="Q2" i="11"/>
  <c r="P3" i="11"/>
  <c r="Q3" i="11"/>
  <c r="P4" i="11"/>
  <c r="Q4" i="11"/>
  <c r="P5" i="11"/>
  <c r="Q5" i="11"/>
  <c r="P6" i="11"/>
  <c r="Q6" i="11"/>
  <c r="P7" i="11"/>
  <c r="Q7" i="11"/>
  <c r="P8" i="11"/>
  <c r="Q8" i="11"/>
  <c r="P9" i="11"/>
  <c r="Q9" i="11"/>
  <c r="P10" i="11"/>
  <c r="Q10" i="11"/>
  <c r="P11" i="11"/>
  <c r="Q11" i="11"/>
  <c r="P12" i="11"/>
  <c r="Q12" i="11"/>
  <c r="P13" i="11"/>
  <c r="Q13" i="11"/>
  <c r="P14" i="11"/>
  <c r="Q14" i="11"/>
  <c r="P15" i="11"/>
  <c r="Q15" i="11"/>
  <c r="P16" i="11"/>
  <c r="Q16" i="11"/>
  <c r="P17" i="11"/>
  <c r="Q17" i="11"/>
  <c r="P18" i="11"/>
  <c r="Q18" i="11"/>
  <c r="P19" i="11"/>
  <c r="Q19" i="11"/>
  <c r="P20" i="11"/>
  <c r="Q20" i="11"/>
  <c r="P21" i="11"/>
  <c r="Q21" i="11"/>
  <c r="P22" i="11"/>
  <c r="Q22" i="11"/>
  <c r="P23" i="11"/>
  <c r="Q23" i="11"/>
  <c r="P24" i="11"/>
  <c r="Q24" i="11"/>
  <c r="P25" i="11"/>
  <c r="Q25" i="11"/>
  <c r="P26" i="11"/>
  <c r="Q26" i="11"/>
  <c r="P27" i="11"/>
  <c r="Q27" i="11"/>
  <c r="P28" i="11"/>
  <c r="Q28" i="11"/>
  <c r="P29" i="11"/>
  <c r="Q29" i="11"/>
  <c r="P30" i="11"/>
  <c r="Q30" i="11"/>
  <c r="P31" i="11"/>
  <c r="Q31" i="11"/>
  <c r="P32" i="11"/>
  <c r="Q32" i="11"/>
  <c r="P33" i="11"/>
  <c r="Q33" i="11"/>
  <c r="P34" i="11"/>
  <c r="Q34" i="11"/>
  <c r="P35" i="11"/>
  <c r="Q35" i="11"/>
  <c r="P36" i="11"/>
  <c r="Q36" i="11"/>
  <c r="P37" i="11"/>
  <c r="Q37" i="11"/>
  <c r="P38" i="11"/>
  <c r="Q38" i="11"/>
  <c r="P39" i="11"/>
  <c r="Q39" i="11"/>
  <c r="P40" i="11"/>
  <c r="Q40" i="11"/>
  <c r="P41" i="11"/>
  <c r="Q41" i="11"/>
  <c r="P42" i="11"/>
  <c r="Q42" i="11"/>
  <c r="P43" i="11"/>
  <c r="Q43" i="11"/>
  <c r="P44" i="11"/>
  <c r="Q44" i="11"/>
  <c r="P45" i="11"/>
  <c r="Q45" i="11"/>
  <c r="P46" i="11"/>
  <c r="Q46" i="11"/>
  <c r="P47" i="11"/>
  <c r="Q47" i="11"/>
  <c r="P48" i="11"/>
  <c r="Q48" i="11"/>
  <c r="J43" i="11" s="1"/>
  <c r="P49" i="11"/>
  <c r="Q49" i="11"/>
  <c r="P50" i="11"/>
  <c r="Q50" i="11"/>
  <c r="P51" i="11"/>
  <c r="Q51" i="11"/>
  <c r="J26" i="11" s="1"/>
  <c r="P52" i="11"/>
  <c r="Q52" i="11"/>
  <c r="J44" i="11" s="1"/>
  <c r="P53" i="11"/>
  <c r="Q53" i="11"/>
  <c r="J27" i="11" s="1"/>
  <c r="P54" i="11"/>
  <c r="Q54" i="11"/>
  <c r="J60" i="11" s="1"/>
  <c r="K60" i="11" s="1"/>
  <c r="P55" i="11"/>
  <c r="Q55" i="11"/>
  <c r="P56" i="11"/>
  <c r="Q56" i="11"/>
  <c r="P57" i="11"/>
  <c r="Q57" i="11"/>
  <c r="P58" i="11"/>
  <c r="Q58" i="11"/>
  <c r="P59" i="11"/>
  <c r="Q59" i="11"/>
  <c r="P60" i="11"/>
  <c r="Q60" i="11"/>
  <c r="P61" i="11"/>
  <c r="Q61" i="11"/>
  <c r="P62" i="11"/>
  <c r="Q62" i="11"/>
  <c r="P63" i="11"/>
  <c r="Q63" i="11"/>
  <c r="J47" i="11" s="1"/>
  <c r="P64" i="11"/>
  <c r="Q64" i="11"/>
  <c r="J30" i="11" s="1"/>
  <c r="P65" i="11"/>
  <c r="Q65" i="11"/>
  <c r="P66" i="11"/>
  <c r="Q66" i="11"/>
  <c r="P67" i="11"/>
  <c r="Q67" i="11"/>
  <c r="P68" i="11"/>
  <c r="Q68" i="11"/>
  <c r="P69" i="11"/>
  <c r="Q69" i="11"/>
  <c r="P70" i="11"/>
  <c r="Q70" i="11"/>
  <c r="J31" i="11" s="1"/>
  <c r="P71" i="11"/>
  <c r="Q71" i="11"/>
  <c r="P72" i="11"/>
  <c r="Q72" i="11"/>
  <c r="P73" i="11"/>
  <c r="Q73" i="11"/>
  <c r="P74" i="11"/>
  <c r="Q74" i="11"/>
  <c r="P75" i="11"/>
  <c r="Q75" i="11"/>
  <c r="P76" i="11"/>
  <c r="Q76" i="11"/>
  <c r="P77" i="11"/>
  <c r="Q77" i="11"/>
  <c r="P78" i="11"/>
  <c r="Q78" i="11"/>
  <c r="J32" i="11" s="1"/>
  <c r="P79" i="11"/>
  <c r="Q79" i="11"/>
  <c r="P80" i="11"/>
  <c r="Q80" i="11"/>
  <c r="P81" i="11"/>
  <c r="Q81" i="11"/>
  <c r="P82" i="11"/>
  <c r="Q82" i="11"/>
  <c r="P83" i="11"/>
  <c r="Q83" i="11"/>
  <c r="J33" i="11" s="1"/>
  <c r="P84" i="11"/>
  <c r="Q84" i="11"/>
  <c r="J50" i="11" s="1"/>
  <c r="P85" i="11"/>
  <c r="Q85" i="11"/>
  <c r="P86" i="11"/>
  <c r="Q86" i="11"/>
  <c r="P87" i="11"/>
  <c r="Q87" i="11"/>
  <c r="P88" i="11"/>
  <c r="Q88" i="11"/>
  <c r="P89" i="11"/>
  <c r="Q89" i="11"/>
  <c r="J51" i="11" s="1"/>
  <c r="P90" i="11"/>
  <c r="Q90" i="11"/>
  <c r="P91" i="11"/>
  <c r="Q91" i="11"/>
  <c r="J34" i="11" s="1"/>
  <c r="P92" i="11"/>
  <c r="Q92" i="11"/>
  <c r="P93" i="11"/>
  <c r="Q93" i="11"/>
  <c r="P94" i="11"/>
  <c r="Q94" i="11"/>
  <c r="J68" i="11" s="1"/>
  <c r="K68" i="11" s="1"/>
  <c r="P95" i="11"/>
  <c r="Q95" i="11"/>
  <c r="P96" i="11"/>
  <c r="Q96" i="11"/>
  <c r="P97" i="11"/>
  <c r="Q97" i="11"/>
  <c r="J52" i="11" s="1"/>
  <c r="P98" i="11"/>
  <c r="Q98" i="11"/>
  <c r="P99" i="11"/>
  <c r="Q99" i="11"/>
  <c r="P100" i="11"/>
  <c r="Q100" i="11"/>
  <c r="J35" i="11" s="1"/>
  <c r="P101" i="11"/>
  <c r="Q101" i="11"/>
  <c r="P102" i="11"/>
  <c r="Q102" i="11"/>
  <c r="P103" i="11"/>
  <c r="Q103" i="11"/>
  <c r="P104" i="11"/>
  <c r="Q104" i="11"/>
  <c r="P105" i="11"/>
  <c r="Q105" i="11"/>
  <c r="P106" i="11"/>
  <c r="Q106" i="11"/>
  <c r="P107" i="11"/>
  <c r="Q107" i="11"/>
  <c r="J53" i="11" s="1"/>
  <c r="P108" i="11"/>
  <c r="Q108" i="11"/>
  <c r="P109" i="11"/>
  <c r="Q109" i="11"/>
  <c r="P110" i="11"/>
  <c r="Q110" i="11"/>
  <c r="P111" i="11"/>
  <c r="Q111" i="11"/>
  <c r="P112" i="11"/>
  <c r="Q112" i="11"/>
  <c r="P113" i="11"/>
  <c r="Q113" i="11"/>
  <c r="P114" i="11"/>
  <c r="Q114" i="11"/>
  <c r="J36" i="11" s="1"/>
  <c r="Q1" i="11"/>
  <c r="P1" i="11"/>
  <c r="J6" i="11" l="1"/>
  <c r="J11" i="11"/>
  <c r="J65" i="11"/>
  <c r="K65" i="11" s="1"/>
  <c r="J9" i="11"/>
  <c r="J63" i="11"/>
  <c r="K63" i="11" s="1"/>
  <c r="J48" i="11"/>
  <c r="J24" i="11"/>
  <c r="J41" i="11"/>
  <c r="J29" i="11"/>
  <c r="J46" i="11"/>
  <c r="J28" i="11"/>
  <c r="J45" i="11"/>
  <c r="J23" i="11"/>
  <c r="J40" i="11"/>
  <c r="J57" i="11"/>
  <c r="J17" i="11"/>
  <c r="J71" i="11"/>
  <c r="K71" i="11" s="1"/>
  <c r="J16" i="11"/>
  <c r="J70" i="11"/>
  <c r="K70" i="11" s="1"/>
  <c r="J15" i="11"/>
  <c r="J69" i="11"/>
  <c r="K69" i="11" s="1"/>
  <c r="J13" i="11"/>
  <c r="J67" i="11"/>
  <c r="K67" i="11" s="1"/>
  <c r="J8" i="11"/>
  <c r="J62" i="11"/>
  <c r="K62" i="11" s="1"/>
  <c r="J7" i="11"/>
  <c r="J61" i="11"/>
  <c r="K61" i="11" s="1"/>
  <c r="J5" i="11"/>
  <c r="J59" i="11"/>
  <c r="K59" i="11" s="1"/>
  <c r="J25" i="11"/>
  <c r="J42" i="11"/>
  <c r="J58" i="11"/>
  <c r="K58" i="11" s="1"/>
  <c r="J12" i="11"/>
  <c r="J66" i="11"/>
  <c r="K66" i="11" s="1"/>
  <c r="J10" i="11"/>
  <c r="J49" i="11"/>
  <c r="J64" i="11"/>
  <c r="K64" i="11" s="1"/>
  <c r="J3" i="11"/>
  <c r="J22" i="11"/>
  <c r="J4" i="11"/>
  <c r="L126" i="23"/>
  <c r="O108" i="23"/>
  <c r="P108" i="23" s="1"/>
  <c r="L36" i="23"/>
  <c r="L108" i="23"/>
  <c r="L54" i="23"/>
  <c r="L18" i="23"/>
  <c r="L90" i="23"/>
  <c r="L72" i="23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L3" i="11" s="1"/>
  <c r="D22" i="11"/>
  <c r="B22" i="1"/>
  <c r="O126" i="23" l="1"/>
  <c r="P126" i="23" s="1"/>
  <c r="C14" i="11"/>
  <c r="C17" i="11" s="1"/>
  <c r="C13" i="11"/>
  <c r="C12" i="11"/>
  <c r="C11" i="11"/>
  <c r="C10" i="11"/>
  <c r="C7" i="11"/>
  <c r="C6" i="11"/>
  <c r="C5" i="11"/>
  <c r="C4" i="11"/>
  <c r="B31" i="1"/>
  <c r="C6" i="23" s="1"/>
  <c r="B30" i="1"/>
  <c r="C1" i="23" s="1"/>
  <c r="B23" i="1"/>
  <c r="B24" i="1" s="1"/>
  <c r="B7" i="1"/>
  <c r="C9" i="11" l="1"/>
  <c r="B9" i="1"/>
  <c r="B8" i="1"/>
  <c r="O144" i="23"/>
  <c r="P144" i="23" s="1"/>
  <c r="L144" i="23"/>
  <c r="C14" i="23"/>
  <c r="J4" i="23" s="1"/>
  <c r="C9" i="21"/>
  <c r="C9" i="16"/>
  <c r="C9" i="18"/>
  <c r="C9" i="14"/>
  <c r="C9" i="13"/>
  <c r="C9" i="20"/>
  <c r="C9" i="17"/>
  <c r="C9" i="19"/>
  <c r="C9" i="15"/>
  <c r="C3" i="19"/>
  <c r="C3" i="16"/>
  <c r="C3" i="14"/>
  <c r="C3" i="18"/>
  <c r="C3" i="17"/>
  <c r="C3" i="15"/>
  <c r="C3" i="21"/>
  <c r="C3" i="20"/>
  <c r="C3" i="13"/>
  <c r="C3" i="11"/>
  <c r="C8" i="11"/>
  <c r="C8" i="21"/>
  <c r="C8" i="19"/>
  <c r="C8" i="17"/>
  <c r="C8" i="16"/>
  <c r="C8" i="15"/>
  <c r="C8" i="20"/>
  <c r="C8" i="18"/>
  <c r="C8" i="14"/>
  <c r="C8" i="13"/>
  <c r="C18" i="11"/>
  <c r="D58" i="13" l="1"/>
  <c r="D68" i="19"/>
  <c r="D59" i="20"/>
  <c r="D61" i="20"/>
  <c r="D68" i="20"/>
  <c r="D67" i="20"/>
  <c r="D58" i="20"/>
  <c r="D63" i="20"/>
  <c r="D56" i="20"/>
  <c r="D62" i="20"/>
  <c r="D69" i="20"/>
  <c r="D57" i="20"/>
  <c r="D60" i="20"/>
  <c r="D65" i="20"/>
  <c r="D64" i="20"/>
  <c r="D66" i="20"/>
  <c r="D61" i="21"/>
  <c r="D69" i="21"/>
  <c r="D68" i="21"/>
  <c r="D63" i="21"/>
  <c r="D60" i="21"/>
  <c r="D66" i="21"/>
  <c r="D65" i="21"/>
  <c r="D62" i="21"/>
  <c r="D57" i="21"/>
  <c r="D58" i="21"/>
  <c r="D59" i="21"/>
  <c r="D67" i="21"/>
  <c r="D56" i="21"/>
  <c r="D64" i="21"/>
  <c r="C2" i="20"/>
  <c r="G68" i="20" s="1"/>
  <c r="C2" i="11"/>
  <c r="G60" i="11" s="1"/>
  <c r="C2" i="19"/>
  <c r="G61" i="19" s="1"/>
  <c r="C2" i="18"/>
  <c r="G58" i="18" s="1"/>
  <c r="C2" i="13"/>
  <c r="C2" i="17"/>
  <c r="G67" i="17" s="1"/>
  <c r="C2" i="16"/>
  <c r="G65" i="16" s="1"/>
  <c r="C2" i="15"/>
  <c r="G63" i="15" s="1"/>
  <c r="C2" i="14"/>
  <c r="G63" i="14" s="1"/>
  <c r="C2" i="21"/>
  <c r="G58" i="21" s="1"/>
  <c r="D69" i="17"/>
  <c r="D60" i="19"/>
  <c r="D58" i="19"/>
  <c r="D66" i="19"/>
  <c r="D56" i="19"/>
  <c r="D64" i="19"/>
  <c r="D61" i="19"/>
  <c r="D65" i="19"/>
  <c r="D69" i="19"/>
  <c r="D59" i="19"/>
  <c r="D62" i="19"/>
  <c r="D57" i="19"/>
  <c r="D67" i="19"/>
  <c r="D63" i="19"/>
  <c r="D69" i="18"/>
  <c r="D64" i="18"/>
  <c r="D67" i="18"/>
  <c r="D60" i="18"/>
  <c r="D68" i="18"/>
  <c r="D66" i="18"/>
  <c r="D58" i="18"/>
  <c r="D63" i="18"/>
  <c r="G59" i="18"/>
  <c r="D59" i="18"/>
  <c r="D56" i="18"/>
  <c r="D65" i="18"/>
  <c r="D62" i="18"/>
  <c r="D57" i="18"/>
  <c r="D61" i="18"/>
  <c r="D67" i="17"/>
  <c r="D57" i="17"/>
  <c r="D64" i="17"/>
  <c r="G57" i="17"/>
  <c r="G64" i="17"/>
  <c r="D65" i="17"/>
  <c r="D62" i="17"/>
  <c r="D68" i="17"/>
  <c r="D58" i="17"/>
  <c r="G62" i="17"/>
  <c r="G68" i="17"/>
  <c r="G58" i="17"/>
  <c r="D56" i="17"/>
  <c r="G69" i="17"/>
  <c r="G56" i="17"/>
  <c r="D61" i="17"/>
  <c r="G61" i="17"/>
  <c r="D66" i="17"/>
  <c r="G66" i="17"/>
  <c r="D59" i="17"/>
  <c r="D60" i="17"/>
  <c r="D63" i="17"/>
  <c r="G59" i="17"/>
  <c r="G60" i="17"/>
  <c r="G63" i="17"/>
  <c r="D59" i="16"/>
  <c r="D66" i="16"/>
  <c r="G56" i="16"/>
  <c r="D67" i="16"/>
  <c r="D61" i="16"/>
  <c r="D69" i="16"/>
  <c r="D56" i="16"/>
  <c r="D68" i="16"/>
  <c r="D63" i="16"/>
  <c r="D60" i="16"/>
  <c r="D65" i="16"/>
  <c r="D62" i="16"/>
  <c r="D58" i="16"/>
  <c r="D64" i="16"/>
  <c r="D57" i="16"/>
  <c r="G66" i="15"/>
  <c r="D66" i="15"/>
  <c r="D63" i="15"/>
  <c r="D60" i="15"/>
  <c r="D70" i="15"/>
  <c r="D58" i="15"/>
  <c r="G58" i="15"/>
  <c r="D68" i="15"/>
  <c r="D62" i="15"/>
  <c r="D64" i="15"/>
  <c r="D57" i="15"/>
  <c r="G59" i="15"/>
  <c r="G61" i="15"/>
  <c r="D59" i="15"/>
  <c r="D67" i="15"/>
  <c r="D69" i="15"/>
  <c r="D61" i="15"/>
  <c r="G65" i="15"/>
  <c r="G64" i="15"/>
  <c r="D65" i="15"/>
  <c r="D66" i="14"/>
  <c r="D64" i="14"/>
  <c r="D67" i="14"/>
  <c r="D63" i="14"/>
  <c r="D65" i="14"/>
  <c r="D62" i="14"/>
  <c r="D70" i="14"/>
  <c r="D68" i="14"/>
  <c r="D58" i="14"/>
  <c r="D69" i="14"/>
  <c r="D59" i="14"/>
  <c r="D61" i="14"/>
  <c r="D60" i="14"/>
  <c r="D57" i="14"/>
  <c r="D69" i="13"/>
  <c r="G61" i="13"/>
  <c r="G62" i="13"/>
  <c r="G63" i="13"/>
  <c r="G69" i="13"/>
  <c r="D62" i="13"/>
  <c r="D70" i="13"/>
  <c r="D60" i="13"/>
  <c r="G60" i="13"/>
  <c r="G70" i="13"/>
  <c r="D68" i="13"/>
  <c r="G58" i="13"/>
  <c r="G68" i="13"/>
  <c r="D66" i="13"/>
  <c r="G66" i="13"/>
  <c r="D61" i="13"/>
  <c r="D63" i="13"/>
  <c r="D57" i="13"/>
  <c r="G57" i="13"/>
  <c r="D67" i="13"/>
  <c r="G67" i="13"/>
  <c r="D65" i="13"/>
  <c r="G59" i="13"/>
  <c r="G65" i="13"/>
  <c r="D64" i="13"/>
  <c r="G64" i="13"/>
  <c r="D59" i="13"/>
  <c r="D60" i="11"/>
  <c r="D68" i="11"/>
  <c r="D62" i="11"/>
  <c r="D64" i="11"/>
  <c r="D69" i="11"/>
  <c r="D66" i="11"/>
  <c r="D61" i="11"/>
  <c r="D71" i="11"/>
  <c r="D59" i="11"/>
  <c r="D70" i="11"/>
  <c r="D67" i="11"/>
  <c r="D63" i="11"/>
  <c r="D65" i="11"/>
  <c r="D58" i="11"/>
  <c r="R4" i="23"/>
  <c r="L4" i="23"/>
  <c r="J180" i="23"/>
  <c r="O162" i="23"/>
  <c r="P162" i="23" s="1"/>
  <c r="L162" i="23"/>
  <c r="R18" i="23"/>
  <c r="C15" i="18"/>
  <c r="B45" i="18" s="1"/>
  <c r="C15" i="14"/>
  <c r="C15" i="13"/>
  <c r="B39" i="13" s="1"/>
  <c r="C15" i="15"/>
  <c r="C15" i="20"/>
  <c r="C15" i="17"/>
  <c r="C15" i="21"/>
  <c r="C15" i="19"/>
  <c r="B47" i="19" s="1"/>
  <c r="C15" i="16"/>
  <c r="B37" i="16" s="1"/>
  <c r="C15" i="11"/>
  <c r="B26" i="20"/>
  <c r="B40" i="20"/>
  <c r="B46" i="20"/>
  <c r="B28" i="20"/>
  <c r="B34" i="20"/>
  <c r="B38" i="20"/>
  <c r="B48" i="20"/>
  <c r="B36" i="20"/>
  <c r="B50" i="20"/>
  <c r="B30" i="20"/>
  <c r="B24" i="20"/>
  <c r="B44" i="20"/>
  <c r="B42" i="20"/>
  <c r="B32" i="20"/>
  <c r="B26" i="21"/>
  <c r="B38" i="21"/>
  <c r="B28" i="21"/>
  <c r="B46" i="21"/>
  <c r="B48" i="21"/>
  <c r="B34" i="21"/>
  <c r="B24" i="21"/>
  <c r="B50" i="21"/>
  <c r="B30" i="21"/>
  <c r="B36" i="21"/>
  <c r="B32" i="21"/>
  <c r="B44" i="21"/>
  <c r="B42" i="21"/>
  <c r="B40" i="21"/>
  <c r="B32" i="17"/>
  <c r="B26" i="17"/>
  <c r="B38" i="17"/>
  <c r="B36" i="17"/>
  <c r="B30" i="17"/>
  <c r="B40" i="17"/>
  <c r="B42" i="17"/>
  <c r="B24" i="17"/>
  <c r="B50" i="17"/>
  <c r="B48" i="17"/>
  <c r="B34" i="17"/>
  <c r="B44" i="17"/>
  <c r="B46" i="17"/>
  <c r="B28" i="17"/>
  <c r="B42" i="18"/>
  <c r="B32" i="18"/>
  <c r="B30" i="18"/>
  <c r="B28" i="18"/>
  <c r="B40" i="18"/>
  <c r="B26" i="18"/>
  <c r="B48" i="18"/>
  <c r="B44" i="18"/>
  <c r="B36" i="18"/>
  <c r="B34" i="18"/>
  <c r="B46" i="18"/>
  <c r="B50" i="18"/>
  <c r="B38" i="18"/>
  <c r="B24" i="18"/>
  <c r="B42" i="14"/>
  <c r="B48" i="14"/>
  <c r="B40" i="14"/>
  <c r="B50" i="14"/>
  <c r="B30" i="14"/>
  <c r="B46" i="14"/>
  <c r="B32" i="14"/>
  <c r="B34" i="14"/>
  <c r="B26" i="14"/>
  <c r="B28" i="14"/>
  <c r="B44" i="14"/>
  <c r="B36" i="14"/>
  <c r="B38" i="14"/>
  <c r="B24" i="14"/>
  <c r="B30" i="15"/>
  <c r="B40" i="15"/>
  <c r="B48" i="15"/>
  <c r="B42" i="15"/>
  <c r="B24" i="15"/>
  <c r="B34" i="15"/>
  <c r="B44" i="15"/>
  <c r="B46" i="15"/>
  <c r="B28" i="15"/>
  <c r="B36" i="15"/>
  <c r="B32" i="15"/>
  <c r="B26" i="15"/>
  <c r="B50" i="15"/>
  <c r="B38" i="15"/>
  <c r="B36" i="13"/>
  <c r="B32" i="13"/>
  <c r="B46" i="13"/>
  <c r="B34" i="13"/>
  <c r="B40" i="13"/>
  <c r="B48" i="13"/>
  <c r="B26" i="13"/>
  <c r="B38" i="13"/>
  <c r="B50" i="13"/>
  <c r="B30" i="13"/>
  <c r="B28" i="13"/>
  <c r="B24" i="13"/>
  <c r="B44" i="13"/>
  <c r="B42" i="13"/>
  <c r="B36" i="16"/>
  <c r="B44" i="16"/>
  <c r="B26" i="16"/>
  <c r="B32" i="16"/>
  <c r="B30" i="16"/>
  <c r="B34" i="16"/>
  <c r="B40" i="16"/>
  <c r="B48" i="16"/>
  <c r="B38" i="16"/>
  <c r="B50" i="16"/>
  <c r="B28" i="16"/>
  <c r="B42" i="16"/>
  <c r="B24" i="16"/>
  <c r="B46" i="16"/>
  <c r="B36" i="19"/>
  <c r="B34" i="19"/>
  <c r="B44" i="19"/>
  <c r="B42" i="19"/>
  <c r="B24" i="19"/>
  <c r="B38" i="19"/>
  <c r="B48" i="19"/>
  <c r="B30" i="19"/>
  <c r="B32" i="19"/>
  <c r="B50" i="19"/>
  <c r="B46" i="19"/>
  <c r="B28" i="19"/>
  <c r="B26" i="19"/>
  <c r="B40" i="19"/>
  <c r="C19" i="11"/>
  <c r="G68" i="15" l="1"/>
  <c r="G60" i="15"/>
  <c r="G69" i="15"/>
  <c r="G70" i="15"/>
  <c r="G62" i="15"/>
  <c r="G67" i="15"/>
  <c r="G57" i="15"/>
  <c r="G66" i="18"/>
  <c r="G65" i="17"/>
  <c r="G59" i="19"/>
  <c r="G57" i="14"/>
  <c r="G59" i="14"/>
  <c r="G62" i="14"/>
  <c r="G69" i="14"/>
  <c r="G58" i="11"/>
  <c r="G60" i="14"/>
  <c r="G67" i="14"/>
  <c r="G61" i="14"/>
  <c r="G70" i="14"/>
  <c r="G64" i="14"/>
  <c r="G66" i="14"/>
  <c r="G68" i="14"/>
  <c r="G65" i="14"/>
  <c r="G66" i="11"/>
  <c r="G70" i="11"/>
  <c r="G71" i="11"/>
  <c r="G62" i="11"/>
  <c r="G59" i="11"/>
  <c r="G61" i="11"/>
  <c r="G69" i="11"/>
  <c r="G65" i="11"/>
  <c r="G65" i="19"/>
  <c r="G64" i="11"/>
  <c r="G67" i="19"/>
  <c r="G63" i="11"/>
  <c r="G68" i="11"/>
  <c r="G69" i="19"/>
  <c r="G63" i="19"/>
  <c r="G64" i="19"/>
  <c r="G67" i="11"/>
  <c r="G62" i="16"/>
  <c r="G67" i="16"/>
  <c r="G68" i="19"/>
  <c r="G57" i="16"/>
  <c r="G60" i="16"/>
  <c r="G64" i="16"/>
  <c r="G63" i="16"/>
  <c r="G66" i="16"/>
  <c r="G69" i="16"/>
  <c r="G56" i="20"/>
  <c r="G59" i="16"/>
  <c r="G61" i="16"/>
  <c r="G66" i="21"/>
  <c r="G58" i="16"/>
  <c r="G60" i="20"/>
  <c r="G68" i="16"/>
  <c r="G62" i="19"/>
  <c r="G66" i="19"/>
  <c r="I49" i="13"/>
  <c r="K49" i="13" s="1"/>
  <c r="L49" i="13" s="1"/>
  <c r="I52" i="13"/>
  <c r="K52" i="13" s="1"/>
  <c r="L52" i="13" s="1"/>
  <c r="H49" i="13"/>
  <c r="H42" i="13"/>
  <c r="I50" i="13"/>
  <c r="K50" i="13" s="1"/>
  <c r="L50" i="13" s="1"/>
  <c r="I44" i="13"/>
  <c r="K44" i="13" s="1"/>
  <c r="L44" i="13" s="1"/>
  <c r="I56" i="13"/>
  <c r="H46" i="13"/>
  <c r="I43" i="13"/>
  <c r="K43" i="13" s="1"/>
  <c r="L43" i="13" s="1"/>
  <c r="I47" i="13"/>
  <c r="K47" i="13" s="1"/>
  <c r="L47" i="13" s="1"/>
  <c r="H45" i="13"/>
  <c r="H50" i="13"/>
  <c r="I39" i="13"/>
  <c r="K39" i="13" s="1"/>
  <c r="L39" i="13" s="1"/>
  <c r="I45" i="13"/>
  <c r="K45" i="13" s="1"/>
  <c r="L45" i="13" s="1"/>
  <c r="H48" i="13"/>
  <c r="H52" i="13"/>
  <c r="H44" i="13"/>
  <c r="H39" i="13"/>
  <c r="I48" i="13"/>
  <c r="K48" i="13" s="1"/>
  <c r="L48" i="13" s="1"/>
  <c r="I42" i="13"/>
  <c r="K42" i="13" s="1"/>
  <c r="L42" i="13" s="1"/>
  <c r="M42" i="13" s="1"/>
  <c r="I51" i="13"/>
  <c r="K51" i="13" s="1"/>
  <c r="L51" i="13" s="1"/>
  <c r="H41" i="13"/>
  <c r="H40" i="13"/>
  <c r="I41" i="13"/>
  <c r="K41" i="13" s="1"/>
  <c r="L41" i="13" s="1"/>
  <c r="I46" i="13"/>
  <c r="K46" i="13" s="1"/>
  <c r="L46" i="13" s="1"/>
  <c r="H43" i="13"/>
  <c r="H47" i="13"/>
  <c r="I40" i="13"/>
  <c r="K40" i="13" s="1"/>
  <c r="L40" i="13" s="1"/>
  <c r="H51" i="13"/>
  <c r="G57" i="21"/>
  <c r="G64" i="21"/>
  <c r="G62" i="20"/>
  <c r="G69" i="20"/>
  <c r="H49" i="18"/>
  <c r="I49" i="18"/>
  <c r="K49" i="18" s="1"/>
  <c r="L49" i="18" s="1"/>
  <c r="I45" i="18"/>
  <c r="K45" i="18" s="1"/>
  <c r="L45" i="18" s="1"/>
  <c r="H48" i="18"/>
  <c r="I50" i="18"/>
  <c r="K50" i="18" s="1"/>
  <c r="L50" i="18" s="1"/>
  <c r="I43" i="18"/>
  <c r="K43" i="18" s="1"/>
  <c r="L43" i="18" s="1"/>
  <c r="H42" i="18"/>
  <c r="H41" i="18"/>
  <c r="I38" i="18"/>
  <c r="K38" i="18" s="1"/>
  <c r="L38" i="18" s="1"/>
  <c r="I42" i="18"/>
  <c r="K42" i="18" s="1"/>
  <c r="L42" i="18" s="1"/>
  <c r="H38" i="18"/>
  <c r="H45" i="18"/>
  <c r="I46" i="18"/>
  <c r="K46" i="18" s="1"/>
  <c r="L46" i="18" s="1"/>
  <c r="H39" i="18"/>
  <c r="I55" i="18"/>
  <c r="I44" i="18"/>
  <c r="K44" i="18" s="1"/>
  <c r="L44" i="18" s="1"/>
  <c r="H46" i="18"/>
  <c r="I48" i="18"/>
  <c r="K48" i="18" s="1"/>
  <c r="L48" i="18" s="1"/>
  <c r="H43" i="18"/>
  <c r="H44" i="18"/>
  <c r="I39" i="18"/>
  <c r="K39" i="18" s="1"/>
  <c r="L39" i="18" s="1"/>
  <c r="H40" i="18"/>
  <c r="H50" i="18"/>
  <c r="H47" i="18"/>
  <c r="I47" i="18"/>
  <c r="K47" i="18" s="1"/>
  <c r="L47" i="18" s="1"/>
  <c r="I40" i="18"/>
  <c r="K40" i="18" s="1"/>
  <c r="L40" i="18" s="1"/>
  <c r="I41" i="18"/>
  <c r="K41" i="18" s="1"/>
  <c r="L41" i="18" s="1"/>
  <c r="G69" i="18"/>
  <c r="I49" i="19"/>
  <c r="K49" i="19" s="1"/>
  <c r="L49" i="19" s="1"/>
  <c r="I41" i="19"/>
  <c r="K41" i="19" s="1"/>
  <c r="L41" i="19" s="1"/>
  <c r="I55" i="19"/>
  <c r="H43" i="19"/>
  <c r="I40" i="19"/>
  <c r="K40" i="19" s="1"/>
  <c r="L40" i="19" s="1"/>
  <c r="I48" i="19"/>
  <c r="K48" i="19" s="1"/>
  <c r="L48" i="19" s="1"/>
  <c r="H39" i="19"/>
  <c r="H45" i="19"/>
  <c r="H48" i="19"/>
  <c r="I46" i="19"/>
  <c r="K46" i="19" s="1"/>
  <c r="L46" i="19" s="1"/>
  <c r="I43" i="19"/>
  <c r="K43" i="19" s="1"/>
  <c r="L43" i="19" s="1"/>
  <c r="H42" i="19"/>
  <c r="H46" i="19"/>
  <c r="I47" i="19"/>
  <c r="K47" i="19" s="1"/>
  <c r="L47" i="19" s="1"/>
  <c r="I45" i="19"/>
  <c r="K45" i="19" s="1"/>
  <c r="L45" i="19" s="1"/>
  <c r="H47" i="19"/>
  <c r="I38" i="19"/>
  <c r="K38" i="19" s="1"/>
  <c r="L38" i="19" s="1"/>
  <c r="H38" i="19"/>
  <c r="H44" i="19"/>
  <c r="I42" i="19"/>
  <c r="K42" i="19" s="1"/>
  <c r="L42" i="19" s="1"/>
  <c r="M42" i="19" s="1"/>
  <c r="H41" i="19"/>
  <c r="I39" i="19"/>
  <c r="K39" i="19" s="1"/>
  <c r="L39" i="19" s="1"/>
  <c r="H40" i="19"/>
  <c r="H49" i="19"/>
  <c r="I44" i="19"/>
  <c r="K44" i="19" s="1"/>
  <c r="L44" i="19" s="1"/>
  <c r="G67" i="21"/>
  <c r="G65" i="18"/>
  <c r="G68" i="18"/>
  <c r="G64" i="18"/>
  <c r="I55" i="21"/>
  <c r="H42" i="21"/>
  <c r="H46" i="21"/>
  <c r="I49" i="21"/>
  <c r="K49" i="21" s="1"/>
  <c r="L49" i="21" s="1"/>
  <c r="I39" i="21"/>
  <c r="K39" i="21" s="1"/>
  <c r="L39" i="21" s="1"/>
  <c r="I45" i="21"/>
  <c r="K45" i="21" s="1"/>
  <c r="L45" i="21" s="1"/>
  <c r="H38" i="21"/>
  <c r="H49" i="21"/>
  <c r="I46" i="21"/>
  <c r="K46" i="21" s="1"/>
  <c r="L46" i="21" s="1"/>
  <c r="I41" i="21"/>
  <c r="K41" i="21" s="1"/>
  <c r="L41" i="21" s="1"/>
  <c r="H47" i="21"/>
  <c r="H43" i="21"/>
  <c r="I48" i="21"/>
  <c r="K48" i="21" s="1"/>
  <c r="L48" i="21" s="1"/>
  <c r="H41" i="21"/>
  <c r="H39" i="21"/>
  <c r="I43" i="21"/>
  <c r="K43" i="21" s="1"/>
  <c r="L43" i="21" s="1"/>
  <c r="H40" i="21"/>
  <c r="I42" i="21"/>
  <c r="K42" i="21" s="1"/>
  <c r="L42" i="21" s="1"/>
  <c r="M42" i="21" s="1"/>
  <c r="H48" i="21"/>
  <c r="I47" i="21"/>
  <c r="K47" i="21" s="1"/>
  <c r="L47" i="21" s="1"/>
  <c r="I44" i="21"/>
  <c r="K44" i="21" s="1"/>
  <c r="L44" i="21" s="1"/>
  <c r="H44" i="21"/>
  <c r="H45" i="21"/>
  <c r="I40" i="21"/>
  <c r="K40" i="21" s="1"/>
  <c r="L40" i="21" s="1"/>
  <c r="I38" i="21"/>
  <c r="K38" i="21" s="1"/>
  <c r="L38" i="21" s="1"/>
  <c r="H48" i="11"/>
  <c r="H44" i="11"/>
  <c r="I44" i="11"/>
  <c r="K44" i="11" s="1"/>
  <c r="L44" i="11" s="1"/>
  <c r="H46" i="11"/>
  <c r="H45" i="11"/>
  <c r="I41" i="11"/>
  <c r="K41" i="11" s="1"/>
  <c r="L41" i="11" s="1"/>
  <c r="H40" i="11"/>
  <c r="I50" i="11"/>
  <c r="K50" i="11" s="1"/>
  <c r="L50" i="11" s="1"/>
  <c r="I40" i="11"/>
  <c r="K40" i="11" s="1"/>
  <c r="L40" i="11" s="1"/>
  <c r="H41" i="11"/>
  <c r="H42" i="11"/>
  <c r="I42" i="11"/>
  <c r="K42" i="11" s="1"/>
  <c r="L42" i="11" s="1"/>
  <c r="I53" i="11"/>
  <c r="K53" i="11" s="1"/>
  <c r="L53" i="11" s="1"/>
  <c r="I57" i="11"/>
  <c r="H51" i="11"/>
  <c r="I52" i="11"/>
  <c r="K52" i="11" s="1"/>
  <c r="L52" i="11" s="1"/>
  <c r="I47" i="11"/>
  <c r="K47" i="11" s="1"/>
  <c r="L47" i="11" s="1"/>
  <c r="I45" i="11"/>
  <c r="K45" i="11" s="1"/>
  <c r="L45" i="11" s="1"/>
  <c r="H43" i="11"/>
  <c r="H52" i="11"/>
  <c r="I51" i="11"/>
  <c r="K51" i="11" s="1"/>
  <c r="L51" i="11" s="1"/>
  <c r="I48" i="11"/>
  <c r="K48" i="11" s="1"/>
  <c r="L48" i="11" s="1"/>
  <c r="H49" i="11"/>
  <c r="H50" i="11"/>
  <c r="I46" i="11"/>
  <c r="K46" i="11" s="1"/>
  <c r="L46" i="11" s="1"/>
  <c r="H53" i="11"/>
  <c r="H47" i="11"/>
  <c r="I49" i="11"/>
  <c r="K49" i="11" s="1"/>
  <c r="L49" i="11" s="1"/>
  <c r="I43" i="11"/>
  <c r="K43" i="11" s="1"/>
  <c r="L43" i="11" s="1"/>
  <c r="G63" i="20"/>
  <c r="G56" i="18"/>
  <c r="G57" i="18"/>
  <c r="H52" i="14"/>
  <c r="H50" i="14"/>
  <c r="I52" i="14"/>
  <c r="K52" i="14" s="1"/>
  <c r="L52" i="14" s="1"/>
  <c r="I40" i="14"/>
  <c r="K40" i="14" s="1"/>
  <c r="L40" i="14" s="1"/>
  <c r="H41" i="14"/>
  <c r="I41" i="14"/>
  <c r="K41" i="14" s="1"/>
  <c r="L41" i="14" s="1"/>
  <c r="I42" i="14"/>
  <c r="K42" i="14" s="1"/>
  <c r="L42" i="14" s="1"/>
  <c r="H49" i="14"/>
  <c r="H39" i="14"/>
  <c r="I48" i="14"/>
  <c r="K48" i="14" s="1"/>
  <c r="L48" i="14" s="1"/>
  <c r="I50" i="14"/>
  <c r="K50" i="14" s="1"/>
  <c r="L50" i="14" s="1"/>
  <c r="I56" i="14"/>
  <c r="H45" i="14"/>
  <c r="I49" i="14"/>
  <c r="K49" i="14" s="1"/>
  <c r="L49" i="14" s="1"/>
  <c r="I44" i="14"/>
  <c r="K44" i="14" s="1"/>
  <c r="L44" i="14" s="1"/>
  <c r="I45" i="14"/>
  <c r="K45" i="14" s="1"/>
  <c r="L45" i="14" s="1"/>
  <c r="H43" i="14"/>
  <c r="H48" i="14"/>
  <c r="I39" i="14"/>
  <c r="K39" i="14" s="1"/>
  <c r="L39" i="14" s="1"/>
  <c r="H47" i="14"/>
  <c r="I43" i="14"/>
  <c r="K43" i="14" s="1"/>
  <c r="L43" i="14" s="1"/>
  <c r="H40" i="14"/>
  <c r="H42" i="14"/>
  <c r="I51" i="14"/>
  <c r="K51" i="14" s="1"/>
  <c r="L51" i="14" s="1"/>
  <c r="H44" i="14"/>
  <c r="H51" i="14"/>
  <c r="I46" i="14"/>
  <c r="K46" i="14" s="1"/>
  <c r="L46" i="14" s="1"/>
  <c r="I47" i="14"/>
  <c r="K47" i="14" s="1"/>
  <c r="L47" i="14" s="1"/>
  <c r="H46" i="14"/>
  <c r="I55" i="20"/>
  <c r="H42" i="20"/>
  <c r="H45" i="20"/>
  <c r="I46" i="20"/>
  <c r="K46" i="20" s="1"/>
  <c r="L46" i="20" s="1"/>
  <c r="H43" i="20"/>
  <c r="H38" i="20"/>
  <c r="I45" i="20"/>
  <c r="K45" i="20" s="1"/>
  <c r="L45" i="20" s="1"/>
  <c r="H40" i="20"/>
  <c r="H41" i="20"/>
  <c r="I39" i="20"/>
  <c r="K39" i="20" s="1"/>
  <c r="L39" i="20" s="1"/>
  <c r="I44" i="20"/>
  <c r="K44" i="20" s="1"/>
  <c r="L44" i="20" s="1"/>
  <c r="H46" i="20"/>
  <c r="H39" i="20"/>
  <c r="I41" i="20"/>
  <c r="K41" i="20" s="1"/>
  <c r="L41" i="20" s="1"/>
  <c r="H48" i="20"/>
  <c r="H44" i="20"/>
  <c r="I49" i="20"/>
  <c r="K49" i="20" s="1"/>
  <c r="L49" i="20" s="1"/>
  <c r="I43" i="20"/>
  <c r="K43" i="20" s="1"/>
  <c r="L43" i="20" s="1"/>
  <c r="I38" i="20"/>
  <c r="K38" i="20" s="1"/>
  <c r="L38" i="20" s="1"/>
  <c r="H49" i="20"/>
  <c r="I42" i="20"/>
  <c r="K42" i="20" s="1"/>
  <c r="L42" i="20" s="1"/>
  <c r="I48" i="20"/>
  <c r="K48" i="20" s="1"/>
  <c r="L48" i="20" s="1"/>
  <c r="H47" i="20"/>
  <c r="I47" i="20"/>
  <c r="K47" i="20" s="1"/>
  <c r="L47" i="20" s="1"/>
  <c r="I40" i="20"/>
  <c r="K40" i="20" s="1"/>
  <c r="L40" i="20" s="1"/>
  <c r="G60" i="21"/>
  <c r="G61" i="20"/>
  <c r="G66" i="20"/>
  <c r="G62" i="18"/>
  <c r="G63" i="18"/>
  <c r="G60" i="18"/>
  <c r="G58" i="19"/>
  <c r="H39" i="15"/>
  <c r="I43" i="15"/>
  <c r="K43" i="15" s="1"/>
  <c r="L43" i="15" s="1"/>
  <c r="I50" i="15"/>
  <c r="K50" i="15" s="1"/>
  <c r="L50" i="15" s="1"/>
  <c r="I44" i="15"/>
  <c r="K44" i="15" s="1"/>
  <c r="L44" i="15" s="1"/>
  <c r="H50" i="15"/>
  <c r="H52" i="15"/>
  <c r="I48" i="15"/>
  <c r="K48" i="15" s="1"/>
  <c r="L48" i="15" s="1"/>
  <c r="I52" i="15"/>
  <c r="K52" i="15" s="1"/>
  <c r="L52" i="15" s="1"/>
  <c r="H46" i="15"/>
  <c r="H47" i="15"/>
  <c r="I39" i="15"/>
  <c r="K39" i="15" s="1"/>
  <c r="L39" i="15" s="1"/>
  <c r="I45" i="15"/>
  <c r="K45" i="15" s="1"/>
  <c r="L45" i="15" s="1"/>
  <c r="H48" i="15"/>
  <c r="H40" i="15"/>
  <c r="I47" i="15"/>
  <c r="K47" i="15" s="1"/>
  <c r="L47" i="15" s="1"/>
  <c r="I41" i="15"/>
  <c r="K41" i="15" s="1"/>
  <c r="L41" i="15" s="1"/>
  <c r="H42" i="15"/>
  <c r="H41" i="15"/>
  <c r="H51" i="15"/>
  <c r="I51" i="15"/>
  <c r="K51" i="15" s="1"/>
  <c r="L51" i="15" s="1"/>
  <c r="I49" i="15"/>
  <c r="K49" i="15" s="1"/>
  <c r="L49" i="15" s="1"/>
  <c r="H49" i="15"/>
  <c r="H43" i="15"/>
  <c r="I42" i="15"/>
  <c r="K42" i="15" s="1"/>
  <c r="L42" i="15" s="1"/>
  <c r="I46" i="15"/>
  <c r="K46" i="15" s="1"/>
  <c r="L46" i="15" s="1"/>
  <c r="M46" i="15" s="1"/>
  <c r="I56" i="15"/>
  <c r="H45" i="15"/>
  <c r="H44" i="15"/>
  <c r="I40" i="15"/>
  <c r="K40" i="15" s="1"/>
  <c r="L40" i="15" s="1"/>
  <c r="G56" i="21"/>
  <c r="G63" i="21"/>
  <c r="G67" i="20"/>
  <c r="G59" i="20"/>
  <c r="G61" i="18"/>
  <c r="G67" i="18"/>
  <c r="I42" i="16"/>
  <c r="K42" i="16" s="1"/>
  <c r="L42" i="16" s="1"/>
  <c r="H51" i="16"/>
  <c r="H47" i="16"/>
  <c r="I50" i="16"/>
  <c r="K50" i="16" s="1"/>
  <c r="L50" i="16" s="1"/>
  <c r="I45" i="16"/>
  <c r="K45" i="16" s="1"/>
  <c r="L45" i="16" s="1"/>
  <c r="H48" i="16"/>
  <c r="H43" i="16"/>
  <c r="I48" i="16"/>
  <c r="K48" i="16" s="1"/>
  <c r="L48" i="16" s="1"/>
  <c r="I40" i="16"/>
  <c r="K40" i="16" s="1"/>
  <c r="L40" i="16" s="1"/>
  <c r="H44" i="16"/>
  <c r="I47" i="16"/>
  <c r="K47" i="16" s="1"/>
  <c r="L47" i="16" s="1"/>
  <c r="M47" i="16" s="1"/>
  <c r="I49" i="16"/>
  <c r="K49" i="16" s="1"/>
  <c r="L49" i="16" s="1"/>
  <c r="H49" i="16"/>
  <c r="I46" i="16"/>
  <c r="K46" i="16" s="1"/>
  <c r="L46" i="16" s="1"/>
  <c r="I51" i="16"/>
  <c r="K51" i="16" s="1"/>
  <c r="L51" i="16" s="1"/>
  <c r="I39" i="16"/>
  <c r="K39" i="16" s="1"/>
  <c r="L39" i="16" s="1"/>
  <c r="I55" i="16"/>
  <c r="H40" i="16"/>
  <c r="H45" i="16"/>
  <c r="I44" i="16"/>
  <c r="K44" i="16" s="1"/>
  <c r="L44" i="16" s="1"/>
  <c r="I41" i="16"/>
  <c r="K41" i="16" s="1"/>
  <c r="L41" i="16" s="1"/>
  <c r="H41" i="16"/>
  <c r="H39" i="16"/>
  <c r="I43" i="16"/>
  <c r="K43" i="16" s="1"/>
  <c r="L43" i="16" s="1"/>
  <c r="H42" i="16"/>
  <c r="H50" i="16"/>
  <c r="H46" i="16"/>
  <c r="G69" i="21"/>
  <c r="G62" i="21"/>
  <c r="G68" i="21"/>
  <c r="G65" i="20"/>
  <c r="G64" i="20"/>
  <c r="G57" i="20"/>
  <c r="G57" i="19"/>
  <c r="G56" i="19"/>
  <c r="G60" i="19"/>
  <c r="I50" i="17"/>
  <c r="K50" i="17" s="1"/>
  <c r="L50" i="17" s="1"/>
  <c r="I44" i="17"/>
  <c r="K44" i="17" s="1"/>
  <c r="L44" i="17" s="1"/>
  <c r="H50" i="17"/>
  <c r="I43" i="17"/>
  <c r="K43" i="17" s="1"/>
  <c r="L43" i="17" s="1"/>
  <c r="H39" i="17"/>
  <c r="H51" i="17"/>
  <c r="I42" i="17"/>
  <c r="K42" i="17" s="1"/>
  <c r="L42" i="17" s="1"/>
  <c r="H48" i="17"/>
  <c r="H45" i="17"/>
  <c r="I45" i="17"/>
  <c r="K45" i="17" s="1"/>
  <c r="L45" i="17" s="1"/>
  <c r="H40" i="17"/>
  <c r="I55" i="17"/>
  <c r="I49" i="17"/>
  <c r="K49" i="17" s="1"/>
  <c r="L49" i="17" s="1"/>
  <c r="I51" i="17"/>
  <c r="K51" i="17" s="1"/>
  <c r="L51" i="17" s="1"/>
  <c r="H43" i="17"/>
  <c r="H42" i="17"/>
  <c r="I46" i="17"/>
  <c r="K46" i="17" s="1"/>
  <c r="L46" i="17" s="1"/>
  <c r="I41" i="17"/>
  <c r="K41" i="17" s="1"/>
  <c r="L41" i="17" s="1"/>
  <c r="I48" i="17"/>
  <c r="K48" i="17" s="1"/>
  <c r="L48" i="17" s="1"/>
  <c r="H44" i="17"/>
  <c r="H41" i="17"/>
  <c r="I47" i="17"/>
  <c r="K47" i="17" s="1"/>
  <c r="L47" i="17" s="1"/>
  <c r="I40" i="17"/>
  <c r="K40" i="17" s="1"/>
  <c r="L40" i="17" s="1"/>
  <c r="H47" i="17"/>
  <c r="I39" i="17"/>
  <c r="K39" i="17" s="1"/>
  <c r="L39" i="17" s="1"/>
  <c r="H49" i="17"/>
  <c r="H46" i="17"/>
  <c r="G61" i="21"/>
  <c r="G65" i="21"/>
  <c r="G59" i="21"/>
  <c r="G58" i="20"/>
  <c r="G58" i="14"/>
  <c r="I3" i="11"/>
  <c r="I22" i="11"/>
  <c r="H22" i="11"/>
  <c r="B39" i="19"/>
  <c r="G13" i="23"/>
  <c r="J6" i="23" s="1"/>
  <c r="R6" i="23" s="1"/>
  <c r="W4" i="23"/>
  <c r="W18" i="23"/>
  <c r="B37" i="13"/>
  <c r="B45" i="19"/>
  <c r="B43" i="19"/>
  <c r="I3" i="19"/>
  <c r="B31" i="18"/>
  <c r="I3" i="18"/>
  <c r="B33" i="21"/>
  <c r="I3" i="21"/>
  <c r="B31" i="17"/>
  <c r="I3" i="17"/>
  <c r="B49" i="20"/>
  <c r="I3" i="20"/>
  <c r="B41" i="15"/>
  <c r="I3" i="15"/>
  <c r="B47" i="13"/>
  <c r="I3" i="13"/>
  <c r="B29" i="16"/>
  <c r="I3" i="16"/>
  <c r="B33" i="14"/>
  <c r="I3" i="14"/>
  <c r="O4" i="23"/>
  <c r="P4" i="23" s="1"/>
  <c r="B47" i="14"/>
  <c r="B43" i="18"/>
  <c r="B39" i="15"/>
  <c r="B47" i="15"/>
  <c r="B39" i="14"/>
  <c r="B27" i="20"/>
  <c r="B49" i="15"/>
  <c r="B27" i="15"/>
  <c r="B51" i="16"/>
  <c r="B35" i="20"/>
  <c r="B31" i="20"/>
  <c r="B43" i="20"/>
  <c r="B41" i="20"/>
  <c r="B45" i="20"/>
  <c r="B51" i="20"/>
  <c r="B29" i="20"/>
  <c r="B33" i="20"/>
  <c r="B37" i="20"/>
  <c r="B25" i="20"/>
  <c r="B31" i="15"/>
  <c r="B35" i="15"/>
  <c r="B51" i="15"/>
  <c r="B25" i="15"/>
  <c r="B29" i="15"/>
  <c r="B45" i="15"/>
  <c r="B33" i="15"/>
  <c r="B43" i="15"/>
  <c r="B37" i="15"/>
  <c r="B35" i="19"/>
  <c r="B49" i="18"/>
  <c r="B41" i="18"/>
  <c r="B33" i="18"/>
  <c r="B41" i="19"/>
  <c r="B47" i="18"/>
  <c r="B49" i="19"/>
  <c r="B33" i="19"/>
  <c r="B37" i="18"/>
  <c r="B29" i="18"/>
  <c r="B27" i="19"/>
  <c r="B37" i="19"/>
  <c r="B29" i="19"/>
  <c r="B51" i="19"/>
  <c r="B25" i="19"/>
  <c r="B31" i="19"/>
  <c r="B25" i="18"/>
  <c r="B39" i="18"/>
  <c r="B51" i="18"/>
  <c r="B35" i="18"/>
  <c r="B27" i="18"/>
  <c r="B31" i="16"/>
  <c r="B43" i="13"/>
  <c r="B25" i="14"/>
  <c r="B37" i="14"/>
  <c r="B35" i="14"/>
  <c r="B49" i="16"/>
  <c r="B41" i="16"/>
  <c r="B33" i="16"/>
  <c r="B45" i="13"/>
  <c r="B51" i="13"/>
  <c r="B43" i="14"/>
  <c r="B41" i="14"/>
  <c r="B41" i="13"/>
  <c r="B25" i="16"/>
  <c r="B49" i="13"/>
  <c r="B25" i="13"/>
  <c r="B33" i="13"/>
  <c r="B51" i="14"/>
  <c r="B47" i="16"/>
  <c r="B27" i="16"/>
  <c r="B29" i="13"/>
  <c r="B45" i="14"/>
  <c r="B43" i="16"/>
  <c r="B39" i="16"/>
  <c r="B27" i="13"/>
  <c r="B35" i="13"/>
  <c r="B29" i="14"/>
  <c r="B31" i="14"/>
  <c r="B35" i="16"/>
  <c r="B31" i="13"/>
  <c r="B45" i="16"/>
  <c r="B27" i="14"/>
  <c r="B49" i="14"/>
  <c r="B35" i="21"/>
  <c r="B29" i="21"/>
  <c r="B51" i="17"/>
  <c r="B39" i="17"/>
  <c r="B33" i="17"/>
  <c r="B49" i="21"/>
  <c r="H25" i="20"/>
  <c r="H26" i="20"/>
  <c r="H27" i="20"/>
  <c r="I24" i="20"/>
  <c r="K24" i="20" s="1"/>
  <c r="L24" i="20" s="1"/>
  <c r="H22" i="20"/>
  <c r="H33" i="20"/>
  <c r="H30" i="20"/>
  <c r="H31" i="20"/>
  <c r="I28" i="20"/>
  <c r="K28" i="20" s="1"/>
  <c r="L28" i="20" s="1"/>
  <c r="H29" i="20"/>
  <c r="H34" i="20"/>
  <c r="I23" i="20"/>
  <c r="K23" i="20" s="1"/>
  <c r="L23" i="20" s="1"/>
  <c r="I32" i="20"/>
  <c r="K32" i="20" s="1"/>
  <c r="L32" i="20" s="1"/>
  <c r="H23" i="20"/>
  <c r="H32" i="20"/>
  <c r="I22" i="20"/>
  <c r="K22" i="20" s="1"/>
  <c r="L22" i="20" s="1"/>
  <c r="I27" i="20"/>
  <c r="K27" i="20" s="1"/>
  <c r="L27" i="20" s="1"/>
  <c r="I25" i="20"/>
  <c r="K25" i="20" s="1"/>
  <c r="L25" i="20" s="1"/>
  <c r="I26" i="20"/>
  <c r="K26" i="20" s="1"/>
  <c r="L26" i="20" s="1"/>
  <c r="I31" i="20"/>
  <c r="K31" i="20" s="1"/>
  <c r="L31" i="20" s="1"/>
  <c r="I34" i="20"/>
  <c r="K34" i="20" s="1"/>
  <c r="L34" i="20" s="1"/>
  <c r="I29" i="20"/>
  <c r="K29" i="20" s="1"/>
  <c r="L29" i="20" s="1"/>
  <c r="I30" i="20"/>
  <c r="K30" i="20" s="1"/>
  <c r="L30" i="20" s="1"/>
  <c r="M30" i="20" s="1"/>
  <c r="H24" i="20"/>
  <c r="I33" i="20"/>
  <c r="K33" i="20" s="1"/>
  <c r="L33" i="20" s="1"/>
  <c r="H28" i="20"/>
  <c r="B27" i="17"/>
  <c r="B27" i="21"/>
  <c r="B45" i="17"/>
  <c r="B35" i="17"/>
  <c r="B39" i="21"/>
  <c r="B47" i="20"/>
  <c r="H22" i="15"/>
  <c r="H23" i="15"/>
  <c r="H24" i="15"/>
  <c r="I30" i="15"/>
  <c r="K30" i="15" s="1"/>
  <c r="L30" i="15" s="1"/>
  <c r="H33" i="15"/>
  <c r="H26" i="15"/>
  <c r="H27" i="15"/>
  <c r="H28" i="15"/>
  <c r="I31" i="15"/>
  <c r="K31" i="15" s="1"/>
  <c r="L31" i="15" s="1"/>
  <c r="I29" i="15"/>
  <c r="K29" i="15" s="1"/>
  <c r="L29" i="15" s="1"/>
  <c r="H30" i="15"/>
  <c r="H31" i="15"/>
  <c r="H32" i="15"/>
  <c r="I33" i="15"/>
  <c r="K33" i="15" s="1"/>
  <c r="L33" i="15" s="1"/>
  <c r="H35" i="15"/>
  <c r="H34" i="15"/>
  <c r="I24" i="15"/>
  <c r="K24" i="15" s="1"/>
  <c r="L24" i="15" s="1"/>
  <c r="H29" i="15"/>
  <c r="I25" i="15"/>
  <c r="K25" i="15" s="1"/>
  <c r="L25" i="15" s="1"/>
  <c r="I22" i="15"/>
  <c r="K22" i="15" s="1"/>
  <c r="L22" i="15" s="1"/>
  <c r="I23" i="15"/>
  <c r="K23" i="15" s="1"/>
  <c r="L23" i="15" s="1"/>
  <c r="I28" i="15"/>
  <c r="K28" i="15" s="1"/>
  <c r="L28" i="15" s="1"/>
  <c r="H25" i="15"/>
  <c r="I26" i="15"/>
  <c r="K26" i="15" s="1"/>
  <c r="L26" i="15" s="1"/>
  <c r="I27" i="15"/>
  <c r="K27" i="15" s="1"/>
  <c r="L27" i="15" s="1"/>
  <c r="I32" i="15"/>
  <c r="K32" i="15" s="1"/>
  <c r="L32" i="15" s="1"/>
  <c r="I34" i="15"/>
  <c r="K34" i="15" s="1"/>
  <c r="L34" i="15" s="1"/>
  <c r="I35" i="15"/>
  <c r="K35" i="15" s="1"/>
  <c r="L35" i="15" s="1"/>
  <c r="B47" i="17"/>
  <c r="B51" i="21"/>
  <c r="B43" i="21"/>
  <c r="B47" i="21"/>
  <c r="I36" i="11"/>
  <c r="I32" i="11"/>
  <c r="I26" i="11"/>
  <c r="H33" i="11"/>
  <c r="I23" i="11"/>
  <c r="H31" i="11"/>
  <c r="H34" i="11"/>
  <c r="H35" i="11"/>
  <c r="I34" i="11"/>
  <c r="H23" i="11"/>
  <c r="H30" i="11"/>
  <c r="H24" i="11"/>
  <c r="H32" i="11"/>
  <c r="H27" i="11"/>
  <c r="I30" i="11"/>
  <c r="I31" i="11"/>
  <c r="I25" i="11"/>
  <c r="H26" i="11"/>
  <c r="H28" i="11"/>
  <c r="I33" i="11"/>
  <c r="I27" i="11"/>
  <c r="I35" i="11"/>
  <c r="I29" i="11"/>
  <c r="I28" i="11"/>
  <c r="H36" i="11"/>
  <c r="I24" i="11"/>
  <c r="H29" i="11"/>
  <c r="H25" i="11"/>
  <c r="H22" i="13"/>
  <c r="H23" i="13"/>
  <c r="H24" i="13"/>
  <c r="H26" i="13"/>
  <c r="H28" i="13"/>
  <c r="I29" i="13"/>
  <c r="K29" i="13" s="1"/>
  <c r="L29" i="13" s="1"/>
  <c r="I33" i="13"/>
  <c r="K33" i="13" s="1"/>
  <c r="L33" i="13" s="1"/>
  <c r="H27" i="13"/>
  <c r="H29" i="13"/>
  <c r="H30" i="13"/>
  <c r="H31" i="13"/>
  <c r="H32" i="13"/>
  <c r="I30" i="13"/>
  <c r="K30" i="13" s="1"/>
  <c r="L30" i="13" s="1"/>
  <c r="I34" i="13"/>
  <c r="K34" i="13" s="1"/>
  <c r="L34" i="13" s="1"/>
  <c r="H25" i="13"/>
  <c r="H34" i="13"/>
  <c r="H35" i="13"/>
  <c r="I24" i="13"/>
  <c r="K24" i="13" s="1"/>
  <c r="L24" i="13" s="1"/>
  <c r="I35" i="13"/>
  <c r="K35" i="13" s="1"/>
  <c r="L35" i="13" s="1"/>
  <c r="H33" i="13"/>
  <c r="I22" i="13"/>
  <c r="K22" i="13" s="1"/>
  <c r="L22" i="13" s="1"/>
  <c r="I23" i="13"/>
  <c r="K23" i="13" s="1"/>
  <c r="L23" i="13" s="1"/>
  <c r="I28" i="13"/>
  <c r="K28" i="13" s="1"/>
  <c r="L28" i="13" s="1"/>
  <c r="I31" i="13"/>
  <c r="K31" i="13" s="1"/>
  <c r="L31" i="13" s="1"/>
  <c r="I25" i="13"/>
  <c r="K25" i="13" s="1"/>
  <c r="L25" i="13" s="1"/>
  <c r="I26" i="13"/>
  <c r="K26" i="13" s="1"/>
  <c r="L26" i="13" s="1"/>
  <c r="I27" i="13"/>
  <c r="K27" i="13" s="1"/>
  <c r="L27" i="13" s="1"/>
  <c r="I32" i="13"/>
  <c r="K32" i="13" s="1"/>
  <c r="L32" i="13" s="1"/>
  <c r="B41" i="21"/>
  <c r="B25" i="21"/>
  <c r="B25" i="17"/>
  <c r="B49" i="17"/>
  <c r="B41" i="17"/>
  <c r="B37" i="17"/>
  <c r="B31" i="21"/>
  <c r="B45" i="21"/>
  <c r="B37" i="21"/>
  <c r="I25" i="16"/>
  <c r="K25" i="16" s="1"/>
  <c r="L25" i="16" s="1"/>
  <c r="I26" i="16"/>
  <c r="K26" i="16" s="1"/>
  <c r="L26" i="16" s="1"/>
  <c r="I27" i="16"/>
  <c r="K27" i="16" s="1"/>
  <c r="L27" i="16" s="1"/>
  <c r="I32" i="16"/>
  <c r="K32" i="16" s="1"/>
  <c r="L32" i="16" s="1"/>
  <c r="H34" i="16"/>
  <c r="I22" i="16"/>
  <c r="K22" i="16" s="1"/>
  <c r="L22" i="16" s="1"/>
  <c r="I29" i="16"/>
  <c r="K29" i="16" s="1"/>
  <c r="L29" i="16" s="1"/>
  <c r="I30" i="16"/>
  <c r="K30" i="16" s="1"/>
  <c r="L30" i="16" s="1"/>
  <c r="I31" i="16"/>
  <c r="K31" i="16" s="1"/>
  <c r="L31" i="16" s="1"/>
  <c r="H35" i="16"/>
  <c r="I33" i="16"/>
  <c r="K33" i="16" s="1"/>
  <c r="L33" i="16" s="1"/>
  <c r="I34" i="16"/>
  <c r="K34" i="16" s="1"/>
  <c r="L34" i="16" s="1"/>
  <c r="I35" i="16"/>
  <c r="K35" i="16" s="1"/>
  <c r="L35" i="16" s="1"/>
  <c r="H23" i="16"/>
  <c r="H24" i="16"/>
  <c r="H22" i="16"/>
  <c r="I23" i="16"/>
  <c r="K23" i="16" s="1"/>
  <c r="L23" i="16" s="1"/>
  <c r="H26" i="16"/>
  <c r="H27" i="16"/>
  <c r="H28" i="16"/>
  <c r="I24" i="16"/>
  <c r="K24" i="16" s="1"/>
  <c r="L24" i="16" s="1"/>
  <c r="I28" i="16"/>
  <c r="K28" i="16" s="1"/>
  <c r="L28" i="16" s="1"/>
  <c r="H25" i="16"/>
  <c r="H30" i="16"/>
  <c r="H31" i="16"/>
  <c r="H32" i="16"/>
  <c r="H29" i="16"/>
  <c r="H33" i="16"/>
  <c r="H22" i="14"/>
  <c r="H29" i="14"/>
  <c r="I22" i="14"/>
  <c r="K22" i="14" s="1"/>
  <c r="L22" i="14" s="1"/>
  <c r="I23" i="14"/>
  <c r="K23" i="14" s="1"/>
  <c r="L23" i="14" s="1"/>
  <c r="I28" i="14"/>
  <c r="K28" i="14" s="1"/>
  <c r="L28" i="14" s="1"/>
  <c r="I26" i="14"/>
  <c r="K26" i="14" s="1"/>
  <c r="L26" i="14" s="1"/>
  <c r="I27" i="14"/>
  <c r="K27" i="14" s="1"/>
  <c r="L27" i="14" s="1"/>
  <c r="H30" i="14"/>
  <c r="I32" i="14"/>
  <c r="K32" i="14" s="1"/>
  <c r="L32" i="14" s="1"/>
  <c r="I25" i="14"/>
  <c r="K25" i="14" s="1"/>
  <c r="L25" i="14" s="1"/>
  <c r="I30" i="14"/>
  <c r="K30" i="14" s="1"/>
  <c r="L30" i="14" s="1"/>
  <c r="I31" i="14"/>
  <c r="K31" i="14" s="1"/>
  <c r="L31" i="14" s="1"/>
  <c r="I29" i="14"/>
  <c r="K29" i="14" s="1"/>
  <c r="L29" i="14" s="1"/>
  <c r="H33" i="14"/>
  <c r="H32" i="14"/>
  <c r="H25" i="14"/>
  <c r="I34" i="14"/>
  <c r="K34" i="14" s="1"/>
  <c r="L34" i="14" s="1"/>
  <c r="I35" i="14"/>
  <c r="K35" i="14" s="1"/>
  <c r="L35" i="14" s="1"/>
  <c r="I24" i="14"/>
  <c r="K24" i="14" s="1"/>
  <c r="L24" i="14" s="1"/>
  <c r="I33" i="14"/>
  <c r="K33" i="14" s="1"/>
  <c r="L33" i="14" s="1"/>
  <c r="H23" i="14"/>
  <c r="H24" i="14"/>
  <c r="H31" i="14"/>
  <c r="H35" i="14"/>
  <c r="H26" i="14"/>
  <c r="H27" i="14"/>
  <c r="H28" i="14"/>
  <c r="H34" i="14"/>
  <c r="B29" i="17"/>
  <c r="B43" i="17"/>
  <c r="B39" i="20"/>
  <c r="I29" i="19"/>
  <c r="K29" i="19" s="1"/>
  <c r="L29" i="19" s="1"/>
  <c r="I30" i="19"/>
  <c r="K30" i="19" s="1"/>
  <c r="L30" i="19" s="1"/>
  <c r="H24" i="19"/>
  <c r="I26" i="19"/>
  <c r="K26" i="19" s="1"/>
  <c r="L26" i="19" s="1"/>
  <c r="I33" i="19"/>
  <c r="K33" i="19" s="1"/>
  <c r="L33" i="19" s="1"/>
  <c r="I34" i="19"/>
  <c r="K34" i="19" s="1"/>
  <c r="L34" i="19" s="1"/>
  <c r="H28" i="19"/>
  <c r="H22" i="19"/>
  <c r="H23" i="19"/>
  <c r="H32" i="19"/>
  <c r="I25" i="19"/>
  <c r="K25" i="19" s="1"/>
  <c r="L25" i="19" s="1"/>
  <c r="H26" i="19"/>
  <c r="H27" i="19"/>
  <c r="I24" i="19"/>
  <c r="K24" i="19" s="1"/>
  <c r="L24" i="19" s="1"/>
  <c r="I31" i="19"/>
  <c r="K31" i="19" s="1"/>
  <c r="L31" i="19" s="1"/>
  <c r="H29" i="19"/>
  <c r="H30" i="19"/>
  <c r="H31" i="19"/>
  <c r="I28" i="19"/>
  <c r="K28" i="19" s="1"/>
  <c r="L28" i="19" s="1"/>
  <c r="I22" i="19"/>
  <c r="K22" i="19" s="1"/>
  <c r="L22" i="19" s="1"/>
  <c r="H33" i="19"/>
  <c r="H34" i="19"/>
  <c r="I23" i="19"/>
  <c r="K23" i="19" s="1"/>
  <c r="L23" i="19" s="1"/>
  <c r="I32" i="19"/>
  <c r="K32" i="19" s="1"/>
  <c r="L32" i="19" s="1"/>
  <c r="H25" i="19"/>
  <c r="I27" i="19"/>
  <c r="K27" i="19" s="1"/>
  <c r="L27" i="19" s="1"/>
  <c r="H33" i="18"/>
  <c r="I22" i="18"/>
  <c r="K22" i="18" s="1"/>
  <c r="L22" i="18" s="1"/>
  <c r="I27" i="18"/>
  <c r="K27" i="18" s="1"/>
  <c r="L27" i="18" s="1"/>
  <c r="I25" i="18"/>
  <c r="K25" i="18" s="1"/>
  <c r="L25" i="18" s="1"/>
  <c r="I26" i="18"/>
  <c r="K26" i="18" s="1"/>
  <c r="L26" i="18" s="1"/>
  <c r="I31" i="18"/>
  <c r="K31" i="18" s="1"/>
  <c r="L31" i="18" s="1"/>
  <c r="I29" i="18"/>
  <c r="K29" i="18" s="1"/>
  <c r="L29" i="18" s="1"/>
  <c r="I30" i="18"/>
  <c r="K30" i="18" s="1"/>
  <c r="L30" i="18" s="1"/>
  <c r="H24" i="18"/>
  <c r="I33" i="18"/>
  <c r="K33" i="18" s="1"/>
  <c r="L33" i="18" s="1"/>
  <c r="I34" i="18"/>
  <c r="K34" i="18" s="1"/>
  <c r="L34" i="18" s="1"/>
  <c r="H28" i="18"/>
  <c r="H31" i="18"/>
  <c r="H22" i="18"/>
  <c r="H23" i="18"/>
  <c r="H32" i="18"/>
  <c r="H26" i="18"/>
  <c r="H27" i="18"/>
  <c r="I24" i="18"/>
  <c r="K24" i="18" s="1"/>
  <c r="L24" i="18" s="1"/>
  <c r="H29" i="18"/>
  <c r="H30" i="18"/>
  <c r="I28" i="18"/>
  <c r="K28" i="18" s="1"/>
  <c r="L28" i="18" s="1"/>
  <c r="H25" i="18"/>
  <c r="H34" i="18"/>
  <c r="I23" i="18"/>
  <c r="K23" i="18" s="1"/>
  <c r="L23" i="18" s="1"/>
  <c r="I32" i="18"/>
  <c r="K32" i="18" s="1"/>
  <c r="L32" i="18" s="1"/>
  <c r="H25" i="21"/>
  <c r="I22" i="21"/>
  <c r="K22" i="21" s="1"/>
  <c r="L22" i="21" s="1"/>
  <c r="I27" i="21"/>
  <c r="K27" i="21" s="1"/>
  <c r="L27" i="21" s="1"/>
  <c r="H29" i="21"/>
  <c r="I23" i="21"/>
  <c r="K23" i="21" s="1"/>
  <c r="L23" i="21" s="1"/>
  <c r="I25" i="21"/>
  <c r="K25" i="21" s="1"/>
  <c r="L25" i="21" s="1"/>
  <c r="I26" i="21"/>
  <c r="K26" i="21" s="1"/>
  <c r="L26" i="21" s="1"/>
  <c r="I31" i="21"/>
  <c r="K31" i="21" s="1"/>
  <c r="L31" i="21" s="1"/>
  <c r="I29" i="21"/>
  <c r="K29" i="21" s="1"/>
  <c r="L29" i="21" s="1"/>
  <c r="I30" i="21"/>
  <c r="K30" i="21" s="1"/>
  <c r="L30" i="21" s="1"/>
  <c r="H24" i="21"/>
  <c r="I33" i="21"/>
  <c r="K33" i="21" s="1"/>
  <c r="L33" i="21" s="1"/>
  <c r="I34" i="21"/>
  <c r="K34" i="21" s="1"/>
  <c r="L34" i="21" s="1"/>
  <c r="H28" i="21"/>
  <c r="H34" i="21"/>
  <c r="H22" i="21"/>
  <c r="H23" i="21"/>
  <c r="H32" i="21"/>
  <c r="H26" i="21"/>
  <c r="H27" i="21"/>
  <c r="I24" i="21"/>
  <c r="K24" i="21" s="1"/>
  <c r="L24" i="21" s="1"/>
  <c r="H33" i="21"/>
  <c r="H30" i="21"/>
  <c r="H31" i="21"/>
  <c r="I28" i="21"/>
  <c r="K28" i="21" s="1"/>
  <c r="L28" i="21" s="1"/>
  <c r="I32" i="21"/>
  <c r="K32" i="21" s="1"/>
  <c r="L32" i="21" s="1"/>
  <c r="I25" i="17"/>
  <c r="K25" i="17" s="1"/>
  <c r="L25" i="17" s="1"/>
  <c r="H26" i="17"/>
  <c r="H27" i="17"/>
  <c r="H28" i="17"/>
  <c r="H33" i="17"/>
  <c r="H24" i="17"/>
  <c r="I33" i="17"/>
  <c r="K33" i="17" s="1"/>
  <c r="L33" i="17" s="1"/>
  <c r="H30" i="17"/>
  <c r="H31" i="17"/>
  <c r="H32" i="17"/>
  <c r="I29" i="17"/>
  <c r="K29" i="17" s="1"/>
  <c r="L29" i="17" s="1"/>
  <c r="H34" i="17"/>
  <c r="H35" i="17"/>
  <c r="I24" i="17"/>
  <c r="K24" i="17" s="1"/>
  <c r="L24" i="17" s="1"/>
  <c r="I22" i="17"/>
  <c r="K22" i="17" s="1"/>
  <c r="L22" i="17" s="1"/>
  <c r="I23" i="17"/>
  <c r="K23" i="17" s="1"/>
  <c r="L23" i="17" s="1"/>
  <c r="I28" i="17"/>
  <c r="K28" i="17" s="1"/>
  <c r="L28" i="17" s="1"/>
  <c r="H25" i="17"/>
  <c r="I26" i="17"/>
  <c r="K26" i="17" s="1"/>
  <c r="L26" i="17" s="1"/>
  <c r="I27" i="17"/>
  <c r="K27" i="17" s="1"/>
  <c r="L27" i="17" s="1"/>
  <c r="I32" i="17"/>
  <c r="K32" i="17" s="1"/>
  <c r="L32" i="17" s="1"/>
  <c r="H23" i="17"/>
  <c r="H29" i="17"/>
  <c r="I30" i="17"/>
  <c r="K30" i="17" s="1"/>
  <c r="L30" i="17" s="1"/>
  <c r="I31" i="17"/>
  <c r="K31" i="17" s="1"/>
  <c r="L31" i="17" s="1"/>
  <c r="I34" i="17"/>
  <c r="K34" i="17" s="1"/>
  <c r="L34" i="17" s="1"/>
  <c r="I35" i="17"/>
  <c r="K35" i="17" s="1"/>
  <c r="L35" i="17" s="1"/>
  <c r="H22" i="17"/>
  <c r="M3" i="11"/>
  <c r="M4" i="11"/>
  <c r="L4" i="11"/>
  <c r="M5" i="11"/>
  <c r="L5" i="11"/>
  <c r="M6" i="11"/>
  <c r="L6" i="11"/>
  <c r="M7" i="11"/>
  <c r="L7" i="11"/>
  <c r="M8" i="11"/>
  <c r="L8" i="11"/>
  <c r="M9" i="11"/>
  <c r="L9" i="11"/>
  <c r="M10" i="11"/>
  <c r="L10" i="11"/>
  <c r="M11" i="11"/>
  <c r="L11" i="11"/>
  <c r="M12" i="11"/>
  <c r="L12" i="11"/>
  <c r="M13" i="11"/>
  <c r="L13" i="11"/>
  <c r="M14" i="11"/>
  <c r="L14" i="11"/>
  <c r="M15" i="11"/>
  <c r="L15" i="11"/>
  <c r="M16" i="11"/>
  <c r="L16" i="11"/>
  <c r="M17" i="11"/>
  <c r="L17" i="11"/>
  <c r="M47" i="14" l="1"/>
  <c r="M30" i="17"/>
  <c r="M48" i="13"/>
  <c r="M49" i="16"/>
  <c r="M39" i="17"/>
  <c r="M46" i="14"/>
  <c r="M39" i="14"/>
  <c r="M52" i="14"/>
  <c r="M44" i="19"/>
  <c r="M50" i="18"/>
  <c r="M45" i="11"/>
  <c r="M50" i="13"/>
  <c r="M43" i="16"/>
  <c r="M48" i="16"/>
  <c r="M39" i="15"/>
  <c r="M44" i="20"/>
  <c r="M45" i="14"/>
  <c r="M38" i="21"/>
  <c r="M39" i="19"/>
  <c r="M42" i="18"/>
  <c r="M44" i="14"/>
  <c r="M41" i="17"/>
  <c r="M45" i="17"/>
  <c r="M40" i="20"/>
  <c r="M49" i="20"/>
  <c r="M41" i="14"/>
  <c r="M48" i="11"/>
  <c r="M46" i="13"/>
  <c r="M41" i="20"/>
  <c r="M40" i="17"/>
  <c r="M49" i="21"/>
  <c r="M38" i="19"/>
  <c r="M39" i="18"/>
  <c r="M46" i="18"/>
  <c r="M45" i="13"/>
  <c r="M39" i="13"/>
  <c r="M41" i="18"/>
  <c r="M52" i="11"/>
  <c r="M49" i="18"/>
  <c r="M44" i="21"/>
  <c r="M48" i="20"/>
  <c r="M47" i="17"/>
  <c r="M40" i="15"/>
  <c r="M49" i="15"/>
  <c r="M42" i="20"/>
  <c r="M51" i="13"/>
  <c r="M46" i="11"/>
  <c r="M40" i="13"/>
  <c r="M38" i="20"/>
  <c r="M40" i="18"/>
  <c r="M43" i="15"/>
  <c r="M40" i="21"/>
  <c r="M49" i="14"/>
  <c r="M42" i="15"/>
  <c r="M47" i="20"/>
  <c r="M43" i="14"/>
  <c r="M42" i="17"/>
  <c r="M50" i="14"/>
  <c r="M44" i="11"/>
  <c r="M47" i="21"/>
  <c r="M49" i="19"/>
  <c r="M44" i="13"/>
  <c r="M32" i="13"/>
  <c r="M49" i="17"/>
  <c r="N55" i="16"/>
  <c r="K55" i="16"/>
  <c r="M40" i="16"/>
  <c r="M42" i="16"/>
  <c r="M51" i="15"/>
  <c r="M45" i="15"/>
  <c r="M44" i="15"/>
  <c r="M46" i="20"/>
  <c r="M47" i="11"/>
  <c r="M40" i="11"/>
  <c r="M41" i="21"/>
  <c r="M45" i="19"/>
  <c r="M45" i="18"/>
  <c r="M48" i="14"/>
  <c r="N55" i="17"/>
  <c r="K55" i="17"/>
  <c r="M43" i="17"/>
  <c r="M39" i="16"/>
  <c r="M50" i="15"/>
  <c r="M51" i="14"/>
  <c r="M50" i="11"/>
  <c r="M46" i="21"/>
  <c r="K55" i="21"/>
  <c r="N55" i="21"/>
  <c r="M47" i="19"/>
  <c r="M48" i="19"/>
  <c r="M48" i="18"/>
  <c r="M48" i="17"/>
  <c r="M51" i="16"/>
  <c r="N56" i="15"/>
  <c r="K56" i="15"/>
  <c r="M43" i="20"/>
  <c r="M39" i="20"/>
  <c r="M42" i="14"/>
  <c r="M43" i="21"/>
  <c r="M40" i="19"/>
  <c r="M47" i="18"/>
  <c r="M38" i="18"/>
  <c r="M47" i="13"/>
  <c r="M52" i="13"/>
  <c r="M51" i="17"/>
  <c r="M44" i="17"/>
  <c r="M46" i="16"/>
  <c r="K55" i="20"/>
  <c r="N55" i="20"/>
  <c r="N57" i="11"/>
  <c r="K57" i="11"/>
  <c r="M41" i="11"/>
  <c r="M44" i="18"/>
  <c r="M43" i="13"/>
  <c r="M49" i="13"/>
  <c r="M46" i="17"/>
  <c r="M50" i="17"/>
  <c r="M41" i="16"/>
  <c r="M45" i="16"/>
  <c r="M41" i="15"/>
  <c r="M52" i="15"/>
  <c r="M43" i="11"/>
  <c r="M51" i="11"/>
  <c r="M53" i="11"/>
  <c r="M45" i="21"/>
  <c r="M43" i="19"/>
  <c r="N55" i="19"/>
  <c r="K55" i="19"/>
  <c r="N55" i="18"/>
  <c r="K55" i="18"/>
  <c r="M41" i="13"/>
  <c r="M44" i="16"/>
  <c r="M50" i="16"/>
  <c r="M47" i="15"/>
  <c r="M48" i="15"/>
  <c r="M45" i="20"/>
  <c r="N56" i="14"/>
  <c r="K56" i="14"/>
  <c r="M40" i="14"/>
  <c r="M49" i="11"/>
  <c r="M42" i="11"/>
  <c r="M48" i="21"/>
  <c r="M39" i="21"/>
  <c r="M46" i="19"/>
  <c r="M41" i="19"/>
  <c r="M43" i="18"/>
  <c r="N56" i="13"/>
  <c r="K56" i="13"/>
  <c r="K29" i="11"/>
  <c r="K30" i="11"/>
  <c r="K35" i="11"/>
  <c r="K28" i="11"/>
  <c r="K27" i="11"/>
  <c r="K23" i="11"/>
  <c r="K33" i="11"/>
  <c r="K26" i="11"/>
  <c r="K22" i="11"/>
  <c r="K24" i="11"/>
  <c r="K32" i="11"/>
  <c r="K31" i="11"/>
  <c r="K25" i="11"/>
  <c r="K34" i="11"/>
  <c r="K36" i="11"/>
  <c r="K3" i="11"/>
  <c r="N17" i="11"/>
  <c r="N14" i="11"/>
  <c r="N3" i="11"/>
  <c r="J16" i="23"/>
  <c r="L16" i="23" s="1"/>
  <c r="J8" i="23"/>
  <c r="J9" i="23"/>
  <c r="J17" i="23"/>
  <c r="O6" i="23"/>
  <c r="P6" i="23" s="1"/>
  <c r="W6" i="23"/>
  <c r="L6" i="23"/>
  <c r="J10" i="23"/>
  <c r="J14" i="23"/>
  <c r="J11" i="23"/>
  <c r="J12" i="23"/>
  <c r="J7" i="23"/>
  <c r="J15" i="23"/>
  <c r="J5" i="23"/>
  <c r="J13" i="23"/>
  <c r="K3" i="14"/>
  <c r="N3" i="14"/>
  <c r="K3" i="13"/>
  <c r="N3" i="13"/>
  <c r="N3" i="21"/>
  <c r="K3" i="21"/>
  <c r="N3" i="16"/>
  <c r="K3" i="16"/>
  <c r="K3" i="20"/>
  <c r="N3" i="20"/>
  <c r="N3" i="17"/>
  <c r="K3" i="17"/>
  <c r="K3" i="18"/>
  <c r="N3" i="18"/>
  <c r="K3" i="15"/>
  <c r="N3" i="15"/>
  <c r="K3" i="19"/>
  <c r="N3" i="19"/>
  <c r="M29" i="20"/>
  <c r="M29" i="14"/>
  <c r="M32" i="21"/>
  <c r="M31" i="17"/>
  <c r="M22" i="17"/>
  <c r="M33" i="17"/>
  <c r="M28" i="21"/>
  <c r="M24" i="18"/>
  <c r="M34" i="18"/>
  <c r="M25" i="13"/>
  <c r="M27" i="15"/>
  <c r="M24" i="15"/>
  <c r="M23" i="20"/>
  <c r="M24" i="17"/>
  <c r="M31" i="18"/>
  <c r="M34" i="14"/>
  <c r="M35" i="15"/>
  <c r="M30" i="15"/>
  <c r="M27" i="17"/>
  <c r="M33" i="15"/>
  <c r="M27" i="18"/>
  <c r="M31" i="20"/>
  <c r="M24" i="20"/>
  <c r="M32" i="18"/>
  <c r="M28" i="14"/>
  <c r="M23" i="16"/>
  <c r="M25" i="16"/>
  <c r="M26" i="20"/>
  <c r="M33" i="19"/>
  <c r="M28" i="19"/>
  <c r="M29" i="16"/>
  <c r="M23" i="13"/>
  <c r="M33" i="20"/>
  <c r="M29" i="18"/>
  <c r="M30" i="13"/>
  <c r="M23" i="15"/>
  <c r="M22" i="20"/>
  <c r="M32" i="14"/>
  <c r="M28" i="18"/>
  <c r="M26" i="15"/>
  <c r="M26" i="21"/>
  <c r="M23" i="18"/>
  <c r="M25" i="19"/>
  <c r="M31" i="14"/>
  <c r="M23" i="14"/>
  <c r="M30" i="16"/>
  <c r="M28" i="13"/>
  <c r="M25" i="20"/>
  <c r="M24" i="16"/>
  <c r="M22" i="15"/>
  <c r="M34" i="17"/>
  <c r="M33" i="21"/>
  <c r="M28" i="17"/>
  <c r="M23" i="19"/>
  <c r="M31" i="19"/>
  <c r="M27" i="13"/>
  <c r="M34" i="15"/>
  <c r="M32" i="19"/>
  <c r="M35" i="16"/>
  <c r="M25" i="17"/>
  <c r="M35" i="13"/>
  <c r="M25" i="15"/>
  <c r="M27" i="21"/>
  <c r="M26" i="18"/>
  <c r="M34" i="16"/>
  <c r="M32" i="16"/>
  <c r="M23" i="17"/>
  <c r="M30" i="21"/>
  <c r="M22" i="21"/>
  <c r="M25" i="18"/>
  <c r="M24" i="19"/>
  <c r="M34" i="19"/>
  <c r="M27" i="14"/>
  <c r="M33" i="16"/>
  <c r="M27" i="16"/>
  <c r="M26" i="13"/>
  <c r="M24" i="13"/>
  <c r="M32" i="15"/>
  <c r="M29" i="15"/>
  <c r="M34" i="20"/>
  <c r="M32" i="20"/>
  <c r="M29" i="21"/>
  <c r="M26" i="14"/>
  <c r="M31" i="15"/>
  <c r="M26" i="16"/>
  <c r="M31" i="21"/>
  <c r="M33" i="18"/>
  <c r="M22" i="18"/>
  <c r="M22" i="19"/>
  <c r="M26" i="19"/>
  <c r="M31" i="16"/>
  <c r="M31" i="13"/>
  <c r="M33" i="14"/>
  <c r="M25" i="21"/>
  <c r="M30" i="18"/>
  <c r="M27" i="19"/>
  <c r="M30" i="19"/>
  <c r="M24" i="14"/>
  <c r="M30" i="14"/>
  <c r="M22" i="14"/>
  <c r="M34" i="13"/>
  <c r="M29" i="13"/>
  <c r="M28" i="15"/>
  <c r="M27" i="20"/>
  <c r="M28" i="20"/>
  <c r="M32" i="17"/>
  <c r="M33" i="13"/>
  <c r="M35" i="17"/>
  <c r="M26" i="17"/>
  <c r="M29" i="17"/>
  <c r="M24" i="21"/>
  <c r="M34" i="21"/>
  <c r="M23" i="21"/>
  <c r="M29" i="19"/>
  <c r="M35" i="14"/>
  <c r="M25" i="14"/>
  <c r="M28" i="16"/>
  <c r="M22" i="16"/>
  <c r="M22" i="13"/>
  <c r="N6" i="11"/>
  <c r="N15" i="11"/>
  <c r="N11" i="11"/>
  <c r="N7" i="11"/>
  <c r="N13" i="11"/>
  <c r="N9" i="11"/>
  <c r="K5" i="11"/>
  <c r="N5" i="11"/>
  <c r="N10" i="11"/>
  <c r="N16" i="11"/>
  <c r="N12" i="11"/>
  <c r="N8" i="11"/>
  <c r="N4" i="11"/>
  <c r="K4" i="11"/>
  <c r="K10" i="11"/>
  <c r="K16" i="11"/>
  <c r="K8" i="11"/>
  <c r="K12" i="11"/>
  <c r="K9" i="11"/>
  <c r="K13" i="11"/>
  <c r="K7" i="11"/>
  <c r="K17" i="11"/>
  <c r="K11" i="11"/>
  <c r="K15" i="11"/>
  <c r="K14" i="11"/>
  <c r="K6" i="11"/>
  <c r="D55" i="17" l="1"/>
  <c r="G55" i="17"/>
  <c r="G55" i="19"/>
  <c r="D55" i="19"/>
  <c r="G55" i="21"/>
  <c r="D55" i="21"/>
  <c r="G57" i="11"/>
  <c r="D57" i="11"/>
  <c r="G56" i="15"/>
  <c r="D56" i="15"/>
  <c r="D56" i="13"/>
  <c r="G56" i="13"/>
  <c r="D55" i="20"/>
  <c r="G55" i="20"/>
  <c r="D56" i="14"/>
  <c r="G56" i="14"/>
  <c r="G55" i="18"/>
  <c r="D55" i="18"/>
  <c r="D55" i="16"/>
  <c r="G55" i="16"/>
  <c r="B23" i="11"/>
  <c r="B22" i="11"/>
  <c r="L31" i="11"/>
  <c r="L26" i="11"/>
  <c r="L28" i="11"/>
  <c r="L36" i="11"/>
  <c r="L32" i="11"/>
  <c r="L33" i="11"/>
  <c r="L35" i="11"/>
  <c r="L34" i="11"/>
  <c r="L24" i="11"/>
  <c r="L23" i="11"/>
  <c r="L30" i="11"/>
  <c r="L25" i="11"/>
  <c r="L22" i="11"/>
  <c r="L27" i="11"/>
  <c r="L29" i="11"/>
  <c r="W16" i="23"/>
  <c r="O16" i="23"/>
  <c r="P16" i="23" s="1"/>
  <c r="R16" i="23"/>
  <c r="O7" i="23"/>
  <c r="P7" i="23" s="1"/>
  <c r="W7" i="23"/>
  <c r="L7" i="23"/>
  <c r="R7" i="23"/>
  <c r="O9" i="23"/>
  <c r="P9" i="23" s="1"/>
  <c r="W9" i="23"/>
  <c r="L9" i="23"/>
  <c r="R9" i="23"/>
  <c r="O12" i="23"/>
  <c r="P12" i="23" s="1"/>
  <c r="W12" i="23"/>
  <c r="L12" i="23"/>
  <c r="R12" i="23"/>
  <c r="O5" i="23"/>
  <c r="P5" i="23" s="1"/>
  <c r="W5" i="23"/>
  <c r="L5" i="23"/>
  <c r="R5" i="23"/>
  <c r="O11" i="23"/>
  <c r="P11" i="23" s="1"/>
  <c r="W11" i="23"/>
  <c r="L11" i="23"/>
  <c r="R11" i="23"/>
  <c r="O13" i="23"/>
  <c r="P13" i="23" s="1"/>
  <c r="W13" i="23"/>
  <c r="L13" i="23"/>
  <c r="R13" i="23"/>
  <c r="O17" i="23"/>
  <c r="P17" i="23" s="1"/>
  <c r="W17" i="23"/>
  <c r="L17" i="23"/>
  <c r="R17" i="23"/>
  <c r="O10" i="23"/>
  <c r="P10" i="23" s="1"/>
  <c r="W10" i="23"/>
  <c r="L10" i="23"/>
  <c r="R10" i="23"/>
  <c r="O8" i="23"/>
  <c r="P8" i="23" s="1"/>
  <c r="W8" i="23"/>
  <c r="L8" i="23"/>
  <c r="R8" i="23"/>
  <c r="O14" i="23"/>
  <c r="P14" i="23" s="1"/>
  <c r="W14" i="23"/>
  <c r="L14" i="23"/>
  <c r="R14" i="23"/>
  <c r="O15" i="23"/>
  <c r="P15" i="23" s="1"/>
  <c r="W15" i="23"/>
  <c r="L15" i="23"/>
  <c r="R15" i="23"/>
  <c r="B22" i="21"/>
  <c r="B23" i="21"/>
  <c r="B22" i="18"/>
  <c r="B23" i="18"/>
  <c r="B22" i="17"/>
  <c r="B23" i="17"/>
  <c r="B22" i="19"/>
  <c r="B23" i="19"/>
  <c r="B22" i="20"/>
  <c r="B23" i="20"/>
  <c r="B22" i="13"/>
  <c r="B23" i="13"/>
  <c r="B22" i="16"/>
  <c r="B23" i="16"/>
  <c r="B22" i="15"/>
  <c r="B23" i="15"/>
  <c r="B22" i="14"/>
  <c r="B23" i="14"/>
  <c r="B26" i="11"/>
  <c r="B27" i="11"/>
  <c r="B50" i="11"/>
  <c r="B51" i="11"/>
  <c r="B36" i="11"/>
  <c r="B37" i="11"/>
  <c r="B31" i="11"/>
  <c r="B30" i="11"/>
  <c r="B49" i="11"/>
  <c r="B48" i="11"/>
  <c r="B35" i="11"/>
  <c r="B34" i="11"/>
  <c r="B28" i="11"/>
  <c r="B29" i="11"/>
  <c r="B41" i="11"/>
  <c r="B40" i="11"/>
  <c r="B46" i="11"/>
  <c r="B47" i="11"/>
  <c r="B38" i="11"/>
  <c r="B39" i="11"/>
  <c r="B24" i="11"/>
  <c r="B25" i="11"/>
  <c r="B42" i="11"/>
  <c r="B43" i="11"/>
  <c r="B45" i="11"/>
  <c r="B44" i="11"/>
  <c r="B32" i="11"/>
  <c r="B33" i="11"/>
  <c r="M28" i="11" l="1"/>
  <c r="M33" i="11"/>
  <c r="M22" i="11"/>
  <c r="M24" i="11"/>
  <c r="M32" i="11"/>
  <c r="M26" i="11"/>
  <c r="M25" i="11"/>
  <c r="M34" i="11"/>
  <c r="M31" i="11"/>
  <c r="M23" i="11"/>
  <c r="M27" i="11"/>
  <c r="M29" i="11"/>
  <c r="M30" i="11"/>
  <c r="M35" i="11"/>
  <c r="M36" i="11"/>
  <c r="G12" i="23" a="1"/>
  <c r="G12" i="23" s="1"/>
  <c r="G29" i="23" s="1"/>
  <c r="J22" i="23" s="1"/>
  <c r="R36" i="23" l="1"/>
  <c r="W36" i="23" l="1"/>
  <c r="R22" i="23"/>
  <c r="W22" i="23"/>
  <c r="G31" i="23"/>
  <c r="O22" i="23"/>
  <c r="P22" i="23" s="1"/>
  <c r="L22" i="23"/>
  <c r="J32" i="23" l="1"/>
  <c r="L32" i="23" s="1"/>
  <c r="J26" i="23"/>
  <c r="O26" i="23" s="1"/>
  <c r="P26" i="23" s="1"/>
  <c r="J25" i="23"/>
  <c r="O25" i="23" s="1"/>
  <c r="P25" i="23" s="1"/>
  <c r="J35" i="23"/>
  <c r="L35" i="23" s="1"/>
  <c r="J29" i="23"/>
  <c r="O29" i="23" s="1"/>
  <c r="P29" i="23" s="1"/>
  <c r="J23" i="23"/>
  <c r="L23" i="23" s="1"/>
  <c r="J24" i="23"/>
  <c r="O24" i="23" s="1"/>
  <c r="P24" i="23" s="1"/>
  <c r="J31" i="23"/>
  <c r="L31" i="23" s="1"/>
  <c r="J28" i="23"/>
  <c r="L28" i="23" s="1"/>
  <c r="J30" i="23"/>
  <c r="O30" i="23" s="1"/>
  <c r="P30" i="23" s="1"/>
  <c r="J34" i="23"/>
  <c r="O34" i="23" s="1"/>
  <c r="P34" i="23" s="1"/>
  <c r="J27" i="23"/>
  <c r="L27" i="23" s="1"/>
  <c r="J33" i="23"/>
  <c r="W33" i="23" s="1"/>
  <c r="W32" i="23" l="1"/>
  <c r="L26" i="23"/>
  <c r="O35" i="23"/>
  <c r="P35" i="23" s="1"/>
  <c r="W34" i="23"/>
  <c r="R34" i="23"/>
  <c r="W30" i="23"/>
  <c r="L30" i="23"/>
  <c r="R25" i="23"/>
  <c r="L25" i="23"/>
  <c r="O32" i="23"/>
  <c r="P32" i="23" s="1"/>
  <c r="R32" i="23"/>
  <c r="W25" i="23"/>
  <c r="W29" i="23"/>
  <c r="R35" i="23"/>
  <c r="L29" i="23"/>
  <c r="W35" i="23"/>
  <c r="R29" i="23"/>
  <c r="R30" i="23"/>
  <c r="R33" i="23"/>
  <c r="R26" i="23"/>
  <c r="W26" i="23"/>
  <c r="W24" i="23"/>
  <c r="R24" i="23"/>
  <c r="L24" i="23"/>
  <c r="O33" i="23"/>
  <c r="P33" i="23" s="1"/>
  <c r="W23" i="23"/>
  <c r="W31" i="23"/>
  <c r="R31" i="23"/>
  <c r="W28" i="23"/>
  <c r="R23" i="23"/>
  <c r="O28" i="23"/>
  <c r="P28" i="23" s="1"/>
  <c r="O31" i="23"/>
  <c r="P31" i="23" s="1"/>
  <c r="R28" i="23"/>
  <c r="O23" i="23"/>
  <c r="P23" i="23" s="1"/>
  <c r="L33" i="23"/>
  <c r="W27" i="23"/>
  <c r="R27" i="23"/>
  <c r="O27" i="23"/>
  <c r="P27" i="23" s="1"/>
  <c r="L34" i="23"/>
  <c r="G30" i="23" l="1" a="1"/>
  <c r="G30" i="23" s="1"/>
  <c r="G47" i="23" s="1"/>
  <c r="J40" i="23" l="1"/>
  <c r="L40" i="23" s="1"/>
  <c r="R54" i="23" l="1"/>
  <c r="O40" i="23"/>
  <c r="P40" i="23" s="1"/>
  <c r="W40" i="23"/>
  <c r="W54" i="23"/>
  <c r="R40" i="23"/>
  <c r="G49" i="23"/>
  <c r="J47" i="23" s="1"/>
  <c r="W47" i="23" s="1"/>
  <c r="J51" i="23" l="1"/>
  <c r="O51" i="23" s="1"/>
  <c r="P51" i="23" s="1"/>
  <c r="R47" i="23"/>
  <c r="J48" i="23"/>
  <c r="L48" i="23" s="1"/>
  <c r="J43" i="23"/>
  <c r="W43" i="23" s="1"/>
  <c r="J50" i="23"/>
  <c r="O50" i="23" s="1"/>
  <c r="P50" i="23" s="1"/>
  <c r="J44" i="23"/>
  <c r="W44" i="23" s="1"/>
  <c r="J52" i="23"/>
  <c r="J41" i="23"/>
  <c r="J53" i="23"/>
  <c r="J49" i="23"/>
  <c r="W49" i="23" s="1"/>
  <c r="O47" i="23"/>
  <c r="P47" i="23" s="1"/>
  <c r="J46" i="23"/>
  <c r="O46" i="23" s="1"/>
  <c r="P46" i="23" s="1"/>
  <c r="J42" i="23"/>
  <c r="R42" i="23" s="1"/>
  <c r="J45" i="23"/>
  <c r="W45" i="23" s="1"/>
  <c r="L47" i="23"/>
  <c r="R51" i="23" l="1"/>
  <c r="O43" i="23"/>
  <c r="P43" i="23" s="1"/>
  <c r="R49" i="23"/>
  <c r="R43" i="23"/>
  <c r="L49" i="23"/>
  <c r="O48" i="23"/>
  <c r="P48" i="23" s="1"/>
  <c r="W48" i="23"/>
  <c r="L44" i="23"/>
  <c r="R50" i="23"/>
  <c r="R48" i="23"/>
  <c r="L46" i="23"/>
  <c r="O49" i="23"/>
  <c r="P49" i="23" s="1"/>
  <c r="L43" i="23"/>
  <c r="R45" i="23"/>
  <c r="O44" i="23"/>
  <c r="P44" i="23" s="1"/>
  <c r="R44" i="23"/>
  <c r="R46" i="23"/>
  <c r="R53" i="23"/>
  <c r="W53" i="23"/>
  <c r="L53" i="23"/>
  <c r="O53" i="23"/>
  <c r="P53" i="23" s="1"/>
  <c r="W51" i="23"/>
  <c r="W46" i="23"/>
  <c r="O41" i="23"/>
  <c r="P41" i="23" s="1"/>
  <c r="W41" i="23"/>
  <c r="R41" i="23"/>
  <c r="L41" i="23"/>
  <c r="L52" i="23"/>
  <c r="O52" i="23"/>
  <c r="P52" i="23" s="1"/>
  <c r="W52" i="23"/>
  <c r="R52" i="23"/>
  <c r="L45" i="23"/>
  <c r="O45" i="23"/>
  <c r="P45" i="23" s="1"/>
  <c r="L50" i="23"/>
  <c r="W50" i="23"/>
  <c r="L51" i="23"/>
  <c r="O42" i="23"/>
  <c r="P42" i="23" s="1"/>
  <c r="L42" i="23"/>
  <c r="W42" i="23"/>
  <c r="L180" i="23"/>
  <c r="O180" i="23"/>
  <c r="P180" i="23" s="1"/>
  <c r="G48" i="23" l="1" a="1"/>
  <c r="G48" i="23" s="1"/>
  <c r="G65" i="23" s="1"/>
  <c r="J58" i="23" s="1"/>
  <c r="R72" i="23" s="1"/>
  <c r="W58" i="23" l="1"/>
  <c r="L58" i="23"/>
  <c r="W72" i="23"/>
  <c r="R58" i="23"/>
  <c r="O58" i="23"/>
  <c r="P58" i="23" s="1"/>
  <c r="G67" i="23"/>
  <c r="J64" i="23" s="1"/>
  <c r="O64" i="23" s="1"/>
  <c r="P64" i="23" s="1"/>
  <c r="J61" i="23" l="1"/>
  <c r="R61" i="23" s="1"/>
  <c r="J59" i="23"/>
  <c r="W59" i="23" s="1"/>
  <c r="J69" i="23"/>
  <c r="L69" i="23" s="1"/>
  <c r="J60" i="23"/>
  <c r="L60" i="23" s="1"/>
  <c r="R64" i="23"/>
  <c r="J66" i="23"/>
  <c r="L66" i="23" s="1"/>
  <c r="W64" i="23"/>
  <c r="J68" i="23"/>
  <c r="R68" i="23" s="1"/>
  <c r="L64" i="23"/>
  <c r="J71" i="23"/>
  <c r="R71" i="23" s="1"/>
  <c r="J70" i="23"/>
  <c r="R70" i="23" s="1"/>
  <c r="J67" i="23"/>
  <c r="L67" i="23" s="1"/>
  <c r="J62" i="23"/>
  <c r="W62" i="23" s="1"/>
  <c r="J63" i="23"/>
  <c r="L63" i="23" s="1"/>
  <c r="J65" i="23"/>
  <c r="W65" i="23" s="1"/>
  <c r="O60" i="23" l="1"/>
  <c r="P60" i="23" s="1"/>
  <c r="L59" i="23"/>
  <c r="O59" i="23"/>
  <c r="P59" i="23" s="1"/>
  <c r="L61" i="23"/>
  <c r="R60" i="23"/>
  <c r="W60" i="23"/>
  <c r="O61" i="23"/>
  <c r="P61" i="23" s="1"/>
  <c r="W61" i="23"/>
  <c r="R59" i="23"/>
  <c r="O66" i="23"/>
  <c r="P66" i="23" s="1"/>
  <c r="W69" i="23"/>
  <c r="R69" i="23"/>
  <c r="O69" i="23"/>
  <c r="P69" i="23" s="1"/>
  <c r="W68" i="23"/>
  <c r="L68" i="23"/>
  <c r="O63" i="23"/>
  <c r="P63" i="23" s="1"/>
  <c r="L70" i="23"/>
  <c r="R67" i="23"/>
  <c r="R62" i="23"/>
  <c r="L62" i="23"/>
  <c r="L71" i="23"/>
  <c r="O68" i="23"/>
  <c r="P68" i="23" s="1"/>
  <c r="L65" i="23"/>
  <c r="W66" i="23"/>
  <c r="W63" i="23"/>
  <c r="R66" i="23"/>
  <c r="R63" i="23"/>
  <c r="R65" i="23"/>
  <c r="O62" i="23"/>
  <c r="P62" i="23" s="1"/>
  <c r="O65" i="23"/>
  <c r="P65" i="23" s="1"/>
  <c r="O70" i="23"/>
  <c r="P70" i="23" s="1"/>
  <c r="W71" i="23"/>
  <c r="W70" i="23"/>
  <c r="O71" i="23"/>
  <c r="P71" i="23" s="1"/>
  <c r="W67" i="23"/>
  <c r="O67" i="23"/>
  <c r="P67" i="23" s="1"/>
  <c r="G66" i="23" l="1" a="1"/>
  <c r="G66" i="23" s="1"/>
  <c r="G83" i="23" s="1"/>
  <c r="J76" i="23" s="1"/>
  <c r="W90" i="23" s="1"/>
  <c r="R76" i="23" l="1"/>
  <c r="W76" i="23"/>
  <c r="L76" i="23"/>
  <c r="O76" i="23"/>
  <c r="P76" i="23" s="1"/>
  <c r="G85" i="23"/>
  <c r="J77" i="23" s="1"/>
  <c r="R77" i="23" s="1"/>
  <c r="R90" i="23"/>
  <c r="J89" i="23" l="1"/>
  <c r="W89" i="23" s="1"/>
  <c r="J83" i="23"/>
  <c r="R83" i="23" s="1"/>
  <c r="W77" i="23"/>
  <c r="L77" i="23"/>
  <c r="O77" i="23"/>
  <c r="P77" i="23" s="1"/>
  <c r="J87" i="23"/>
  <c r="R87" i="23" s="1"/>
  <c r="J78" i="23"/>
  <c r="O78" i="23" s="1"/>
  <c r="P78" i="23" s="1"/>
  <c r="J80" i="23"/>
  <c r="L80" i="23" s="1"/>
  <c r="J81" i="23"/>
  <c r="O81" i="23" s="1"/>
  <c r="P81" i="23" s="1"/>
  <c r="J88" i="23"/>
  <c r="L88" i="23" s="1"/>
  <c r="J86" i="23"/>
  <c r="O86" i="23" s="1"/>
  <c r="P86" i="23" s="1"/>
  <c r="J79" i="23"/>
  <c r="W79" i="23" s="1"/>
  <c r="J82" i="23"/>
  <c r="L82" i="23" s="1"/>
  <c r="J85" i="23"/>
  <c r="L85" i="23" s="1"/>
  <c r="J84" i="23"/>
  <c r="W83" i="23" l="1"/>
  <c r="L83" i="23"/>
  <c r="O83" i="23"/>
  <c r="P83" i="23" s="1"/>
  <c r="O87" i="23"/>
  <c r="P87" i="23" s="1"/>
  <c r="R78" i="23"/>
  <c r="L89" i="23"/>
  <c r="O89" i="23"/>
  <c r="P89" i="23" s="1"/>
  <c r="R89" i="23"/>
  <c r="L78" i="23"/>
  <c r="R80" i="23"/>
  <c r="R82" i="23"/>
  <c r="W87" i="23"/>
  <c r="W78" i="23"/>
  <c r="W85" i="23"/>
  <c r="L87" i="23"/>
  <c r="R85" i="23"/>
  <c r="R88" i="23"/>
  <c r="R81" i="23"/>
  <c r="L81" i="23"/>
  <c r="O80" i="23"/>
  <c r="P80" i="23" s="1"/>
  <c r="W80" i="23"/>
  <c r="O88" i="23"/>
  <c r="P88" i="23" s="1"/>
  <c r="O85" i="23"/>
  <c r="P85" i="23" s="1"/>
  <c r="O82" i="23"/>
  <c r="P82" i="23" s="1"/>
  <c r="R86" i="23"/>
  <c r="O79" i="23"/>
  <c r="P79" i="23" s="1"/>
  <c r="L79" i="23"/>
  <c r="W88" i="23"/>
  <c r="W81" i="23"/>
  <c r="L86" i="23"/>
  <c r="R79" i="23"/>
  <c r="W86" i="23"/>
  <c r="O84" i="23"/>
  <c r="P84" i="23" s="1"/>
  <c r="R84" i="23"/>
  <c r="L84" i="23"/>
  <c r="W84" i="23"/>
  <c r="W82" i="23"/>
  <c r="G84" i="23" l="1" a="1"/>
  <c r="G84" i="23" s="1"/>
  <c r="G101" i="23" s="1"/>
  <c r="J94" i="23" s="1"/>
  <c r="L94" i="23" s="1"/>
  <c r="W94" i="23" l="1"/>
  <c r="W108" i="23"/>
  <c r="O94" i="23"/>
  <c r="P94" i="23" s="1"/>
  <c r="R94" i="23"/>
  <c r="G103" i="23"/>
  <c r="J101" i="23" s="1"/>
  <c r="W101" i="23" s="1"/>
  <c r="R108" i="23"/>
  <c r="J104" i="23" l="1"/>
  <c r="W104" i="23" s="1"/>
  <c r="L101" i="23"/>
  <c r="J95" i="23"/>
  <c r="O95" i="23" s="1"/>
  <c r="P95" i="23" s="1"/>
  <c r="J106" i="23"/>
  <c r="W106" i="23" s="1"/>
  <c r="J103" i="23"/>
  <c r="R103" i="23" s="1"/>
  <c r="J97" i="23"/>
  <c r="R97" i="23" s="1"/>
  <c r="J99" i="23"/>
  <c r="R99" i="23" s="1"/>
  <c r="J102" i="23"/>
  <c r="R102" i="23" s="1"/>
  <c r="J98" i="23"/>
  <c r="W98" i="23" s="1"/>
  <c r="J105" i="23"/>
  <c r="R105" i="23" s="1"/>
  <c r="J100" i="23"/>
  <c r="O100" i="23" s="1"/>
  <c r="P100" i="23" s="1"/>
  <c r="O101" i="23"/>
  <c r="P101" i="23" s="1"/>
  <c r="R101" i="23"/>
  <c r="J107" i="23"/>
  <c r="L107" i="23" s="1"/>
  <c r="J96" i="23"/>
  <c r="L96" i="23" s="1"/>
  <c r="O104" i="23" l="1"/>
  <c r="P104" i="23" s="1"/>
  <c r="R104" i="23"/>
  <c r="L104" i="23"/>
  <c r="L95" i="23"/>
  <c r="R95" i="23"/>
  <c r="W95" i="23"/>
  <c r="L103" i="23"/>
  <c r="W103" i="23"/>
  <c r="R96" i="23"/>
  <c r="W97" i="23"/>
  <c r="L97" i="23"/>
  <c r="R100" i="23"/>
  <c r="R106" i="23"/>
  <c r="L106" i="23"/>
  <c r="L99" i="23"/>
  <c r="R107" i="23"/>
  <c r="O103" i="23"/>
  <c r="P103" i="23" s="1"/>
  <c r="O99" i="23"/>
  <c r="P99" i="23" s="1"/>
  <c r="O106" i="23"/>
  <c r="P106" i="23" s="1"/>
  <c r="L102" i="23"/>
  <c r="R98" i="23"/>
  <c r="O97" i="23"/>
  <c r="P97" i="23" s="1"/>
  <c r="L98" i="23"/>
  <c r="O98" i="23"/>
  <c r="P98" i="23" s="1"/>
  <c r="W99" i="23"/>
  <c r="O105" i="23"/>
  <c r="P105" i="23" s="1"/>
  <c r="O102" i="23"/>
  <c r="P102" i="23" s="1"/>
  <c r="W105" i="23"/>
  <c r="W100" i="23"/>
  <c r="W102" i="23"/>
  <c r="L100" i="23"/>
  <c r="L105" i="23"/>
  <c r="W107" i="23"/>
  <c r="O107" i="23"/>
  <c r="P107" i="23" s="1"/>
  <c r="W96" i="23"/>
  <c r="O96" i="23"/>
  <c r="P96" i="23" s="1"/>
  <c r="G102" i="23" l="1" a="1"/>
  <c r="G102" i="23" s="1"/>
  <c r="G119" i="23" s="1"/>
  <c r="J112" i="23" s="1"/>
  <c r="G121" i="23" s="1"/>
  <c r="J124" i="23" s="1"/>
  <c r="R126" i="23" l="1"/>
  <c r="W112" i="23"/>
  <c r="R112" i="23"/>
  <c r="W126" i="23"/>
  <c r="L112" i="23"/>
  <c r="O112" i="23"/>
  <c r="P112" i="23" s="1"/>
  <c r="J120" i="23"/>
  <c r="O124" i="23"/>
  <c r="P124" i="23" s="1"/>
  <c r="L124" i="23"/>
  <c r="R124" i="23"/>
  <c r="W124" i="23"/>
  <c r="J116" i="23"/>
  <c r="J117" i="23"/>
  <c r="J119" i="23"/>
  <c r="J113" i="23"/>
  <c r="J125" i="23"/>
  <c r="J114" i="23"/>
  <c r="J121" i="23"/>
  <c r="J123" i="23"/>
  <c r="J115" i="23"/>
  <c r="J118" i="23"/>
  <c r="J122" i="23"/>
  <c r="L119" i="23" l="1"/>
  <c r="O119" i="23"/>
  <c r="P119" i="23" s="1"/>
  <c r="R119" i="23"/>
  <c r="W119" i="23"/>
  <c r="O120" i="23"/>
  <c r="P120" i="23" s="1"/>
  <c r="L120" i="23"/>
  <c r="R120" i="23"/>
  <c r="W120" i="23"/>
  <c r="O118" i="23"/>
  <c r="P118" i="23" s="1"/>
  <c r="L118" i="23"/>
  <c r="W118" i="23"/>
  <c r="R118" i="23"/>
  <c r="O117" i="23"/>
  <c r="P117" i="23" s="1"/>
  <c r="L117" i="23"/>
  <c r="W117" i="23"/>
  <c r="R117" i="23"/>
  <c r="O122" i="23"/>
  <c r="P122" i="23" s="1"/>
  <c r="L122" i="23"/>
  <c r="R122" i="23"/>
  <c r="W122" i="23"/>
  <c r="O115" i="23"/>
  <c r="P115" i="23" s="1"/>
  <c r="L115" i="23"/>
  <c r="W115" i="23"/>
  <c r="R115" i="23"/>
  <c r="O116" i="23"/>
  <c r="P116" i="23" s="1"/>
  <c r="L116" i="23"/>
  <c r="W116" i="23"/>
  <c r="R116" i="23"/>
  <c r="O123" i="23"/>
  <c r="P123" i="23" s="1"/>
  <c r="L123" i="23"/>
  <c r="W123" i="23"/>
  <c r="R123" i="23"/>
  <c r="O121" i="23"/>
  <c r="P121" i="23" s="1"/>
  <c r="L121" i="23"/>
  <c r="W121" i="23"/>
  <c r="R121" i="23"/>
  <c r="L114" i="23"/>
  <c r="O114" i="23"/>
  <c r="P114" i="23" s="1"/>
  <c r="R114" i="23"/>
  <c r="W114" i="23"/>
  <c r="O125" i="23"/>
  <c r="P125" i="23" s="1"/>
  <c r="L125" i="23"/>
  <c r="R125" i="23"/>
  <c r="W125" i="23"/>
  <c r="O113" i="23"/>
  <c r="P113" i="23" s="1"/>
  <c r="L113" i="23"/>
  <c r="R113" i="23"/>
  <c r="W113" i="23"/>
  <c r="G120" i="23" l="1" a="1"/>
  <c r="G120" i="23" s="1"/>
  <c r="G137" i="23" s="1"/>
  <c r="J130" i="23" l="1"/>
  <c r="W144" i="23" s="1"/>
  <c r="R144" i="23" l="1"/>
  <c r="G139" i="23"/>
  <c r="J143" i="23" s="1"/>
  <c r="O130" i="23"/>
  <c r="P130" i="23" s="1"/>
  <c r="L130" i="23"/>
  <c r="W130" i="23"/>
  <c r="R130" i="23"/>
  <c r="J137" i="23" l="1"/>
  <c r="O137" i="23" s="1"/>
  <c r="P137" i="23" s="1"/>
  <c r="O143" i="23"/>
  <c r="P143" i="23" s="1"/>
  <c r="L143" i="23"/>
  <c r="W143" i="23"/>
  <c r="R143" i="23"/>
  <c r="J132" i="23"/>
  <c r="J134" i="23"/>
  <c r="J135" i="23"/>
  <c r="J133" i="23"/>
  <c r="J139" i="23"/>
  <c r="J138" i="23"/>
  <c r="J142" i="23"/>
  <c r="J136" i="23"/>
  <c r="J140" i="23"/>
  <c r="J131" i="23"/>
  <c r="J141" i="23"/>
  <c r="R137" i="23" l="1"/>
  <c r="W137" i="23"/>
  <c r="L137" i="23"/>
  <c r="L142" i="23"/>
  <c r="O142" i="23"/>
  <c r="P142" i="23" s="1"/>
  <c r="W142" i="23"/>
  <c r="R142" i="23"/>
  <c r="O133" i="23"/>
  <c r="P133" i="23" s="1"/>
  <c r="L133" i="23"/>
  <c r="W133" i="23"/>
  <c r="R133" i="23"/>
  <c r="L138" i="23"/>
  <c r="O138" i="23"/>
  <c r="P138" i="23" s="1"/>
  <c r="W138" i="23"/>
  <c r="R138" i="23"/>
  <c r="O139" i="23"/>
  <c r="P139" i="23" s="1"/>
  <c r="L139" i="23"/>
  <c r="R139" i="23"/>
  <c r="W139" i="23"/>
  <c r="L141" i="23"/>
  <c r="O141" i="23"/>
  <c r="P141" i="23" s="1"/>
  <c r="R141" i="23"/>
  <c r="W141" i="23"/>
  <c r="L135" i="23"/>
  <c r="O135" i="23"/>
  <c r="P135" i="23" s="1"/>
  <c r="R135" i="23"/>
  <c r="W135" i="23"/>
  <c r="O131" i="23"/>
  <c r="P131" i="23" s="1"/>
  <c r="L131" i="23"/>
  <c r="W131" i="23"/>
  <c r="R131" i="23"/>
  <c r="O134" i="23"/>
  <c r="P134" i="23" s="1"/>
  <c r="L134" i="23"/>
  <c r="R134" i="23"/>
  <c r="W134" i="23"/>
  <c r="L140" i="23"/>
  <c r="O140" i="23"/>
  <c r="P140" i="23" s="1"/>
  <c r="W140" i="23"/>
  <c r="R140" i="23"/>
  <c r="O136" i="23"/>
  <c r="P136" i="23" s="1"/>
  <c r="L136" i="23"/>
  <c r="W136" i="23"/>
  <c r="R136" i="23"/>
  <c r="O132" i="23"/>
  <c r="P132" i="23" s="1"/>
  <c r="L132" i="23"/>
  <c r="W132" i="23"/>
  <c r="R132" i="23"/>
  <c r="G138" i="23" l="1" a="1"/>
  <c r="G138" i="23" s="1"/>
  <c r="G155" i="23" s="1"/>
  <c r="J148" i="23" l="1"/>
  <c r="R162" i="23" s="1"/>
  <c r="W162" i="23" l="1"/>
  <c r="G157" i="23"/>
  <c r="J153" i="23" s="1"/>
  <c r="O148" i="23"/>
  <c r="P148" i="23" s="1"/>
  <c r="L148" i="23"/>
  <c r="R148" i="23"/>
  <c r="W148" i="23"/>
  <c r="J160" i="23" l="1"/>
  <c r="R160" i="23" s="1"/>
  <c r="J152" i="23"/>
  <c r="W152" i="23" s="1"/>
  <c r="J156" i="23"/>
  <c r="R156" i="23" s="1"/>
  <c r="J154" i="23"/>
  <c r="W154" i="23" s="1"/>
  <c r="J161" i="23"/>
  <c r="R161" i="23" s="1"/>
  <c r="J158" i="23"/>
  <c r="L158" i="23" s="1"/>
  <c r="J155" i="23"/>
  <c r="L155" i="23" s="1"/>
  <c r="J157" i="23"/>
  <c r="L157" i="23" s="1"/>
  <c r="J159" i="23"/>
  <c r="R159" i="23" s="1"/>
  <c r="J151" i="23"/>
  <c r="L151" i="23" s="1"/>
  <c r="J149" i="23"/>
  <c r="O149" i="23" s="1"/>
  <c r="P149" i="23" s="1"/>
  <c r="J150" i="23"/>
  <c r="O150" i="23" s="1"/>
  <c r="P150" i="23" s="1"/>
  <c r="O153" i="23"/>
  <c r="P153" i="23" s="1"/>
  <c r="L153" i="23"/>
  <c r="R153" i="23"/>
  <c r="W153" i="23"/>
  <c r="O156" i="23" l="1"/>
  <c r="P156" i="23" s="1"/>
  <c r="O154" i="23"/>
  <c r="P154" i="23" s="1"/>
  <c r="W156" i="23"/>
  <c r="L156" i="23"/>
  <c r="R154" i="23"/>
  <c r="L149" i="23"/>
  <c r="L154" i="23"/>
  <c r="O152" i="23"/>
  <c r="P152" i="23" s="1"/>
  <c r="L152" i="23"/>
  <c r="R152" i="23"/>
  <c r="W151" i="23"/>
  <c r="O161" i="23"/>
  <c r="P161" i="23" s="1"/>
  <c r="O158" i="23"/>
  <c r="P158" i="23" s="1"/>
  <c r="R150" i="23"/>
  <c r="L160" i="23"/>
  <c r="W160" i="23"/>
  <c r="W161" i="23"/>
  <c r="O151" i="23"/>
  <c r="P151" i="23" s="1"/>
  <c r="R151" i="23"/>
  <c r="R158" i="23"/>
  <c r="W158" i="23"/>
  <c r="L159" i="23"/>
  <c r="O155" i="23"/>
  <c r="P155" i="23" s="1"/>
  <c r="L150" i="23"/>
  <c r="R149" i="23"/>
  <c r="O159" i="23"/>
  <c r="P159" i="23" s="1"/>
  <c r="L161" i="23"/>
  <c r="O160" i="23"/>
  <c r="P160" i="23" s="1"/>
  <c r="W149" i="23"/>
  <c r="W159" i="23"/>
  <c r="R157" i="23"/>
  <c r="W150" i="23"/>
  <c r="R155" i="23"/>
  <c r="W155" i="23"/>
  <c r="W157" i="23"/>
  <c r="O157" i="23"/>
  <c r="P157" i="23" s="1"/>
  <c r="G156" i="23" l="1" a="1"/>
  <c r="G156" i="23" s="1"/>
  <c r="G173" i="23" s="1"/>
  <c r="J166" i="23" s="1"/>
  <c r="L166" i="23" s="1"/>
  <c r="O166" i="23" l="1"/>
  <c r="P166" i="23" s="1"/>
  <c r="R166" i="23"/>
  <c r="W166" i="23"/>
  <c r="R180" i="23"/>
  <c r="G174" i="23"/>
  <c r="J167" i="23" s="1"/>
  <c r="O167" i="23" s="1"/>
  <c r="P167" i="23" s="1"/>
  <c r="W180" i="23"/>
  <c r="R167" i="23" l="1"/>
  <c r="J175" i="23"/>
  <c r="W175" i="23" s="1"/>
  <c r="J170" i="23"/>
  <c r="O170" i="23" s="1"/>
  <c r="P170" i="23" s="1"/>
  <c r="J174" i="23"/>
  <c r="W174" i="23" s="1"/>
  <c r="J173" i="23"/>
  <c r="R173" i="23" s="1"/>
  <c r="J169" i="23"/>
  <c r="L169" i="23" s="1"/>
  <c r="J172" i="23"/>
  <c r="W172" i="23" s="1"/>
  <c r="J168" i="23"/>
  <c r="R168" i="23" s="1"/>
  <c r="J176" i="23"/>
  <c r="W176" i="23" s="1"/>
  <c r="W167" i="23"/>
  <c r="L167" i="23"/>
  <c r="J177" i="23"/>
  <c r="W177" i="23" s="1"/>
  <c r="J171" i="23"/>
  <c r="O171" i="23" s="1"/>
  <c r="P171" i="23" s="1"/>
  <c r="J179" i="23"/>
  <c r="W179" i="23" s="1"/>
  <c r="J178" i="23"/>
  <c r="W170" i="23" l="1"/>
  <c r="R170" i="23"/>
  <c r="L170" i="23"/>
  <c r="O174" i="23"/>
  <c r="P174" i="23" s="1"/>
  <c r="L174" i="23"/>
  <c r="R174" i="23"/>
  <c r="R175" i="23"/>
  <c r="L175" i="23"/>
  <c r="O175" i="23"/>
  <c r="P175" i="23" s="1"/>
  <c r="L173" i="23"/>
  <c r="W169" i="23"/>
  <c r="R169" i="23"/>
  <c r="L177" i="23"/>
  <c r="L172" i="23"/>
  <c r="R177" i="23"/>
  <c r="O177" i="23"/>
  <c r="P177" i="23" s="1"/>
  <c r="L176" i="23"/>
  <c r="R176" i="23"/>
  <c r="O176" i="23"/>
  <c r="P176" i="23" s="1"/>
  <c r="R172" i="23"/>
  <c r="L168" i="23"/>
  <c r="L171" i="23"/>
  <c r="O168" i="23"/>
  <c r="P168" i="23" s="1"/>
  <c r="W173" i="23"/>
  <c r="R171" i="23"/>
  <c r="W171" i="23"/>
  <c r="W168" i="23"/>
  <c r="O172" i="23"/>
  <c r="P172" i="23" s="1"/>
  <c r="O169" i="23"/>
  <c r="P169" i="23" s="1"/>
  <c r="O173" i="23"/>
  <c r="P173" i="23" s="1"/>
  <c r="L178" i="23"/>
  <c r="R178" i="23"/>
  <c r="O178" i="23"/>
  <c r="P178" i="23" s="1"/>
  <c r="W178" i="23"/>
  <c r="R179" i="23"/>
  <c r="O179" i="23"/>
  <c r="P179" i="23" s="1"/>
  <c r="L179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(v) dane1" type="6" refreshedVersion="6" background="1" saveData="1">
    <textPr codePage="852" sourceFile="C:\Users\Administrator\Desktop\ML\p6\g(v) dane.txt" decimal="," thousands=" " semicolon="1">
      <textFields count="2">
        <textField/>
        <textField/>
      </textFields>
    </textPr>
  </connection>
  <connection id="2" xr16:uid="{E3CC8CEF-2F86-4604-8633-44A2E4E52A23}" name="h=0" type="6" refreshedVersion="8" background="1" saveData="1">
    <textPr codePage="852" sourceFile="C:\Users\Sebastian\Desktop\OBRONA\praca\Praca\PWS-51\ML-SC\p6\h=0.txt" decimal="," thousands=" " semicolon="1">
      <textFields count="2">
        <textField/>
        <textField/>
      </textFields>
    </textPr>
  </connection>
  <connection id="3" xr16:uid="{C5701FAB-4E4F-4961-B469-EDEE11FB46C1}" name="h=01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4" xr16:uid="{D4938376-1329-4A6C-A649-11F4E245057F}" name="h=011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5" xr16:uid="{85A77F62-5CE8-4054-9339-77216B152D73}" name="h=0110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6" xr16:uid="{22856C10-A4C3-426F-8A03-1AE2EA861EB6}" name="h=0111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7" xr16:uid="{C1384EAE-679D-4AC0-9C6E-924B8F19BA9A}" name="h=0112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8" xr16:uid="{FAABD2A6-8E28-4B57-9E28-984FB3F9D5D2}" name="h=0113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9" xr16:uid="{4683C7BD-4E99-40A7-8E8A-42C86178A529}" name="h=0114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0" xr16:uid="{83680ADC-0695-4E8C-9F98-54828C2C83A2}" name="h=0115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1" xr16:uid="{9A53D822-B4E4-4CD7-917F-D59B3F9B228C}" name="h=0116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2" xr16:uid="{222C5A0B-DE3F-4A09-AF19-C5AA8861A91A}" name="h=0117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3" xr16:uid="{46767A79-E7E9-435F-8D64-93D7F0751E7E}" name="h=0118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4" xr16:uid="{838C4696-450A-4C6D-93FD-DCA606804C90}" name="h=012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5" xr16:uid="{BB2793E3-E67D-43F7-BD20-3833B3B000F0}" name="h=013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6" xr16:uid="{B3458B08-2E7B-4FFD-9815-B07EDBE1E192}" name="h=014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7" xr16:uid="{8E19484A-DAC6-4415-B007-7C1BDD9F9F41}" name="h=015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8" xr16:uid="{17E37C25-360B-48A8-B1F8-E7752B413CF8}" name="h=016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19" xr16:uid="{76A783EB-3C94-4E16-A6A7-857416F4BAF2}" name="h=017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20" xr16:uid="{EDB796E2-1F62-4156-AE03-C7EE414BF97F}" name="h=018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21" xr16:uid="{5D885CF6-4E40-48DC-8ADB-C6620DEE2B84}" name="h=019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22" xr16:uid="{FC178588-3A7C-4D2F-BA9D-D966792ABDD5}" name="h=02" type="6" refreshedVersion="8" background="1" saveData="1">
    <textPr codePage="852" sourceFile="C:\Users\Sebastian\Desktop\OBRONA\praca\Praca\PWS-51\N(V)\h=0.txt" decimal="," thousands=" " semicolon="1">
      <textFields count="2">
        <textField/>
        <textField/>
      </textFields>
    </textPr>
  </connection>
  <connection id="23" xr16:uid="{982CA915-6772-4C58-BCD2-491145D59D8F}" name="h=1000" type="6" refreshedVersion="8" background="1" saveData="1">
    <textPr codePage="852" sourceFile="C:\Users\Sebastian\Desktop\OBRONA\praca\Praca\PWS-51\N(V)\h=1000.txt" decimal="," thousands=" " semicolon="1">
      <textFields count="2">
        <textField/>
        <textField/>
      </textFields>
    </textPr>
  </connection>
  <connection id="24" xr16:uid="{D8611A03-4A0B-43C5-94EC-D7AED5B61D18}" name="h=1500" type="6" refreshedVersion="8" background="1" saveData="1">
    <textPr codePage="852" sourceFile="C:\Users\Sebastian\Desktop\OBRONA\praca\Praca\PWS-51\N(V)\h=1500.txt" decimal="," thousands=" " semicolon="1">
      <textFields count="2">
        <textField/>
        <textField/>
      </textFields>
    </textPr>
  </connection>
  <connection id="25" xr16:uid="{4F09D55A-D80F-4E88-A3B8-4815B3482F83}" name="h=2000" type="6" refreshedVersion="8" background="1" saveData="1">
    <textPr codePage="852" sourceFile="C:\Users\Sebastian\Desktop\OBRONA\praca\Praca\PWS-51\N(V)\h=2000.txt" decimal="," thousands=" " semicolon="1">
      <textFields count="2">
        <textField/>
        <textField/>
      </textFields>
    </textPr>
  </connection>
  <connection id="26" xr16:uid="{8D5EDA7C-81BC-493E-9D94-112DB5CE95A4}" name="h=2500" type="6" refreshedVersion="8" background="1" saveData="1">
    <textPr codePage="852" sourceFile="C:\Users\Sebastian\Desktop\OBRONA\praca\Praca\PWS-51\N(V)\h=2500.txt" decimal="," thousands=" " semicolon="1">
      <textFields count="2">
        <textField/>
        <textField/>
      </textFields>
    </textPr>
  </connection>
  <connection id="27" xr16:uid="{45FF6233-D12C-43BA-BD06-89EC9ACE2A34}" name="h=3000" type="6" refreshedVersion="8" background="1" saveData="1">
    <textPr codePage="852" sourceFile="C:\Users\Sebastian\Desktop\OBRONA\praca\Praca\PWS-51\N(V)\h=3000.txt" decimal="," thousands=" " semicolon="1">
      <textFields count="2">
        <textField/>
        <textField/>
      </textFields>
    </textPr>
  </connection>
  <connection id="28" xr16:uid="{5D7FBD79-DA8F-4AD9-B552-DAB2C0C11C02}" name="h=3500" type="6" refreshedVersion="8" background="1" saveData="1">
    <textPr codePage="852" sourceFile="C:\Users\Sebastian\Desktop\OBRONA\praca\Praca\PWS-51\N(V)\h=3500.txt" decimal="," thousands=" " semicolon="1">
      <textFields count="2">
        <textField/>
        <textField/>
      </textFields>
    </textPr>
  </connection>
  <connection id="29" xr16:uid="{F2F1DFFD-6761-4497-84CA-3DD2268E3346}" name="h=4000" type="6" refreshedVersion="8" background="1" saveData="1">
    <textPr codePage="852" sourceFile="C:\Users\Sebastian\Desktop\OBRONA\praca\Praca\PWS-51\N(V)\h=4000.txt" decimal="," thousands=" " semicolon="1">
      <textFields count="2">
        <textField/>
        <textField/>
      </textFields>
    </textPr>
  </connection>
  <connection id="30" xr16:uid="{2390889B-2390-4457-8453-697B92FA3329}" name="h=4500" type="6" refreshedVersion="8" background="1" saveData="1">
    <textPr codePage="852" sourceFile="C:\Users\Sebastian\Desktop\OBRONA\praca\Praca\PWS-51\N(V)\h=4500.txt" decimal="," thousands=" " semicolon="1">
      <textFields count="2">
        <textField/>
        <textField/>
      </textFields>
    </textPr>
  </connection>
  <connection id="31" xr16:uid="{1DB339D4-0FEA-4098-9933-ABE7067B5EE7}" name="h=500" type="6" refreshedVersion="8" background="1" saveData="1">
    <textPr codePage="852" sourceFile="C:\Users\Sebastian\Desktop\OBRONA\praca\Praca\PWS-51\N(V)\h=500.txt" decimal="," thousands=" " semicolon="1">
      <textFields count="2">
        <textField/>
        <textField/>
      </textFields>
    </textPr>
  </connection>
  <connection id="32" xr16:uid="{AAC612CB-8376-4611-B0B2-EBD0241AA40E}" name="V PWS" type="6" refreshedVersion="8" background="1" saveData="1">
    <textPr codePage="852" sourceFile="C:\Users\Sebastian\Desktop\OBRONA\praca\Praca\ofertowy\V PWS.txt" decimal="," thousands=" " semicolon="1">
      <textFields count="2">
        <textField/>
        <textField/>
      </textFields>
    </textPr>
  </connection>
  <connection id="33" xr16:uid="{F2EB24F9-B445-4EFD-A323-9A5F82BD8EA6}" name="V2 PWS" type="6" refreshedVersion="8" background="1" saveData="1">
    <textPr codePage="852" sourceFile="C:\Users\Sebastian\Desktop\OBRONA\praca\Praca\ofertowy\V2 PWS.txt" decimal="," thousands=" " semicolon="1">
      <textFields count="2"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<sst xmlns="http://schemas.openxmlformats.org/spreadsheetml/2006/main" count="1476" uniqueCount="206">
  <si>
    <t>kg</t>
  </si>
  <si>
    <t>Cz</t>
  </si>
  <si>
    <t>E</t>
  </si>
  <si>
    <t>m</t>
  </si>
  <si>
    <t>g</t>
  </si>
  <si>
    <t>S</t>
  </si>
  <si>
    <t>h</t>
  </si>
  <si>
    <t>-</t>
  </si>
  <si>
    <t>h [m]</t>
  </si>
  <si>
    <t>wysokość lotu</t>
  </si>
  <si>
    <t>kąt pochylenia osi silnika fi</t>
  </si>
  <si>
    <t>średnica śmigła</t>
  </si>
  <si>
    <t>masa samolotu</t>
  </si>
  <si>
    <t>Q</t>
  </si>
  <si>
    <t>k</t>
  </si>
  <si>
    <t>Równania</t>
  </si>
  <si>
    <t>Kąty [deg]</t>
  </si>
  <si>
    <t>D</t>
  </si>
  <si>
    <t>Obroty silnika</t>
  </si>
  <si>
    <t>współczynnik korekcyjny</t>
  </si>
  <si>
    <t>wydłużenie Oswalda</t>
  </si>
  <si>
    <t>Powierzchnia nośna</t>
  </si>
  <si>
    <t>Moc silnika</t>
  </si>
  <si>
    <t>Ciężar samolotu</t>
  </si>
  <si>
    <t>Moc na wysokości przelotowej</t>
  </si>
  <si>
    <t>Współczynnik mocy</t>
  </si>
  <si>
    <t>gęstość powietrza na wysokości h</t>
  </si>
  <si>
    <t>φ</t>
  </si>
  <si>
    <r>
      <t>α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</si>
  <si>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t>ρ</t>
  </si>
  <si>
    <t>gęstość powietrza przy ziemii</t>
  </si>
  <si>
    <t>1/rad</t>
  </si>
  <si>
    <t>W</t>
  </si>
  <si>
    <t>m2</t>
  </si>
  <si>
    <t>1/s</t>
  </si>
  <si>
    <t>kg/m3</t>
  </si>
  <si>
    <t>N</t>
  </si>
  <si>
    <t>rad</t>
  </si>
  <si>
    <t>Kąt zerowej siły nośnej</t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</si>
  <si>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</si>
  <si>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t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</si>
  <si>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</si>
  <si>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hp</t>
    </r>
  </si>
  <si>
    <r>
      <t>ρ</t>
    </r>
    <r>
      <rPr>
        <vertAlign val="subscript"/>
        <sz val="11"/>
        <color theme="1"/>
        <rFont val="Calibri Light"/>
        <family val="2"/>
        <charset val="238"/>
      </rPr>
      <t>0</t>
    </r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</si>
  <si>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t</t>
    </r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</si>
  <si>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pal</t>
    </r>
  </si>
  <si>
    <t>Δt</t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</si>
  <si>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obl</t>
    </r>
  </si>
  <si>
    <t>m/s2</t>
  </si>
  <si>
    <t>min</t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</si>
  <si>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N</t>
    </r>
  </si>
  <si>
    <r>
      <t>q</t>
    </r>
    <r>
      <rPr>
        <vertAlign val="subscript"/>
        <sz val="11"/>
        <color theme="1"/>
        <rFont val="Calibri"/>
        <family val="2"/>
        <charset val="238"/>
        <scheme val="minor"/>
      </rPr>
      <t>e</t>
    </r>
  </si>
  <si>
    <r>
      <t>m</t>
    </r>
    <r>
      <rPr>
        <b/>
        <vertAlign val="subscript"/>
        <sz val="11"/>
        <color theme="1"/>
        <rFont val="Calibri"/>
        <family val="2"/>
        <charset val="238"/>
        <scheme val="minor"/>
      </rPr>
      <t>k</t>
    </r>
  </si>
  <si>
    <r>
      <t>N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</si>
  <si>
    <r>
      <t>N</t>
    </r>
    <r>
      <rPr>
        <b/>
        <vertAlign val="subscript"/>
        <sz val="11"/>
        <color theme="1"/>
        <rFont val="Calibri"/>
        <family val="2"/>
        <charset val="238"/>
        <scheme val="minor"/>
      </rPr>
      <t>nom</t>
    </r>
  </si>
  <si>
    <r>
      <t>n</t>
    </r>
    <r>
      <rPr>
        <b/>
        <vertAlign val="subscript"/>
        <sz val="11"/>
        <color theme="1"/>
        <rFont val="Calibri"/>
        <family val="2"/>
        <charset val="238"/>
        <scheme val="minor"/>
      </rPr>
      <t>s</t>
    </r>
  </si>
  <si>
    <r>
      <t>Λ</t>
    </r>
    <r>
      <rPr>
        <b/>
        <vertAlign val="subscript"/>
        <sz val="11"/>
        <color theme="1"/>
        <rFont val="Calibri"/>
        <family val="2"/>
        <charset val="238"/>
        <scheme val="minor"/>
      </rPr>
      <t>e</t>
    </r>
  </si>
  <si>
    <r>
      <t>(Cx)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</si>
  <si>
    <r>
      <t>a</t>
    </r>
    <r>
      <rPr>
        <b/>
        <vertAlign val="subscript"/>
        <sz val="11"/>
        <color theme="1"/>
        <rFont val="Calibri"/>
        <family val="2"/>
        <charset val="238"/>
        <scheme val="minor"/>
      </rPr>
      <t>∞</t>
    </r>
  </si>
  <si>
    <r>
      <t>α</t>
    </r>
    <r>
      <rPr>
        <b/>
        <vertAlign val="subscript"/>
        <sz val="11"/>
        <color theme="1"/>
        <rFont val="Calibri"/>
        <family val="2"/>
        <charset val="238"/>
        <scheme val="minor"/>
      </rPr>
      <t>0</t>
    </r>
  </si>
  <si>
    <r>
      <rPr>
        <b/>
        <sz val="11"/>
        <color theme="1"/>
        <rFont val="Calibri"/>
        <family val="2"/>
        <charset val="238"/>
      </rPr>
      <t>η</t>
    </r>
    <r>
      <rPr>
        <b/>
        <vertAlign val="subscript"/>
        <sz val="11"/>
        <color theme="1"/>
        <rFont val="Calibri"/>
        <family val="2"/>
        <charset val="238"/>
        <scheme val="minor"/>
      </rPr>
      <t>ś</t>
    </r>
  </si>
  <si>
    <t>°</t>
  </si>
  <si>
    <r>
      <t>ρ</t>
    </r>
    <r>
      <rPr>
        <b/>
        <vertAlign val="subscript"/>
        <sz val="11"/>
        <color theme="1"/>
        <rFont val="Calibri Light"/>
        <family val="2"/>
        <charset val="238"/>
      </rPr>
      <t>pal</t>
    </r>
  </si>
  <si>
    <t>Kąty [rad]</t>
  </si>
  <si>
    <r>
      <t>a</t>
    </r>
    <r>
      <rPr>
        <b/>
        <vertAlign val="subscript"/>
        <sz val="12"/>
        <color theme="1"/>
        <rFont val="Arial"/>
        <family val="2"/>
        <charset val="238"/>
      </rPr>
      <t>∞</t>
    </r>
  </si>
  <si>
    <r>
      <t>N</t>
    </r>
    <r>
      <rPr>
        <b/>
        <vertAlign val="subscript"/>
        <sz val="12"/>
        <color theme="1"/>
        <rFont val="Arial"/>
        <family val="2"/>
        <charset val="238"/>
      </rPr>
      <t>max</t>
    </r>
  </si>
  <si>
    <r>
      <t>m</t>
    </r>
    <r>
      <rPr>
        <b/>
        <vertAlign val="superscript"/>
        <sz val="12"/>
        <color theme="1"/>
        <rFont val="Arial"/>
        <family val="2"/>
        <charset val="238"/>
      </rPr>
      <t>2</t>
    </r>
  </si>
  <si>
    <r>
      <t>α</t>
    </r>
    <r>
      <rPr>
        <b/>
        <vertAlign val="subscript"/>
        <sz val="12"/>
        <color theme="1"/>
        <rFont val="Arial"/>
        <family val="2"/>
        <charset val="238"/>
      </rPr>
      <t>0</t>
    </r>
  </si>
  <si>
    <r>
      <t>Λ</t>
    </r>
    <r>
      <rPr>
        <b/>
        <vertAlign val="subscript"/>
        <sz val="12"/>
        <color theme="1"/>
        <rFont val="Arial"/>
        <family val="2"/>
        <charset val="238"/>
      </rPr>
      <t>e</t>
    </r>
  </si>
  <si>
    <r>
      <t>(Cx)</t>
    </r>
    <r>
      <rPr>
        <b/>
        <vertAlign val="subscript"/>
        <sz val="12"/>
        <color theme="1"/>
        <rFont val="Arial"/>
        <family val="2"/>
        <charset val="238"/>
      </rPr>
      <t>min</t>
    </r>
  </si>
  <si>
    <r>
      <t>n</t>
    </r>
    <r>
      <rPr>
        <b/>
        <vertAlign val="subscript"/>
        <sz val="12"/>
        <color theme="1"/>
        <rFont val="Arial"/>
        <family val="2"/>
        <charset val="238"/>
      </rPr>
      <t>s</t>
    </r>
  </si>
  <si>
    <r>
      <t>kg/m</t>
    </r>
    <r>
      <rPr>
        <b/>
        <vertAlign val="superscript"/>
        <sz val="12"/>
        <color theme="1"/>
        <rFont val="Arial"/>
        <family val="2"/>
        <charset val="238"/>
      </rPr>
      <t>3</t>
    </r>
  </si>
  <si>
    <r>
      <t>ρ</t>
    </r>
    <r>
      <rPr>
        <vertAlign val="subscript"/>
        <sz val="12"/>
        <color theme="1"/>
        <rFont val="Arial"/>
        <family val="2"/>
        <charset val="238"/>
      </rPr>
      <t>h</t>
    </r>
  </si>
  <si>
    <r>
      <t>kg/m</t>
    </r>
    <r>
      <rPr>
        <vertAlign val="superscript"/>
        <sz val="12"/>
        <color theme="1"/>
        <rFont val="Arial"/>
        <family val="2"/>
        <charset val="238"/>
      </rPr>
      <t>3</t>
    </r>
  </si>
  <si>
    <r>
      <t>N</t>
    </r>
    <r>
      <rPr>
        <vertAlign val="subscript"/>
        <sz val="12"/>
        <color theme="1"/>
        <rFont val="Arial"/>
        <family val="2"/>
        <charset val="238"/>
      </rPr>
      <t>h</t>
    </r>
  </si>
  <si>
    <r>
      <t>C</t>
    </r>
    <r>
      <rPr>
        <vertAlign val="subscript"/>
        <sz val="12"/>
        <color theme="1"/>
        <rFont val="Arial"/>
        <family val="2"/>
        <charset val="238"/>
      </rPr>
      <t>N</t>
    </r>
  </si>
  <si>
    <t>V [m/s]</t>
  </si>
  <si>
    <r>
      <t>N</t>
    </r>
    <r>
      <rPr>
        <b/>
        <vertAlign val="subscript"/>
        <sz val="12"/>
        <color theme="1"/>
        <rFont val="Arial"/>
        <family val="2"/>
        <charset val="238"/>
      </rPr>
      <t>r</t>
    </r>
    <r>
      <rPr>
        <b/>
        <sz val="12"/>
        <color theme="1"/>
        <rFont val="Arial"/>
        <family val="2"/>
        <charset val="238"/>
      </rPr>
      <t xml:space="preserve"> [W]</t>
    </r>
  </si>
  <si>
    <r>
      <t>P</t>
    </r>
    <r>
      <rPr>
        <b/>
        <vertAlign val="subscript"/>
        <sz val="12"/>
        <color theme="1"/>
        <rFont val="Arial"/>
        <family val="2"/>
        <charset val="238"/>
      </rPr>
      <t>s</t>
    </r>
    <r>
      <rPr>
        <b/>
        <sz val="12"/>
        <color theme="1"/>
        <rFont val="Arial"/>
        <family val="2"/>
        <charset val="238"/>
      </rPr>
      <t xml:space="preserve"> [N]</t>
    </r>
  </si>
  <si>
    <t>α [°]</t>
  </si>
  <si>
    <t>w [m/s]</t>
  </si>
  <si>
    <r>
      <t>N</t>
    </r>
    <r>
      <rPr>
        <b/>
        <vertAlign val="subscript"/>
        <sz val="12"/>
        <color theme="1"/>
        <rFont val="Arial"/>
        <family val="2"/>
        <charset val="238"/>
      </rPr>
      <t>n</t>
    </r>
    <r>
      <rPr>
        <b/>
        <sz val="12"/>
        <color theme="1"/>
        <rFont val="Arial"/>
        <family val="2"/>
        <charset val="238"/>
      </rPr>
      <t xml:space="preserve"> [W]</t>
    </r>
  </si>
  <si>
    <t>ΔN [W]</t>
  </si>
  <si>
    <t>Minimalny  Cx z danych</t>
  </si>
  <si>
    <t>Współczynnik kierunkowy Cz(a)</t>
  </si>
  <si>
    <t>γ [°]</t>
  </si>
  <si>
    <t>Metoda ciągu, zmienna masa, h=0m</t>
  </si>
  <si>
    <t>Współczynnik kierunkowy prostej Cz(a)</t>
  </si>
  <si>
    <t>γ</t>
  </si>
  <si>
    <t>[rad]</t>
  </si>
  <si>
    <t>[°]</t>
  </si>
  <si>
    <t xml:space="preserve">α </t>
  </si>
  <si>
    <t>Minimalny współczynnik Cx z danych</t>
  </si>
  <si>
    <t>Przyspieszenie grawitacyjne</t>
  </si>
  <si>
    <r>
      <t>m/s</t>
    </r>
    <r>
      <rPr>
        <b/>
        <vertAlign val="subscript"/>
        <sz val="12"/>
        <color theme="1"/>
        <rFont val="Arial"/>
        <family val="2"/>
        <charset val="238"/>
      </rPr>
      <t>2</t>
    </r>
  </si>
  <si>
    <t>Masa paliwa</t>
  </si>
  <si>
    <r>
      <t>m</t>
    </r>
    <r>
      <rPr>
        <b/>
        <vertAlign val="subscript"/>
        <sz val="12"/>
        <color theme="1"/>
        <rFont val="Arial"/>
        <family val="2"/>
        <charset val="238"/>
      </rPr>
      <t>p</t>
    </r>
  </si>
  <si>
    <t>Miminalna masa samolotu</t>
  </si>
  <si>
    <r>
      <t>m</t>
    </r>
    <r>
      <rPr>
        <b/>
        <vertAlign val="subscript"/>
        <sz val="12"/>
        <color theme="1"/>
        <rFont val="Arial"/>
        <family val="2"/>
        <charset val="238"/>
      </rPr>
      <t>min</t>
    </r>
  </si>
  <si>
    <t>maksymalny współczynnik siły nośnej</t>
  </si>
  <si>
    <r>
      <t>Cz</t>
    </r>
    <r>
      <rPr>
        <b/>
        <vertAlign val="subscript"/>
        <sz val="12"/>
        <color theme="1"/>
        <rFont val="Arial"/>
        <family val="2"/>
        <charset val="238"/>
      </rPr>
      <t>max</t>
    </r>
  </si>
  <si>
    <t>Metoda ciągu, zmienna masa, h=1000m</t>
  </si>
  <si>
    <t>Metoda ciągu, zmienna masa, h=1500m</t>
  </si>
  <si>
    <t>Metoda ciągu, zmienna masa, h=2000m</t>
  </si>
  <si>
    <t>Metoda ciągu, zmienna masa, h=2500m</t>
  </si>
  <si>
    <t>Metoda ciągu, zmienna masa, h=3000m</t>
  </si>
  <si>
    <t>Metoda ciągu, zmienna masa, h=3500m</t>
  </si>
  <si>
    <t>Metoda ciągu, zmienna masa, h=4000m</t>
  </si>
  <si>
    <t>Metoda ciągu, zmienna masa, h=4500m</t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</si>
  <si>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</si>
  <si>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</si>
  <si>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</si>
  <si>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</si>
  <si>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</si>
  <si>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w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</si>
  <si>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w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</si>
  <si>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w</t>
    </r>
    <r>
      <rPr>
        <b/>
        <sz val="11"/>
        <color theme="1"/>
        <rFont val="Calibri"/>
        <family val="2"/>
        <charset val="238"/>
        <scheme val="minor"/>
      </rPr>
      <t xml:space="preserve"> [km/h]</t>
    </r>
  </si>
  <si>
    <r>
      <t>γ</t>
    </r>
    <r>
      <rPr>
        <b/>
        <vertAlign val="subscript"/>
        <sz val="11"/>
        <color theme="1"/>
        <rFont val="Calibri"/>
        <family val="2"/>
        <charset val="238"/>
      </rPr>
      <t>max</t>
    </r>
    <r>
      <rPr>
        <b/>
        <sz val="11"/>
        <color theme="1"/>
        <rFont val="Calibri"/>
        <family val="2"/>
        <charset val="238"/>
      </rPr>
      <t xml:space="preserve"> [°]</t>
    </r>
  </si>
  <si>
    <r>
      <t>V</t>
    </r>
    <r>
      <rPr>
        <b/>
        <vertAlign val="subscript"/>
        <sz val="11"/>
        <color theme="1"/>
        <rFont val="Calibri"/>
        <family val="2"/>
        <charset val="238"/>
      </rPr>
      <t>γ</t>
    </r>
    <r>
      <rPr>
        <b/>
        <sz val="11"/>
        <color theme="1"/>
        <rFont val="Calibri"/>
        <family val="2"/>
        <charset val="238"/>
      </rPr>
      <t xml:space="preserve"> [m/s]</t>
    </r>
  </si>
  <si>
    <r>
      <t>V</t>
    </r>
    <r>
      <rPr>
        <b/>
        <vertAlign val="subscript"/>
        <sz val="11"/>
        <color theme="1"/>
        <rFont val="Calibri"/>
        <family val="2"/>
        <charset val="238"/>
      </rPr>
      <t>γ</t>
    </r>
    <r>
      <rPr>
        <b/>
        <sz val="11"/>
        <color theme="1"/>
        <rFont val="Calibri"/>
        <family val="2"/>
        <charset val="238"/>
      </rPr>
      <t xml:space="preserve"> [km/h]</t>
    </r>
  </si>
  <si>
    <r>
      <t>10·γ</t>
    </r>
    <r>
      <rPr>
        <b/>
        <vertAlign val="subscript"/>
        <sz val="11"/>
        <color theme="1"/>
        <rFont val="Calibri"/>
        <family val="2"/>
        <charset val="238"/>
      </rPr>
      <t>max</t>
    </r>
    <r>
      <rPr>
        <b/>
        <sz val="11"/>
        <color theme="1"/>
        <rFont val="Calibri"/>
        <family val="2"/>
        <charset val="238"/>
      </rPr>
      <t xml:space="preserve"> [°]</t>
    </r>
  </si>
  <si>
    <r>
      <t>10·w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</si>
  <si>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h</t>
    </r>
    <r>
      <rPr>
        <b/>
        <vertAlign val="subscript"/>
        <sz val="11"/>
        <color theme="1"/>
        <rFont val="Calibri"/>
        <family val="2"/>
        <charset val="238"/>
      </rPr>
      <t>t</t>
    </r>
    <r>
      <rPr>
        <b/>
        <sz val="11"/>
        <color theme="1"/>
        <rFont val="Calibri"/>
        <family val="2"/>
        <charset val="238"/>
      </rPr>
      <t xml:space="preserve"> [m]</t>
    </r>
  </si>
  <si>
    <t>ciągu</t>
  </si>
  <si>
    <t>m zmienna</t>
  </si>
  <si>
    <t>mocy</t>
  </si>
  <si>
    <t>Vmin</t>
  </si>
  <si>
    <t>Vy</t>
  </si>
  <si>
    <t>Vw</t>
  </si>
  <si>
    <t>Vmax</t>
  </si>
  <si>
    <t>w</t>
  </si>
  <si>
    <t>ht1</t>
  </si>
  <si>
    <t>hp1</t>
  </si>
  <si>
    <t>ht2</t>
  </si>
  <si>
    <t>hp2</t>
  </si>
  <si>
    <t>ht3</t>
  </si>
  <si>
    <t>hp3</t>
  </si>
  <si>
    <t>Ja w</t>
  </si>
  <si>
    <t>Jednostkowe zużycie paliwa</t>
  </si>
  <si>
    <t>qe</t>
  </si>
  <si>
    <t>kg/kWh</t>
  </si>
  <si>
    <t>mp</t>
  </si>
  <si>
    <t>dmp</t>
  </si>
  <si>
    <t>Nr/w</t>
  </si>
  <si>
    <t>v</t>
  </si>
  <si>
    <t>m/s</t>
  </si>
  <si>
    <r>
      <t>t</t>
    </r>
    <r>
      <rPr>
        <b/>
        <vertAlign val="subscript"/>
        <sz val="11"/>
        <color theme="1"/>
        <rFont val="Calibri"/>
        <family val="2"/>
        <charset val="238"/>
      </rPr>
      <t>h</t>
    </r>
    <r>
      <rPr>
        <b/>
        <sz val="11"/>
        <color theme="1"/>
        <rFont val="Calibri"/>
        <family val="2"/>
        <charset val="238"/>
      </rPr>
      <t xml:space="preserve"> [min]</t>
    </r>
  </si>
  <si>
    <r>
      <t>t</t>
    </r>
    <r>
      <rPr>
        <b/>
        <vertAlign val="subscript"/>
        <sz val="11"/>
        <color theme="1"/>
        <rFont val="Calibri"/>
        <family val="2"/>
        <charset val="238"/>
      </rPr>
      <t>h</t>
    </r>
    <r>
      <rPr>
        <b/>
        <sz val="11"/>
        <color theme="1"/>
        <rFont val="Calibri"/>
        <family val="2"/>
        <charset val="238"/>
      </rPr>
      <t xml:space="preserve">  [min]</t>
    </r>
  </si>
  <si>
    <t xml:space="preserve">Metoda ciągu, zmienna masa, h=500m, </t>
  </si>
  <si>
    <t>Równanie 1</t>
  </si>
  <si>
    <t xml:space="preserve">gamma </t>
  </si>
  <si>
    <t>alfa</t>
  </si>
  <si>
    <t>Rówannie 2</t>
  </si>
  <si>
    <t>Qmax</t>
  </si>
  <si>
    <t>Ciężar maksymalny samolotu</t>
  </si>
  <si>
    <r>
      <t>Q</t>
    </r>
    <r>
      <rPr>
        <b/>
        <vertAlign val="subscript"/>
        <sz val="12"/>
        <color theme="1"/>
        <rFont val="Arial"/>
        <family val="2"/>
        <charset val="238"/>
      </rPr>
      <t>max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</si>
  <si>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</si>
  <si>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h=4500m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</si>
  <si>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h=4000m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</si>
  <si>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</si>
  <si>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</si>
  <si>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</si>
  <si>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h=2000m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</si>
  <si>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h=2500m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</si>
  <si>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h=3000m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</si>
  <si>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h=3500m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</si>
  <si>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</si>
  <si>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h=4500m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</si>
  <si>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h=4000m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</si>
  <si>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h=3500m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</si>
  <si>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h=3000m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</si>
  <si>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h=2500m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</si>
  <si>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h=2000m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</si>
  <si>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h=1500m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</si>
  <si>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h=1000m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</si>
  <si>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śr</t>
    </r>
    <r>
      <rPr>
        <b/>
        <sz val="12"/>
        <color theme="1"/>
        <rFont val="Arial"/>
        <family val="2"/>
        <charset val="238"/>
      </rPr>
      <t>, h=500m</t>
    </r>
  </si>
  <si>
    <t>mśr</t>
  </si>
  <si>
    <t>mmax</t>
  </si>
  <si>
    <t>hp4</t>
  </si>
  <si>
    <t>ht5</t>
  </si>
  <si>
    <t>hp5</t>
  </si>
  <si>
    <t>ht4</t>
  </si>
  <si>
    <t>V</t>
  </si>
  <si>
    <t xml:space="preserve"> zmien</t>
  </si>
  <si>
    <t>zmien, h</t>
  </si>
  <si>
    <t>mmin</t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</si>
  <si>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</si>
  <si>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h=500m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</si>
  <si>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</si>
  <si>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</si>
  <si>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</si>
  <si>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</si>
  <si>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h=1500m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</si>
  <si>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h=1500m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</si>
  <si>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h=2000m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</si>
  <si>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h=2000m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</si>
  <si>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h=2500m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</si>
  <si>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h=2500m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</si>
  <si>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h=3000m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</si>
  <si>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h=3000m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</si>
  <si>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h=3500m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</si>
  <si>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h=3500m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</si>
  <si>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h=4000m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</si>
  <si>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h=4000m</t>
    </r>
  </si>
  <si>
    <r>
      <t>Metoda mocy,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h=4500m</t>
    </r>
  </si>
  <si>
    <r>
      <t>Metoda ciągu, m=m</t>
    </r>
    <r>
      <rPr>
        <b/>
        <vertAlign val="subscript"/>
        <sz val="12"/>
        <color theme="1"/>
        <rFont val="Arial"/>
        <family val="2"/>
        <charset val="238"/>
      </rPr>
      <t>0</t>
    </r>
    <r>
      <rPr>
        <b/>
        <sz val="12"/>
        <color theme="1"/>
        <rFont val="Arial"/>
        <family val="2"/>
        <charset val="238"/>
      </rPr>
      <t>, h=4500m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</si>
</sst>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 Light"/>
      <family val="2"/>
      <charset val="238"/>
    </font>
    <font>
      <b/>
      <vertAlign val="sub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 Light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theme="1"/>
      <name val="Calibri Light"/>
      <family val="2"/>
      <charset val="238"/>
    </font>
    <font>
      <b/>
      <vertAlign val="subscript"/>
      <sz val="11"/>
      <color theme="1"/>
      <name val="Calibri Light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vertAlign val="subscript"/>
      <sz val="12"/>
      <color theme="1"/>
      <name val="Arial"/>
      <family val="2"/>
      <charset val="238"/>
    </font>
    <font>
      <b/>
      <vertAlign val="superscript"/>
      <sz val="12"/>
      <color theme="1"/>
      <name val="Arial"/>
      <family val="2"/>
      <charset val="238"/>
    </font>
    <font>
      <vertAlign val="subscript"/>
      <sz val="12"/>
      <color theme="1"/>
      <name val="Arial"/>
      <family val="2"/>
      <charset val="238"/>
    </font>
    <font>
      <vertAlign val="superscript"/>
      <sz val="12"/>
      <color theme="1"/>
      <name val="Arial"/>
      <family val="2"/>
      <charset val="238"/>
    </font>
    <font>
      <sz val="12"/>
      <color theme="1"/>
      <name val="Calibri Light"/>
      <family val="2"/>
      <charset val="238"/>
    </font>
    <font>
      <b/>
      <vertAlign val="subscript"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 vertical="center"/>
    </xf>
    <xf numFmtId="2" fontId="9" fillId="4" borderId="7" xfId="0" applyNumberFormat="1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4" fontId="9" fillId="5" borderId="4" xfId="0" applyNumberFormat="1" applyFont="1" applyFill="1" applyBorder="1" applyAlignment="1">
      <alignment horizontal="center" vertical="center"/>
    </xf>
    <xf numFmtId="2" fontId="9" fillId="5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2" fontId="9" fillId="4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2" fontId="9" fillId="5" borderId="10" xfId="0" applyNumberFormat="1" applyFont="1" applyFill="1" applyBorder="1" applyAlignment="1">
      <alignment horizontal="center" vertical="center"/>
    </xf>
    <xf numFmtId="0" fontId="15" fillId="0" borderId="0" xfId="0" applyFont="1"/>
    <xf numFmtId="0" fontId="9" fillId="0" borderId="1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165" fontId="9" fillId="3" borderId="16" xfId="0" applyNumberFormat="1" applyFont="1" applyFill="1" applyBorder="1" applyAlignment="1">
      <alignment horizontal="center" vertical="center"/>
    </xf>
    <xf numFmtId="1" fontId="9" fillId="3" borderId="16" xfId="0" applyNumberFormat="1" applyFont="1" applyFill="1" applyBorder="1" applyAlignment="1">
      <alignment horizontal="center" vertical="center"/>
    </xf>
    <xf numFmtId="2" fontId="9" fillId="3" borderId="16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0" fillId="3" borderId="17" xfId="0" applyFont="1" applyFill="1" applyBorder="1" applyAlignment="1">
      <alignment vertical="center"/>
    </xf>
    <xf numFmtId="0" fontId="9" fillId="3" borderId="0" xfId="0" applyFont="1" applyFill="1"/>
    <xf numFmtId="0" fontId="10" fillId="3" borderId="17" xfId="0" applyFont="1" applyFill="1" applyBorder="1" applyAlignment="1">
      <alignment horizontal="center" vertical="center"/>
    </xf>
    <xf numFmtId="164" fontId="9" fillId="3" borderId="17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" fontId="10" fillId="2" borderId="10" xfId="0" applyNumberFormat="1" applyFont="1" applyFill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64" fontId="9" fillId="3" borderId="6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165" fontId="9" fillId="3" borderId="6" xfId="0" applyNumberFormat="1" applyFont="1" applyFill="1" applyBorder="1" applyAlignment="1">
      <alignment horizontal="center" vertical="center"/>
    </xf>
    <xf numFmtId="1" fontId="9" fillId="3" borderId="6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2" fontId="9" fillId="4" borderId="0" xfId="0" applyNumberFormat="1" applyFont="1" applyFill="1" applyAlignment="1">
      <alignment horizontal="center" vertical="center"/>
    </xf>
    <xf numFmtId="2" fontId="9" fillId="5" borderId="0" xfId="0" applyNumberFormat="1" applyFont="1" applyFill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" fontId="9" fillId="3" borderId="3" xfId="0" applyNumberFormat="1" applyFon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center" vertical="center"/>
    </xf>
    <xf numFmtId="2" fontId="9" fillId="3" borderId="3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0" fillId="3" borderId="0" xfId="0" applyFont="1" applyFill="1"/>
    <xf numFmtId="1" fontId="9" fillId="0" borderId="0" xfId="0" applyNumberFormat="1" applyFont="1"/>
    <xf numFmtId="164" fontId="9" fillId="3" borderId="16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2" fontId="0" fillId="3" borderId="23" xfId="0" applyNumberForma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/>
    <xf numFmtId="0" fontId="0" fillId="0" borderId="17" xfId="0" applyBorder="1"/>
    <xf numFmtId="0" fontId="0" fillId="0" borderId="15" xfId="0" applyBorder="1"/>
    <xf numFmtId="0" fontId="0" fillId="0" borderId="34" xfId="0" applyBorder="1"/>
    <xf numFmtId="0" fontId="0" fillId="0" borderId="36" xfId="0" applyBorder="1"/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5" xfId="0" applyBorder="1"/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2" fontId="0" fillId="3" borderId="38" xfId="0" applyNumberForma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2" fontId="0" fillId="3" borderId="24" xfId="0" applyNumberFormat="1" applyFill="1" applyBorder="1" applyAlignment="1">
      <alignment horizontal="center" vertical="center"/>
    </xf>
    <xf numFmtId="2" fontId="0" fillId="3" borderId="39" xfId="0" applyNumberForma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PWS w(V) dla mas średnich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'h=0m'!$N$3:$N$17</c:f>
              <c:numCache>
                <c:formatCode>0.00</c:formatCode>
                <c:ptCount val="15"/>
                <c:pt idx="0">
                  <c:v>1.8818145104848438</c:v>
                </c:pt>
                <c:pt idx="1">
                  <c:v>2.102456839614399</c:v>
                </c:pt>
                <c:pt idx="2">
                  <c:v>2.2140980877465259</c:v>
                </c:pt>
                <c:pt idx="3">
                  <c:v>2.3453377659130155</c:v>
                </c:pt>
                <c:pt idx="4">
                  <c:v>2.3773190754931992</c:v>
                </c:pt>
                <c:pt idx="5">
                  <c:v>2.3188806815029657</c:v>
                </c:pt>
                <c:pt idx="6">
                  <c:v>2.091606092750506</c:v>
                </c:pt>
                <c:pt idx="7">
                  <c:v>1.757432351914064</c:v>
                </c:pt>
                <c:pt idx="8">
                  <c:v>1.2004596852568861</c:v>
                </c:pt>
                <c:pt idx="9">
                  <c:v>-0.11543223748851203</c:v>
                </c:pt>
                <c:pt idx="10">
                  <c:v>-1.2362457407993475</c:v>
                </c:pt>
                <c:pt idx="11">
                  <c:v>-2.5457967345520931</c:v>
                </c:pt>
                <c:pt idx="12">
                  <c:v>-3.9937267714982605</c:v>
                </c:pt>
                <c:pt idx="13">
                  <c:v>-5.6989586393173335</c:v>
                </c:pt>
                <c:pt idx="14">
                  <c:v>-7.5846257845013225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2C-40FF-B208-222F0D182AE6}"/>
            </c:ext>
          </c:extLst>
        </c:ser>
        <c:ser>
          <c:idx val="1"/>
          <c:order val="1"/>
          <c:tx>
            <c:v>h=0,5km m. ciągu, m=const.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'h=500m'!$I$3:$I$17</c:f>
              <c:numCache>
                <c:formatCode>0.0</c:formatCode>
                <c:ptCount val="15"/>
                <c:pt idx="0">
                  <c:v>20.371714852065022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'h=500m'!$N$3:$N$17</c:f>
              <c:numCache>
                <c:formatCode>0.00</c:formatCode>
                <c:ptCount val="15"/>
                <c:pt idx="0">
                  <c:v>1.6850093312441492</c:v>
                </c:pt>
                <c:pt idx="1">
                  <c:v>1.8145167427879239</c:v>
                </c:pt>
                <c:pt idx="2">
                  <c:v>1.8998050361209238</c:v>
                </c:pt>
                <c:pt idx="3">
                  <c:v>2.0149994731587504</c:v>
                </c:pt>
                <c:pt idx="4">
                  <c:v>2.0686902312036919</c:v>
                </c:pt>
                <c:pt idx="5">
                  <c:v>2.0334421213522544</c:v>
                </c:pt>
                <c:pt idx="6">
                  <c:v>1.7815837162201587</c:v>
                </c:pt>
                <c:pt idx="7">
                  <c:v>1.5089624547151146</c:v>
                </c:pt>
                <c:pt idx="8">
                  <c:v>0.97468554406659225</c:v>
                </c:pt>
                <c:pt idx="9">
                  <c:v>-0.2045002399229422</c:v>
                </c:pt>
                <c:pt idx="10">
                  <c:v>-1.2570221464969258</c:v>
                </c:pt>
                <c:pt idx="11">
                  <c:v>-2.5037194437712911</c:v>
                </c:pt>
                <c:pt idx="12">
                  <c:v>-3.9207114102553517</c:v>
                </c:pt>
                <c:pt idx="13">
                  <c:v>-5.5999971010428489</c:v>
                </c:pt>
                <c:pt idx="14">
                  <c:v>-7.3666359410961251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2C-40FF-B208-222F0D182AE6}"/>
            </c:ext>
          </c:extLst>
        </c:ser>
        <c:ser>
          <c:idx val="2"/>
          <c:order val="2"/>
          <c:tx>
            <c:v>h=1km m. ciągu, m=const.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'h=1000m'!$I$3:$I$17</c:f>
              <c:numCache>
                <c:formatCode>0.0</c:formatCode>
                <c:ptCount val="15"/>
                <c:pt idx="0">
                  <c:v>20.875565662291493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'h=1000m'!$N$3:$N$17</c:f>
              <c:numCache>
                <c:formatCode>0.00</c:formatCode>
                <c:ptCount val="15"/>
                <c:pt idx="0">
                  <c:v>1.3753297681709875</c:v>
                </c:pt>
                <c:pt idx="1">
                  <c:v>1.4736285904569371</c:v>
                </c:pt>
                <c:pt idx="2">
                  <c:v>1.6059633829513507</c:v>
                </c:pt>
                <c:pt idx="3">
                  <c:v>1.7139783359046987</c:v>
                </c:pt>
                <c:pt idx="4">
                  <c:v>1.7980137398193319</c:v>
                </c:pt>
                <c:pt idx="5">
                  <c:v>1.7674009494159004</c:v>
                </c:pt>
                <c:pt idx="6">
                  <c:v>1.5529937272127197</c:v>
                </c:pt>
                <c:pt idx="7">
                  <c:v>1.2509736101396489</c:v>
                </c:pt>
                <c:pt idx="8">
                  <c:v>0.75587629011138824</c:v>
                </c:pt>
                <c:pt idx="9">
                  <c:v>-0.2703741967258626</c:v>
                </c:pt>
                <c:pt idx="10">
                  <c:v>-1.3005771409188356</c:v>
                </c:pt>
                <c:pt idx="11">
                  <c:v>-2.4680466282965527</c:v>
                </c:pt>
                <c:pt idx="12">
                  <c:v>-3.8112084206571479</c:v>
                </c:pt>
                <c:pt idx="13">
                  <c:v>-5.3506402410727825</c:v>
                </c:pt>
                <c:pt idx="14">
                  <c:v>-7.0891996045479555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2C-40FF-B208-222F0D182AE6}"/>
            </c:ext>
          </c:extLst>
        </c:ser>
        <c:ser>
          <c:idx val="3"/>
          <c:order val="3"/>
          <c:tx>
            <c:v>h=1,5km m. ciągu, m=const.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'h=1500m'!$I$3:$I$17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'h=1500m'!$N$3:$N$17</c:f>
              <c:numCache>
                <c:formatCode>0.00</c:formatCode>
                <c:ptCount val="15"/>
                <c:pt idx="0">
                  <c:v>1.1287232977546438</c:v>
                </c:pt>
                <c:pt idx="1">
                  <c:v>1.1623057643421641</c:v>
                </c:pt>
                <c:pt idx="2">
                  <c:v>1.2957284608885846</c:v>
                </c:pt>
                <c:pt idx="3">
                  <c:v>1.4237979534634531</c:v>
                </c:pt>
                <c:pt idx="4">
                  <c:v>1.4654422360324755</c:v>
                </c:pt>
                <c:pt idx="5">
                  <c:v>1.4754242561550224</c:v>
                </c:pt>
                <c:pt idx="6">
                  <c:v>1.2888287044779756</c:v>
                </c:pt>
                <c:pt idx="7">
                  <c:v>1.0281907171950548</c:v>
                </c:pt>
                <c:pt idx="8">
                  <c:v>0.57094986228165145</c:v>
                </c:pt>
                <c:pt idx="9">
                  <c:v>-0.36672413067058529</c:v>
                </c:pt>
                <c:pt idx="10">
                  <c:v>-1.3311596476547496</c:v>
                </c:pt>
                <c:pt idx="11">
                  <c:v>-2.4921187858640641</c:v>
                </c:pt>
                <c:pt idx="12">
                  <c:v>-3.6916797817669158</c:v>
                </c:pt>
                <c:pt idx="13">
                  <c:v>-5.2086709873274266</c:v>
                </c:pt>
                <c:pt idx="14">
                  <c:v>-6.787586488061832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2C-40FF-B208-222F0D182AE6}"/>
            </c:ext>
          </c:extLst>
        </c:ser>
        <c:ser>
          <c:idx val="4"/>
          <c:order val="4"/>
          <c:tx>
            <c:v>h=2km m. ciągu, m=const.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'h=2000m'!$I$3:$I$17</c:f>
              <c:numCache>
                <c:formatCode>0.0</c:formatCode>
                <c:ptCount val="15"/>
                <c:pt idx="0">
                  <c:v>21.939776241582344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'h=2000m'!$N$3:$N$17</c:f>
              <c:numCache>
                <c:formatCode>0.00</c:formatCode>
                <c:ptCount val="15"/>
                <c:pt idx="0">
                  <c:v>0.83418733571115367</c:v>
                </c:pt>
                <c:pt idx="1">
                  <c:v>0.89988740679916635</c:v>
                </c:pt>
                <c:pt idx="2">
                  <c:v>0.99618766630046651</c:v>
                </c:pt>
                <c:pt idx="3">
                  <c:v>1.1168764510735445</c:v>
                </c:pt>
                <c:pt idx="4">
                  <c:v>1.1703081179196859</c:v>
                </c:pt>
                <c:pt idx="5">
                  <c:v>1.1391749543512684</c:v>
                </c:pt>
                <c:pt idx="6">
                  <c:v>0.99783744028880328</c:v>
                </c:pt>
                <c:pt idx="7">
                  <c:v>0.73285027592283325</c:v>
                </c:pt>
                <c:pt idx="8">
                  <c:v>0.33912678724403417</c:v>
                </c:pt>
                <c:pt idx="9">
                  <c:v>-0.51132051826978275</c:v>
                </c:pt>
                <c:pt idx="10">
                  <c:v>-1.446884973405735</c:v>
                </c:pt>
                <c:pt idx="11">
                  <c:v>-2.4599528482552677</c:v>
                </c:pt>
                <c:pt idx="12">
                  <c:v>-3.6243417632744346</c:v>
                </c:pt>
                <c:pt idx="13">
                  <c:v>-5.0760037722083862</c:v>
                </c:pt>
                <c:pt idx="14">
                  <c:v>-6.5504257021762102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2C-40FF-B208-222F0D182AE6}"/>
            </c:ext>
          </c:extLst>
        </c:ser>
        <c:ser>
          <c:idx val="5"/>
          <c:order val="5"/>
          <c:tx>
            <c:v>h=2,5km m. ciągu m=const.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'h=2500m'!$I$3:$I$17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'h=2500m'!$N$3:$N$17</c:f>
              <c:numCache>
                <c:formatCode>0.00</c:formatCode>
                <c:ptCount val="15"/>
                <c:pt idx="0">
                  <c:v>0.56525451818308226</c:v>
                </c:pt>
                <c:pt idx="1">
                  <c:v>0.5827064646600324</c:v>
                </c:pt>
                <c:pt idx="2">
                  <c:v>0.6613568756639272</c:v>
                </c:pt>
                <c:pt idx="3">
                  <c:v>0.84740115635895297</c:v>
                </c:pt>
                <c:pt idx="4">
                  <c:v>0.90329854448473157</c:v>
                </c:pt>
                <c:pt idx="5">
                  <c:v>0.88481345907406539</c:v>
                </c:pt>
                <c:pt idx="6">
                  <c:v>0.78778713871959027</c:v>
                </c:pt>
                <c:pt idx="7">
                  <c:v>0.55315630020399409</c:v>
                </c:pt>
                <c:pt idx="8">
                  <c:v>0.19469448083971289</c:v>
                </c:pt>
                <c:pt idx="9">
                  <c:v>-0.57918202789898809</c:v>
                </c:pt>
                <c:pt idx="10">
                  <c:v>-1.4781811301375773</c:v>
                </c:pt>
                <c:pt idx="11">
                  <c:v>-2.442814229446761</c:v>
                </c:pt>
                <c:pt idx="12">
                  <c:v>-3.5734803705965441</c:v>
                </c:pt>
                <c:pt idx="13">
                  <c:v>-4.9613814863509367</c:v>
                </c:pt>
                <c:pt idx="14">
                  <c:v>-6.4041429430346968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2C-40FF-B208-222F0D182AE6}"/>
            </c:ext>
          </c:extLst>
        </c:ser>
        <c:ser>
          <c:idx val="6"/>
          <c:order val="6"/>
          <c:tx>
            <c:v>h=3km m. ciągu, m=const.</c:v>
          </c:tx>
          <c:spPr>
            <a:ln w="1905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'h=3000m'!$I$3:$I$17</c:f>
              <c:numCache>
                <c:formatCode>0.0</c:formatCode>
                <c:ptCount val="15"/>
                <c:pt idx="0">
                  <c:v>23.085686081940391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'h=3000m'!$N$3:$N$17</c:f>
              <c:numCache>
                <c:formatCode>0.00</c:formatCode>
                <c:ptCount val="15"/>
                <c:pt idx="0">
                  <c:v>0.30328948688058455</c:v>
                </c:pt>
                <c:pt idx="1">
                  <c:v>0.35808885118895767</c:v>
                </c:pt>
                <c:pt idx="2">
                  <c:v>0.38212425541087819</c:v>
                </c:pt>
                <c:pt idx="3">
                  <c:v>0.52417705154124861</c:v>
                </c:pt>
                <c:pt idx="4">
                  <c:v>0.60967435487305721</c:v>
                </c:pt>
                <c:pt idx="5">
                  <c:v>0.57663638585085963</c:v>
                </c:pt>
                <c:pt idx="6">
                  <c:v>0.46055819503203177</c:v>
                </c:pt>
                <c:pt idx="7">
                  <c:v>0.25570566269205991</c:v>
                </c:pt>
                <c:pt idx="8">
                  <c:v>-5.7218195983628362E-3</c:v>
                </c:pt>
                <c:pt idx="9">
                  <c:v>-0.71326912992038838</c:v>
                </c:pt>
                <c:pt idx="10">
                  <c:v>-1.4785654911044752</c:v>
                </c:pt>
                <c:pt idx="11">
                  <c:v>-2.3604157567550725</c:v>
                </c:pt>
                <c:pt idx="12">
                  <c:v>-3.5478738485275549</c:v>
                </c:pt>
                <c:pt idx="13">
                  <c:v>-4.7845560987569735</c:v>
                </c:pt>
                <c:pt idx="14">
                  <c:v>-6.1885265914213479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2C-40FF-B208-222F0D182AE6}"/>
            </c:ext>
          </c:extLst>
        </c:ser>
        <c:ser>
          <c:idx val="7"/>
          <c:order val="7"/>
          <c:tx>
            <c:v>h=3,5km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'h=3500m'!$I$3:$I$17</c:f>
              <c:numCache>
                <c:formatCode>0.0</c:formatCode>
                <c:ptCount val="15"/>
                <c:pt idx="0">
                  <c:v>23.691887880412988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'h=3500m'!$N$3:$N$17</c:f>
              <c:numCache>
                <c:formatCode>0.00</c:formatCode>
                <c:ptCount val="15"/>
                <c:pt idx="0">
                  <c:v>3.8882513910003254E-2</c:v>
                </c:pt>
                <c:pt idx="1">
                  <c:v>6.6770852691665078E-2</c:v>
                </c:pt>
                <c:pt idx="2">
                  <c:v>0.15024212169962356</c:v>
                </c:pt>
                <c:pt idx="3">
                  <c:v>0.22858990525169384</c:v>
                </c:pt>
                <c:pt idx="4">
                  <c:v>0.28917691892900454</c:v>
                </c:pt>
                <c:pt idx="5">
                  <c:v>0.32262757430819489</c:v>
                </c:pt>
                <c:pt idx="6">
                  <c:v>0.25866842060782441</c:v>
                </c:pt>
                <c:pt idx="7">
                  <c:v>5.5580004062995424E-2</c:v>
                </c:pt>
                <c:pt idx="8">
                  <c:v>-0.28912158394907905</c:v>
                </c:pt>
                <c:pt idx="9">
                  <c:v>-0.86004824184470097</c:v>
                </c:pt>
                <c:pt idx="10">
                  <c:v>-1.5284047790654098</c:v>
                </c:pt>
                <c:pt idx="11">
                  <c:v>-2.346435285207106</c:v>
                </c:pt>
                <c:pt idx="12">
                  <c:v>-3.4227618833505717</c:v>
                </c:pt>
                <c:pt idx="13">
                  <c:v>-4.652166209839721</c:v>
                </c:pt>
                <c:pt idx="14">
                  <c:v>-5.9567271863250628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2C-40FF-B208-222F0D182AE6}"/>
            </c:ext>
          </c:extLst>
        </c:ser>
        <c:ser>
          <c:idx val="8"/>
          <c:order val="8"/>
          <c:tx>
            <c:v>h=4km m. ciągu, m=const.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'h=4000m'!$I$3:$I$17</c:f>
              <c:numCache>
                <c:formatCode>0.0</c:formatCode>
                <c:ptCount val="15"/>
                <c:pt idx="0">
                  <c:v>24.321780100259733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'h=4000m'!$N$3:$N$17</c:f>
              <c:numCache>
                <c:formatCode>0.00</c:formatCode>
                <c:ptCount val="15"/>
                <c:pt idx="0">
                  <c:v>-0.21903528638164016</c:v>
                </c:pt>
                <c:pt idx="1">
                  <c:v>-0.17350948415660383</c:v>
                </c:pt>
                <c:pt idx="2">
                  <c:v>-8.5243845093727802E-2</c:v>
                </c:pt>
                <c:pt idx="3">
                  <c:v>-1.0843154752772179E-2</c:v>
                </c:pt>
                <c:pt idx="4">
                  <c:v>1.3749231335927304E-2</c:v>
                </c:pt>
                <c:pt idx="5">
                  <c:v>5.0208712977470878E-2</c:v>
                </c:pt>
                <c:pt idx="6">
                  <c:v>-2.4958381465249049E-2</c:v>
                </c:pt>
                <c:pt idx="7">
                  <c:v>-0.23572704206499878</c:v>
                </c:pt>
                <c:pt idx="8">
                  <c:v>-0.4855951457139509</c:v>
                </c:pt>
                <c:pt idx="9">
                  <c:v>-1.0554183175560834</c:v>
                </c:pt>
                <c:pt idx="10">
                  <c:v>-1.6188546898085066</c:v>
                </c:pt>
                <c:pt idx="11">
                  <c:v>-2.4365853127156685</c:v>
                </c:pt>
                <c:pt idx="12">
                  <c:v>-3.4029389197750968</c:v>
                </c:pt>
                <c:pt idx="13">
                  <c:v>-4.5107411756256814</c:v>
                </c:pt>
                <c:pt idx="14">
                  <c:v>-5.7530269975866029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A2C-40FF-B208-222F0D182AE6}"/>
            </c:ext>
          </c:extLst>
        </c:ser>
        <c:ser>
          <c:idx val="18"/>
          <c:order val="9"/>
          <c:tx>
            <c:v>h=4,5km m. ciągu, m=const.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'h=4500m'!$I$3:$I$17</c:f>
              <c:numCache>
                <c:formatCode>0.0</c:formatCode>
                <c:ptCount val="15"/>
                <c:pt idx="0">
                  <c:v>24.976599984063338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'h=4500m'!$N$3:$N$17</c:f>
              <c:numCache>
                <c:formatCode>0.00</c:formatCode>
                <c:ptCount val="15"/>
                <c:pt idx="0">
                  <c:v>-0.43426239573143161</c:v>
                </c:pt>
                <c:pt idx="1">
                  <c:v>-0.33606062824262062</c:v>
                </c:pt>
                <c:pt idx="2">
                  <c:v>-0.33326990929607508</c:v>
                </c:pt>
                <c:pt idx="3">
                  <c:v>-0.27129345548228401</c:v>
                </c:pt>
                <c:pt idx="4">
                  <c:v>-0.24967825606604394</c:v>
                </c:pt>
                <c:pt idx="5">
                  <c:v>-0.23195628781745004</c:v>
                </c:pt>
                <c:pt idx="6">
                  <c:v>-0.26481559781781067</c:v>
                </c:pt>
                <c:pt idx="7">
                  <c:v>-0.37651917569157367</c:v>
                </c:pt>
                <c:pt idx="8">
                  <c:v>-0.69379163031989433</c:v>
                </c:pt>
                <c:pt idx="9">
                  <c:v>-1.1922143534155683</c:v>
                </c:pt>
                <c:pt idx="10">
                  <c:v>-1.6696556880158044</c:v>
                </c:pt>
                <c:pt idx="11">
                  <c:v>-2.3812174440162144</c:v>
                </c:pt>
                <c:pt idx="12">
                  <c:v>-3.372609904635488</c:v>
                </c:pt>
                <c:pt idx="13">
                  <c:v>-4.4225044947915162</c:v>
                </c:pt>
                <c:pt idx="14">
                  <c:v>-5.5861808631045875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A2C-40FF-B208-222F0D182AE6}"/>
            </c:ext>
          </c:extLst>
        </c:ser>
        <c:ser>
          <c:idx val="9"/>
          <c:order val="10"/>
          <c:tx>
            <c:v>h=0km m. mocy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'h=0m'!$H$22:$H$36</c:f>
              <c:numCache>
                <c:formatCode>0.0</c:formatCode>
                <c:ptCount val="15"/>
                <c:pt idx="0">
                  <c:v>19.885538967126291</c:v>
                </c:pt>
                <c:pt idx="1">
                  <c:v>20.631460592290651</c:v>
                </c:pt>
                <c:pt idx="2">
                  <c:v>21.429825785748122</c:v>
                </c:pt>
                <c:pt idx="3">
                  <c:v>22.312432381898088</c:v>
                </c:pt>
                <c:pt idx="4">
                  <c:v>24.509709083434171</c:v>
                </c:pt>
                <c:pt idx="5">
                  <c:v>25.868682000759506</c:v>
                </c:pt>
                <c:pt idx="6">
                  <c:v>27.486331407644101</c:v>
                </c:pt>
                <c:pt idx="7">
                  <c:v>29.426326272975654</c:v>
                </c:pt>
                <c:pt idx="8">
                  <c:v>32.043106320799382</c:v>
                </c:pt>
                <c:pt idx="9">
                  <c:v>35.113267990460102</c:v>
                </c:pt>
                <c:pt idx="10">
                  <c:v>39.58681539671273</c:v>
                </c:pt>
                <c:pt idx="11">
                  <c:v>42.239693588971924</c:v>
                </c:pt>
                <c:pt idx="12">
                  <c:v>46.215950660815523</c:v>
                </c:pt>
                <c:pt idx="13">
                  <c:v>51.012458134162578</c:v>
                </c:pt>
                <c:pt idx="14">
                  <c:v>58.023959236010896</c:v>
                </c:pt>
              </c:numCache>
            </c:numRef>
          </c:xVal>
          <c:yVal>
            <c:numRef>
              <c:f>'h=0m'!$L$22:$L$36</c:f>
              <c:numCache>
                <c:formatCode>0.00</c:formatCode>
                <c:ptCount val="15"/>
                <c:pt idx="0">
                  <c:v>1.729752562919725</c:v>
                </c:pt>
                <c:pt idx="1">
                  <c:v>1.8806149805270123</c:v>
                </c:pt>
                <c:pt idx="2">
                  <c:v>1.9451881653163641</c:v>
                </c:pt>
                <c:pt idx="3">
                  <c:v>2.0153303443611792</c:v>
                </c:pt>
                <c:pt idx="4">
                  <c:v>2.184007611956309</c:v>
                </c:pt>
                <c:pt idx="5">
                  <c:v>2.2302539848297704</c:v>
                </c:pt>
                <c:pt idx="6">
                  <c:v>2.2098612474997865</c:v>
                </c:pt>
                <c:pt idx="7">
                  <c:v>2.1397559334804739</c:v>
                </c:pt>
                <c:pt idx="8">
                  <c:v>1.9400067027880747</c:v>
                </c:pt>
                <c:pt idx="9">
                  <c:v>1.5307073970717775</c:v>
                </c:pt>
                <c:pt idx="10">
                  <c:v>0.67208158928273309</c:v>
                </c:pt>
                <c:pt idx="11">
                  <c:v>-0.30713712231317614</c:v>
                </c:pt>
                <c:pt idx="12">
                  <c:v>-2.7253589580468187</c:v>
                </c:pt>
                <c:pt idx="13">
                  <c:v>-6.3928806195739138</c:v>
                </c:pt>
                <c:pt idx="14">
                  <c:v>-13.851557523210666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A2C-40FF-B208-222F0D182AE6}"/>
            </c:ext>
          </c:extLst>
        </c:ser>
        <c:ser>
          <c:idx val="10"/>
          <c:order val="11"/>
          <c:tx>
            <c:v>h=0,5km m. mocy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'h=500m'!$H$22:$H$35</c:f>
              <c:numCache>
                <c:formatCode>0.0</c:formatCode>
                <c:ptCount val="14"/>
                <c:pt idx="0">
                  <c:v>20.371714852065022</c:v>
                </c:pt>
                <c:pt idx="1">
                  <c:v>21.135873302834597</c:v>
                </c:pt>
                <c:pt idx="2">
                  <c:v>21.953757499778725</c:v>
                </c:pt>
                <c:pt idx="3">
                  <c:v>22.857942693503812</c:v>
                </c:pt>
                <c:pt idx="4">
                  <c:v>25.10893998800902</c:v>
                </c:pt>
                <c:pt idx="5">
                  <c:v>26.501138047573679</c:v>
                </c:pt>
                <c:pt idx="6">
                  <c:v>28.158336904599548</c:v>
                </c:pt>
                <c:pt idx="7">
                  <c:v>30.145762152481375</c:v>
                </c:pt>
                <c:pt idx="8">
                  <c:v>32.826519111242433</c:v>
                </c:pt>
                <c:pt idx="9">
                  <c:v>35.971742290129519</c:v>
                </c:pt>
                <c:pt idx="10">
                  <c:v>40.554662184231027</c:v>
                </c:pt>
                <c:pt idx="11">
                  <c:v>43.272399840691236</c:v>
                </c:pt>
                <c:pt idx="12">
                  <c:v>47.345871290472651</c:v>
                </c:pt>
                <c:pt idx="13">
                  <c:v>52.259647210469538</c:v>
                </c:pt>
              </c:numCache>
            </c:numRef>
          </c:xVal>
          <c:yVal>
            <c:numRef>
              <c:f>'h=500m'!$L$22:$L$35</c:f>
              <c:numCache>
                <c:formatCode>0.00</c:formatCode>
                <c:ptCount val="14"/>
                <c:pt idx="0">
                  <c:v>1.3591617292149314</c:v>
                </c:pt>
                <c:pt idx="1">
                  <c:v>1.475085037981299</c:v>
                </c:pt>
                <c:pt idx="2">
                  <c:v>1.6293124686335496</c:v>
                </c:pt>
                <c:pt idx="3">
                  <c:v>1.7168981814856679</c:v>
                </c:pt>
                <c:pt idx="4">
                  <c:v>1.8746322985318904</c:v>
                </c:pt>
                <c:pt idx="5">
                  <c:v>1.9448551915285455</c:v>
                </c:pt>
                <c:pt idx="6">
                  <c:v>1.9195297723904317</c:v>
                </c:pt>
                <c:pt idx="7">
                  <c:v>1.8152479449533521</c:v>
                </c:pt>
                <c:pt idx="8">
                  <c:v>1.5494799378052511</c:v>
                </c:pt>
                <c:pt idx="9">
                  <c:v>1.122314428949615</c:v>
                </c:pt>
                <c:pt idx="10">
                  <c:v>0.20330763334355514</c:v>
                </c:pt>
                <c:pt idx="11">
                  <c:v>-0.9521991146412907</c:v>
                </c:pt>
                <c:pt idx="12">
                  <c:v>-3.4668229292668209</c:v>
                </c:pt>
                <c:pt idx="13">
                  <c:v>-7.4464343630966034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A2C-40FF-B208-222F0D182AE6}"/>
            </c:ext>
          </c:extLst>
        </c:ser>
        <c:ser>
          <c:idx val="11"/>
          <c:order val="12"/>
          <c:tx>
            <c:v>h=1km m. mocy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'h=1000m'!$H$22:$H$35</c:f>
              <c:numCache>
                <c:formatCode>0.0</c:formatCode>
                <c:ptCount val="14"/>
                <c:pt idx="0">
                  <c:v>20.875565662291496</c:v>
                </c:pt>
                <c:pt idx="1">
                  <c:v>21.65862393849833</c:v>
                </c:pt>
                <c:pt idx="2">
                  <c:v>22.496736752340656</c:v>
                </c:pt>
                <c:pt idx="3">
                  <c:v>23.423285033599683</c:v>
                </c:pt>
                <c:pt idx="4">
                  <c:v>25.729955933340875</c:v>
                </c:pt>
                <c:pt idx="5">
                  <c:v>27.156587035258685</c:v>
                </c:pt>
                <c:pt idx="6">
                  <c:v>28.85477316276631</c:v>
                </c:pt>
                <c:pt idx="7">
                  <c:v>30.891353124852685</c:v>
                </c:pt>
                <c:pt idx="8">
                  <c:v>33.63841287527859</c:v>
                </c:pt>
                <c:pt idx="9">
                  <c:v>36.861426424712938</c:v>
                </c:pt>
                <c:pt idx="10">
                  <c:v>41.557695043681953</c:v>
                </c:pt>
                <c:pt idx="11">
                  <c:v>44.342650130296391</c:v>
                </c:pt>
                <c:pt idx="12">
                  <c:v>48.516870186923668</c:v>
                </c:pt>
                <c:pt idx="13">
                  <c:v>53.552177848187334</c:v>
                </c:pt>
              </c:numCache>
            </c:numRef>
          </c:xVal>
          <c:yVal>
            <c:numRef>
              <c:f>'h=1000m'!$L$22:$L$35</c:f>
              <c:numCache>
                <c:formatCode>0.00</c:formatCode>
                <c:ptCount val="14"/>
                <c:pt idx="0">
                  <c:v>1.1023663293864114</c:v>
                </c:pt>
                <c:pt idx="1">
                  <c:v>1.2727684727920616</c:v>
                </c:pt>
                <c:pt idx="2">
                  <c:v>1.355750588960454</c:v>
                </c:pt>
                <c:pt idx="3">
                  <c:v>1.4696097292011385</c:v>
                </c:pt>
                <c:pt idx="4">
                  <c:v>1.5985178901559236</c:v>
                </c:pt>
                <c:pt idx="5">
                  <c:v>1.6658485074386191</c:v>
                </c:pt>
                <c:pt idx="6">
                  <c:v>1.653340059442624</c:v>
                </c:pt>
                <c:pt idx="7">
                  <c:v>1.5502608937866726</c:v>
                </c:pt>
                <c:pt idx="8">
                  <c:v>1.2448891593408353</c:v>
                </c:pt>
                <c:pt idx="9">
                  <c:v>0.7813083223895767</c:v>
                </c:pt>
                <c:pt idx="10">
                  <c:v>-0.29765293678932914</c:v>
                </c:pt>
                <c:pt idx="11">
                  <c:v>-1.5139936281986603</c:v>
                </c:pt>
                <c:pt idx="12">
                  <c:v>-4.1086517815323349</c:v>
                </c:pt>
                <c:pt idx="13">
                  <c:v>-8.2324737393596834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A2C-40FF-B208-222F0D182AE6}"/>
            </c:ext>
          </c:extLst>
        </c:ser>
        <c:ser>
          <c:idx val="12"/>
          <c:order val="13"/>
          <c:tx>
            <c:v>h=1,5km m. mocy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'h=1500m'!$H$22:$H$35</c:f>
              <c:numCache>
                <c:formatCode>0.0</c:formatCode>
                <c:ptCount val="14"/>
                <c:pt idx="0">
                  <c:v>21.397949356116786</c:v>
                </c:pt>
                <c:pt idx="1">
                  <c:v>22.200602640258872</c:v>
                </c:pt>
                <c:pt idx="2">
                  <c:v>23.059688129746011</c:v>
                </c:pt>
                <c:pt idx="3">
                  <c:v>24.009422068414352</c:v>
                </c:pt>
                <c:pt idx="4">
                  <c:v>26.373814386800632</c:v>
                </c:pt>
                <c:pt idx="5">
                  <c:v>27.836145063848615</c:v>
                </c:pt>
                <c:pt idx="6">
                  <c:v>29.57682607539633</c:v>
                </c:pt>
                <c:pt idx="7">
                  <c:v>31.66436878410121</c:v>
                </c:pt>
                <c:pt idx="8">
                  <c:v>34.480170107464623</c:v>
                </c:pt>
                <c:pt idx="9">
                  <c:v>37.783835350387868</c:v>
                </c:pt>
                <c:pt idx="10">
                  <c:v>42.597621941710763</c:v>
                </c:pt>
                <c:pt idx="11">
                  <c:v>45.452266882426308</c:v>
                </c:pt>
                <c:pt idx="12">
                  <c:v>49.730941329765479</c:v>
                </c:pt>
                <c:pt idx="13">
                  <c:v>54.892250971439623</c:v>
                </c:pt>
              </c:numCache>
            </c:numRef>
          </c:xVal>
          <c:yVal>
            <c:numRef>
              <c:f>'h=1500m'!$L$22:$L$35</c:f>
              <c:numCache>
                <c:formatCode>0.00</c:formatCode>
                <c:ptCount val="14"/>
                <c:pt idx="0">
                  <c:v>0.87881854665585002</c:v>
                </c:pt>
                <c:pt idx="1">
                  <c:v>1.0322302342939329</c:v>
                </c:pt>
                <c:pt idx="2">
                  <c:v>1.1243736468989649</c:v>
                </c:pt>
                <c:pt idx="3">
                  <c:v>1.1662199258419552</c:v>
                </c:pt>
                <c:pt idx="4">
                  <c:v>1.3198214780766304</c:v>
                </c:pt>
                <c:pt idx="5">
                  <c:v>1.3573039055827616</c:v>
                </c:pt>
                <c:pt idx="6">
                  <c:v>1.3127194551064829</c:v>
                </c:pt>
                <c:pt idx="7">
                  <c:v>1.1838010114448358</c:v>
                </c:pt>
                <c:pt idx="8">
                  <c:v>0.87414115356821964</c:v>
                </c:pt>
                <c:pt idx="9">
                  <c:v>0.47181423400161837</c:v>
                </c:pt>
                <c:pt idx="10">
                  <c:v>-0.76839028012384825</c:v>
                </c:pt>
                <c:pt idx="11">
                  <c:v>-2.1538816224648931</c:v>
                </c:pt>
                <c:pt idx="12">
                  <c:v>-4.901874437929937</c:v>
                </c:pt>
                <c:pt idx="13">
                  <c:v>-9.2169898954730218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A2C-40FF-B208-222F0D182AE6}"/>
            </c:ext>
          </c:extLst>
        </c:ser>
        <c:ser>
          <c:idx val="13"/>
          <c:order val="14"/>
          <c:tx>
            <c:v>h=2km m. mocy</c:v>
          </c:tx>
          <c:spPr>
            <a:ln w="19050" cap="rnd">
              <a:solidFill>
                <a:schemeClr val="accent5">
                  <a:alpha val="99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'h=2000m'!$H$22:$H$35</c:f>
              <c:numCache>
                <c:formatCode>0.0</c:formatCode>
                <c:ptCount val="14"/>
                <c:pt idx="0">
                  <c:v>21.939776241582344</c:v>
                </c:pt>
                <c:pt idx="1">
                  <c:v>22.76275386250164</c:v>
                </c:pt>
                <c:pt idx="2">
                  <c:v>23.643592633453782</c:v>
                </c:pt>
                <c:pt idx="3">
                  <c:v>24.617375202831795</c:v>
                </c:pt>
                <c:pt idx="4">
                  <c:v>27.041637338861314</c:v>
                </c:pt>
                <c:pt idx="5">
                  <c:v>28.540996334047602</c:v>
                </c:pt>
                <c:pt idx="6">
                  <c:v>30.325753894958975</c:v>
                </c:pt>
                <c:pt idx="7">
                  <c:v>32.466156190594809</c:v>
                </c:pt>
                <c:pt idx="8">
                  <c:v>35.353257657525099</c:v>
                </c:pt>
                <c:pt idx="9">
                  <c:v>38.740576460862172</c:v>
                </c:pt>
                <c:pt idx="10">
                  <c:v>43.676255059342601</c:v>
                </c:pt>
                <c:pt idx="11">
                  <c:v>46.603183719941597</c:v>
                </c:pt>
                <c:pt idx="12">
                  <c:v>50.990200364523147</c:v>
                </c:pt>
                <c:pt idx="13">
                  <c:v>56.282201797337187</c:v>
                </c:pt>
              </c:numCache>
            </c:numRef>
          </c:xVal>
          <c:yVal>
            <c:numRef>
              <c:f>'h=2000m'!$L$22:$L$35</c:f>
              <c:numCache>
                <c:formatCode>0.00</c:formatCode>
                <c:ptCount val="14"/>
                <c:pt idx="0">
                  <c:v>0.59891787623835879</c:v>
                </c:pt>
                <c:pt idx="1">
                  <c:v>0.74434315484609159</c:v>
                </c:pt>
                <c:pt idx="2">
                  <c:v>0.82784136374227735</c:v>
                </c:pt>
                <c:pt idx="3">
                  <c:v>0.92282135340223881</c:v>
                </c:pt>
                <c:pt idx="4">
                  <c:v>1.0384299330503453</c:v>
                </c:pt>
                <c:pt idx="5">
                  <c:v>1.0727325820445985</c:v>
                </c:pt>
                <c:pt idx="6">
                  <c:v>0.98696873530863116</c:v>
                </c:pt>
                <c:pt idx="7">
                  <c:v>0.7960959907787889</c:v>
                </c:pt>
                <c:pt idx="8">
                  <c:v>0.5263422996487489</c:v>
                </c:pt>
                <c:pt idx="9">
                  <c:v>5.9375473002536157E-2</c:v>
                </c:pt>
                <c:pt idx="10">
                  <c:v>-1.3434100233175001</c:v>
                </c:pt>
                <c:pt idx="11">
                  <c:v>-2.854351636475815</c:v>
                </c:pt>
                <c:pt idx="12">
                  <c:v>-5.6856660041866585</c:v>
                </c:pt>
                <c:pt idx="13">
                  <c:v>-9.9349702978649201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A2C-40FF-B208-222F0D182AE6}"/>
            </c:ext>
          </c:extLst>
        </c:ser>
        <c:ser>
          <c:idx val="14"/>
          <c:order val="15"/>
          <c:tx>
            <c:v>h=2,5km m. mocy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'h=2500m'!$H$22:$H$35</c:f>
              <c:numCache>
                <c:formatCode>0.0</c:formatCode>
                <c:ptCount val="14"/>
                <c:pt idx="0">
                  <c:v>22.502012839472162</c:v>
                </c:pt>
                <c:pt idx="1">
                  <c:v>23.346080380937142</c:v>
                </c:pt>
                <c:pt idx="2">
                  <c:v>24.249491843078857</c:v>
                </c:pt>
                <c:pt idx="3">
                  <c:v>25.248228914857581</c:v>
                </c:pt>
                <c:pt idx="4">
                  <c:v>27.734616064412577</c:v>
                </c:pt>
                <c:pt idx="5">
                  <c:v>29.272398172541617</c:v>
                </c:pt>
                <c:pt idx="6">
                  <c:v>31.10289257270129</c:v>
                </c:pt>
                <c:pt idx="7">
                  <c:v>33.298145587485891</c:v>
                </c:pt>
                <c:pt idx="8">
                  <c:v>36.259232955122549</c:v>
                </c:pt>
                <c:pt idx="9">
                  <c:v>39.73335640856115</c:v>
                </c:pt>
                <c:pt idx="10">
                  <c:v>44.79551848221157</c:v>
                </c:pt>
                <c:pt idx="11">
                  <c:v>47.797453669508066</c:v>
                </c:pt>
                <c:pt idx="12">
                  <c:v>52.296893580670641</c:v>
                </c:pt>
                <c:pt idx="13">
                  <c:v>57.724509745779635</c:v>
                </c:pt>
              </c:numCache>
            </c:numRef>
          </c:xVal>
          <c:yVal>
            <c:numRef>
              <c:f>'h=2500m'!$L$22:$L$35</c:f>
              <c:numCache>
                <c:formatCode>0.00</c:formatCode>
                <c:ptCount val="14"/>
                <c:pt idx="0">
                  <c:v>0.37885757979781792</c:v>
                </c:pt>
                <c:pt idx="1">
                  <c:v>0.48052641237256838</c:v>
                </c:pt>
                <c:pt idx="2">
                  <c:v>0.54643410597718367</c:v>
                </c:pt>
                <c:pt idx="3">
                  <c:v>0.64089167317738716</c:v>
                </c:pt>
                <c:pt idx="4">
                  <c:v>0.77208055946519416</c:v>
                </c:pt>
                <c:pt idx="5">
                  <c:v>0.7852822312357477</c:v>
                </c:pt>
                <c:pt idx="6">
                  <c:v>0.72060419161129585</c:v>
                </c:pt>
                <c:pt idx="7">
                  <c:v>0.53909145357337851</c:v>
                </c:pt>
                <c:pt idx="8">
                  <c:v>0.27301046094014203</c:v>
                </c:pt>
                <c:pt idx="9">
                  <c:v>-0.27726647789144515</c:v>
                </c:pt>
                <c:pt idx="10">
                  <c:v>-1.9067122976084077</c:v>
                </c:pt>
                <c:pt idx="11">
                  <c:v>-3.4724110575476468</c:v>
                </c:pt>
                <c:pt idx="12">
                  <c:v>-6.5590201816895588</c:v>
                </c:pt>
                <c:pt idx="13">
                  <c:v>-10.906227114634833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A2C-40FF-B208-222F0D182AE6}"/>
            </c:ext>
          </c:extLst>
        </c:ser>
        <c:ser>
          <c:idx val="15"/>
          <c:order val="16"/>
          <c:tx>
            <c:v>h=3km m. mocy</c:v>
          </c:tx>
          <c:spPr>
            <a:ln w="1905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'h=3000m'!$H$22:$H$34</c:f>
              <c:numCache>
                <c:formatCode>0.0</c:formatCode>
                <c:ptCount val="13"/>
                <c:pt idx="0">
                  <c:v>23.085686081940391</c:v>
                </c:pt>
                <c:pt idx="1">
                  <c:v>23.951647648722293</c:v>
                </c:pt>
                <c:pt idx="2">
                  <c:v>24.87849244107997</c:v>
                </c:pt>
                <c:pt idx="3">
                  <c:v>25.90313546666011</c:v>
                </c:pt>
                <c:pt idx="4">
                  <c:v>28.454016297734412</c:v>
                </c:pt>
                <c:pt idx="5">
                  <c:v>30.031686493905372</c:v>
                </c:pt>
                <c:pt idx="6">
                  <c:v>31.909661562104972</c:v>
                </c:pt>
                <c:pt idx="7">
                  <c:v>34.161856613778376</c:v>
                </c:pt>
                <c:pt idx="8">
                  <c:v>37.199750775430736</c:v>
                </c:pt>
                <c:pt idx="9">
                  <c:v>40.763988518433983</c:v>
                </c:pt>
                <c:pt idx="10">
                  <c:v>45.957456558910806</c:v>
                </c:pt>
                <c:pt idx="11">
                  <c:v>49.037258080074793</c:v>
                </c:pt>
                <c:pt idx="12">
                  <c:v>53.653407669654776</c:v>
                </c:pt>
              </c:numCache>
            </c:numRef>
          </c:xVal>
          <c:yVal>
            <c:numRef>
              <c:f>'h=3000m'!$L$22:$L$34</c:f>
              <c:numCache>
                <c:formatCode>0.00</c:formatCode>
                <c:ptCount val="13"/>
                <c:pt idx="0">
                  <c:v>0.13799829336960795</c:v>
                </c:pt>
                <c:pt idx="1">
                  <c:v>0.22278330774602945</c:v>
                </c:pt>
                <c:pt idx="2">
                  <c:v>0.31585378905940575</c:v>
                </c:pt>
                <c:pt idx="3">
                  <c:v>0.38289866420510821</c:v>
                </c:pt>
                <c:pt idx="4">
                  <c:v>0.51161898247166959</c:v>
                </c:pt>
                <c:pt idx="5">
                  <c:v>0.50354126074173755</c:v>
                </c:pt>
                <c:pt idx="6">
                  <c:v>0.37047031590858531</c:v>
                </c:pt>
                <c:pt idx="7">
                  <c:v>0.20685213651315415</c:v>
                </c:pt>
                <c:pt idx="8">
                  <c:v>-0.11876737370475314</c:v>
                </c:pt>
                <c:pt idx="9">
                  <c:v>-0.63676932375020956</c:v>
                </c:pt>
                <c:pt idx="10">
                  <c:v>-2.4138032715922892</c:v>
                </c:pt>
                <c:pt idx="11">
                  <c:v>-4.0264017417898392</c:v>
                </c:pt>
                <c:pt idx="12">
                  <c:v>-7.2358609414764326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A2C-40FF-B208-222F0D182AE6}"/>
            </c:ext>
          </c:extLst>
        </c:ser>
        <c:ser>
          <c:idx val="16"/>
          <c:order val="17"/>
          <c:tx>
            <c:v>h=3,5km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'h=3500m'!$H$22:$H$34</c:f>
              <c:numCache>
                <c:formatCode>0.0</c:formatCode>
                <c:ptCount val="13"/>
                <c:pt idx="0">
                  <c:v>23.691887880412988</c:v>
                </c:pt>
                <c:pt idx="1">
                  <c:v>24.580588535707488</c:v>
                </c:pt>
                <c:pt idx="2">
                  <c:v>25.531771135399026</c:v>
                </c:pt>
                <c:pt idx="3">
                  <c:v>26.58332002995332</c:v>
                </c:pt>
                <c:pt idx="4">
                  <c:v>29.201183862615611</c:v>
                </c:pt>
                <c:pt idx="5">
                  <c:v>30.820281742890085</c:v>
                </c:pt>
                <c:pt idx="6">
                  <c:v>32.747570132763926</c:v>
                </c:pt>
                <c:pt idx="7">
                  <c:v>35.058905063840939</c:v>
                </c:pt>
                <c:pt idx="8">
                  <c:v>38.176570599747741</c:v>
                </c:pt>
                <c:pt idx="9">
                  <c:v>41.834400853812753</c:v>
                </c:pt>
                <c:pt idx="10">
                  <c:v>47.164242994468907</c:v>
                </c:pt>
                <c:pt idx="11">
                  <c:v>50.324916325742485</c:v>
                </c:pt>
                <c:pt idx="12">
                  <c:v>55.06228034114848</c:v>
                </c:pt>
              </c:numCache>
            </c:numRef>
          </c:xVal>
          <c:yVal>
            <c:numRef>
              <c:f>'h=3500m'!$L$22:$L$34</c:f>
              <c:numCache>
                <c:formatCode>0.00</c:formatCode>
                <c:ptCount val="13"/>
                <c:pt idx="0">
                  <c:v>-0.13285461621837327</c:v>
                </c:pt>
                <c:pt idx="1">
                  <c:v>-3.8024112436383144E-2</c:v>
                </c:pt>
                <c:pt idx="2">
                  <c:v>5.5393048690650828E-2</c:v>
                </c:pt>
                <c:pt idx="3">
                  <c:v>8.6108580304553553E-2</c:v>
                </c:pt>
                <c:pt idx="4">
                  <c:v>0.21230219379006657</c:v>
                </c:pt>
                <c:pt idx="5">
                  <c:v>0.21862069243667936</c:v>
                </c:pt>
                <c:pt idx="6">
                  <c:v>0.13309201981663984</c:v>
                </c:pt>
                <c:pt idx="7">
                  <c:v>-8.442792044768796E-2</c:v>
                </c:pt>
                <c:pt idx="8">
                  <c:v>-0.47015655224219122</c:v>
                </c:pt>
                <c:pt idx="9">
                  <c:v>-1.04633172570771</c:v>
                </c:pt>
                <c:pt idx="10">
                  <c:v>-3.008302507978617</c:v>
                </c:pt>
                <c:pt idx="11">
                  <c:v>-4.794208380518505</c:v>
                </c:pt>
                <c:pt idx="12">
                  <c:v>-8.0569193070175018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A2C-40FF-B208-222F0D182AE6}"/>
            </c:ext>
          </c:extLst>
        </c:ser>
        <c:ser>
          <c:idx val="17"/>
          <c:order val="18"/>
          <c:tx>
            <c:v>h=4km m. mocy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'h=4000m'!$H$22:$H$34</c:f>
              <c:numCache>
                <c:formatCode>0.0</c:formatCode>
                <c:ptCount val="13"/>
                <c:pt idx="0">
                  <c:v>24.321780100259733</c:v>
                </c:pt>
                <c:pt idx="1">
                  <c:v>25.234108489712366</c:v>
                </c:pt>
                <c:pt idx="2">
                  <c:v>26.210580020460117</c:v>
                </c:pt>
                <c:pt idx="3">
                  <c:v>27.2900862677932</c:v>
                </c:pt>
                <c:pt idx="4">
                  <c:v>29.977550803832759</c:v>
                </c:pt>
                <c:pt idx="5">
                  <c:v>31.639695365870338</c:v>
                </c:pt>
                <c:pt idx="6">
                  <c:v>33.618224246510898</c:v>
                </c:pt>
                <c:pt idx="7">
                  <c:v>35.991010248853073</c:v>
                </c:pt>
                <c:pt idx="8">
                  <c:v>39.191564631569577</c:v>
                </c:pt>
                <c:pt idx="9">
                  <c:v>42.946645000534055</c:v>
                </c:pt>
                <c:pt idx="10">
                  <c:v>48.41819075359782</c:v>
                </c:pt>
                <c:pt idx="11">
                  <c:v>51.662896372669458</c:v>
                </c:pt>
                <c:pt idx="12">
                  <c:v>56.526211884678354</c:v>
                </c:pt>
              </c:numCache>
            </c:numRef>
          </c:xVal>
          <c:yVal>
            <c:numRef>
              <c:f>'h=4000m'!$L$22:$L$34</c:f>
              <c:numCache>
                <c:formatCode>0.00</c:formatCode>
                <c:ptCount val="13"/>
                <c:pt idx="0">
                  <c:v>-0.41583718881475451</c:v>
                </c:pt>
                <c:pt idx="1">
                  <c:v>-0.29310279647586246</c:v>
                </c:pt>
                <c:pt idx="2">
                  <c:v>-0.18147452475412928</c:v>
                </c:pt>
                <c:pt idx="3">
                  <c:v>-0.10665315675005076</c:v>
                </c:pt>
                <c:pt idx="4">
                  <c:v>-2.7742744277823059E-2</c:v>
                </c:pt>
                <c:pt idx="5">
                  <c:v>-6.9819233353096144E-2</c:v>
                </c:pt>
                <c:pt idx="6">
                  <c:v>-0.16166571898089727</c:v>
                </c:pt>
                <c:pt idx="7">
                  <c:v>-0.3708548656369553</c:v>
                </c:pt>
                <c:pt idx="8">
                  <c:v>-0.80833612818710154</c:v>
                </c:pt>
                <c:pt idx="9">
                  <c:v>-1.5151117603497721</c:v>
                </c:pt>
                <c:pt idx="10">
                  <c:v>-3.5919697509052764</c:v>
                </c:pt>
                <c:pt idx="11">
                  <c:v>-5.4002153525775123</c:v>
                </c:pt>
                <c:pt idx="12">
                  <c:v>-8.78990388612735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A2C-40FF-B208-222F0D182AE6}"/>
            </c:ext>
          </c:extLst>
        </c:ser>
        <c:ser>
          <c:idx val="19"/>
          <c:order val="19"/>
          <c:tx>
            <c:v>h=4,5km m. mocy</c:v>
          </c:tx>
          <c:spPr>
            <a:ln w="1905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'h=4500m'!$H$22:$H$34</c:f>
              <c:numCache>
                <c:formatCode>0.0</c:formatCode>
                <c:ptCount val="13"/>
                <c:pt idx="0">
                  <c:v>24.976599984063338</c:v>
                </c:pt>
                <c:pt idx="1">
                  <c:v>25.913491163225832</c:v>
                </c:pt>
                <c:pt idx="2">
                  <c:v>26.916252421603136</c:v>
                </c:pt>
                <c:pt idx="3">
                  <c:v>28.024822419719673</c:v>
                </c:pt>
                <c:pt idx="4">
                  <c:v>30.784642071542759</c:v>
                </c:pt>
                <c:pt idx="5">
                  <c:v>32.491536865861505</c:v>
                </c:pt>
                <c:pt idx="6">
                  <c:v>34.523334053607158</c:v>
                </c:pt>
                <c:pt idx="7">
                  <c:v>36.960003022078439</c:v>
                </c:pt>
                <c:pt idx="8">
                  <c:v>40.246726535522967</c:v>
                </c:pt>
                <c:pt idx="9">
                  <c:v>44.102905643179376</c:v>
                </c:pt>
                <c:pt idx="10">
                  <c:v>49.721762856978245</c:v>
                </c:pt>
                <c:pt idx="11">
                  <c:v>53.053826298861324</c:v>
                </c:pt>
                <c:pt idx="12">
                  <c:v>58.048077773836184</c:v>
                </c:pt>
              </c:numCache>
            </c:numRef>
          </c:xVal>
          <c:yVal>
            <c:numRef>
              <c:f>'h=4500m'!$L$22:$L$34</c:f>
              <c:numCache>
                <c:formatCode>0.00</c:formatCode>
                <c:ptCount val="13"/>
                <c:pt idx="0">
                  <c:v>-0.61271986813988577</c:v>
                </c:pt>
                <c:pt idx="1">
                  <c:v>-0.50675920108185513</c:v>
                </c:pt>
                <c:pt idx="2">
                  <c:v>-0.39475754377839095</c:v>
                </c:pt>
                <c:pt idx="3">
                  <c:v>-0.3474860507362611</c:v>
                </c:pt>
                <c:pt idx="4">
                  <c:v>-0.30701822302523224</c:v>
                </c:pt>
                <c:pt idx="5">
                  <c:v>-0.32607715498568324</c:v>
                </c:pt>
                <c:pt idx="6">
                  <c:v>-0.46914371735854948</c:v>
                </c:pt>
                <c:pt idx="7">
                  <c:v>-0.65258464538420669</c:v>
                </c:pt>
                <c:pt idx="8">
                  <c:v>-1.1066169695655861</c:v>
                </c:pt>
                <c:pt idx="9">
                  <c:v>-1.9180398964379806</c:v>
                </c:pt>
                <c:pt idx="10">
                  <c:v>-4.2727175706559049</c:v>
                </c:pt>
                <c:pt idx="11">
                  <c:v>-6.1940310670306937</c:v>
                </c:pt>
                <c:pt idx="12">
                  <c:v>-9.6412410791168188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A2C-40FF-B208-222F0D182AE6}"/>
            </c:ext>
          </c:extLst>
        </c:ser>
        <c:ser>
          <c:idx val="22"/>
          <c:order val="20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22.079780146439905</c:v>
                </c:pt>
                <c:pt idx="2">
                  <c:v>23.689027827482992</c:v>
                </c:pt>
                <c:pt idx="3">
                  <c:v>25.298275508526075</c:v>
                </c:pt>
                <c:pt idx="4">
                  <c:v>26.907523189569158</c:v>
                </c:pt>
                <c:pt idx="5">
                  <c:v>28.516770870612241</c:v>
                </c:pt>
                <c:pt idx="6">
                  <c:v>30.126018551655328</c:v>
                </c:pt>
                <c:pt idx="7">
                  <c:v>31.735266232698411</c:v>
                </c:pt>
                <c:pt idx="8">
                  <c:v>33.344513913741494</c:v>
                </c:pt>
                <c:pt idx="9">
                  <c:v>34.953761594784581</c:v>
                </c:pt>
                <c:pt idx="10">
                  <c:v>36.563009275827667</c:v>
                </c:pt>
                <c:pt idx="11">
                  <c:v>38.172256956870747</c:v>
                </c:pt>
                <c:pt idx="12">
                  <c:v>39.781504637913834</c:v>
                </c:pt>
                <c:pt idx="13">
                  <c:v>41.390752318956913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1.655581286735003</c:v>
                </c:pt>
                <c:pt idx="1">
                  <c:v>1.8199771565329694</c:v>
                </c:pt>
                <c:pt idx="2">
                  <c:v>2.0118705411337232</c:v>
                </c:pt>
                <c:pt idx="3">
                  <c:v>2.1444642058853742</c:v>
                </c:pt>
                <c:pt idx="4">
                  <c:v>2.2706780030276561</c:v>
                </c:pt>
                <c:pt idx="5">
                  <c:v>2.3010922162961669</c:v>
                </c:pt>
                <c:pt idx="6">
                  <c:v>2.2876169727700146</c:v>
                </c:pt>
                <c:pt idx="7">
                  <c:v>2.2558172269342056</c:v>
                </c:pt>
                <c:pt idx="8">
                  <c:v>2.1406376424434042</c:v>
                </c:pt>
                <c:pt idx="9">
                  <c:v>2.0126702466615023</c:v>
                </c:pt>
                <c:pt idx="10">
                  <c:v>1.8239397316843851</c:v>
                </c:pt>
                <c:pt idx="11">
                  <c:v>1.5620709465906601</c:v>
                </c:pt>
                <c:pt idx="12">
                  <c:v>1.1003825575591191</c:v>
                </c:pt>
                <c:pt idx="13">
                  <c:v>0.33627351079282719</c:v>
                </c:pt>
                <c:pt idx="14">
                  <c:v>-0.58613548989357023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DA-4EBF-825B-8F952F41C8C5}"/>
            </c:ext>
          </c:extLst>
        </c:ser>
        <c:ser>
          <c:idx val="23"/>
          <c:order val="21"/>
          <c:tx>
            <c:v>h=0,5km,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20.961063043845897</c:v>
                </c:pt>
                <c:pt idx="1">
                  <c:v>22.535272826428333</c:v>
                </c:pt>
                <c:pt idx="2">
                  <c:v>24.109482609010769</c:v>
                </c:pt>
                <c:pt idx="3">
                  <c:v>25.683692391593205</c:v>
                </c:pt>
                <c:pt idx="4">
                  <c:v>27.257902174175641</c:v>
                </c:pt>
                <c:pt idx="5">
                  <c:v>28.832111956758077</c:v>
                </c:pt>
                <c:pt idx="6">
                  <c:v>30.406321739340513</c:v>
                </c:pt>
                <c:pt idx="7">
                  <c:v>31.980531521922948</c:v>
                </c:pt>
                <c:pt idx="8">
                  <c:v>33.554741304505384</c:v>
                </c:pt>
                <c:pt idx="9">
                  <c:v>35.12895108708782</c:v>
                </c:pt>
                <c:pt idx="10">
                  <c:v>36.703160869670256</c:v>
                </c:pt>
                <c:pt idx="11">
                  <c:v>38.277370652252692</c:v>
                </c:pt>
                <c:pt idx="12">
                  <c:v>39.851580434835128</c:v>
                </c:pt>
                <c:pt idx="13">
                  <c:v>41.425790217417564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masa'!$O$22:$O$36</c:f>
              <c:numCache>
                <c:formatCode>0.00</c:formatCode>
                <c:ptCount val="15"/>
                <c:pt idx="0">
                  <c:v>1.400311184579651</c:v>
                </c:pt>
                <c:pt idx="1">
                  <c:v>1.5666036689079785</c:v>
                </c:pt>
                <c:pt idx="2">
                  <c:v>1.6836620076744635</c:v>
                </c:pt>
                <c:pt idx="3">
                  <c:v>1.8312554745701077</c:v>
                </c:pt>
                <c:pt idx="4">
                  <c:v>1.9661042828707382</c:v>
                </c:pt>
                <c:pt idx="5">
                  <c:v>2.0347212682747458</c:v>
                </c:pt>
                <c:pt idx="6">
                  <c:v>1.9995804819286018</c:v>
                </c:pt>
                <c:pt idx="7">
                  <c:v>1.9306545338179626</c:v>
                </c:pt>
                <c:pt idx="8">
                  <c:v>1.8081916734043084</c:v>
                </c:pt>
                <c:pt idx="9">
                  <c:v>1.6946026098430442</c:v>
                </c:pt>
                <c:pt idx="10">
                  <c:v>1.5332924687023484</c:v>
                </c:pt>
                <c:pt idx="11">
                  <c:v>1.3406666049997034</c:v>
                </c:pt>
                <c:pt idx="12">
                  <c:v>0.86831995592995537</c:v>
                </c:pt>
                <c:pt idx="13">
                  <c:v>0.19329430424942837</c:v>
                </c:pt>
                <c:pt idx="14">
                  <c:v>-0.62412753720591263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DA-4EBF-825B-8F952F41C8C5}"/>
            </c:ext>
          </c:extLst>
        </c:ser>
        <c:ser>
          <c:idx val="24"/>
          <c:order val="22"/>
          <c:tx>
            <c:v>h=1km,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21.468302938847525</c:v>
                </c:pt>
                <c:pt idx="1">
                  <c:v>23.006281300358417</c:v>
                </c:pt>
                <c:pt idx="2">
                  <c:v>24.544259661869308</c:v>
                </c:pt>
                <c:pt idx="3">
                  <c:v>26.082238023380199</c:v>
                </c:pt>
                <c:pt idx="4">
                  <c:v>27.620216384891091</c:v>
                </c:pt>
                <c:pt idx="5">
                  <c:v>29.158194746401982</c:v>
                </c:pt>
                <c:pt idx="6">
                  <c:v>30.69617310791287</c:v>
                </c:pt>
                <c:pt idx="7">
                  <c:v>32.234151469423765</c:v>
                </c:pt>
                <c:pt idx="8">
                  <c:v>33.772129830934652</c:v>
                </c:pt>
                <c:pt idx="9">
                  <c:v>35.310108192445547</c:v>
                </c:pt>
                <c:pt idx="10">
                  <c:v>36.848086553956435</c:v>
                </c:pt>
                <c:pt idx="11">
                  <c:v>38.38606491546733</c:v>
                </c:pt>
                <c:pt idx="12">
                  <c:v>39.924043276978217</c:v>
                </c:pt>
                <c:pt idx="13">
                  <c:v>41.462021638489105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masa'!$O$40:$O$54</c:f>
              <c:numCache>
                <c:formatCode>0.00</c:formatCode>
                <c:ptCount val="15"/>
                <c:pt idx="0">
                  <c:v>1.1348054806341914</c:v>
                </c:pt>
                <c:pt idx="1">
                  <c:v>1.2939353561241809</c:v>
                </c:pt>
                <c:pt idx="2">
                  <c:v>1.4499631222407314</c:v>
                </c:pt>
                <c:pt idx="3">
                  <c:v>1.559794628508884</c:v>
                </c:pt>
                <c:pt idx="4">
                  <c:v>1.6766526267647108</c:v>
                </c:pt>
                <c:pt idx="5">
                  <c:v>1.711584957447555</c:v>
                </c:pt>
                <c:pt idx="6">
                  <c:v>1.7349711977376501</c:v>
                </c:pt>
                <c:pt idx="7">
                  <c:v>1.6828556317021175</c:v>
                </c:pt>
                <c:pt idx="8">
                  <c:v>1.571327918269559</c:v>
                </c:pt>
                <c:pt idx="9">
                  <c:v>1.4535705782562984</c:v>
                </c:pt>
                <c:pt idx="10">
                  <c:v>1.2914325009129655</c:v>
                </c:pt>
                <c:pt idx="11">
                  <c:v>1.0733984356004123</c:v>
                </c:pt>
                <c:pt idx="12">
                  <c:v>0.66429581182852304</c:v>
                </c:pt>
                <c:pt idx="13">
                  <c:v>9.5962489876851201E-2</c:v>
                </c:pt>
                <c:pt idx="14">
                  <c:v>-0.66629005303620004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DA-4EBF-825B-8F952F41C8C5}"/>
            </c:ext>
          </c:extLst>
        </c:ser>
        <c:ser>
          <c:idx val="25"/>
          <c:order val="23"/>
          <c:tx>
            <c:v>h=1,5km,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21.992728725304172</c:v>
                </c:pt>
                <c:pt idx="1">
                  <c:v>23.421819530639588</c:v>
                </c:pt>
                <c:pt idx="2">
                  <c:v>24.850910335975005</c:v>
                </c:pt>
                <c:pt idx="3">
                  <c:v>26.280001141310422</c:v>
                </c:pt>
                <c:pt idx="4">
                  <c:v>27.709091946645838</c:v>
                </c:pt>
                <c:pt idx="5">
                  <c:v>29.138182751981255</c:v>
                </c:pt>
                <c:pt idx="6">
                  <c:v>30.567273557316668</c:v>
                </c:pt>
                <c:pt idx="7">
                  <c:v>31.996364362652088</c:v>
                </c:pt>
                <c:pt idx="8">
                  <c:v>33.425455167987501</c:v>
                </c:pt>
                <c:pt idx="9">
                  <c:v>34.854545973322921</c:v>
                </c:pt>
                <c:pt idx="10">
                  <c:v>36.283636778658334</c:v>
                </c:pt>
                <c:pt idx="11">
                  <c:v>37.712727583993754</c:v>
                </c:pt>
                <c:pt idx="12">
                  <c:v>39.141818389329167</c:v>
                </c:pt>
                <c:pt idx="13">
                  <c:v>40.57090919466458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masa'!$O$58:$O$72</c:f>
              <c:numCache>
                <c:formatCode>0.00</c:formatCode>
                <c:ptCount val="15"/>
                <c:pt idx="0">
                  <c:v>0.86779925847790551</c:v>
                </c:pt>
                <c:pt idx="1">
                  <c:v>1.0036180507696248</c:v>
                </c:pt>
                <c:pt idx="2">
                  <c:v>1.176828103317429</c:v>
                </c:pt>
                <c:pt idx="3">
                  <c:v>1.3183649667766248</c:v>
                </c:pt>
                <c:pt idx="4">
                  <c:v>1.4017284553906126</c:v>
                </c:pt>
                <c:pt idx="5">
                  <c:v>1.444223123052746</c:v>
                </c:pt>
                <c:pt idx="6">
                  <c:v>1.4270105232299446</c:v>
                </c:pt>
                <c:pt idx="7">
                  <c:v>1.3941537386708296</c:v>
                </c:pt>
                <c:pt idx="8">
                  <c:v>1.3450787483537261</c:v>
                </c:pt>
                <c:pt idx="9">
                  <c:v>1.2883038258958441</c:v>
                </c:pt>
                <c:pt idx="10">
                  <c:v>1.167192402899097</c:v>
                </c:pt>
                <c:pt idx="11">
                  <c:v>0.96080762902673378</c:v>
                </c:pt>
                <c:pt idx="12">
                  <c:v>0.70396654624456834</c:v>
                </c:pt>
                <c:pt idx="13">
                  <c:v>0.35619702425420402</c:v>
                </c:pt>
                <c:pt idx="14">
                  <c:v>-0.22101761152216465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DA-4EBF-825B-8F952F41C8C5}"/>
            </c:ext>
          </c:extLst>
        </c:ser>
        <c:ser>
          <c:idx val="26"/>
          <c:order val="24"/>
          <c:tx>
            <c:v>h=2km,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22.534764048964448</c:v>
                </c:pt>
                <c:pt idx="1">
                  <c:v>23.925138045466987</c:v>
                </c:pt>
                <c:pt idx="2">
                  <c:v>25.315512041969527</c:v>
                </c:pt>
                <c:pt idx="3">
                  <c:v>26.705886038472066</c:v>
                </c:pt>
                <c:pt idx="4">
                  <c:v>28.096260034974605</c:v>
                </c:pt>
                <c:pt idx="5">
                  <c:v>29.486634031477145</c:v>
                </c:pt>
                <c:pt idx="6">
                  <c:v>30.877008027979684</c:v>
                </c:pt>
                <c:pt idx="7">
                  <c:v>32.267382024482224</c:v>
                </c:pt>
                <c:pt idx="8">
                  <c:v>33.657756020984763</c:v>
                </c:pt>
                <c:pt idx="9">
                  <c:v>35.048130017487303</c:v>
                </c:pt>
                <c:pt idx="10">
                  <c:v>36.438504013989842</c:v>
                </c:pt>
                <c:pt idx="11">
                  <c:v>37.828878010492382</c:v>
                </c:pt>
                <c:pt idx="12">
                  <c:v>39.219252006994921</c:v>
                </c:pt>
                <c:pt idx="13">
                  <c:v>40.609626003497461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masa'!$O$76:$O$90</c:f>
              <c:numCache>
                <c:formatCode>0.00</c:formatCode>
                <c:ptCount val="15"/>
                <c:pt idx="0">
                  <c:v>0.59053832905767445</c:v>
                </c:pt>
                <c:pt idx="1">
                  <c:v>0.77083783035004327</c:v>
                </c:pt>
                <c:pt idx="2">
                  <c:v>0.93846446635505276</c:v>
                </c:pt>
                <c:pt idx="3">
                  <c:v>0.99710009418107015</c:v>
                </c:pt>
                <c:pt idx="4">
                  <c:v>1.0786569388032665</c:v>
                </c:pt>
                <c:pt idx="5">
                  <c:v>1.1035815356717973</c:v>
                </c:pt>
                <c:pt idx="6">
                  <c:v>1.1068664646825954</c:v>
                </c:pt>
                <c:pt idx="7">
                  <c:v>1.1154114505030053</c:v>
                </c:pt>
                <c:pt idx="8">
                  <c:v>1.0559905008632453</c:v>
                </c:pt>
                <c:pt idx="9">
                  <c:v>0.97288822298785393</c:v>
                </c:pt>
                <c:pt idx="10">
                  <c:v>0.8557042412397915</c:v>
                </c:pt>
                <c:pt idx="11">
                  <c:v>0.70319269151836583</c:v>
                </c:pt>
                <c:pt idx="12">
                  <c:v>0.44754767946205409</c:v>
                </c:pt>
                <c:pt idx="13">
                  <c:v>0.13295070163270653</c:v>
                </c:pt>
                <c:pt idx="14">
                  <c:v>-0.36828423992248144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DA-4EBF-825B-8F952F41C8C5}"/>
            </c:ext>
          </c:extLst>
        </c:ser>
        <c:ser>
          <c:idx val="27"/>
          <c:order val="25"/>
          <c:tx>
            <c:v>h=2,5km,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23.093641145592002</c:v>
                </c:pt>
                <c:pt idx="1">
                  <c:v>24.444095349478289</c:v>
                </c:pt>
                <c:pt idx="2">
                  <c:v>25.794549553364572</c:v>
                </c:pt>
                <c:pt idx="3">
                  <c:v>27.145003757250858</c:v>
                </c:pt>
                <c:pt idx="4">
                  <c:v>28.495457961137145</c:v>
                </c:pt>
                <c:pt idx="5">
                  <c:v>29.845912165023428</c:v>
                </c:pt>
                <c:pt idx="6">
                  <c:v>31.196366368909715</c:v>
                </c:pt>
                <c:pt idx="7">
                  <c:v>32.546820572796001</c:v>
                </c:pt>
                <c:pt idx="8">
                  <c:v>33.897274776682288</c:v>
                </c:pt>
                <c:pt idx="9">
                  <c:v>35.247728980568567</c:v>
                </c:pt>
                <c:pt idx="10">
                  <c:v>36.598183184454854</c:v>
                </c:pt>
                <c:pt idx="11">
                  <c:v>37.94863738834114</c:v>
                </c:pt>
                <c:pt idx="12">
                  <c:v>39.299091592227427</c:v>
                </c:pt>
                <c:pt idx="13">
                  <c:v>40.649545796113713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masa'!$O$94:$O$108</c:f>
              <c:numCache>
                <c:formatCode>0.00</c:formatCode>
                <c:ptCount val="15"/>
                <c:pt idx="0">
                  <c:v>0.32088779166756509</c:v>
                </c:pt>
                <c:pt idx="1">
                  <c:v>0.50174048274141492</c:v>
                </c:pt>
                <c:pt idx="2">
                  <c:v>0.59312724632728553</c:v>
                </c:pt>
                <c:pt idx="3">
                  <c:v>0.73562292858451994</c:v>
                </c:pt>
                <c:pt idx="4">
                  <c:v>0.80649619592695254</c:v>
                </c:pt>
                <c:pt idx="5">
                  <c:v>0.86747971660197609</c:v>
                </c:pt>
                <c:pt idx="6">
                  <c:v>0.86455934762847664</c:v>
                </c:pt>
                <c:pt idx="7">
                  <c:v>0.85093971691916936</c:v>
                </c:pt>
                <c:pt idx="8">
                  <c:v>0.81716883007887098</c:v>
                </c:pt>
                <c:pt idx="9">
                  <c:v>0.74417599006215318</c:v>
                </c:pt>
                <c:pt idx="10">
                  <c:v>0.63068442963357019</c:v>
                </c:pt>
                <c:pt idx="11">
                  <c:v>0.50344921668796916</c:v>
                </c:pt>
                <c:pt idx="12">
                  <c:v>0.3333753735479803</c:v>
                </c:pt>
                <c:pt idx="13">
                  <c:v>4.2172938324856718E-2</c:v>
                </c:pt>
                <c:pt idx="14">
                  <c:v>-0.43206145503976945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DA-4EBF-825B-8F952F41C8C5}"/>
            </c:ext>
          </c:extLst>
        </c:ser>
        <c:ser>
          <c:idx val="28"/>
          <c:order val="26"/>
          <c:tx>
            <c:v>h=3km,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23.669350122284712</c:v>
                </c:pt>
                <c:pt idx="1">
                  <c:v>24.907253684978659</c:v>
                </c:pt>
                <c:pt idx="2">
                  <c:v>26.145157247672611</c:v>
                </c:pt>
                <c:pt idx="3">
                  <c:v>27.383060810366558</c:v>
                </c:pt>
                <c:pt idx="4">
                  <c:v>28.620964373060509</c:v>
                </c:pt>
                <c:pt idx="5">
                  <c:v>29.858867935754457</c:v>
                </c:pt>
                <c:pt idx="6">
                  <c:v>31.096771498448405</c:v>
                </c:pt>
                <c:pt idx="7">
                  <c:v>32.334675061142356</c:v>
                </c:pt>
                <c:pt idx="8">
                  <c:v>33.572578623836307</c:v>
                </c:pt>
                <c:pt idx="9">
                  <c:v>34.810482186530251</c:v>
                </c:pt>
                <c:pt idx="10">
                  <c:v>36.048385749224202</c:v>
                </c:pt>
                <c:pt idx="11">
                  <c:v>37.286289311918154</c:v>
                </c:pt>
                <c:pt idx="12">
                  <c:v>38.524192874612098</c:v>
                </c:pt>
                <c:pt idx="13">
                  <c:v>39.762096437306056</c:v>
                </c:pt>
                <c:pt idx="14">
                  <c:v>41</c:v>
                </c:pt>
              </c:numCache>
            </c:numRef>
          </c:xVal>
          <c:yVal>
            <c:numRef>
              <c:f>'Metoda Ciągu, zmienna masa'!$O$112:$O$126</c:f>
              <c:numCache>
                <c:formatCode>0.00</c:formatCode>
                <c:ptCount val="15"/>
                <c:pt idx="0">
                  <c:v>0.13696074215808982</c:v>
                </c:pt>
                <c:pt idx="1">
                  <c:v>0.25861977670749603</c:v>
                </c:pt>
                <c:pt idx="2">
                  <c:v>0.36524238970194139</c:v>
                </c:pt>
                <c:pt idx="3">
                  <c:v>0.47495855464713665</c:v>
                </c:pt>
                <c:pt idx="4">
                  <c:v>0.53512122695729503</c:v>
                </c:pt>
                <c:pt idx="5">
                  <c:v>0.56302792324174966</c:v>
                </c:pt>
                <c:pt idx="6">
                  <c:v>0.59445048899347575</c:v>
                </c:pt>
                <c:pt idx="7">
                  <c:v>0.59331965609004866</c:v>
                </c:pt>
                <c:pt idx="8">
                  <c:v>0.55892935060784532</c:v>
                </c:pt>
                <c:pt idx="9">
                  <c:v>0.50894552498017298</c:v>
                </c:pt>
                <c:pt idx="10">
                  <c:v>0.42426391475900604</c:v>
                </c:pt>
                <c:pt idx="11">
                  <c:v>0.34147829422114456</c:v>
                </c:pt>
                <c:pt idx="12">
                  <c:v>0.20345523050771194</c:v>
                </c:pt>
                <c:pt idx="13">
                  <c:v>7.533937445718375E-2</c:v>
                </c:pt>
                <c:pt idx="14">
                  <c:v>-0.21665977184377386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DA-4EBF-825B-8F952F41C8C5}"/>
            </c:ext>
          </c:extLst>
        </c:ser>
        <c:ser>
          <c:idx val="29"/>
          <c:order val="27"/>
          <c:tx>
            <c:v>h=3,5km,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24.257414707295691</c:v>
                </c:pt>
                <c:pt idx="1">
                  <c:v>25.310456513917426</c:v>
                </c:pt>
                <c:pt idx="2">
                  <c:v>26.363498320539165</c:v>
                </c:pt>
                <c:pt idx="3">
                  <c:v>27.4165401271609</c:v>
                </c:pt>
                <c:pt idx="4">
                  <c:v>28.469581933782635</c:v>
                </c:pt>
                <c:pt idx="5">
                  <c:v>29.522623740404374</c:v>
                </c:pt>
                <c:pt idx="6">
                  <c:v>30.575665547026109</c:v>
                </c:pt>
                <c:pt idx="7">
                  <c:v>31.628707353647847</c:v>
                </c:pt>
                <c:pt idx="8">
                  <c:v>32.681749160269582</c:v>
                </c:pt>
                <c:pt idx="9">
                  <c:v>33.734790966891318</c:v>
                </c:pt>
                <c:pt idx="10">
                  <c:v>34.78783277351306</c:v>
                </c:pt>
                <c:pt idx="11">
                  <c:v>35.840874580134795</c:v>
                </c:pt>
                <c:pt idx="12">
                  <c:v>36.89391638675653</c:v>
                </c:pt>
                <c:pt idx="13">
                  <c:v>37.946958193378265</c:v>
                </c:pt>
                <c:pt idx="14">
                  <c:v>39</c:v>
                </c:pt>
              </c:numCache>
            </c:numRef>
          </c:xVal>
          <c:yVal>
            <c:numRef>
              <c:f>'Metoda Ciągu, zmienna masa'!$O$130:$O$144</c:f>
              <c:numCache>
                <c:formatCode>0.00</c:formatCode>
                <c:ptCount val="15"/>
                <c:pt idx="0">
                  <c:v>-0.10708080710180636</c:v>
                </c:pt>
                <c:pt idx="1">
                  <c:v>-1.8583938942704655E-2</c:v>
                </c:pt>
                <c:pt idx="2">
                  <c:v>0.12278173300735302</c:v>
                </c:pt>
                <c:pt idx="3">
                  <c:v>0.22123289079434358</c:v>
                </c:pt>
                <c:pt idx="4">
                  <c:v>0.29423312740245494</c:v>
                </c:pt>
                <c:pt idx="5">
                  <c:v>0.34164393555380079</c:v>
                </c:pt>
                <c:pt idx="6">
                  <c:v>0.38126484362382884</c:v>
                </c:pt>
                <c:pt idx="7">
                  <c:v>0.38579534671080828</c:v>
                </c:pt>
                <c:pt idx="8">
                  <c:v>0.38216614928810749</c:v>
                </c:pt>
                <c:pt idx="9">
                  <c:v>0.35173848984436046</c:v>
                </c:pt>
                <c:pt idx="10">
                  <c:v>0.30325207844570179</c:v>
                </c:pt>
                <c:pt idx="11">
                  <c:v>0.24567953478561794</c:v>
                </c:pt>
                <c:pt idx="12">
                  <c:v>0.15974242903816799</c:v>
                </c:pt>
                <c:pt idx="13">
                  <c:v>5.4197975103153898E-2</c:v>
                </c:pt>
                <c:pt idx="14">
                  <c:v>-8.1228805845801999E-2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DA-4EBF-825B-8F952F41C8C5}"/>
            </c:ext>
          </c:extLst>
        </c:ser>
        <c:ser>
          <c:idx val="30"/>
          <c:order val="28"/>
          <c:tx>
            <c:v>h=4km,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masa'!$J$148:$J$162</c:f>
              <c:numCache>
                <c:formatCode>0.0</c:formatCode>
                <c:ptCount val="15"/>
                <c:pt idx="0">
                  <c:v>24.852142365160667</c:v>
                </c:pt>
                <c:pt idx="1">
                  <c:v>25.719846481934905</c:v>
                </c:pt>
                <c:pt idx="2">
                  <c:v>26.587550598709143</c:v>
                </c:pt>
                <c:pt idx="3">
                  <c:v>27.455254715483381</c:v>
                </c:pt>
                <c:pt idx="4">
                  <c:v>28.322958832257619</c:v>
                </c:pt>
                <c:pt idx="5">
                  <c:v>29.190662949031857</c:v>
                </c:pt>
                <c:pt idx="6">
                  <c:v>30.058367065806095</c:v>
                </c:pt>
                <c:pt idx="7">
                  <c:v>30.926071182580333</c:v>
                </c:pt>
                <c:pt idx="8">
                  <c:v>31.793775299354571</c:v>
                </c:pt>
                <c:pt idx="9">
                  <c:v>32.661479416128813</c:v>
                </c:pt>
                <c:pt idx="10">
                  <c:v>33.529183532903048</c:v>
                </c:pt>
                <c:pt idx="11">
                  <c:v>34.396887649677282</c:v>
                </c:pt>
                <c:pt idx="12">
                  <c:v>35.264591766451524</c:v>
                </c:pt>
                <c:pt idx="13">
                  <c:v>36.132295883225765</c:v>
                </c:pt>
                <c:pt idx="14">
                  <c:v>37</c:v>
                </c:pt>
              </c:numCache>
            </c:numRef>
          </c:xVal>
          <c:yVal>
            <c:numRef>
              <c:f>'Metoda Ciągu, zmienna masa'!$O$148:$O$162</c:f>
              <c:numCache>
                <c:formatCode>0.00</c:formatCode>
                <c:ptCount val="15"/>
                <c:pt idx="0">
                  <c:v>-0.37480771240351518</c:v>
                </c:pt>
                <c:pt idx="1">
                  <c:v>-0.24210965759234063</c:v>
                </c:pt>
                <c:pt idx="2">
                  <c:v>-0.16470764584934505</c:v>
                </c:pt>
                <c:pt idx="3">
                  <c:v>-7.2407943850638909E-2</c:v>
                </c:pt>
                <c:pt idx="4">
                  <c:v>-9.1689137055418601E-3</c:v>
                </c:pt>
                <c:pt idx="5">
                  <c:v>4.2620637146595877E-2</c:v>
                </c:pt>
                <c:pt idx="6">
                  <c:v>7.3911210222559129E-2</c:v>
                </c:pt>
                <c:pt idx="7">
                  <c:v>0.10267161554395725</c:v>
                </c:pt>
                <c:pt idx="8">
                  <c:v>0.11979796499253757</c:v>
                </c:pt>
                <c:pt idx="9">
                  <c:v>0.13444964550449515</c:v>
                </c:pt>
                <c:pt idx="10">
                  <c:v>0.12804239880458237</c:v>
                </c:pt>
                <c:pt idx="11">
                  <c:v>0.11885489301821363</c:v>
                </c:pt>
                <c:pt idx="12">
                  <c:v>6.8859927126146317E-2</c:v>
                </c:pt>
                <c:pt idx="13">
                  <c:v>-6.5299003680962002E-3</c:v>
                </c:pt>
                <c:pt idx="14">
                  <c:v>-7.0317844991931153E-2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4DA-4EBF-825B-8F952F41C8C5}"/>
            </c:ext>
          </c:extLst>
        </c:ser>
        <c:ser>
          <c:idx val="31"/>
          <c:order val="29"/>
          <c:tx>
            <c:v>h=4,5km, m. ciągu, zmienna masa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masa'!$J$166:$J$180</c:f>
              <c:numCache>
                <c:formatCode>0.0</c:formatCode>
                <c:ptCount val="15"/>
                <c:pt idx="0">
                  <c:v>25.379733241956714</c:v>
                </c:pt>
                <c:pt idx="1">
                  <c:v>26.209752296102664</c:v>
                </c:pt>
                <c:pt idx="2">
                  <c:v>27.039771350248611</c:v>
                </c:pt>
                <c:pt idx="3">
                  <c:v>27.869790404394561</c:v>
                </c:pt>
                <c:pt idx="4">
                  <c:v>28.699809458540511</c:v>
                </c:pt>
                <c:pt idx="5">
                  <c:v>29.529828512686457</c:v>
                </c:pt>
                <c:pt idx="6">
                  <c:v>30.359847566832407</c:v>
                </c:pt>
                <c:pt idx="7">
                  <c:v>31.189866620978357</c:v>
                </c:pt>
                <c:pt idx="8">
                  <c:v>32.019885675124307</c:v>
                </c:pt>
                <c:pt idx="9">
                  <c:v>32.849904729270257</c:v>
                </c:pt>
                <c:pt idx="10">
                  <c:v>33.6799237834162</c:v>
                </c:pt>
                <c:pt idx="11">
                  <c:v>34.50994283756215</c:v>
                </c:pt>
                <c:pt idx="12">
                  <c:v>35.3399618917081</c:v>
                </c:pt>
                <c:pt idx="13">
                  <c:v>36.16998094585405</c:v>
                </c:pt>
                <c:pt idx="14">
                  <c:v>37</c:v>
                </c:pt>
              </c:numCache>
            </c:numRef>
          </c:xVal>
          <c:yVal>
            <c:numRef>
              <c:f>'Metoda Ciągu, zmienna masa'!$O$166:$O$180</c:f>
              <c:numCache>
                <c:formatCode>0.00</c:formatCode>
                <c:ptCount val="15"/>
                <c:pt idx="0">
                  <c:v>-0.53580483050441463</c:v>
                </c:pt>
                <c:pt idx="1">
                  <c:v>-0.44052025218857099</c:v>
                </c:pt>
                <c:pt idx="2">
                  <c:v>-0.35569877713985093</c:v>
                </c:pt>
                <c:pt idx="3">
                  <c:v>-0.3080110880858446</c:v>
                </c:pt>
                <c:pt idx="4">
                  <c:v>-0.24397243202305668</c:v>
                </c:pt>
                <c:pt idx="5">
                  <c:v>-0.20820087838899348</c:v>
                </c:pt>
                <c:pt idx="6">
                  <c:v>-0.17381331487651702</c:v>
                </c:pt>
                <c:pt idx="7">
                  <c:v>-0.13144382015851563</c:v>
                </c:pt>
                <c:pt idx="8">
                  <c:v>-0.12700840464177063</c:v>
                </c:pt>
                <c:pt idx="9">
                  <c:v>-0.11455785768648849</c:v>
                </c:pt>
                <c:pt idx="10">
                  <c:v>-0.10330638750766036</c:v>
                </c:pt>
                <c:pt idx="11">
                  <c:v>-0.13092618935678144</c:v>
                </c:pt>
                <c:pt idx="12">
                  <c:v>-0.13164744449360971</c:v>
                </c:pt>
                <c:pt idx="13">
                  <c:v>-0.18149923620450611</c:v>
                </c:pt>
                <c:pt idx="14">
                  <c:v>-0.23338649580940657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4DA-4EBF-825B-8F952F41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43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2"/>
      </c:valAx>
      <c:valAx>
        <c:axId val="428777192"/>
        <c:scaling>
          <c:orientation val="minMax"/>
          <c:max val="2.5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PWS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 dla mas średnich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5.4301574510823851</c:v>
                </c:pt>
                <c:pt idx="1">
                  <c:v>5.4839101069983194</c:v>
                </c:pt>
                <c:pt idx="2">
                  <c:v>5.2932963917559439</c:v>
                </c:pt>
                <c:pt idx="3">
                  <c:v>5.1754178798587205</c:v>
                </c:pt>
                <c:pt idx="4">
                  <c:v>4.8705190498519402</c:v>
                </c:pt>
                <c:pt idx="5">
                  <c:v>4.4331578170290067</c:v>
                </c:pt>
                <c:pt idx="6">
                  <c:v>3.6339571361416989</c:v>
                </c:pt>
                <c:pt idx="7">
                  <c:v>2.7981526160249071</c:v>
                </c:pt>
                <c:pt idx="8">
                  <c:v>1.7639010115844047</c:v>
                </c:pt>
                <c:pt idx="9">
                  <c:v>-0.15747115129075906</c:v>
                </c:pt>
                <c:pt idx="10">
                  <c:v>-1.6100224077273666</c:v>
                </c:pt>
                <c:pt idx="11">
                  <c:v>-3.1725646058028953</c:v>
                </c:pt>
                <c:pt idx="12">
                  <c:v>-4.7726776368369714</c:v>
                </c:pt>
                <c:pt idx="13">
                  <c:v>-6.5447488113646335</c:v>
                </c:pt>
                <c:pt idx="14">
                  <c:v>-8.3869781156973744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D3-4B71-87B4-99D1159FF66A}"/>
            </c:ext>
          </c:extLst>
        </c:ser>
        <c:ser>
          <c:idx val="1"/>
          <c:order val="1"/>
          <c:tx>
            <c:v>h=0,5km m. ciągu, m=const.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'h=500m'!$I$3:$I$17</c:f>
              <c:numCache>
                <c:formatCode>0.0</c:formatCode>
                <c:ptCount val="15"/>
                <c:pt idx="0">
                  <c:v>20.371714852065022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'h=500m'!$M$3:$M$17</c:f>
              <c:numCache>
                <c:formatCode>0.00</c:formatCode>
                <c:ptCount val="15"/>
                <c:pt idx="0">
                  <c:v>4.7445366209597841</c:v>
                </c:pt>
                <c:pt idx="1">
                  <c:v>4.7310175023747298</c:v>
                </c:pt>
                <c:pt idx="2">
                  <c:v>4.5402004207947746</c:v>
                </c:pt>
                <c:pt idx="3">
                  <c:v>4.4448788533836625</c:v>
                </c:pt>
                <c:pt idx="4">
                  <c:v>4.2369755579325634</c:v>
                </c:pt>
                <c:pt idx="5">
                  <c:v>3.8865682866359248</c:v>
                </c:pt>
                <c:pt idx="6">
                  <c:v>3.0947539180572039</c:v>
                </c:pt>
                <c:pt idx="7">
                  <c:v>2.4022921255495864</c:v>
                </c:pt>
                <c:pt idx="8">
                  <c:v>1.4320816188751708</c:v>
                </c:pt>
                <c:pt idx="9">
                  <c:v>-0.27897730844386393</c:v>
                </c:pt>
                <c:pt idx="10">
                  <c:v>-1.6370878269833251</c:v>
                </c:pt>
                <c:pt idx="11">
                  <c:v>-3.1200756752937129</c:v>
                </c:pt>
                <c:pt idx="12">
                  <c:v>-4.6852242570844744</c:v>
                </c:pt>
                <c:pt idx="13">
                  <c:v>-6.4306163380111148</c:v>
                </c:pt>
                <c:pt idx="14">
                  <c:v>-8.1442663548191572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D3-4B71-87B4-99D1159FF66A}"/>
            </c:ext>
          </c:extLst>
        </c:ser>
        <c:ser>
          <c:idx val="2"/>
          <c:order val="2"/>
          <c:tx>
            <c:v>h=1km m. ciągu, m=const.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'h=1000m'!$I$3:$I$17</c:f>
              <c:numCache>
                <c:formatCode>0.0</c:formatCode>
                <c:ptCount val="15"/>
                <c:pt idx="0">
                  <c:v>20.875565662291493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'h=1000m'!$M$3:$M$17</c:f>
              <c:numCache>
                <c:formatCode>0.00</c:formatCode>
                <c:ptCount val="15"/>
                <c:pt idx="0">
                  <c:v>3.7775123982340482</c:v>
                </c:pt>
                <c:pt idx="1">
                  <c:v>3.8407256601146642</c:v>
                </c:pt>
                <c:pt idx="2">
                  <c:v>3.8368221188188567</c:v>
                </c:pt>
                <c:pt idx="3">
                  <c:v>3.7798073959210252</c:v>
                </c:pt>
                <c:pt idx="4">
                  <c:v>3.681768952637853</c:v>
                </c:pt>
                <c:pt idx="5">
                  <c:v>3.3774428244179497</c:v>
                </c:pt>
                <c:pt idx="6">
                  <c:v>2.6973594756125019</c:v>
                </c:pt>
                <c:pt idx="7">
                  <c:v>1.9913872450301064</c:v>
                </c:pt>
                <c:pt idx="8">
                  <c:v>1.110544438986468</c:v>
                </c:pt>
                <c:pt idx="9">
                  <c:v>-0.36884303237785659</c:v>
                </c:pt>
                <c:pt idx="10">
                  <c:v>-1.6938281020385542</c:v>
                </c:pt>
                <c:pt idx="11">
                  <c:v>-3.0755780034776521</c:v>
                </c:pt>
                <c:pt idx="12">
                  <c:v>-4.5540886434859855</c:v>
                </c:pt>
                <c:pt idx="13">
                  <c:v>-6.1431452900180039</c:v>
                </c:pt>
                <c:pt idx="14">
                  <c:v>-7.8355784229605074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D3-4B71-87B4-99D1159FF66A}"/>
            </c:ext>
          </c:extLst>
        </c:ser>
        <c:ser>
          <c:idx val="3"/>
          <c:order val="3"/>
          <c:tx>
            <c:v>h=1,5km m. ciągu, m=const.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'h=1500m'!$I$3:$I$17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'h=1500m'!$M$3:$M$17</c:f>
              <c:numCache>
                <c:formatCode>0.00</c:formatCode>
                <c:ptCount val="15"/>
                <c:pt idx="0">
                  <c:v>3.0237060869583794</c:v>
                </c:pt>
                <c:pt idx="1">
                  <c:v>3.0284651904907034</c:v>
                </c:pt>
                <c:pt idx="2">
                  <c:v>3.0948285417901098</c:v>
                </c:pt>
                <c:pt idx="3">
                  <c:v>3.1391708254455422</c:v>
                </c:pt>
                <c:pt idx="4">
                  <c:v>3.0000726631139019</c:v>
                </c:pt>
                <c:pt idx="5">
                  <c:v>2.818989948289766</c:v>
                </c:pt>
                <c:pt idx="6">
                  <c:v>2.2382797267065455</c:v>
                </c:pt>
                <c:pt idx="7">
                  <c:v>1.6366389094287905</c:v>
                </c:pt>
                <c:pt idx="8">
                  <c:v>0.83882528345776797</c:v>
                </c:pt>
                <c:pt idx="9">
                  <c:v>-0.50028599833083809</c:v>
                </c:pt>
                <c:pt idx="10">
                  <c:v>-1.7336697544886548</c:v>
                </c:pt>
                <c:pt idx="11">
                  <c:v>-3.1056050037697034</c:v>
                </c:pt>
                <c:pt idx="12">
                  <c:v>-4.4109740457689472</c:v>
                </c:pt>
                <c:pt idx="13">
                  <c:v>-5.9795458358463041</c:v>
                </c:pt>
                <c:pt idx="14">
                  <c:v>-7.50024948986841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D3-4B71-87B4-99D1159FF66A}"/>
            </c:ext>
          </c:extLst>
        </c:ser>
        <c:ser>
          <c:idx val="4"/>
          <c:order val="4"/>
          <c:tx>
            <c:v>h=2km m. ciągu, m=const.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'h=2000m'!$I$3:$I$17</c:f>
              <c:numCache>
                <c:formatCode>0.0</c:formatCode>
                <c:ptCount val="15"/>
                <c:pt idx="0">
                  <c:v>21.939776241582344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'h=2000m'!$M$3:$M$17</c:f>
              <c:numCache>
                <c:formatCode>0.00</c:formatCode>
                <c:ptCount val="15"/>
                <c:pt idx="0">
                  <c:v>2.179007503454172</c:v>
                </c:pt>
                <c:pt idx="1">
                  <c:v>2.2423006171711815</c:v>
                </c:pt>
                <c:pt idx="2">
                  <c:v>2.3789063064175195</c:v>
                </c:pt>
                <c:pt idx="3">
                  <c:v>2.4620001509201823</c:v>
                </c:pt>
                <c:pt idx="4">
                  <c:v>2.3954733812170077</c:v>
                </c:pt>
                <c:pt idx="5">
                  <c:v>2.1761870920818187</c:v>
                </c:pt>
                <c:pt idx="6">
                  <c:v>1.732745141086486</c:v>
                </c:pt>
                <c:pt idx="7">
                  <c:v>1.166448012800348</c:v>
                </c:pt>
                <c:pt idx="8">
                  <c:v>0.49822508982636193</c:v>
                </c:pt>
                <c:pt idx="9">
                  <c:v>-0.69755312889024712</c:v>
                </c:pt>
                <c:pt idx="10">
                  <c:v>-1.884439779368124</c:v>
                </c:pt>
                <c:pt idx="11">
                  <c:v>-3.0654822173830154</c:v>
                </c:pt>
                <c:pt idx="12">
                  <c:v>-4.3303607687404506</c:v>
                </c:pt>
                <c:pt idx="13">
                  <c:v>-5.8267099028820715</c:v>
                </c:pt>
                <c:pt idx="14">
                  <c:v>-7.2367596163515806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D3-4B71-87B4-99D1159FF66A}"/>
            </c:ext>
          </c:extLst>
        </c:ser>
        <c:ser>
          <c:idx val="5"/>
          <c:order val="5"/>
          <c:tx>
            <c:v>h=2,5km m. ciągu m=const.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'h=2500m'!$I$3:$I$17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'h=2500m'!$M$3:$M$17</c:f>
              <c:numCache>
                <c:formatCode>0.00</c:formatCode>
                <c:ptCount val="15"/>
                <c:pt idx="0">
                  <c:v>1.4394314663193724</c:v>
                </c:pt>
                <c:pt idx="1">
                  <c:v>1.4517475552957535</c:v>
                </c:pt>
                <c:pt idx="2">
                  <c:v>1.5790731298672915</c:v>
                </c:pt>
                <c:pt idx="3">
                  <c:v>1.8677349936591714</c:v>
                </c:pt>
                <c:pt idx="4">
                  <c:v>1.8487205649619027</c:v>
                </c:pt>
                <c:pt idx="5">
                  <c:v>1.6901143227990452</c:v>
                </c:pt>
                <c:pt idx="6">
                  <c:v>1.3679141353868816</c:v>
                </c:pt>
                <c:pt idx="7">
                  <c:v>0.88041024083984887</c:v>
                </c:pt>
                <c:pt idx="8">
                  <c:v>0.28603124055070206</c:v>
                </c:pt>
                <c:pt idx="9">
                  <c:v>-0.79013661004294033</c:v>
                </c:pt>
                <c:pt idx="10">
                  <c:v>-1.9252154415399172</c:v>
                </c:pt>
                <c:pt idx="11">
                  <c:v>-3.0441046550258171</c:v>
                </c:pt>
                <c:pt idx="12">
                  <c:v>-4.2694780802358201</c:v>
                </c:pt>
                <c:pt idx="13">
                  <c:v>-5.6946957095241126</c:v>
                </c:pt>
                <c:pt idx="14">
                  <c:v>-7.074313905460067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D3-4B71-87B4-99D1159FF66A}"/>
            </c:ext>
          </c:extLst>
        </c:ser>
        <c:ser>
          <c:idx val="6"/>
          <c:order val="6"/>
          <c:tx>
            <c:v>h=3km m. ciągu, m=const.</c:v>
          </c:tx>
          <c:spPr>
            <a:ln w="1905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'h=3000m'!$I$3:$I$17</c:f>
              <c:numCache>
                <c:formatCode>0.0</c:formatCode>
                <c:ptCount val="15"/>
                <c:pt idx="0">
                  <c:v>23.085686081940391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'h=3000m'!$M$3:$M$17</c:f>
              <c:numCache>
                <c:formatCode>0.00</c:formatCode>
                <c:ptCount val="15"/>
                <c:pt idx="0">
                  <c:v>0.75274814952526414</c:v>
                </c:pt>
                <c:pt idx="1">
                  <c:v>0.87309676272482006</c:v>
                </c:pt>
                <c:pt idx="2">
                  <c:v>0.91229300978567185</c:v>
                </c:pt>
                <c:pt idx="3">
                  <c:v>1.1551987556857874</c:v>
                </c:pt>
                <c:pt idx="4">
                  <c:v>1.2476617233926519</c:v>
                </c:pt>
                <c:pt idx="5">
                  <c:v>1.1013621984976643</c:v>
                </c:pt>
                <c:pt idx="6">
                  <c:v>0.7996635608490793</c:v>
                </c:pt>
                <c:pt idx="7">
                  <c:v>0.40697162405669751</c:v>
                </c:pt>
                <c:pt idx="8">
                  <c:v>-8.4060542383982417E-3</c:v>
                </c:pt>
                <c:pt idx="9">
                  <c:v>-0.97307798739752371</c:v>
                </c:pt>
                <c:pt idx="10">
                  <c:v>-1.9257162302313922</c:v>
                </c:pt>
                <c:pt idx="11">
                  <c:v>-2.9413322013274628</c:v>
                </c:pt>
                <c:pt idx="12">
                  <c:v>-4.2388280991519967</c:v>
                </c:pt>
                <c:pt idx="13">
                  <c:v>-5.4910994120669034</c:v>
                </c:pt>
                <c:pt idx="14">
                  <c:v>-6.8349776371937541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3D3-4B71-87B4-99D1159FF66A}"/>
            </c:ext>
          </c:extLst>
        </c:ser>
        <c:ser>
          <c:idx val="7"/>
          <c:order val="7"/>
          <c:tx>
            <c:v>h=3,5km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'h=3500m'!$I$3:$I$17</c:f>
              <c:numCache>
                <c:formatCode>0.0</c:formatCode>
                <c:ptCount val="15"/>
                <c:pt idx="0">
                  <c:v>23.691887880412988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'h=3500m'!$M$3:$M$17</c:f>
              <c:numCache>
                <c:formatCode>0.00</c:formatCode>
                <c:ptCount val="15"/>
                <c:pt idx="0">
                  <c:v>9.4032394346490383E-2</c:v>
                </c:pt>
                <c:pt idx="1">
                  <c:v>0.15940387454146296</c:v>
                </c:pt>
                <c:pt idx="2">
                  <c:v>0.34433165182528935</c:v>
                </c:pt>
                <c:pt idx="3">
                  <c:v>0.50374636720982247</c:v>
                </c:pt>
                <c:pt idx="4">
                  <c:v>0.59174684080950157</c:v>
                </c:pt>
                <c:pt idx="5">
                  <c:v>0.61618515651016303</c:v>
                </c:pt>
                <c:pt idx="6">
                  <c:v>0.44911395648717478</c:v>
                </c:pt>
                <c:pt idx="7">
                  <c:v>8.84583589784151E-2</c:v>
                </c:pt>
                <c:pt idx="8">
                  <c:v>-0.42475892985777886</c:v>
                </c:pt>
                <c:pt idx="9">
                  <c:v>-1.173347116943859</c:v>
                </c:pt>
                <c:pt idx="10">
                  <c:v>-1.9906537200606296</c:v>
                </c:pt>
                <c:pt idx="11">
                  <c:v>-2.9238958444792127</c:v>
                </c:pt>
                <c:pt idx="12">
                  <c:v>-4.0890913961745126</c:v>
                </c:pt>
                <c:pt idx="13">
                  <c:v>-5.3387116916054165</c:v>
                </c:pt>
                <c:pt idx="14">
                  <c:v>-6.5778114947847186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3D3-4B71-87B4-99D1159FF66A}"/>
            </c:ext>
          </c:extLst>
        </c:ser>
        <c:ser>
          <c:idx val="8"/>
          <c:order val="8"/>
          <c:tx>
            <c:v>h=4km m. ciągu, m=const.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'h=4000m'!$I$3:$I$17</c:f>
              <c:numCache>
                <c:formatCode>0.0</c:formatCode>
                <c:ptCount val="15"/>
                <c:pt idx="0">
                  <c:v>24.321780100259733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'h=4000m'!$M$3:$M$17</c:f>
              <c:numCache>
                <c:formatCode>0.00</c:formatCode>
                <c:ptCount val="15"/>
                <c:pt idx="0">
                  <c:v>-0.51599706380365007</c:v>
                </c:pt>
                <c:pt idx="1">
                  <c:v>-0.39765763840308777</c:v>
                </c:pt>
                <c:pt idx="2">
                  <c:v>-0.18785081936520301</c:v>
                </c:pt>
                <c:pt idx="3">
                  <c:v>-2.3009889653364791E-2</c:v>
                </c:pt>
                <c:pt idx="4">
                  <c:v>2.8134748527006224E-2</c:v>
                </c:pt>
                <c:pt idx="5">
                  <c:v>9.5891623045465613E-2</c:v>
                </c:pt>
                <c:pt idx="6">
                  <c:v>-4.3333638114144243E-2</c:v>
                </c:pt>
                <c:pt idx="7">
                  <c:v>-0.37517392067338301</c:v>
                </c:pt>
                <c:pt idx="8">
                  <c:v>-0.7134172140034668</c:v>
                </c:pt>
                <c:pt idx="9">
                  <c:v>-1.439937649235197</c:v>
                </c:pt>
                <c:pt idx="10">
                  <c:v>-2.1085109157448279</c:v>
                </c:pt>
                <c:pt idx="11">
                  <c:v>-3.036335227776898</c:v>
                </c:pt>
                <c:pt idx="12">
                  <c:v>-4.0653694387214765</c:v>
                </c:pt>
                <c:pt idx="13">
                  <c:v>-5.1759658462390021</c:v>
                </c:pt>
                <c:pt idx="14">
                  <c:v>-6.3519295778474376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3D3-4B71-87B4-99D1159FF66A}"/>
            </c:ext>
          </c:extLst>
        </c:ser>
        <c:ser>
          <c:idx val="18"/>
          <c:order val="9"/>
          <c:tx>
            <c:v>h=4,5km m. ciągu, m=const.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'h=4500m'!$I$3:$I$17</c:f>
              <c:numCache>
                <c:formatCode>0.0</c:formatCode>
                <c:ptCount val="15"/>
                <c:pt idx="0">
                  <c:v>24.976599984063338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'h=4500m'!$M$3:$M$17</c:f>
              <c:numCache>
                <c:formatCode>0.00</c:formatCode>
                <c:ptCount val="15"/>
                <c:pt idx="0">
                  <c:v>-0.99623873025621457</c:v>
                </c:pt>
                <c:pt idx="1">
                  <c:v>-0.74059199378321783</c:v>
                </c:pt>
                <c:pt idx="2">
                  <c:v>-0.70723867230617365</c:v>
                </c:pt>
                <c:pt idx="3">
                  <c:v>-0.55515047229864778</c:v>
                </c:pt>
                <c:pt idx="4">
                  <c:v>-0.49329955336645048</c:v>
                </c:pt>
                <c:pt idx="5">
                  <c:v>-0.44300829150382942</c:v>
                </c:pt>
                <c:pt idx="6">
                  <c:v>-0.45978724102494389</c:v>
                </c:pt>
                <c:pt idx="7">
                  <c:v>-0.59925980543369051</c:v>
                </c:pt>
                <c:pt idx="8">
                  <c:v>-1.0193186985610541</c:v>
                </c:pt>
                <c:pt idx="9">
                  <c:v>-1.626619704044272</c:v>
                </c:pt>
                <c:pt idx="10">
                  <c:v>-2.174709039235919</c:v>
                </c:pt>
                <c:pt idx="11">
                  <c:v>-2.9672764409634413</c:v>
                </c:pt>
                <c:pt idx="12">
                  <c:v>-4.0290763359592896</c:v>
                </c:pt>
                <c:pt idx="13">
                  <c:v>-5.0744481629422769</c:v>
                </c:pt>
                <c:pt idx="14">
                  <c:v>-6.1669888824759918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3D3-4B71-87B4-99D1159FF66A}"/>
            </c:ext>
          </c:extLst>
        </c:ser>
        <c:ser>
          <c:idx val="9"/>
          <c:order val="10"/>
          <c:tx>
            <c:v>h=0km m. mocy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'h=0m'!$H$22:$H$36</c:f>
              <c:numCache>
                <c:formatCode>0.0</c:formatCode>
                <c:ptCount val="15"/>
                <c:pt idx="0">
                  <c:v>19.885538967126291</c:v>
                </c:pt>
                <c:pt idx="1">
                  <c:v>20.631460592290651</c:v>
                </c:pt>
                <c:pt idx="2">
                  <c:v>21.429825785748122</c:v>
                </c:pt>
                <c:pt idx="3">
                  <c:v>22.312432381898088</c:v>
                </c:pt>
                <c:pt idx="4">
                  <c:v>24.509709083434171</c:v>
                </c:pt>
                <c:pt idx="5">
                  <c:v>25.868682000759506</c:v>
                </c:pt>
                <c:pt idx="6">
                  <c:v>27.486331407644101</c:v>
                </c:pt>
                <c:pt idx="7">
                  <c:v>29.426326272975654</c:v>
                </c:pt>
                <c:pt idx="8">
                  <c:v>32.043106320799382</c:v>
                </c:pt>
                <c:pt idx="9">
                  <c:v>35.113267990460102</c:v>
                </c:pt>
                <c:pt idx="10">
                  <c:v>39.58681539671273</c:v>
                </c:pt>
                <c:pt idx="11">
                  <c:v>42.239693588971924</c:v>
                </c:pt>
                <c:pt idx="12">
                  <c:v>46.215950660815523</c:v>
                </c:pt>
                <c:pt idx="13">
                  <c:v>51.012458134162578</c:v>
                </c:pt>
                <c:pt idx="14">
                  <c:v>58.023959236010896</c:v>
                </c:pt>
              </c:numCache>
            </c:numRef>
          </c:xVal>
          <c:yVal>
            <c:numRef>
              <c:f>'h=0m'!$M$22:$M$36</c:f>
              <c:numCache>
                <c:formatCode>0.00</c:formatCode>
                <c:ptCount val="15"/>
                <c:pt idx="0">
                  <c:v>4.9902057684216974</c:v>
                </c:pt>
                <c:pt idx="1">
                  <c:v>5.2299291173129809</c:v>
                </c:pt>
                <c:pt idx="2">
                  <c:v>5.2079138914151564</c:v>
                </c:pt>
                <c:pt idx="3">
                  <c:v>5.182200950021115</c:v>
                </c:pt>
                <c:pt idx="4">
                  <c:v>5.1122847521356833</c:v>
                </c:pt>
                <c:pt idx="5">
                  <c:v>4.9458636577148347</c:v>
                </c:pt>
                <c:pt idx="6">
                  <c:v>4.6114748825320815</c:v>
                </c:pt>
                <c:pt idx="7">
                  <c:v>4.1699831224212431</c:v>
                </c:pt>
                <c:pt idx="8">
                  <c:v>3.4710185092085251</c:v>
                </c:pt>
                <c:pt idx="9">
                  <c:v>2.4985106943686652</c:v>
                </c:pt>
                <c:pt idx="10">
                  <c:v>0.97278066591783852</c:v>
                </c:pt>
                <c:pt idx="11">
                  <c:v>-0.41661798224475632</c:v>
                </c:pt>
                <c:pt idx="12">
                  <c:v>-3.380698822672616</c:v>
                </c:pt>
                <c:pt idx="13">
                  <c:v>-7.1992350293697003</c:v>
                </c:pt>
                <c:pt idx="14">
                  <c:v>-13.811085331218576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3D3-4B71-87B4-99D1159FF66A}"/>
            </c:ext>
          </c:extLst>
        </c:ser>
        <c:ser>
          <c:idx val="10"/>
          <c:order val="11"/>
          <c:tx>
            <c:v>h=0,5km m. mocy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'h=500m'!$H$22:$H$35</c:f>
              <c:numCache>
                <c:formatCode>0.0</c:formatCode>
                <c:ptCount val="14"/>
                <c:pt idx="0">
                  <c:v>20.371714852065022</c:v>
                </c:pt>
                <c:pt idx="1">
                  <c:v>21.135873302834597</c:v>
                </c:pt>
                <c:pt idx="2">
                  <c:v>21.953757499778725</c:v>
                </c:pt>
                <c:pt idx="3">
                  <c:v>22.857942693503812</c:v>
                </c:pt>
                <c:pt idx="4">
                  <c:v>25.10893998800902</c:v>
                </c:pt>
                <c:pt idx="5">
                  <c:v>26.501138047573679</c:v>
                </c:pt>
                <c:pt idx="6">
                  <c:v>28.158336904599548</c:v>
                </c:pt>
                <c:pt idx="7">
                  <c:v>30.145762152481375</c:v>
                </c:pt>
                <c:pt idx="8">
                  <c:v>32.826519111242433</c:v>
                </c:pt>
                <c:pt idx="9">
                  <c:v>35.971742290129519</c:v>
                </c:pt>
                <c:pt idx="10">
                  <c:v>40.554662184231027</c:v>
                </c:pt>
                <c:pt idx="11">
                  <c:v>43.272399840691236</c:v>
                </c:pt>
                <c:pt idx="12">
                  <c:v>47.345871290472651</c:v>
                </c:pt>
                <c:pt idx="13">
                  <c:v>52.259647210469538</c:v>
                </c:pt>
              </c:numCache>
            </c:numRef>
          </c:xVal>
          <c:yVal>
            <c:numRef>
              <c:f>'h=500m'!$M$22:$M$35</c:f>
              <c:numCache>
                <c:formatCode>0.00</c:formatCode>
                <c:ptCount val="14"/>
                <c:pt idx="0">
                  <c:v>3.8255061482825106</c:v>
                </c:pt>
                <c:pt idx="1">
                  <c:v>4.0019594115454646</c:v>
                </c:pt>
                <c:pt idx="2">
                  <c:v>4.2561569836723381</c:v>
                </c:pt>
                <c:pt idx="3">
                  <c:v>4.3076384542829178</c:v>
                </c:pt>
                <c:pt idx="4">
                  <c:v>4.2816843117951358</c:v>
                </c:pt>
                <c:pt idx="5">
                  <c:v>4.2085838433827103</c:v>
                </c:pt>
                <c:pt idx="6">
                  <c:v>3.9088357542509922</c:v>
                </c:pt>
                <c:pt idx="7">
                  <c:v>3.4521934249711164</c:v>
                </c:pt>
                <c:pt idx="8">
                  <c:v>2.7054851805884441</c:v>
                </c:pt>
                <c:pt idx="9">
                  <c:v>1.7879122091930666</c:v>
                </c:pt>
                <c:pt idx="10">
                  <c:v>0.28723499343342568</c:v>
                </c:pt>
                <c:pt idx="11">
                  <c:v>-1.2608820986096374</c:v>
                </c:pt>
                <c:pt idx="12">
                  <c:v>-4.1991465766674141</c:v>
                </c:pt>
                <c:pt idx="13">
                  <c:v>-8.1919101685430409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3D3-4B71-87B4-99D1159FF66A}"/>
            </c:ext>
          </c:extLst>
        </c:ser>
        <c:ser>
          <c:idx val="11"/>
          <c:order val="12"/>
          <c:tx>
            <c:v>h=1km m. mocy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'h=1000m'!$H$22:$H$35</c:f>
              <c:numCache>
                <c:formatCode>0.0</c:formatCode>
                <c:ptCount val="14"/>
                <c:pt idx="0">
                  <c:v>20.875565662291496</c:v>
                </c:pt>
                <c:pt idx="1">
                  <c:v>21.65862393849833</c:v>
                </c:pt>
                <c:pt idx="2">
                  <c:v>22.496736752340656</c:v>
                </c:pt>
                <c:pt idx="3">
                  <c:v>23.423285033599683</c:v>
                </c:pt>
                <c:pt idx="4">
                  <c:v>25.729955933340875</c:v>
                </c:pt>
                <c:pt idx="5">
                  <c:v>27.156587035258685</c:v>
                </c:pt>
                <c:pt idx="6">
                  <c:v>28.85477316276631</c:v>
                </c:pt>
                <c:pt idx="7">
                  <c:v>30.891353124852685</c:v>
                </c:pt>
                <c:pt idx="8">
                  <c:v>33.63841287527859</c:v>
                </c:pt>
                <c:pt idx="9">
                  <c:v>36.861426424712938</c:v>
                </c:pt>
                <c:pt idx="10">
                  <c:v>41.557695043681953</c:v>
                </c:pt>
                <c:pt idx="11">
                  <c:v>44.342650130296391</c:v>
                </c:pt>
                <c:pt idx="12">
                  <c:v>48.516870186923668</c:v>
                </c:pt>
                <c:pt idx="13">
                  <c:v>53.552177848187334</c:v>
                </c:pt>
              </c:numCache>
            </c:numRef>
          </c:xVal>
          <c:yVal>
            <c:numRef>
              <c:f>'h=1000m'!$M$22:$M$35</c:f>
              <c:numCache>
                <c:formatCode>0.00</c:formatCode>
                <c:ptCount val="14"/>
                <c:pt idx="0">
                  <c:v>3.0269996241105366</c:v>
                </c:pt>
                <c:pt idx="1">
                  <c:v>3.3689258921627538</c:v>
                </c:pt>
                <c:pt idx="2">
                  <c:v>3.4549847609471733</c:v>
                </c:pt>
                <c:pt idx="3">
                  <c:v>3.5971801805394414</c:v>
                </c:pt>
                <c:pt idx="4">
                  <c:v>3.5618929581648331</c:v>
                </c:pt>
                <c:pt idx="5">
                  <c:v>3.5168649499042299</c:v>
                </c:pt>
                <c:pt idx="6">
                  <c:v>3.2847708989109479</c:v>
                </c:pt>
                <c:pt idx="7">
                  <c:v>2.8765567958523652</c:v>
                </c:pt>
                <c:pt idx="8">
                  <c:v>2.12088443426769</c:v>
                </c:pt>
                <c:pt idx="9">
                  <c:v>1.2145222341551514</c:v>
                </c:pt>
                <c:pt idx="10">
                  <c:v>-0.41037894033982714</c:v>
                </c:pt>
                <c:pt idx="11">
                  <c:v>-1.956633344896445</c:v>
                </c:pt>
                <c:pt idx="12">
                  <c:v>-4.8579121349511825</c:v>
                </c:pt>
                <c:pt idx="13">
                  <c:v>-8.8430367988547616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3D3-4B71-87B4-99D1159FF66A}"/>
            </c:ext>
          </c:extLst>
        </c:ser>
        <c:ser>
          <c:idx val="12"/>
          <c:order val="13"/>
          <c:tx>
            <c:v>h=1,5km m. mocy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'h=1500m'!$H$22:$H$35</c:f>
              <c:numCache>
                <c:formatCode>0.0</c:formatCode>
                <c:ptCount val="14"/>
                <c:pt idx="0">
                  <c:v>21.397949356116786</c:v>
                </c:pt>
                <c:pt idx="1">
                  <c:v>22.200602640258872</c:v>
                </c:pt>
                <c:pt idx="2">
                  <c:v>23.059688129746011</c:v>
                </c:pt>
                <c:pt idx="3">
                  <c:v>24.009422068414352</c:v>
                </c:pt>
                <c:pt idx="4">
                  <c:v>26.373814386800632</c:v>
                </c:pt>
                <c:pt idx="5">
                  <c:v>27.836145063848615</c:v>
                </c:pt>
                <c:pt idx="6">
                  <c:v>29.57682607539633</c:v>
                </c:pt>
                <c:pt idx="7">
                  <c:v>31.66436878410121</c:v>
                </c:pt>
                <c:pt idx="8">
                  <c:v>34.480170107464623</c:v>
                </c:pt>
                <c:pt idx="9">
                  <c:v>37.783835350387868</c:v>
                </c:pt>
                <c:pt idx="10">
                  <c:v>42.597621941710763</c:v>
                </c:pt>
                <c:pt idx="11">
                  <c:v>45.452266882426308</c:v>
                </c:pt>
                <c:pt idx="12">
                  <c:v>49.730941329765479</c:v>
                </c:pt>
                <c:pt idx="13">
                  <c:v>54.892250971439623</c:v>
                </c:pt>
              </c:numCache>
            </c:numRef>
          </c:xVal>
          <c:yVal>
            <c:numRef>
              <c:f>'h=1500m'!$M$22:$M$35</c:f>
              <c:numCache>
                <c:formatCode>0.00</c:formatCode>
                <c:ptCount val="14"/>
                <c:pt idx="0">
                  <c:v>2.3538124650194172</c:v>
                </c:pt>
                <c:pt idx="1">
                  <c:v>2.66496216541077</c:v>
                </c:pt>
                <c:pt idx="2">
                  <c:v>2.7948087743598475</c:v>
                </c:pt>
                <c:pt idx="3">
                  <c:v>2.7841479432961243</c:v>
                </c:pt>
                <c:pt idx="4">
                  <c:v>2.8684435778936512</c:v>
                </c:pt>
                <c:pt idx="5">
                  <c:v>2.7948781963126605</c:v>
                </c:pt>
                <c:pt idx="6">
                  <c:v>2.5438158835310869</c:v>
                </c:pt>
                <c:pt idx="7">
                  <c:v>2.1425537475895222</c:v>
                </c:pt>
                <c:pt idx="8">
                  <c:v>1.4527180488874611</c:v>
                </c:pt>
                <c:pt idx="9">
                  <c:v>0.71548233955866147</c:v>
                </c:pt>
                <c:pt idx="10">
                  <c:v>-1.0335766629344059</c:v>
                </c:pt>
                <c:pt idx="11">
                  <c:v>-2.7161364962071048</c:v>
                </c:pt>
                <c:pt idx="12">
                  <c:v>-5.6567097413036027</c:v>
                </c:pt>
                <c:pt idx="13">
                  <c:v>-9.6663581339548887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3D3-4B71-87B4-99D1159FF66A}"/>
            </c:ext>
          </c:extLst>
        </c:ser>
        <c:ser>
          <c:idx val="13"/>
          <c:order val="14"/>
          <c:tx>
            <c:v>h=2km m. mocy</c:v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'h=2000m'!$H$22:$H$35</c:f>
              <c:numCache>
                <c:formatCode>0.0</c:formatCode>
                <c:ptCount val="14"/>
                <c:pt idx="0">
                  <c:v>21.939776241582344</c:v>
                </c:pt>
                <c:pt idx="1">
                  <c:v>22.76275386250164</c:v>
                </c:pt>
                <c:pt idx="2">
                  <c:v>23.643592633453782</c:v>
                </c:pt>
                <c:pt idx="3">
                  <c:v>24.617375202831795</c:v>
                </c:pt>
                <c:pt idx="4">
                  <c:v>27.041637338861314</c:v>
                </c:pt>
                <c:pt idx="5">
                  <c:v>28.540996334047602</c:v>
                </c:pt>
                <c:pt idx="6">
                  <c:v>30.325753894958975</c:v>
                </c:pt>
                <c:pt idx="7">
                  <c:v>32.466156190594809</c:v>
                </c:pt>
                <c:pt idx="8">
                  <c:v>35.353257657525099</c:v>
                </c:pt>
                <c:pt idx="9">
                  <c:v>38.740576460862172</c:v>
                </c:pt>
                <c:pt idx="10">
                  <c:v>43.676255059342601</c:v>
                </c:pt>
                <c:pt idx="11">
                  <c:v>46.603183719941597</c:v>
                </c:pt>
                <c:pt idx="12">
                  <c:v>50.990200364523147</c:v>
                </c:pt>
                <c:pt idx="13">
                  <c:v>56.282201797337187</c:v>
                </c:pt>
              </c:numCache>
            </c:numRef>
          </c:xVal>
          <c:yVal>
            <c:numRef>
              <c:f>'h=2000m'!$M$22:$M$35</c:f>
              <c:numCache>
                <c:formatCode>0.00</c:formatCode>
                <c:ptCount val="14"/>
                <c:pt idx="0">
                  <c:v>1.5642698261801602</c:v>
                </c:pt>
                <c:pt idx="1">
                  <c:v>1.8739088286735428</c:v>
                </c:pt>
                <c:pt idx="2">
                  <c:v>2.0065272532344154</c:v>
                </c:pt>
                <c:pt idx="3">
                  <c:v>2.1483265222894738</c:v>
                </c:pt>
                <c:pt idx="4">
                  <c:v>2.2007648600610707</c:v>
                </c:pt>
                <c:pt idx="5">
                  <c:v>2.1540078448812148</c:v>
                </c:pt>
                <c:pt idx="6">
                  <c:v>1.8650527515121729</c:v>
                </c:pt>
                <c:pt idx="7">
                  <c:v>1.4050789466047533</c:v>
                </c:pt>
                <c:pt idx="8">
                  <c:v>0.85305594281592434</c:v>
                </c:pt>
                <c:pt idx="9">
                  <c:v>8.7814009297005557E-2</c:v>
                </c:pt>
                <c:pt idx="10">
                  <c:v>-1.76260227478785</c:v>
                </c:pt>
                <c:pt idx="11">
                  <c:v>-3.5114494716051015</c:v>
                </c:pt>
                <c:pt idx="12">
                  <c:v>-6.4020836939698871</c:v>
                </c:pt>
                <c:pt idx="13">
                  <c:v>-10.167162130813097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3D3-4B71-87B4-99D1159FF66A}"/>
            </c:ext>
          </c:extLst>
        </c:ser>
        <c:ser>
          <c:idx val="14"/>
          <c:order val="15"/>
          <c:tx>
            <c:v>h=2,5km m. mocy</c:v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'h=2500m'!$H$22:$H$35</c:f>
              <c:numCache>
                <c:formatCode>0.0</c:formatCode>
                <c:ptCount val="14"/>
                <c:pt idx="0">
                  <c:v>22.502012839472162</c:v>
                </c:pt>
                <c:pt idx="1">
                  <c:v>23.346080380937142</c:v>
                </c:pt>
                <c:pt idx="2">
                  <c:v>24.249491843078857</c:v>
                </c:pt>
                <c:pt idx="3">
                  <c:v>25.248228914857581</c:v>
                </c:pt>
                <c:pt idx="4">
                  <c:v>27.734616064412577</c:v>
                </c:pt>
                <c:pt idx="5">
                  <c:v>29.272398172541617</c:v>
                </c:pt>
                <c:pt idx="6">
                  <c:v>31.10289257270129</c:v>
                </c:pt>
                <c:pt idx="7">
                  <c:v>33.298145587485891</c:v>
                </c:pt>
                <c:pt idx="8">
                  <c:v>36.259232955122549</c:v>
                </c:pt>
                <c:pt idx="9">
                  <c:v>39.73335640856115</c:v>
                </c:pt>
                <c:pt idx="10">
                  <c:v>44.79551848221157</c:v>
                </c:pt>
                <c:pt idx="11">
                  <c:v>47.797453669508066</c:v>
                </c:pt>
                <c:pt idx="12">
                  <c:v>52.296893580670641</c:v>
                </c:pt>
                <c:pt idx="13">
                  <c:v>57.724509745779635</c:v>
                </c:pt>
              </c:numCache>
            </c:numRef>
          </c:xVal>
          <c:yVal>
            <c:numRef>
              <c:f>'h=2500m'!$M$22:$M$35</c:f>
              <c:numCache>
                <c:formatCode>0.00</c:formatCode>
                <c:ptCount val="14"/>
                <c:pt idx="0">
                  <c:v>0.96471218793040803</c:v>
                </c:pt>
                <c:pt idx="1">
                  <c:v>1.1793876869386577</c:v>
                </c:pt>
                <c:pt idx="2">
                  <c:v>1.291203067581987</c:v>
                </c:pt>
                <c:pt idx="3">
                  <c:v>1.454531032595646</c:v>
                </c:pt>
                <c:pt idx="4">
                  <c:v>1.5952149133437765</c:v>
                </c:pt>
                <c:pt idx="5">
                  <c:v>1.5372418688427005</c:v>
                </c:pt>
                <c:pt idx="6">
                  <c:v>1.3275702046823772</c:v>
                </c:pt>
                <c:pt idx="7">
                  <c:v>0.92764969360679783</c:v>
                </c:pt>
                <c:pt idx="8">
                  <c:v>0.43140722246114394</c:v>
                </c:pt>
                <c:pt idx="9">
                  <c:v>-0.39982345696674587</c:v>
                </c:pt>
                <c:pt idx="10">
                  <c:v>-2.4395204288136205</c:v>
                </c:pt>
                <c:pt idx="11">
                  <c:v>-4.166119885686201</c:v>
                </c:pt>
                <c:pt idx="12">
                  <c:v>-7.2049488160143662</c:v>
                </c:pt>
                <c:pt idx="13">
                  <c:v>-10.890685916623209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3D3-4B71-87B4-99D1159FF66A}"/>
            </c:ext>
          </c:extLst>
        </c:ser>
        <c:ser>
          <c:idx val="15"/>
          <c:order val="16"/>
          <c:tx>
            <c:v>h=3km m. mocy</c:v>
          </c:tx>
          <c:spPr>
            <a:ln w="1905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'h=3000m'!$H$22:$H$34</c:f>
              <c:numCache>
                <c:formatCode>0.0</c:formatCode>
                <c:ptCount val="13"/>
                <c:pt idx="0">
                  <c:v>23.085686081940391</c:v>
                </c:pt>
                <c:pt idx="1">
                  <c:v>23.951647648722293</c:v>
                </c:pt>
                <c:pt idx="2">
                  <c:v>24.87849244107997</c:v>
                </c:pt>
                <c:pt idx="3">
                  <c:v>25.90313546666011</c:v>
                </c:pt>
                <c:pt idx="4">
                  <c:v>28.454016297734412</c:v>
                </c:pt>
                <c:pt idx="5">
                  <c:v>30.031686493905372</c:v>
                </c:pt>
                <c:pt idx="6">
                  <c:v>31.909661562104972</c:v>
                </c:pt>
                <c:pt idx="7">
                  <c:v>34.161856613778376</c:v>
                </c:pt>
                <c:pt idx="8">
                  <c:v>37.199750775430736</c:v>
                </c:pt>
                <c:pt idx="9">
                  <c:v>40.763988518433983</c:v>
                </c:pt>
                <c:pt idx="10">
                  <c:v>45.957456558910806</c:v>
                </c:pt>
                <c:pt idx="11">
                  <c:v>49.037258080074793</c:v>
                </c:pt>
                <c:pt idx="12">
                  <c:v>53.653407669654776</c:v>
                </c:pt>
              </c:numCache>
            </c:numRef>
          </c:xVal>
          <c:yVal>
            <c:numRef>
              <c:f>'h=3000m'!$M$22:$M$34</c:f>
              <c:numCache>
                <c:formatCode>0.00</c:formatCode>
                <c:ptCount val="13"/>
                <c:pt idx="0">
                  <c:v>0.34249650846083091</c:v>
                </c:pt>
                <c:pt idx="1">
                  <c:v>0.53293733815624655</c:v>
                </c:pt>
                <c:pt idx="2">
                  <c:v>0.72743858161963804</c:v>
                </c:pt>
                <c:pt idx="3">
                  <c:v>0.84697377637905513</c:v>
                </c:pt>
                <c:pt idx="4">
                  <c:v>1.0302653886904074</c:v>
                </c:pt>
                <c:pt idx="5">
                  <c:v>0.96072330279165563</c:v>
                </c:pt>
                <c:pt idx="6">
                  <c:v>0.66521741009484614</c:v>
                </c:pt>
                <c:pt idx="7">
                  <c:v>0.34693157817259457</c:v>
                </c:pt>
                <c:pt idx="8">
                  <c:v>-0.18292812924829777</c:v>
                </c:pt>
                <c:pt idx="9">
                  <c:v>-0.89504682995888929</c:v>
                </c:pt>
                <c:pt idx="10">
                  <c:v>-3.0107063353250108</c:v>
                </c:pt>
                <c:pt idx="11">
                  <c:v>-4.7098032429823817</c:v>
                </c:pt>
                <c:pt idx="12">
                  <c:v>-7.7506994533518698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3D3-4B71-87B4-99D1159FF66A}"/>
            </c:ext>
          </c:extLst>
        </c:ser>
        <c:ser>
          <c:idx val="16"/>
          <c:order val="17"/>
          <c:tx>
            <c:v>h=3,5km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'h=3500m'!$H$22:$H$34</c:f>
              <c:numCache>
                <c:formatCode>0.0</c:formatCode>
                <c:ptCount val="13"/>
                <c:pt idx="0">
                  <c:v>23.691887880412988</c:v>
                </c:pt>
                <c:pt idx="1">
                  <c:v>24.580588535707488</c:v>
                </c:pt>
                <c:pt idx="2">
                  <c:v>25.531771135399026</c:v>
                </c:pt>
                <c:pt idx="3">
                  <c:v>26.58332002995332</c:v>
                </c:pt>
                <c:pt idx="4">
                  <c:v>29.201183862615611</c:v>
                </c:pt>
                <c:pt idx="5">
                  <c:v>30.820281742890085</c:v>
                </c:pt>
                <c:pt idx="6">
                  <c:v>32.747570132763926</c:v>
                </c:pt>
                <c:pt idx="7">
                  <c:v>35.058905063840939</c:v>
                </c:pt>
                <c:pt idx="8">
                  <c:v>38.176570599747741</c:v>
                </c:pt>
                <c:pt idx="9">
                  <c:v>41.834400853812753</c:v>
                </c:pt>
                <c:pt idx="10">
                  <c:v>47.164242994468907</c:v>
                </c:pt>
                <c:pt idx="11">
                  <c:v>50.324916325742485</c:v>
                </c:pt>
                <c:pt idx="12">
                  <c:v>55.06228034114848</c:v>
                </c:pt>
              </c:numCache>
            </c:numRef>
          </c:xVal>
          <c:yVal>
            <c:numRef>
              <c:f>'h=3500m'!$M$22:$M$34</c:f>
              <c:numCache>
                <c:formatCode>0.00</c:formatCode>
                <c:ptCount val="13"/>
                <c:pt idx="0">
                  <c:v>-0.32129346258164504</c:v>
                </c:pt>
                <c:pt idx="1">
                  <c:v>-8.8631809122891717E-2</c:v>
                </c:pt>
                <c:pt idx="2">
                  <c:v>0.12430749035675052</c:v>
                </c:pt>
                <c:pt idx="3">
                  <c:v>0.18559257660217468</c:v>
                </c:pt>
                <c:pt idx="4">
                  <c:v>0.41656279778295707</c:v>
                </c:pt>
                <c:pt idx="5">
                  <c:v>0.40642548766742975</c:v>
                </c:pt>
                <c:pt idx="6">
                  <c:v>0.23286100264393073</c:v>
                </c:pt>
                <c:pt idx="7">
                  <c:v>-0.13797830198847003</c:v>
                </c:pt>
                <c:pt idx="8">
                  <c:v>-0.70563350010749726</c:v>
                </c:pt>
                <c:pt idx="9">
                  <c:v>-1.4331899789898268</c:v>
                </c:pt>
                <c:pt idx="10">
                  <c:v>-3.657010325066564</c:v>
                </c:pt>
                <c:pt idx="11">
                  <c:v>-5.4665783481259611</c:v>
                </c:pt>
                <c:pt idx="12">
                  <c:v>-8.413942099032754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3D3-4B71-87B4-99D1159FF66A}"/>
            </c:ext>
          </c:extLst>
        </c:ser>
        <c:ser>
          <c:idx val="17"/>
          <c:order val="18"/>
          <c:tx>
            <c:v>h=4km m. mocy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'h=4000m'!$H$22:$H$34</c:f>
              <c:numCache>
                <c:formatCode>0.0</c:formatCode>
                <c:ptCount val="13"/>
                <c:pt idx="0">
                  <c:v>24.321780100259733</c:v>
                </c:pt>
                <c:pt idx="1">
                  <c:v>25.234108489712366</c:v>
                </c:pt>
                <c:pt idx="2">
                  <c:v>26.210580020460117</c:v>
                </c:pt>
                <c:pt idx="3">
                  <c:v>27.2900862677932</c:v>
                </c:pt>
                <c:pt idx="4">
                  <c:v>29.977550803832759</c:v>
                </c:pt>
                <c:pt idx="5">
                  <c:v>31.639695365870338</c:v>
                </c:pt>
                <c:pt idx="6">
                  <c:v>33.618224246510898</c:v>
                </c:pt>
                <c:pt idx="7">
                  <c:v>35.991010248853073</c:v>
                </c:pt>
                <c:pt idx="8">
                  <c:v>39.191564631569577</c:v>
                </c:pt>
                <c:pt idx="9">
                  <c:v>42.946645000534055</c:v>
                </c:pt>
                <c:pt idx="10">
                  <c:v>48.41819075359782</c:v>
                </c:pt>
                <c:pt idx="11">
                  <c:v>51.662896372669458</c:v>
                </c:pt>
                <c:pt idx="12">
                  <c:v>56.526211884678354</c:v>
                </c:pt>
              </c:numCache>
            </c:numRef>
          </c:xVal>
          <c:yVal>
            <c:numRef>
              <c:f>'h=4000m'!$M$22:$M$34</c:f>
              <c:numCache>
                <c:formatCode>0.00</c:formatCode>
                <c:ptCount val="13"/>
                <c:pt idx="0">
                  <c:v>-0.97965184785480219</c:v>
                </c:pt>
                <c:pt idx="1">
                  <c:v>-0.66552503139259001</c:v>
                </c:pt>
                <c:pt idx="2">
                  <c:v>-0.39670268361972477</c:v>
                </c:pt>
                <c:pt idx="3">
                  <c:v>-0.22391982381889294</c:v>
                </c:pt>
                <c:pt idx="4">
                  <c:v>-5.3024424727956647E-2</c:v>
                </c:pt>
                <c:pt idx="5">
                  <c:v>-0.12643455002787199</c:v>
                </c:pt>
                <c:pt idx="6">
                  <c:v>-0.27552910060375713</c:v>
                </c:pt>
                <c:pt idx="7">
                  <c:v>-0.59039172533215001</c:v>
                </c:pt>
                <c:pt idx="8">
                  <c:v>-1.1818240309419199</c:v>
                </c:pt>
                <c:pt idx="9">
                  <c:v>-2.0217534263766903</c:v>
                </c:pt>
                <c:pt idx="10">
                  <c:v>-4.2544744262730667</c:v>
                </c:pt>
                <c:pt idx="11">
                  <c:v>-5.999968984363889</c:v>
                </c:pt>
                <c:pt idx="12">
                  <c:v>-8.9458757277877758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3D3-4B71-87B4-99D1159FF66A}"/>
            </c:ext>
          </c:extLst>
        </c:ser>
        <c:ser>
          <c:idx val="19"/>
          <c:order val="19"/>
          <c:tx>
            <c:v>h=4,5km m. mocy</c:v>
          </c:tx>
          <c:spPr>
            <a:ln w="1905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'h=4500m'!$H$22:$H$34</c:f>
              <c:numCache>
                <c:formatCode>0.0</c:formatCode>
                <c:ptCount val="13"/>
                <c:pt idx="0">
                  <c:v>24.976599984063338</c:v>
                </c:pt>
                <c:pt idx="1">
                  <c:v>25.913491163225832</c:v>
                </c:pt>
                <c:pt idx="2">
                  <c:v>26.916252421603136</c:v>
                </c:pt>
                <c:pt idx="3">
                  <c:v>28.024822419719673</c:v>
                </c:pt>
                <c:pt idx="4">
                  <c:v>30.784642071542759</c:v>
                </c:pt>
                <c:pt idx="5">
                  <c:v>32.491536865861505</c:v>
                </c:pt>
                <c:pt idx="6">
                  <c:v>34.523334053607158</c:v>
                </c:pt>
                <c:pt idx="7">
                  <c:v>36.960003022078439</c:v>
                </c:pt>
                <c:pt idx="8">
                  <c:v>40.246726535522967</c:v>
                </c:pt>
                <c:pt idx="9">
                  <c:v>44.102905643179376</c:v>
                </c:pt>
                <c:pt idx="10">
                  <c:v>49.721762856978245</c:v>
                </c:pt>
                <c:pt idx="11">
                  <c:v>53.053826298861324</c:v>
                </c:pt>
                <c:pt idx="12">
                  <c:v>58.048077773836184</c:v>
                </c:pt>
              </c:numCache>
            </c:numRef>
          </c:xVal>
          <c:yVal>
            <c:numRef>
              <c:f>'h=4500m'!$M$22:$M$34</c:f>
              <c:numCache>
                <c:formatCode>0.00</c:formatCode>
                <c:ptCount val="13"/>
                <c:pt idx="0">
                  <c:v>-1.4057071276347592</c:v>
                </c:pt>
                <c:pt idx="1">
                  <c:v>-1.1205365667548699</c:v>
                </c:pt>
                <c:pt idx="2">
                  <c:v>-0.84033808832557699</c:v>
                </c:pt>
                <c:pt idx="3">
                  <c:v>-0.71044140918447685</c:v>
                </c:pt>
                <c:pt idx="4">
                  <c:v>-0.57142584248880579</c:v>
                </c:pt>
                <c:pt idx="5">
                  <c:v>-0.57501614894884223</c:v>
                </c:pt>
                <c:pt idx="6">
                  <c:v>-0.77862648833113091</c:v>
                </c:pt>
                <c:pt idx="7">
                  <c:v>-1.0116960477623984</c:v>
                </c:pt>
                <c:pt idx="8">
                  <c:v>-1.5755933277558183</c:v>
                </c:pt>
                <c:pt idx="9">
                  <c:v>-2.4925854991055503</c:v>
                </c:pt>
                <c:pt idx="10">
                  <c:v>-4.9296519205600537</c:v>
                </c:pt>
                <c:pt idx="11">
                  <c:v>-6.7045692504641901</c:v>
                </c:pt>
                <c:pt idx="12">
                  <c:v>-9.5605965064382623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3D3-4B71-87B4-99D1159FF66A}"/>
            </c:ext>
          </c:extLst>
        </c:ser>
        <c:ser>
          <c:idx val="22"/>
          <c:order val="20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22.079780146439905</c:v>
                </c:pt>
                <c:pt idx="2">
                  <c:v>23.689027827482992</c:v>
                </c:pt>
                <c:pt idx="3">
                  <c:v>25.298275508526075</c:v>
                </c:pt>
                <c:pt idx="4">
                  <c:v>26.907523189569158</c:v>
                </c:pt>
                <c:pt idx="5">
                  <c:v>28.516770870612241</c:v>
                </c:pt>
                <c:pt idx="6">
                  <c:v>30.126018551655328</c:v>
                </c:pt>
                <c:pt idx="7">
                  <c:v>31.735266232698411</c:v>
                </c:pt>
                <c:pt idx="8">
                  <c:v>33.344513913741494</c:v>
                </c:pt>
                <c:pt idx="9">
                  <c:v>34.953761594784581</c:v>
                </c:pt>
                <c:pt idx="10">
                  <c:v>36.563009275827667</c:v>
                </c:pt>
                <c:pt idx="11">
                  <c:v>38.172256956870747</c:v>
                </c:pt>
                <c:pt idx="12">
                  <c:v>39.781504637913834</c:v>
                </c:pt>
                <c:pt idx="13">
                  <c:v>41.390752318956913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masa'!$N$4:$N$18</c:f>
              <c:numCache>
                <c:formatCode>0.00</c:formatCode>
                <c:ptCount val="15"/>
                <c:pt idx="0">
                  <c:v>4.6389382690645746</c:v>
                </c:pt>
                <c:pt idx="1">
                  <c:v>4.7281020277410635</c:v>
                </c:pt>
                <c:pt idx="2">
                  <c:v>4.8719059293173013</c:v>
                </c:pt>
                <c:pt idx="3">
                  <c:v>4.8626386117170268</c:v>
                </c:pt>
                <c:pt idx="4">
                  <c:v>4.8408460947174614</c:v>
                </c:pt>
                <c:pt idx="5">
                  <c:v>4.6283771641653386</c:v>
                </c:pt>
                <c:pt idx="6">
                  <c:v>4.3549427855898237</c:v>
                </c:pt>
                <c:pt idx="7">
                  <c:v>4.076156043841582</c:v>
                </c:pt>
                <c:pt idx="8">
                  <c:v>3.6807825678465345</c:v>
                </c:pt>
                <c:pt idx="9">
                  <c:v>3.3009703233436305</c:v>
                </c:pt>
                <c:pt idx="10">
                  <c:v>2.8593773431400149</c:v>
                </c:pt>
                <c:pt idx="11">
                  <c:v>2.3452915202510125</c:v>
                </c:pt>
                <c:pt idx="12">
                  <c:v>1.5850410748738253</c:v>
                </c:pt>
                <c:pt idx="13">
                  <c:v>0.46549685163571225</c:v>
                </c:pt>
                <c:pt idx="14">
                  <c:v>-0.7810262760272807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C5-4A81-940D-1E4066791E87}"/>
            </c:ext>
          </c:extLst>
        </c:ser>
        <c:ser>
          <c:idx val="23"/>
          <c:order val="21"/>
          <c:tx>
            <c:v>h=0,5km,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20.961063043845897</c:v>
                </c:pt>
                <c:pt idx="1">
                  <c:v>22.535272826428333</c:v>
                </c:pt>
                <c:pt idx="2">
                  <c:v>24.109482609010769</c:v>
                </c:pt>
                <c:pt idx="3">
                  <c:v>25.683692391593205</c:v>
                </c:pt>
                <c:pt idx="4">
                  <c:v>27.257902174175641</c:v>
                </c:pt>
                <c:pt idx="5">
                  <c:v>28.832111956758077</c:v>
                </c:pt>
                <c:pt idx="6">
                  <c:v>30.406321739340513</c:v>
                </c:pt>
                <c:pt idx="7">
                  <c:v>31.980531521922948</c:v>
                </c:pt>
                <c:pt idx="8">
                  <c:v>33.554741304505384</c:v>
                </c:pt>
                <c:pt idx="9">
                  <c:v>35.12895108708782</c:v>
                </c:pt>
                <c:pt idx="10">
                  <c:v>36.703160869670256</c:v>
                </c:pt>
                <c:pt idx="11">
                  <c:v>38.277370652252692</c:v>
                </c:pt>
                <c:pt idx="12">
                  <c:v>39.851580434835128</c:v>
                </c:pt>
                <c:pt idx="13">
                  <c:v>41.425790217417564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masa'!$N$22:$N$36</c:f>
              <c:numCache>
                <c:formatCode>0.00</c:formatCode>
                <c:ptCount val="15"/>
                <c:pt idx="0">
                  <c:v>3.8305175392260939</c:v>
                </c:pt>
                <c:pt idx="1">
                  <c:v>3.9862944749406539</c:v>
                </c:pt>
                <c:pt idx="2">
                  <c:v>4.0044537370113193</c:v>
                </c:pt>
                <c:pt idx="3">
                  <c:v>4.0886766826241265</c:v>
                </c:pt>
                <c:pt idx="4">
                  <c:v>4.1363193061807202</c:v>
                </c:pt>
                <c:pt idx="5">
                  <c:v>4.0468047286645747</c:v>
                </c:pt>
                <c:pt idx="6">
                  <c:v>3.7706060514282687</c:v>
                </c:pt>
                <c:pt idx="7">
                  <c:v>3.4610324800815873</c:v>
                </c:pt>
                <c:pt idx="8">
                  <c:v>3.0890406095970135</c:v>
                </c:pt>
                <c:pt idx="9">
                  <c:v>2.7649921470369083</c:v>
                </c:pt>
                <c:pt idx="10">
                  <c:v>2.3942559190685544</c:v>
                </c:pt>
                <c:pt idx="11">
                  <c:v>2.007197751256093</c:v>
                </c:pt>
                <c:pt idx="12">
                  <c:v>1.2485077285541308</c:v>
                </c:pt>
                <c:pt idx="13">
                  <c:v>0.26734524475705113</c:v>
                </c:pt>
                <c:pt idx="14">
                  <c:v>-0.8316541741415826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C5-4A81-940D-1E4066791E87}"/>
            </c:ext>
          </c:extLst>
        </c:ser>
        <c:ser>
          <c:idx val="24"/>
          <c:order val="22"/>
          <c:tx>
            <c:v>h=1km,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21.468302938847525</c:v>
                </c:pt>
                <c:pt idx="1">
                  <c:v>23.006281300358417</c:v>
                </c:pt>
                <c:pt idx="2">
                  <c:v>24.544259661869308</c:v>
                </c:pt>
                <c:pt idx="3">
                  <c:v>26.082238023380199</c:v>
                </c:pt>
                <c:pt idx="4">
                  <c:v>27.620216384891091</c:v>
                </c:pt>
                <c:pt idx="5">
                  <c:v>29.158194746401982</c:v>
                </c:pt>
                <c:pt idx="6">
                  <c:v>30.69617310791287</c:v>
                </c:pt>
                <c:pt idx="7">
                  <c:v>32.234151469423765</c:v>
                </c:pt>
                <c:pt idx="8">
                  <c:v>33.772129830934652</c:v>
                </c:pt>
                <c:pt idx="9">
                  <c:v>35.310108192445547</c:v>
                </c:pt>
                <c:pt idx="10">
                  <c:v>36.848086553956435</c:v>
                </c:pt>
                <c:pt idx="11">
                  <c:v>38.38606491546733</c:v>
                </c:pt>
                <c:pt idx="12">
                  <c:v>39.924043276978217</c:v>
                </c:pt>
                <c:pt idx="13">
                  <c:v>41.462021638489105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masa'!$N$40:$N$54</c:f>
              <c:numCache>
                <c:formatCode>0.00</c:formatCode>
                <c:ptCount val="15"/>
                <c:pt idx="0">
                  <c:v>3.0300430284647475</c:v>
                </c:pt>
                <c:pt idx="1">
                  <c:v>3.2241706165272515</c:v>
                </c:pt>
                <c:pt idx="2">
                  <c:v>3.3867456694064906</c:v>
                </c:pt>
                <c:pt idx="3">
                  <c:v>3.4285019984554808</c:v>
                </c:pt>
                <c:pt idx="4">
                  <c:v>3.4802122903603983</c:v>
                </c:pt>
                <c:pt idx="5">
                  <c:v>3.365194603894945</c:v>
                </c:pt>
                <c:pt idx="6">
                  <c:v>3.2401280246450082</c:v>
                </c:pt>
                <c:pt idx="7">
                  <c:v>2.9926142051143807</c:v>
                </c:pt>
                <c:pt idx="8">
                  <c:v>2.666783913113842</c:v>
                </c:pt>
                <c:pt idx="9">
                  <c:v>2.3592960764020141</c:v>
                </c:pt>
                <c:pt idx="10">
                  <c:v>2.0084838909031615</c:v>
                </c:pt>
                <c:pt idx="11">
                  <c:v>1.6023840453114291</c:v>
                </c:pt>
                <c:pt idx="12">
                  <c:v>0.95338797658836205</c:v>
                </c:pt>
                <c:pt idx="13">
                  <c:v>0.13260932180918983</c:v>
                </c:pt>
                <c:pt idx="14">
                  <c:v>-0.88784036715571502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C5-4A81-940D-1E4066791E87}"/>
            </c:ext>
          </c:extLst>
        </c:ser>
        <c:ser>
          <c:idx val="25"/>
          <c:order val="23"/>
          <c:tx>
            <c:v>h=1,5km,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21.992728725304172</c:v>
                </c:pt>
                <c:pt idx="1">
                  <c:v>23.421819530639588</c:v>
                </c:pt>
                <c:pt idx="2">
                  <c:v>24.850910335975005</c:v>
                </c:pt>
                <c:pt idx="3">
                  <c:v>26.280001141310422</c:v>
                </c:pt>
                <c:pt idx="4">
                  <c:v>27.709091946645838</c:v>
                </c:pt>
                <c:pt idx="5">
                  <c:v>29.138182751981255</c:v>
                </c:pt>
                <c:pt idx="6">
                  <c:v>30.567273557316668</c:v>
                </c:pt>
                <c:pt idx="7">
                  <c:v>31.996364362652088</c:v>
                </c:pt>
                <c:pt idx="8">
                  <c:v>33.425455167987501</c:v>
                </c:pt>
                <c:pt idx="9">
                  <c:v>34.854545973322921</c:v>
                </c:pt>
                <c:pt idx="10">
                  <c:v>36.283636778658334</c:v>
                </c:pt>
                <c:pt idx="11">
                  <c:v>37.712727583993754</c:v>
                </c:pt>
                <c:pt idx="12">
                  <c:v>39.141818389329167</c:v>
                </c:pt>
                <c:pt idx="13">
                  <c:v>40.57090919466458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masa'!$N$58:$N$72</c:f>
              <c:numCache>
                <c:formatCode>0.00</c:formatCode>
                <c:ptCount val="15"/>
                <c:pt idx="0">
                  <c:v>2.2613904376671194</c:v>
                </c:pt>
                <c:pt idx="1">
                  <c:v>2.4558591575580508</c:v>
                </c:pt>
                <c:pt idx="2">
                  <c:v>2.7142873060301356</c:v>
                </c:pt>
                <c:pt idx="3">
                  <c:v>2.8755123364061888</c:v>
                </c:pt>
                <c:pt idx="4">
                  <c:v>2.8996770715089442</c:v>
                </c:pt>
                <c:pt idx="5">
                  <c:v>2.8410079071641023</c:v>
                </c:pt>
                <c:pt idx="6">
                  <c:v>2.6757835681409285</c:v>
                </c:pt>
                <c:pt idx="7">
                  <c:v>2.4972969293812088</c:v>
                </c:pt>
                <c:pt idx="8">
                  <c:v>2.3062707751010842</c:v>
                </c:pt>
                <c:pt idx="9">
                  <c:v>2.1182657211681781</c:v>
                </c:pt>
                <c:pt idx="10">
                  <c:v>1.8434408400955482</c:v>
                </c:pt>
                <c:pt idx="11">
                  <c:v>1.4598832450098393</c:v>
                </c:pt>
                <c:pt idx="12">
                  <c:v>1.0305215348879364</c:v>
                </c:pt>
                <c:pt idx="13">
                  <c:v>0.50304143454183181</c:v>
                </c:pt>
                <c:pt idx="14">
                  <c:v>-0.30151035201973492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C5-4A81-940D-1E4066791E87}"/>
            </c:ext>
          </c:extLst>
        </c:ser>
        <c:ser>
          <c:idx val="26"/>
          <c:order val="24"/>
          <c:tx>
            <c:v>h=2km,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22.534764048964448</c:v>
                </c:pt>
                <c:pt idx="1">
                  <c:v>23.925138045466987</c:v>
                </c:pt>
                <c:pt idx="2">
                  <c:v>25.315512041969527</c:v>
                </c:pt>
                <c:pt idx="3">
                  <c:v>26.705886038472066</c:v>
                </c:pt>
                <c:pt idx="4">
                  <c:v>28.096260034974605</c:v>
                </c:pt>
                <c:pt idx="5">
                  <c:v>29.486634031477145</c:v>
                </c:pt>
                <c:pt idx="6">
                  <c:v>30.877008027979684</c:v>
                </c:pt>
                <c:pt idx="7">
                  <c:v>32.267382024482224</c:v>
                </c:pt>
                <c:pt idx="8">
                  <c:v>33.657756020984763</c:v>
                </c:pt>
                <c:pt idx="9">
                  <c:v>35.048130017487303</c:v>
                </c:pt>
                <c:pt idx="10">
                  <c:v>36.438504013989842</c:v>
                </c:pt>
                <c:pt idx="11">
                  <c:v>37.828878010492382</c:v>
                </c:pt>
                <c:pt idx="12">
                  <c:v>39.219252006994921</c:v>
                </c:pt>
                <c:pt idx="13">
                  <c:v>40.609626003497461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masa'!$N$76:$N$90</c:f>
              <c:numCache>
                <c:formatCode>0.00</c:formatCode>
                <c:ptCount val="15"/>
                <c:pt idx="0">
                  <c:v>1.5016455322859916</c:v>
                </c:pt>
                <c:pt idx="1">
                  <c:v>1.846317412220523</c:v>
                </c:pt>
                <c:pt idx="2">
                  <c:v>2.124483050598565</c:v>
                </c:pt>
                <c:pt idx="3">
                  <c:v>2.139712142087197</c:v>
                </c:pt>
                <c:pt idx="4">
                  <c:v>2.2002103474345089</c:v>
                </c:pt>
                <c:pt idx="5">
                  <c:v>2.1448814814083121</c:v>
                </c:pt>
                <c:pt idx="6">
                  <c:v>2.0543560253907485</c:v>
                </c:pt>
                <c:pt idx="7">
                  <c:v>1.9809820026223246</c:v>
                </c:pt>
                <c:pt idx="8">
                  <c:v>1.7979133672246383</c:v>
                </c:pt>
                <c:pt idx="9">
                  <c:v>1.5906569112430813</c:v>
                </c:pt>
                <c:pt idx="10">
                  <c:v>1.3456301319993598</c:v>
                </c:pt>
                <c:pt idx="11">
                  <c:v>1.0651199878602198</c:v>
                </c:pt>
                <c:pt idx="12">
                  <c:v>0.65384086684786313</c:v>
                </c:pt>
                <c:pt idx="13">
                  <c:v>0.18757936096197511</c:v>
                </c:pt>
                <c:pt idx="14">
                  <c:v>-0.50241435780380272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C5-4A81-940D-1E4066791E87}"/>
            </c:ext>
          </c:extLst>
        </c:ser>
        <c:ser>
          <c:idx val="27"/>
          <c:order val="25"/>
          <c:tx>
            <c:v>h=2,5km,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23.093641145592002</c:v>
                </c:pt>
                <c:pt idx="1">
                  <c:v>24.444095349478289</c:v>
                </c:pt>
                <c:pt idx="2">
                  <c:v>25.794549553364572</c:v>
                </c:pt>
                <c:pt idx="3">
                  <c:v>27.145003757250858</c:v>
                </c:pt>
                <c:pt idx="4">
                  <c:v>28.495457961137145</c:v>
                </c:pt>
                <c:pt idx="5">
                  <c:v>29.845912165023428</c:v>
                </c:pt>
                <c:pt idx="6">
                  <c:v>31.196366368909715</c:v>
                </c:pt>
                <c:pt idx="7">
                  <c:v>32.546820572796001</c:v>
                </c:pt>
                <c:pt idx="8">
                  <c:v>33.897274776682288</c:v>
                </c:pt>
                <c:pt idx="9">
                  <c:v>35.247728980568567</c:v>
                </c:pt>
                <c:pt idx="10">
                  <c:v>36.598183184454854</c:v>
                </c:pt>
                <c:pt idx="11">
                  <c:v>37.94863738834114</c:v>
                </c:pt>
                <c:pt idx="12">
                  <c:v>39.299091592227427</c:v>
                </c:pt>
                <c:pt idx="13">
                  <c:v>40.649545796113713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masa'!$N$94:$N$108</c:f>
              <c:numCache>
                <c:formatCode>0.00</c:formatCode>
                <c:ptCount val="15"/>
                <c:pt idx="0">
                  <c:v>0.79615456565744336</c:v>
                </c:pt>
                <c:pt idx="1">
                  <c:v>1.1761380690516532</c:v>
                </c:pt>
                <c:pt idx="2">
                  <c:v>1.317591660638509</c:v>
                </c:pt>
                <c:pt idx="3">
                  <c:v>1.5528916520446321</c:v>
                </c:pt>
                <c:pt idx="4">
                  <c:v>1.6218374058966609</c:v>
                </c:pt>
                <c:pt idx="5">
                  <c:v>1.6655522891535577</c:v>
                </c:pt>
                <c:pt idx="6">
                  <c:v>1.588067796706891</c:v>
                </c:pt>
                <c:pt idx="7">
                  <c:v>1.4981743169689248</c:v>
                </c:pt>
                <c:pt idx="8">
                  <c:v>1.381375393951892</c:v>
                </c:pt>
                <c:pt idx="9">
                  <c:v>1.2097605422004483</c:v>
                </c:pt>
                <c:pt idx="10">
                  <c:v>0.98740816117423658</c:v>
                </c:pt>
                <c:pt idx="11">
                  <c:v>0.76014222156656786</c:v>
                </c:pt>
                <c:pt idx="12">
                  <c:v>0.48604764695122737</c:v>
                </c:pt>
                <c:pt idx="13">
                  <c:v>5.9443021116943245E-2</c:v>
                </c:pt>
                <c:pt idx="14">
                  <c:v>-0.58942225025315886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C5-4A81-940D-1E4066791E87}"/>
            </c:ext>
          </c:extLst>
        </c:ser>
        <c:ser>
          <c:idx val="28"/>
          <c:order val="26"/>
          <c:tx>
            <c:v>h=3km,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23.669350122284712</c:v>
                </c:pt>
                <c:pt idx="1">
                  <c:v>24.907253684978659</c:v>
                </c:pt>
                <c:pt idx="2">
                  <c:v>26.145157247672611</c:v>
                </c:pt>
                <c:pt idx="3">
                  <c:v>27.383060810366558</c:v>
                </c:pt>
                <c:pt idx="4">
                  <c:v>28.620964373060509</c:v>
                </c:pt>
                <c:pt idx="5">
                  <c:v>29.858867935754457</c:v>
                </c:pt>
                <c:pt idx="6">
                  <c:v>31.096771498448405</c:v>
                </c:pt>
                <c:pt idx="7">
                  <c:v>32.334675061142356</c:v>
                </c:pt>
                <c:pt idx="8">
                  <c:v>33.572578623836307</c:v>
                </c:pt>
                <c:pt idx="9">
                  <c:v>34.810482186530251</c:v>
                </c:pt>
                <c:pt idx="10">
                  <c:v>36.048385749224202</c:v>
                </c:pt>
                <c:pt idx="11">
                  <c:v>37.286289311918154</c:v>
                </c:pt>
                <c:pt idx="12">
                  <c:v>38.524192874612098</c:v>
                </c:pt>
                <c:pt idx="13">
                  <c:v>39.762096437306056</c:v>
                </c:pt>
                <c:pt idx="14">
                  <c:v>41</c:v>
                </c:pt>
              </c:numCache>
            </c:numRef>
          </c:xVal>
          <c:yVal>
            <c:numRef>
              <c:f>'Metoda Ciągu, zmienna masa'!$N$112:$N$126</c:f>
              <c:numCache>
                <c:formatCode>0.00</c:formatCode>
                <c:ptCount val="15"/>
                <c:pt idx="0">
                  <c:v>0.33153915236256326</c:v>
                </c:pt>
                <c:pt idx="1">
                  <c:v>0.59493062397220342</c:v>
                </c:pt>
                <c:pt idx="2">
                  <c:v>0.80043611725568997</c:v>
                </c:pt>
                <c:pt idx="3">
                  <c:v>0.99384380370384728</c:v>
                </c:pt>
                <c:pt idx="4">
                  <c:v>1.0713117152326124</c:v>
                </c:pt>
                <c:pt idx="5">
                  <c:v>1.0804507324956345</c:v>
                </c:pt>
                <c:pt idx="6">
                  <c:v>1.0953413240805925</c:v>
                </c:pt>
                <c:pt idx="7">
                  <c:v>1.051398230513672</c:v>
                </c:pt>
                <c:pt idx="8">
                  <c:v>0.95392649862579704</c:v>
                </c:pt>
                <c:pt idx="9">
                  <c:v>0.83772093149079174</c:v>
                </c:pt>
                <c:pt idx="10">
                  <c:v>0.67434622751283457</c:v>
                </c:pt>
                <c:pt idx="11">
                  <c:v>0.52473815251538569</c:v>
                </c:pt>
                <c:pt idx="12">
                  <c:v>0.30259375596889992</c:v>
                </c:pt>
                <c:pt idx="13">
                  <c:v>0.10856144814222132</c:v>
                </c:pt>
                <c:pt idx="14">
                  <c:v>-0.30277434859633867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C5-4A81-940D-1E4066791E87}"/>
            </c:ext>
          </c:extLst>
        </c:ser>
        <c:ser>
          <c:idx val="29"/>
          <c:order val="27"/>
          <c:tx>
            <c:v>h=3,5km,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24.257414707295691</c:v>
                </c:pt>
                <c:pt idx="1">
                  <c:v>25.310456513917426</c:v>
                </c:pt>
                <c:pt idx="2">
                  <c:v>26.363498320539165</c:v>
                </c:pt>
                <c:pt idx="3">
                  <c:v>27.4165401271609</c:v>
                </c:pt>
                <c:pt idx="4">
                  <c:v>28.469581933782635</c:v>
                </c:pt>
                <c:pt idx="5">
                  <c:v>29.522623740404374</c:v>
                </c:pt>
                <c:pt idx="6">
                  <c:v>30.575665547026109</c:v>
                </c:pt>
                <c:pt idx="7">
                  <c:v>31.628707353647847</c:v>
                </c:pt>
                <c:pt idx="8">
                  <c:v>32.681749160269582</c:v>
                </c:pt>
                <c:pt idx="9">
                  <c:v>33.734790966891318</c:v>
                </c:pt>
                <c:pt idx="10">
                  <c:v>34.78783277351306</c:v>
                </c:pt>
                <c:pt idx="11">
                  <c:v>35.840874580134795</c:v>
                </c:pt>
                <c:pt idx="12">
                  <c:v>36.89391638675653</c:v>
                </c:pt>
                <c:pt idx="13">
                  <c:v>37.946958193378265</c:v>
                </c:pt>
                <c:pt idx="14">
                  <c:v>39</c:v>
                </c:pt>
              </c:numCache>
            </c:numRef>
          </c:xVal>
          <c:yVal>
            <c:numRef>
              <c:f>'Metoda Ciągu, zmienna masa'!$N$130:$N$144</c:f>
              <c:numCache>
                <c:formatCode>0.00</c:formatCode>
                <c:ptCount val="15"/>
                <c:pt idx="0">
                  <c:v>-0.25292465474427284</c:v>
                </c:pt>
                <c:pt idx="1">
                  <c:v>-4.2068832825369919E-2</c:v>
                </c:pt>
                <c:pt idx="2">
                  <c:v>0.26684245195847262</c:v>
                </c:pt>
                <c:pt idx="3">
                  <c:v>0.46234311252202043</c:v>
                </c:pt>
                <c:pt idx="4">
                  <c:v>0.59216241949424819</c:v>
                </c:pt>
                <c:pt idx="5">
                  <c:v>0.6630573455298524</c:v>
                </c:pt>
                <c:pt idx="6">
                  <c:v>0.71447120361362648</c:v>
                </c:pt>
                <c:pt idx="7">
                  <c:v>0.69889018974613337</c:v>
                </c:pt>
                <c:pt idx="8">
                  <c:v>0.67000717647397579</c:v>
                </c:pt>
                <c:pt idx="9">
                  <c:v>0.59740984170182387</c:v>
                </c:pt>
                <c:pt idx="10">
                  <c:v>0.49946440749874998</c:v>
                </c:pt>
                <c:pt idx="11">
                  <c:v>0.3927502009534653</c:v>
                </c:pt>
                <c:pt idx="12">
                  <c:v>0.24807872101453746</c:v>
                </c:pt>
                <c:pt idx="13">
                  <c:v>8.183307530225542E-2</c:v>
                </c:pt>
                <c:pt idx="14">
                  <c:v>-0.11933515678872444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C5-4A81-940D-1E4066791E87}"/>
            </c:ext>
          </c:extLst>
        </c:ser>
        <c:ser>
          <c:idx val="30"/>
          <c:order val="28"/>
          <c:tx>
            <c:v>h=4km,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masa'!$J$148:$J$162</c:f>
              <c:numCache>
                <c:formatCode>0.0</c:formatCode>
                <c:ptCount val="15"/>
                <c:pt idx="0">
                  <c:v>24.852142365160667</c:v>
                </c:pt>
                <c:pt idx="1">
                  <c:v>25.719846481934905</c:v>
                </c:pt>
                <c:pt idx="2">
                  <c:v>26.587550598709143</c:v>
                </c:pt>
                <c:pt idx="3">
                  <c:v>27.455254715483381</c:v>
                </c:pt>
                <c:pt idx="4">
                  <c:v>28.322958832257619</c:v>
                </c:pt>
                <c:pt idx="5">
                  <c:v>29.190662949031857</c:v>
                </c:pt>
                <c:pt idx="6">
                  <c:v>30.058367065806095</c:v>
                </c:pt>
                <c:pt idx="7">
                  <c:v>30.926071182580333</c:v>
                </c:pt>
                <c:pt idx="8">
                  <c:v>31.793775299354571</c:v>
                </c:pt>
                <c:pt idx="9">
                  <c:v>32.661479416128813</c:v>
                </c:pt>
                <c:pt idx="10">
                  <c:v>33.529183532903048</c:v>
                </c:pt>
                <c:pt idx="11">
                  <c:v>34.396887649677282</c:v>
                </c:pt>
                <c:pt idx="12">
                  <c:v>35.264591766451524</c:v>
                </c:pt>
                <c:pt idx="13">
                  <c:v>36.132295883225765</c:v>
                </c:pt>
                <c:pt idx="14">
                  <c:v>37</c:v>
                </c:pt>
              </c:numCache>
            </c:numRef>
          </c:xVal>
          <c:yVal>
            <c:numRef>
              <c:f>'Metoda Ciągu, zmienna masa'!$N$148:$N$162</c:f>
              <c:numCache>
                <c:formatCode>0.00</c:formatCode>
                <c:ptCount val="15"/>
                <c:pt idx="0">
                  <c:v>-0.86413935271900066</c:v>
                </c:pt>
                <c:pt idx="1">
                  <c:v>-0.53935261409223312</c:v>
                </c:pt>
                <c:pt idx="2">
                  <c:v>-0.35494481854017501</c:v>
                </c:pt>
                <c:pt idx="3">
                  <c:v>-0.15110675308382041</c:v>
                </c:pt>
                <c:pt idx="4">
                  <c:v>-1.8548205727177275E-2</c:v>
                </c:pt>
                <c:pt idx="5">
                  <c:v>8.3656321905758058E-2</c:v>
                </c:pt>
                <c:pt idx="6">
                  <c:v>0.14088605221560677</c:v>
                </c:pt>
                <c:pt idx="7">
                  <c:v>0.19021688910899479</c:v>
                </c:pt>
                <c:pt idx="8">
                  <c:v>0.21588924138939211</c:v>
                </c:pt>
                <c:pt idx="9">
                  <c:v>0.23585640143354891</c:v>
                </c:pt>
                <c:pt idx="10">
                  <c:v>0.21880362444878063</c:v>
                </c:pt>
                <c:pt idx="11">
                  <c:v>0.19798004299853975</c:v>
                </c:pt>
                <c:pt idx="12">
                  <c:v>0.1118795230996958</c:v>
                </c:pt>
                <c:pt idx="13">
                  <c:v>-1.0354607273740896E-2</c:v>
                </c:pt>
                <c:pt idx="14">
                  <c:v>-0.10888968021059033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C5-4A81-940D-1E4066791E87}"/>
            </c:ext>
          </c:extLst>
        </c:ser>
        <c:ser>
          <c:idx val="31"/>
          <c:order val="29"/>
          <c:tx>
            <c:v>h=4,5km, m. ciągu, zmienna masa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masa'!$J$166:$J$180</c:f>
              <c:numCache>
                <c:formatCode>0.0</c:formatCode>
                <c:ptCount val="15"/>
                <c:pt idx="0">
                  <c:v>25.379733241956714</c:v>
                </c:pt>
                <c:pt idx="1">
                  <c:v>26.209752296102664</c:v>
                </c:pt>
                <c:pt idx="2">
                  <c:v>27.039771350248611</c:v>
                </c:pt>
                <c:pt idx="3">
                  <c:v>27.869790404394561</c:v>
                </c:pt>
                <c:pt idx="4">
                  <c:v>28.699809458540511</c:v>
                </c:pt>
                <c:pt idx="5">
                  <c:v>29.529828512686457</c:v>
                </c:pt>
                <c:pt idx="6">
                  <c:v>30.359847566832407</c:v>
                </c:pt>
                <c:pt idx="7">
                  <c:v>31.189866620978357</c:v>
                </c:pt>
                <c:pt idx="8">
                  <c:v>32.019885675124307</c:v>
                </c:pt>
                <c:pt idx="9">
                  <c:v>32.849904729270257</c:v>
                </c:pt>
                <c:pt idx="10">
                  <c:v>33.6799237834162</c:v>
                </c:pt>
                <c:pt idx="11">
                  <c:v>34.50994283756215</c:v>
                </c:pt>
                <c:pt idx="12">
                  <c:v>35.3399618917081</c:v>
                </c:pt>
                <c:pt idx="13">
                  <c:v>36.16998094585405</c:v>
                </c:pt>
                <c:pt idx="14">
                  <c:v>37</c:v>
                </c:pt>
              </c:numCache>
            </c:numRef>
          </c:xVal>
          <c:yVal>
            <c:numRef>
              <c:f>'Metoda Ciągu, zmienna masa'!$N$166:$N$180</c:f>
              <c:numCache>
                <c:formatCode>0.00</c:formatCode>
                <c:ptCount val="15"/>
                <c:pt idx="0">
                  <c:v>-1.209691056542916</c:v>
                </c:pt>
                <c:pt idx="1">
                  <c:v>-0.96304381106443948</c:v>
                </c:pt>
                <c:pt idx="2">
                  <c:v>-0.75372776887420412</c:v>
                </c:pt>
                <c:pt idx="3">
                  <c:v>-0.63323384960542328</c:v>
                </c:pt>
                <c:pt idx="4">
                  <c:v>-0.48706800847770937</c:v>
                </c:pt>
                <c:pt idx="5">
                  <c:v>-0.40396883617544321</c:v>
                </c:pt>
                <c:pt idx="6">
                  <c:v>-0.32802614529908042</c:v>
                </c:pt>
                <c:pt idx="7">
                  <c:v>-0.24146298933143859</c:v>
                </c:pt>
                <c:pt idx="8">
                  <c:v>-0.22726703976602503</c:v>
                </c:pt>
                <c:pt idx="9">
                  <c:v>-0.19980864826023917</c:v>
                </c:pt>
                <c:pt idx="10">
                  <c:v>-0.17574354741343781</c:v>
                </c:pt>
                <c:pt idx="11">
                  <c:v>-0.21737318165785013</c:v>
                </c:pt>
                <c:pt idx="12">
                  <c:v>-0.2134371401308284</c:v>
                </c:pt>
                <c:pt idx="13">
                  <c:v>-0.28750869061511963</c:v>
                </c:pt>
                <c:pt idx="14">
                  <c:v>-0.3614094562316279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BC5-4A81-940D-1E4066791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43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2"/>
      </c:valAx>
      <c:valAx>
        <c:axId val="428777192"/>
        <c:scaling>
          <c:orientation val="minMax"/>
          <c:max val="6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mocy mśr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378171478565179E-3"/>
                  <c:y val="-0.71381051326917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(Podsumowanie!$R$27,Podsumowanie!$R$34)</c:f>
              <c:numCache>
                <c:formatCode>0.00</c:formatCode>
                <c:ptCount val="2"/>
                <c:pt idx="0">
                  <c:v>2.2343318575644999</c:v>
                </c:pt>
                <c:pt idx="1">
                  <c:v>0.22969627725411801</c:v>
                </c:pt>
              </c:numCache>
            </c:numRef>
          </c:xVal>
          <c:yVal>
            <c:numRef>
              <c:f>(Podsumowanie!$M$27,Podsumowanie!$M$34)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C7-4AEA-95C7-BACC0B00001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Podsumowanie!$AD$51:$AD$52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C7-4AEA-95C7-BACC0B000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ciągu mśr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378171478565179E-3"/>
                  <c:y val="-0.71381051326917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(Podsumowanie!$R$15,Podsumowanie!$R$23)</c:f>
              <c:numCache>
                <c:formatCode>0.00</c:formatCode>
                <c:ptCount val="2"/>
                <c:pt idx="0">
                  <c:v>2.38309887651147</c:v>
                </c:pt>
                <c:pt idx="1">
                  <c:v>4.0018328096734501E-2</c:v>
                </c:pt>
              </c:numCache>
            </c:numRef>
          </c:xVal>
          <c:yVal>
            <c:numRef>
              <c:f>(Podsumowanie!$M$15,Podsumowanie!$M$23)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12-493A-BC98-80B8360BA6F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Podsumowanie!$AD$51:$AD$52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12-493A-BC98-80B8360BA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zmienna masa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4262685914260722E-2"/>
                  <c:y val="-0.666193188007337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(Podsumowanie!$R$3,Podsumowanie!$R$11)</c:f>
              <c:numCache>
                <c:formatCode>0.00</c:formatCode>
                <c:ptCount val="2"/>
                <c:pt idx="0">
                  <c:v>2.3164556962025298</c:v>
                </c:pt>
                <c:pt idx="1">
                  <c:v>0.13080168776371301</c:v>
                </c:pt>
              </c:numCache>
            </c:numRef>
          </c:xVal>
          <c:yVal>
            <c:numRef>
              <c:f>(Podsumowanie!$M$3,Podsumowanie!$M$11)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E9-4521-AB3D-2646C0D8FCB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Podsumowanie!$AD$51:$AD$52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E9-4521-AB3D-2646C0D8F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PWS-51 mmax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93697551138343771"/>
          <c:h val="0.89261579195973506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Podsumowanie!$O$3:$O$12</c:f>
              <c:numCache>
                <c:formatCode>0.00</c:formatCode>
                <c:ptCount val="10"/>
                <c:pt idx="0">
                  <c:v>73.707305389221233</c:v>
                </c:pt>
                <c:pt idx="1">
                  <c:v>75.509461077843966</c:v>
                </c:pt>
                <c:pt idx="2">
                  <c:v>77.31161676646704</c:v>
                </c:pt>
                <c:pt idx="3">
                  <c:v>79.208622754490889</c:v>
                </c:pt>
                <c:pt idx="4">
                  <c:v>81.200479041915841</c:v>
                </c:pt>
                <c:pt idx="5">
                  <c:v>83.192335329341162</c:v>
                </c:pt>
                <c:pt idx="6">
                  <c:v>85.2790419161676</c:v>
                </c:pt>
                <c:pt idx="7">
                  <c:v>91.728862275448805</c:v>
                </c:pt>
                <c:pt idx="8">
                  <c:v>102.73149700598772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45-411D-9E9E-7FC58EE86389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Podsumowanie!$O$38:$O$46</c:f>
              <c:numCache>
                <c:formatCode>0.00</c:formatCode>
                <c:ptCount val="9"/>
                <c:pt idx="0">
                  <c:v>73.707305389221233</c:v>
                </c:pt>
                <c:pt idx="1">
                  <c:v>75.604311377245438</c:v>
                </c:pt>
                <c:pt idx="2">
                  <c:v>77.406467065868171</c:v>
                </c:pt>
                <c:pt idx="3">
                  <c:v>79.303473053891992</c:v>
                </c:pt>
                <c:pt idx="4">
                  <c:v>81.390179640718443</c:v>
                </c:pt>
                <c:pt idx="5">
                  <c:v>83.476886227544881</c:v>
                </c:pt>
                <c:pt idx="6">
                  <c:v>85.563592814370963</c:v>
                </c:pt>
                <c:pt idx="7">
                  <c:v>97.040479041915845</c:v>
                </c:pt>
                <c:pt idx="8" formatCode="General">
                  <c:v>113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B45-411D-9E9E-7FC58EE86389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Podsumowanie!$O$50:$O$58</c:f>
              <c:numCache>
                <c:formatCode>0.00</c:formatCode>
                <c:ptCount val="9"/>
                <c:pt idx="0">
                  <c:v>73.707305389221233</c:v>
                </c:pt>
                <c:pt idx="1">
                  <c:v>75.509461077843966</c:v>
                </c:pt>
                <c:pt idx="2">
                  <c:v>77.406467065868171</c:v>
                </c:pt>
                <c:pt idx="3">
                  <c:v>79.303473053891992</c:v>
                </c:pt>
                <c:pt idx="4">
                  <c:v>81.390179640718443</c:v>
                </c:pt>
                <c:pt idx="5">
                  <c:v>83.382035928143395</c:v>
                </c:pt>
                <c:pt idx="6">
                  <c:v>86.512095808383236</c:v>
                </c:pt>
                <c:pt idx="7">
                  <c:v>101.1190419161676</c:v>
                </c:pt>
                <c:pt idx="8" formatCode="General">
                  <c:v>111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9B45-411D-9E9E-7FC58EE86389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Podsumowanie!$Q$3:$Q$12</c:f>
              <c:numCache>
                <c:formatCode>0.00</c:formatCode>
                <c:ptCount val="10"/>
                <c:pt idx="0">
                  <c:v>151.18111776447108</c:v>
                </c:pt>
                <c:pt idx="1">
                  <c:v>150.52243512974039</c:v>
                </c:pt>
                <c:pt idx="2">
                  <c:v>150.02842315369247</c:v>
                </c:pt>
                <c:pt idx="3">
                  <c:v>149.31485029940112</c:v>
                </c:pt>
                <c:pt idx="4">
                  <c:v>147.61325349301393</c:v>
                </c:pt>
                <c:pt idx="5">
                  <c:v>146.73500998003982</c:v>
                </c:pt>
                <c:pt idx="6">
                  <c:v>144.37473053892194</c:v>
                </c:pt>
                <c:pt idx="7">
                  <c:v>138.06235528942105</c:v>
                </c:pt>
                <c:pt idx="8">
                  <c:v>129.60926147704572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45-411D-9E9E-7FC58EE86389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Podsumowanie!$Q$38:$Q$46</c:f>
              <c:numCache>
                <c:formatCode>0.00</c:formatCode>
                <c:ptCount val="9"/>
                <c:pt idx="0">
                  <c:v>149.47952095808353</c:v>
                </c:pt>
                <c:pt idx="1">
                  <c:v>148.4914970059877</c:v>
                </c:pt>
                <c:pt idx="2">
                  <c:v>147.39369261477015</c:v>
                </c:pt>
                <c:pt idx="3">
                  <c:v>145.85676646706568</c:v>
                </c:pt>
                <c:pt idx="4">
                  <c:v>143.2220359281437</c:v>
                </c:pt>
                <c:pt idx="5">
                  <c:v>140.91664670658685</c:v>
                </c:pt>
                <c:pt idx="6">
                  <c:v>133.78091816367254</c:v>
                </c:pt>
                <c:pt idx="7">
                  <c:v>122.08930139720556</c:v>
                </c:pt>
                <c:pt idx="8" formatCode="General">
                  <c:v>113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B45-411D-9E9E-7FC58EE86389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Podsumowanie!$Q$50:$Q$58</c:f>
              <c:numCache>
                <c:formatCode>0.00</c:formatCode>
                <c:ptCount val="9"/>
                <c:pt idx="0">
                  <c:v>147.06435129740495</c:v>
                </c:pt>
                <c:pt idx="1">
                  <c:v>145.4176447105788</c:v>
                </c:pt>
                <c:pt idx="2">
                  <c:v>143.66115768463058</c:v>
                </c:pt>
                <c:pt idx="3">
                  <c:v>142.39868263473025</c:v>
                </c:pt>
                <c:pt idx="4">
                  <c:v>140.31285429141684</c:v>
                </c:pt>
                <c:pt idx="5">
                  <c:v>136.63520958083831</c:v>
                </c:pt>
                <c:pt idx="6">
                  <c:v>126.91964071856268</c:v>
                </c:pt>
                <c:pt idx="7">
                  <c:v>118.24698602794393</c:v>
                </c:pt>
                <c:pt idx="8" formatCode="General">
                  <c:v>111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9B45-411D-9E9E-7FC58EE86389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Podsumowanie!$U$3:$U$12</c:f>
              <c:numCache>
                <c:formatCode>0.00</c:formatCode>
                <c:ptCount val="10"/>
                <c:pt idx="0">
                  <c:v>105.57700598802384</c:v>
                </c:pt>
                <c:pt idx="1">
                  <c:v>107.09461077844284</c:v>
                </c:pt>
                <c:pt idx="2">
                  <c:v>109.65556886227525</c:v>
                </c:pt>
                <c:pt idx="3">
                  <c:v>111.45772455089795</c:v>
                </c:pt>
                <c:pt idx="4">
                  <c:v>114.01868263473037</c:v>
                </c:pt>
                <c:pt idx="5">
                  <c:v>116.01053892215567</c:v>
                </c:pt>
                <c:pt idx="6">
                  <c:v>118.00239520958063</c:v>
                </c:pt>
                <c:pt idx="7">
                  <c:v>119.42514970059852</c:v>
                </c:pt>
                <c:pt idx="8">
                  <c:v>121.32215568862271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45-411D-9E9E-7FC58EE86389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Podsumowanie!$U$38:$U$46</c:f>
              <c:numCache>
                <c:formatCode>0.00</c:formatCode>
                <c:ptCount val="9"/>
                <c:pt idx="0">
                  <c:v>101.7829940119758</c:v>
                </c:pt>
                <c:pt idx="1">
                  <c:v>103.58514970059852</c:v>
                </c:pt>
                <c:pt idx="2">
                  <c:v>104.81820359281416</c:v>
                </c:pt>
                <c:pt idx="3">
                  <c:v>106.52550898203576</c:v>
                </c:pt>
                <c:pt idx="4">
                  <c:v>108.23281437125736</c:v>
                </c:pt>
                <c:pt idx="5">
                  <c:v>109.94011976047896</c:v>
                </c:pt>
                <c:pt idx="6">
                  <c:v>111.45772455089795</c:v>
                </c:pt>
                <c:pt idx="7">
                  <c:v>112.97532934131732</c:v>
                </c:pt>
                <c:pt idx="8" formatCode="General">
                  <c:v>113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B45-411D-9E9E-7FC58EE86389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Podsumowanie!$U$50:$U$58</c:f>
              <c:numCache>
                <c:formatCode>0.00</c:formatCode>
                <c:ptCount val="9"/>
                <c:pt idx="0">
                  <c:v>98.747784431137433</c:v>
                </c:pt>
                <c:pt idx="1">
                  <c:v>99.601437125748248</c:v>
                </c:pt>
                <c:pt idx="2">
                  <c:v>100.36023952095792</c:v>
                </c:pt>
                <c:pt idx="3">
                  <c:v>101.87784431137692</c:v>
                </c:pt>
                <c:pt idx="4">
                  <c:v>103.01604790419144</c:v>
                </c:pt>
                <c:pt idx="5">
                  <c:v>104.62850299401192</c:v>
                </c:pt>
                <c:pt idx="6">
                  <c:v>106.52550898203576</c:v>
                </c:pt>
                <c:pt idx="7">
                  <c:v>109.18131736526928</c:v>
                </c:pt>
                <c:pt idx="8" formatCode="General">
                  <c:v>111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9B45-411D-9E9E-7FC58EE86389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Podsumowanie!$Y$3:$Y$12</c:f>
              <c:numCache>
                <c:formatCode>0.00</c:formatCode>
                <c:ptCount val="10"/>
                <c:pt idx="0">
                  <c:v>92.438709677419325</c:v>
                </c:pt>
                <c:pt idx="1">
                  <c:v>96.696774193548251</c:v>
                </c:pt>
                <c:pt idx="2">
                  <c:v>99.346236559139527</c:v>
                </c:pt>
                <c:pt idx="3">
                  <c:v>101.61720430107516</c:v>
                </c:pt>
                <c:pt idx="4">
                  <c:v>104.64516129032243</c:v>
                </c:pt>
                <c:pt idx="5">
                  <c:v>107.86236559139772</c:v>
                </c:pt>
                <c:pt idx="6">
                  <c:v>111.458064516129</c:v>
                </c:pt>
                <c:pt idx="7">
                  <c:v>114.76989247311829</c:v>
                </c:pt>
                <c:pt idx="8">
                  <c:v>119.97419354838684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45-411D-9E9E-7FC58EE86389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Podsumowanie!$Y$38:$Y$46</c:f>
              <c:numCache>
                <c:formatCode>0.00</c:formatCode>
                <c:ptCount val="9"/>
                <c:pt idx="0">
                  <c:v>80.421505376343831</c:v>
                </c:pt>
                <c:pt idx="1">
                  <c:v>82.976344086021484</c:v>
                </c:pt>
                <c:pt idx="2">
                  <c:v>87.5182795698924</c:v>
                </c:pt>
                <c:pt idx="3">
                  <c:v>91.587096774193327</c:v>
                </c:pt>
                <c:pt idx="4">
                  <c:v>95.561290322580604</c:v>
                </c:pt>
                <c:pt idx="5">
                  <c:v>99.724731182795523</c:v>
                </c:pt>
                <c:pt idx="6">
                  <c:v>103.22580645161281</c:v>
                </c:pt>
                <c:pt idx="7">
                  <c:v>108.90322580645136</c:v>
                </c:pt>
                <c:pt idx="8" formatCode="General">
                  <c:v>113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9B45-411D-9E9E-7FC58EE86389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Podsumowanie!$Y$50:$Y$58</c:f>
              <c:numCache>
                <c:formatCode>0.00</c:formatCode>
                <c:ptCount val="9"/>
                <c:pt idx="0">
                  <c:v>86.761290322580393</c:v>
                </c:pt>
                <c:pt idx="1">
                  <c:v>91.397849462365329</c:v>
                </c:pt>
                <c:pt idx="2">
                  <c:v>95.845161290322238</c:v>
                </c:pt>
                <c:pt idx="3">
                  <c:v>99.251612903225521</c:v>
                </c:pt>
                <c:pt idx="4">
                  <c:v>101.99569892473117</c:v>
                </c:pt>
                <c:pt idx="5">
                  <c:v>105.96989247311808</c:v>
                </c:pt>
                <c:pt idx="6">
                  <c:v>108.52473118279536</c:v>
                </c:pt>
                <c:pt idx="7">
                  <c:v>111.36344086021499</c:v>
                </c:pt>
                <c:pt idx="8" formatCode="General">
                  <c:v>111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9B45-411D-9E9E-7FC58EE86389}"/>
            </c:ext>
          </c:extLst>
        </c:ser>
        <c:ser>
          <c:idx val="4"/>
          <c:order val="12"/>
          <c:tx>
            <c:v>10wmax1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Podsumowanie!$S$3:$S$12</c:f>
              <c:numCache>
                <c:formatCode>0.00</c:formatCode>
                <c:ptCount val="10"/>
                <c:pt idx="0">
                  <c:v>23.164556962025298</c:v>
                </c:pt>
                <c:pt idx="1">
                  <c:v>20.379746835443001</c:v>
                </c:pt>
                <c:pt idx="2">
                  <c:v>17.426160337552702</c:v>
                </c:pt>
                <c:pt idx="3">
                  <c:v>14.3037974683544</c:v>
                </c:pt>
                <c:pt idx="4">
                  <c:v>11.2658227848101</c:v>
                </c:pt>
                <c:pt idx="5">
                  <c:v>8.6075949367088604</c:v>
                </c:pt>
                <c:pt idx="6">
                  <c:v>5.8649789029535802</c:v>
                </c:pt>
                <c:pt idx="7">
                  <c:v>3.8396624472573797</c:v>
                </c:pt>
                <c:pt idx="8">
                  <c:v>1.3080168776371301</c:v>
                </c:pt>
                <c:pt idx="9" formatCode="General">
                  <c:v>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45-411D-9E9E-7FC58EE86389}"/>
            </c:ext>
          </c:extLst>
        </c:ser>
        <c:ser>
          <c:idx val="17"/>
          <c:order val="13"/>
          <c:tx>
            <c:v>10wmax2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Podsumowanie!$S$38:$S$46</c:f>
              <c:numCache>
                <c:formatCode>0.00</c:formatCode>
                <c:ptCount val="9"/>
                <c:pt idx="0">
                  <c:v>20.759493670886002</c:v>
                </c:pt>
                <c:pt idx="1">
                  <c:v>17.848101265822699</c:v>
                </c:pt>
                <c:pt idx="2">
                  <c:v>15.3164556962025</c:v>
                </c:pt>
                <c:pt idx="3">
                  <c:v>12.278481012658201</c:v>
                </c:pt>
                <c:pt idx="4">
                  <c:v>8.9451476793248901</c:v>
                </c:pt>
                <c:pt idx="5">
                  <c:v>6.2869198312236296</c:v>
                </c:pt>
                <c:pt idx="6">
                  <c:v>3.29113924050632</c:v>
                </c:pt>
                <c:pt idx="7">
                  <c:v>0.80168776371308104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9B45-411D-9E9E-7FC58EE86389}"/>
            </c:ext>
          </c:extLst>
        </c:ser>
        <c:ser>
          <c:idx val="24"/>
          <c:order val="14"/>
          <c:tx>
            <c:v>10wmax3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Podsumowanie!$S$50:$S$58</c:f>
              <c:numCache>
                <c:formatCode>0.00</c:formatCode>
                <c:ptCount val="9"/>
                <c:pt idx="0">
                  <c:v>20.506329113924</c:v>
                </c:pt>
                <c:pt idx="1">
                  <c:v>17.6371308016877</c:v>
                </c:pt>
                <c:pt idx="2">
                  <c:v>14.978902953586498</c:v>
                </c:pt>
                <c:pt idx="3">
                  <c:v>11.814345991561099</c:v>
                </c:pt>
                <c:pt idx="4">
                  <c:v>9.0717299578059105</c:v>
                </c:pt>
                <c:pt idx="5">
                  <c:v>6.2025316455696196</c:v>
                </c:pt>
                <c:pt idx="6">
                  <c:v>3.5021097046413501</c:v>
                </c:pt>
                <c:pt idx="7">
                  <c:v>0.80168776371308104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9B45-411D-9E9E-7FC58EE86389}"/>
            </c:ext>
          </c:extLst>
        </c:ser>
        <c:ser>
          <c:idx val="5"/>
          <c:order val="15"/>
          <c:tx>
            <c:v>10ymax1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Podsumowanie!$W$3:$W$12</c:f>
              <c:numCache>
                <c:formatCode>0.00</c:formatCode>
                <c:ptCount val="10"/>
                <c:pt idx="0">
                  <c:v>48.934426229508205</c:v>
                </c:pt>
                <c:pt idx="1">
                  <c:v>41.475409836065502</c:v>
                </c:pt>
                <c:pt idx="2">
                  <c:v>34.918032786885199</c:v>
                </c:pt>
                <c:pt idx="3">
                  <c:v>29.0983606557377</c:v>
                </c:pt>
                <c:pt idx="4">
                  <c:v>22.0491803278688</c:v>
                </c:pt>
                <c:pt idx="5">
                  <c:v>16.639344262294998</c:v>
                </c:pt>
                <c:pt idx="6">
                  <c:v>10.983606557377</c:v>
                </c:pt>
                <c:pt idx="7">
                  <c:v>7.0491803278688501</c:v>
                </c:pt>
                <c:pt idx="8">
                  <c:v>2.4590163934426101</c:v>
                </c:pt>
                <c:pt idx="9" formatCode="General">
                  <c:v>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45-411D-9E9E-7FC58EE86389}"/>
            </c:ext>
          </c:extLst>
        </c:ser>
        <c:ser>
          <c:idx val="18"/>
          <c:order val="16"/>
          <c:tx>
            <c:v>10ymax2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Podsumowanie!$W$38:$W$46</c:f>
              <c:numCache>
                <c:formatCode>0.00</c:formatCode>
                <c:ptCount val="9"/>
                <c:pt idx="0">
                  <c:v>46.147540983606497</c:v>
                </c:pt>
                <c:pt idx="1">
                  <c:v>38.6065573770491</c:v>
                </c:pt>
                <c:pt idx="2">
                  <c:v>31.311475409836</c:v>
                </c:pt>
                <c:pt idx="3">
                  <c:v>24.918032786885199</c:v>
                </c:pt>
                <c:pt idx="4">
                  <c:v>18.6065573770491</c:v>
                </c:pt>
                <c:pt idx="5">
                  <c:v>13.5245901639344</c:v>
                </c:pt>
                <c:pt idx="6">
                  <c:v>7.3770491803278606</c:v>
                </c:pt>
                <c:pt idx="7">
                  <c:v>1.80327868852458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9B45-411D-9E9E-7FC58EE86389}"/>
            </c:ext>
          </c:extLst>
        </c:ser>
        <c:ser>
          <c:idx val="25"/>
          <c:order val="17"/>
          <c:tx>
            <c:v>10ymax3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Podsumowanie!$W$50:$W$58</c:f>
              <c:numCache>
                <c:formatCode>0.00</c:formatCode>
                <c:ptCount val="9"/>
                <c:pt idx="0">
                  <c:v>44.426229508196698</c:v>
                </c:pt>
                <c:pt idx="1">
                  <c:v>37.786885245901601</c:v>
                </c:pt>
                <c:pt idx="2">
                  <c:v>31.229508196721302</c:v>
                </c:pt>
                <c:pt idx="3">
                  <c:v>24.5081967213114</c:v>
                </c:pt>
                <c:pt idx="4">
                  <c:v>18.442622950819601</c:v>
                </c:pt>
                <c:pt idx="5">
                  <c:v>12.2950819672131</c:v>
                </c:pt>
                <c:pt idx="6">
                  <c:v>6.9672131147540908</c:v>
                </c:pt>
                <c:pt idx="7">
                  <c:v>1.4754098360655701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9B45-411D-9E9E-7FC58EE86389}"/>
            </c:ext>
          </c:extLst>
        </c:ser>
        <c:ser>
          <c:idx val="6"/>
          <c:order val="18"/>
          <c:tx>
            <c:v>th1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Podsumowanie!$AA$3:$AA$12</c:f>
              <c:numCache>
                <c:formatCode>0.00</c:formatCode>
                <c:ptCount val="10"/>
                <c:pt idx="0">
                  <c:v>0</c:v>
                </c:pt>
                <c:pt idx="1">
                  <c:v>3.8278685120696729</c:v>
                </c:pt>
                <c:pt idx="2">
                  <c:v>8.205908025018033</c:v>
                </c:pt>
                <c:pt idx="3">
                  <c:v>13.319246598246689</c:v>
                </c:pt>
                <c:pt idx="4">
                  <c:v>19.465733755476553</c:v>
                </c:pt>
                <c:pt idx="5">
                  <c:v>27.171362034571782</c:v>
                </c:pt>
                <c:pt idx="6">
                  <c:v>37.506120669347332</c:v>
                </c:pt>
                <c:pt idx="7">
                  <c:v>53.254014075120971</c:v>
                </c:pt>
                <c:pt idx="8">
                  <c:v>87.604536170414349</c:v>
                </c:pt>
                <c:pt idx="9" formatCode="General">
                  <c:v>160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B45-411D-9E9E-7FC58EE86389}"/>
            </c:ext>
          </c:extLst>
        </c:ser>
        <c:ser>
          <c:idx val="19"/>
          <c:order val="19"/>
          <c:tx>
            <c:v>th2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Podsumowanie!$AA$38:$AA$46</c:f>
              <c:numCache>
                <c:formatCode>0.00</c:formatCode>
                <c:ptCount val="9"/>
                <c:pt idx="0">
                  <c:v>0</c:v>
                </c:pt>
                <c:pt idx="1">
                  <c:v>4.3181015396182874</c:v>
                </c:pt>
                <c:pt idx="2">
                  <c:v>9.3867522435840272</c:v>
                </c:pt>
                <c:pt idx="3">
                  <c:v>15.522917001822975</c:v>
                </c:pt>
                <c:pt idx="4">
                  <c:v>23.299591076473121</c:v>
                </c:pt>
                <c:pt idx="5">
                  <c:v>33.92727036151436</c:v>
                </c:pt>
                <c:pt idx="6">
                  <c:v>50.798490521007686</c:v>
                </c:pt>
                <c:pt idx="7">
                  <c:v>95.213235820473685</c:v>
                </c:pt>
                <c:pt idx="8" formatCode="General">
                  <c:v>160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9B45-411D-9E9E-7FC58EE86389}"/>
            </c:ext>
          </c:extLst>
        </c:ser>
        <c:ser>
          <c:idx val="26"/>
          <c:order val="20"/>
          <c:tx>
            <c:v>th3</c:v>
          </c:tx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Podsumowanie!$AA$50:$AA$58</c:f>
              <c:numCache>
                <c:formatCode>0.00</c:formatCode>
                <c:ptCount val="9"/>
                <c:pt idx="0">
                  <c:v>0</c:v>
                </c:pt>
                <c:pt idx="1">
                  <c:v>4.3709458310059608</c:v>
                </c:pt>
                <c:pt idx="2">
                  <c:v>9.5003020169544019</c:v>
                </c:pt>
                <c:pt idx="3">
                  <c:v>15.707673087514033</c:v>
                </c:pt>
                <c:pt idx="4">
                  <c:v>23.570123444332417</c:v>
                </c:pt>
                <c:pt idx="5">
                  <c:v>34.304319955462233</c:v>
                </c:pt>
                <c:pt idx="6">
                  <c:v>51.306391831542093</c:v>
                </c:pt>
                <c:pt idx="7">
                  <c:v>95.522195347407461</c:v>
                </c:pt>
                <c:pt idx="8" formatCode="General">
                  <c:v>160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9B45-411D-9E9E-7FC58EE86389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Podsumowanie!$AC$46:$AC$47</c:f>
              <c:numCache>
                <c:formatCode>General</c:formatCode>
                <c:ptCount val="2"/>
                <c:pt idx="0">
                  <c:v>4240</c:v>
                </c:pt>
                <c:pt idx="1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B45-411D-9E9E-7FC58EE86389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Podsumowanie!$AI$46:$AI$47</c:f>
              <c:numCache>
                <c:formatCode>General</c:formatCode>
                <c:ptCount val="2"/>
                <c:pt idx="0">
                  <c:v>3640</c:v>
                </c:pt>
                <c:pt idx="1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B45-411D-9E9E-7FC58EE86389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Podsumowanie!$AK$46:$AK$47</c:f>
              <c:numCache>
                <c:formatCode>General</c:formatCode>
                <c:ptCount val="2"/>
                <c:pt idx="0">
                  <c:v>3645</c:v>
                </c:pt>
                <c:pt idx="1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B45-411D-9E9E-7FC58EE86389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Podsumowanie!$AD$46:$AD$47</c:f>
              <c:numCache>
                <c:formatCode>General</c:formatCode>
                <c:ptCount val="2"/>
                <c:pt idx="0">
                  <c:v>3324.95</c:v>
                </c:pt>
                <c:pt idx="1">
                  <c:v>3324.95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B45-411D-9E9E-7FC58EE86389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Podsumowanie!$AJ$46:$AJ$47</c:f>
              <c:numCache>
                <c:formatCode>General</c:formatCode>
                <c:ptCount val="2"/>
                <c:pt idx="0">
                  <c:v>2763.15</c:v>
                </c:pt>
                <c:pt idx="1">
                  <c:v>2763.15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B45-411D-9E9E-7FC58EE86389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Podsumowanie!$AL$46:$AL$47</c:f>
              <c:numCache>
                <c:formatCode>General</c:formatCode>
                <c:ptCount val="2"/>
                <c:pt idx="0">
                  <c:v>2756.9</c:v>
                </c:pt>
                <c:pt idx="1">
                  <c:v>2756.9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B45-411D-9E9E-7FC58EE86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</c:scatterChart>
      <c:valAx>
        <c:axId val="1494335119"/>
        <c:scaling>
          <c:orientation val="minMax"/>
          <c:max val="15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86099118660830487"/>
              <c:y val="0.85925672668158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5"/>
      </c:valAx>
      <c:valAx>
        <c:axId val="1641619439"/>
        <c:scaling>
          <c:orientation val="minMax"/>
          <c:max val="4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ofertowy samolotu PWS-51 w otoczeniu pułapu samolotu</a:t>
            </a:r>
          </a:p>
        </c:rich>
      </c:tx>
      <c:layout>
        <c:manualLayout>
          <c:xMode val="edge"/>
          <c:yMode val="edge"/>
          <c:x val="0.33782848989358177"/>
          <c:y val="1.4763308992279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85026377588115487"/>
          <c:h val="0.82525398493297142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Podsumowanie!$O$3:$O$12</c:f>
              <c:numCache>
                <c:formatCode>0.00</c:formatCode>
                <c:ptCount val="10"/>
                <c:pt idx="0">
                  <c:v>73.707305389221233</c:v>
                </c:pt>
                <c:pt idx="1">
                  <c:v>75.509461077843966</c:v>
                </c:pt>
                <c:pt idx="2">
                  <c:v>77.31161676646704</c:v>
                </c:pt>
                <c:pt idx="3">
                  <c:v>79.208622754490889</c:v>
                </c:pt>
                <c:pt idx="4">
                  <c:v>81.200479041915841</c:v>
                </c:pt>
                <c:pt idx="5">
                  <c:v>83.192335329341162</c:v>
                </c:pt>
                <c:pt idx="6">
                  <c:v>85.2790419161676</c:v>
                </c:pt>
                <c:pt idx="7">
                  <c:v>91.728862275448805</c:v>
                </c:pt>
                <c:pt idx="8">
                  <c:v>102.73149700598772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B-48B2-9DF1-E2B94CFBCBB9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Podsumowanie!$O$15:$O$24</c:f>
              <c:numCache>
                <c:formatCode>0.00</c:formatCode>
                <c:ptCount val="10"/>
                <c:pt idx="0">
                  <c:v>71.666076970825557</c:v>
                </c:pt>
                <c:pt idx="1">
                  <c:v>73.41188702669136</c:v>
                </c:pt>
                <c:pt idx="2">
                  <c:v>75.157697082557164</c:v>
                </c:pt>
                <c:pt idx="3">
                  <c:v>77.097486033519488</c:v>
                </c:pt>
                <c:pt idx="4">
                  <c:v>79.134264432029525</c:v>
                </c:pt>
                <c:pt idx="5">
                  <c:v>81.074053382991849</c:v>
                </c:pt>
                <c:pt idx="6">
                  <c:v>83.110831781501886</c:v>
                </c:pt>
                <c:pt idx="7">
                  <c:v>85.438578522656513</c:v>
                </c:pt>
                <c:pt idx="8">
                  <c:v>98.047206703910518</c:v>
                </c:pt>
                <c:pt idx="9" formatCode="General">
                  <c:v>108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DB-48B2-9DF1-E2B94CFBCBB9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Podsumowanie!$O$27:$O$35</c:f>
              <c:numCache>
                <c:formatCode>0.00</c:formatCode>
                <c:ptCount val="9"/>
                <c:pt idx="0">
                  <c:v>71.666076970825557</c:v>
                </c:pt>
                <c:pt idx="1">
                  <c:v>73.314897579143278</c:v>
                </c:pt>
                <c:pt idx="2">
                  <c:v>75.254686530105246</c:v>
                </c:pt>
                <c:pt idx="3">
                  <c:v>77.097486033519488</c:v>
                </c:pt>
                <c:pt idx="4">
                  <c:v>79.134264432029525</c:v>
                </c:pt>
                <c:pt idx="5">
                  <c:v>80.977063935443752</c:v>
                </c:pt>
                <c:pt idx="6">
                  <c:v>83.110831781501886</c:v>
                </c:pt>
                <c:pt idx="7">
                  <c:v>89.803103662321206</c:v>
                </c:pt>
                <c:pt idx="8" formatCode="General">
                  <c:v>110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DB-48B2-9DF1-E2B94CFBCBB9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Podsumowanie!$Q$3:$Q$12</c:f>
              <c:numCache>
                <c:formatCode>0.00</c:formatCode>
                <c:ptCount val="10"/>
                <c:pt idx="0">
                  <c:v>151.18111776447108</c:v>
                </c:pt>
                <c:pt idx="1">
                  <c:v>150.52243512974039</c:v>
                </c:pt>
                <c:pt idx="2">
                  <c:v>150.02842315369247</c:v>
                </c:pt>
                <c:pt idx="3">
                  <c:v>149.31485029940112</c:v>
                </c:pt>
                <c:pt idx="4">
                  <c:v>147.61325349301393</c:v>
                </c:pt>
                <c:pt idx="5">
                  <c:v>146.73500998003982</c:v>
                </c:pt>
                <c:pt idx="6">
                  <c:v>144.37473053892194</c:v>
                </c:pt>
                <c:pt idx="7">
                  <c:v>138.06235528942105</c:v>
                </c:pt>
                <c:pt idx="8">
                  <c:v>129.60926147704572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DB-48B2-9DF1-E2B94CFBCBB9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Podsumowanie!$Q$15:$Q$24</c:f>
              <c:numCache>
                <c:formatCode>0.00</c:formatCode>
                <c:ptCount val="10"/>
                <c:pt idx="0">
                  <c:v>150.32451893234006</c:v>
                </c:pt>
                <c:pt idx="1">
                  <c:v>149.54860335195502</c:v>
                </c:pt>
                <c:pt idx="2">
                  <c:v>148.77268777157042</c:v>
                </c:pt>
                <c:pt idx="3">
                  <c:v>147.41483550589695</c:v>
                </c:pt>
                <c:pt idx="4">
                  <c:v>145.37805710738652</c:v>
                </c:pt>
                <c:pt idx="5">
                  <c:v>143.7292364990688</c:v>
                </c:pt>
                <c:pt idx="6">
                  <c:v>140.23761638733686</c:v>
                </c:pt>
                <c:pt idx="7">
                  <c:v>131.79953445065172</c:v>
                </c:pt>
                <c:pt idx="8">
                  <c:v>116.96014897579116</c:v>
                </c:pt>
                <c:pt idx="9" formatCode="General">
                  <c:v>108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DB-48B2-9DF1-E2B94CFBCBB9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Podsumowanie!$Q$27:$Q$35</c:f>
              <c:numCache>
                <c:formatCode>0.00</c:formatCode>
                <c:ptCount val="9"/>
                <c:pt idx="0">
                  <c:v>149.74258224705122</c:v>
                </c:pt>
                <c:pt idx="1">
                  <c:v>148.38472998137772</c:v>
                </c:pt>
                <c:pt idx="2">
                  <c:v>145.66902545003074</c:v>
                </c:pt>
                <c:pt idx="3">
                  <c:v>143.53525760397267</c:v>
                </c:pt>
                <c:pt idx="4">
                  <c:v>140.43159528243299</c:v>
                </c:pt>
                <c:pt idx="5">
                  <c:v>138.20083798882681</c:v>
                </c:pt>
                <c:pt idx="6">
                  <c:v>130.24770328988208</c:v>
                </c:pt>
                <c:pt idx="7">
                  <c:v>123.65242085661048</c:v>
                </c:pt>
                <c:pt idx="8" formatCode="General">
                  <c:v>110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DB-48B2-9DF1-E2B94CFBCBB9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Podsumowanie!$U$3:$U$12</c:f>
              <c:numCache>
                <c:formatCode>0.00</c:formatCode>
                <c:ptCount val="10"/>
                <c:pt idx="0">
                  <c:v>105.57700598802384</c:v>
                </c:pt>
                <c:pt idx="1">
                  <c:v>107.09461077844284</c:v>
                </c:pt>
                <c:pt idx="2">
                  <c:v>109.65556886227525</c:v>
                </c:pt>
                <c:pt idx="3">
                  <c:v>111.45772455089795</c:v>
                </c:pt>
                <c:pt idx="4">
                  <c:v>114.01868263473037</c:v>
                </c:pt>
                <c:pt idx="5">
                  <c:v>116.01053892215567</c:v>
                </c:pt>
                <c:pt idx="6">
                  <c:v>118.00239520958063</c:v>
                </c:pt>
                <c:pt idx="7">
                  <c:v>119.42514970059852</c:v>
                </c:pt>
                <c:pt idx="8">
                  <c:v>121.32215568862271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DB-48B2-9DF1-E2B94CFBCBB9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Podsumowanie!$U$15:$U$24</c:f>
              <c:numCache>
                <c:formatCode>0.00</c:formatCode>
                <c:ptCount val="10"/>
                <c:pt idx="0">
                  <c:v>99.308069522035922</c:v>
                </c:pt>
                <c:pt idx="1">
                  <c:v>100.47194289261324</c:v>
                </c:pt>
                <c:pt idx="2">
                  <c:v>101.63581626319056</c:v>
                </c:pt>
                <c:pt idx="3">
                  <c:v>103.1876474239602</c:v>
                </c:pt>
                <c:pt idx="4">
                  <c:v>104.64248913718176</c:v>
                </c:pt>
                <c:pt idx="5">
                  <c:v>106.00034140285524</c:v>
                </c:pt>
                <c:pt idx="6">
                  <c:v>107.94013035381721</c:v>
                </c:pt>
                <c:pt idx="7">
                  <c:v>109.9769087523276</c:v>
                </c:pt>
                <c:pt idx="8">
                  <c:v>112.30465549348223</c:v>
                </c:pt>
                <c:pt idx="9" formatCode="General">
                  <c:v>108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9DB-48B2-9DF1-E2B94CFBCBB9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Podsumowanie!$U$27:$U$35</c:f>
              <c:numCache>
                <c:formatCode>0.00</c:formatCode>
                <c:ptCount val="9"/>
                <c:pt idx="0">
                  <c:v>92.809776536312768</c:v>
                </c:pt>
                <c:pt idx="1">
                  <c:v>94.555586592178557</c:v>
                </c:pt>
                <c:pt idx="2">
                  <c:v>96.107417752948194</c:v>
                </c:pt>
                <c:pt idx="3">
                  <c:v>97.368280571073598</c:v>
                </c:pt>
                <c:pt idx="4">
                  <c:v>99.308069522035922</c:v>
                </c:pt>
                <c:pt idx="5">
                  <c:v>101.15086902544981</c:v>
                </c:pt>
                <c:pt idx="6">
                  <c:v>103.28463687150828</c:v>
                </c:pt>
                <c:pt idx="7">
                  <c:v>106.00034140285524</c:v>
                </c:pt>
                <c:pt idx="8" formatCode="General">
                  <c:v>110</c:v>
                </c:pt>
              </c:numCache>
            </c:numRef>
          </c:xVal>
          <c:yVal>
            <c:numRef>
              <c:f>Podsumowanie!$M$27:$M$40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  <c:pt idx="10">
                  <c:v>0</c:v>
                </c:pt>
                <c:pt idx="11">
                  <c:v>0</c:v>
                </c:pt>
                <c:pt idx="12">
                  <c:v>500</c:v>
                </c:pt>
                <c:pt idx="13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9DB-48B2-9DF1-E2B94CFBCBB9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Podsumowanie!$Y$3:$Y$12</c:f>
              <c:numCache>
                <c:formatCode>0.00</c:formatCode>
                <c:ptCount val="10"/>
                <c:pt idx="0">
                  <c:v>92.438709677419325</c:v>
                </c:pt>
                <c:pt idx="1">
                  <c:v>96.696774193548251</c:v>
                </c:pt>
                <c:pt idx="2">
                  <c:v>99.346236559139527</c:v>
                </c:pt>
                <c:pt idx="3">
                  <c:v>101.61720430107516</c:v>
                </c:pt>
                <c:pt idx="4">
                  <c:v>104.64516129032243</c:v>
                </c:pt>
                <c:pt idx="5">
                  <c:v>107.86236559139772</c:v>
                </c:pt>
                <c:pt idx="6">
                  <c:v>111.458064516129</c:v>
                </c:pt>
                <c:pt idx="7">
                  <c:v>114.76989247311829</c:v>
                </c:pt>
                <c:pt idx="8">
                  <c:v>119.97419354838684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9DB-48B2-9DF1-E2B94CFBCBB9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Podsumowanie!$Y$15:$Y$24</c:f>
              <c:numCache>
                <c:formatCode>0.00</c:formatCode>
                <c:ptCount val="10"/>
                <c:pt idx="0">
                  <c:v>78.31145038167935</c:v>
                </c:pt>
                <c:pt idx="1">
                  <c:v>79.6854961832058</c:v>
                </c:pt>
                <c:pt idx="2">
                  <c:v>82.433587786259409</c:v>
                </c:pt>
                <c:pt idx="3">
                  <c:v>85.639694656488487</c:v>
                </c:pt>
                <c:pt idx="4">
                  <c:v>88.502290076335683</c:v>
                </c:pt>
                <c:pt idx="5">
                  <c:v>91.822900763358717</c:v>
                </c:pt>
                <c:pt idx="6">
                  <c:v>95.372519083969323</c:v>
                </c:pt>
                <c:pt idx="7">
                  <c:v>100.18167938931276</c:v>
                </c:pt>
                <c:pt idx="8">
                  <c:v>104.30381679389281</c:v>
                </c:pt>
                <c:pt idx="9" formatCode="General">
                  <c:v>108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9DB-48B2-9DF1-E2B94CFBCBB9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Podsumowanie!$Y$27:$Y$35</c:f>
              <c:numCache>
                <c:formatCode>0.00</c:formatCode>
                <c:ptCount val="9"/>
                <c:pt idx="0">
                  <c:v>76.021374045801238</c:v>
                </c:pt>
                <c:pt idx="1">
                  <c:v>79.341984732824287</c:v>
                </c:pt>
                <c:pt idx="2">
                  <c:v>81.861068702289955</c:v>
                </c:pt>
                <c:pt idx="3">
                  <c:v>85.067175572519034</c:v>
                </c:pt>
                <c:pt idx="4">
                  <c:v>87.929770992366244</c:v>
                </c:pt>
                <c:pt idx="5">
                  <c:v>93.196946564885167</c:v>
                </c:pt>
                <c:pt idx="6">
                  <c:v>97.777099236641035</c:v>
                </c:pt>
                <c:pt idx="7">
                  <c:v>104.41832061068676</c:v>
                </c:pt>
                <c:pt idx="8" formatCode="General">
                  <c:v>110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9DB-48B2-9DF1-E2B94CFBCBB9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Podsumowanie!$AC$46:$AC$47</c:f>
              <c:numCache>
                <c:formatCode>General</c:formatCode>
                <c:ptCount val="2"/>
                <c:pt idx="0">
                  <c:v>4240</c:v>
                </c:pt>
                <c:pt idx="1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C9DB-48B2-9DF1-E2B94CFBCBB9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Podsumowanie!$AE$46:$AE$47</c:f>
              <c:numCache>
                <c:formatCode>General</c:formatCode>
                <c:ptCount val="2"/>
                <c:pt idx="0">
                  <c:v>4070</c:v>
                </c:pt>
                <c:pt idx="1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C9DB-48B2-9DF1-E2B94CFBCBB9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Podsumowanie!$AG$46:$AG$47</c:f>
              <c:numCache>
                <c:formatCode>General</c:formatCode>
                <c:ptCount val="2"/>
                <c:pt idx="0">
                  <c:v>3900</c:v>
                </c:pt>
                <c:pt idx="1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C9DB-48B2-9DF1-E2B94CFBCBB9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Podsumowanie!$AD$46:$AD$47</c:f>
              <c:numCache>
                <c:formatCode>General</c:formatCode>
                <c:ptCount val="2"/>
                <c:pt idx="0">
                  <c:v>3324.95</c:v>
                </c:pt>
                <c:pt idx="1">
                  <c:v>3324.95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C9DB-48B2-9DF1-E2B94CFBCBB9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Podsumowanie!$AF$46:$AF$47</c:f>
              <c:numCache>
                <c:formatCode>General</c:formatCode>
                <c:ptCount val="2"/>
                <c:pt idx="0">
                  <c:v>3216.4</c:v>
                </c:pt>
                <c:pt idx="1">
                  <c:v>3216.4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C9DB-48B2-9DF1-E2B94CFBCBB9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Podsumowanie!$AH$46:$AH$47</c:f>
              <c:numCache>
                <c:formatCode>General</c:formatCode>
                <c:ptCount val="2"/>
                <c:pt idx="0">
                  <c:v>3027</c:v>
                </c:pt>
                <c:pt idx="1">
                  <c:v>3027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C9DB-48B2-9DF1-E2B94CFBC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2"/>
                <c:tx>
                  <c:v>10wmax1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Podsumowanie!$S$3:$S$12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23.164556962025298</c:v>
                      </c:pt>
                      <c:pt idx="1">
                        <c:v>20.379746835443001</c:v>
                      </c:pt>
                      <c:pt idx="2">
                        <c:v>17.426160337552702</c:v>
                      </c:pt>
                      <c:pt idx="3">
                        <c:v>14.3037974683544</c:v>
                      </c:pt>
                      <c:pt idx="4">
                        <c:v>11.2658227848101</c:v>
                      </c:pt>
                      <c:pt idx="5">
                        <c:v>8.6075949367088604</c:v>
                      </c:pt>
                      <c:pt idx="6">
                        <c:v>5.8649789029535802</c:v>
                      </c:pt>
                      <c:pt idx="7">
                        <c:v>3.8396624472573797</c:v>
                      </c:pt>
                      <c:pt idx="8">
                        <c:v>1.3080168776371301</c:v>
                      </c:pt>
                      <c:pt idx="9" formatCode="General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Podsumowanie!$M$3:$M$12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4240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C9DB-48B2-9DF1-E2B94CFBCBB9}"/>
                  </c:ext>
                </c:extLst>
              </c15:ser>
            </c15:filteredScatterSeries>
            <c15:filteredScatterSeries>
              <c15:ser>
                <c:idx val="17"/>
                <c:order val="13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Podsumowanie!$S$15:$S$24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23.8309887651147</c:v>
                      </c:pt>
                      <c:pt idx="1">
                        <c:v>20.781264876701798</c:v>
                      </c:pt>
                      <c:pt idx="2">
                        <c:v>18.1406502903932</c:v>
                      </c:pt>
                      <c:pt idx="3">
                        <c:v>14.8677758735599</c:v>
                      </c:pt>
                      <c:pt idx="4">
                        <c:v>11.743668475673601</c:v>
                      </c:pt>
                      <c:pt idx="5">
                        <c:v>9.0286703798914605</c:v>
                      </c:pt>
                      <c:pt idx="6">
                        <c:v>5.9789464914786192</c:v>
                      </c:pt>
                      <c:pt idx="7">
                        <c:v>3.3011401504331999</c:v>
                      </c:pt>
                      <c:pt idx="8">
                        <c:v>0.40018328096734501</c:v>
                      </c:pt>
                      <c:pt idx="9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9DB-48B2-9DF1-E2B94CFBCBB9}"/>
                  </c:ext>
                </c:extLst>
              </c15:ser>
            </c15:filteredScatterSeries>
            <c15:filteredScatterSeries>
              <c15:ser>
                <c:idx val="24"/>
                <c:order val="14"/>
                <c:tx>
                  <c:v>10wmax3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Podsumowanie!$S$27:$S$35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22.343318575645</c:v>
                      </c:pt>
                      <c:pt idx="1">
                        <c:v>19.516745215652598</c:v>
                      </c:pt>
                      <c:pt idx="2">
                        <c:v>16.6529801009235</c:v>
                      </c:pt>
                      <c:pt idx="3">
                        <c:v>13.566064457773901</c:v>
                      </c:pt>
                      <c:pt idx="4">
                        <c:v>10.6651075883081</c:v>
                      </c:pt>
                      <c:pt idx="5">
                        <c:v>7.9129177377892006</c:v>
                      </c:pt>
                      <c:pt idx="6">
                        <c:v>5.2351113967437799</c:v>
                      </c:pt>
                      <c:pt idx="7">
                        <c:v>2.2969627725411801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9DB-48B2-9DF1-E2B94CFBCBB9}"/>
                  </c:ext>
                </c:extLst>
              </c15:ser>
            </c15:filteredScatterSeries>
            <c15:filteredScatterSeries>
              <c15:ser>
                <c:idx val="5"/>
                <c:order val="15"/>
                <c:tx>
                  <c:v>10ymax1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Podsumowanie!$W$3:$W$12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48.934426229508205</c:v>
                      </c:pt>
                      <c:pt idx="1">
                        <c:v>41.475409836065502</c:v>
                      </c:pt>
                      <c:pt idx="2">
                        <c:v>34.918032786885199</c:v>
                      </c:pt>
                      <c:pt idx="3">
                        <c:v>29.0983606557377</c:v>
                      </c:pt>
                      <c:pt idx="4">
                        <c:v>22.0491803278688</c:v>
                      </c:pt>
                      <c:pt idx="5">
                        <c:v>16.639344262294998</c:v>
                      </c:pt>
                      <c:pt idx="6">
                        <c:v>10.983606557377</c:v>
                      </c:pt>
                      <c:pt idx="7">
                        <c:v>7.0491803278688501</c:v>
                      </c:pt>
                      <c:pt idx="8">
                        <c:v>2.4590163934426101</c:v>
                      </c:pt>
                      <c:pt idx="9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Podsumowanie!$M$3:$M$12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4240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9DB-48B2-9DF1-E2B94CFBCBB9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Podsumowanie!$W$15:$W$24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54.991119005328599</c:v>
                      </c:pt>
                      <c:pt idx="1">
                        <c:v>47.424511545293001</c:v>
                      </c:pt>
                      <c:pt idx="2">
                        <c:v>38.685612788632298</c:v>
                      </c:pt>
                      <c:pt idx="3">
                        <c:v>31.119005328596799</c:v>
                      </c:pt>
                      <c:pt idx="4">
                        <c:v>24.404973357015901</c:v>
                      </c:pt>
                      <c:pt idx="5">
                        <c:v>18.436944937833001</c:v>
                      </c:pt>
                      <c:pt idx="6">
                        <c:v>12.1492007104795</c:v>
                      </c:pt>
                      <c:pt idx="7">
                        <c:v>6.1811722912966207</c:v>
                      </c:pt>
                      <c:pt idx="8">
                        <c:v>1.1722912966252199</c:v>
                      </c:pt>
                      <c:pt idx="9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9DB-48B2-9DF1-E2B94CFBCBB9}"/>
                  </c:ext>
                </c:extLst>
              </c15:ser>
            </c15:filteredScatterSeries>
            <c15:filteredScatterSeries>
              <c15:ser>
                <c:idx val="25"/>
                <c:order val="17"/>
                <c:tx>
                  <c:v>10ymax3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Podsumowanie!$W$27:$W$35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52.220248667850804</c:v>
                      </c:pt>
                      <c:pt idx="1">
                        <c:v>42.841918294849002</c:v>
                      </c:pt>
                      <c:pt idx="2">
                        <c:v>35.914742451154503</c:v>
                      </c:pt>
                      <c:pt idx="3">
                        <c:v>28.028419182948401</c:v>
                      </c:pt>
                      <c:pt idx="4">
                        <c:v>21.5275310834813</c:v>
                      </c:pt>
                      <c:pt idx="5">
                        <c:v>14.9200710479573</c:v>
                      </c:pt>
                      <c:pt idx="6">
                        <c:v>9.5914742451154495</c:v>
                      </c:pt>
                      <c:pt idx="7">
                        <c:v>4.0497335701598498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9DB-48B2-9DF1-E2B94CFBCBB9}"/>
                  </c:ext>
                </c:extLst>
              </c15:ser>
            </c15:filteredScatterSeries>
            <c15:filteredScatterSeries>
              <c15:ser>
                <c:idx val="6"/>
                <c:order val="18"/>
                <c:tx>
                  <c:v>th1</c:v>
                </c:tx>
                <c:spPr>
                  <a:ln w="127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Podsumowanie!$AA$3:$AA$12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0</c:v>
                      </c:pt>
                      <c:pt idx="1">
                        <c:v>3.8278685120696729</c:v>
                      </c:pt>
                      <c:pt idx="2">
                        <c:v>8.205908025018033</c:v>
                      </c:pt>
                      <c:pt idx="3">
                        <c:v>13.319246598246689</c:v>
                      </c:pt>
                      <c:pt idx="4">
                        <c:v>19.465733755476553</c:v>
                      </c:pt>
                      <c:pt idx="5">
                        <c:v>27.171362034571782</c:v>
                      </c:pt>
                      <c:pt idx="6">
                        <c:v>37.506120669347332</c:v>
                      </c:pt>
                      <c:pt idx="7">
                        <c:v>53.254014075120971</c:v>
                      </c:pt>
                      <c:pt idx="8">
                        <c:v>87.604536170414349</c:v>
                      </c:pt>
                      <c:pt idx="9" formatCode="General">
                        <c:v>160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Podsumowanie!$M$3:$M$12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4240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9DB-48B2-9DF1-E2B94CFBCBB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th2</c:v>
                </c:tx>
                <c:spPr>
                  <a:ln w="12700" cap="rnd">
                    <a:solidFill>
                      <a:srgbClr val="FF0000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Podsumowanie!$AA$15:$AA$24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0</c:v>
                      </c:pt>
                      <c:pt idx="1">
                        <c:v>3.7310316003979609</c:v>
                      </c:pt>
                      <c:pt idx="2">
                        <c:v>8.02595969602541</c:v>
                      </c:pt>
                      <c:pt idx="3">
                        <c:v>13.086112496004187</c:v>
                      </c:pt>
                      <c:pt idx="4">
                        <c:v>19.244579703084106</c:v>
                      </c:pt>
                      <c:pt idx="5">
                        <c:v>27.114200444332585</c:v>
                      </c:pt>
                      <c:pt idx="6">
                        <c:v>38.02791092783005</c:v>
                      </c:pt>
                      <c:pt idx="7">
                        <c:v>55.954112825682095</c:v>
                      </c:pt>
                      <c:pt idx="8">
                        <c:v>115.64784771822464</c:v>
                      </c:pt>
                      <c:pt idx="9" formatCode="General">
                        <c:v>160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9DB-48B2-9DF1-E2B94CFBCBB9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th3</c:v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Podsumowanie!$AA$27:$AA$35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3.9913824207374162</c:v>
                      </c:pt>
                      <c:pt idx="2">
                        <c:v>8.6188083404482789</c:v>
                      </c:pt>
                      <c:pt idx="3">
                        <c:v>14.124136447756639</c:v>
                      </c:pt>
                      <c:pt idx="4">
                        <c:v>20.920336070202147</c:v>
                      </c:pt>
                      <c:pt idx="5">
                        <c:v>29.804337412090465</c:v>
                      </c:pt>
                      <c:pt idx="6">
                        <c:v>42.657902025111916</c:v>
                      </c:pt>
                      <c:pt idx="7">
                        <c:v>66.249054733965849</c:v>
                      </c:pt>
                      <c:pt idx="8" formatCode="General">
                        <c:v>160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9DB-48B2-9DF1-E2B94CFBCBB9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144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</c:rich>
          </c:tx>
          <c:layout>
            <c:manualLayout>
              <c:xMode val="edge"/>
              <c:yMode val="edge"/>
              <c:x val="0.47737188150073873"/>
              <c:y val="0.93817228746290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2"/>
      </c:valAx>
      <c:valAx>
        <c:axId val="1641619439"/>
        <c:scaling>
          <c:orientation val="minMax"/>
          <c:max val="43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958539784933778"/>
          <c:y val="1.596121381372766E-2"/>
          <c:w val="8.1201636475728131E-2"/>
          <c:h val="0.96609007004945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PWS 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h=0m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'h=0m'!$N$3:$N$17</c:f>
              <c:numCache>
                <c:formatCode>0.00</c:formatCode>
                <c:ptCount val="15"/>
                <c:pt idx="0">
                  <c:v>1.8818145104848438</c:v>
                </c:pt>
                <c:pt idx="1">
                  <c:v>2.102456839614399</c:v>
                </c:pt>
                <c:pt idx="2">
                  <c:v>2.2140980877465259</c:v>
                </c:pt>
                <c:pt idx="3">
                  <c:v>2.3453377659130155</c:v>
                </c:pt>
                <c:pt idx="4">
                  <c:v>2.3773190754931992</c:v>
                </c:pt>
                <c:pt idx="5">
                  <c:v>2.3188806815029657</c:v>
                </c:pt>
                <c:pt idx="6">
                  <c:v>2.091606092750506</c:v>
                </c:pt>
                <c:pt idx="7">
                  <c:v>1.757432351914064</c:v>
                </c:pt>
                <c:pt idx="8">
                  <c:v>1.2004596852568861</c:v>
                </c:pt>
                <c:pt idx="9">
                  <c:v>-0.11543223748851203</c:v>
                </c:pt>
                <c:pt idx="10">
                  <c:v>-1.2362457407993475</c:v>
                </c:pt>
                <c:pt idx="11">
                  <c:v>-2.5457967345520931</c:v>
                </c:pt>
                <c:pt idx="12">
                  <c:v>-3.9937267714982605</c:v>
                </c:pt>
                <c:pt idx="13">
                  <c:v>-5.6989586393173335</c:v>
                </c:pt>
                <c:pt idx="14">
                  <c:v>-7.5846257845013225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A2-4D83-94CE-9253F44F4300}"/>
            </c:ext>
          </c:extLst>
        </c:ser>
        <c:ser>
          <c:idx val="1"/>
          <c:order val="1"/>
          <c:tx>
            <c:v>h=500m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'h=500m'!$I$3:$I$17</c:f>
              <c:numCache>
                <c:formatCode>0.0</c:formatCode>
                <c:ptCount val="15"/>
                <c:pt idx="0">
                  <c:v>20.371714852065022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'h=500m'!$N$3:$N$17</c:f>
              <c:numCache>
                <c:formatCode>0.00</c:formatCode>
                <c:ptCount val="15"/>
                <c:pt idx="0">
                  <c:v>1.6850093312441492</c:v>
                </c:pt>
                <c:pt idx="1">
                  <c:v>1.8145167427879239</c:v>
                </c:pt>
                <c:pt idx="2">
                  <c:v>1.8998050361209238</c:v>
                </c:pt>
                <c:pt idx="3">
                  <c:v>2.0149994731587504</c:v>
                </c:pt>
                <c:pt idx="4">
                  <c:v>2.0686902312036919</c:v>
                </c:pt>
                <c:pt idx="5">
                  <c:v>2.0334421213522544</c:v>
                </c:pt>
                <c:pt idx="6">
                  <c:v>1.7815837162201587</c:v>
                </c:pt>
                <c:pt idx="7">
                  <c:v>1.5089624547151146</c:v>
                </c:pt>
                <c:pt idx="8">
                  <c:v>0.97468554406659225</c:v>
                </c:pt>
                <c:pt idx="9">
                  <c:v>-0.2045002399229422</c:v>
                </c:pt>
                <c:pt idx="10">
                  <c:v>-1.2570221464969258</c:v>
                </c:pt>
                <c:pt idx="11">
                  <c:v>-2.5037194437712911</c:v>
                </c:pt>
                <c:pt idx="12">
                  <c:v>-3.9207114102553517</c:v>
                </c:pt>
                <c:pt idx="13">
                  <c:v>-5.5999971010428489</c:v>
                </c:pt>
                <c:pt idx="14">
                  <c:v>-7.3666359410961251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A2-4D83-94CE-9253F44F4300}"/>
            </c:ext>
          </c:extLst>
        </c:ser>
        <c:ser>
          <c:idx val="2"/>
          <c:order val="2"/>
          <c:tx>
            <c:v>h=1000m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'h=1000m'!$I$3:$I$17</c:f>
              <c:numCache>
                <c:formatCode>0.0</c:formatCode>
                <c:ptCount val="15"/>
                <c:pt idx="0">
                  <c:v>20.875565662291493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'h=1000m'!$N$3:$N$17</c:f>
              <c:numCache>
                <c:formatCode>0.00</c:formatCode>
                <c:ptCount val="15"/>
                <c:pt idx="0">
                  <c:v>1.3753297681709875</c:v>
                </c:pt>
                <c:pt idx="1">
                  <c:v>1.4736285904569371</c:v>
                </c:pt>
                <c:pt idx="2">
                  <c:v>1.6059633829513507</c:v>
                </c:pt>
                <c:pt idx="3">
                  <c:v>1.7139783359046987</c:v>
                </c:pt>
                <c:pt idx="4">
                  <c:v>1.7980137398193319</c:v>
                </c:pt>
                <c:pt idx="5">
                  <c:v>1.7674009494159004</c:v>
                </c:pt>
                <c:pt idx="6">
                  <c:v>1.5529937272127197</c:v>
                </c:pt>
                <c:pt idx="7">
                  <c:v>1.2509736101396489</c:v>
                </c:pt>
                <c:pt idx="8">
                  <c:v>0.75587629011138824</c:v>
                </c:pt>
                <c:pt idx="9">
                  <c:v>-0.2703741967258626</c:v>
                </c:pt>
                <c:pt idx="10">
                  <c:v>-1.3005771409188356</c:v>
                </c:pt>
                <c:pt idx="11">
                  <c:v>-2.4680466282965527</c:v>
                </c:pt>
                <c:pt idx="12">
                  <c:v>-3.8112084206571479</c:v>
                </c:pt>
                <c:pt idx="13">
                  <c:v>-5.3506402410727825</c:v>
                </c:pt>
                <c:pt idx="14">
                  <c:v>-7.0891996045479555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A2-4D83-94CE-9253F44F4300}"/>
            </c:ext>
          </c:extLst>
        </c:ser>
        <c:ser>
          <c:idx val="3"/>
          <c:order val="3"/>
          <c:tx>
            <c:v>h=1500m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'h=1500m'!$I$3:$I$17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'h=1500m'!$N$3:$N$17</c:f>
              <c:numCache>
                <c:formatCode>0.00</c:formatCode>
                <c:ptCount val="15"/>
                <c:pt idx="0">
                  <c:v>1.1287232977546438</c:v>
                </c:pt>
                <c:pt idx="1">
                  <c:v>1.1623057643421641</c:v>
                </c:pt>
                <c:pt idx="2">
                  <c:v>1.2957284608885846</c:v>
                </c:pt>
                <c:pt idx="3">
                  <c:v>1.4237979534634531</c:v>
                </c:pt>
                <c:pt idx="4">
                  <c:v>1.4654422360324755</c:v>
                </c:pt>
                <c:pt idx="5">
                  <c:v>1.4754242561550224</c:v>
                </c:pt>
                <c:pt idx="6">
                  <c:v>1.2888287044779756</c:v>
                </c:pt>
                <c:pt idx="7">
                  <c:v>1.0281907171950548</c:v>
                </c:pt>
                <c:pt idx="8">
                  <c:v>0.57094986228165145</c:v>
                </c:pt>
                <c:pt idx="9">
                  <c:v>-0.36672413067058529</c:v>
                </c:pt>
                <c:pt idx="10">
                  <c:v>-1.3311596476547496</c:v>
                </c:pt>
                <c:pt idx="11">
                  <c:v>-2.4921187858640641</c:v>
                </c:pt>
                <c:pt idx="12">
                  <c:v>-3.6916797817669158</c:v>
                </c:pt>
                <c:pt idx="13">
                  <c:v>-5.2086709873274266</c:v>
                </c:pt>
                <c:pt idx="14">
                  <c:v>-6.787586488061832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A2-4D83-94CE-9253F44F4300}"/>
            </c:ext>
          </c:extLst>
        </c:ser>
        <c:ser>
          <c:idx val="4"/>
          <c:order val="4"/>
          <c:tx>
            <c:v>h=2000m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'h=2000m'!$I$3:$I$17</c:f>
              <c:numCache>
                <c:formatCode>0.0</c:formatCode>
                <c:ptCount val="15"/>
                <c:pt idx="0">
                  <c:v>21.939776241582344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'h=2000m'!$N$3:$N$17</c:f>
              <c:numCache>
                <c:formatCode>0.00</c:formatCode>
                <c:ptCount val="15"/>
                <c:pt idx="0">
                  <c:v>0.83418733571115367</c:v>
                </c:pt>
                <c:pt idx="1">
                  <c:v>0.89988740679916635</c:v>
                </c:pt>
                <c:pt idx="2">
                  <c:v>0.99618766630046651</c:v>
                </c:pt>
                <c:pt idx="3">
                  <c:v>1.1168764510735445</c:v>
                </c:pt>
                <c:pt idx="4">
                  <c:v>1.1703081179196859</c:v>
                </c:pt>
                <c:pt idx="5">
                  <c:v>1.1391749543512684</c:v>
                </c:pt>
                <c:pt idx="6">
                  <c:v>0.99783744028880328</c:v>
                </c:pt>
                <c:pt idx="7">
                  <c:v>0.73285027592283325</c:v>
                </c:pt>
                <c:pt idx="8">
                  <c:v>0.33912678724403417</c:v>
                </c:pt>
                <c:pt idx="9">
                  <c:v>-0.51132051826978275</c:v>
                </c:pt>
                <c:pt idx="10">
                  <c:v>-1.446884973405735</c:v>
                </c:pt>
                <c:pt idx="11">
                  <c:v>-2.4599528482552677</c:v>
                </c:pt>
                <c:pt idx="12">
                  <c:v>-3.6243417632744346</c:v>
                </c:pt>
                <c:pt idx="13">
                  <c:v>-5.0760037722083862</c:v>
                </c:pt>
                <c:pt idx="14">
                  <c:v>-6.5504257021762102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A2-4D83-94CE-9253F44F4300}"/>
            </c:ext>
          </c:extLst>
        </c:ser>
        <c:ser>
          <c:idx val="5"/>
          <c:order val="5"/>
          <c:tx>
            <c:v>h=2500m</c:v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'h=2500m'!$I$3:$I$17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'h=2500m'!$N$3:$N$17</c:f>
              <c:numCache>
                <c:formatCode>0.00</c:formatCode>
                <c:ptCount val="15"/>
                <c:pt idx="0">
                  <c:v>0.56525451818308226</c:v>
                </c:pt>
                <c:pt idx="1">
                  <c:v>0.5827064646600324</c:v>
                </c:pt>
                <c:pt idx="2">
                  <c:v>0.6613568756639272</c:v>
                </c:pt>
                <c:pt idx="3">
                  <c:v>0.84740115635895297</c:v>
                </c:pt>
                <c:pt idx="4">
                  <c:v>0.90329854448473157</c:v>
                </c:pt>
                <c:pt idx="5">
                  <c:v>0.88481345907406539</c:v>
                </c:pt>
                <c:pt idx="6">
                  <c:v>0.78778713871959027</c:v>
                </c:pt>
                <c:pt idx="7">
                  <c:v>0.55315630020399409</c:v>
                </c:pt>
                <c:pt idx="8">
                  <c:v>0.19469448083971289</c:v>
                </c:pt>
                <c:pt idx="9">
                  <c:v>-0.57918202789898809</c:v>
                </c:pt>
                <c:pt idx="10">
                  <c:v>-1.4781811301375773</c:v>
                </c:pt>
                <c:pt idx="11">
                  <c:v>-2.442814229446761</c:v>
                </c:pt>
                <c:pt idx="12">
                  <c:v>-3.5734803705965441</c:v>
                </c:pt>
                <c:pt idx="13">
                  <c:v>-4.9613814863509367</c:v>
                </c:pt>
                <c:pt idx="14">
                  <c:v>-6.4041429430346968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A2-4D83-94CE-9253F44F4300}"/>
            </c:ext>
          </c:extLst>
        </c:ser>
        <c:ser>
          <c:idx val="6"/>
          <c:order val="6"/>
          <c:tx>
            <c:v>h=3000m</c:v>
          </c:tx>
          <c:spPr>
            <a:ln w="19050" cap="rnd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'h=3000m'!$I$3:$I$17</c:f>
              <c:numCache>
                <c:formatCode>0.0</c:formatCode>
                <c:ptCount val="15"/>
                <c:pt idx="0">
                  <c:v>23.085686081940391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'h=3000m'!$N$3:$N$17</c:f>
              <c:numCache>
                <c:formatCode>0.00</c:formatCode>
                <c:ptCount val="15"/>
                <c:pt idx="0">
                  <c:v>0.30328948688058455</c:v>
                </c:pt>
                <c:pt idx="1">
                  <c:v>0.35808885118895767</c:v>
                </c:pt>
                <c:pt idx="2">
                  <c:v>0.38212425541087819</c:v>
                </c:pt>
                <c:pt idx="3">
                  <c:v>0.52417705154124861</c:v>
                </c:pt>
                <c:pt idx="4">
                  <c:v>0.60967435487305721</c:v>
                </c:pt>
                <c:pt idx="5">
                  <c:v>0.57663638585085963</c:v>
                </c:pt>
                <c:pt idx="6">
                  <c:v>0.46055819503203177</c:v>
                </c:pt>
                <c:pt idx="7">
                  <c:v>0.25570566269205991</c:v>
                </c:pt>
                <c:pt idx="8">
                  <c:v>-5.7218195983628362E-3</c:v>
                </c:pt>
                <c:pt idx="9">
                  <c:v>-0.71326912992038838</c:v>
                </c:pt>
                <c:pt idx="10">
                  <c:v>-1.4785654911044752</c:v>
                </c:pt>
                <c:pt idx="11">
                  <c:v>-2.3604157567550725</c:v>
                </c:pt>
                <c:pt idx="12">
                  <c:v>-3.5478738485275549</c:v>
                </c:pt>
                <c:pt idx="13">
                  <c:v>-4.7845560987569735</c:v>
                </c:pt>
                <c:pt idx="14">
                  <c:v>-6.1885265914213479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8A2-4D83-94CE-9253F44F4300}"/>
            </c:ext>
          </c:extLst>
        </c:ser>
        <c:ser>
          <c:idx val="7"/>
          <c:order val="7"/>
          <c:tx>
            <c:v>h=3500m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'h=3500m'!$I$3:$I$17</c:f>
              <c:numCache>
                <c:formatCode>0.0</c:formatCode>
                <c:ptCount val="15"/>
                <c:pt idx="0">
                  <c:v>23.691887880412988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'h=3500m'!$N$3:$N$17</c:f>
              <c:numCache>
                <c:formatCode>0.00</c:formatCode>
                <c:ptCount val="15"/>
                <c:pt idx="0">
                  <c:v>3.8882513910003254E-2</c:v>
                </c:pt>
                <c:pt idx="1">
                  <c:v>6.6770852691665078E-2</c:v>
                </c:pt>
                <c:pt idx="2">
                  <c:v>0.15024212169962356</c:v>
                </c:pt>
                <c:pt idx="3">
                  <c:v>0.22858990525169384</c:v>
                </c:pt>
                <c:pt idx="4">
                  <c:v>0.28917691892900454</c:v>
                </c:pt>
                <c:pt idx="5">
                  <c:v>0.32262757430819489</c:v>
                </c:pt>
                <c:pt idx="6">
                  <c:v>0.25866842060782441</c:v>
                </c:pt>
                <c:pt idx="7">
                  <c:v>5.5580004062995424E-2</c:v>
                </c:pt>
                <c:pt idx="8">
                  <c:v>-0.28912158394907905</c:v>
                </c:pt>
                <c:pt idx="9">
                  <c:v>-0.86004824184470097</c:v>
                </c:pt>
                <c:pt idx="10">
                  <c:v>-1.5284047790654098</c:v>
                </c:pt>
                <c:pt idx="11">
                  <c:v>-2.346435285207106</c:v>
                </c:pt>
                <c:pt idx="12">
                  <c:v>-3.4227618833505717</c:v>
                </c:pt>
                <c:pt idx="13">
                  <c:v>-4.652166209839721</c:v>
                </c:pt>
                <c:pt idx="14">
                  <c:v>-5.9567271863250628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8A2-4D83-94CE-9253F44F4300}"/>
            </c:ext>
          </c:extLst>
        </c:ser>
        <c:ser>
          <c:idx val="8"/>
          <c:order val="8"/>
          <c:tx>
            <c:v>h=4000m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'h=4000m'!$I$3:$I$17</c:f>
              <c:numCache>
                <c:formatCode>0.0</c:formatCode>
                <c:ptCount val="15"/>
                <c:pt idx="0">
                  <c:v>24.321780100259733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'h=4000m'!$N$3:$N$17</c:f>
              <c:numCache>
                <c:formatCode>0.00</c:formatCode>
                <c:ptCount val="15"/>
                <c:pt idx="0">
                  <c:v>-0.21903528638164016</c:v>
                </c:pt>
                <c:pt idx="1">
                  <c:v>-0.17350948415660383</c:v>
                </c:pt>
                <c:pt idx="2">
                  <c:v>-8.5243845093727802E-2</c:v>
                </c:pt>
                <c:pt idx="3">
                  <c:v>-1.0843154752772179E-2</c:v>
                </c:pt>
                <c:pt idx="4">
                  <c:v>1.3749231335927304E-2</c:v>
                </c:pt>
                <c:pt idx="5">
                  <c:v>5.0208712977470878E-2</c:v>
                </c:pt>
                <c:pt idx="6">
                  <c:v>-2.4958381465249049E-2</c:v>
                </c:pt>
                <c:pt idx="7">
                  <c:v>-0.23572704206499878</c:v>
                </c:pt>
                <c:pt idx="8">
                  <c:v>-0.4855951457139509</c:v>
                </c:pt>
                <c:pt idx="9">
                  <c:v>-1.0554183175560834</c:v>
                </c:pt>
                <c:pt idx="10">
                  <c:v>-1.6188546898085066</c:v>
                </c:pt>
                <c:pt idx="11">
                  <c:v>-2.4365853127156685</c:v>
                </c:pt>
                <c:pt idx="12">
                  <c:v>-3.4029389197750968</c:v>
                </c:pt>
                <c:pt idx="13">
                  <c:v>-4.5107411756256814</c:v>
                </c:pt>
                <c:pt idx="14">
                  <c:v>-5.7530269975866029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8A2-4D83-94CE-9253F44F4300}"/>
            </c:ext>
          </c:extLst>
        </c:ser>
        <c:ser>
          <c:idx val="18"/>
          <c:order val="9"/>
          <c:tx>
            <c:v>h=4500m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'h=4500m'!$I$3:$I$17</c:f>
              <c:numCache>
                <c:formatCode>0.0</c:formatCode>
                <c:ptCount val="15"/>
                <c:pt idx="0">
                  <c:v>24.976599984063338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'h=4500m'!$N$3:$N$17</c:f>
              <c:numCache>
                <c:formatCode>0.00</c:formatCode>
                <c:ptCount val="15"/>
                <c:pt idx="0">
                  <c:v>-0.43426239573143161</c:v>
                </c:pt>
                <c:pt idx="1">
                  <c:v>-0.33606062824262062</c:v>
                </c:pt>
                <c:pt idx="2">
                  <c:v>-0.33326990929607508</c:v>
                </c:pt>
                <c:pt idx="3">
                  <c:v>-0.27129345548228401</c:v>
                </c:pt>
                <c:pt idx="4">
                  <c:v>-0.24967825606604394</c:v>
                </c:pt>
                <c:pt idx="5">
                  <c:v>-0.23195628781745004</c:v>
                </c:pt>
                <c:pt idx="6">
                  <c:v>-0.26481559781781067</c:v>
                </c:pt>
                <c:pt idx="7">
                  <c:v>-0.37651917569157367</c:v>
                </c:pt>
                <c:pt idx="8">
                  <c:v>-0.69379163031989433</c:v>
                </c:pt>
                <c:pt idx="9">
                  <c:v>-1.1922143534155683</c:v>
                </c:pt>
                <c:pt idx="10">
                  <c:v>-1.6696556880158044</c:v>
                </c:pt>
                <c:pt idx="11">
                  <c:v>-2.3812174440162144</c:v>
                </c:pt>
                <c:pt idx="12">
                  <c:v>-3.372609904635488</c:v>
                </c:pt>
                <c:pt idx="13">
                  <c:v>-4.4225044947915162</c:v>
                </c:pt>
                <c:pt idx="14">
                  <c:v>-5.5861808631045875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8A2-4D83-94CE-9253F44F4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10"/>
                <c:tx>
                  <c:v>h=0km m. mocy</c:v>
                </c:tx>
                <c:spPr>
                  <a:ln w="19050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'h=0m'!$H$22:$H$36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19.885538967126291</c:v>
                      </c:pt>
                      <c:pt idx="1">
                        <c:v>20.631460592290651</c:v>
                      </c:pt>
                      <c:pt idx="2">
                        <c:v>21.429825785748122</c:v>
                      </c:pt>
                      <c:pt idx="3">
                        <c:v>22.312432381898088</c:v>
                      </c:pt>
                      <c:pt idx="4">
                        <c:v>24.509709083434171</c:v>
                      </c:pt>
                      <c:pt idx="5">
                        <c:v>25.868682000759506</c:v>
                      </c:pt>
                      <c:pt idx="6">
                        <c:v>27.486331407644101</c:v>
                      </c:pt>
                      <c:pt idx="7">
                        <c:v>29.426326272975654</c:v>
                      </c:pt>
                      <c:pt idx="8">
                        <c:v>32.043106320799382</c:v>
                      </c:pt>
                      <c:pt idx="9">
                        <c:v>35.113267990460102</c:v>
                      </c:pt>
                      <c:pt idx="10">
                        <c:v>39.58681539671273</c:v>
                      </c:pt>
                      <c:pt idx="11">
                        <c:v>42.239693588971924</c:v>
                      </c:pt>
                      <c:pt idx="12">
                        <c:v>46.215950660815523</c:v>
                      </c:pt>
                      <c:pt idx="13">
                        <c:v>51.012458134162578</c:v>
                      </c:pt>
                      <c:pt idx="14">
                        <c:v>58.023959236010896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'h=0m'!$L$22:$L$36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1.729752562919725</c:v>
                      </c:pt>
                      <c:pt idx="1">
                        <c:v>1.8806149805270123</c:v>
                      </c:pt>
                      <c:pt idx="2">
                        <c:v>1.9451881653163641</c:v>
                      </c:pt>
                      <c:pt idx="3">
                        <c:v>2.0153303443611792</c:v>
                      </c:pt>
                      <c:pt idx="4">
                        <c:v>2.184007611956309</c:v>
                      </c:pt>
                      <c:pt idx="5">
                        <c:v>2.2302539848297704</c:v>
                      </c:pt>
                      <c:pt idx="6">
                        <c:v>2.2098612474997865</c:v>
                      </c:pt>
                      <c:pt idx="7">
                        <c:v>2.1397559334804739</c:v>
                      </c:pt>
                      <c:pt idx="8">
                        <c:v>1.9400067027880747</c:v>
                      </c:pt>
                      <c:pt idx="9">
                        <c:v>1.5307073970717775</c:v>
                      </c:pt>
                      <c:pt idx="10">
                        <c:v>0.67208158928273309</c:v>
                      </c:pt>
                      <c:pt idx="11">
                        <c:v>-0.30713712231317614</c:v>
                      </c:pt>
                      <c:pt idx="12">
                        <c:v>-2.7253589580468187</c:v>
                      </c:pt>
                      <c:pt idx="13">
                        <c:v>-6.3928806195739138</c:v>
                      </c:pt>
                      <c:pt idx="14">
                        <c:v>-13.851557523210666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38A2-4D83-94CE-9253F44F4300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v>h=0,5km m. mocy</c:v>
                </c:tx>
                <c:spPr>
                  <a:ln w="19050" cap="rnd">
                    <a:solidFill>
                      <a:schemeClr val="accent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'h=500m'!$H$22:$H$35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20.371714852065022</c:v>
                      </c:pt>
                      <c:pt idx="1">
                        <c:v>21.135873302834597</c:v>
                      </c:pt>
                      <c:pt idx="2">
                        <c:v>21.953757499778725</c:v>
                      </c:pt>
                      <c:pt idx="3">
                        <c:v>22.857942693503812</c:v>
                      </c:pt>
                      <c:pt idx="4">
                        <c:v>25.10893998800902</c:v>
                      </c:pt>
                      <c:pt idx="5">
                        <c:v>26.501138047573679</c:v>
                      </c:pt>
                      <c:pt idx="6">
                        <c:v>28.158336904599548</c:v>
                      </c:pt>
                      <c:pt idx="7">
                        <c:v>30.145762152481375</c:v>
                      </c:pt>
                      <c:pt idx="8">
                        <c:v>32.826519111242433</c:v>
                      </c:pt>
                      <c:pt idx="9">
                        <c:v>35.971742290129519</c:v>
                      </c:pt>
                      <c:pt idx="10">
                        <c:v>40.554662184231027</c:v>
                      </c:pt>
                      <c:pt idx="11">
                        <c:v>43.272399840691236</c:v>
                      </c:pt>
                      <c:pt idx="12">
                        <c:v>47.345871290472651</c:v>
                      </c:pt>
                      <c:pt idx="13">
                        <c:v>52.259647210469538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'h=500m'!$L$22:$L$35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1.3591617292149314</c:v>
                      </c:pt>
                      <c:pt idx="1">
                        <c:v>1.475085037981299</c:v>
                      </c:pt>
                      <c:pt idx="2">
                        <c:v>1.6293124686335496</c:v>
                      </c:pt>
                      <c:pt idx="3">
                        <c:v>1.7168981814856679</c:v>
                      </c:pt>
                      <c:pt idx="4">
                        <c:v>1.8746322985318904</c:v>
                      </c:pt>
                      <c:pt idx="5">
                        <c:v>1.9448551915285455</c:v>
                      </c:pt>
                      <c:pt idx="6">
                        <c:v>1.9195297723904317</c:v>
                      </c:pt>
                      <c:pt idx="7">
                        <c:v>1.8152479449533521</c:v>
                      </c:pt>
                      <c:pt idx="8">
                        <c:v>1.5494799378052511</c:v>
                      </c:pt>
                      <c:pt idx="9">
                        <c:v>1.122314428949615</c:v>
                      </c:pt>
                      <c:pt idx="10">
                        <c:v>0.20330763334355514</c:v>
                      </c:pt>
                      <c:pt idx="11">
                        <c:v>-0.9521991146412907</c:v>
                      </c:pt>
                      <c:pt idx="12">
                        <c:v>-3.4668229292668209</c:v>
                      </c:pt>
                      <c:pt idx="13">
                        <c:v>-7.4464343630966034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8A2-4D83-94CE-9253F44F4300}"/>
                  </c:ext>
                </c:extLst>
              </c15:ser>
            </c15:filteredScatterSeries>
            <c15:filteredScatterSeries>
              <c15:ser>
                <c:idx val="11"/>
                <c:order val="12"/>
                <c:tx>
                  <c:v>h=1km m. mocy</c:v>
                </c:tx>
                <c:spPr>
                  <a:ln w="19050" cap="rnd">
                    <a:solidFill>
                      <a:schemeClr val="accent3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'h=1000m'!$H$22:$H$35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20.875565662291496</c:v>
                      </c:pt>
                      <c:pt idx="1">
                        <c:v>21.65862393849833</c:v>
                      </c:pt>
                      <c:pt idx="2">
                        <c:v>22.496736752340656</c:v>
                      </c:pt>
                      <c:pt idx="3">
                        <c:v>23.423285033599683</c:v>
                      </c:pt>
                      <c:pt idx="4">
                        <c:v>25.729955933340875</c:v>
                      </c:pt>
                      <c:pt idx="5">
                        <c:v>27.156587035258685</c:v>
                      </c:pt>
                      <c:pt idx="6">
                        <c:v>28.85477316276631</c:v>
                      </c:pt>
                      <c:pt idx="7">
                        <c:v>30.891353124852685</c:v>
                      </c:pt>
                      <c:pt idx="8">
                        <c:v>33.63841287527859</c:v>
                      </c:pt>
                      <c:pt idx="9">
                        <c:v>36.861426424712938</c:v>
                      </c:pt>
                      <c:pt idx="10">
                        <c:v>41.557695043681953</c:v>
                      </c:pt>
                      <c:pt idx="11">
                        <c:v>44.342650130296391</c:v>
                      </c:pt>
                      <c:pt idx="12">
                        <c:v>48.516870186923668</c:v>
                      </c:pt>
                      <c:pt idx="13">
                        <c:v>53.552177848187334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'h=1000m'!$L$22:$L$35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1.1023663293864114</c:v>
                      </c:pt>
                      <c:pt idx="1">
                        <c:v>1.2727684727920616</c:v>
                      </c:pt>
                      <c:pt idx="2">
                        <c:v>1.355750588960454</c:v>
                      </c:pt>
                      <c:pt idx="3">
                        <c:v>1.4696097292011385</c:v>
                      </c:pt>
                      <c:pt idx="4">
                        <c:v>1.5985178901559236</c:v>
                      </c:pt>
                      <c:pt idx="5">
                        <c:v>1.6658485074386191</c:v>
                      </c:pt>
                      <c:pt idx="6">
                        <c:v>1.653340059442624</c:v>
                      </c:pt>
                      <c:pt idx="7">
                        <c:v>1.5502608937866726</c:v>
                      </c:pt>
                      <c:pt idx="8">
                        <c:v>1.2448891593408353</c:v>
                      </c:pt>
                      <c:pt idx="9">
                        <c:v>0.7813083223895767</c:v>
                      </c:pt>
                      <c:pt idx="10">
                        <c:v>-0.29765293678932914</c:v>
                      </c:pt>
                      <c:pt idx="11">
                        <c:v>-1.5139936281986603</c:v>
                      </c:pt>
                      <c:pt idx="12">
                        <c:v>-4.1086517815323349</c:v>
                      </c:pt>
                      <c:pt idx="13">
                        <c:v>-8.2324737393596834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8A2-4D83-94CE-9253F44F4300}"/>
                  </c:ext>
                </c:extLst>
              </c15:ser>
            </c15:filteredScatterSeries>
            <c15:filteredScatterSeries>
              <c15:ser>
                <c:idx val="12"/>
                <c:order val="13"/>
                <c:tx>
                  <c:v>h=1,5km m. mocy</c:v>
                </c:tx>
                <c:spPr>
                  <a:ln w="19050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'h=1500m'!$H$22:$H$35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21.397949356116786</c:v>
                      </c:pt>
                      <c:pt idx="1">
                        <c:v>22.200602640258872</c:v>
                      </c:pt>
                      <c:pt idx="2">
                        <c:v>23.059688129746011</c:v>
                      </c:pt>
                      <c:pt idx="3">
                        <c:v>24.009422068414352</c:v>
                      </c:pt>
                      <c:pt idx="4">
                        <c:v>26.373814386800632</c:v>
                      </c:pt>
                      <c:pt idx="5">
                        <c:v>27.836145063848615</c:v>
                      </c:pt>
                      <c:pt idx="6">
                        <c:v>29.57682607539633</c:v>
                      </c:pt>
                      <c:pt idx="7">
                        <c:v>31.66436878410121</c:v>
                      </c:pt>
                      <c:pt idx="8">
                        <c:v>34.480170107464623</c:v>
                      </c:pt>
                      <c:pt idx="9">
                        <c:v>37.783835350387868</c:v>
                      </c:pt>
                      <c:pt idx="10">
                        <c:v>42.597621941710763</c:v>
                      </c:pt>
                      <c:pt idx="11">
                        <c:v>45.452266882426308</c:v>
                      </c:pt>
                      <c:pt idx="12">
                        <c:v>49.730941329765479</c:v>
                      </c:pt>
                      <c:pt idx="13">
                        <c:v>54.892250971439623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'h=1500m'!$L$22:$L$35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0.87881854665585002</c:v>
                      </c:pt>
                      <c:pt idx="1">
                        <c:v>1.0322302342939329</c:v>
                      </c:pt>
                      <c:pt idx="2">
                        <c:v>1.1243736468989649</c:v>
                      </c:pt>
                      <c:pt idx="3">
                        <c:v>1.1662199258419552</c:v>
                      </c:pt>
                      <c:pt idx="4">
                        <c:v>1.3198214780766304</c:v>
                      </c:pt>
                      <c:pt idx="5">
                        <c:v>1.3573039055827616</c:v>
                      </c:pt>
                      <c:pt idx="6">
                        <c:v>1.3127194551064829</c:v>
                      </c:pt>
                      <c:pt idx="7">
                        <c:v>1.1838010114448358</c:v>
                      </c:pt>
                      <c:pt idx="8">
                        <c:v>0.87414115356821964</c:v>
                      </c:pt>
                      <c:pt idx="9">
                        <c:v>0.47181423400161837</c:v>
                      </c:pt>
                      <c:pt idx="10">
                        <c:v>-0.76839028012384825</c:v>
                      </c:pt>
                      <c:pt idx="11">
                        <c:v>-2.1538816224648931</c:v>
                      </c:pt>
                      <c:pt idx="12">
                        <c:v>-4.901874437929937</c:v>
                      </c:pt>
                      <c:pt idx="13">
                        <c:v>-9.2169898954730218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8A2-4D83-94CE-9253F44F4300}"/>
                  </c:ext>
                </c:extLst>
              </c15:ser>
            </c15:filteredScatterSeries>
            <c15:filteredScatterSeries>
              <c15:ser>
                <c:idx val="13"/>
                <c:order val="14"/>
                <c:tx>
                  <c:v>h=2km m. mocy</c:v>
                </c:tx>
                <c:spPr>
                  <a:ln w="19050" cap="rnd">
                    <a:solidFill>
                      <a:schemeClr val="accent5">
                        <a:alpha val="99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'h=2000m'!$H$22:$H$35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21.939776241582344</c:v>
                      </c:pt>
                      <c:pt idx="1">
                        <c:v>22.76275386250164</c:v>
                      </c:pt>
                      <c:pt idx="2">
                        <c:v>23.643592633453782</c:v>
                      </c:pt>
                      <c:pt idx="3">
                        <c:v>24.617375202831795</c:v>
                      </c:pt>
                      <c:pt idx="4">
                        <c:v>27.041637338861314</c:v>
                      </c:pt>
                      <c:pt idx="5">
                        <c:v>28.540996334047602</c:v>
                      </c:pt>
                      <c:pt idx="6">
                        <c:v>30.325753894958975</c:v>
                      </c:pt>
                      <c:pt idx="7">
                        <c:v>32.466156190594809</c:v>
                      </c:pt>
                      <c:pt idx="8">
                        <c:v>35.353257657525099</c:v>
                      </c:pt>
                      <c:pt idx="9">
                        <c:v>38.740576460862172</c:v>
                      </c:pt>
                      <c:pt idx="10">
                        <c:v>43.676255059342601</c:v>
                      </c:pt>
                      <c:pt idx="11">
                        <c:v>46.603183719941597</c:v>
                      </c:pt>
                      <c:pt idx="12">
                        <c:v>50.990200364523147</c:v>
                      </c:pt>
                      <c:pt idx="13">
                        <c:v>56.282201797337187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'h=2000m'!$L$22:$L$35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0.59891787623835879</c:v>
                      </c:pt>
                      <c:pt idx="1">
                        <c:v>0.74434315484609159</c:v>
                      </c:pt>
                      <c:pt idx="2">
                        <c:v>0.82784136374227735</c:v>
                      </c:pt>
                      <c:pt idx="3">
                        <c:v>0.92282135340223881</c:v>
                      </c:pt>
                      <c:pt idx="4">
                        <c:v>1.0384299330503453</c:v>
                      </c:pt>
                      <c:pt idx="5">
                        <c:v>1.0727325820445985</c:v>
                      </c:pt>
                      <c:pt idx="6">
                        <c:v>0.98696873530863116</c:v>
                      </c:pt>
                      <c:pt idx="7">
                        <c:v>0.7960959907787889</c:v>
                      </c:pt>
                      <c:pt idx="8">
                        <c:v>0.5263422996487489</c:v>
                      </c:pt>
                      <c:pt idx="9">
                        <c:v>5.9375473002536157E-2</c:v>
                      </c:pt>
                      <c:pt idx="10">
                        <c:v>-1.3434100233175001</c:v>
                      </c:pt>
                      <c:pt idx="11">
                        <c:v>-2.854351636475815</c:v>
                      </c:pt>
                      <c:pt idx="12">
                        <c:v>-5.6856660041866585</c:v>
                      </c:pt>
                      <c:pt idx="13">
                        <c:v>-9.9349702978649201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8A2-4D83-94CE-9253F44F4300}"/>
                  </c:ext>
                </c:extLst>
              </c15:ser>
            </c15:filteredScatterSeries>
            <c15:filteredScatterSeries>
              <c15:ser>
                <c:idx val="14"/>
                <c:order val="15"/>
                <c:tx>
                  <c:v>h=2,5km m. mocy</c:v>
                </c:tx>
                <c:spPr>
                  <a:ln w="19050" cap="rnd">
                    <a:solidFill>
                      <a:schemeClr val="accent6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'h=2500m'!$H$22:$H$35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22.502012839472162</c:v>
                      </c:pt>
                      <c:pt idx="1">
                        <c:v>23.346080380937142</c:v>
                      </c:pt>
                      <c:pt idx="2">
                        <c:v>24.249491843078857</c:v>
                      </c:pt>
                      <c:pt idx="3">
                        <c:v>25.248228914857581</c:v>
                      </c:pt>
                      <c:pt idx="4">
                        <c:v>27.734616064412577</c:v>
                      </c:pt>
                      <c:pt idx="5">
                        <c:v>29.272398172541617</c:v>
                      </c:pt>
                      <c:pt idx="6">
                        <c:v>31.10289257270129</c:v>
                      </c:pt>
                      <c:pt idx="7">
                        <c:v>33.298145587485891</c:v>
                      </c:pt>
                      <c:pt idx="8">
                        <c:v>36.259232955122549</c:v>
                      </c:pt>
                      <c:pt idx="9">
                        <c:v>39.73335640856115</c:v>
                      </c:pt>
                      <c:pt idx="10">
                        <c:v>44.79551848221157</c:v>
                      </c:pt>
                      <c:pt idx="11">
                        <c:v>47.797453669508066</c:v>
                      </c:pt>
                      <c:pt idx="12">
                        <c:v>52.296893580670641</c:v>
                      </c:pt>
                      <c:pt idx="13">
                        <c:v>57.724509745779635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'h=2500m'!$L$22:$L$35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0.37885757979781792</c:v>
                      </c:pt>
                      <c:pt idx="1">
                        <c:v>0.48052641237256838</c:v>
                      </c:pt>
                      <c:pt idx="2">
                        <c:v>0.54643410597718367</c:v>
                      </c:pt>
                      <c:pt idx="3">
                        <c:v>0.64089167317738716</c:v>
                      </c:pt>
                      <c:pt idx="4">
                        <c:v>0.77208055946519416</c:v>
                      </c:pt>
                      <c:pt idx="5">
                        <c:v>0.7852822312357477</c:v>
                      </c:pt>
                      <c:pt idx="6">
                        <c:v>0.72060419161129585</c:v>
                      </c:pt>
                      <c:pt idx="7">
                        <c:v>0.53909145357337851</c:v>
                      </c:pt>
                      <c:pt idx="8">
                        <c:v>0.27301046094014203</c:v>
                      </c:pt>
                      <c:pt idx="9">
                        <c:v>-0.27726647789144515</c:v>
                      </c:pt>
                      <c:pt idx="10">
                        <c:v>-1.9067122976084077</c:v>
                      </c:pt>
                      <c:pt idx="11">
                        <c:v>-3.4724110575476468</c:v>
                      </c:pt>
                      <c:pt idx="12">
                        <c:v>-6.5590201816895588</c:v>
                      </c:pt>
                      <c:pt idx="13">
                        <c:v>-10.906227114634833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8A2-4D83-94CE-9253F44F4300}"/>
                  </c:ext>
                </c:extLst>
              </c15:ser>
            </c15:filteredScatterSeries>
            <c15:filteredScatterSeries>
              <c15:ser>
                <c:idx val="15"/>
                <c:order val="16"/>
                <c:tx>
                  <c:v>h=3km m. mocy</c:v>
                </c:tx>
                <c:spPr>
                  <a:ln w="19050" cap="rnd">
                    <a:solidFill>
                      <a:schemeClr val="tx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'h=3000m'!$H$22:$H$34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23.085686081940391</c:v>
                      </c:pt>
                      <c:pt idx="1">
                        <c:v>23.951647648722293</c:v>
                      </c:pt>
                      <c:pt idx="2">
                        <c:v>24.87849244107997</c:v>
                      </c:pt>
                      <c:pt idx="3">
                        <c:v>25.90313546666011</c:v>
                      </c:pt>
                      <c:pt idx="4">
                        <c:v>28.454016297734412</c:v>
                      </c:pt>
                      <c:pt idx="5">
                        <c:v>30.031686493905372</c:v>
                      </c:pt>
                      <c:pt idx="6">
                        <c:v>31.909661562104972</c:v>
                      </c:pt>
                      <c:pt idx="7">
                        <c:v>34.161856613778376</c:v>
                      </c:pt>
                      <c:pt idx="8">
                        <c:v>37.199750775430736</c:v>
                      </c:pt>
                      <c:pt idx="9">
                        <c:v>40.763988518433983</c:v>
                      </c:pt>
                      <c:pt idx="10">
                        <c:v>45.957456558910806</c:v>
                      </c:pt>
                      <c:pt idx="11">
                        <c:v>49.037258080074793</c:v>
                      </c:pt>
                      <c:pt idx="12">
                        <c:v>53.653407669654776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'h=3000m'!$L$22:$L$34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0.13799829336960795</c:v>
                      </c:pt>
                      <c:pt idx="1">
                        <c:v>0.22278330774602945</c:v>
                      </c:pt>
                      <c:pt idx="2">
                        <c:v>0.31585378905940575</c:v>
                      </c:pt>
                      <c:pt idx="3">
                        <c:v>0.38289866420510821</c:v>
                      </c:pt>
                      <c:pt idx="4">
                        <c:v>0.51161898247166959</c:v>
                      </c:pt>
                      <c:pt idx="5">
                        <c:v>0.50354126074173755</c:v>
                      </c:pt>
                      <c:pt idx="6">
                        <c:v>0.37047031590858531</c:v>
                      </c:pt>
                      <c:pt idx="7">
                        <c:v>0.20685213651315415</c:v>
                      </c:pt>
                      <c:pt idx="8">
                        <c:v>-0.11876737370475314</c:v>
                      </c:pt>
                      <c:pt idx="9">
                        <c:v>-0.63676932375020956</c:v>
                      </c:pt>
                      <c:pt idx="10">
                        <c:v>-2.4138032715922892</c:v>
                      </c:pt>
                      <c:pt idx="11">
                        <c:v>-4.0264017417898392</c:v>
                      </c:pt>
                      <c:pt idx="12">
                        <c:v>-7.2358609414764326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8A2-4D83-94CE-9253F44F4300}"/>
                  </c:ext>
                </c:extLst>
              </c15:ser>
            </c15:filteredScatterSeries>
            <c15:filteredScatterSeries>
              <c15:ser>
                <c:idx val="16"/>
                <c:order val="17"/>
                <c:tx>
                  <c:v>h=3,5km m. mocy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'h=3500m'!$H$22:$H$34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23.691887880412988</c:v>
                      </c:pt>
                      <c:pt idx="1">
                        <c:v>24.580588535707488</c:v>
                      </c:pt>
                      <c:pt idx="2">
                        <c:v>25.531771135399026</c:v>
                      </c:pt>
                      <c:pt idx="3">
                        <c:v>26.58332002995332</c:v>
                      </c:pt>
                      <c:pt idx="4">
                        <c:v>29.201183862615611</c:v>
                      </c:pt>
                      <c:pt idx="5">
                        <c:v>30.820281742890085</c:v>
                      </c:pt>
                      <c:pt idx="6">
                        <c:v>32.747570132763926</c:v>
                      </c:pt>
                      <c:pt idx="7">
                        <c:v>35.058905063840939</c:v>
                      </c:pt>
                      <c:pt idx="8">
                        <c:v>38.176570599747741</c:v>
                      </c:pt>
                      <c:pt idx="9">
                        <c:v>41.834400853812753</c:v>
                      </c:pt>
                      <c:pt idx="10">
                        <c:v>47.164242994468907</c:v>
                      </c:pt>
                      <c:pt idx="11">
                        <c:v>50.324916325742485</c:v>
                      </c:pt>
                      <c:pt idx="12">
                        <c:v>55.06228034114848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'h=3500m'!$L$22:$L$34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-0.13285461621837327</c:v>
                      </c:pt>
                      <c:pt idx="1">
                        <c:v>-3.8024112436383144E-2</c:v>
                      </c:pt>
                      <c:pt idx="2">
                        <c:v>5.5393048690650828E-2</c:v>
                      </c:pt>
                      <c:pt idx="3">
                        <c:v>8.6108580304553553E-2</c:v>
                      </c:pt>
                      <c:pt idx="4">
                        <c:v>0.21230219379006657</c:v>
                      </c:pt>
                      <c:pt idx="5">
                        <c:v>0.21862069243667936</c:v>
                      </c:pt>
                      <c:pt idx="6">
                        <c:v>0.13309201981663984</c:v>
                      </c:pt>
                      <c:pt idx="7">
                        <c:v>-8.442792044768796E-2</c:v>
                      </c:pt>
                      <c:pt idx="8">
                        <c:v>-0.47015655224219122</c:v>
                      </c:pt>
                      <c:pt idx="9">
                        <c:v>-1.04633172570771</c:v>
                      </c:pt>
                      <c:pt idx="10">
                        <c:v>-3.008302507978617</c:v>
                      </c:pt>
                      <c:pt idx="11">
                        <c:v>-4.794208380518505</c:v>
                      </c:pt>
                      <c:pt idx="12">
                        <c:v>-8.0569193070175018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8A2-4D83-94CE-9253F44F4300}"/>
                  </c:ext>
                </c:extLst>
              </c15:ser>
            </c15:filteredScatterSeries>
            <c15:filteredScatterSeries>
              <c15:ser>
                <c:idx val="17"/>
                <c:order val="18"/>
                <c:tx>
                  <c:v>h=4km m. mocy</c:v>
                </c:tx>
                <c:spPr>
                  <a:ln w="19050" cap="rnd">
                    <a:solidFill>
                      <a:schemeClr val="bg1">
                        <a:lumMod val="50000"/>
                      </a:schemeClr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'h=4000m'!$H$22:$H$34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24.321780100259733</c:v>
                      </c:pt>
                      <c:pt idx="1">
                        <c:v>25.234108489712366</c:v>
                      </c:pt>
                      <c:pt idx="2">
                        <c:v>26.210580020460117</c:v>
                      </c:pt>
                      <c:pt idx="3">
                        <c:v>27.2900862677932</c:v>
                      </c:pt>
                      <c:pt idx="4">
                        <c:v>29.977550803832759</c:v>
                      </c:pt>
                      <c:pt idx="5">
                        <c:v>31.639695365870338</c:v>
                      </c:pt>
                      <c:pt idx="6">
                        <c:v>33.618224246510898</c:v>
                      </c:pt>
                      <c:pt idx="7">
                        <c:v>35.991010248853073</c:v>
                      </c:pt>
                      <c:pt idx="8">
                        <c:v>39.191564631569577</c:v>
                      </c:pt>
                      <c:pt idx="9">
                        <c:v>42.946645000534055</c:v>
                      </c:pt>
                      <c:pt idx="10">
                        <c:v>48.41819075359782</c:v>
                      </c:pt>
                      <c:pt idx="11">
                        <c:v>51.662896372669458</c:v>
                      </c:pt>
                      <c:pt idx="12">
                        <c:v>56.526211884678354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'h=4000m'!$L$22:$L$34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-0.41583718881475451</c:v>
                      </c:pt>
                      <c:pt idx="1">
                        <c:v>-0.29310279647586246</c:v>
                      </c:pt>
                      <c:pt idx="2">
                        <c:v>-0.18147452475412928</c:v>
                      </c:pt>
                      <c:pt idx="3">
                        <c:v>-0.10665315675005076</c:v>
                      </c:pt>
                      <c:pt idx="4">
                        <c:v>-2.7742744277823059E-2</c:v>
                      </c:pt>
                      <c:pt idx="5">
                        <c:v>-6.9819233353096144E-2</c:v>
                      </c:pt>
                      <c:pt idx="6">
                        <c:v>-0.16166571898089727</c:v>
                      </c:pt>
                      <c:pt idx="7">
                        <c:v>-0.3708548656369553</c:v>
                      </c:pt>
                      <c:pt idx="8">
                        <c:v>-0.80833612818710154</c:v>
                      </c:pt>
                      <c:pt idx="9">
                        <c:v>-1.5151117603497721</c:v>
                      </c:pt>
                      <c:pt idx="10">
                        <c:v>-3.5919697509052764</c:v>
                      </c:pt>
                      <c:pt idx="11">
                        <c:v>-5.4002153525775123</c:v>
                      </c:pt>
                      <c:pt idx="12">
                        <c:v>-8.78990388612735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8A2-4D83-94CE-9253F44F4300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h=4,5km m. mocy</c:v>
                </c:tx>
                <c:spPr>
                  <a:ln w="19050" cap="rnd">
                    <a:solidFill>
                      <a:srgbClr val="00B05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'h=4500m'!$H$22:$H$34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24.976599984063338</c:v>
                      </c:pt>
                      <c:pt idx="1">
                        <c:v>25.913491163225832</c:v>
                      </c:pt>
                      <c:pt idx="2">
                        <c:v>26.916252421603136</c:v>
                      </c:pt>
                      <c:pt idx="3">
                        <c:v>28.024822419719673</c:v>
                      </c:pt>
                      <c:pt idx="4">
                        <c:v>30.784642071542759</c:v>
                      </c:pt>
                      <c:pt idx="5">
                        <c:v>32.491536865861505</c:v>
                      </c:pt>
                      <c:pt idx="6">
                        <c:v>34.523334053607158</c:v>
                      </c:pt>
                      <c:pt idx="7">
                        <c:v>36.960003022078439</c:v>
                      </c:pt>
                      <c:pt idx="8">
                        <c:v>40.246726535522967</c:v>
                      </c:pt>
                      <c:pt idx="9">
                        <c:v>44.102905643179376</c:v>
                      </c:pt>
                      <c:pt idx="10">
                        <c:v>49.721762856978245</c:v>
                      </c:pt>
                      <c:pt idx="11">
                        <c:v>53.053826298861324</c:v>
                      </c:pt>
                      <c:pt idx="12">
                        <c:v>58.048077773836184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'h=4500m'!$L$22:$L$34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-0.61271986813988577</c:v>
                      </c:pt>
                      <c:pt idx="1">
                        <c:v>-0.50675920108185513</c:v>
                      </c:pt>
                      <c:pt idx="2">
                        <c:v>-0.39475754377839095</c:v>
                      </c:pt>
                      <c:pt idx="3">
                        <c:v>-0.3474860507362611</c:v>
                      </c:pt>
                      <c:pt idx="4">
                        <c:v>-0.30701822302523224</c:v>
                      </c:pt>
                      <c:pt idx="5">
                        <c:v>-0.32607715498568324</c:v>
                      </c:pt>
                      <c:pt idx="6">
                        <c:v>-0.46914371735854948</c:v>
                      </c:pt>
                      <c:pt idx="7">
                        <c:v>-0.65258464538420669</c:v>
                      </c:pt>
                      <c:pt idx="8">
                        <c:v>-1.1066169695655861</c:v>
                      </c:pt>
                      <c:pt idx="9">
                        <c:v>-1.9180398964379806</c:v>
                      </c:pt>
                      <c:pt idx="10">
                        <c:v>-4.2727175706559049</c:v>
                      </c:pt>
                      <c:pt idx="11">
                        <c:v>-6.1940310670306937</c:v>
                      </c:pt>
                      <c:pt idx="12">
                        <c:v>-9.6412410791168188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8A2-4D83-94CE-9253F44F4300}"/>
                  </c:ext>
                </c:extLst>
              </c15:ser>
            </c15:filteredScatterSeries>
            <c15:filteredScatterSeries>
              <c15:ser>
                <c:idx val="22"/>
                <c:order val="20"/>
                <c:tx>
                  <c:v>h=0km, m. ciągu, zmienna masa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masa'!$J$4:$J$18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20.470532465396822</c:v>
                      </c:pt>
                      <c:pt idx="1">
                        <c:v>22.079780146439905</c:v>
                      </c:pt>
                      <c:pt idx="2">
                        <c:v>23.689027827482992</c:v>
                      </c:pt>
                      <c:pt idx="3">
                        <c:v>25.298275508526075</c:v>
                      </c:pt>
                      <c:pt idx="4">
                        <c:v>26.907523189569158</c:v>
                      </c:pt>
                      <c:pt idx="5">
                        <c:v>28.516770870612241</c:v>
                      </c:pt>
                      <c:pt idx="6">
                        <c:v>30.126018551655328</c:v>
                      </c:pt>
                      <c:pt idx="7">
                        <c:v>31.735266232698411</c:v>
                      </c:pt>
                      <c:pt idx="8">
                        <c:v>33.344513913741494</c:v>
                      </c:pt>
                      <c:pt idx="9">
                        <c:v>34.953761594784581</c:v>
                      </c:pt>
                      <c:pt idx="10">
                        <c:v>36.563009275827667</c:v>
                      </c:pt>
                      <c:pt idx="11">
                        <c:v>38.172256956870747</c:v>
                      </c:pt>
                      <c:pt idx="12">
                        <c:v>39.781504637913834</c:v>
                      </c:pt>
                      <c:pt idx="13">
                        <c:v>41.390752318956913</c:v>
                      </c:pt>
                      <c:pt idx="14">
                        <c:v>43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masa'!$O$4:$O$18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1.655581286735003</c:v>
                      </c:pt>
                      <c:pt idx="1">
                        <c:v>1.8199771565329694</c:v>
                      </c:pt>
                      <c:pt idx="2">
                        <c:v>2.0118705411337232</c:v>
                      </c:pt>
                      <c:pt idx="3">
                        <c:v>2.1444642058853742</c:v>
                      </c:pt>
                      <c:pt idx="4">
                        <c:v>2.2706780030276561</c:v>
                      </c:pt>
                      <c:pt idx="5">
                        <c:v>2.3010922162961669</c:v>
                      </c:pt>
                      <c:pt idx="6">
                        <c:v>2.2876169727700146</c:v>
                      </c:pt>
                      <c:pt idx="7">
                        <c:v>2.2558172269342056</c:v>
                      </c:pt>
                      <c:pt idx="8">
                        <c:v>2.1406376424434042</c:v>
                      </c:pt>
                      <c:pt idx="9">
                        <c:v>2.0126702466615023</c:v>
                      </c:pt>
                      <c:pt idx="10">
                        <c:v>1.8239397316843851</c:v>
                      </c:pt>
                      <c:pt idx="11">
                        <c:v>1.5620709465906601</c:v>
                      </c:pt>
                      <c:pt idx="12">
                        <c:v>1.1003825575591191</c:v>
                      </c:pt>
                      <c:pt idx="13">
                        <c:v>0.33627351079282719</c:v>
                      </c:pt>
                      <c:pt idx="14">
                        <c:v>-0.58613548989357023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38A2-4D83-94CE-9253F44F4300}"/>
                  </c:ext>
                </c:extLst>
              </c15:ser>
            </c15:filteredScatterSeries>
            <c15:filteredScatterSeries>
              <c15:ser>
                <c:idx val="23"/>
                <c:order val="21"/>
                <c:tx>
                  <c:v>h=0,5km, m. ciągu, zmienna masa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masa'!$J$22:$J$36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20.961063043845897</c:v>
                      </c:pt>
                      <c:pt idx="1">
                        <c:v>22.535272826428333</c:v>
                      </c:pt>
                      <c:pt idx="2">
                        <c:v>24.109482609010769</c:v>
                      </c:pt>
                      <c:pt idx="3">
                        <c:v>25.683692391593205</c:v>
                      </c:pt>
                      <c:pt idx="4">
                        <c:v>27.257902174175641</c:v>
                      </c:pt>
                      <c:pt idx="5">
                        <c:v>28.832111956758077</c:v>
                      </c:pt>
                      <c:pt idx="6">
                        <c:v>30.406321739340513</c:v>
                      </c:pt>
                      <c:pt idx="7">
                        <c:v>31.980531521922948</c:v>
                      </c:pt>
                      <c:pt idx="8">
                        <c:v>33.554741304505384</c:v>
                      </c:pt>
                      <c:pt idx="9">
                        <c:v>35.12895108708782</c:v>
                      </c:pt>
                      <c:pt idx="10">
                        <c:v>36.703160869670256</c:v>
                      </c:pt>
                      <c:pt idx="11">
                        <c:v>38.277370652252692</c:v>
                      </c:pt>
                      <c:pt idx="12">
                        <c:v>39.851580434835128</c:v>
                      </c:pt>
                      <c:pt idx="13">
                        <c:v>41.425790217417564</c:v>
                      </c:pt>
                      <c:pt idx="14">
                        <c:v>43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masa'!$O$22:$O$36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1.400311184579651</c:v>
                      </c:pt>
                      <c:pt idx="1">
                        <c:v>1.5666036689079785</c:v>
                      </c:pt>
                      <c:pt idx="2">
                        <c:v>1.6836620076744635</c:v>
                      </c:pt>
                      <c:pt idx="3">
                        <c:v>1.8312554745701077</c:v>
                      </c:pt>
                      <c:pt idx="4">
                        <c:v>1.9661042828707382</c:v>
                      </c:pt>
                      <c:pt idx="5">
                        <c:v>2.0347212682747458</c:v>
                      </c:pt>
                      <c:pt idx="6">
                        <c:v>1.9995804819286018</c:v>
                      </c:pt>
                      <c:pt idx="7">
                        <c:v>1.9306545338179626</c:v>
                      </c:pt>
                      <c:pt idx="8">
                        <c:v>1.8081916734043084</c:v>
                      </c:pt>
                      <c:pt idx="9">
                        <c:v>1.6946026098430442</c:v>
                      </c:pt>
                      <c:pt idx="10">
                        <c:v>1.5332924687023484</c:v>
                      </c:pt>
                      <c:pt idx="11">
                        <c:v>1.3406666049997034</c:v>
                      </c:pt>
                      <c:pt idx="12">
                        <c:v>0.86831995592995537</c:v>
                      </c:pt>
                      <c:pt idx="13">
                        <c:v>0.19329430424942837</c:v>
                      </c:pt>
                      <c:pt idx="14">
                        <c:v>-0.62412753720591263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8A2-4D83-94CE-9253F44F4300}"/>
                  </c:ext>
                </c:extLst>
              </c15:ser>
            </c15:filteredScatterSeries>
            <c15:filteredScatterSeries>
              <c15:ser>
                <c:idx val="24"/>
                <c:order val="22"/>
                <c:tx>
                  <c:v>h=1km, m. ciągu, zmienna masa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masa'!$J$40:$J$54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21.468302938847525</c:v>
                      </c:pt>
                      <c:pt idx="1">
                        <c:v>23.006281300358417</c:v>
                      </c:pt>
                      <c:pt idx="2">
                        <c:v>24.544259661869308</c:v>
                      </c:pt>
                      <c:pt idx="3">
                        <c:v>26.082238023380199</c:v>
                      </c:pt>
                      <c:pt idx="4">
                        <c:v>27.620216384891091</c:v>
                      </c:pt>
                      <c:pt idx="5">
                        <c:v>29.158194746401982</c:v>
                      </c:pt>
                      <c:pt idx="6">
                        <c:v>30.69617310791287</c:v>
                      </c:pt>
                      <c:pt idx="7">
                        <c:v>32.234151469423765</c:v>
                      </c:pt>
                      <c:pt idx="8">
                        <c:v>33.772129830934652</c:v>
                      </c:pt>
                      <c:pt idx="9">
                        <c:v>35.310108192445547</c:v>
                      </c:pt>
                      <c:pt idx="10">
                        <c:v>36.848086553956435</c:v>
                      </c:pt>
                      <c:pt idx="11">
                        <c:v>38.38606491546733</c:v>
                      </c:pt>
                      <c:pt idx="12">
                        <c:v>39.924043276978217</c:v>
                      </c:pt>
                      <c:pt idx="13">
                        <c:v>41.462021638489105</c:v>
                      </c:pt>
                      <c:pt idx="14">
                        <c:v>43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masa'!$O$40:$O$54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1.1348054806341914</c:v>
                      </c:pt>
                      <c:pt idx="1">
                        <c:v>1.2939353561241809</c:v>
                      </c:pt>
                      <c:pt idx="2">
                        <c:v>1.4499631222407314</c:v>
                      </c:pt>
                      <c:pt idx="3">
                        <c:v>1.559794628508884</c:v>
                      </c:pt>
                      <c:pt idx="4">
                        <c:v>1.6766526267647108</c:v>
                      </c:pt>
                      <c:pt idx="5">
                        <c:v>1.711584957447555</c:v>
                      </c:pt>
                      <c:pt idx="6">
                        <c:v>1.7349711977376501</c:v>
                      </c:pt>
                      <c:pt idx="7">
                        <c:v>1.6828556317021175</c:v>
                      </c:pt>
                      <c:pt idx="8">
                        <c:v>1.571327918269559</c:v>
                      </c:pt>
                      <c:pt idx="9">
                        <c:v>1.4535705782562984</c:v>
                      </c:pt>
                      <c:pt idx="10">
                        <c:v>1.2914325009129655</c:v>
                      </c:pt>
                      <c:pt idx="11">
                        <c:v>1.0733984356004123</c:v>
                      </c:pt>
                      <c:pt idx="12">
                        <c:v>0.66429581182852304</c:v>
                      </c:pt>
                      <c:pt idx="13">
                        <c:v>9.5962489876851201E-2</c:v>
                      </c:pt>
                      <c:pt idx="14">
                        <c:v>-0.66629005303620004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38A2-4D83-94CE-9253F44F4300}"/>
                  </c:ext>
                </c:extLst>
              </c15:ser>
            </c15:filteredScatterSeries>
            <c15:filteredScatterSeries>
              <c15:ser>
                <c:idx val="25"/>
                <c:order val="23"/>
                <c:tx>
                  <c:v>h=1,5km, m. ciągu, zmienna masa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masa'!$J$58:$J$72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21.992728725304172</c:v>
                      </c:pt>
                      <c:pt idx="1">
                        <c:v>23.421819530639588</c:v>
                      </c:pt>
                      <c:pt idx="2">
                        <c:v>24.850910335975005</c:v>
                      </c:pt>
                      <c:pt idx="3">
                        <c:v>26.280001141310422</c:v>
                      </c:pt>
                      <c:pt idx="4">
                        <c:v>27.709091946645838</c:v>
                      </c:pt>
                      <c:pt idx="5">
                        <c:v>29.138182751981255</c:v>
                      </c:pt>
                      <c:pt idx="6">
                        <c:v>30.567273557316668</c:v>
                      </c:pt>
                      <c:pt idx="7">
                        <c:v>31.996364362652088</c:v>
                      </c:pt>
                      <c:pt idx="8">
                        <c:v>33.425455167987501</c:v>
                      </c:pt>
                      <c:pt idx="9">
                        <c:v>34.854545973322921</c:v>
                      </c:pt>
                      <c:pt idx="10">
                        <c:v>36.283636778658334</c:v>
                      </c:pt>
                      <c:pt idx="11">
                        <c:v>37.712727583993754</c:v>
                      </c:pt>
                      <c:pt idx="12">
                        <c:v>39.141818389329167</c:v>
                      </c:pt>
                      <c:pt idx="13">
                        <c:v>40.57090919466458</c:v>
                      </c:pt>
                      <c:pt idx="14">
                        <c:v>42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masa'!$O$58:$O$72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0.86779925847790551</c:v>
                      </c:pt>
                      <c:pt idx="1">
                        <c:v>1.0036180507696248</c:v>
                      </c:pt>
                      <c:pt idx="2">
                        <c:v>1.176828103317429</c:v>
                      </c:pt>
                      <c:pt idx="3">
                        <c:v>1.3183649667766248</c:v>
                      </c:pt>
                      <c:pt idx="4">
                        <c:v>1.4017284553906126</c:v>
                      </c:pt>
                      <c:pt idx="5">
                        <c:v>1.444223123052746</c:v>
                      </c:pt>
                      <c:pt idx="6">
                        <c:v>1.4270105232299446</c:v>
                      </c:pt>
                      <c:pt idx="7">
                        <c:v>1.3941537386708296</c:v>
                      </c:pt>
                      <c:pt idx="8">
                        <c:v>1.3450787483537261</c:v>
                      </c:pt>
                      <c:pt idx="9">
                        <c:v>1.2883038258958441</c:v>
                      </c:pt>
                      <c:pt idx="10">
                        <c:v>1.167192402899097</c:v>
                      </c:pt>
                      <c:pt idx="11">
                        <c:v>0.96080762902673378</c:v>
                      </c:pt>
                      <c:pt idx="12">
                        <c:v>0.70396654624456834</c:v>
                      </c:pt>
                      <c:pt idx="13">
                        <c:v>0.35619702425420402</c:v>
                      </c:pt>
                      <c:pt idx="14">
                        <c:v>-0.22101761152216465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38A2-4D83-94CE-9253F44F4300}"/>
                  </c:ext>
                </c:extLst>
              </c15:ser>
            </c15:filteredScatterSeries>
            <c15:filteredScatterSeries>
              <c15:ser>
                <c:idx val="26"/>
                <c:order val="24"/>
                <c:tx>
                  <c:v>h=2km, m. ciągu, zmienna masa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masa'!$J$76:$J$90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22.534764048964448</c:v>
                      </c:pt>
                      <c:pt idx="1">
                        <c:v>23.925138045466987</c:v>
                      </c:pt>
                      <c:pt idx="2">
                        <c:v>25.315512041969527</c:v>
                      </c:pt>
                      <c:pt idx="3">
                        <c:v>26.705886038472066</c:v>
                      </c:pt>
                      <c:pt idx="4">
                        <c:v>28.096260034974605</c:v>
                      </c:pt>
                      <c:pt idx="5">
                        <c:v>29.486634031477145</c:v>
                      </c:pt>
                      <c:pt idx="6">
                        <c:v>30.877008027979684</c:v>
                      </c:pt>
                      <c:pt idx="7">
                        <c:v>32.267382024482224</c:v>
                      </c:pt>
                      <c:pt idx="8">
                        <c:v>33.657756020984763</c:v>
                      </c:pt>
                      <c:pt idx="9">
                        <c:v>35.048130017487303</c:v>
                      </c:pt>
                      <c:pt idx="10">
                        <c:v>36.438504013989842</c:v>
                      </c:pt>
                      <c:pt idx="11">
                        <c:v>37.828878010492382</c:v>
                      </c:pt>
                      <c:pt idx="12">
                        <c:v>39.219252006994921</c:v>
                      </c:pt>
                      <c:pt idx="13">
                        <c:v>40.609626003497461</c:v>
                      </c:pt>
                      <c:pt idx="14">
                        <c:v>42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masa'!$O$76:$O$90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0.59053832905767445</c:v>
                      </c:pt>
                      <c:pt idx="1">
                        <c:v>0.77083783035004327</c:v>
                      </c:pt>
                      <c:pt idx="2">
                        <c:v>0.93846446635505276</c:v>
                      </c:pt>
                      <c:pt idx="3">
                        <c:v>0.99710009418107015</c:v>
                      </c:pt>
                      <c:pt idx="4">
                        <c:v>1.0786569388032665</c:v>
                      </c:pt>
                      <c:pt idx="5">
                        <c:v>1.1035815356717973</c:v>
                      </c:pt>
                      <c:pt idx="6">
                        <c:v>1.1068664646825954</c:v>
                      </c:pt>
                      <c:pt idx="7">
                        <c:v>1.1154114505030053</c:v>
                      </c:pt>
                      <c:pt idx="8">
                        <c:v>1.0559905008632453</c:v>
                      </c:pt>
                      <c:pt idx="9">
                        <c:v>0.97288822298785393</c:v>
                      </c:pt>
                      <c:pt idx="10">
                        <c:v>0.8557042412397915</c:v>
                      </c:pt>
                      <c:pt idx="11">
                        <c:v>0.70319269151836583</c:v>
                      </c:pt>
                      <c:pt idx="12">
                        <c:v>0.44754767946205409</c:v>
                      </c:pt>
                      <c:pt idx="13">
                        <c:v>0.13295070163270653</c:v>
                      </c:pt>
                      <c:pt idx="14">
                        <c:v>-0.36828423992248144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38A2-4D83-94CE-9253F44F4300}"/>
                  </c:ext>
                </c:extLst>
              </c15:ser>
            </c15:filteredScatterSeries>
            <c15:filteredScatterSeries>
              <c15:ser>
                <c:idx val="27"/>
                <c:order val="25"/>
                <c:tx>
                  <c:v>h=2,5km, m. ciągu, zmienna masa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masa'!$J$94:$J$108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23.093641145592002</c:v>
                      </c:pt>
                      <c:pt idx="1">
                        <c:v>24.444095349478289</c:v>
                      </c:pt>
                      <c:pt idx="2">
                        <c:v>25.794549553364572</c:v>
                      </c:pt>
                      <c:pt idx="3">
                        <c:v>27.145003757250858</c:v>
                      </c:pt>
                      <c:pt idx="4">
                        <c:v>28.495457961137145</c:v>
                      </c:pt>
                      <c:pt idx="5">
                        <c:v>29.845912165023428</c:v>
                      </c:pt>
                      <c:pt idx="6">
                        <c:v>31.196366368909715</c:v>
                      </c:pt>
                      <c:pt idx="7">
                        <c:v>32.546820572796001</c:v>
                      </c:pt>
                      <c:pt idx="8">
                        <c:v>33.897274776682288</c:v>
                      </c:pt>
                      <c:pt idx="9">
                        <c:v>35.247728980568567</c:v>
                      </c:pt>
                      <c:pt idx="10">
                        <c:v>36.598183184454854</c:v>
                      </c:pt>
                      <c:pt idx="11">
                        <c:v>37.94863738834114</c:v>
                      </c:pt>
                      <c:pt idx="12">
                        <c:v>39.299091592227427</c:v>
                      </c:pt>
                      <c:pt idx="13">
                        <c:v>40.649545796113713</c:v>
                      </c:pt>
                      <c:pt idx="14">
                        <c:v>42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masa'!$O$94:$O$108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0.32088779166756509</c:v>
                      </c:pt>
                      <c:pt idx="1">
                        <c:v>0.50174048274141492</c:v>
                      </c:pt>
                      <c:pt idx="2">
                        <c:v>0.59312724632728553</c:v>
                      </c:pt>
                      <c:pt idx="3">
                        <c:v>0.73562292858451994</c:v>
                      </c:pt>
                      <c:pt idx="4">
                        <c:v>0.80649619592695254</c:v>
                      </c:pt>
                      <c:pt idx="5">
                        <c:v>0.86747971660197609</c:v>
                      </c:pt>
                      <c:pt idx="6">
                        <c:v>0.86455934762847664</c:v>
                      </c:pt>
                      <c:pt idx="7">
                        <c:v>0.85093971691916936</c:v>
                      </c:pt>
                      <c:pt idx="8">
                        <c:v>0.81716883007887098</c:v>
                      </c:pt>
                      <c:pt idx="9">
                        <c:v>0.74417599006215318</c:v>
                      </c:pt>
                      <c:pt idx="10">
                        <c:v>0.63068442963357019</c:v>
                      </c:pt>
                      <c:pt idx="11">
                        <c:v>0.50344921668796916</c:v>
                      </c:pt>
                      <c:pt idx="12">
                        <c:v>0.3333753735479803</c:v>
                      </c:pt>
                      <c:pt idx="13">
                        <c:v>4.2172938324856718E-2</c:v>
                      </c:pt>
                      <c:pt idx="14">
                        <c:v>-0.43206145503976945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38A2-4D83-94CE-9253F44F4300}"/>
                  </c:ext>
                </c:extLst>
              </c15:ser>
            </c15:filteredScatterSeries>
            <c15:filteredScatterSeries>
              <c15:ser>
                <c:idx val="28"/>
                <c:order val="26"/>
                <c:tx>
                  <c:v>h=3km, m. ciągu, zmienna masa</c:v>
                </c:tx>
                <c:spPr>
                  <a:ln w="19050" cap="rnd">
                    <a:solidFill>
                      <a:schemeClr val="tx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masa'!$J$112:$J$126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23.669350122284712</c:v>
                      </c:pt>
                      <c:pt idx="1">
                        <c:v>24.907253684978659</c:v>
                      </c:pt>
                      <c:pt idx="2">
                        <c:v>26.145157247672611</c:v>
                      </c:pt>
                      <c:pt idx="3">
                        <c:v>27.383060810366558</c:v>
                      </c:pt>
                      <c:pt idx="4">
                        <c:v>28.620964373060509</c:v>
                      </c:pt>
                      <c:pt idx="5">
                        <c:v>29.858867935754457</c:v>
                      </c:pt>
                      <c:pt idx="6">
                        <c:v>31.096771498448405</c:v>
                      </c:pt>
                      <c:pt idx="7">
                        <c:v>32.334675061142356</c:v>
                      </c:pt>
                      <c:pt idx="8">
                        <c:v>33.572578623836307</c:v>
                      </c:pt>
                      <c:pt idx="9">
                        <c:v>34.810482186530251</c:v>
                      </c:pt>
                      <c:pt idx="10">
                        <c:v>36.048385749224202</c:v>
                      </c:pt>
                      <c:pt idx="11">
                        <c:v>37.286289311918154</c:v>
                      </c:pt>
                      <c:pt idx="12">
                        <c:v>38.524192874612098</c:v>
                      </c:pt>
                      <c:pt idx="13">
                        <c:v>39.762096437306056</c:v>
                      </c:pt>
                      <c:pt idx="14">
                        <c:v>41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masa'!$O$112:$O$126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0.13696074215808982</c:v>
                      </c:pt>
                      <c:pt idx="1">
                        <c:v>0.25861977670749603</c:v>
                      </c:pt>
                      <c:pt idx="2">
                        <c:v>0.36524238970194139</c:v>
                      </c:pt>
                      <c:pt idx="3">
                        <c:v>0.47495855464713665</c:v>
                      </c:pt>
                      <c:pt idx="4">
                        <c:v>0.53512122695729503</c:v>
                      </c:pt>
                      <c:pt idx="5">
                        <c:v>0.56302792324174966</c:v>
                      </c:pt>
                      <c:pt idx="6">
                        <c:v>0.59445048899347575</c:v>
                      </c:pt>
                      <c:pt idx="7">
                        <c:v>0.59331965609004866</c:v>
                      </c:pt>
                      <c:pt idx="8">
                        <c:v>0.55892935060784532</c:v>
                      </c:pt>
                      <c:pt idx="9">
                        <c:v>0.50894552498017298</c:v>
                      </c:pt>
                      <c:pt idx="10">
                        <c:v>0.42426391475900604</c:v>
                      </c:pt>
                      <c:pt idx="11">
                        <c:v>0.34147829422114456</c:v>
                      </c:pt>
                      <c:pt idx="12">
                        <c:v>0.20345523050771194</c:v>
                      </c:pt>
                      <c:pt idx="13">
                        <c:v>7.533937445718375E-2</c:v>
                      </c:pt>
                      <c:pt idx="14">
                        <c:v>-0.21665977184377386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8A2-4D83-94CE-9253F44F4300}"/>
                  </c:ext>
                </c:extLst>
              </c15:ser>
            </c15:filteredScatterSeries>
            <c15:filteredScatterSeries>
              <c15:ser>
                <c:idx val="29"/>
                <c:order val="27"/>
                <c:tx>
                  <c:v>h=3,5km, m. ciągu, zmienna masa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masa'!$J$130:$J$144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24.257414707295691</c:v>
                      </c:pt>
                      <c:pt idx="1">
                        <c:v>25.310456513917426</c:v>
                      </c:pt>
                      <c:pt idx="2">
                        <c:v>26.363498320539165</c:v>
                      </c:pt>
                      <c:pt idx="3">
                        <c:v>27.4165401271609</c:v>
                      </c:pt>
                      <c:pt idx="4">
                        <c:v>28.469581933782635</c:v>
                      </c:pt>
                      <c:pt idx="5">
                        <c:v>29.522623740404374</c:v>
                      </c:pt>
                      <c:pt idx="6">
                        <c:v>30.575665547026109</c:v>
                      </c:pt>
                      <c:pt idx="7">
                        <c:v>31.628707353647847</c:v>
                      </c:pt>
                      <c:pt idx="8">
                        <c:v>32.681749160269582</c:v>
                      </c:pt>
                      <c:pt idx="9">
                        <c:v>33.734790966891318</c:v>
                      </c:pt>
                      <c:pt idx="10">
                        <c:v>34.78783277351306</c:v>
                      </c:pt>
                      <c:pt idx="11">
                        <c:v>35.840874580134795</c:v>
                      </c:pt>
                      <c:pt idx="12">
                        <c:v>36.89391638675653</c:v>
                      </c:pt>
                      <c:pt idx="13">
                        <c:v>37.946958193378265</c:v>
                      </c:pt>
                      <c:pt idx="14">
                        <c:v>39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masa'!$O$130:$O$144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-0.10708080710180636</c:v>
                      </c:pt>
                      <c:pt idx="1">
                        <c:v>-1.8583938942704655E-2</c:v>
                      </c:pt>
                      <c:pt idx="2">
                        <c:v>0.12278173300735302</c:v>
                      </c:pt>
                      <c:pt idx="3">
                        <c:v>0.22123289079434358</c:v>
                      </c:pt>
                      <c:pt idx="4">
                        <c:v>0.29423312740245494</c:v>
                      </c:pt>
                      <c:pt idx="5">
                        <c:v>0.34164393555380079</c:v>
                      </c:pt>
                      <c:pt idx="6">
                        <c:v>0.38126484362382884</c:v>
                      </c:pt>
                      <c:pt idx="7">
                        <c:v>0.38579534671080828</c:v>
                      </c:pt>
                      <c:pt idx="8">
                        <c:v>0.38216614928810749</c:v>
                      </c:pt>
                      <c:pt idx="9">
                        <c:v>0.35173848984436046</c:v>
                      </c:pt>
                      <c:pt idx="10">
                        <c:v>0.30325207844570179</c:v>
                      </c:pt>
                      <c:pt idx="11">
                        <c:v>0.24567953478561794</c:v>
                      </c:pt>
                      <c:pt idx="12">
                        <c:v>0.15974242903816799</c:v>
                      </c:pt>
                      <c:pt idx="13">
                        <c:v>5.4197975103153898E-2</c:v>
                      </c:pt>
                      <c:pt idx="14">
                        <c:v>-8.1228805845801999E-2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38A2-4D83-94CE-9253F44F4300}"/>
                  </c:ext>
                </c:extLst>
              </c15:ser>
            </c15:filteredScatterSeries>
            <c15:filteredScatterSeries>
              <c15:ser>
                <c:idx val="30"/>
                <c:order val="28"/>
                <c:tx>
                  <c:v>h=4km, m. ciągu, zmienna masa</c:v>
                </c:tx>
                <c:spPr>
                  <a:ln w="19050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masa'!$J$148:$J$162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24.852142365160667</c:v>
                      </c:pt>
                      <c:pt idx="1">
                        <c:v>25.719846481934905</c:v>
                      </c:pt>
                      <c:pt idx="2">
                        <c:v>26.587550598709143</c:v>
                      </c:pt>
                      <c:pt idx="3">
                        <c:v>27.455254715483381</c:v>
                      </c:pt>
                      <c:pt idx="4">
                        <c:v>28.322958832257619</c:v>
                      </c:pt>
                      <c:pt idx="5">
                        <c:v>29.190662949031857</c:v>
                      </c:pt>
                      <c:pt idx="6">
                        <c:v>30.058367065806095</c:v>
                      </c:pt>
                      <c:pt idx="7">
                        <c:v>30.926071182580333</c:v>
                      </c:pt>
                      <c:pt idx="8">
                        <c:v>31.793775299354571</c:v>
                      </c:pt>
                      <c:pt idx="9">
                        <c:v>32.661479416128813</c:v>
                      </c:pt>
                      <c:pt idx="10">
                        <c:v>33.529183532903048</c:v>
                      </c:pt>
                      <c:pt idx="11">
                        <c:v>34.396887649677282</c:v>
                      </c:pt>
                      <c:pt idx="12">
                        <c:v>35.264591766451524</c:v>
                      </c:pt>
                      <c:pt idx="13">
                        <c:v>36.132295883225765</c:v>
                      </c:pt>
                      <c:pt idx="14">
                        <c:v>37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masa'!$O$148:$O$162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-0.37480771240351518</c:v>
                      </c:pt>
                      <c:pt idx="1">
                        <c:v>-0.24210965759234063</c:v>
                      </c:pt>
                      <c:pt idx="2">
                        <c:v>-0.16470764584934505</c:v>
                      </c:pt>
                      <c:pt idx="3">
                        <c:v>-7.2407943850638909E-2</c:v>
                      </c:pt>
                      <c:pt idx="4">
                        <c:v>-9.1689137055418601E-3</c:v>
                      </c:pt>
                      <c:pt idx="5">
                        <c:v>4.2620637146595877E-2</c:v>
                      </c:pt>
                      <c:pt idx="6">
                        <c:v>7.3911210222559129E-2</c:v>
                      </c:pt>
                      <c:pt idx="7">
                        <c:v>0.10267161554395725</c:v>
                      </c:pt>
                      <c:pt idx="8">
                        <c:v>0.11979796499253757</c:v>
                      </c:pt>
                      <c:pt idx="9">
                        <c:v>0.13444964550449515</c:v>
                      </c:pt>
                      <c:pt idx="10">
                        <c:v>0.12804239880458237</c:v>
                      </c:pt>
                      <c:pt idx="11">
                        <c:v>0.11885489301821363</c:v>
                      </c:pt>
                      <c:pt idx="12">
                        <c:v>6.8859927126146317E-2</c:v>
                      </c:pt>
                      <c:pt idx="13">
                        <c:v>-6.5299003680962002E-3</c:v>
                      </c:pt>
                      <c:pt idx="14">
                        <c:v>-7.0317844991931153E-2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38A2-4D83-94CE-9253F44F4300}"/>
                  </c:ext>
                </c:extLst>
              </c15:ser>
            </c15:filteredScatterSeries>
            <c15:filteredScatterSeries>
              <c15:ser>
                <c:idx val="31"/>
                <c:order val="29"/>
                <c:tx>
                  <c:v>h=4,5km, m. ciągu, zmienna masa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masa'!$J$166:$J$180</c15:sqref>
                        </c15:formulaRef>
                      </c:ext>
                    </c:extLst>
                    <c:numCache>
                      <c:formatCode>0.0</c:formatCode>
                      <c:ptCount val="15"/>
                      <c:pt idx="0">
                        <c:v>25.379733241956714</c:v>
                      </c:pt>
                      <c:pt idx="1">
                        <c:v>26.209752296102664</c:v>
                      </c:pt>
                      <c:pt idx="2">
                        <c:v>27.039771350248611</c:v>
                      </c:pt>
                      <c:pt idx="3">
                        <c:v>27.869790404394561</c:v>
                      </c:pt>
                      <c:pt idx="4">
                        <c:v>28.699809458540511</c:v>
                      </c:pt>
                      <c:pt idx="5">
                        <c:v>29.529828512686457</c:v>
                      </c:pt>
                      <c:pt idx="6">
                        <c:v>30.359847566832407</c:v>
                      </c:pt>
                      <c:pt idx="7">
                        <c:v>31.189866620978357</c:v>
                      </c:pt>
                      <c:pt idx="8">
                        <c:v>32.019885675124307</c:v>
                      </c:pt>
                      <c:pt idx="9">
                        <c:v>32.849904729270257</c:v>
                      </c:pt>
                      <c:pt idx="10">
                        <c:v>33.6799237834162</c:v>
                      </c:pt>
                      <c:pt idx="11">
                        <c:v>34.50994283756215</c:v>
                      </c:pt>
                      <c:pt idx="12">
                        <c:v>35.3399618917081</c:v>
                      </c:pt>
                      <c:pt idx="13">
                        <c:v>36.16998094585405</c:v>
                      </c:pt>
                      <c:pt idx="14">
                        <c:v>37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'Metoda Ciągu, zmienna masa'!$O$166:$O$180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-0.53580483050441463</c:v>
                      </c:pt>
                      <c:pt idx="1">
                        <c:v>-0.44052025218857099</c:v>
                      </c:pt>
                      <c:pt idx="2">
                        <c:v>-0.35569877713985093</c:v>
                      </c:pt>
                      <c:pt idx="3">
                        <c:v>-0.3080110880858446</c:v>
                      </c:pt>
                      <c:pt idx="4">
                        <c:v>-0.24397243202305668</c:v>
                      </c:pt>
                      <c:pt idx="5">
                        <c:v>-0.20820087838899348</c:v>
                      </c:pt>
                      <c:pt idx="6">
                        <c:v>-0.17381331487651702</c:v>
                      </c:pt>
                      <c:pt idx="7">
                        <c:v>-0.13144382015851563</c:v>
                      </c:pt>
                      <c:pt idx="8">
                        <c:v>-0.12700840464177063</c:v>
                      </c:pt>
                      <c:pt idx="9">
                        <c:v>-0.11455785768648849</c:v>
                      </c:pt>
                      <c:pt idx="10">
                        <c:v>-0.10330638750766036</c:v>
                      </c:pt>
                      <c:pt idx="11">
                        <c:v>-0.13092618935678144</c:v>
                      </c:pt>
                      <c:pt idx="12">
                        <c:v>-0.13164744449360971</c:v>
                      </c:pt>
                      <c:pt idx="13">
                        <c:v>-0.18149923620450611</c:v>
                      </c:pt>
                      <c:pt idx="14">
                        <c:v>-0.23338649580940657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38A2-4D83-94CE-9253F44F4300}"/>
                  </c:ext>
                </c:extLst>
              </c15:ser>
            </c15:filteredScatterSeries>
          </c:ext>
        </c:extLst>
      </c:scatterChart>
      <c:valAx>
        <c:axId val="428780144"/>
        <c:scaling>
          <c:orientation val="minMax"/>
          <c:max val="43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2"/>
      </c:valAx>
      <c:valAx>
        <c:axId val="428777192"/>
        <c:scaling>
          <c:orientation val="minMax"/>
          <c:max val="2.5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36202118091902"/>
          <c:y val="3.8024780353160086E-2"/>
          <c:w val="0.18548611493493386"/>
          <c:h val="0.95679706703328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PWS-51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7912114861846995"/>
          <c:h val="0.82525398493297142"/>
        </c:manualLayout>
      </c:layout>
      <c:scatterChart>
        <c:scatterStyle val="smoothMarker"/>
        <c:varyColors val="0"/>
        <c:ser>
          <c:idx val="0"/>
          <c:order val="0"/>
          <c:tx>
            <c:v>Vmin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Podsumowanie!$O$3:$O$12</c:f>
              <c:numCache>
                <c:formatCode>0.00</c:formatCode>
                <c:ptCount val="10"/>
                <c:pt idx="0">
                  <c:v>73.707305389221233</c:v>
                </c:pt>
                <c:pt idx="1">
                  <c:v>75.509461077843966</c:v>
                </c:pt>
                <c:pt idx="2">
                  <c:v>77.31161676646704</c:v>
                </c:pt>
                <c:pt idx="3">
                  <c:v>79.208622754490889</c:v>
                </c:pt>
                <c:pt idx="4">
                  <c:v>81.200479041915841</c:v>
                </c:pt>
                <c:pt idx="5">
                  <c:v>83.192335329341162</c:v>
                </c:pt>
                <c:pt idx="6">
                  <c:v>85.2790419161676</c:v>
                </c:pt>
                <c:pt idx="7">
                  <c:v>91.728862275448805</c:v>
                </c:pt>
                <c:pt idx="8">
                  <c:v>102.73149700598772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13-49DC-BF38-B0FD2F4108F9}"/>
            </c:ext>
          </c:extLst>
        </c:ser>
        <c:ser>
          <c:idx val="1"/>
          <c:order val="3"/>
          <c:tx>
            <c:v>Vmax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Podsumowanie!$Q$3:$Q$12</c:f>
              <c:numCache>
                <c:formatCode>0.00</c:formatCode>
                <c:ptCount val="10"/>
                <c:pt idx="0">
                  <c:v>151.18111776447108</c:v>
                </c:pt>
                <c:pt idx="1">
                  <c:v>150.52243512974039</c:v>
                </c:pt>
                <c:pt idx="2">
                  <c:v>150.02842315369247</c:v>
                </c:pt>
                <c:pt idx="3">
                  <c:v>149.31485029940112</c:v>
                </c:pt>
                <c:pt idx="4">
                  <c:v>147.61325349301393</c:v>
                </c:pt>
                <c:pt idx="5">
                  <c:v>146.73500998003982</c:v>
                </c:pt>
                <c:pt idx="6">
                  <c:v>144.37473053892194</c:v>
                </c:pt>
                <c:pt idx="7">
                  <c:v>138.06235528942105</c:v>
                </c:pt>
                <c:pt idx="8">
                  <c:v>129.60926147704572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13-49DC-BF38-B0FD2F4108F9}"/>
            </c:ext>
          </c:extLst>
        </c:ser>
        <c:ser>
          <c:idx val="2"/>
          <c:order val="6"/>
          <c:tx>
            <c:v>Vw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Podsumowanie!$U$3:$U$12</c:f>
              <c:numCache>
                <c:formatCode>0.00</c:formatCode>
                <c:ptCount val="10"/>
                <c:pt idx="0">
                  <c:v>105.57700598802384</c:v>
                </c:pt>
                <c:pt idx="1">
                  <c:v>107.09461077844284</c:v>
                </c:pt>
                <c:pt idx="2">
                  <c:v>109.65556886227525</c:v>
                </c:pt>
                <c:pt idx="3">
                  <c:v>111.45772455089795</c:v>
                </c:pt>
                <c:pt idx="4">
                  <c:v>114.01868263473037</c:v>
                </c:pt>
                <c:pt idx="5">
                  <c:v>116.01053892215567</c:v>
                </c:pt>
                <c:pt idx="6">
                  <c:v>118.00239520958063</c:v>
                </c:pt>
                <c:pt idx="7">
                  <c:v>119.42514970059852</c:v>
                </c:pt>
                <c:pt idx="8">
                  <c:v>121.32215568862271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13-49DC-BF38-B0FD2F4108F9}"/>
            </c:ext>
          </c:extLst>
        </c:ser>
        <c:ser>
          <c:idx val="3"/>
          <c:order val="9"/>
          <c:tx>
            <c:v>Vγ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Podsumowanie!$Y$3:$Y$12</c:f>
              <c:numCache>
                <c:formatCode>0.00</c:formatCode>
                <c:ptCount val="10"/>
                <c:pt idx="0">
                  <c:v>92.438709677419325</c:v>
                </c:pt>
                <c:pt idx="1">
                  <c:v>96.696774193548251</c:v>
                </c:pt>
                <c:pt idx="2">
                  <c:v>99.346236559139527</c:v>
                </c:pt>
                <c:pt idx="3">
                  <c:v>101.61720430107516</c:v>
                </c:pt>
                <c:pt idx="4">
                  <c:v>104.64516129032243</c:v>
                </c:pt>
                <c:pt idx="5">
                  <c:v>107.86236559139772</c:v>
                </c:pt>
                <c:pt idx="6">
                  <c:v>111.458064516129</c:v>
                </c:pt>
                <c:pt idx="7">
                  <c:v>114.76989247311829</c:v>
                </c:pt>
                <c:pt idx="8">
                  <c:v>119.97419354838684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113-49DC-BF38-B0FD2F4108F9}"/>
            </c:ext>
          </c:extLst>
        </c:ser>
        <c:ser>
          <c:idx val="4"/>
          <c:order val="12"/>
          <c:tx>
            <c:v>10wmax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Podsumowanie!$S$3:$S$12</c:f>
              <c:numCache>
                <c:formatCode>0.00</c:formatCode>
                <c:ptCount val="10"/>
                <c:pt idx="0">
                  <c:v>23.164556962025298</c:v>
                </c:pt>
                <c:pt idx="1">
                  <c:v>20.379746835443001</c:v>
                </c:pt>
                <c:pt idx="2">
                  <c:v>17.426160337552702</c:v>
                </c:pt>
                <c:pt idx="3">
                  <c:v>14.3037974683544</c:v>
                </c:pt>
                <c:pt idx="4">
                  <c:v>11.2658227848101</c:v>
                </c:pt>
                <c:pt idx="5">
                  <c:v>8.6075949367088604</c:v>
                </c:pt>
                <c:pt idx="6">
                  <c:v>5.8649789029535802</c:v>
                </c:pt>
                <c:pt idx="7">
                  <c:v>3.8396624472573797</c:v>
                </c:pt>
                <c:pt idx="8">
                  <c:v>1.3080168776371301</c:v>
                </c:pt>
                <c:pt idx="9" formatCode="General">
                  <c:v>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113-49DC-BF38-B0FD2F4108F9}"/>
            </c:ext>
          </c:extLst>
        </c:ser>
        <c:ser>
          <c:idx val="5"/>
          <c:order val="15"/>
          <c:tx>
            <c:v>10γmax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Podsumowanie!$W$3:$W$12</c:f>
              <c:numCache>
                <c:formatCode>0.00</c:formatCode>
                <c:ptCount val="10"/>
                <c:pt idx="0">
                  <c:v>48.934426229508205</c:v>
                </c:pt>
                <c:pt idx="1">
                  <c:v>41.475409836065502</c:v>
                </c:pt>
                <c:pt idx="2">
                  <c:v>34.918032786885199</c:v>
                </c:pt>
                <c:pt idx="3">
                  <c:v>29.0983606557377</c:v>
                </c:pt>
                <c:pt idx="4">
                  <c:v>22.0491803278688</c:v>
                </c:pt>
                <c:pt idx="5">
                  <c:v>16.639344262294998</c:v>
                </c:pt>
                <c:pt idx="6">
                  <c:v>10.983606557377</c:v>
                </c:pt>
                <c:pt idx="7">
                  <c:v>7.0491803278688501</c:v>
                </c:pt>
                <c:pt idx="8">
                  <c:v>2.4590163934426101</c:v>
                </c:pt>
                <c:pt idx="9" formatCode="General">
                  <c:v>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113-49DC-BF38-B0FD2F4108F9}"/>
            </c:ext>
          </c:extLst>
        </c:ser>
        <c:ser>
          <c:idx val="6"/>
          <c:order val="18"/>
          <c:tx>
            <c:v>th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Podsumowanie!$AA$3:$AA$12</c:f>
              <c:numCache>
                <c:formatCode>0.00</c:formatCode>
                <c:ptCount val="10"/>
                <c:pt idx="0">
                  <c:v>0</c:v>
                </c:pt>
                <c:pt idx="1">
                  <c:v>3.8278685120696729</c:v>
                </c:pt>
                <c:pt idx="2">
                  <c:v>8.205908025018033</c:v>
                </c:pt>
                <c:pt idx="3">
                  <c:v>13.319246598246689</c:v>
                </c:pt>
                <c:pt idx="4">
                  <c:v>19.465733755476553</c:v>
                </c:pt>
                <c:pt idx="5">
                  <c:v>27.171362034571782</c:v>
                </c:pt>
                <c:pt idx="6">
                  <c:v>37.506120669347332</c:v>
                </c:pt>
                <c:pt idx="7">
                  <c:v>53.254014075120971</c:v>
                </c:pt>
                <c:pt idx="8">
                  <c:v>87.604536170414349</c:v>
                </c:pt>
                <c:pt idx="9" formatCode="General">
                  <c:v>160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D113-49DC-BF38-B0FD2F4108F9}"/>
            </c:ext>
          </c:extLst>
        </c:ser>
        <c:ser>
          <c:idx val="7"/>
          <c:order val="21"/>
          <c:tx>
            <c:v>ht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Podsumowanie!$AC$46:$AC$47</c:f>
              <c:numCache>
                <c:formatCode>General</c:formatCode>
                <c:ptCount val="2"/>
                <c:pt idx="0">
                  <c:v>4240</c:v>
                </c:pt>
                <c:pt idx="1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D113-49DC-BF38-B0FD2F4108F9}"/>
            </c:ext>
          </c:extLst>
        </c:ser>
        <c:ser>
          <c:idx val="8"/>
          <c:order val="24"/>
          <c:tx>
            <c:v>hp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Podsumowanie!$AD$46:$AD$47</c:f>
              <c:numCache>
                <c:formatCode>General</c:formatCode>
                <c:ptCount val="2"/>
                <c:pt idx="0">
                  <c:v>3324.95</c:v>
                </c:pt>
                <c:pt idx="1">
                  <c:v>3324.95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D113-49DC-BF38-B0FD2F410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13"/>
                <c:order val="1"/>
                <c:tx>
                  <c:v>Vmin2</c:v>
                </c:tx>
                <c:spPr>
                  <a:ln w="19050" cap="rnd">
                    <a:solidFill>
                      <a:schemeClr val="accent1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Podsumowanie!$O$15:$O$24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71.666076970825557</c:v>
                      </c:pt>
                      <c:pt idx="1">
                        <c:v>73.41188702669136</c:v>
                      </c:pt>
                      <c:pt idx="2">
                        <c:v>75.157697082557164</c:v>
                      </c:pt>
                      <c:pt idx="3">
                        <c:v>77.097486033519488</c:v>
                      </c:pt>
                      <c:pt idx="4">
                        <c:v>79.134264432029525</c:v>
                      </c:pt>
                      <c:pt idx="5">
                        <c:v>81.074053382991849</c:v>
                      </c:pt>
                      <c:pt idx="6">
                        <c:v>83.110831781501886</c:v>
                      </c:pt>
                      <c:pt idx="7">
                        <c:v>85.438578522656513</c:v>
                      </c:pt>
                      <c:pt idx="8">
                        <c:v>98.047206703910518</c:v>
                      </c:pt>
                      <c:pt idx="9" formatCode="General">
                        <c:v>108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113-49DC-BF38-B0FD2F4108F9}"/>
                  </c:ext>
                </c:extLst>
              </c15:ser>
            </c15:filteredScatterSeries>
            <c15:filteredScatterSeries>
              <c15:ser>
                <c:idx val="20"/>
                <c:order val="2"/>
                <c:tx>
                  <c:v>Vmin3</c:v>
                </c:tx>
                <c:spPr>
                  <a:ln w="19050" cap="rnd">
                    <a:solidFill>
                      <a:schemeClr val="accent1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Podsumowanie!$O$27:$O$35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71.666076970825557</c:v>
                      </c:pt>
                      <c:pt idx="1">
                        <c:v>73.314897579143278</c:v>
                      </c:pt>
                      <c:pt idx="2">
                        <c:v>75.254686530105246</c:v>
                      </c:pt>
                      <c:pt idx="3">
                        <c:v>77.097486033519488</c:v>
                      </c:pt>
                      <c:pt idx="4">
                        <c:v>79.134264432029525</c:v>
                      </c:pt>
                      <c:pt idx="5">
                        <c:v>80.977063935443752</c:v>
                      </c:pt>
                      <c:pt idx="6">
                        <c:v>83.110831781501886</c:v>
                      </c:pt>
                      <c:pt idx="7">
                        <c:v>89.803103662321206</c:v>
                      </c:pt>
                      <c:pt idx="8" formatCode="General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13-49DC-BF38-B0FD2F4108F9}"/>
                  </c:ext>
                </c:extLst>
              </c15:ser>
            </c15:filteredScatterSeries>
            <c15:filteredScatterSeries>
              <c15:ser>
                <c:idx val="14"/>
                <c:order val="4"/>
                <c:tx>
                  <c:v>Vmax2</c:v>
                </c:tx>
                <c:spPr>
                  <a:ln w="19050" cap="rnd">
                    <a:solidFill>
                      <a:schemeClr val="accent2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Podsumowanie!$Q$15:$Q$24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150.32451893234006</c:v>
                      </c:pt>
                      <c:pt idx="1">
                        <c:v>149.54860335195502</c:v>
                      </c:pt>
                      <c:pt idx="2">
                        <c:v>148.77268777157042</c:v>
                      </c:pt>
                      <c:pt idx="3">
                        <c:v>147.41483550589695</c:v>
                      </c:pt>
                      <c:pt idx="4">
                        <c:v>145.37805710738652</c:v>
                      </c:pt>
                      <c:pt idx="5">
                        <c:v>143.7292364990688</c:v>
                      </c:pt>
                      <c:pt idx="6">
                        <c:v>140.23761638733686</c:v>
                      </c:pt>
                      <c:pt idx="7">
                        <c:v>131.79953445065172</c:v>
                      </c:pt>
                      <c:pt idx="8">
                        <c:v>116.96014897579116</c:v>
                      </c:pt>
                      <c:pt idx="9" formatCode="General">
                        <c:v>108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13-49DC-BF38-B0FD2F4108F9}"/>
                  </c:ext>
                </c:extLst>
              </c15:ser>
            </c15:filteredScatterSeries>
            <c15:filteredScatterSeries>
              <c15:ser>
                <c:idx val="21"/>
                <c:order val="5"/>
                <c:tx>
                  <c:v>Vmax3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Podsumowanie!$Q$27:$Q$35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149.74258224705122</c:v>
                      </c:pt>
                      <c:pt idx="1">
                        <c:v>148.38472998137772</c:v>
                      </c:pt>
                      <c:pt idx="2">
                        <c:v>145.66902545003074</c:v>
                      </c:pt>
                      <c:pt idx="3">
                        <c:v>143.53525760397267</c:v>
                      </c:pt>
                      <c:pt idx="4">
                        <c:v>140.43159528243299</c:v>
                      </c:pt>
                      <c:pt idx="5">
                        <c:v>138.20083798882681</c:v>
                      </c:pt>
                      <c:pt idx="6">
                        <c:v>130.24770328988208</c:v>
                      </c:pt>
                      <c:pt idx="7">
                        <c:v>123.65242085661048</c:v>
                      </c:pt>
                      <c:pt idx="8" formatCode="General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13-49DC-BF38-B0FD2F4108F9}"/>
                  </c:ext>
                </c:extLst>
              </c15:ser>
            </c15:filteredScatterSeries>
            <c15:filteredScatterSeries>
              <c15:ser>
                <c:idx val="15"/>
                <c:order val="7"/>
                <c:tx>
                  <c:v>Vw2</c:v>
                </c:tx>
                <c:spPr>
                  <a:ln w="19050" cap="rnd">
                    <a:solidFill>
                      <a:schemeClr val="accent3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Podsumowanie!$U$15:$U$24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99.308069522035922</c:v>
                      </c:pt>
                      <c:pt idx="1">
                        <c:v>100.47194289261324</c:v>
                      </c:pt>
                      <c:pt idx="2">
                        <c:v>101.63581626319056</c:v>
                      </c:pt>
                      <c:pt idx="3">
                        <c:v>103.1876474239602</c:v>
                      </c:pt>
                      <c:pt idx="4">
                        <c:v>104.64248913718176</c:v>
                      </c:pt>
                      <c:pt idx="5">
                        <c:v>106.00034140285524</c:v>
                      </c:pt>
                      <c:pt idx="6">
                        <c:v>107.94013035381721</c:v>
                      </c:pt>
                      <c:pt idx="7">
                        <c:v>109.9769087523276</c:v>
                      </c:pt>
                      <c:pt idx="8">
                        <c:v>112.30465549348223</c:v>
                      </c:pt>
                      <c:pt idx="9" formatCode="General">
                        <c:v>108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13-49DC-BF38-B0FD2F4108F9}"/>
                  </c:ext>
                </c:extLst>
              </c15:ser>
            </c15:filteredScatterSeries>
            <c15:filteredScatterSeries>
              <c15:ser>
                <c:idx val="22"/>
                <c:order val="8"/>
                <c:tx>
                  <c:v>Vw3</c:v>
                </c:tx>
                <c:spPr>
                  <a:ln w="19050" cap="rnd">
                    <a:solidFill>
                      <a:schemeClr val="accent3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Podsumowanie!$U$27:$U$35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92.809776536312768</c:v>
                      </c:pt>
                      <c:pt idx="1">
                        <c:v>94.555586592178557</c:v>
                      </c:pt>
                      <c:pt idx="2">
                        <c:v>96.107417752948194</c:v>
                      </c:pt>
                      <c:pt idx="3">
                        <c:v>97.368280571073598</c:v>
                      </c:pt>
                      <c:pt idx="4">
                        <c:v>99.308069522035922</c:v>
                      </c:pt>
                      <c:pt idx="5">
                        <c:v>101.15086902544981</c:v>
                      </c:pt>
                      <c:pt idx="6">
                        <c:v>103.28463687150828</c:v>
                      </c:pt>
                      <c:pt idx="7">
                        <c:v>106.00034140285524</c:v>
                      </c:pt>
                      <c:pt idx="8" formatCode="General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Podsumowanie!$M$27:$M$40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500</c:v>
                      </c:pt>
                      <c:pt idx="13">
                        <c:v>1000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13-49DC-BF38-B0FD2F4108F9}"/>
                  </c:ext>
                </c:extLst>
              </c15:ser>
            </c15:filteredScatterSeries>
            <c15:filteredScatterSeries>
              <c15:ser>
                <c:idx val="16"/>
                <c:order val="10"/>
                <c:tx>
                  <c:v>Vy2</c:v>
                </c:tx>
                <c:spPr>
                  <a:ln w="19050" cap="rnd">
                    <a:solidFill>
                      <a:schemeClr val="accent4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Podsumowanie!$Y$15:$Y$24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78.31145038167935</c:v>
                      </c:pt>
                      <c:pt idx="1">
                        <c:v>79.6854961832058</c:v>
                      </c:pt>
                      <c:pt idx="2">
                        <c:v>82.433587786259409</c:v>
                      </c:pt>
                      <c:pt idx="3">
                        <c:v>85.639694656488487</c:v>
                      </c:pt>
                      <c:pt idx="4">
                        <c:v>88.502290076335683</c:v>
                      </c:pt>
                      <c:pt idx="5">
                        <c:v>91.822900763358717</c:v>
                      </c:pt>
                      <c:pt idx="6">
                        <c:v>95.372519083969323</c:v>
                      </c:pt>
                      <c:pt idx="7">
                        <c:v>100.18167938931276</c:v>
                      </c:pt>
                      <c:pt idx="8">
                        <c:v>104.30381679389281</c:v>
                      </c:pt>
                      <c:pt idx="9" formatCode="General">
                        <c:v>108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13-49DC-BF38-B0FD2F4108F9}"/>
                  </c:ext>
                </c:extLst>
              </c15:ser>
            </c15:filteredScatterSeries>
            <c15:filteredScatterSeries>
              <c15:ser>
                <c:idx val="23"/>
                <c:order val="11"/>
                <c:tx>
                  <c:v>Vy3</c:v>
                </c:tx>
                <c:spPr>
                  <a:ln w="19050" cap="rnd">
                    <a:solidFill>
                      <a:schemeClr val="accent4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Podsumowanie!$Y$27:$Y$35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76.021374045801238</c:v>
                      </c:pt>
                      <c:pt idx="1">
                        <c:v>79.341984732824287</c:v>
                      </c:pt>
                      <c:pt idx="2">
                        <c:v>81.861068702289955</c:v>
                      </c:pt>
                      <c:pt idx="3">
                        <c:v>85.067175572519034</c:v>
                      </c:pt>
                      <c:pt idx="4">
                        <c:v>87.929770992366244</c:v>
                      </c:pt>
                      <c:pt idx="5">
                        <c:v>93.196946564885167</c:v>
                      </c:pt>
                      <c:pt idx="6">
                        <c:v>97.777099236641035</c:v>
                      </c:pt>
                      <c:pt idx="7">
                        <c:v>104.41832061068676</c:v>
                      </c:pt>
                      <c:pt idx="8" formatCode="General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113-49DC-BF38-B0FD2F4108F9}"/>
                  </c:ext>
                </c:extLst>
              </c15:ser>
            </c15:filteredScatterSeries>
            <c15:filteredScatterSeries>
              <c15:ser>
                <c:idx val="17"/>
                <c:order val="13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Podsumowanie!$S$15:$S$24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23.8309887651147</c:v>
                      </c:pt>
                      <c:pt idx="1">
                        <c:v>20.781264876701798</c:v>
                      </c:pt>
                      <c:pt idx="2">
                        <c:v>18.1406502903932</c:v>
                      </c:pt>
                      <c:pt idx="3">
                        <c:v>14.8677758735599</c:v>
                      </c:pt>
                      <c:pt idx="4">
                        <c:v>11.743668475673601</c:v>
                      </c:pt>
                      <c:pt idx="5">
                        <c:v>9.0286703798914605</c:v>
                      </c:pt>
                      <c:pt idx="6">
                        <c:v>5.9789464914786192</c:v>
                      </c:pt>
                      <c:pt idx="7">
                        <c:v>3.3011401504331999</c:v>
                      </c:pt>
                      <c:pt idx="8">
                        <c:v>0.40018328096734501</c:v>
                      </c:pt>
                      <c:pt idx="9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113-49DC-BF38-B0FD2F4108F9}"/>
                  </c:ext>
                </c:extLst>
              </c15:ser>
            </c15:filteredScatterSeries>
            <c15:filteredScatterSeries>
              <c15:ser>
                <c:idx val="24"/>
                <c:order val="14"/>
                <c:tx>
                  <c:v>10wmax3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Podsumowanie!$S$27:$S$35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22.343318575645</c:v>
                      </c:pt>
                      <c:pt idx="1">
                        <c:v>19.516745215652598</c:v>
                      </c:pt>
                      <c:pt idx="2">
                        <c:v>16.6529801009235</c:v>
                      </c:pt>
                      <c:pt idx="3">
                        <c:v>13.566064457773901</c:v>
                      </c:pt>
                      <c:pt idx="4">
                        <c:v>10.6651075883081</c:v>
                      </c:pt>
                      <c:pt idx="5">
                        <c:v>7.9129177377892006</c:v>
                      </c:pt>
                      <c:pt idx="6">
                        <c:v>5.2351113967437799</c:v>
                      </c:pt>
                      <c:pt idx="7">
                        <c:v>2.2969627725411801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113-49DC-BF38-B0FD2F4108F9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Podsumowanie!$W$15:$W$24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54.991119005328599</c:v>
                      </c:pt>
                      <c:pt idx="1">
                        <c:v>47.424511545293001</c:v>
                      </c:pt>
                      <c:pt idx="2">
                        <c:v>38.685612788632298</c:v>
                      </c:pt>
                      <c:pt idx="3">
                        <c:v>31.119005328596799</c:v>
                      </c:pt>
                      <c:pt idx="4">
                        <c:v>24.404973357015901</c:v>
                      </c:pt>
                      <c:pt idx="5">
                        <c:v>18.436944937833001</c:v>
                      </c:pt>
                      <c:pt idx="6">
                        <c:v>12.1492007104795</c:v>
                      </c:pt>
                      <c:pt idx="7">
                        <c:v>6.1811722912966207</c:v>
                      </c:pt>
                      <c:pt idx="8">
                        <c:v>1.1722912966252199</c:v>
                      </c:pt>
                      <c:pt idx="9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113-49DC-BF38-B0FD2F4108F9}"/>
                  </c:ext>
                </c:extLst>
              </c15:ser>
            </c15:filteredScatterSeries>
            <c15:filteredScatterSeries>
              <c15:ser>
                <c:idx val="25"/>
                <c:order val="17"/>
                <c:tx>
                  <c:v>10ymax3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Podsumowanie!$W$27:$W$35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52.220248667850804</c:v>
                      </c:pt>
                      <c:pt idx="1">
                        <c:v>42.841918294849002</c:v>
                      </c:pt>
                      <c:pt idx="2">
                        <c:v>35.914742451154503</c:v>
                      </c:pt>
                      <c:pt idx="3">
                        <c:v>28.028419182948401</c:v>
                      </c:pt>
                      <c:pt idx="4">
                        <c:v>21.5275310834813</c:v>
                      </c:pt>
                      <c:pt idx="5">
                        <c:v>14.9200710479573</c:v>
                      </c:pt>
                      <c:pt idx="6">
                        <c:v>9.5914742451154495</c:v>
                      </c:pt>
                      <c:pt idx="7">
                        <c:v>4.0497335701598498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113-49DC-BF38-B0FD2F4108F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th2</c:v>
                </c:tx>
                <c:spPr>
                  <a:ln w="12700" cap="rnd">
                    <a:solidFill>
                      <a:srgbClr val="FF0000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Podsumowanie!$AA$15:$AA$24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0</c:v>
                      </c:pt>
                      <c:pt idx="1">
                        <c:v>3.7310316003979609</c:v>
                      </c:pt>
                      <c:pt idx="2">
                        <c:v>8.02595969602541</c:v>
                      </c:pt>
                      <c:pt idx="3">
                        <c:v>13.086112496004187</c:v>
                      </c:pt>
                      <c:pt idx="4">
                        <c:v>19.244579703084106</c:v>
                      </c:pt>
                      <c:pt idx="5">
                        <c:v>27.114200444332585</c:v>
                      </c:pt>
                      <c:pt idx="6">
                        <c:v>38.02791092783005</c:v>
                      </c:pt>
                      <c:pt idx="7">
                        <c:v>55.954112825682095</c:v>
                      </c:pt>
                      <c:pt idx="8">
                        <c:v>115.64784771822464</c:v>
                      </c:pt>
                      <c:pt idx="9" formatCode="General">
                        <c:v>160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Podsumowanie!$M$15:$M$24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113-49DC-BF38-B0FD2F4108F9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th3</c:v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Podsumowanie!$AA$27:$AA$35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3.9913824207374162</c:v>
                      </c:pt>
                      <c:pt idx="2">
                        <c:v>8.6188083404482789</c:v>
                      </c:pt>
                      <c:pt idx="3">
                        <c:v>14.124136447756639</c:v>
                      </c:pt>
                      <c:pt idx="4">
                        <c:v>20.920336070202147</c:v>
                      </c:pt>
                      <c:pt idx="5">
                        <c:v>29.804337412090465</c:v>
                      </c:pt>
                      <c:pt idx="6">
                        <c:v>42.657902025111916</c:v>
                      </c:pt>
                      <c:pt idx="7">
                        <c:v>66.249054733965849</c:v>
                      </c:pt>
                      <c:pt idx="8" formatCode="General">
                        <c:v>160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Podsumowanie!$M$27:$M$35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D113-49DC-BF38-B0FD2F4108F9}"/>
                  </c:ext>
                </c:extLst>
              </c15:ser>
            </c15:filteredScatterSeries>
            <c15:filteredScatterSeries>
              <c15:ser>
                <c:idx val="9"/>
                <c:order val="22"/>
                <c:tx>
                  <c:v>ht2</c:v>
                </c:tx>
                <c:spPr>
                  <a:ln w="12700" cap="rnd">
                    <a:solidFill>
                      <a:schemeClr val="tx1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Podsumowanie!$AC$51:$AC$52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5000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Podsumowanie!$AE$46:$AE$47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4070</c:v>
                      </c:pt>
                      <c:pt idx="1">
                        <c:v>4070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D113-49DC-BF38-B0FD2F4108F9}"/>
                  </c:ext>
                </c:extLst>
              </c15:ser>
            </c15:filteredScatterSeries>
            <c15:filteredScatterSeries>
              <c15:ser>
                <c:idx val="11"/>
                <c:order val="23"/>
                <c:tx>
                  <c:v>ht3</c:v>
                </c:tx>
                <c:spPr>
                  <a:ln w="12700" cap="rnd">
                    <a:solidFill>
                      <a:schemeClr val="tx1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Podsumowanie!$AC$51:$AC$52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5000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Podsumowanie!$AG$46:$AG$47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3900</c:v>
                      </c:pt>
                      <c:pt idx="1">
                        <c:v>3900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D113-49DC-BF38-B0FD2F4108F9}"/>
                  </c:ext>
                </c:extLst>
              </c15:ser>
            </c15:filteredScatterSeries>
            <c15:filteredScatterSeries>
              <c15:ser>
                <c:idx val="10"/>
                <c:order val="25"/>
                <c:tx>
                  <c:v>hp2</c:v>
                </c:tx>
                <c:spPr>
                  <a:ln w="12700" cap="rnd">
                    <a:solidFill>
                      <a:schemeClr val="bg1">
                        <a:lumMod val="50000"/>
                      </a:schemeClr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Podsumowanie!$AC$51:$AC$52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5000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Podsumowanie!$AF$46:$AF$47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3216.4</c:v>
                      </c:pt>
                      <c:pt idx="1">
                        <c:v>3216.4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D113-49DC-BF38-B0FD2F4108F9}"/>
                  </c:ext>
                </c:extLst>
              </c15:ser>
            </c15:filteredScatterSeries>
            <c15:filteredScatterSeries>
              <c15:ser>
                <c:idx val="12"/>
                <c:order val="26"/>
                <c:tx>
                  <c:v>hp3</c:v>
                </c:tx>
                <c:spPr>
                  <a:ln w="12700" cap="rnd">
                    <a:solidFill>
                      <a:schemeClr val="bg1">
                        <a:lumMod val="50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Podsumowanie!$AC$51:$AC$52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5000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Podsumowanie!$AH$46:$AH$47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3027</c:v>
                      </c:pt>
                      <c:pt idx="1">
                        <c:v>3027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113-49DC-BF38-B0FD2F4108F9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15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73173107146662375"/>
              <c:y val="0.77015189109777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5"/>
      </c:valAx>
      <c:valAx>
        <c:axId val="1641619439"/>
        <c:scaling>
          <c:orientation val="minMax"/>
          <c:max val="4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9102610600387888"/>
          <c:y val="1.596121381372766E-2"/>
          <c:w val="9.9760948045457334E-2"/>
          <c:h val="0.96609007004945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PWS w(V) dla mas maksymalnych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'h=0m'!$I$57:$I$71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'h=0m'!$N$57:$N$71</c:f>
              <c:numCache>
                <c:formatCode>0.00</c:formatCode>
                <c:ptCount val="15"/>
                <c:pt idx="0">
                  <c:v>1.6555812593780708</c:v>
                </c:pt>
                <c:pt idx="1">
                  <c:v>1.7707693530690796</c:v>
                </c:pt>
                <c:pt idx="2">
                  <c:v>1.8931442921691277</c:v>
                </c:pt>
                <c:pt idx="3">
                  <c:v>2.0316219701103115</c:v>
                </c:pt>
                <c:pt idx="4">
                  <c:v>2.0744731086460808</c:v>
                </c:pt>
                <c:pt idx="5">
                  <c:v>2.030387972711039</c:v>
                </c:pt>
                <c:pt idx="6">
                  <c:v>1.8300815152973828</c:v>
                </c:pt>
                <c:pt idx="7">
                  <c:v>1.526599891562459</c:v>
                </c:pt>
                <c:pt idx="8">
                  <c:v>1.0110757744209742</c:v>
                </c:pt>
                <c:pt idx="9">
                  <c:v>-0.22205698235412494</c:v>
                </c:pt>
                <c:pt idx="10">
                  <c:v>-1.2746274808129412</c:v>
                </c:pt>
                <c:pt idx="11">
                  <c:v>-2.5057445552650521</c:v>
                </c:pt>
                <c:pt idx="12">
                  <c:v>-3.8678302331855314</c:v>
                </c:pt>
                <c:pt idx="13">
                  <c:v>-5.4730655739479257</c:v>
                </c:pt>
                <c:pt idx="14">
                  <c:v>-7.2488724853344531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64-4802-A453-D11FBD758EA3}"/>
            </c:ext>
          </c:extLst>
        </c:ser>
        <c:ser>
          <c:idx val="1"/>
          <c:order val="1"/>
          <c:tx>
            <c:v>h=0,5km m. ciągu, m=const.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'h=500m'!$I$56:$I$70</c:f>
              <c:numCache>
                <c:formatCode>0.0</c:formatCode>
                <c:ptCount val="15"/>
                <c:pt idx="0">
                  <c:v>20.97101068994904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'h=500m'!$N$56:$N$70</c:f>
              <c:numCache>
                <c:formatCode>0.00</c:formatCode>
                <c:ptCount val="15"/>
                <c:pt idx="0">
                  <c:v>1.3949149643587035</c:v>
                </c:pt>
                <c:pt idx="1">
                  <c:v>1.4887765693383315</c:v>
                </c:pt>
                <c:pt idx="2">
                  <c:v>1.5870191673874929</c:v>
                </c:pt>
                <c:pt idx="3">
                  <c:v>1.7110129530198401</c:v>
                </c:pt>
                <c:pt idx="4">
                  <c:v>1.7749377327990521</c:v>
                </c:pt>
                <c:pt idx="5">
                  <c:v>1.7532585753527954</c:v>
                </c:pt>
                <c:pt idx="6">
                  <c:v>1.5304280017810563</c:v>
                </c:pt>
                <c:pt idx="7">
                  <c:v>1.2856079381269749</c:v>
                </c:pt>
                <c:pt idx="8">
                  <c:v>0.7919917523259089</c:v>
                </c:pt>
                <c:pt idx="9">
                  <c:v>-0.31170890023685488</c:v>
                </c:pt>
                <c:pt idx="10">
                  <c:v>-1.2995830082769058</c:v>
                </c:pt>
                <c:pt idx="11">
                  <c:v>-2.4711572049925477</c:v>
                </c:pt>
                <c:pt idx="12">
                  <c:v>-3.8038377566934432</c:v>
                </c:pt>
                <c:pt idx="13">
                  <c:v>-5.3843955423326992</c:v>
                </c:pt>
                <c:pt idx="14">
                  <c:v>-7.0476987371308653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64-4802-A453-D11FBD758EA3}"/>
            </c:ext>
          </c:extLst>
        </c:ser>
        <c:ser>
          <c:idx val="2"/>
          <c:order val="2"/>
          <c:tx>
            <c:v>h=1km m. ciągu, m=const.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'h=1000m'!$I$56:$I$70</c:f>
              <c:numCache>
                <c:formatCode>0.0</c:formatCode>
                <c:ptCount val="15"/>
                <c:pt idx="0">
                  <c:v>21.489683801374795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'h=1000m'!$N$56:$N$70</c:f>
              <c:numCache>
                <c:formatCode>0.00</c:formatCode>
                <c:ptCount val="15"/>
                <c:pt idx="0">
                  <c:v>1.1238438803335926</c:v>
                </c:pt>
                <c:pt idx="1">
                  <c:v>1.1562320404021029</c:v>
                </c:pt>
                <c:pt idx="2">
                  <c:v>1.2996381785645703</c:v>
                </c:pt>
                <c:pt idx="3">
                  <c:v>1.4175453032576044</c:v>
                </c:pt>
                <c:pt idx="4">
                  <c:v>1.5107224297957431</c:v>
                </c:pt>
                <c:pt idx="5">
                  <c:v>1.4939658972738754</c:v>
                </c:pt>
                <c:pt idx="6">
                  <c:v>1.307192762685103</c:v>
                </c:pt>
                <c:pt idx="7">
                  <c:v>1.0352341027158329</c:v>
                </c:pt>
                <c:pt idx="8">
                  <c:v>0.57911087394328753</c:v>
                </c:pt>
                <c:pt idx="9">
                  <c:v>-0.37981652228208379</c:v>
                </c:pt>
                <c:pt idx="10">
                  <c:v>-1.3463637969214475</c:v>
                </c:pt>
                <c:pt idx="11">
                  <c:v>-2.4429287375692046</c:v>
                </c:pt>
                <c:pt idx="12">
                  <c:v>-3.7057140544456439</c:v>
                </c:pt>
                <c:pt idx="13">
                  <c:v>-5.1540882605482397</c:v>
                </c:pt>
                <c:pt idx="14">
                  <c:v>-6.7907048098215723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64-4802-A453-D11FBD758EA3}"/>
            </c:ext>
          </c:extLst>
        </c:ser>
        <c:ser>
          <c:idx val="3"/>
          <c:order val="3"/>
          <c:tx>
            <c:v>h=1,5km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'h=1500m'!$I$56:$I$70</c:f>
              <c:numCache>
                <c:formatCode>0.0</c:formatCode>
                <c:ptCount val="15"/>
                <c:pt idx="0">
                  <c:v>22.02743499743352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'h=1500m'!$N$56:$N$70</c:f>
              <c:numCache>
                <c:formatCode>0.00</c:formatCode>
                <c:ptCount val="15"/>
                <c:pt idx="0">
                  <c:v>0.85099327228353971</c:v>
                </c:pt>
                <c:pt idx="1">
                  <c:v>0.91381947717236467</c:v>
                </c:pt>
                <c:pt idx="2">
                  <c:v>0.99619452979648104</c:v>
                </c:pt>
                <c:pt idx="3">
                  <c:v>1.1337469299146974</c:v>
                </c:pt>
                <c:pt idx="4">
                  <c:v>1.1875634923155731</c:v>
                </c:pt>
                <c:pt idx="5">
                  <c:v>1.2096948606965752</c:v>
                </c:pt>
                <c:pt idx="6">
                  <c:v>1.0499220436492804</c:v>
                </c:pt>
                <c:pt idx="7">
                  <c:v>0.81765744376547511</c:v>
                </c:pt>
                <c:pt idx="8">
                  <c:v>0.39780896166526725</c:v>
                </c:pt>
                <c:pt idx="9">
                  <c:v>-0.47705400711704976</c:v>
                </c:pt>
                <c:pt idx="10">
                  <c:v>-1.3812555302902492</c:v>
                </c:pt>
                <c:pt idx="11">
                  <c:v>-2.4714201001594556</c:v>
                </c:pt>
                <c:pt idx="12">
                  <c:v>-3.5984534714270549</c:v>
                </c:pt>
                <c:pt idx="13">
                  <c:v>-5.0254339294476971</c:v>
                </c:pt>
                <c:pt idx="14">
                  <c:v>-6.5111950457695382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64-4802-A453-D11FBD758EA3}"/>
            </c:ext>
          </c:extLst>
        </c:ser>
        <c:ser>
          <c:idx val="4"/>
          <c:order val="4"/>
          <c:tx>
            <c:v>h=2km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'h=2000m'!$I$55:$I$69</c:f>
              <c:numCache>
                <c:formatCode>0.0</c:formatCode>
                <c:ptCount val="15"/>
                <c:pt idx="0">
                  <c:v>22.585201365641261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'h=2000m'!$N$55:$N$69</c:f>
              <c:numCache>
                <c:formatCode>0.00</c:formatCode>
                <c:ptCount val="15"/>
                <c:pt idx="0">
                  <c:v>0.56752975894480329</c:v>
                </c:pt>
                <c:pt idx="1">
                  <c:v>0.60163418316634909</c:v>
                </c:pt>
                <c:pt idx="2">
                  <c:v>0.70221291627707627</c:v>
                </c:pt>
                <c:pt idx="3">
                  <c:v>0.83355032276281804</c:v>
                </c:pt>
                <c:pt idx="4">
                  <c:v>0.89916753312138908</c:v>
                </c:pt>
                <c:pt idx="5">
                  <c:v>0.88310447117203839</c:v>
                </c:pt>
                <c:pt idx="6">
                  <c:v>0.76683845722804467</c:v>
                </c:pt>
                <c:pt idx="7">
                  <c:v>0.53114759903544717</c:v>
                </c:pt>
                <c:pt idx="8">
                  <c:v>0.17182413071215261</c:v>
                </c:pt>
                <c:pt idx="9">
                  <c:v>-0.62021916635877461</c:v>
                </c:pt>
                <c:pt idx="10">
                  <c:v>-1.4968768255078075</c:v>
                </c:pt>
                <c:pt idx="11">
                  <c:v>-2.447202756654332</c:v>
                </c:pt>
                <c:pt idx="12">
                  <c:v>-3.5407939341344727</c:v>
                </c:pt>
                <c:pt idx="13">
                  <c:v>-4.9058930042307107</c:v>
                </c:pt>
                <c:pt idx="14">
                  <c:v>-6.2928309396997735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64-4802-A453-D11FBD758EA3}"/>
            </c:ext>
          </c:extLst>
        </c:ser>
        <c:ser>
          <c:idx val="5"/>
          <c:order val="5"/>
          <c:tx>
            <c:v>h=2,5km m. ciągu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'h=2500m'!$I$55:$I$69</c:f>
              <c:numCache>
                <c:formatCode>0.0</c:formatCode>
                <c:ptCount val="15"/>
                <c:pt idx="0">
                  <c:v>23.163977859925087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'h=2500m'!$N$55:$N$69</c:f>
              <c:numCache>
                <c:formatCode>0.00</c:formatCode>
                <c:ptCount val="15"/>
                <c:pt idx="0">
                  <c:v>0.29062996700701549</c:v>
                </c:pt>
                <c:pt idx="1">
                  <c:v>0.32530924153245228</c:v>
                </c:pt>
                <c:pt idx="2">
                  <c:v>0.37425804881704339</c:v>
                </c:pt>
                <c:pt idx="3">
                  <c:v>0.56805320785051416</c:v>
                </c:pt>
                <c:pt idx="4">
                  <c:v>0.65371277462356558</c:v>
                </c:pt>
                <c:pt idx="5">
                  <c:v>0.63321860308089239</c:v>
                </c:pt>
                <c:pt idx="6">
                  <c:v>0.55960972195830205</c:v>
                </c:pt>
                <c:pt idx="7">
                  <c:v>0.35328404771143246</c:v>
                </c:pt>
                <c:pt idx="8">
                  <c:v>2.7854093934001779E-2</c:v>
                </c:pt>
                <c:pt idx="9">
                  <c:v>-0.6913950878890216</c:v>
                </c:pt>
                <c:pt idx="10">
                  <c:v>-1.5332295297807574</c:v>
                </c:pt>
                <c:pt idx="11">
                  <c:v>-2.4375575520800674</c:v>
                </c:pt>
                <c:pt idx="12">
                  <c:v>-3.4990584755116472</c:v>
                </c:pt>
                <c:pt idx="13">
                  <c:v>-4.8037414198368804</c:v>
                </c:pt>
                <c:pt idx="14">
                  <c:v>-6.1605751458249829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64-4802-A453-D11FBD758EA3}"/>
            </c:ext>
          </c:extLst>
        </c:ser>
        <c:ser>
          <c:idx val="6"/>
          <c:order val="6"/>
          <c:tx>
            <c:v>h=3km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'h=3000m'!$I$55:$I$69</c:f>
              <c:numCache>
                <c:formatCode>0.0</c:formatCode>
                <c:ptCount val="15"/>
                <c:pt idx="0">
                  <c:v>23.764821622766078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'h=3000m'!$N$55:$N$69</c:f>
              <c:numCache>
                <c:formatCode>0.00</c:formatCode>
                <c:ptCount val="15"/>
                <c:pt idx="0">
                  <c:v>7.173750348308329E-2</c:v>
                </c:pt>
                <c:pt idx="1">
                  <c:v>9.8058655989723853E-2</c:v>
                </c:pt>
                <c:pt idx="2">
                  <c:v>0.17740853997390643</c:v>
                </c:pt>
                <c:pt idx="3">
                  <c:v>0.2511504491631632</c:v>
                </c:pt>
                <c:pt idx="4">
                  <c:v>0.34847943346355981</c:v>
                </c:pt>
                <c:pt idx="5">
                  <c:v>0.33192812946585648</c:v>
                </c:pt>
                <c:pt idx="6">
                  <c:v>0.24122485086282452</c:v>
                </c:pt>
                <c:pt idx="7">
                  <c:v>6.3760861764033311E-2</c:v>
                </c:pt>
                <c:pt idx="8">
                  <c:v>-0.16944130573853108</c:v>
                </c:pt>
                <c:pt idx="9">
                  <c:v>-0.82552801653470298</c:v>
                </c:pt>
                <c:pt idx="10">
                  <c:v>-1.54084909833007</c:v>
                </c:pt>
                <c:pt idx="11">
                  <c:v>-2.3667464374785747</c:v>
                </c:pt>
                <c:pt idx="12">
                  <c:v>-3.4815599238627888</c:v>
                </c:pt>
                <c:pt idx="13">
                  <c:v>-4.6432765017409494</c:v>
                </c:pt>
                <c:pt idx="14">
                  <c:v>-5.9632624857953607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64-4802-A453-D11FBD758EA3}"/>
            </c:ext>
          </c:extLst>
        </c:ser>
        <c:ser>
          <c:idx val="7"/>
          <c:order val="7"/>
          <c:tx>
            <c:v>h=3,5km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'h=3500m'!$I$55:$I$69</c:f>
              <c:numCache>
                <c:formatCode>0.0</c:formatCode>
                <c:ptCount val="15"/>
                <c:pt idx="0">
                  <c:v>24.388856687479667</c:v>
                </c:pt>
                <c:pt idx="1">
                  <c:v>25</c:v>
                </c:pt>
                <c:pt idx="2">
                  <c:v>25.5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'h=3500m'!$N$55:$N$69</c:f>
              <c:numCache>
                <c:formatCode>0.00</c:formatCode>
                <c:ptCount val="15"/>
                <c:pt idx="0">
                  <c:v>-0.15851465781551624</c:v>
                </c:pt>
                <c:pt idx="1">
                  <c:v>-0.12394190446757782</c:v>
                </c:pt>
                <c:pt idx="2">
                  <c:v>-0.11041081038209011</c:v>
                </c:pt>
                <c:pt idx="3">
                  <c:v>-4.0398576976105056E-2</c:v>
                </c:pt>
                <c:pt idx="4">
                  <c:v>3.4196406043011038E-2</c:v>
                </c:pt>
                <c:pt idx="5">
                  <c:v>8.1096902527083597E-2</c:v>
                </c:pt>
                <c:pt idx="6">
                  <c:v>4.0513901270302369E-2</c:v>
                </c:pt>
                <c:pt idx="7">
                  <c:v>-0.13448235814277457</c:v>
                </c:pt>
                <c:pt idx="8">
                  <c:v>-0.44557962714035715</c:v>
                </c:pt>
                <c:pt idx="9">
                  <c:v>-0.97213259797092233</c:v>
                </c:pt>
                <c:pt idx="10">
                  <c:v>-1.5956125464687747</c:v>
                </c:pt>
                <c:pt idx="11">
                  <c:v>-2.3609549436186295</c:v>
                </c:pt>
                <c:pt idx="12">
                  <c:v>-3.3705919243921767</c:v>
                </c:pt>
                <c:pt idx="13">
                  <c:v>-4.5251632550300798</c:v>
                </c:pt>
                <c:pt idx="14">
                  <c:v>-5.7510798980943605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64-4802-A453-D11FBD758EA3}"/>
            </c:ext>
          </c:extLst>
        </c:ser>
        <c:ser>
          <c:idx val="8"/>
          <c:order val="8"/>
          <c:tx>
            <c:v>h=4km m. ciągu, m=const.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'h=4000m'!$I$55:$I$69</c:f>
              <c:numCache>
                <c:formatCode>0.0</c:formatCode>
                <c:ptCount val="15"/>
                <c:pt idx="0">
                  <c:v>25.037279099232737</c:v>
                </c:pt>
                <c:pt idx="1">
                  <c:v>25.5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'h=4000m'!$N$55:$N$69</c:f>
              <c:numCache>
                <c:formatCode>0.00</c:formatCode>
                <c:ptCount val="15"/>
                <c:pt idx="0">
                  <c:v>-0.44305727469891187</c:v>
                </c:pt>
                <c:pt idx="1">
                  <c:v>-0.39060039811593794</c:v>
                </c:pt>
                <c:pt idx="2">
                  <c:v>-0.34994251008656624</c:v>
                </c:pt>
                <c:pt idx="3">
                  <c:v>-0.27032601123722982</c:v>
                </c:pt>
                <c:pt idx="4">
                  <c:v>-0.23829610123841768</c:v>
                </c:pt>
                <c:pt idx="5">
                  <c:v>-0.18781626229866755</c:v>
                </c:pt>
                <c:pt idx="6">
                  <c:v>-0.23799325849445099</c:v>
                </c:pt>
                <c:pt idx="7">
                  <c:v>-0.41938840204510974</c:v>
                </c:pt>
                <c:pt idx="8">
                  <c:v>-0.64025311637611182</c:v>
                </c:pt>
                <c:pt idx="9">
                  <c:v>-1.1651259330007195</c:v>
                </c:pt>
                <c:pt idx="10">
                  <c:v>-1.6892102861121294</c:v>
                </c:pt>
                <c:pt idx="11">
                  <c:v>-2.4539211005074475</c:v>
                </c:pt>
                <c:pt idx="12">
                  <c:v>-3.3594548635528554</c:v>
                </c:pt>
                <c:pt idx="13">
                  <c:v>-4.3989739758369497</c:v>
                </c:pt>
                <c:pt idx="14">
                  <c:v>-5.5658482554332833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C64-4802-A453-D11FBD758EA3}"/>
            </c:ext>
          </c:extLst>
        </c:ser>
        <c:ser>
          <c:idx val="18"/>
          <c:order val="9"/>
          <c:tx>
            <c:v>h=4,5km m. ciągu, m=const.</c:v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'h=4500m'!$I$55:$I$69</c:f>
              <c:numCache>
                <c:formatCode>0.0</c:formatCode>
                <c:ptCount val="15"/>
                <c:pt idx="0">
                  <c:v>25.711362497854655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'h=4500m'!$N$55:$N$69</c:f>
              <c:numCache>
                <c:formatCode>0.00</c:formatCode>
                <c:ptCount val="15"/>
                <c:pt idx="0">
                  <c:v>-0.65333766301490914</c:v>
                </c:pt>
                <c:pt idx="1">
                  <c:v>-0.60084420299119978</c:v>
                </c:pt>
                <c:pt idx="2">
                  <c:v>-0.58837864048492228</c:v>
                </c:pt>
                <c:pt idx="3">
                  <c:v>-0.52065555953598652</c:v>
                </c:pt>
                <c:pt idx="4">
                  <c:v>-0.49157802767052011</c:v>
                </c:pt>
                <c:pt idx="5">
                  <c:v>-0.4666871388679914</c:v>
                </c:pt>
                <c:pt idx="6">
                  <c:v>-0.47590061369214026</c:v>
                </c:pt>
                <c:pt idx="7">
                  <c:v>-0.56290652430791732</c:v>
                </c:pt>
                <c:pt idx="8">
                  <c:v>-0.84660375421643508</c:v>
                </c:pt>
                <c:pt idx="9">
                  <c:v>-1.3034153253808705</c:v>
                </c:pt>
                <c:pt idx="10">
                  <c:v>-1.7459397909834544</c:v>
                </c:pt>
                <c:pt idx="11">
                  <c:v>-2.4100864101438373</c:v>
                </c:pt>
                <c:pt idx="12">
                  <c:v>-3.3389088606584236</c:v>
                </c:pt>
                <c:pt idx="13">
                  <c:v>-4.323465216222921</c:v>
                </c:pt>
                <c:pt idx="14">
                  <c:v>-5.4158640626882573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C64-4802-A453-D11FBD758EA3}"/>
            </c:ext>
          </c:extLst>
        </c:ser>
        <c:ser>
          <c:idx val="9"/>
          <c:order val="10"/>
          <c:tx>
            <c:v>h=0km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'h=0m'!$H$40:$H$53</c:f>
              <c:numCache>
                <c:formatCode>0.0</c:formatCode>
                <c:ptCount val="14"/>
                <c:pt idx="0">
                  <c:v>20.470532465396818</c:v>
                </c:pt>
                <c:pt idx="1">
                  <c:v>21.238397639673021</c:v>
                </c:pt>
                <c:pt idx="2">
                  <c:v>22.060249169014579</c:v>
                </c:pt>
                <c:pt idx="3">
                  <c:v>22.968820317653265</c:v>
                </c:pt>
                <c:pt idx="4">
                  <c:v>25.230736583971822</c:v>
                </c:pt>
                <c:pt idx="5">
                  <c:v>26.62968781530088</c:v>
                </c:pt>
                <c:pt idx="6">
                  <c:v>28.294925290433113</c:v>
                </c:pt>
                <c:pt idx="7">
                  <c:v>30.291990994265614</c:v>
                </c:pt>
                <c:pt idx="8">
                  <c:v>32.985751571352921</c:v>
                </c:pt>
                <c:pt idx="9">
                  <c:v>36.14623136708304</c:v>
                </c:pt>
                <c:pt idx="10">
                  <c:v>40.75138175131827</c:v>
                </c:pt>
                <c:pt idx="11">
                  <c:v>43.482302409348236</c:v>
                </c:pt>
                <c:pt idx="12">
                  <c:v>47.575533154287946</c:v>
                </c:pt>
                <c:pt idx="13">
                  <c:v>52.513144456450128</c:v>
                </c:pt>
              </c:numCache>
            </c:numRef>
          </c:xVal>
          <c:yVal>
            <c:numRef>
              <c:f>'h=0m'!$L$40:$L$53</c:f>
              <c:numCache>
                <c:formatCode>0.00</c:formatCode>
                <c:ptCount val="14"/>
                <c:pt idx="0">
                  <c:v>1.5091672415272588</c:v>
                </c:pt>
                <c:pt idx="1">
                  <c:v>1.5954114582472256</c:v>
                </c:pt>
                <c:pt idx="2">
                  <c:v>1.6909683826858264</c:v>
                </c:pt>
                <c:pt idx="3">
                  <c:v>1.7723900491174025</c:v>
                </c:pt>
                <c:pt idx="4">
                  <c:v>1.9077716059460714</c:v>
                </c:pt>
                <c:pt idx="5">
                  <c:v>2.0259543015447634</c:v>
                </c:pt>
                <c:pt idx="6">
                  <c:v>2.0401683642734718</c:v>
                </c:pt>
                <c:pt idx="7">
                  <c:v>1.9564902621210298</c:v>
                </c:pt>
                <c:pt idx="8">
                  <c:v>1.6910529117206161</c:v>
                </c:pt>
                <c:pt idx="9">
                  <c:v>1.2927877390311981</c:v>
                </c:pt>
                <c:pt idx="10">
                  <c:v>4.4130661350610195E-2</c:v>
                </c:pt>
                <c:pt idx="11">
                  <c:v>-1.3446830440571635</c:v>
                </c:pt>
                <c:pt idx="12">
                  <c:v>-3.9537857021470573</c:v>
                </c:pt>
                <c:pt idx="13">
                  <c:v>-8.1791421471589327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C64-4802-A453-D11FBD758EA3}"/>
            </c:ext>
          </c:extLst>
        </c:ser>
        <c:ser>
          <c:idx val="10"/>
          <c:order val="11"/>
          <c:tx>
            <c:v>h=0,5km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'h=500m'!$H$39:$H$52</c:f>
              <c:numCache>
                <c:formatCode>0.0</c:formatCode>
                <c:ptCount val="14"/>
                <c:pt idx="0">
                  <c:v>20.971010689949036</c:v>
                </c:pt>
                <c:pt idx="1">
                  <c:v>21.757649181419932</c:v>
                </c:pt>
                <c:pt idx="2">
                  <c:v>22.599593924992519</c:v>
                </c:pt>
                <c:pt idx="3">
                  <c:v>23.530378471163424</c:v>
                </c:pt>
                <c:pt idx="4">
                  <c:v>25.847595684781055</c:v>
                </c:pt>
                <c:pt idx="5">
                  <c:v>27.280749476775021</c:v>
                </c:pt>
                <c:pt idx="6">
                  <c:v>28.986699869190709</c:v>
                </c:pt>
                <c:pt idx="7">
                  <c:v>31.032591264267822</c:v>
                </c:pt>
                <c:pt idx="8">
                  <c:v>33.792210827352115</c:v>
                </c:pt>
                <c:pt idx="9">
                  <c:v>37.029960294478123</c:v>
                </c:pt>
                <c:pt idx="10">
                  <c:v>41.74770069033098</c:v>
                </c:pt>
                <c:pt idx="11">
                  <c:v>44.545388850605171</c:v>
                </c:pt>
                <c:pt idx="12">
                  <c:v>48.7386938295382</c:v>
                </c:pt>
                <c:pt idx="13">
                  <c:v>53.79702338571807</c:v>
                </c:pt>
              </c:numCache>
            </c:numRef>
          </c:xVal>
          <c:yVal>
            <c:numRef>
              <c:f>'h=500m'!$L$39:$L$52</c:f>
              <c:numCache>
                <c:formatCode>0.00</c:formatCode>
                <c:ptCount val="14"/>
                <c:pt idx="0">
                  <c:v>1.2549718500386056</c:v>
                </c:pt>
                <c:pt idx="1">
                  <c:v>1.3420739244307249</c:v>
                </c:pt>
                <c:pt idx="2">
                  <c:v>1.4378928366131036</c:v>
                </c:pt>
                <c:pt idx="3">
                  <c:v>1.4850816160569409</c:v>
                </c:pt>
                <c:pt idx="4">
                  <c:v>1.7027688078377661</c:v>
                </c:pt>
                <c:pt idx="5">
                  <c:v>1.7505270867950025</c:v>
                </c:pt>
                <c:pt idx="6">
                  <c:v>1.7344550114072095</c:v>
                </c:pt>
                <c:pt idx="7">
                  <c:v>1.6093814992911137</c:v>
                </c:pt>
                <c:pt idx="8">
                  <c:v>1.3649723518040411</c:v>
                </c:pt>
                <c:pt idx="9">
                  <c:v>0.94830187671666533</c:v>
                </c:pt>
                <c:pt idx="10">
                  <c:v>-0.46983250700477341</c:v>
                </c:pt>
                <c:pt idx="11">
                  <c:v>-1.9680457601660473</c:v>
                </c:pt>
                <c:pt idx="12">
                  <c:v>-4.7393316541904431</c:v>
                </c:pt>
                <c:pt idx="13">
                  <c:v>-9.1293417639566474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C64-4802-A453-D11FBD758EA3}"/>
            </c:ext>
          </c:extLst>
        </c:ser>
        <c:ser>
          <c:idx val="11"/>
          <c:order val="12"/>
          <c:tx>
            <c:v>h=1km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'h=1000m'!$H$39:$H$52</c:f>
              <c:numCache>
                <c:formatCode>0.0</c:formatCode>
                <c:ptCount val="14"/>
                <c:pt idx="0">
                  <c:v>21.489683801374792</c:v>
                </c:pt>
                <c:pt idx="1">
                  <c:v>22.295778114025257</c:v>
                </c:pt>
                <c:pt idx="2">
                  <c:v>23.158546560673187</c:v>
                </c:pt>
                <c:pt idx="3">
                  <c:v>24.112352072488864</c:v>
                </c:pt>
                <c:pt idx="4">
                  <c:v>26.486880699457327</c:v>
                </c:pt>
                <c:pt idx="5">
                  <c:v>27.955480486278876</c:v>
                </c:pt>
                <c:pt idx="6">
                  <c:v>29.70362391416883</c:v>
                </c:pt>
                <c:pt idx="7">
                  <c:v>31.800116058595254</c:v>
                </c:pt>
                <c:pt idx="8">
                  <c:v>34.627988911246668</c:v>
                </c:pt>
                <c:pt idx="9">
                  <c:v>37.945817188829643</c:v>
                </c:pt>
                <c:pt idx="10">
                  <c:v>42.780240806401928</c:v>
                </c:pt>
                <c:pt idx="11">
                  <c:v>45.6471238016005</c:v>
                </c:pt>
                <c:pt idx="12">
                  <c:v>49.944141213507628</c:v>
                </c:pt>
                <c:pt idx="13">
                  <c:v>55.127577736076013</c:v>
                </c:pt>
              </c:numCache>
            </c:numRef>
          </c:xVal>
          <c:yVal>
            <c:numRef>
              <c:f>'h=1000m'!$L$39:$L$52</c:f>
              <c:numCache>
                <c:formatCode>0.00</c:formatCode>
                <c:ptCount val="14"/>
                <c:pt idx="0">
                  <c:v>0.98983367750963114</c:v>
                </c:pt>
                <c:pt idx="1">
                  <c:v>1.09466450913337</c:v>
                </c:pt>
                <c:pt idx="2">
                  <c:v>1.1654965399906234</c:v>
                </c:pt>
                <c:pt idx="3">
                  <c:v>1.2375208288680573</c:v>
                </c:pt>
                <c:pt idx="4">
                  <c:v>1.4362032836066907</c:v>
                </c:pt>
                <c:pt idx="5">
                  <c:v>1.497828731381363</c:v>
                </c:pt>
                <c:pt idx="6">
                  <c:v>1.4343197444182465</c:v>
                </c:pt>
                <c:pt idx="7">
                  <c:v>1.3013235956961515</c:v>
                </c:pt>
                <c:pt idx="8">
                  <c:v>1.0184863068755388</c:v>
                </c:pt>
                <c:pt idx="9">
                  <c:v>0.60801342640537825</c:v>
                </c:pt>
                <c:pt idx="10">
                  <c:v>-1.0738988728940777</c:v>
                </c:pt>
                <c:pt idx="11">
                  <c:v>-2.580888946026151</c:v>
                </c:pt>
                <c:pt idx="12">
                  <c:v>-5.5751582712731578</c:v>
                </c:pt>
                <c:pt idx="13">
                  <c:v>-9.8786145921346673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C64-4802-A453-D11FBD758EA3}"/>
            </c:ext>
          </c:extLst>
        </c:ser>
        <c:ser>
          <c:idx val="12"/>
          <c:order val="13"/>
          <c:tx>
            <c:v>h=1,5km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'h=1500m'!$H$39:$H$52</c:f>
              <c:numCache>
                <c:formatCode>0.0</c:formatCode>
                <c:ptCount val="14"/>
                <c:pt idx="0">
                  <c:v>22.02743499743352</c:v>
                </c:pt>
                <c:pt idx="1">
                  <c:v>22.853700764665192</c:v>
                </c:pt>
                <c:pt idx="2">
                  <c:v>23.738058861881967</c:v>
                </c:pt>
                <c:pt idx="3">
                  <c:v>24.715732107607877</c:v>
                </c:pt>
                <c:pt idx="4">
                  <c:v>27.149680203984552</c:v>
                </c:pt>
                <c:pt idx="5">
                  <c:v>28.65502977731736</c:v>
                </c:pt>
                <c:pt idx="6">
                  <c:v>30.446918205269611</c:v>
                </c:pt>
                <c:pt idx="7">
                  <c:v>32.595872320221673</c:v>
                </c:pt>
                <c:pt idx="8">
                  <c:v>35.494508987867796</c:v>
                </c:pt>
                <c:pt idx="9">
                  <c:v>38.895361573350243</c:v>
                </c:pt>
                <c:pt idx="10">
                  <c:v>43.850760311200375</c:v>
                </c:pt>
                <c:pt idx="11">
                  <c:v>46.789383299126513</c:v>
                </c:pt>
                <c:pt idx="12">
                  <c:v>51.193927944756389</c:v>
                </c:pt>
                <c:pt idx="13">
                  <c:v>56.507073178512385</c:v>
                </c:pt>
              </c:numCache>
            </c:numRef>
          </c:xVal>
          <c:yVal>
            <c:numRef>
              <c:f>'h=1500m'!$L$39:$L$52</c:f>
              <c:numCache>
                <c:formatCode>0.00</c:formatCode>
                <c:ptCount val="14"/>
                <c:pt idx="0">
                  <c:v>0.72210344413497263</c:v>
                </c:pt>
                <c:pt idx="1">
                  <c:v>0.82785698460318102</c:v>
                </c:pt>
                <c:pt idx="2">
                  <c:v>0.87366091990985306</c:v>
                </c:pt>
                <c:pt idx="3">
                  <c:v>0.95359843456103077</c:v>
                </c:pt>
                <c:pt idx="4">
                  <c:v>1.1416433940892468</c:v>
                </c:pt>
                <c:pt idx="5">
                  <c:v>1.174837407550003</c:v>
                </c:pt>
                <c:pt idx="6">
                  <c:v>1.1396643436756138</c:v>
                </c:pt>
                <c:pt idx="7">
                  <c:v>0.9816419370654722</c:v>
                </c:pt>
                <c:pt idx="8">
                  <c:v>0.75265774883637682</c:v>
                </c:pt>
                <c:pt idx="9">
                  <c:v>0.21268285035511747</c:v>
                </c:pt>
                <c:pt idx="10">
                  <c:v>-1.6413939764717287</c:v>
                </c:pt>
                <c:pt idx="11">
                  <c:v>-3.3272053091162896</c:v>
                </c:pt>
                <c:pt idx="12">
                  <c:v>-6.3601717069463817</c:v>
                </c:pt>
                <c:pt idx="13">
                  <c:v>-10.697792198913206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C64-4802-A453-D11FBD758EA3}"/>
            </c:ext>
          </c:extLst>
        </c:ser>
        <c:ser>
          <c:idx val="13"/>
          <c:order val="14"/>
          <c:tx>
            <c:v>h=2km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'h=2000m'!$H$39:$H$51</c:f>
              <c:numCache>
                <c:formatCode>0.0</c:formatCode>
                <c:ptCount val="13"/>
                <c:pt idx="0">
                  <c:v>22.585201365641257</c:v>
                </c:pt>
                <c:pt idx="1">
                  <c:v>23.43238937171812</c:v>
                </c:pt>
                <c:pt idx="2">
                  <c:v>24.339140689213931</c:v>
                </c:pt>
                <c:pt idx="3">
                  <c:v>25.341570029129926</c:v>
                </c:pt>
                <c:pt idx="4">
                  <c:v>27.837149195591717</c:v>
                </c:pt>
                <c:pt idx="5">
                  <c:v>29.380616387453362</c:v>
                </c:pt>
                <c:pt idx="6">
                  <c:v>31.217878010278685</c:v>
                </c:pt>
                <c:pt idx="7">
                  <c:v>33.421246737385161</c:v>
                </c:pt>
                <c:pt idx="8">
                  <c:v>36.393281058777859</c:v>
                </c:pt>
                <c:pt idx="9">
                  <c:v>39.880248128113529</c:v>
                </c:pt>
                <c:pt idx="10">
                  <c:v>44.961124696557825</c:v>
                </c:pt>
                <c:pt idx="11">
                  <c:v>47.974157849430462</c:v>
                </c:pt>
                <c:pt idx="12">
                  <c:v>52.490231906945468</c:v>
                </c:pt>
              </c:numCache>
            </c:numRef>
          </c:xVal>
          <c:yVal>
            <c:numRef>
              <c:f>'h=2000m'!$L$39:$L$51</c:f>
              <c:numCache>
                <c:formatCode>0.00</c:formatCode>
                <c:ptCount val="13"/>
                <c:pt idx="0">
                  <c:v>0.44318834371472443</c:v>
                </c:pt>
                <c:pt idx="1">
                  <c:v>0.54990587910740574</c:v>
                </c:pt>
                <c:pt idx="2">
                  <c:v>0.68883880154979826</c:v>
                </c:pt>
                <c:pt idx="3">
                  <c:v>0.77667667457806422</c:v>
                </c:pt>
                <c:pt idx="4">
                  <c:v>0.90330341524510993</c:v>
                </c:pt>
                <c:pt idx="5">
                  <c:v>0.88265938437792835</c:v>
                </c:pt>
                <c:pt idx="6">
                  <c:v>0.77437301856572338</c:v>
                </c:pt>
                <c:pt idx="7">
                  <c:v>0.64158929343914406</c:v>
                </c:pt>
                <c:pt idx="8">
                  <c:v>0.38158058288509344</c:v>
                </c:pt>
                <c:pt idx="9">
                  <c:v>-0.22115886156982537</c:v>
                </c:pt>
                <c:pt idx="10">
                  <c:v>-2.2318217432098919</c:v>
                </c:pt>
                <c:pt idx="11">
                  <c:v>-3.9115255039623431</c:v>
                </c:pt>
                <c:pt idx="12">
                  <c:v>-7.1709215158975024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C64-4802-A453-D11FBD758EA3}"/>
            </c:ext>
          </c:extLst>
        </c:ser>
        <c:ser>
          <c:idx val="14"/>
          <c:order val="15"/>
          <c:tx>
            <c:v>h=2,5km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'h=2500m'!$H$39:$H$51</c:f>
              <c:numCache>
                <c:formatCode>0.0</c:formatCode>
                <c:ptCount val="13"/>
                <c:pt idx="0">
                  <c:v>23.163977859925083</c:v>
                </c:pt>
                <c:pt idx="1">
                  <c:v>24.032876210586359</c:v>
                </c:pt>
                <c:pt idx="2">
                  <c:v>24.962864263510433</c:v>
                </c:pt>
                <c:pt idx="3">
                  <c:v>25.990982218273427</c:v>
                </c:pt>
                <c:pt idx="4">
                  <c:v>28.550513994135894</c:v>
                </c:pt>
                <c:pt idx="5">
                  <c:v>30.133534631454381</c:v>
                </c:pt>
                <c:pt idx="6">
                  <c:v>32.017878581504775</c:v>
                </c:pt>
                <c:pt idx="7">
                  <c:v>34.277711628182438</c:v>
                </c:pt>
                <c:pt idx="8">
                  <c:v>37.325908370161024</c:v>
                </c:pt>
                <c:pt idx="9">
                  <c:v>40.902233711907023</c:v>
                </c:pt>
                <c:pt idx="10">
                  <c:v>46.113314650928544</c:v>
                </c:pt>
                <c:pt idx="11">
                  <c:v>49.203560875190192</c:v>
                </c:pt>
                <c:pt idx="12">
                  <c:v>53.835365470973102</c:v>
                </c:pt>
              </c:numCache>
            </c:numRef>
          </c:xVal>
          <c:yVal>
            <c:numRef>
              <c:f>'h=2500m'!$L$39:$L$51</c:f>
              <c:numCache>
                <c:formatCode>0.00</c:formatCode>
                <c:ptCount val="13"/>
                <c:pt idx="0">
                  <c:v>0.16984991976480079</c:v>
                </c:pt>
                <c:pt idx="1">
                  <c:v>0.29445247991074863</c:v>
                </c:pt>
                <c:pt idx="2">
                  <c:v>0.40839922703550674</c:v>
                </c:pt>
                <c:pt idx="3">
                  <c:v>0.52098871938438962</c:v>
                </c:pt>
                <c:pt idx="4">
                  <c:v>0.61147334398912767</c:v>
                </c:pt>
                <c:pt idx="5">
                  <c:v>0.61278237894331533</c:v>
                </c:pt>
                <c:pt idx="6">
                  <c:v>0.53244028400847565</c:v>
                </c:pt>
                <c:pt idx="7">
                  <c:v>0.43304693819898732</c:v>
                </c:pt>
                <c:pt idx="8">
                  <c:v>8.2421439403944696E-2</c:v>
                </c:pt>
                <c:pt idx="9">
                  <c:v>-0.55850560865659848</c:v>
                </c:pt>
                <c:pt idx="10">
                  <c:v>-2.8032286777977045</c:v>
                </c:pt>
                <c:pt idx="11">
                  <c:v>-4.6045957808341438</c:v>
                </c:pt>
                <c:pt idx="12">
                  <c:v>-7.982456094700578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C64-4802-A453-D11FBD758EA3}"/>
            </c:ext>
          </c:extLst>
        </c:ser>
        <c:ser>
          <c:idx val="15"/>
          <c:order val="16"/>
          <c:tx>
            <c:v>h=3km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'h=3000m'!$H$38:$H$50</c:f>
              <c:numCache>
                <c:formatCode>0.0</c:formatCode>
                <c:ptCount val="13"/>
                <c:pt idx="0">
                  <c:v>23.764821622766078</c:v>
                </c:pt>
                <c:pt idx="1">
                  <c:v>24.65625807796599</c:v>
                </c:pt>
                <c:pt idx="2">
                  <c:v>25.610368823654451</c:v>
                </c:pt>
                <c:pt idx="3">
                  <c:v>26.665154834496573</c:v>
                </c:pt>
                <c:pt idx="4">
                  <c:v>29.291077569313501</c:v>
                </c:pt>
                <c:pt idx="5">
                  <c:v>30.915159723877995</c:v>
                </c:pt>
                <c:pt idx="6">
                  <c:v>32.848381129962981</c:v>
                </c:pt>
                <c:pt idx="7">
                  <c:v>35.16683133641213</c:v>
                </c:pt>
                <c:pt idx="8">
                  <c:v>38.294094377426447</c:v>
                </c:pt>
                <c:pt idx="9">
                  <c:v>41.963184994138281</c:v>
                </c:pt>
                <c:pt idx="10">
                  <c:v>47.309434663625879</c:v>
                </c:pt>
                <c:pt idx="11">
                  <c:v>50.479837896356393</c:v>
                </c:pt>
                <c:pt idx="12">
                  <c:v>55.23178554006067</c:v>
                </c:pt>
              </c:numCache>
            </c:numRef>
          </c:xVal>
          <c:yVal>
            <c:numRef>
              <c:f>'h=3000m'!$L$38:$L$50</c:f>
              <c:numCache>
                <c:formatCode>0.00</c:formatCode>
                <c:ptCount val="13"/>
                <c:pt idx="0">
                  <c:v>-2.2130963461866649E-2</c:v>
                </c:pt>
                <c:pt idx="1">
                  <c:v>6.137366578972131E-2</c:v>
                </c:pt>
                <c:pt idx="2">
                  <c:v>0.17561168426665916</c:v>
                </c:pt>
                <c:pt idx="3">
                  <c:v>0.23697396650576771</c:v>
                </c:pt>
                <c:pt idx="4">
                  <c:v>0.34182772153281626</c:v>
                </c:pt>
                <c:pt idx="5">
                  <c:v>0.32278690243254138</c:v>
                </c:pt>
                <c:pt idx="6">
                  <c:v>0.21953394588014871</c:v>
                </c:pt>
                <c:pt idx="7">
                  <c:v>9.7580200210654645E-3</c:v>
                </c:pt>
                <c:pt idx="8">
                  <c:v>-0.24639797200972713</c:v>
                </c:pt>
                <c:pt idx="9">
                  <c:v>-1.0445539628472618</c:v>
                </c:pt>
                <c:pt idx="10">
                  <c:v>-3.4658147524362035</c:v>
                </c:pt>
                <c:pt idx="11">
                  <c:v>-5.3308166341263634</c:v>
                </c:pt>
                <c:pt idx="12">
                  <c:v>-8.6769057421309856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C64-4802-A453-D11FBD758EA3}"/>
            </c:ext>
          </c:extLst>
        </c:ser>
        <c:ser>
          <c:idx val="16"/>
          <c:order val="17"/>
          <c:tx>
            <c:v>h=3,5km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'h=3500m'!$H$38:$H$49</c:f>
              <c:numCache>
                <c:formatCode>0.0</c:formatCode>
                <c:ptCount val="12"/>
                <c:pt idx="0">
                  <c:v>24.388856687479667</c:v>
                </c:pt>
                <c:pt idx="1">
                  <c:v>25.303701170513282</c:v>
                </c:pt>
                <c:pt idx="2">
                  <c:v>26.282865694024309</c:v>
                </c:pt>
                <c:pt idx="3">
                  <c:v>27.365349091658693</c:v>
                </c:pt>
                <c:pt idx="4">
                  <c:v>30.0602253364058</c:v>
                </c:pt>
                <c:pt idx="5">
                  <c:v>31.726953896170023</c:v>
                </c:pt>
                <c:pt idx="6">
                  <c:v>33.71093932499425</c:v>
                </c:pt>
                <c:pt idx="7">
                  <c:v>36.090269189939576</c:v>
                </c:pt>
                <c:pt idx="8">
                  <c:v>39.299650322356122</c:v>
                </c:pt>
                <c:pt idx="9">
                  <c:v>43.065086757975607</c:v>
                </c:pt>
                <c:pt idx="10">
                  <c:v>48.551722385810891</c:v>
                </c:pt>
                <c:pt idx="11">
                  <c:v>51.805376518460214</c:v>
                </c:pt>
              </c:numCache>
            </c:numRef>
          </c:xVal>
          <c:yVal>
            <c:numRef>
              <c:f>'h=3500m'!$L$38:$L$49</c:f>
              <c:numCache>
                <c:formatCode>0.00</c:formatCode>
                <c:ptCount val="12"/>
                <c:pt idx="0">
                  <c:v>-0.27632566048097196</c:v>
                </c:pt>
                <c:pt idx="1">
                  <c:v>-0.18331565265057262</c:v>
                </c:pt>
                <c:pt idx="2">
                  <c:v>-9.4013102214668881E-2</c:v>
                </c:pt>
                <c:pt idx="3">
                  <c:v>-3.3324544053184406E-2</c:v>
                </c:pt>
                <c:pt idx="4">
                  <c:v>7.7454707461102834E-2</c:v>
                </c:pt>
                <c:pt idx="5">
                  <c:v>5.4814752309735364E-2</c:v>
                </c:pt>
                <c:pt idx="6">
                  <c:v>-5.4696947938022773E-2</c:v>
                </c:pt>
                <c:pt idx="7">
                  <c:v>-0.24027461515823484</c:v>
                </c:pt>
                <c:pt idx="8">
                  <c:v>-0.6135559569447071</c:v>
                </c:pt>
                <c:pt idx="9">
                  <c:v>-1.5275402741994433</c:v>
                </c:pt>
                <c:pt idx="10">
                  <c:v>-4.0255176930010927</c:v>
                </c:pt>
                <c:pt idx="11">
                  <c:v>-6.0989503986760862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C64-4802-A453-D11FBD758EA3}"/>
            </c:ext>
          </c:extLst>
        </c:ser>
        <c:ser>
          <c:idx val="17"/>
          <c:order val="18"/>
          <c:tx>
            <c:v>h=4km m. mocy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'h=4000m'!$H$38:$H$49</c:f>
              <c:numCache>
                <c:formatCode>0.0</c:formatCode>
                <c:ptCount val="12"/>
                <c:pt idx="0">
                  <c:v>25.037279099232734</c:v>
                </c:pt>
                <c:pt idx="1">
                  <c:v>25.976446397955051</c:v>
                </c:pt>
                <c:pt idx="2">
                  <c:v>26.981643803202758</c:v>
                </c:pt>
                <c:pt idx="3">
                  <c:v>28.092907004022305</c:v>
                </c:pt>
                <c:pt idx="4">
                  <c:v>30.859431468133955</c:v>
                </c:pt>
                <c:pt idx="5">
                  <c:v>32.570473058488702</c:v>
                </c:pt>
                <c:pt idx="6">
                  <c:v>34.607206372674092</c:v>
                </c:pt>
                <c:pt idx="7">
                  <c:v>37.049795078702196</c:v>
                </c:pt>
                <c:pt idx="8">
                  <c:v>40.344503484995613</c:v>
                </c:pt>
                <c:pt idx="9">
                  <c:v>44.210050942881296</c:v>
                </c:pt>
                <c:pt idx="10">
                  <c:v>49.842558825074342</c:v>
                </c:pt>
                <c:pt idx="11">
                  <c:v>53.182717310376901</c:v>
                </c:pt>
              </c:numCache>
            </c:numRef>
          </c:xVal>
          <c:yVal>
            <c:numRef>
              <c:f>'h=4000m'!$L$38:$L$49</c:f>
              <c:numCache>
                <c:formatCode>0.00</c:formatCode>
                <c:ptCount val="12"/>
                <c:pt idx="0">
                  <c:v>-0.5591673048440472</c:v>
                </c:pt>
                <c:pt idx="1">
                  <c:v>-0.4228534616753658</c:v>
                </c:pt>
                <c:pt idx="2">
                  <c:v>-0.31634256900817193</c:v>
                </c:pt>
                <c:pt idx="3">
                  <c:v>-0.28154553261743498</c:v>
                </c:pt>
                <c:pt idx="4">
                  <c:v>-0.18192218063092891</c:v>
                </c:pt>
                <c:pt idx="5">
                  <c:v>-0.22521870934768293</c:v>
                </c:pt>
                <c:pt idx="6">
                  <c:v>-0.32432317180825976</c:v>
                </c:pt>
                <c:pt idx="7">
                  <c:v>-0.57886387267863404</c:v>
                </c:pt>
                <c:pt idx="8">
                  <c:v>-0.99393072917535552</c:v>
                </c:pt>
                <c:pt idx="9">
                  <c:v>-1.9824125730017219</c:v>
                </c:pt>
                <c:pt idx="10">
                  <c:v>-4.7108740187772549</c:v>
                </c:pt>
                <c:pt idx="11">
                  <c:v>-6.647536161858234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C64-4802-A453-D11FBD758EA3}"/>
            </c:ext>
          </c:extLst>
        </c:ser>
        <c:ser>
          <c:idx val="19"/>
          <c:order val="19"/>
          <c:tx>
            <c:v>h=4,5km m. mocy</c:v>
          </c:tx>
          <c:spPr>
            <a:ln w="1905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'h=4500m'!$H$38:$H$49</c:f>
              <c:numCache>
                <c:formatCode>0.0</c:formatCode>
                <c:ptCount val="12"/>
                <c:pt idx="0">
                  <c:v>25.711362497854651</c:v>
                </c:pt>
                <c:pt idx="1">
                  <c:v>26.675815175315133</c:v>
                </c:pt>
                <c:pt idx="2">
                  <c:v>27.708075700342341</c:v>
                </c:pt>
                <c:pt idx="3">
                  <c:v>28.849257650407882</c:v>
                </c:pt>
                <c:pt idx="4">
                  <c:v>31.690265775693252</c:v>
                </c:pt>
                <c:pt idx="5">
                  <c:v>33.447374062266796</c:v>
                </c:pt>
                <c:pt idx="6">
                  <c:v>35.53894273252547</c:v>
                </c:pt>
                <c:pt idx="7">
                  <c:v>38.047293716070605</c:v>
                </c:pt>
                <c:pt idx="8">
                  <c:v>41.43070617966913</c:v>
                </c:pt>
                <c:pt idx="9">
                  <c:v>45.400326502566166</c:v>
                </c:pt>
                <c:pt idx="10">
                  <c:v>51.184479459327633</c:v>
                </c:pt>
                <c:pt idx="11">
                  <c:v>54.614565663005045</c:v>
                </c:pt>
              </c:numCache>
            </c:numRef>
          </c:xVal>
          <c:yVal>
            <c:numRef>
              <c:f>'h=4500m'!$L$38:$L$49</c:f>
              <c:numCache>
                <c:formatCode>0.00</c:formatCode>
                <c:ptCount val="12"/>
                <c:pt idx="0">
                  <c:v>-0.76951649569113345</c:v>
                </c:pt>
                <c:pt idx="1">
                  <c:v>-0.66579876479841693</c:v>
                </c:pt>
                <c:pt idx="2">
                  <c:v>-0.5927059340080556</c:v>
                </c:pt>
                <c:pt idx="3">
                  <c:v>-0.52486846755286387</c:v>
                </c:pt>
                <c:pt idx="4">
                  <c:v>-0.47017825618725401</c:v>
                </c:pt>
                <c:pt idx="5">
                  <c:v>-0.48360655056822544</c:v>
                </c:pt>
                <c:pt idx="6">
                  <c:v>-0.58949058212957206</c:v>
                </c:pt>
                <c:pt idx="7">
                  <c:v>-0.83740131963423625</c:v>
                </c:pt>
                <c:pt idx="8">
                  <c:v>-1.3708611516994902</c:v>
                </c:pt>
                <c:pt idx="9">
                  <c:v>-2.4517717465076081</c:v>
                </c:pt>
                <c:pt idx="10">
                  <c:v>-5.3194404359947942</c:v>
                </c:pt>
                <c:pt idx="11">
                  <c:v>-7.3318855646880863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C64-4802-A453-D11FBD758EA3}"/>
            </c:ext>
          </c:extLst>
        </c:ser>
        <c:ser>
          <c:idx val="22"/>
          <c:order val="20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22.079780146439905</c:v>
                </c:pt>
                <c:pt idx="2">
                  <c:v>23.689027827482992</c:v>
                </c:pt>
                <c:pt idx="3">
                  <c:v>25.298275508526075</c:v>
                </c:pt>
                <c:pt idx="4">
                  <c:v>26.907523189569158</c:v>
                </c:pt>
                <c:pt idx="5">
                  <c:v>28.516770870612241</c:v>
                </c:pt>
                <c:pt idx="6">
                  <c:v>30.126018551655328</c:v>
                </c:pt>
                <c:pt idx="7">
                  <c:v>31.735266232698411</c:v>
                </c:pt>
                <c:pt idx="8">
                  <c:v>33.344513913741494</c:v>
                </c:pt>
                <c:pt idx="9">
                  <c:v>34.953761594784581</c:v>
                </c:pt>
                <c:pt idx="10">
                  <c:v>36.563009275827667</c:v>
                </c:pt>
                <c:pt idx="11">
                  <c:v>38.172256956870747</c:v>
                </c:pt>
                <c:pt idx="12">
                  <c:v>39.781504637913834</c:v>
                </c:pt>
                <c:pt idx="13">
                  <c:v>41.390752318956913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1.655581286735003</c:v>
                </c:pt>
                <c:pt idx="1">
                  <c:v>1.8199771565329694</c:v>
                </c:pt>
                <c:pt idx="2">
                  <c:v>2.0118705411337232</c:v>
                </c:pt>
                <c:pt idx="3">
                  <c:v>2.1444642058853742</c:v>
                </c:pt>
                <c:pt idx="4">
                  <c:v>2.2706780030276561</c:v>
                </c:pt>
                <c:pt idx="5">
                  <c:v>2.3010922162961669</c:v>
                </c:pt>
                <c:pt idx="6">
                  <c:v>2.2876169727700146</c:v>
                </c:pt>
                <c:pt idx="7">
                  <c:v>2.2558172269342056</c:v>
                </c:pt>
                <c:pt idx="8">
                  <c:v>2.1406376424434042</c:v>
                </c:pt>
                <c:pt idx="9">
                  <c:v>2.0126702466615023</c:v>
                </c:pt>
                <c:pt idx="10">
                  <c:v>1.8239397316843851</c:v>
                </c:pt>
                <c:pt idx="11">
                  <c:v>1.5620709465906601</c:v>
                </c:pt>
                <c:pt idx="12">
                  <c:v>1.1003825575591191</c:v>
                </c:pt>
                <c:pt idx="13">
                  <c:v>0.33627351079282719</c:v>
                </c:pt>
                <c:pt idx="14">
                  <c:v>-0.58613548989357023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C64-4802-A453-D11FBD758EA3}"/>
            </c:ext>
          </c:extLst>
        </c:ser>
        <c:ser>
          <c:idx val="23"/>
          <c:order val="21"/>
          <c:tx>
            <c:v>h=0,5km,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20.961063043845897</c:v>
                </c:pt>
                <c:pt idx="1">
                  <c:v>22.535272826428333</c:v>
                </c:pt>
                <c:pt idx="2">
                  <c:v>24.109482609010769</c:v>
                </c:pt>
                <c:pt idx="3">
                  <c:v>25.683692391593205</c:v>
                </c:pt>
                <c:pt idx="4">
                  <c:v>27.257902174175641</c:v>
                </c:pt>
                <c:pt idx="5">
                  <c:v>28.832111956758077</c:v>
                </c:pt>
                <c:pt idx="6">
                  <c:v>30.406321739340513</c:v>
                </c:pt>
                <c:pt idx="7">
                  <c:v>31.980531521922948</c:v>
                </c:pt>
                <c:pt idx="8">
                  <c:v>33.554741304505384</c:v>
                </c:pt>
                <c:pt idx="9">
                  <c:v>35.12895108708782</c:v>
                </c:pt>
                <c:pt idx="10">
                  <c:v>36.703160869670256</c:v>
                </c:pt>
                <c:pt idx="11">
                  <c:v>38.277370652252692</c:v>
                </c:pt>
                <c:pt idx="12">
                  <c:v>39.851580434835128</c:v>
                </c:pt>
                <c:pt idx="13">
                  <c:v>41.425790217417564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masa'!$O$22:$O$36</c:f>
              <c:numCache>
                <c:formatCode>0.00</c:formatCode>
                <c:ptCount val="15"/>
                <c:pt idx="0">
                  <c:v>1.400311184579651</c:v>
                </c:pt>
                <c:pt idx="1">
                  <c:v>1.5666036689079785</c:v>
                </c:pt>
                <c:pt idx="2">
                  <c:v>1.6836620076744635</c:v>
                </c:pt>
                <c:pt idx="3">
                  <c:v>1.8312554745701077</c:v>
                </c:pt>
                <c:pt idx="4">
                  <c:v>1.9661042828707382</c:v>
                </c:pt>
                <c:pt idx="5">
                  <c:v>2.0347212682747458</c:v>
                </c:pt>
                <c:pt idx="6">
                  <c:v>1.9995804819286018</c:v>
                </c:pt>
                <c:pt idx="7">
                  <c:v>1.9306545338179626</c:v>
                </c:pt>
                <c:pt idx="8">
                  <c:v>1.8081916734043084</c:v>
                </c:pt>
                <c:pt idx="9">
                  <c:v>1.6946026098430442</c:v>
                </c:pt>
                <c:pt idx="10">
                  <c:v>1.5332924687023484</c:v>
                </c:pt>
                <c:pt idx="11">
                  <c:v>1.3406666049997034</c:v>
                </c:pt>
                <c:pt idx="12">
                  <c:v>0.86831995592995537</c:v>
                </c:pt>
                <c:pt idx="13">
                  <c:v>0.19329430424942837</c:v>
                </c:pt>
                <c:pt idx="14">
                  <c:v>-0.62412753720591263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9C64-4802-A453-D11FBD758EA3}"/>
            </c:ext>
          </c:extLst>
        </c:ser>
        <c:ser>
          <c:idx val="24"/>
          <c:order val="22"/>
          <c:tx>
            <c:v>h=1km,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21.468302938847525</c:v>
                </c:pt>
                <c:pt idx="1">
                  <c:v>23.006281300358417</c:v>
                </c:pt>
                <c:pt idx="2">
                  <c:v>24.544259661869308</c:v>
                </c:pt>
                <c:pt idx="3">
                  <c:v>26.082238023380199</c:v>
                </c:pt>
                <c:pt idx="4">
                  <c:v>27.620216384891091</c:v>
                </c:pt>
                <c:pt idx="5">
                  <c:v>29.158194746401982</c:v>
                </c:pt>
                <c:pt idx="6">
                  <c:v>30.69617310791287</c:v>
                </c:pt>
                <c:pt idx="7">
                  <c:v>32.234151469423765</c:v>
                </c:pt>
                <c:pt idx="8">
                  <c:v>33.772129830934652</c:v>
                </c:pt>
                <c:pt idx="9">
                  <c:v>35.310108192445547</c:v>
                </c:pt>
                <c:pt idx="10">
                  <c:v>36.848086553956435</c:v>
                </c:pt>
                <c:pt idx="11">
                  <c:v>38.38606491546733</c:v>
                </c:pt>
                <c:pt idx="12">
                  <c:v>39.924043276978217</c:v>
                </c:pt>
                <c:pt idx="13">
                  <c:v>41.462021638489105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masa'!$O$40:$O$54</c:f>
              <c:numCache>
                <c:formatCode>0.00</c:formatCode>
                <c:ptCount val="15"/>
                <c:pt idx="0">
                  <c:v>1.1348054806341914</c:v>
                </c:pt>
                <c:pt idx="1">
                  <c:v>1.2939353561241809</c:v>
                </c:pt>
                <c:pt idx="2">
                  <c:v>1.4499631222407314</c:v>
                </c:pt>
                <c:pt idx="3">
                  <c:v>1.559794628508884</c:v>
                </c:pt>
                <c:pt idx="4">
                  <c:v>1.6766526267647108</c:v>
                </c:pt>
                <c:pt idx="5">
                  <c:v>1.711584957447555</c:v>
                </c:pt>
                <c:pt idx="6">
                  <c:v>1.7349711977376501</c:v>
                </c:pt>
                <c:pt idx="7">
                  <c:v>1.6828556317021175</c:v>
                </c:pt>
                <c:pt idx="8">
                  <c:v>1.571327918269559</c:v>
                </c:pt>
                <c:pt idx="9">
                  <c:v>1.4535705782562984</c:v>
                </c:pt>
                <c:pt idx="10">
                  <c:v>1.2914325009129655</c:v>
                </c:pt>
                <c:pt idx="11">
                  <c:v>1.0733984356004123</c:v>
                </c:pt>
                <c:pt idx="12">
                  <c:v>0.66429581182852304</c:v>
                </c:pt>
                <c:pt idx="13">
                  <c:v>9.5962489876851201E-2</c:v>
                </c:pt>
                <c:pt idx="14">
                  <c:v>-0.66629005303620004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9C64-4802-A453-D11FBD758EA3}"/>
            </c:ext>
          </c:extLst>
        </c:ser>
        <c:ser>
          <c:idx val="25"/>
          <c:order val="23"/>
          <c:tx>
            <c:v>h=1,5km,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21.992728725304172</c:v>
                </c:pt>
                <c:pt idx="1">
                  <c:v>23.421819530639588</c:v>
                </c:pt>
                <c:pt idx="2">
                  <c:v>24.850910335975005</c:v>
                </c:pt>
                <c:pt idx="3">
                  <c:v>26.280001141310422</c:v>
                </c:pt>
                <c:pt idx="4">
                  <c:v>27.709091946645838</c:v>
                </c:pt>
                <c:pt idx="5">
                  <c:v>29.138182751981255</c:v>
                </c:pt>
                <c:pt idx="6">
                  <c:v>30.567273557316668</c:v>
                </c:pt>
                <c:pt idx="7">
                  <c:v>31.996364362652088</c:v>
                </c:pt>
                <c:pt idx="8">
                  <c:v>33.425455167987501</c:v>
                </c:pt>
                <c:pt idx="9">
                  <c:v>34.854545973322921</c:v>
                </c:pt>
                <c:pt idx="10">
                  <c:v>36.283636778658334</c:v>
                </c:pt>
                <c:pt idx="11">
                  <c:v>37.712727583993754</c:v>
                </c:pt>
                <c:pt idx="12">
                  <c:v>39.141818389329167</c:v>
                </c:pt>
                <c:pt idx="13">
                  <c:v>40.57090919466458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masa'!$O$58:$O$72</c:f>
              <c:numCache>
                <c:formatCode>0.00</c:formatCode>
                <c:ptCount val="15"/>
                <c:pt idx="0">
                  <c:v>0.86779925847790551</c:v>
                </c:pt>
                <c:pt idx="1">
                  <c:v>1.0036180507696248</c:v>
                </c:pt>
                <c:pt idx="2">
                  <c:v>1.176828103317429</c:v>
                </c:pt>
                <c:pt idx="3">
                  <c:v>1.3183649667766248</c:v>
                </c:pt>
                <c:pt idx="4">
                  <c:v>1.4017284553906126</c:v>
                </c:pt>
                <c:pt idx="5">
                  <c:v>1.444223123052746</c:v>
                </c:pt>
                <c:pt idx="6">
                  <c:v>1.4270105232299446</c:v>
                </c:pt>
                <c:pt idx="7">
                  <c:v>1.3941537386708296</c:v>
                </c:pt>
                <c:pt idx="8">
                  <c:v>1.3450787483537261</c:v>
                </c:pt>
                <c:pt idx="9">
                  <c:v>1.2883038258958441</c:v>
                </c:pt>
                <c:pt idx="10">
                  <c:v>1.167192402899097</c:v>
                </c:pt>
                <c:pt idx="11">
                  <c:v>0.96080762902673378</c:v>
                </c:pt>
                <c:pt idx="12">
                  <c:v>0.70396654624456834</c:v>
                </c:pt>
                <c:pt idx="13">
                  <c:v>0.35619702425420402</c:v>
                </c:pt>
                <c:pt idx="14">
                  <c:v>-0.22101761152216465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9C64-4802-A453-D11FBD758EA3}"/>
            </c:ext>
          </c:extLst>
        </c:ser>
        <c:ser>
          <c:idx val="26"/>
          <c:order val="24"/>
          <c:tx>
            <c:v>h=2km,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22.534764048964448</c:v>
                </c:pt>
                <c:pt idx="1">
                  <c:v>23.925138045466987</c:v>
                </c:pt>
                <c:pt idx="2">
                  <c:v>25.315512041969527</c:v>
                </c:pt>
                <c:pt idx="3">
                  <c:v>26.705886038472066</c:v>
                </c:pt>
                <c:pt idx="4">
                  <c:v>28.096260034974605</c:v>
                </c:pt>
                <c:pt idx="5">
                  <c:v>29.486634031477145</c:v>
                </c:pt>
                <c:pt idx="6">
                  <c:v>30.877008027979684</c:v>
                </c:pt>
                <c:pt idx="7">
                  <c:v>32.267382024482224</c:v>
                </c:pt>
                <c:pt idx="8">
                  <c:v>33.657756020984763</c:v>
                </c:pt>
                <c:pt idx="9">
                  <c:v>35.048130017487303</c:v>
                </c:pt>
                <c:pt idx="10">
                  <c:v>36.438504013989842</c:v>
                </c:pt>
                <c:pt idx="11">
                  <c:v>37.828878010492382</c:v>
                </c:pt>
                <c:pt idx="12">
                  <c:v>39.219252006994921</c:v>
                </c:pt>
                <c:pt idx="13">
                  <c:v>40.609626003497461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masa'!$O$76:$O$90</c:f>
              <c:numCache>
                <c:formatCode>0.00</c:formatCode>
                <c:ptCount val="15"/>
                <c:pt idx="0">
                  <c:v>0.59053832905767445</c:v>
                </c:pt>
                <c:pt idx="1">
                  <c:v>0.77083783035004327</c:v>
                </c:pt>
                <c:pt idx="2">
                  <c:v>0.93846446635505276</c:v>
                </c:pt>
                <c:pt idx="3">
                  <c:v>0.99710009418107015</c:v>
                </c:pt>
                <c:pt idx="4">
                  <c:v>1.0786569388032665</c:v>
                </c:pt>
                <c:pt idx="5">
                  <c:v>1.1035815356717973</c:v>
                </c:pt>
                <c:pt idx="6">
                  <c:v>1.1068664646825954</c:v>
                </c:pt>
                <c:pt idx="7">
                  <c:v>1.1154114505030053</c:v>
                </c:pt>
                <c:pt idx="8">
                  <c:v>1.0559905008632453</c:v>
                </c:pt>
                <c:pt idx="9">
                  <c:v>0.97288822298785393</c:v>
                </c:pt>
                <c:pt idx="10">
                  <c:v>0.8557042412397915</c:v>
                </c:pt>
                <c:pt idx="11">
                  <c:v>0.70319269151836583</c:v>
                </c:pt>
                <c:pt idx="12">
                  <c:v>0.44754767946205409</c:v>
                </c:pt>
                <c:pt idx="13">
                  <c:v>0.13295070163270653</c:v>
                </c:pt>
                <c:pt idx="14">
                  <c:v>-0.36828423992248144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9C64-4802-A453-D11FBD758EA3}"/>
            </c:ext>
          </c:extLst>
        </c:ser>
        <c:ser>
          <c:idx val="27"/>
          <c:order val="25"/>
          <c:tx>
            <c:v>h=2,5km,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23.093641145592002</c:v>
                </c:pt>
                <c:pt idx="1">
                  <c:v>24.444095349478289</c:v>
                </c:pt>
                <c:pt idx="2">
                  <c:v>25.794549553364572</c:v>
                </c:pt>
                <c:pt idx="3">
                  <c:v>27.145003757250858</c:v>
                </c:pt>
                <c:pt idx="4">
                  <c:v>28.495457961137145</c:v>
                </c:pt>
                <c:pt idx="5">
                  <c:v>29.845912165023428</c:v>
                </c:pt>
                <c:pt idx="6">
                  <c:v>31.196366368909715</c:v>
                </c:pt>
                <c:pt idx="7">
                  <c:v>32.546820572796001</c:v>
                </c:pt>
                <c:pt idx="8">
                  <c:v>33.897274776682288</c:v>
                </c:pt>
                <c:pt idx="9">
                  <c:v>35.247728980568567</c:v>
                </c:pt>
                <c:pt idx="10">
                  <c:v>36.598183184454854</c:v>
                </c:pt>
                <c:pt idx="11">
                  <c:v>37.94863738834114</c:v>
                </c:pt>
                <c:pt idx="12">
                  <c:v>39.299091592227427</c:v>
                </c:pt>
                <c:pt idx="13">
                  <c:v>40.649545796113713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masa'!$O$94:$O$108</c:f>
              <c:numCache>
                <c:formatCode>0.00</c:formatCode>
                <c:ptCount val="15"/>
                <c:pt idx="0">
                  <c:v>0.32088779166756509</c:v>
                </c:pt>
                <c:pt idx="1">
                  <c:v>0.50174048274141492</c:v>
                </c:pt>
                <c:pt idx="2">
                  <c:v>0.59312724632728553</c:v>
                </c:pt>
                <c:pt idx="3">
                  <c:v>0.73562292858451994</c:v>
                </c:pt>
                <c:pt idx="4">
                  <c:v>0.80649619592695254</c:v>
                </c:pt>
                <c:pt idx="5">
                  <c:v>0.86747971660197609</c:v>
                </c:pt>
                <c:pt idx="6">
                  <c:v>0.86455934762847664</c:v>
                </c:pt>
                <c:pt idx="7">
                  <c:v>0.85093971691916936</c:v>
                </c:pt>
                <c:pt idx="8">
                  <c:v>0.81716883007887098</c:v>
                </c:pt>
                <c:pt idx="9">
                  <c:v>0.74417599006215318</c:v>
                </c:pt>
                <c:pt idx="10">
                  <c:v>0.63068442963357019</c:v>
                </c:pt>
                <c:pt idx="11">
                  <c:v>0.50344921668796916</c:v>
                </c:pt>
                <c:pt idx="12">
                  <c:v>0.3333753735479803</c:v>
                </c:pt>
                <c:pt idx="13">
                  <c:v>4.2172938324856718E-2</c:v>
                </c:pt>
                <c:pt idx="14">
                  <c:v>-0.43206145503976945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9C64-4802-A453-D11FBD758EA3}"/>
            </c:ext>
          </c:extLst>
        </c:ser>
        <c:ser>
          <c:idx val="28"/>
          <c:order val="26"/>
          <c:tx>
            <c:v>h=3km,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23.669350122284712</c:v>
                </c:pt>
                <c:pt idx="1">
                  <c:v>24.907253684978659</c:v>
                </c:pt>
                <c:pt idx="2">
                  <c:v>26.145157247672611</c:v>
                </c:pt>
                <c:pt idx="3">
                  <c:v>27.383060810366558</c:v>
                </c:pt>
                <c:pt idx="4">
                  <c:v>28.620964373060509</c:v>
                </c:pt>
                <c:pt idx="5">
                  <c:v>29.858867935754457</c:v>
                </c:pt>
                <c:pt idx="6">
                  <c:v>31.096771498448405</c:v>
                </c:pt>
                <c:pt idx="7">
                  <c:v>32.334675061142356</c:v>
                </c:pt>
                <c:pt idx="8">
                  <c:v>33.572578623836307</c:v>
                </c:pt>
                <c:pt idx="9">
                  <c:v>34.810482186530251</c:v>
                </c:pt>
                <c:pt idx="10">
                  <c:v>36.048385749224202</c:v>
                </c:pt>
                <c:pt idx="11">
                  <c:v>37.286289311918154</c:v>
                </c:pt>
                <c:pt idx="12">
                  <c:v>38.524192874612098</c:v>
                </c:pt>
                <c:pt idx="13">
                  <c:v>39.762096437306056</c:v>
                </c:pt>
                <c:pt idx="14">
                  <c:v>41</c:v>
                </c:pt>
              </c:numCache>
            </c:numRef>
          </c:xVal>
          <c:yVal>
            <c:numRef>
              <c:f>'Metoda Ciągu, zmienna masa'!$O$112:$O$126</c:f>
              <c:numCache>
                <c:formatCode>0.00</c:formatCode>
                <c:ptCount val="15"/>
                <c:pt idx="0">
                  <c:v>0.13696074215808982</c:v>
                </c:pt>
                <c:pt idx="1">
                  <c:v>0.25861977670749603</c:v>
                </c:pt>
                <c:pt idx="2">
                  <c:v>0.36524238970194139</c:v>
                </c:pt>
                <c:pt idx="3">
                  <c:v>0.47495855464713665</c:v>
                </c:pt>
                <c:pt idx="4">
                  <c:v>0.53512122695729503</c:v>
                </c:pt>
                <c:pt idx="5">
                  <c:v>0.56302792324174966</c:v>
                </c:pt>
                <c:pt idx="6">
                  <c:v>0.59445048899347575</c:v>
                </c:pt>
                <c:pt idx="7">
                  <c:v>0.59331965609004866</c:v>
                </c:pt>
                <c:pt idx="8">
                  <c:v>0.55892935060784532</c:v>
                </c:pt>
                <c:pt idx="9">
                  <c:v>0.50894552498017298</c:v>
                </c:pt>
                <c:pt idx="10">
                  <c:v>0.42426391475900604</c:v>
                </c:pt>
                <c:pt idx="11">
                  <c:v>0.34147829422114456</c:v>
                </c:pt>
                <c:pt idx="12">
                  <c:v>0.20345523050771194</c:v>
                </c:pt>
                <c:pt idx="13">
                  <c:v>7.533937445718375E-2</c:v>
                </c:pt>
                <c:pt idx="14">
                  <c:v>-0.21665977184377386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9C64-4802-A453-D11FBD758EA3}"/>
            </c:ext>
          </c:extLst>
        </c:ser>
        <c:ser>
          <c:idx val="29"/>
          <c:order val="27"/>
          <c:tx>
            <c:v>h=3,5km,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24.257414707295691</c:v>
                </c:pt>
                <c:pt idx="1">
                  <c:v>25.310456513917426</c:v>
                </c:pt>
                <c:pt idx="2">
                  <c:v>26.363498320539165</c:v>
                </c:pt>
                <c:pt idx="3">
                  <c:v>27.4165401271609</c:v>
                </c:pt>
                <c:pt idx="4">
                  <c:v>28.469581933782635</c:v>
                </c:pt>
                <c:pt idx="5">
                  <c:v>29.522623740404374</c:v>
                </c:pt>
                <c:pt idx="6">
                  <c:v>30.575665547026109</c:v>
                </c:pt>
                <c:pt idx="7">
                  <c:v>31.628707353647847</c:v>
                </c:pt>
                <c:pt idx="8">
                  <c:v>32.681749160269582</c:v>
                </c:pt>
                <c:pt idx="9">
                  <c:v>33.734790966891318</c:v>
                </c:pt>
                <c:pt idx="10">
                  <c:v>34.78783277351306</c:v>
                </c:pt>
                <c:pt idx="11">
                  <c:v>35.840874580134795</c:v>
                </c:pt>
                <c:pt idx="12">
                  <c:v>36.89391638675653</c:v>
                </c:pt>
                <c:pt idx="13">
                  <c:v>37.946958193378265</c:v>
                </c:pt>
                <c:pt idx="14">
                  <c:v>39</c:v>
                </c:pt>
              </c:numCache>
            </c:numRef>
          </c:xVal>
          <c:yVal>
            <c:numRef>
              <c:f>'Metoda Ciągu, zmienna masa'!$O$130:$O$144</c:f>
              <c:numCache>
                <c:formatCode>0.00</c:formatCode>
                <c:ptCount val="15"/>
                <c:pt idx="0">
                  <c:v>-0.10708080710180636</c:v>
                </c:pt>
                <c:pt idx="1">
                  <c:v>-1.8583938942704655E-2</c:v>
                </c:pt>
                <c:pt idx="2">
                  <c:v>0.12278173300735302</c:v>
                </c:pt>
                <c:pt idx="3">
                  <c:v>0.22123289079434358</c:v>
                </c:pt>
                <c:pt idx="4">
                  <c:v>0.29423312740245494</c:v>
                </c:pt>
                <c:pt idx="5">
                  <c:v>0.34164393555380079</c:v>
                </c:pt>
                <c:pt idx="6">
                  <c:v>0.38126484362382884</c:v>
                </c:pt>
                <c:pt idx="7">
                  <c:v>0.38579534671080828</c:v>
                </c:pt>
                <c:pt idx="8">
                  <c:v>0.38216614928810749</c:v>
                </c:pt>
                <c:pt idx="9">
                  <c:v>0.35173848984436046</c:v>
                </c:pt>
                <c:pt idx="10">
                  <c:v>0.30325207844570179</c:v>
                </c:pt>
                <c:pt idx="11">
                  <c:v>0.24567953478561794</c:v>
                </c:pt>
                <c:pt idx="12">
                  <c:v>0.15974242903816799</c:v>
                </c:pt>
                <c:pt idx="13">
                  <c:v>5.4197975103153898E-2</c:v>
                </c:pt>
                <c:pt idx="14">
                  <c:v>-8.1228805845801999E-2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9C64-4802-A453-D11FBD758EA3}"/>
            </c:ext>
          </c:extLst>
        </c:ser>
        <c:ser>
          <c:idx val="30"/>
          <c:order val="28"/>
          <c:tx>
            <c:v>h=4km,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masa'!$J$148:$J$162</c:f>
              <c:numCache>
                <c:formatCode>0.0</c:formatCode>
                <c:ptCount val="15"/>
                <c:pt idx="0">
                  <c:v>24.852142365160667</c:v>
                </c:pt>
                <c:pt idx="1">
                  <c:v>25.719846481934905</c:v>
                </c:pt>
                <c:pt idx="2">
                  <c:v>26.587550598709143</c:v>
                </c:pt>
                <c:pt idx="3">
                  <c:v>27.455254715483381</c:v>
                </c:pt>
                <c:pt idx="4">
                  <c:v>28.322958832257619</c:v>
                </c:pt>
                <c:pt idx="5">
                  <c:v>29.190662949031857</c:v>
                </c:pt>
                <c:pt idx="6">
                  <c:v>30.058367065806095</c:v>
                </c:pt>
                <c:pt idx="7">
                  <c:v>30.926071182580333</c:v>
                </c:pt>
                <c:pt idx="8">
                  <c:v>31.793775299354571</c:v>
                </c:pt>
                <c:pt idx="9">
                  <c:v>32.661479416128813</c:v>
                </c:pt>
                <c:pt idx="10">
                  <c:v>33.529183532903048</c:v>
                </c:pt>
                <c:pt idx="11">
                  <c:v>34.396887649677282</c:v>
                </c:pt>
                <c:pt idx="12">
                  <c:v>35.264591766451524</c:v>
                </c:pt>
                <c:pt idx="13">
                  <c:v>36.132295883225765</c:v>
                </c:pt>
                <c:pt idx="14">
                  <c:v>37</c:v>
                </c:pt>
              </c:numCache>
            </c:numRef>
          </c:xVal>
          <c:yVal>
            <c:numRef>
              <c:f>'Metoda Ciągu, zmienna masa'!$O$148:$O$162</c:f>
              <c:numCache>
                <c:formatCode>0.00</c:formatCode>
                <c:ptCount val="15"/>
                <c:pt idx="0">
                  <c:v>-0.37480771240351518</c:v>
                </c:pt>
                <c:pt idx="1">
                  <c:v>-0.24210965759234063</c:v>
                </c:pt>
                <c:pt idx="2">
                  <c:v>-0.16470764584934505</c:v>
                </c:pt>
                <c:pt idx="3">
                  <c:v>-7.2407943850638909E-2</c:v>
                </c:pt>
                <c:pt idx="4">
                  <c:v>-9.1689137055418601E-3</c:v>
                </c:pt>
                <c:pt idx="5">
                  <c:v>4.2620637146595877E-2</c:v>
                </c:pt>
                <c:pt idx="6">
                  <c:v>7.3911210222559129E-2</c:v>
                </c:pt>
                <c:pt idx="7">
                  <c:v>0.10267161554395725</c:v>
                </c:pt>
                <c:pt idx="8">
                  <c:v>0.11979796499253757</c:v>
                </c:pt>
                <c:pt idx="9">
                  <c:v>0.13444964550449515</c:v>
                </c:pt>
                <c:pt idx="10">
                  <c:v>0.12804239880458237</c:v>
                </c:pt>
                <c:pt idx="11">
                  <c:v>0.11885489301821363</c:v>
                </c:pt>
                <c:pt idx="12">
                  <c:v>6.8859927126146317E-2</c:v>
                </c:pt>
                <c:pt idx="13">
                  <c:v>-6.5299003680962002E-3</c:v>
                </c:pt>
                <c:pt idx="14">
                  <c:v>-7.0317844991931153E-2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9C64-4802-A453-D11FBD758EA3}"/>
            </c:ext>
          </c:extLst>
        </c:ser>
        <c:ser>
          <c:idx val="31"/>
          <c:order val="29"/>
          <c:tx>
            <c:v>h=4,5km, m. ciągu, zmienna masa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masa'!$J$166:$J$180</c:f>
              <c:numCache>
                <c:formatCode>0.0</c:formatCode>
                <c:ptCount val="15"/>
                <c:pt idx="0">
                  <c:v>25.379733241956714</c:v>
                </c:pt>
                <c:pt idx="1">
                  <c:v>26.209752296102664</c:v>
                </c:pt>
                <c:pt idx="2">
                  <c:v>27.039771350248611</c:v>
                </c:pt>
                <c:pt idx="3">
                  <c:v>27.869790404394561</c:v>
                </c:pt>
                <c:pt idx="4">
                  <c:v>28.699809458540511</c:v>
                </c:pt>
                <c:pt idx="5">
                  <c:v>29.529828512686457</c:v>
                </c:pt>
                <c:pt idx="6">
                  <c:v>30.359847566832407</c:v>
                </c:pt>
                <c:pt idx="7">
                  <c:v>31.189866620978357</c:v>
                </c:pt>
                <c:pt idx="8">
                  <c:v>32.019885675124307</c:v>
                </c:pt>
                <c:pt idx="9">
                  <c:v>32.849904729270257</c:v>
                </c:pt>
                <c:pt idx="10">
                  <c:v>33.6799237834162</c:v>
                </c:pt>
                <c:pt idx="11">
                  <c:v>34.50994283756215</c:v>
                </c:pt>
                <c:pt idx="12">
                  <c:v>35.3399618917081</c:v>
                </c:pt>
                <c:pt idx="13">
                  <c:v>36.16998094585405</c:v>
                </c:pt>
                <c:pt idx="14">
                  <c:v>37</c:v>
                </c:pt>
              </c:numCache>
            </c:numRef>
          </c:xVal>
          <c:yVal>
            <c:numRef>
              <c:f>'Metoda Ciągu, zmienna masa'!$O$166:$O$180</c:f>
              <c:numCache>
                <c:formatCode>0.00</c:formatCode>
                <c:ptCount val="15"/>
                <c:pt idx="0">
                  <c:v>-0.53580483050441463</c:v>
                </c:pt>
                <c:pt idx="1">
                  <c:v>-0.44052025218857099</c:v>
                </c:pt>
                <c:pt idx="2">
                  <c:v>-0.35569877713985093</c:v>
                </c:pt>
                <c:pt idx="3">
                  <c:v>-0.3080110880858446</c:v>
                </c:pt>
                <c:pt idx="4">
                  <c:v>-0.24397243202305668</c:v>
                </c:pt>
                <c:pt idx="5">
                  <c:v>-0.20820087838899348</c:v>
                </c:pt>
                <c:pt idx="6">
                  <c:v>-0.17381331487651702</c:v>
                </c:pt>
                <c:pt idx="7">
                  <c:v>-0.13144382015851563</c:v>
                </c:pt>
                <c:pt idx="8">
                  <c:v>-0.12700840464177063</c:v>
                </c:pt>
                <c:pt idx="9">
                  <c:v>-0.11455785768648849</c:v>
                </c:pt>
                <c:pt idx="10">
                  <c:v>-0.10330638750766036</c:v>
                </c:pt>
                <c:pt idx="11">
                  <c:v>-0.13092618935678144</c:v>
                </c:pt>
                <c:pt idx="12">
                  <c:v>-0.13164744449360971</c:v>
                </c:pt>
                <c:pt idx="13">
                  <c:v>-0.18149923620450611</c:v>
                </c:pt>
                <c:pt idx="14">
                  <c:v>-0.23338649580940657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9C64-4802-A453-D11FBD758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43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2"/>
      </c:valAx>
      <c:valAx>
        <c:axId val="428777192"/>
        <c:scaling>
          <c:orientation val="minMax"/>
          <c:max val="2.5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PWS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 dla mas maksymalnych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h=0km m. ciągu m=const.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'h=0m'!$I$57:$I$71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'h=0m'!$M$57:$M$71</c:f>
              <c:numCache>
                <c:formatCode>0.00</c:formatCode>
                <c:ptCount val="15"/>
                <c:pt idx="0">
                  <c:v>4.6389381922425228</c:v>
                </c:pt>
                <c:pt idx="1">
                  <c:v>4.6167036791911515</c:v>
                </c:pt>
                <c:pt idx="2">
                  <c:v>4.524249187138766</c:v>
                </c:pt>
                <c:pt idx="3">
                  <c:v>4.4816210040102922</c:v>
                </c:pt>
                <c:pt idx="4">
                  <c:v>4.2488414521787572</c:v>
                </c:pt>
                <c:pt idx="5">
                  <c:v>3.8807218669867423</c:v>
                </c:pt>
                <c:pt idx="6">
                  <c:v>3.1790838964696264</c:v>
                </c:pt>
                <c:pt idx="7">
                  <c:v>2.4303879599019802</c:v>
                </c:pt>
                <c:pt idx="8">
                  <c:v>1.4855606624974451</c:v>
                </c:pt>
                <c:pt idx="9">
                  <c:v>-0.30292826607863588</c:v>
                </c:pt>
                <c:pt idx="10">
                  <c:v>-1.6600225779962283</c:v>
                </c:pt>
                <c:pt idx="11">
                  <c:v>-3.1226018216632405</c:v>
                </c:pt>
                <c:pt idx="12">
                  <c:v>-4.6218932260846408</c:v>
                </c:pt>
                <c:pt idx="13">
                  <c:v>-6.2842634778049238</c:v>
                </c:pt>
                <c:pt idx="14">
                  <c:v>-8.0132089857053987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9-45C6-B487-EBDFDE5139D9}"/>
            </c:ext>
          </c:extLst>
        </c:ser>
        <c:ser>
          <c:idx val="1"/>
          <c:order val="1"/>
          <c:tx>
            <c:v>h=0,5km m. ciągu, m=const.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'h=500m'!$I$56:$I$70</c:f>
              <c:numCache>
                <c:formatCode>0.0</c:formatCode>
                <c:ptCount val="15"/>
                <c:pt idx="0">
                  <c:v>20.97101068994904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'h=500m'!$M$56:$M$70</c:f>
              <c:numCache>
                <c:formatCode>0.00</c:formatCode>
                <c:ptCount val="15"/>
                <c:pt idx="0">
                  <c:v>3.8139217235866947</c:v>
                </c:pt>
                <c:pt idx="1">
                  <c:v>3.8802660741485488</c:v>
                </c:pt>
                <c:pt idx="2">
                  <c:v>3.7914957391885729</c:v>
                </c:pt>
                <c:pt idx="3">
                  <c:v>3.7732584086756908</c:v>
                </c:pt>
                <c:pt idx="4">
                  <c:v>3.6344526239684076</c:v>
                </c:pt>
                <c:pt idx="5">
                  <c:v>3.3503862603413026</c:v>
                </c:pt>
                <c:pt idx="6">
                  <c:v>2.6581372287878691</c:v>
                </c:pt>
                <c:pt idx="7">
                  <c:v>2.04654373219129</c:v>
                </c:pt>
                <c:pt idx="8">
                  <c:v>1.163612931172757</c:v>
                </c:pt>
                <c:pt idx="9">
                  <c:v>-0.42523258042127526</c:v>
                </c:pt>
                <c:pt idx="10">
                  <c:v>-1.6925330001067456</c:v>
                </c:pt>
                <c:pt idx="11">
                  <c:v>-3.0794580104022815</c:v>
                </c:pt>
                <c:pt idx="12">
                  <c:v>-4.5452627504841026</c:v>
                </c:pt>
                <c:pt idx="13">
                  <c:v>-6.1820508420823188</c:v>
                </c:pt>
                <c:pt idx="14">
                  <c:v>-7.7894226179256512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9-45C6-B487-EBDFDE5139D9}"/>
            </c:ext>
          </c:extLst>
        </c:ser>
        <c:ser>
          <c:idx val="2"/>
          <c:order val="2"/>
          <c:tx>
            <c:v>h=1km m. ciągu, m=const.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'h=1000m'!$I$56:$I$70</c:f>
              <c:numCache>
                <c:formatCode>0.0</c:formatCode>
                <c:ptCount val="15"/>
                <c:pt idx="0">
                  <c:v>21.489683801374795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'h=1000m'!$M$56:$M$70</c:f>
              <c:numCache>
                <c:formatCode>0.00</c:formatCode>
                <c:ptCount val="15"/>
                <c:pt idx="0">
                  <c:v>2.997759268324002</c:v>
                </c:pt>
                <c:pt idx="1">
                  <c:v>3.012625058912517</c:v>
                </c:pt>
                <c:pt idx="2">
                  <c:v>3.1041759792053982</c:v>
                </c:pt>
                <c:pt idx="3">
                  <c:v>3.1253713455803398</c:v>
                </c:pt>
                <c:pt idx="4">
                  <c:v>3.0928596603754603</c:v>
                </c:pt>
                <c:pt idx="5">
                  <c:v>2.8544453209497882</c:v>
                </c:pt>
                <c:pt idx="6">
                  <c:v>2.2701887547317972</c:v>
                </c:pt>
                <c:pt idx="7">
                  <c:v>1.6478534119567125</c:v>
                </c:pt>
                <c:pt idx="8">
                  <c:v>0.85081611320824024</c:v>
                </c:pt>
                <c:pt idx="9">
                  <c:v>-0.51814715102071929</c:v>
                </c:pt>
                <c:pt idx="10">
                  <c:v>-1.7534774158871149</c:v>
                </c:pt>
                <c:pt idx="11">
                  <c:v>-3.0442474833584456</c:v>
                </c:pt>
                <c:pt idx="12">
                  <c:v>-4.4277761817684693</c:v>
                </c:pt>
                <c:pt idx="13">
                  <c:v>-5.9166600686370838</c:v>
                </c:pt>
                <c:pt idx="14">
                  <c:v>-7.5037150514963615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A9-45C6-B487-EBDFDE5139D9}"/>
            </c:ext>
          </c:extLst>
        </c:ser>
        <c:ser>
          <c:idx val="3"/>
          <c:order val="3"/>
          <c:tx>
            <c:v>h=1,5km m. ciągu, m=const.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'h=1500m'!$I$56:$I$70</c:f>
              <c:numCache>
                <c:formatCode>0.0</c:formatCode>
                <c:ptCount val="15"/>
                <c:pt idx="0">
                  <c:v>22.02743499743352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'h=1500m'!$M$56:$M$70</c:f>
              <c:numCache>
                <c:formatCode>0.00</c:formatCode>
                <c:ptCount val="15"/>
                <c:pt idx="0">
                  <c:v>2.2140780335412176</c:v>
                </c:pt>
                <c:pt idx="1">
                  <c:v>2.277034097500692</c:v>
                </c:pt>
                <c:pt idx="2">
                  <c:v>2.3789227059408331</c:v>
                </c:pt>
                <c:pt idx="3">
                  <c:v>2.4992122233145095</c:v>
                </c:pt>
                <c:pt idx="4">
                  <c:v>2.4308140121795074</c:v>
                </c:pt>
                <c:pt idx="5">
                  <c:v>2.3109735467248016</c:v>
                </c:pt>
                <c:pt idx="6">
                  <c:v>1.8232198589041591</c:v>
                </c:pt>
                <c:pt idx="7">
                  <c:v>1.3014541518897023</c:v>
                </c:pt>
                <c:pt idx="8">
                  <c:v>0.58444025176734093</c:v>
                </c:pt>
                <c:pt idx="9">
                  <c:v>-0.65080402305876961</c:v>
                </c:pt>
                <c:pt idx="10">
                  <c:v>-1.7989344642986138</c:v>
                </c:pt>
                <c:pt idx="11">
                  <c:v>-3.0797859357942885</c:v>
                </c:pt>
                <c:pt idx="12">
                  <c:v>-4.2993710604435824</c:v>
                </c:pt>
                <c:pt idx="13">
                  <c:v>-5.7684631952046894</c:v>
                </c:pt>
                <c:pt idx="14">
                  <c:v>-7.1931886349076297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A9-45C6-B487-EBDFDE5139D9}"/>
            </c:ext>
          </c:extLst>
        </c:ser>
        <c:ser>
          <c:idx val="4"/>
          <c:order val="4"/>
          <c:tx>
            <c:v>h=2km m. ciągu, m=const.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'h=2000m'!$I$55:$I$69</c:f>
              <c:numCache>
                <c:formatCode>0.0</c:formatCode>
                <c:ptCount val="15"/>
                <c:pt idx="0">
                  <c:v>22.585201365641261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'h=2000m'!$M$55:$M$69</c:f>
              <c:numCache>
                <c:formatCode>0.00</c:formatCode>
                <c:ptCount val="15"/>
                <c:pt idx="0">
                  <c:v>1.4399022818355476</c:v>
                </c:pt>
                <c:pt idx="1">
                  <c:v>1.4989144264896765</c:v>
                </c:pt>
                <c:pt idx="2">
                  <c:v>1.6766491337130487</c:v>
                </c:pt>
                <c:pt idx="3">
                  <c:v>1.8371961750650188</c:v>
                </c:pt>
                <c:pt idx="4">
                  <c:v>1.8402629858005921</c:v>
                </c:pt>
                <c:pt idx="5">
                  <c:v>1.6868489785310894</c:v>
                </c:pt>
                <c:pt idx="6">
                  <c:v>1.3315321908178965</c:v>
                </c:pt>
                <c:pt idx="7">
                  <c:v>0.84537833168495247</c:v>
                </c:pt>
                <c:pt idx="8">
                  <c:v>0.25243152198726088</c:v>
                </c:pt>
                <c:pt idx="9">
                  <c:v>-0.84612457794499873</c:v>
                </c:pt>
                <c:pt idx="10">
                  <c:v>-1.9495744671269406</c:v>
                </c:pt>
                <c:pt idx="11">
                  <c:v>-3.0495785686843675</c:v>
                </c:pt>
                <c:pt idx="12">
                  <c:v>-4.2303539400719536</c:v>
                </c:pt>
                <c:pt idx="13">
                  <c:v>-5.630798768304488</c:v>
                </c:pt>
                <c:pt idx="14">
                  <c:v>-6.9507412634779175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A9-45C6-B487-EBDFDE5139D9}"/>
            </c:ext>
          </c:extLst>
        </c:ser>
        <c:ser>
          <c:idx val="5"/>
          <c:order val="5"/>
          <c:tx>
            <c:v>h=2,5km m. ciągu m=const.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'h=2500m'!$I$55:$I$69</c:f>
              <c:numCache>
                <c:formatCode>0.0</c:formatCode>
                <c:ptCount val="15"/>
                <c:pt idx="0">
                  <c:v>23.163977859925087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'h=2500m'!$M$55:$M$69</c:f>
              <c:numCache>
                <c:formatCode>0.00</c:formatCode>
                <c:ptCount val="15"/>
                <c:pt idx="0">
                  <c:v>0.71888807377195607</c:v>
                </c:pt>
                <c:pt idx="1">
                  <c:v>0.79316774096350307</c:v>
                </c:pt>
                <c:pt idx="2">
                  <c:v>0.89351149276324315</c:v>
                </c:pt>
                <c:pt idx="3">
                  <c:v>1.2519092792654061</c:v>
                </c:pt>
                <c:pt idx="4">
                  <c:v>1.3377995170150243</c:v>
                </c:pt>
                <c:pt idx="5">
                  <c:v>1.209448265267808</c:v>
                </c:pt>
                <c:pt idx="6">
                  <c:v>0.97166097507756155</c:v>
                </c:pt>
                <c:pt idx="7">
                  <c:v>0.56227805024526101</c:v>
                </c:pt>
                <c:pt idx="8">
                  <c:v>4.0921081032236711E-2</c:v>
                </c:pt>
                <c:pt idx="9">
                  <c:v>-0.9432335690617466</c:v>
                </c:pt>
                <c:pt idx="10">
                  <c:v>-1.9969402043861655</c:v>
                </c:pt>
                <c:pt idx="11">
                  <c:v>-3.0375479137683095</c:v>
                </c:pt>
                <c:pt idx="12">
                  <c:v>-4.1804014121844055</c:v>
                </c:pt>
                <c:pt idx="13">
                  <c:v>-5.5131859318689633</c:v>
                </c:pt>
                <c:pt idx="14">
                  <c:v>-6.8039601203278055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A9-45C6-B487-EBDFDE5139D9}"/>
            </c:ext>
          </c:extLst>
        </c:ser>
        <c:ser>
          <c:idx val="6"/>
          <c:order val="6"/>
          <c:tx>
            <c:v>h=3km m. ciągu, m=const.</c:v>
          </c:tx>
          <c:spPr>
            <a:ln w="19050" cap="rnd">
              <a:solidFill>
                <a:schemeClr val="tx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'h=3000m'!$I$55:$I$69</c:f>
              <c:numCache>
                <c:formatCode>0.0</c:formatCode>
                <c:ptCount val="15"/>
                <c:pt idx="0">
                  <c:v>23.764821622766078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'h=3000m'!$M$55:$M$69</c:f>
              <c:numCache>
                <c:formatCode>0.00</c:formatCode>
                <c:ptCount val="15"/>
                <c:pt idx="0">
                  <c:v>0.17295574483597653</c:v>
                </c:pt>
                <c:pt idx="1">
                  <c:v>0.23409844853215414</c:v>
                </c:pt>
                <c:pt idx="2">
                  <c:v>0.40659383619841394</c:v>
                </c:pt>
                <c:pt idx="3">
                  <c:v>0.55346479046111696</c:v>
                </c:pt>
                <c:pt idx="4">
                  <c:v>0.71310415252779868</c:v>
                </c:pt>
                <c:pt idx="5">
                  <c:v>0.63394896558801817</c:v>
                </c:pt>
                <c:pt idx="6">
                  <c:v>0.41882693810154725</c:v>
                </c:pt>
                <c:pt idx="7">
                  <c:v>0.10147861631053581</c:v>
                </c:pt>
                <c:pt idx="8">
                  <c:v>-0.24893082657547114</c:v>
                </c:pt>
                <c:pt idx="9">
                  <c:v>-1.126245650345193</c:v>
                </c:pt>
                <c:pt idx="10">
                  <c:v>-2.0068682892858378</c:v>
                </c:pt>
                <c:pt idx="11">
                  <c:v>-2.9492278763949451</c:v>
                </c:pt>
                <c:pt idx="12">
                  <c:v>-4.1594586143681598</c:v>
                </c:pt>
                <c:pt idx="13">
                  <c:v>-5.3284805393268044</c:v>
                </c:pt>
                <c:pt idx="14">
                  <c:v>-6.5850601305088272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8A9-45C6-B487-EBDFDE5139D9}"/>
            </c:ext>
          </c:extLst>
        </c:ser>
        <c:ser>
          <c:idx val="7"/>
          <c:order val="7"/>
          <c:tx>
            <c:v>h=3,5km m. ciągu, m=const.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'h=3500m'!$I$55:$I$69</c:f>
              <c:numCache>
                <c:formatCode>0.0</c:formatCode>
                <c:ptCount val="15"/>
                <c:pt idx="0">
                  <c:v>24.388856687479667</c:v>
                </c:pt>
                <c:pt idx="1">
                  <c:v>25</c:v>
                </c:pt>
                <c:pt idx="2">
                  <c:v>25.5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'h=3500m'!$M$55:$M$69</c:f>
              <c:numCache>
                <c:formatCode>0.00</c:formatCode>
                <c:ptCount val="15"/>
                <c:pt idx="0">
                  <c:v>-0.37239485823142743</c:v>
                </c:pt>
                <c:pt idx="1">
                  <c:v>-0.28405508485083486</c:v>
                </c:pt>
                <c:pt idx="2">
                  <c:v>-0.24808208682350405</c:v>
                </c:pt>
                <c:pt idx="3">
                  <c:v>-8.9025726555291979E-2</c:v>
                </c:pt>
                <c:pt idx="4">
                  <c:v>6.997536528058948E-2</c:v>
                </c:pt>
                <c:pt idx="5">
                  <c:v>0.15488386351433686</c:v>
                </c:pt>
                <c:pt idx="6">
                  <c:v>7.03417011368309E-2</c:v>
                </c:pt>
                <c:pt idx="7">
                  <c:v>-0.21403581837955443</c:v>
                </c:pt>
                <c:pt idx="8">
                  <c:v>-0.65462532103780746</c:v>
                </c:pt>
                <c:pt idx="9">
                  <c:v>-1.3262873700853521</c:v>
                </c:pt>
                <c:pt idx="10">
                  <c:v>-2.0782253236475876</c:v>
                </c:pt>
                <c:pt idx="11">
                  <c:v>-2.9420046772679846</c:v>
                </c:pt>
                <c:pt idx="12">
                  <c:v>-4.0266615850491476</c:v>
                </c:pt>
                <c:pt idx="13">
                  <c:v>-5.1925602152728558</c:v>
                </c:pt>
                <c:pt idx="14">
                  <c:v>-6.3497709348005271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8A9-45C6-B487-EBDFDE5139D9}"/>
            </c:ext>
          </c:extLst>
        </c:ser>
        <c:ser>
          <c:idx val="8"/>
          <c:order val="8"/>
          <c:tx>
            <c:v>h=4km m. ciągu, m=const.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'h=4000m'!$I$55:$I$69</c:f>
              <c:numCache>
                <c:formatCode>0.0</c:formatCode>
                <c:ptCount val="15"/>
                <c:pt idx="0">
                  <c:v>25.037279099232737</c:v>
                </c:pt>
                <c:pt idx="1">
                  <c:v>25.5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'h=4000m'!$M$55:$M$69</c:f>
              <c:numCache>
                <c:formatCode>0.00</c:formatCode>
                <c:ptCount val="15"/>
                <c:pt idx="0">
                  <c:v>-1.0139535086666169</c:v>
                </c:pt>
                <c:pt idx="1">
                  <c:v>-0.87767174681670557</c:v>
                </c:pt>
                <c:pt idx="2">
                  <c:v>-0.77118593503938349</c:v>
                </c:pt>
                <c:pt idx="3">
                  <c:v>-0.57365919682451871</c:v>
                </c:pt>
                <c:pt idx="4">
                  <c:v>-0.48762591783290415</c:v>
                </c:pt>
                <c:pt idx="5">
                  <c:v>-0.35870498168419579</c:v>
                </c:pt>
                <c:pt idx="6">
                  <c:v>-0.41321598401532933</c:v>
                </c:pt>
                <c:pt idx="7">
                  <c:v>-0.66749247131225675</c:v>
                </c:pt>
                <c:pt idx="8">
                  <c:v>-0.94065254771538953</c:v>
                </c:pt>
                <c:pt idx="9">
                  <c:v>-1.589651520185517</c:v>
                </c:pt>
                <c:pt idx="10">
                  <c:v>-2.2001911523548294</c:v>
                </c:pt>
                <c:pt idx="11">
                  <c:v>-3.0579585716752931</c:v>
                </c:pt>
                <c:pt idx="12">
                  <c:v>-4.0133349094960318</c:v>
                </c:pt>
                <c:pt idx="13">
                  <c:v>-5.0473786430127552</c:v>
                </c:pt>
                <c:pt idx="14">
                  <c:v>-6.1444556391918352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8A9-45C6-B487-EBDFDE5139D9}"/>
            </c:ext>
          </c:extLst>
        </c:ser>
        <c:ser>
          <c:idx val="18"/>
          <c:order val="9"/>
          <c:tx>
            <c:v>h=4,5km m. ciągu, m=const.</c:v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'h=4500m'!$I$55:$I$69</c:f>
              <c:numCache>
                <c:formatCode>0.0</c:formatCode>
                <c:ptCount val="15"/>
                <c:pt idx="0">
                  <c:v>25.711362497854655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'h=4500m'!$M$55:$M$69</c:f>
              <c:numCache>
                <c:formatCode>0.00</c:formatCode>
                <c:ptCount val="15"/>
                <c:pt idx="0">
                  <c:v>-1.4560690930907536</c:v>
                </c:pt>
                <c:pt idx="1">
                  <c:v>-1.3241885332676622</c:v>
                </c:pt>
                <c:pt idx="2">
                  <c:v>-1.2486770963792153</c:v>
                </c:pt>
                <c:pt idx="3">
                  <c:v>-1.0654673404134849</c:v>
                </c:pt>
                <c:pt idx="4">
                  <c:v>-0.97126535439731898</c:v>
                </c:pt>
                <c:pt idx="5">
                  <c:v>-0.89134273311381262</c:v>
                </c:pt>
                <c:pt idx="6">
                  <c:v>-0.82630429855566534</c:v>
                </c:pt>
                <c:pt idx="7">
                  <c:v>-0.89593006915255291</c:v>
                </c:pt>
                <c:pt idx="8">
                  <c:v>-1.2438623711301071</c:v>
                </c:pt>
                <c:pt idx="9">
                  <c:v>-1.7783854664830965</c:v>
                </c:pt>
                <c:pt idx="10">
                  <c:v>-2.274119350148557</c:v>
                </c:pt>
                <c:pt idx="11">
                  <c:v>-3.0032833465068642</c:v>
                </c:pt>
                <c:pt idx="12">
                  <c:v>-3.9887500061016112</c:v>
                </c:pt>
                <c:pt idx="13">
                  <c:v>-4.9605209279885178</c:v>
                </c:pt>
                <c:pt idx="14">
                  <c:v>-5.9782676170525875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8A9-45C6-B487-EBDFDE5139D9}"/>
            </c:ext>
          </c:extLst>
        </c:ser>
        <c:ser>
          <c:idx val="9"/>
          <c:order val="10"/>
          <c:tx>
            <c:v>h=0km m. mocy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'h=0m'!$H$40:$H$53</c:f>
              <c:numCache>
                <c:formatCode>0.0</c:formatCode>
                <c:ptCount val="14"/>
                <c:pt idx="0">
                  <c:v>20.470532465396818</c:v>
                </c:pt>
                <c:pt idx="1">
                  <c:v>21.238397639673021</c:v>
                </c:pt>
                <c:pt idx="2">
                  <c:v>22.060249169014579</c:v>
                </c:pt>
                <c:pt idx="3">
                  <c:v>22.968820317653265</c:v>
                </c:pt>
                <c:pt idx="4">
                  <c:v>25.230736583971822</c:v>
                </c:pt>
                <c:pt idx="5">
                  <c:v>26.62968781530088</c:v>
                </c:pt>
                <c:pt idx="6">
                  <c:v>28.294925290433113</c:v>
                </c:pt>
                <c:pt idx="7">
                  <c:v>30.291990994265614</c:v>
                </c:pt>
                <c:pt idx="8">
                  <c:v>32.985751571352921</c:v>
                </c:pt>
                <c:pt idx="9">
                  <c:v>36.14623136708304</c:v>
                </c:pt>
                <c:pt idx="10">
                  <c:v>40.75138175131827</c:v>
                </c:pt>
                <c:pt idx="11">
                  <c:v>43.482302409348236</c:v>
                </c:pt>
                <c:pt idx="12">
                  <c:v>47.575533154287946</c:v>
                </c:pt>
                <c:pt idx="13">
                  <c:v>52.513144456450128</c:v>
                </c:pt>
              </c:numCache>
            </c:numRef>
          </c:xVal>
          <c:yVal>
            <c:numRef>
              <c:f>'h=0m'!$M$40:$M$53</c:f>
              <c:numCache>
                <c:formatCode>0.00</c:formatCode>
                <c:ptCount val="14"/>
                <c:pt idx="0">
                  <c:v>4.2279034677526699</c:v>
                </c:pt>
                <c:pt idx="1">
                  <c:v>4.3080713316560217</c:v>
                </c:pt>
                <c:pt idx="2">
                  <c:v>4.3961642840552893</c:v>
                </c:pt>
                <c:pt idx="3">
                  <c:v>4.4256308548744139</c:v>
                </c:pt>
                <c:pt idx="4">
                  <c:v>4.3364444534308149</c:v>
                </c:pt>
                <c:pt idx="5">
                  <c:v>4.3632092596406942</c:v>
                </c:pt>
                <c:pt idx="6">
                  <c:v>4.1348248825362166</c:v>
                </c:pt>
                <c:pt idx="7">
                  <c:v>3.703180794224779</c:v>
                </c:pt>
                <c:pt idx="8">
                  <c:v>2.9386229471976262</c:v>
                </c:pt>
                <c:pt idx="9">
                  <c:v>2.0496488618439046</c:v>
                </c:pt>
                <c:pt idx="10">
                  <c:v>6.2047003759216825E-2</c:v>
                </c:pt>
                <c:pt idx="11">
                  <c:v>-1.7721450899377647</c:v>
                </c:pt>
                <c:pt idx="12">
                  <c:v>-4.7670891748265394</c:v>
                </c:pt>
                <c:pt idx="13">
                  <c:v>-8.9605392627577771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8A9-45C6-B487-EBDFDE5139D9}"/>
            </c:ext>
          </c:extLst>
        </c:ser>
        <c:ser>
          <c:idx val="10"/>
          <c:order val="11"/>
          <c:tx>
            <c:v>h=0,5km m. mocy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'h=500m'!$H$39:$H$52</c:f>
              <c:numCache>
                <c:formatCode>0.0</c:formatCode>
                <c:ptCount val="14"/>
                <c:pt idx="0">
                  <c:v>20.971010689949036</c:v>
                </c:pt>
                <c:pt idx="1">
                  <c:v>21.757649181419932</c:v>
                </c:pt>
                <c:pt idx="2">
                  <c:v>22.599593924992519</c:v>
                </c:pt>
                <c:pt idx="3">
                  <c:v>23.530378471163424</c:v>
                </c:pt>
                <c:pt idx="4">
                  <c:v>25.847595684781055</c:v>
                </c:pt>
                <c:pt idx="5">
                  <c:v>27.280749476775021</c:v>
                </c:pt>
                <c:pt idx="6">
                  <c:v>28.986699869190709</c:v>
                </c:pt>
                <c:pt idx="7">
                  <c:v>31.032591264267822</c:v>
                </c:pt>
                <c:pt idx="8">
                  <c:v>33.792210827352115</c:v>
                </c:pt>
                <c:pt idx="9">
                  <c:v>37.029960294478123</c:v>
                </c:pt>
                <c:pt idx="10">
                  <c:v>41.74770069033098</c:v>
                </c:pt>
                <c:pt idx="11">
                  <c:v>44.545388850605171</c:v>
                </c:pt>
                <c:pt idx="12">
                  <c:v>48.7386938295382</c:v>
                </c:pt>
                <c:pt idx="13">
                  <c:v>53.79702338571807</c:v>
                </c:pt>
              </c:numCache>
            </c:numRef>
          </c:xVal>
          <c:yVal>
            <c:numRef>
              <c:f>'h=500m'!$M$39:$M$52</c:f>
              <c:numCache>
                <c:formatCode>0.00</c:formatCode>
                <c:ptCount val="14"/>
                <c:pt idx="0">
                  <c:v>3.4308111473137686</c:v>
                </c:pt>
                <c:pt idx="1">
                  <c:v>3.5364122367114494</c:v>
                </c:pt>
                <c:pt idx="2">
                  <c:v>3.6478919349883294</c:v>
                </c:pt>
                <c:pt idx="3">
                  <c:v>3.6185350573993786</c:v>
                </c:pt>
                <c:pt idx="4">
                  <c:v>3.7772244645873898</c:v>
                </c:pt>
                <c:pt idx="5">
                  <c:v>3.679032716656458</c:v>
                </c:pt>
                <c:pt idx="6">
                  <c:v>3.4304128870732358</c:v>
                </c:pt>
                <c:pt idx="7">
                  <c:v>2.9727505293381826</c:v>
                </c:pt>
                <c:pt idx="8">
                  <c:v>2.3149843054546428</c:v>
                </c:pt>
                <c:pt idx="9">
                  <c:v>1.4674505574338546</c:v>
                </c:pt>
                <c:pt idx="10">
                  <c:v>-0.64482564456094815</c:v>
                </c:pt>
                <c:pt idx="11">
                  <c:v>-2.5321909780936926</c:v>
                </c:pt>
                <c:pt idx="12">
                  <c:v>-5.5802370445220673</c:v>
                </c:pt>
                <c:pt idx="13">
                  <c:v>-9.7703627245033395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8A9-45C6-B487-EBDFDE5139D9}"/>
            </c:ext>
          </c:extLst>
        </c:ser>
        <c:ser>
          <c:idx val="11"/>
          <c:order val="12"/>
          <c:tx>
            <c:v>h=1km m. mocy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'h=1000m'!$H$39:$H$52</c:f>
              <c:numCache>
                <c:formatCode>0.0</c:formatCode>
                <c:ptCount val="14"/>
                <c:pt idx="0">
                  <c:v>21.489683801374792</c:v>
                </c:pt>
                <c:pt idx="1">
                  <c:v>22.295778114025257</c:v>
                </c:pt>
                <c:pt idx="2">
                  <c:v>23.158546560673187</c:v>
                </c:pt>
                <c:pt idx="3">
                  <c:v>24.112352072488864</c:v>
                </c:pt>
                <c:pt idx="4">
                  <c:v>26.486880699457327</c:v>
                </c:pt>
                <c:pt idx="5">
                  <c:v>27.955480486278876</c:v>
                </c:pt>
                <c:pt idx="6">
                  <c:v>29.70362391416883</c:v>
                </c:pt>
                <c:pt idx="7">
                  <c:v>31.800116058595254</c:v>
                </c:pt>
                <c:pt idx="8">
                  <c:v>34.627988911246668</c:v>
                </c:pt>
                <c:pt idx="9">
                  <c:v>37.945817188829643</c:v>
                </c:pt>
                <c:pt idx="10">
                  <c:v>42.780240806401928</c:v>
                </c:pt>
                <c:pt idx="11">
                  <c:v>45.6471238016005</c:v>
                </c:pt>
                <c:pt idx="12">
                  <c:v>49.944141213507628</c:v>
                </c:pt>
                <c:pt idx="13">
                  <c:v>55.127577736076013</c:v>
                </c:pt>
              </c:numCache>
            </c:numRef>
          </c:xVal>
          <c:yVal>
            <c:numRef>
              <c:f>'h=1000m'!$M$39:$M$52</c:f>
              <c:numCache>
                <c:formatCode>0.00</c:formatCode>
                <c:ptCount val="14"/>
                <c:pt idx="0">
                  <c:v>2.6400279174448258</c:v>
                </c:pt>
                <c:pt idx="1">
                  <c:v>2.8142046261556319</c:v>
                </c:pt>
                <c:pt idx="2">
                  <c:v>2.8847343211179082</c:v>
                </c:pt>
                <c:pt idx="3">
                  <c:v>2.941889915682022</c:v>
                </c:pt>
                <c:pt idx="4">
                  <c:v>3.1082846064331773</c:v>
                </c:pt>
                <c:pt idx="5">
                  <c:v>3.071325437914096</c:v>
                </c:pt>
                <c:pt idx="6">
                  <c:v>2.7677578450035236</c:v>
                </c:pt>
                <c:pt idx="7">
                  <c:v>2.3453114217895452</c:v>
                </c:pt>
                <c:pt idx="8">
                  <c:v>1.6854395995491744</c:v>
                </c:pt>
                <c:pt idx="9">
                  <c:v>0.91810103586792946</c:v>
                </c:pt>
                <c:pt idx="10">
                  <c:v>-1.4384289530621786</c:v>
                </c:pt>
                <c:pt idx="11">
                  <c:v>-3.2412325653215261</c:v>
                </c:pt>
                <c:pt idx="12">
                  <c:v>-6.4091638498140924</c:v>
                </c:pt>
                <c:pt idx="13">
                  <c:v>-10.322904249123175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8A9-45C6-B487-EBDFDE5139D9}"/>
            </c:ext>
          </c:extLst>
        </c:ser>
        <c:ser>
          <c:idx val="12"/>
          <c:order val="13"/>
          <c:tx>
            <c:v>h=1,5km m. mocy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'h=1500m'!$H$39:$H$52</c:f>
              <c:numCache>
                <c:formatCode>0.0</c:formatCode>
                <c:ptCount val="14"/>
                <c:pt idx="0">
                  <c:v>22.02743499743352</c:v>
                </c:pt>
                <c:pt idx="1">
                  <c:v>22.853700764665192</c:v>
                </c:pt>
                <c:pt idx="2">
                  <c:v>23.738058861881967</c:v>
                </c:pt>
                <c:pt idx="3">
                  <c:v>24.715732107607877</c:v>
                </c:pt>
                <c:pt idx="4">
                  <c:v>27.149680203984552</c:v>
                </c:pt>
                <c:pt idx="5">
                  <c:v>28.65502977731736</c:v>
                </c:pt>
                <c:pt idx="6">
                  <c:v>30.446918205269611</c:v>
                </c:pt>
                <c:pt idx="7">
                  <c:v>32.595872320221673</c:v>
                </c:pt>
                <c:pt idx="8">
                  <c:v>35.494508987867796</c:v>
                </c:pt>
                <c:pt idx="9">
                  <c:v>38.895361573350243</c:v>
                </c:pt>
                <c:pt idx="10">
                  <c:v>43.850760311200375</c:v>
                </c:pt>
                <c:pt idx="11">
                  <c:v>46.789383299126513</c:v>
                </c:pt>
                <c:pt idx="12">
                  <c:v>51.193927944756389</c:v>
                </c:pt>
                <c:pt idx="13">
                  <c:v>56.507073178512385</c:v>
                </c:pt>
              </c:numCache>
            </c:numRef>
          </c:xVal>
          <c:yVal>
            <c:numRef>
              <c:f>'h=1500m'!$M$39:$M$52</c:f>
              <c:numCache>
                <c:formatCode>0.00</c:formatCode>
                <c:ptCount val="14"/>
                <c:pt idx="0">
                  <c:v>1.8786070059299127</c:v>
                </c:pt>
                <c:pt idx="1">
                  <c:v>2.0759478454636739</c:v>
                </c:pt>
                <c:pt idx="2">
                  <c:v>2.1092032602610598</c:v>
                </c:pt>
                <c:pt idx="3">
                  <c:v>2.2111718225524806</c:v>
                </c:pt>
                <c:pt idx="4">
                  <c:v>2.4099967212320461</c:v>
                </c:pt>
                <c:pt idx="5">
                  <c:v>2.3497479565391717</c:v>
                </c:pt>
                <c:pt idx="6">
                  <c:v>2.1451502654706323</c:v>
                </c:pt>
                <c:pt idx="7">
                  <c:v>1.7257536353087999</c:v>
                </c:pt>
                <c:pt idx="8">
                  <c:v>1.2150427231979182</c:v>
                </c:pt>
                <c:pt idx="9">
                  <c:v>0.31329932243429598</c:v>
                </c:pt>
                <c:pt idx="10">
                  <c:v>-2.1451605796230981</c:v>
                </c:pt>
                <c:pt idx="11">
                  <c:v>-4.0777594809566464</c:v>
                </c:pt>
                <c:pt idx="12">
                  <c:v>-7.136686256546116</c:v>
                </c:pt>
                <c:pt idx="13">
                  <c:v>-10.912971808438334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8A9-45C6-B487-EBDFDE5139D9}"/>
            </c:ext>
          </c:extLst>
        </c:ser>
        <c:ser>
          <c:idx val="13"/>
          <c:order val="14"/>
          <c:tx>
            <c:v>h=2km m. mocy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'h=2000m'!$H$39:$H$51</c:f>
              <c:numCache>
                <c:formatCode>0.0</c:formatCode>
                <c:ptCount val="13"/>
                <c:pt idx="0">
                  <c:v>22.585201365641257</c:v>
                </c:pt>
                <c:pt idx="1">
                  <c:v>23.43238937171812</c:v>
                </c:pt>
                <c:pt idx="2">
                  <c:v>24.339140689213931</c:v>
                </c:pt>
                <c:pt idx="3">
                  <c:v>25.341570029129926</c:v>
                </c:pt>
                <c:pt idx="4">
                  <c:v>27.837149195591717</c:v>
                </c:pt>
                <c:pt idx="5">
                  <c:v>29.380616387453362</c:v>
                </c:pt>
                <c:pt idx="6">
                  <c:v>31.217878010278685</c:v>
                </c:pt>
                <c:pt idx="7">
                  <c:v>33.421246737385161</c:v>
                </c:pt>
                <c:pt idx="8">
                  <c:v>36.393281058777859</c:v>
                </c:pt>
                <c:pt idx="9">
                  <c:v>39.880248128113529</c:v>
                </c:pt>
                <c:pt idx="10">
                  <c:v>44.961124696557825</c:v>
                </c:pt>
                <c:pt idx="11">
                  <c:v>47.974157849430462</c:v>
                </c:pt>
                <c:pt idx="12">
                  <c:v>52.490231906945468</c:v>
                </c:pt>
              </c:numCache>
            </c:numRef>
          </c:xVal>
          <c:yVal>
            <c:numRef>
              <c:f>'h=2000m'!$M$39:$M$51</c:f>
              <c:numCache>
                <c:formatCode>0.00</c:formatCode>
                <c:ptCount val="13"/>
                <c:pt idx="0">
                  <c:v>1.1243845526728682</c:v>
                </c:pt>
                <c:pt idx="1">
                  <c:v>1.3447275159566705</c:v>
                </c:pt>
                <c:pt idx="2">
                  <c:v>1.621783912665218</c:v>
                </c:pt>
                <c:pt idx="3">
                  <c:v>1.7562946993078434</c:v>
                </c:pt>
                <c:pt idx="4">
                  <c:v>1.8595496298981486</c:v>
                </c:pt>
                <c:pt idx="5">
                  <c:v>1.7215523040700271</c:v>
                </c:pt>
                <c:pt idx="6">
                  <c:v>1.4213924796175172</c:v>
                </c:pt>
                <c:pt idx="7">
                  <c:v>1.0999774251489902</c:v>
                </c:pt>
                <c:pt idx="8">
                  <c:v>0.60075258140587851</c:v>
                </c:pt>
                <c:pt idx="9">
                  <c:v>-0.31773960579432275</c:v>
                </c:pt>
                <c:pt idx="10">
                  <c:v>-2.8452699914509294</c:v>
                </c:pt>
                <c:pt idx="11">
                  <c:v>-4.6767461736092466</c:v>
                </c:pt>
                <c:pt idx="12">
                  <c:v>-7.8519831660838477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8A9-45C6-B487-EBDFDE5139D9}"/>
            </c:ext>
          </c:extLst>
        </c:ser>
        <c:ser>
          <c:idx val="14"/>
          <c:order val="15"/>
          <c:tx>
            <c:v>h=2,5km m. mocy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'h=2500m'!$H$39:$H$51</c:f>
              <c:numCache>
                <c:formatCode>0.0</c:formatCode>
                <c:ptCount val="13"/>
                <c:pt idx="0">
                  <c:v>23.163977859925083</c:v>
                </c:pt>
                <c:pt idx="1">
                  <c:v>24.032876210586359</c:v>
                </c:pt>
                <c:pt idx="2">
                  <c:v>24.962864263510433</c:v>
                </c:pt>
                <c:pt idx="3">
                  <c:v>25.990982218273427</c:v>
                </c:pt>
                <c:pt idx="4">
                  <c:v>28.550513994135894</c:v>
                </c:pt>
                <c:pt idx="5">
                  <c:v>30.133534631454381</c:v>
                </c:pt>
                <c:pt idx="6">
                  <c:v>32.017878581504775</c:v>
                </c:pt>
                <c:pt idx="7">
                  <c:v>34.277711628182438</c:v>
                </c:pt>
                <c:pt idx="8">
                  <c:v>37.325908370161024</c:v>
                </c:pt>
                <c:pt idx="9">
                  <c:v>40.902233711907023</c:v>
                </c:pt>
                <c:pt idx="10">
                  <c:v>46.113314650928544</c:v>
                </c:pt>
                <c:pt idx="11">
                  <c:v>49.203560875190192</c:v>
                </c:pt>
                <c:pt idx="12">
                  <c:v>53.835365470973102</c:v>
                </c:pt>
              </c:numCache>
            </c:numRef>
          </c:xVal>
          <c:yVal>
            <c:numRef>
              <c:f>'h=2500m'!$M$39:$M$51</c:f>
              <c:numCache>
                <c:formatCode>0.00</c:formatCode>
                <c:ptCount val="13"/>
                <c:pt idx="0">
                  <c:v>0.42012519693585393</c:v>
                </c:pt>
                <c:pt idx="1">
                  <c:v>0.70200946142209064</c:v>
                </c:pt>
                <c:pt idx="2">
                  <c:v>0.93741630737251191</c:v>
                </c:pt>
                <c:pt idx="3">
                  <c:v>1.148569680707739</c:v>
                </c:pt>
                <c:pt idx="4">
                  <c:v>1.2272115612237349</c:v>
                </c:pt>
                <c:pt idx="5">
                  <c:v>1.1652222287276572</c:v>
                </c:pt>
                <c:pt idx="6">
                  <c:v>0.95284224587338229</c:v>
                </c:pt>
                <c:pt idx="7">
                  <c:v>0.72386459807098513</c:v>
                </c:pt>
                <c:pt idx="8">
                  <c:v>0.12651813882510657</c:v>
                </c:pt>
                <c:pt idx="9">
                  <c:v>-0.78237802161540659</c:v>
                </c:pt>
                <c:pt idx="10">
                  <c:v>-3.4851595606792283</c:v>
                </c:pt>
                <c:pt idx="11">
                  <c:v>-5.3697437162814774</c:v>
                </c:pt>
                <c:pt idx="12">
                  <c:v>-8.5269920930374905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8A9-45C6-B487-EBDFDE5139D9}"/>
            </c:ext>
          </c:extLst>
        </c:ser>
        <c:ser>
          <c:idx val="15"/>
          <c:order val="16"/>
          <c:tx>
            <c:v>h=3km m. mocy</c:v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'h=3000m'!$H$38:$H$50</c:f>
              <c:numCache>
                <c:formatCode>0.0</c:formatCode>
                <c:ptCount val="13"/>
                <c:pt idx="0">
                  <c:v>23.764821622766078</c:v>
                </c:pt>
                <c:pt idx="1">
                  <c:v>24.65625807796599</c:v>
                </c:pt>
                <c:pt idx="2">
                  <c:v>25.610368823654451</c:v>
                </c:pt>
                <c:pt idx="3">
                  <c:v>26.665154834496573</c:v>
                </c:pt>
                <c:pt idx="4">
                  <c:v>29.291077569313501</c:v>
                </c:pt>
                <c:pt idx="5">
                  <c:v>30.915159723877995</c:v>
                </c:pt>
                <c:pt idx="6">
                  <c:v>32.848381129962981</c:v>
                </c:pt>
                <c:pt idx="7">
                  <c:v>35.16683133641213</c:v>
                </c:pt>
                <c:pt idx="8">
                  <c:v>38.294094377426447</c:v>
                </c:pt>
                <c:pt idx="9">
                  <c:v>41.963184994138281</c:v>
                </c:pt>
                <c:pt idx="10">
                  <c:v>47.309434663625879</c:v>
                </c:pt>
                <c:pt idx="11">
                  <c:v>50.479837896356393</c:v>
                </c:pt>
                <c:pt idx="12">
                  <c:v>55.23178554006067</c:v>
                </c:pt>
              </c:numCache>
            </c:numRef>
          </c:xVal>
          <c:yVal>
            <c:numRef>
              <c:f>'h=3000m'!$M$38:$M$50</c:f>
              <c:numCache>
                <c:formatCode>0.00</c:formatCode>
                <c:ptCount val="13"/>
                <c:pt idx="0">
                  <c:v>-5.335663807312329E-2</c:v>
                </c:pt>
                <c:pt idx="1">
                  <c:v>0.14261919400735648</c:v>
                </c:pt>
                <c:pt idx="2">
                  <c:v>0.3928833380845142</c:v>
                </c:pt>
                <c:pt idx="3">
                  <c:v>0.50919587569569635</c:v>
                </c:pt>
                <c:pt idx="4">
                  <c:v>0.66865858032223313</c:v>
                </c:pt>
                <c:pt idx="5">
                  <c:v>0.59823929106795304</c:v>
                </c:pt>
                <c:pt idx="6">
                  <c:v>0.38292487377437084</c:v>
                </c:pt>
                <c:pt idx="7">
                  <c:v>1.5898315245900237E-2</c:v>
                </c:pt>
                <c:pt idx="8">
                  <c:v>-0.36866419017289209</c:v>
                </c:pt>
                <c:pt idx="9">
                  <c:v>-1.4263625563054947</c:v>
                </c:pt>
                <c:pt idx="10">
                  <c:v>-4.2011621921801154</c:v>
                </c:pt>
                <c:pt idx="11">
                  <c:v>-6.0619025807554028</c:v>
                </c:pt>
                <c:pt idx="12">
                  <c:v>-9.0386015743824775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8A9-45C6-B487-EBDFDE5139D9}"/>
            </c:ext>
          </c:extLst>
        </c:ser>
        <c:ser>
          <c:idx val="16"/>
          <c:order val="17"/>
          <c:tx>
            <c:v>h=3,5km m. mocy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'h=3500m'!$H$38:$H$49</c:f>
              <c:numCache>
                <c:formatCode>0.0</c:formatCode>
                <c:ptCount val="12"/>
                <c:pt idx="0">
                  <c:v>24.388856687479667</c:v>
                </c:pt>
                <c:pt idx="1">
                  <c:v>25.303701170513282</c:v>
                </c:pt>
                <c:pt idx="2">
                  <c:v>26.282865694024309</c:v>
                </c:pt>
                <c:pt idx="3">
                  <c:v>27.365349091658693</c:v>
                </c:pt>
                <c:pt idx="4">
                  <c:v>30.0602253364058</c:v>
                </c:pt>
                <c:pt idx="5">
                  <c:v>31.726953896170023</c:v>
                </c:pt>
                <c:pt idx="6">
                  <c:v>33.71093932499425</c:v>
                </c:pt>
                <c:pt idx="7">
                  <c:v>36.090269189939576</c:v>
                </c:pt>
                <c:pt idx="8">
                  <c:v>39.299650322356122</c:v>
                </c:pt>
                <c:pt idx="9">
                  <c:v>43.065086757975607</c:v>
                </c:pt>
                <c:pt idx="10">
                  <c:v>48.551722385810891</c:v>
                </c:pt>
                <c:pt idx="11">
                  <c:v>51.805376518460214</c:v>
                </c:pt>
              </c:numCache>
            </c:numRef>
          </c:xVal>
          <c:yVal>
            <c:numRef>
              <c:f>'h=3500m'!$M$38:$M$49</c:f>
              <c:numCache>
                <c:formatCode>0.00</c:formatCode>
                <c:ptCount val="12"/>
                <c:pt idx="0">
                  <c:v>-0.64917486981834238</c:v>
                </c:pt>
                <c:pt idx="1">
                  <c:v>-0.41508967494218141</c:v>
                </c:pt>
                <c:pt idx="2">
                  <c:v>-0.20494589612855194</c:v>
                </c:pt>
                <c:pt idx="3">
                  <c:v>-6.9772769715577138E-2</c:v>
                </c:pt>
                <c:pt idx="4">
                  <c:v>0.14763138671932471</c:v>
                </c:pt>
                <c:pt idx="5">
                  <c:v>9.8990137380858476E-2</c:v>
                </c:pt>
                <c:pt idx="6">
                  <c:v>-9.2964055790193567E-2</c:v>
                </c:pt>
                <c:pt idx="7">
                  <c:v>-0.38145526155079468</c:v>
                </c:pt>
                <c:pt idx="8">
                  <c:v>-0.89455236343083833</c:v>
                </c:pt>
                <c:pt idx="9">
                  <c:v>-2.0327365015300916</c:v>
                </c:pt>
                <c:pt idx="10">
                  <c:v>-4.7559641790320502</c:v>
                </c:pt>
                <c:pt idx="11">
                  <c:v>-6.761004903644241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8A9-45C6-B487-EBDFDE5139D9}"/>
            </c:ext>
          </c:extLst>
        </c:ser>
        <c:ser>
          <c:idx val="17"/>
          <c:order val="18"/>
          <c:tx>
            <c:v>h=4km m. mocy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'h=4000m'!$H$38:$H$49</c:f>
              <c:numCache>
                <c:formatCode>0.0</c:formatCode>
                <c:ptCount val="12"/>
                <c:pt idx="0">
                  <c:v>25.037279099232734</c:v>
                </c:pt>
                <c:pt idx="1">
                  <c:v>25.976446397955051</c:v>
                </c:pt>
                <c:pt idx="2">
                  <c:v>26.981643803202758</c:v>
                </c:pt>
                <c:pt idx="3">
                  <c:v>28.092907004022305</c:v>
                </c:pt>
                <c:pt idx="4">
                  <c:v>30.859431468133955</c:v>
                </c:pt>
                <c:pt idx="5">
                  <c:v>32.570473058488702</c:v>
                </c:pt>
                <c:pt idx="6">
                  <c:v>34.607206372674092</c:v>
                </c:pt>
                <c:pt idx="7">
                  <c:v>37.049795078702196</c:v>
                </c:pt>
                <c:pt idx="8">
                  <c:v>40.344503484995613</c:v>
                </c:pt>
                <c:pt idx="9">
                  <c:v>44.210050942881296</c:v>
                </c:pt>
                <c:pt idx="10">
                  <c:v>49.842558825074342</c:v>
                </c:pt>
                <c:pt idx="11">
                  <c:v>53.182717310376901</c:v>
                </c:pt>
              </c:numCache>
            </c:numRef>
          </c:xVal>
          <c:yVal>
            <c:numRef>
              <c:f>'h=4000m'!$M$38:$M$49</c:f>
              <c:numCache>
                <c:formatCode>0.00</c:formatCode>
                <c:ptCount val="12"/>
                <c:pt idx="0">
                  <c:v>-1.2797153554344938</c:v>
                </c:pt>
                <c:pt idx="1">
                  <c:v>-0.93272145302312826</c:v>
                </c:pt>
                <c:pt idx="2">
                  <c:v>-0.67177187165923036</c:v>
                </c:pt>
                <c:pt idx="3">
                  <c:v>-0.57422468977853647</c:v>
                </c:pt>
                <c:pt idx="4">
                  <c:v>-0.33777140502510289</c:v>
                </c:pt>
                <c:pt idx="5">
                  <c:v>-0.39619272111970444</c:v>
                </c:pt>
                <c:pt idx="6">
                  <c:v>-0.53695813396881409</c:v>
                </c:pt>
                <c:pt idx="7">
                  <c:v>-0.89522239620519828</c:v>
                </c:pt>
                <c:pt idx="8">
                  <c:v>-1.4116866786705373</c:v>
                </c:pt>
                <c:pt idx="9">
                  <c:v>-2.5700484276155287</c:v>
                </c:pt>
                <c:pt idx="10">
                  <c:v>-5.4234110352073257</c:v>
                </c:pt>
                <c:pt idx="11">
                  <c:v>-7.1804262224905795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8A9-45C6-B487-EBDFDE5139D9}"/>
            </c:ext>
          </c:extLst>
        </c:ser>
        <c:ser>
          <c:idx val="19"/>
          <c:order val="19"/>
          <c:tx>
            <c:v>h=4,5km m. mocy</c:v>
          </c:tx>
          <c:spPr>
            <a:ln w="1905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'h=4500m'!$H$38:$H$49</c:f>
              <c:numCache>
                <c:formatCode>0.0</c:formatCode>
                <c:ptCount val="12"/>
                <c:pt idx="0">
                  <c:v>25.711362497854651</c:v>
                </c:pt>
                <c:pt idx="1">
                  <c:v>26.675815175315133</c:v>
                </c:pt>
                <c:pt idx="2">
                  <c:v>27.708075700342341</c:v>
                </c:pt>
                <c:pt idx="3">
                  <c:v>28.849257650407882</c:v>
                </c:pt>
                <c:pt idx="4">
                  <c:v>31.690265775693252</c:v>
                </c:pt>
                <c:pt idx="5">
                  <c:v>33.447374062266796</c:v>
                </c:pt>
                <c:pt idx="6">
                  <c:v>35.53894273252547</c:v>
                </c:pt>
                <c:pt idx="7">
                  <c:v>38.047293716070605</c:v>
                </c:pt>
                <c:pt idx="8">
                  <c:v>41.43070617966913</c:v>
                </c:pt>
                <c:pt idx="9">
                  <c:v>45.400326502566166</c:v>
                </c:pt>
                <c:pt idx="10">
                  <c:v>51.184479459327633</c:v>
                </c:pt>
                <c:pt idx="11">
                  <c:v>54.614565663005045</c:v>
                </c:pt>
              </c:numCache>
            </c:numRef>
          </c:xVal>
          <c:yVal>
            <c:numRef>
              <c:f>'h=4500m'!$M$38:$M$49</c:f>
              <c:numCache>
                <c:formatCode>0.00</c:formatCode>
                <c:ptCount val="12"/>
                <c:pt idx="0">
                  <c:v>-1.7150640066869927</c:v>
                </c:pt>
                <c:pt idx="1">
                  <c:v>-1.4301876334044767</c:v>
                </c:pt>
                <c:pt idx="2">
                  <c:v>-1.2257126504513076</c:v>
                </c:pt>
                <c:pt idx="3">
                  <c:v>-1.0424672838804481</c:v>
                </c:pt>
                <c:pt idx="4">
                  <c:v>-0.85011019878878569</c:v>
                </c:pt>
                <c:pt idx="5">
                  <c:v>-0.82845307283303726</c:v>
                </c:pt>
                <c:pt idx="6">
                  <c:v>-0.95041857762476989</c:v>
                </c:pt>
                <c:pt idx="7">
                  <c:v>-1.2611524032583414</c:v>
                </c:pt>
                <c:pt idx="8">
                  <c:v>-1.896151540989865</c:v>
                </c:pt>
                <c:pt idx="9">
                  <c:v>-3.0956725204280144</c:v>
                </c:pt>
                <c:pt idx="10">
                  <c:v>-5.9653398845477366</c:v>
                </c:pt>
                <c:pt idx="11">
                  <c:v>-7.7151263605164004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8A9-45C6-B487-EBDFDE5139D9}"/>
            </c:ext>
          </c:extLst>
        </c:ser>
        <c:ser>
          <c:idx val="22"/>
          <c:order val="20"/>
          <c:tx>
            <c:v>h=0km, m. ciągu, zmienna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22.079780146439905</c:v>
                </c:pt>
                <c:pt idx="2">
                  <c:v>23.689027827482992</c:v>
                </c:pt>
                <c:pt idx="3">
                  <c:v>25.298275508526075</c:v>
                </c:pt>
                <c:pt idx="4">
                  <c:v>26.907523189569158</c:v>
                </c:pt>
                <c:pt idx="5">
                  <c:v>28.516770870612241</c:v>
                </c:pt>
                <c:pt idx="6">
                  <c:v>30.126018551655328</c:v>
                </c:pt>
                <c:pt idx="7">
                  <c:v>31.735266232698411</c:v>
                </c:pt>
                <c:pt idx="8">
                  <c:v>33.344513913741494</c:v>
                </c:pt>
                <c:pt idx="9">
                  <c:v>34.953761594784581</c:v>
                </c:pt>
                <c:pt idx="10">
                  <c:v>36.563009275827667</c:v>
                </c:pt>
                <c:pt idx="11">
                  <c:v>38.172256956870747</c:v>
                </c:pt>
                <c:pt idx="12">
                  <c:v>39.781504637913834</c:v>
                </c:pt>
                <c:pt idx="13">
                  <c:v>41.390752318956913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masa'!$N$4:$N$18</c:f>
              <c:numCache>
                <c:formatCode>0.00</c:formatCode>
                <c:ptCount val="15"/>
                <c:pt idx="0">
                  <c:v>4.6389382690645746</c:v>
                </c:pt>
                <c:pt idx="1">
                  <c:v>4.7281020277410635</c:v>
                </c:pt>
                <c:pt idx="2">
                  <c:v>4.8719059293173013</c:v>
                </c:pt>
                <c:pt idx="3">
                  <c:v>4.8626386117170268</c:v>
                </c:pt>
                <c:pt idx="4">
                  <c:v>4.8408460947174614</c:v>
                </c:pt>
                <c:pt idx="5">
                  <c:v>4.6283771641653386</c:v>
                </c:pt>
                <c:pt idx="6">
                  <c:v>4.3549427855898237</c:v>
                </c:pt>
                <c:pt idx="7">
                  <c:v>4.076156043841582</c:v>
                </c:pt>
                <c:pt idx="8">
                  <c:v>3.6807825678465345</c:v>
                </c:pt>
                <c:pt idx="9">
                  <c:v>3.3009703233436305</c:v>
                </c:pt>
                <c:pt idx="10">
                  <c:v>2.8593773431400149</c:v>
                </c:pt>
                <c:pt idx="11">
                  <c:v>2.3452915202510125</c:v>
                </c:pt>
                <c:pt idx="12">
                  <c:v>1.5850410748738253</c:v>
                </c:pt>
                <c:pt idx="13">
                  <c:v>0.46549685163571225</c:v>
                </c:pt>
                <c:pt idx="14">
                  <c:v>-0.7810262760272807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8A9-45C6-B487-EBDFDE5139D9}"/>
            </c:ext>
          </c:extLst>
        </c:ser>
        <c:ser>
          <c:idx val="23"/>
          <c:order val="21"/>
          <c:tx>
            <c:v>h=0,5km, m. ciągu, zmienna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masa'!$J$22:$J$36</c:f>
              <c:numCache>
                <c:formatCode>0.0</c:formatCode>
                <c:ptCount val="15"/>
                <c:pt idx="0">
                  <c:v>20.961063043845897</c:v>
                </c:pt>
                <c:pt idx="1">
                  <c:v>22.535272826428333</c:v>
                </c:pt>
                <c:pt idx="2">
                  <c:v>24.109482609010769</c:v>
                </c:pt>
                <c:pt idx="3">
                  <c:v>25.683692391593205</c:v>
                </c:pt>
                <c:pt idx="4">
                  <c:v>27.257902174175641</c:v>
                </c:pt>
                <c:pt idx="5">
                  <c:v>28.832111956758077</c:v>
                </c:pt>
                <c:pt idx="6">
                  <c:v>30.406321739340513</c:v>
                </c:pt>
                <c:pt idx="7">
                  <c:v>31.980531521922948</c:v>
                </c:pt>
                <c:pt idx="8">
                  <c:v>33.554741304505384</c:v>
                </c:pt>
                <c:pt idx="9">
                  <c:v>35.12895108708782</c:v>
                </c:pt>
                <c:pt idx="10">
                  <c:v>36.703160869670256</c:v>
                </c:pt>
                <c:pt idx="11">
                  <c:v>38.277370652252692</c:v>
                </c:pt>
                <c:pt idx="12">
                  <c:v>39.851580434835128</c:v>
                </c:pt>
                <c:pt idx="13">
                  <c:v>41.425790217417564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masa'!$N$22:$N$36</c:f>
              <c:numCache>
                <c:formatCode>0.00</c:formatCode>
                <c:ptCount val="15"/>
                <c:pt idx="0">
                  <c:v>3.8305175392260939</c:v>
                </c:pt>
                <c:pt idx="1">
                  <c:v>3.9862944749406539</c:v>
                </c:pt>
                <c:pt idx="2">
                  <c:v>4.0044537370113193</c:v>
                </c:pt>
                <c:pt idx="3">
                  <c:v>4.0886766826241265</c:v>
                </c:pt>
                <c:pt idx="4">
                  <c:v>4.1363193061807202</c:v>
                </c:pt>
                <c:pt idx="5">
                  <c:v>4.0468047286645747</c:v>
                </c:pt>
                <c:pt idx="6">
                  <c:v>3.7706060514282687</c:v>
                </c:pt>
                <c:pt idx="7">
                  <c:v>3.4610324800815873</c:v>
                </c:pt>
                <c:pt idx="8">
                  <c:v>3.0890406095970135</c:v>
                </c:pt>
                <c:pt idx="9">
                  <c:v>2.7649921470369083</c:v>
                </c:pt>
                <c:pt idx="10">
                  <c:v>2.3942559190685544</c:v>
                </c:pt>
                <c:pt idx="11">
                  <c:v>2.007197751256093</c:v>
                </c:pt>
                <c:pt idx="12">
                  <c:v>1.2485077285541308</c:v>
                </c:pt>
                <c:pt idx="13">
                  <c:v>0.26734524475705113</c:v>
                </c:pt>
                <c:pt idx="14">
                  <c:v>-0.8316541741415826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8A9-45C6-B487-EBDFDE5139D9}"/>
            </c:ext>
          </c:extLst>
        </c:ser>
        <c:ser>
          <c:idx val="24"/>
          <c:order val="22"/>
          <c:tx>
            <c:v>h=1km, m. ciągu, zmienna masa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masa'!$J$40:$J$54</c:f>
              <c:numCache>
                <c:formatCode>0.0</c:formatCode>
                <c:ptCount val="15"/>
                <c:pt idx="0">
                  <c:v>21.468302938847525</c:v>
                </c:pt>
                <c:pt idx="1">
                  <c:v>23.006281300358417</c:v>
                </c:pt>
                <c:pt idx="2">
                  <c:v>24.544259661869308</c:v>
                </c:pt>
                <c:pt idx="3">
                  <c:v>26.082238023380199</c:v>
                </c:pt>
                <c:pt idx="4">
                  <c:v>27.620216384891091</c:v>
                </c:pt>
                <c:pt idx="5">
                  <c:v>29.158194746401982</c:v>
                </c:pt>
                <c:pt idx="6">
                  <c:v>30.69617310791287</c:v>
                </c:pt>
                <c:pt idx="7">
                  <c:v>32.234151469423765</c:v>
                </c:pt>
                <c:pt idx="8">
                  <c:v>33.772129830934652</c:v>
                </c:pt>
                <c:pt idx="9">
                  <c:v>35.310108192445547</c:v>
                </c:pt>
                <c:pt idx="10">
                  <c:v>36.848086553956435</c:v>
                </c:pt>
                <c:pt idx="11">
                  <c:v>38.38606491546733</c:v>
                </c:pt>
                <c:pt idx="12">
                  <c:v>39.924043276978217</c:v>
                </c:pt>
                <c:pt idx="13">
                  <c:v>41.462021638489105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masa'!$N$40:$N$54</c:f>
              <c:numCache>
                <c:formatCode>0.00</c:formatCode>
                <c:ptCount val="15"/>
                <c:pt idx="0">
                  <c:v>3.0300430284647475</c:v>
                </c:pt>
                <c:pt idx="1">
                  <c:v>3.2241706165272515</c:v>
                </c:pt>
                <c:pt idx="2">
                  <c:v>3.3867456694064906</c:v>
                </c:pt>
                <c:pt idx="3">
                  <c:v>3.4285019984554808</c:v>
                </c:pt>
                <c:pt idx="4">
                  <c:v>3.4802122903603983</c:v>
                </c:pt>
                <c:pt idx="5">
                  <c:v>3.365194603894945</c:v>
                </c:pt>
                <c:pt idx="6">
                  <c:v>3.2401280246450082</c:v>
                </c:pt>
                <c:pt idx="7">
                  <c:v>2.9926142051143807</c:v>
                </c:pt>
                <c:pt idx="8">
                  <c:v>2.666783913113842</c:v>
                </c:pt>
                <c:pt idx="9">
                  <c:v>2.3592960764020141</c:v>
                </c:pt>
                <c:pt idx="10">
                  <c:v>2.0084838909031615</c:v>
                </c:pt>
                <c:pt idx="11">
                  <c:v>1.6023840453114291</c:v>
                </c:pt>
                <c:pt idx="12">
                  <c:v>0.95338797658836205</c:v>
                </c:pt>
                <c:pt idx="13">
                  <c:v>0.13260932180918983</c:v>
                </c:pt>
                <c:pt idx="14">
                  <c:v>-0.88784036715571502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8A9-45C6-B487-EBDFDE5139D9}"/>
            </c:ext>
          </c:extLst>
        </c:ser>
        <c:ser>
          <c:idx val="25"/>
          <c:order val="23"/>
          <c:tx>
            <c:v>h=1,5km, m. ciągu, zmienna masa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masa'!$J$58:$J$72</c:f>
              <c:numCache>
                <c:formatCode>0.0</c:formatCode>
                <c:ptCount val="15"/>
                <c:pt idx="0">
                  <c:v>21.992728725304172</c:v>
                </c:pt>
                <c:pt idx="1">
                  <c:v>23.421819530639588</c:v>
                </c:pt>
                <c:pt idx="2">
                  <c:v>24.850910335975005</c:v>
                </c:pt>
                <c:pt idx="3">
                  <c:v>26.280001141310422</c:v>
                </c:pt>
                <c:pt idx="4">
                  <c:v>27.709091946645838</c:v>
                </c:pt>
                <c:pt idx="5">
                  <c:v>29.138182751981255</c:v>
                </c:pt>
                <c:pt idx="6">
                  <c:v>30.567273557316668</c:v>
                </c:pt>
                <c:pt idx="7">
                  <c:v>31.996364362652088</c:v>
                </c:pt>
                <c:pt idx="8">
                  <c:v>33.425455167987501</c:v>
                </c:pt>
                <c:pt idx="9">
                  <c:v>34.854545973322921</c:v>
                </c:pt>
                <c:pt idx="10">
                  <c:v>36.283636778658334</c:v>
                </c:pt>
                <c:pt idx="11">
                  <c:v>37.712727583993754</c:v>
                </c:pt>
                <c:pt idx="12">
                  <c:v>39.141818389329167</c:v>
                </c:pt>
                <c:pt idx="13">
                  <c:v>40.57090919466458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masa'!$N$58:$N$72</c:f>
              <c:numCache>
                <c:formatCode>0.00</c:formatCode>
                <c:ptCount val="15"/>
                <c:pt idx="0">
                  <c:v>2.2613904376671194</c:v>
                </c:pt>
                <c:pt idx="1">
                  <c:v>2.4558591575580508</c:v>
                </c:pt>
                <c:pt idx="2">
                  <c:v>2.7142873060301356</c:v>
                </c:pt>
                <c:pt idx="3">
                  <c:v>2.8755123364061888</c:v>
                </c:pt>
                <c:pt idx="4">
                  <c:v>2.8996770715089442</c:v>
                </c:pt>
                <c:pt idx="5">
                  <c:v>2.8410079071641023</c:v>
                </c:pt>
                <c:pt idx="6">
                  <c:v>2.6757835681409285</c:v>
                </c:pt>
                <c:pt idx="7">
                  <c:v>2.4972969293812088</c:v>
                </c:pt>
                <c:pt idx="8">
                  <c:v>2.3062707751010842</c:v>
                </c:pt>
                <c:pt idx="9">
                  <c:v>2.1182657211681781</c:v>
                </c:pt>
                <c:pt idx="10">
                  <c:v>1.8434408400955482</c:v>
                </c:pt>
                <c:pt idx="11">
                  <c:v>1.4598832450098393</c:v>
                </c:pt>
                <c:pt idx="12">
                  <c:v>1.0305215348879364</c:v>
                </c:pt>
                <c:pt idx="13">
                  <c:v>0.50304143454183181</c:v>
                </c:pt>
                <c:pt idx="14">
                  <c:v>-0.30151035201973492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8A9-45C6-B487-EBDFDE5139D9}"/>
            </c:ext>
          </c:extLst>
        </c:ser>
        <c:ser>
          <c:idx val="26"/>
          <c:order val="24"/>
          <c:tx>
            <c:v>h=2km, m. ciągu, zmienna masa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masa'!$J$76:$J$90</c:f>
              <c:numCache>
                <c:formatCode>0.0</c:formatCode>
                <c:ptCount val="15"/>
                <c:pt idx="0">
                  <c:v>22.534764048964448</c:v>
                </c:pt>
                <c:pt idx="1">
                  <c:v>23.925138045466987</c:v>
                </c:pt>
                <c:pt idx="2">
                  <c:v>25.315512041969527</c:v>
                </c:pt>
                <c:pt idx="3">
                  <c:v>26.705886038472066</c:v>
                </c:pt>
                <c:pt idx="4">
                  <c:v>28.096260034974605</c:v>
                </c:pt>
                <c:pt idx="5">
                  <c:v>29.486634031477145</c:v>
                </c:pt>
                <c:pt idx="6">
                  <c:v>30.877008027979684</c:v>
                </c:pt>
                <c:pt idx="7">
                  <c:v>32.267382024482224</c:v>
                </c:pt>
                <c:pt idx="8">
                  <c:v>33.657756020984763</c:v>
                </c:pt>
                <c:pt idx="9">
                  <c:v>35.048130017487303</c:v>
                </c:pt>
                <c:pt idx="10">
                  <c:v>36.438504013989842</c:v>
                </c:pt>
                <c:pt idx="11">
                  <c:v>37.828878010492382</c:v>
                </c:pt>
                <c:pt idx="12">
                  <c:v>39.219252006994921</c:v>
                </c:pt>
                <c:pt idx="13">
                  <c:v>40.609626003497461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masa'!$N$76:$N$90</c:f>
              <c:numCache>
                <c:formatCode>0.00</c:formatCode>
                <c:ptCount val="15"/>
                <c:pt idx="0">
                  <c:v>1.5016455322859916</c:v>
                </c:pt>
                <c:pt idx="1">
                  <c:v>1.846317412220523</c:v>
                </c:pt>
                <c:pt idx="2">
                  <c:v>2.124483050598565</c:v>
                </c:pt>
                <c:pt idx="3">
                  <c:v>2.139712142087197</c:v>
                </c:pt>
                <c:pt idx="4">
                  <c:v>2.2002103474345089</c:v>
                </c:pt>
                <c:pt idx="5">
                  <c:v>2.1448814814083121</c:v>
                </c:pt>
                <c:pt idx="6">
                  <c:v>2.0543560253907485</c:v>
                </c:pt>
                <c:pt idx="7">
                  <c:v>1.9809820026223246</c:v>
                </c:pt>
                <c:pt idx="8">
                  <c:v>1.7979133672246383</c:v>
                </c:pt>
                <c:pt idx="9">
                  <c:v>1.5906569112430813</c:v>
                </c:pt>
                <c:pt idx="10">
                  <c:v>1.3456301319993598</c:v>
                </c:pt>
                <c:pt idx="11">
                  <c:v>1.0651199878602198</c:v>
                </c:pt>
                <c:pt idx="12">
                  <c:v>0.65384086684786313</c:v>
                </c:pt>
                <c:pt idx="13">
                  <c:v>0.18757936096197511</c:v>
                </c:pt>
                <c:pt idx="14">
                  <c:v>-0.50241435780380272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18A9-45C6-B487-EBDFDE5139D9}"/>
            </c:ext>
          </c:extLst>
        </c:ser>
        <c:ser>
          <c:idx val="27"/>
          <c:order val="25"/>
          <c:tx>
            <c:v>h=2,5km, m. ciągu, zmienna masa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masa'!$J$94:$J$108</c:f>
              <c:numCache>
                <c:formatCode>0.0</c:formatCode>
                <c:ptCount val="15"/>
                <c:pt idx="0">
                  <c:v>23.093641145592002</c:v>
                </c:pt>
                <c:pt idx="1">
                  <c:v>24.444095349478289</c:v>
                </c:pt>
                <c:pt idx="2">
                  <c:v>25.794549553364572</c:v>
                </c:pt>
                <c:pt idx="3">
                  <c:v>27.145003757250858</c:v>
                </c:pt>
                <c:pt idx="4">
                  <c:v>28.495457961137145</c:v>
                </c:pt>
                <c:pt idx="5">
                  <c:v>29.845912165023428</c:v>
                </c:pt>
                <c:pt idx="6">
                  <c:v>31.196366368909715</c:v>
                </c:pt>
                <c:pt idx="7">
                  <c:v>32.546820572796001</c:v>
                </c:pt>
                <c:pt idx="8">
                  <c:v>33.897274776682288</c:v>
                </c:pt>
                <c:pt idx="9">
                  <c:v>35.247728980568567</c:v>
                </c:pt>
                <c:pt idx="10">
                  <c:v>36.598183184454854</c:v>
                </c:pt>
                <c:pt idx="11">
                  <c:v>37.94863738834114</c:v>
                </c:pt>
                <c:pt idx="12">
                  <c:v>39.299091592227427</c:v>
                </c:pt>
                <c:pt idx="13">
                  <c:v>40.649545796113713</c:v>
                </c:pt>
                <c:pt idx="14">
                  <c:v>42</c:v>
                </c:pt>
              </c:numCache>
            </c:numRef>
          </c:xVal>
          <c:yVal>
            <c:numRef>
              <c:f>'Metoda Ciągu, zmienna masa'!$N$94:$N$108</c:f>
              <c:numCache>
                <c:formatCode>0.00</c:formatCode>
                <c:ptCount val="15"/>
                <c:pt idx="0">
                  <c:v>0.79615456565744336</c:v>
                </c:pt>
                <c:pt idx="1">
                  <c:v>1.1761380690516532</c:v>
                </c:pt>
                <c:pt idx="2">
                  <c:v>1.317591660638509</c:v>
                </c:pt>
                <c:pt idx="3">
                  <c:v>1.5528916520446321</c:v>
                </c:pt>
                <c:pt idx="4">
                  <c:v>1.6218374058966609</c:v>
                </c:pt>
                <c:pt idx="5">
                  <c:v>1.6655522891535577</c:v>
                </c:pt>
                <c:pt idx="6">
                  <c:v>1.588067796706891</c:v>
                </c:pt>
                <c:pt idx="7">
                  <c:v>1.4981743169689248</c:v>
                </c:pt>
                <c:pt idx="8">
                  <c:v>1.381375393951892</c:v>
                </c:pt>
                <c:pt idx="9">
                  <c:v>1.2097605422004483</c:v>
                </c:pt>
                <c:pt idx="10">
                  <c:v>0.98740816117423658</c:v>
                </c:pt>
                <c:pt idx="11">
                  <c:v>0.76014222156656786</c:v>
                </c:pt>
                <c:pt idx="12">
                  <c:v>0.48604764695122737</c:v>
                </c:pt>
                <c:pt idx="13">
                  <c:v>5.9443021116943245E-2</c:v>
                </c:pt>
                <c:pt idx="14">
                  <c:v>-0.58942225025315886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18A9-45C6-B487-EBDFDE5139D9}"/>
            </c:ext>
          </c:extLst>
        </c:ser>
        <c:ser>
          <c:idx val="28"/>
          <c:order val="26"/>
          <c:tx>
            <c:v>h=3km, m. ciągu, zmienna masa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masa'!$J$112:$J$126</c:f>
              <c:numCache>
                <c:formatCode>0.0</c:formatCode>
                <c:ptCount val="15"/>
                <c:pt idx="0">
                  <c:v>23.669350122284712</c:v>
                </c:pt>
                <c:pt idx="1">
                  <c:v>24.907253684978659</c:v>
                </c:pt>
                <c:pt idx="2">
                  <c:v>26.145157247672611</c:v>
                </c:pt>
                <c:pt idx="3">
                  <c:v>27.383060810366558</c:v>
                </c:pt>
                <c:pt idx="4">
                  <c:v>28.620964373060509</c:v>
                </c:pt>
                <c:pt idx="5">
                  <c:v>29.858867935754457</c:v>
                </c:pt>
                <c:pt idx="6">
                  <c:v>31.096771498448405</c:v>
                </c:pt>
                <c:pt idx="7">
                  <c:v>32.334675061142356</c:v>
                </c:pt>
                <c:pt idx="8">
                  <c:v>33.572578623836307</c:v>
                </c:pt>
                <c:pt idx="9">
                  <c:v>34.810482186530251</c:v>
                </c:pt>
                <c:pt idx="10">
                  <c:v>36.048385749224202</c:v>
                </c:pt>
                <c:pt idx="11">
                  <c:v>37.286289311918154</c:v>
                </c:pt>
                <c:pt idx="12">
                  <c:v>38.524192874612098</c:v>
                </c:pt>
                <c:pt idx="13">
                  <c:v>39.762096437306056</c:v>
                </c:pt>
                <c:pt idx="14">
                  <c:v>41</c:v>
                </c:pt>
              </c:numCache>
            </c:numRef>
          </c:xVal>
          <c:yVal>
            <c:numRef>
              <c:f>'Metoda Ciągu, zmienna masa'!$N$112:$N$126</c:f>
              <c:numCache>
                <c:formatCode>0.00</c:formatCode>
                <c:ptCount val="15"/>
                <c:pt idx="0">
                  <c:v>0.33153915236256326</c:v>
                </c:pt>
                <c:pt idx="1">
                  <c:v>0.59493062397220342</c:v>
                </c:pt>
                <c:pt idx="2">
                  <c:v>0.80043611725568997</c:v>
                </c:pt>
                <c:pt idx="3">
                  <c:v>0.99384380370384728</c:v>
                </c:pt>
                <c:pt idx="4">
                  <c:v>1.0713117152326124</c:v>
                </c:pt>
                <c:pt idx="5">
                  <c:v>1.0804507324956345</c:v>
                </c:pt>
                <c:pt idx="6">
                  <c:v>1.0953413240805925</c:v>
                </c:pt>
                <c:pt idx="7">
                  <c:v>1.051398230513672</c:v>
                </c:pt>
                <c:pt idx="8">
                  <c:v>0.95392649862579704</c:v>
                </c:pt>
                <c:pt idx="9">
                  <c:v>0.83772093149079174</c:v>
                </c:pt>
                <c:pt idx="10">
                  <c:v>0.67434622751283457</c:v>
                </c:pt>
                <c:pt idx="11">
                  <c:v>0.52473815251538569</c:v>
                </c:pt>
                <c:pt idx="12">
                  <c:v>0.30259375596889992</c:v>
                </c:pt>
                <c:pt idx="13">
                  <c:v>0.10856144814222132</c:v>
                </c:pt>
                <c:pt idx="14">
                  <c:v>-0.30277434859633867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8A9-45C6-B487-EBDFDE5139D9}"/>
            </c:ext>
          </c:extLst>
        </c:ser>
        <c:ser>
          <c:idx val="29"/>
          <c:order val="27"/>
          <c:tx>
            <c:v>h=3,5km, m. ciągu, zmienna masa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masa'!$J$130:$J$144</c:f>
              <c:numCache>
                <c:formatCode>0.0</c:formatCode>
                <c:ptCount val="15"/>
                <c:pt idx="0">
                  <c:v>24.257414707295691</c:v>
                </c:pt>
                <c:pt idx="1">
                  <c:v>25.310456513917426</c:v>
                </c:pt>
                <c:pt idx="2">
                  <c:v>26.363498320539165</c:v>
                </c:pt>
                <c:pt idx="3">
                  <c:v>27.4165401271609</c:v>
                </c:pt>
                <c:pt idx="4">
                  <c:v>28.469581933782635</c:v>
                </c:pt>
                <c:pt idx="5">
                  <c:v>29.522623740404374</c:v>
                </c:pt>
                <c:pt idx="6">
                  <c:v>30.575665547026109</c:v>
                </c:pt>
                <c:pt idx="7">
                  <c:v>31.628707353647847</c:v>
                </c:pt>
                <c:pt idx="8">
                  <c:v>32.681749160269582</c:v>
                </c:pt>
                <c:pt idx="9">
                  <c:v>33.734790966891318</c:v>
                </c:pt>
                <c:pt idx="10">
                  <c:v>34.78783277351306</c:v>
                </c:pt>
                <c:pt idx="11">
                  <c:v>35.840874580134795</c:v>
                </c:pt>
                <c:pt idx="12">
                  <c:v>36.89391638675653</c:v>
                </c:pt>
                <c:pt idx="13">
                  <c:v>37.946958193378265</c:v>
                </c:pt>
                <c:pt idx="14">
                  <c:v>39</c:v>
                </c:pt>
              </c:numCache>
            </c:numRef>
          </c:xVal>
          <c:yVal>
            <c:numRef>
              <c:f>'Metoda Ciągu, zmienna masa'!$N$130:$N$144</c:f>
              <c:numCache>
                <c:formatCode>0.00</c:formatCode>
                <c:ptCount val="15"/>
                <c:pt idx="0">
                  <c:v>-0.25292465474427284</c:v>
                </c:pt>
                <c:pt idx="1">
                  <c:v>-4.2068832825369919E-2</c:v>
                </c:pt>
                <c:pt idx="2">
                  <c:v>0.26684245195847262</c:v>
                </c:pt>
                <c:pt idx="3">
                  <c:v>0.46234311252202043</c:v>
                </c:pt>
                <c:pt idx="4">
                  <c:v>0.59216241949424819</c:v>
                </c:pt>
                <c:pt idx="5">
                  <c:v>0.6630573455298524</c:v>
                </c:pt>
                <c:pt idx="6">
                  <c:v>0.71447120361362648</c:v>
                </c:pt>
                <c:pt idx="7">
                  <c:v>0.69889018974613337</c:v>
                </c:pt>
                <c:pt idx="8">
                  <c:v>0.67000717647397579</c:v>
                </c:pt>
                <c:pt idx="9">
                  <c:v>0.59740984170182387</c:v>
                </c:pt>
                <c:pt idx="10">
                  <c:v>0.49946440749874998</c:v>
                </c:pt>
                <c:pt idx="11">
                  <c:v>0.3927502009534653</c:v>
                </c:pt>
                <c:pt idx="12">
                  <c:v>0.24807872101453746</c:v>
                </c:pt>
                <c:pt idx="13">
                  <c:v>8.183307530225542E-2</c:v>
                </c:pt>
                <c:pt idx="14">
                  <c:v>-0.11933515678872444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18A9-45C6-B487-EBDFDE5139D9}"/>
            </c:ext>
          </c:extLst>
        </c:ser>
        <c:ser>
          <c:idx val="30"/>
          <c:order val="28"/>
          <c:tx>
            <c:v>h=4km, m. ciągu, zmienna masa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masa'!$J$148:$J$162</c:f>
              <c:numCache>
                <c:formatCode>0.0</c:formatCode>
                <c:ptCount val="15"/>
                <c:pt idx="0">
                  <c:v>24.852142365160667</c:v>
                </c:pt>
                <c:pt idx="1">
                  <c:v>25.719846481934905</c:v>
                </c:pt>
                <c:pt idx="2">
                  <c:v>26.587550598709143</c:v>
                </c:pt>
                <c:pt idx="3">
                  <c:v>27.455254715483381</c:v>
                </c:pt>
                <c:pt idx="4">
                  <c:v>28.322958832257619</c:v>
                </c:pt>
                <c:pt idx="5">
                  <c:v>29.190662949031857</c:v>
                </c:pt>
                <c:pt idx="6">
                  <c:v>30.058367065806095</c:v>
                </c:pt>
                <c:pt idx="7">
                  <c:v>30.926071182580333</c:v>
                </c:pt>
                <c:pt idx="8">
                  <c:v>31.793775299354571</c:v>
                </c:pt>
                <c:pt idx="9">
                  <c:v>32.661479416128813</c:v>
                </c:pt>
                <c:pt idx="10">
                  <c:v>33.529183532903048</c:v>
                </c:pt>
                <c:pt idx="11">
                  <c:v>34.396887649677282</c:v>
                </c:pt>
                <c:pt idx="12">
                  <c:v>35.264591766451524</c:v>
                </c:pt>
                <c:pt idx="13">
                  <c:v>36.132295883225765</c:v>
                </c:pt>
                <c:pt idx="14">
                  <c:v>37</c:v>
                </c:pt>
              </c:numCache>
            </c:numRef>
          </c:xVal>
          <c:yVal>
            <c:numRef>
              <c:f>'Metoda Ciągu, zmienna masa'!$N$148:$N$162</c:f>
              <c:numCache>
                <c:formatCode>0.00</c:formatCode>
                <c:ptCount val="15"/>
                <c:pt idx="0">
                  <c:v>-0.86413935271900066</c:v>
                </c:pt>
                <c:pt idx="1">
                  <c:v>-0.53935261409223312</c:v>
                </c:pt>
                <c:pt idx="2">
                  <c:v>-0.35494481854017501</c:v>
                </c:pt>
                <c:pt idx="3">
                  <c:v>-0.15110675308382041</c:v>
                </c:pt>
                <c:pt idx="4">
                  <c:v>-1.8548205727177275E-2</c:v>
                </c:pt>
                <c:pt idx="5">
                  <c:v>8.3656321905758058E-2</c:v>
                </c:pt>
                <c:pt idx="6">
                  <c:v>0.14088605221560677</c:v>
                </c:pt>
                <c:pt idx="7">
                  <c:v>0.19021688910899479</c:v>
                </c:pt>
                <c:pt idx="8">
                  <c:v>0.21588924138939211</c:v>
                </c:pt>
                <c:pt idx="9">
                  <c:v>0.23585640143354891</c:v>
                </c:pt>
                <c:pt idx="10">
                  <c:v>0.21880362444878063</c:v>
                </c:pt>
                <c:pt idx="11">
                  <c:v>0.19798004299853975</c:v>
                </c:pt>
                <c:pt idx="12">
                  <c:v>0.1118795230996958</c:v>
                </c:pt>
                <c:pt idx="13">
                  <c:v>-1.0354607273740896E-2</c:v>
                </c:pt>
                <c:pt idx="14">
                  <c:v>-0.10888968021059033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18A9-45C6-B487-EBDFDE5139D9}"/>
            </c:ext>
          </c:extLst>
        </c:ser>
        <c:ser>
          <c:idx val="31"/>
          <c:order val="29"/>
          <c:tx>
            <c:v>h=4,5km, m. ciągu, zmienna masa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masa'!$J$166:$J$180</c:f>
              <c:numCache>
                <c:formatCode>0.0</c:formatCode>
                <c:ptCount val="15"/>
                <c:pt idx="0">
                  <c:v>25.379733241956714</c:v>
                </c:pt>
                <c:pt idx="1">
                  <c:v>26.209752296102664</c:v>
                </c:pt>
                <c:pt idx="2">
                  <c:v>27.039771350248611</c:v>
                </c:pt>
                <c:pt idx="3">
                  <c:v>27.869790404394561</c:v>
                </c:pt>
                <c:pt idx="4">
                  <c:v>28.699809458540511</c:v>
                </c:pt>
                <c:pt idx="5">
                  <c:v>29.529828512686457</c:v>
                </c:pt>
                <c:pt idx="6">
                  <c:v>30.359847566832407</c:v>
                </c:pt>
                <c:pt idx="7">
                  <c:v>31.189866620978357</c:v>
                </c:pt>
                <c:pt idx="8">
                  <c:v>32.019885675124307</c:v>
                </c:pt>
                <c:pt idx="9">
                  <c:v>32.849904729270257</c:v>
                </c:pt>
                <c:pt idx="10">
                  <c:v>33.6799237834162</c:v>
                </c:pt>
                <c:pt idx="11">
                  <c:v>34.50994283756215</c:v>
                </c:pt>
                <c:pt idx="12">
                  <c:v>35.3399618917081</c:v>
                </c:pt>
                <c:pt idx="13">
                  <c:v>36.16998094585405</c:v>
                </c:pt>
                <c:pt idx="14">
                  <c:v>37</c:v>
                </c:pt>
              </c:numCache>
            </c:numRef>
          </c:xVal>
          <c:yVal>
            <c:numRef>
              <c:f>'Metoda Ciągu, zmienna masa'!$N$166:$N$180</c:f>
              <c:numCache>
                <c:formatCode>0.00</c:formatCode>
                <c:ptCount val="15"/>
                <c:pt idx="0">
                  <c:v>-1.209691056542916</c:v>
                </c:pt>
                <c:pt idx="1">
                  <c:v>-0.96304381106443948</c:v>
                </c:pt>
                <c:pt idx="2">
                  <c:v>-0.75372776887420412</c:v>
                </c:pt>
                <c:pt idx="3">
                  <c:v>-0.63323384960542328</c:v>
                </c:pt>
                <c:pt idx="4">
                  <c:v>-0.48706800847770937</c:v>
                </c:pt>
                <c:pt idx="5">
                  <c:v>-0.40396883617544321</c:v>
                </c:pt>
                <c:pt idx="6">
                  <c:v>-0.32802614529908042</c:v>
                </c:pt>
                <c:pt idx="7">
                  <c:v>-0.24146298933143859</c:v>
                </c:pt>
                <c:pt idx="8">
                  <c:v>-0.22726703976602503</c:v>
                </c:pt>
                <c:pt idx="9">
                  <c:v>-0.19980864826023917</c:v>
                </c:pt>
                <c:pt idx="10">
                  <c:v>-0.17574354741343781</c:v>
                </c:pt>
                <c:pt idx="11">
                  <c:v>-0.21737318165785013</c:v>
                </c:pt>
                <c:pt idx="12">
                  <c:v>-0.2134371401308284</c:v>
                </c:pt>
                <c:pt idx="13">
                  <c:v>-0.28750869061511963</c:v>
                </c:pt>
                <c:pt idx="14">
                  <c:v>-0.3614094562316279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18A9-45C6-B487-EBDFDE51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780144"/>
        <c:axId val="428777192"/>
      </c:scatterChart>
      <c:valAx>
        <c:axId val="428780144"/>
        <c:scaling>
          <c:orientation val="minMax"/>
          <c:max val="43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77192"/>
        <c:crosses val="autoZero"/>
        <c:crossBetween val="midCat"/>
        <c:majorUnit val="2"/>
      </c:valAx>
      <c:valAx>
        <c:axId val="428777192"/>
        <c:scaling>
          <c:orientation val="minMax"/>
          <c:max val="5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878014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ciągu mmax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311111111111111"/>
                  <c:y val="-0.670804760635651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(Podsumowanie!$R$38,Podsumowanie!$R$45)</c:f>
              <c:numCache>
                <c:formatCode>0.00</c:formatCode>
                <c:ptCount val="2"/>
                <c:pt idx="0">
                  <c:v>2.0759493670886</c:v>
                </c:pt>
                <c:pt idx="1">
                  <c:v>8.0168776371308106E-2</c:v>
                </c:pt>
              </c:numCache>
            </c:numRef>
          </c:xVal>
          <c:yVal>
            <c:numRef>
              <c:f>(Podsumowanie!$M$38,Podsumowanie!$M$45)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9B-4A32-B8C3-7D0CFDC5142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Podsumowanie!$AD$51:$AD$52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9B-4A32-B8C3-7D0CFDC51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mocy mmax h(w)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989188851393576"/>
                  <c:y val="-0.666193430415753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(Podsumowanie!$R$50,Podsumowanie!$R$57)</c:f>
              <c:numCache>
                <c:formatCode>0.00</c:formatCode>
                <c:ptCount val="2"/>
                <c:pt idx="0">
                  <c:v>2.0506329113924</c:v>
                </c:pt>
                <c:pt idx="1">
                  <c:v>8.0168776371308106E-2</c:v>
                </c:pt>
              </c:numCache>
            </c:numRef>
          </c:xVal>
          <c:yVal>
            <c:numRef>
              <c:f>(Podsumowanie!$M$50,Podsumowanie!$M$57)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11-4266-93E4-5ACC1BE7758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Podsumowanie!$AD$51:$AD$52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11-4266-93E4-5ACC1BE77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9439"/>
        <c:axId val="1373292671"/>
      </c:scatterChart>
      <c:valAx>
        <c:axId val="1494339439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292671"/>
        <c:crosses val="autoZero"/>
        <c:crossBetween val="midCat"/>
      </c:valAx>
      <c:valAx>
        <c:axId val="137329267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ofertowy samolotu PWS-51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92867332517012213"/>
          <c:h val="0.89080450623855245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Podsumowanie!$O$3:$O$12</c:f>
              <c:numCache>
                <c:formatCode>0.00</c:formatCode>
                <c:ptCount val="10"/>
                <c:pt idx="0">
                  <c:v>73.707305389221233</c:v>
                </c:pt>
                <c:pt idx="1">
                  <c:v>75.509461077843966</c:v>
                </c:pt>
                <c:pt idx="2">
                  <c:v>77.31161676646704</c:v>
                </c:pt>
                <c:pt idx="3">
                  <c:v>79.208622754490889</c:v>
                </c:pt>
                <c:pt idx="4">
                  <c:v>81.200479041915841</c:v>
                </c:pt>
                <c:pt idx="5">
                  <c:v>83.192335329341162</c:v>
                </c:pt>
                <c:pt idx="6">
                  <c:v>85.2790419161676</c:v>
                </c:pt>
                <c:pt idx="7">
                  <c:v>91.728862275448805</c:v>
                </c:pt>
                <c:pt idx="8">
                  <c:v>102.73149700598772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5-4CD2-A735-E4F9A67F6913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Podsumowanie!$O$15:$O$24</c:f>
              <c:numCache>
                <c:formatCode>0.00</c:formatCode>
                <c:ptCount val="10"/>
                <c:pt idx="0">
                  <c:v>71.666076970825557</c:v>
                </c:pt>
                <c:pt idx="1">
                  <c:v>73.41188702669136</c:v>
                </c:pt>
                <c:pt idx="2">
                  <c:v>75.157697082557164</c:v>
                </c:pt>
                <c:pt idx="3">
                  <c:v>77.097486033519488</c:v>
                </c:pt>
                <c:pt idx="4">
                  <c:v>79.134264432029525</c:v>
                </c:pt>
                <c:pt idx="5">
                  <c:v>81.074053382991849</c:v>
                </c:pt>
                <c:pt idx="6">
                  <c:v>83.110831781501886</c:v>
                </c:pt>
                <c:pt idx="7">
                  <c:v>85.438578522656513</c:v>
                </c:pt>
                <c:pt idx="8">
                  <c:v>98.047206703910518</c:v>
                </c:pt>
                <c:pt idx="9" formatCode="General">
                  <c:v>108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5-4CD2-A735-E4F9A67F6913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Podsumowanie!$O$27:$O$35</c:f>
              <c:numCache>
                <c:formatCode>0.00</c:formatCode>
                <c:ptCount val="9"/>
                <c:pt idx="0">
                  <c:v>71.666076970825557</c:v>
                </c:pt>
                <c:pt idx="1">
                  <c:v>73.314897579143278</c:v>
                </c:pt>
                <c:pt idx="2">
                  <c:v>75.254686530105246</c:v>
                </c:pt>
                <c:pt idx="3">
                  <c:v>77.097486033519488</c:v>
                </c:pt>
                <c:pt idx="4">
                  <c:v>79.134264432029525</c:v>
                </c:pt>
                <c:pt idx="5">
                  <c:v>80.977063935443752</c:v>
                </c:pt>
                <c:pt idx="6">
                  <c:v>83.110831781501886</c:v>
                </c:pt>
                <c:pt idx="7">
                  <c:v>89.803103662321206</c:v>
                </c:pt>
                <c:pt idx="8" formatCode="General">
                  <c:v>110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A5-4CD2-A735-E4F9A67F6913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Podsumowanie!$Q$3:$Q$12</c:f>
              <c:numCache>
                <c:formatCode>0.00</c:formatCode>
                <c:ptCount val="10"/>
                <c:pt idx="0">
                  <c:v>151.18111776447108</c:v>
                </c:pt>
                <c:pt idx="1">
                  <c:v>150.52243512974039</c:v>
                </c:pt>
                <c:pt idx="2">
                  <c:v>150.02842315369247</c:v>
                </c:pt>
                <c:pt idx="3">
                  <c:v>149.31485029940112</c:v>
                </c:pt>
                <c:pt idx="4">
                  <c:v>147.61325349301393</c:v>
                </c:pt>
                <c:pt idx="5">
                  <c:v>146.73500998003982</c:v>
                </c:pt>
                <c:pt idx="6">
                  <c:v>144.37473053892194</c:v>
                </c:pt>
                <c:pt idx="7">
                  <c:v>138.06235528942105</c:v>
                </c:pt>
                <c:pt idx="8">
                  <c:v>129.60926147704572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A5-4CD2-A735-E4F9A67F6913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Podsumowanie!$Q$15:$Q$24</c:f>
              <c:numCache>
                <c:formatCode>0.00</c:formatCode>
                <c:ptCount val="10"/>
                <c:pt idx="0">
                  <c:v>150.32451893234006</c:v>
                </c:pt>
                <c:pt idx="1">
                  <c:v>149.54860335195502</c:v>
                </c:pt>
                <c:pt idx="2">
                  <c:v>148.77268777157042</c:v>
                </c:pt>
                <c:pt idx="3">
                  <c:v>147.41483550589695</c:v>
                </c:pt>
                <c:pt idx="4">
                  <c:v>145.37805710738652</c:v>
                </c:pt>
                <c:pt idx="5">
                  <c:v>143.7292364990688</c:v>
                </c:pt>
                <c:pt idx="6">
                  <c:v>140.23761638733686</c:v>
                </c:pt>
                <c:pt idx="7">
                  <c:v>131.79953445065172</c:v>
                </c:pt>
                <c:pt idx="8">
                  <c:v>116.96014897579116</c:v>
                </c:pt>
                <c:pt idx="9" formatCode="General">
                  <c:v>108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A5-4CD2-A735-E4F9A67F6913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Podsumowanie!$Q$27:$Q$35</c:f>
              <c:numCache>
                <c:formatCode>0.00</c:formatCode>
                <c:ptCount val="9"/>
                <c:pt idx="0">
                  <c:v>149.74258224705122</c:v>
                </c:pt>
                <c:pt idx="1">
                  <c:v>148.38472998137772</c:v>
                </c:pt>
                <c:pt idx="2">
                  <c:v>145.66902545003074</c:v>
                </c:pt>
                <c:pt idx="3">
                  <c:v>143.53525760397267</c:v>
                </c:pt>
                <c:pt idx="4">
                  <c:v>140.43159528243299</c:v>
                </c:pt>
                <c:pt idx="5">
                  <c:v>138.20083798882681</c:v>
                </c:pt>
                <c:pt idx="6">
                  <c:v>130.24770328988208</c:v>
                </c:pt>
                <c:pt idx="7">
                  <c:v>123.65242085661048</c:v>
                </c:pt>
                <c:pt idx="8" formatCode="General">
                  <c:v>110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A5-4CD2-A735-E4F9A67F6913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Podsumowanie!$U$3:$U$12</c:f>
              <c:numCache>
                <c:formatCode>0.00</c:formatCode>
                <c:ptCount val="10"/>
                <c:pt idx="0">
                  <c:v>105.57700598802384</c:v>
                </c:pt>
                <c:pt idx="1">
                  <c:v>107.09461077844284</c:v>
                </c:pt>
                <c:pt idx="2">
                  <c:v>109.65556886227525</c:v>
                </c:pt>
                <c:pt idx="3">
                  <c:v>111.45772455089795</c:v>
                </c:pt>
                <c:pt idx="4">
                  <c:v>114.01868263473037</c:v>
                </c:pt>
                <c:pt idx="5">
                  <c:v>116.01053892215567</c:v>
                </c:pt>
                <c:pt idx="6">
                  <c:v>118.00239520958063</c:v>
                </c:pt>
                <c:pt idx="7">
                  <c:v>119.42514970059852</c:v>
                </c:pt>
                <c:pt idx="8">
                  <c:v>121.32215568862271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8A5-4CD2-A735-E4F9A67F6913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Podsumowanie!$U$15:$U$24</c:f>
              <c:numCache>
                <c:formatCode>0.00</c:formatCode>
                <c:ptCount val="10"/>
                <c:pt idx="0">
                  <c:v>99.308069522035922</c:v>
                </c:pt>
                <c:pt idx="1">
                  <c:v>100.47194289261324</c:v>
                </c:pt>
                <c:pt idx="2">
                  <c:v>101.63581626319056</c:v>
                </c:pt>
                <c:pt idx="3">
                  <c:v>103.1876474239602</c:v>
                </c:pt>
                <c:pt idx="4">
                  <c:v>104.64248913718176</c:v>
                </c:pt>
                <c:pt idx="5">
                  <c:v>106.00034140285524</c:v>
                </c:pt>
                <c:pt idx="6">
                  <c:v>107.94013035381721</c:v>
                </c:pt>
                <c:pt idx="7">
                  <c:v>109.9769087523276</c:v>
                </c:pt>
                <c:pt idx="8">
                  <c:v>112.30465549348223</c:v>
                </c:pt>
                <c:pt idx="9" formatCode="General">
                  <c:v>108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8A5-4CD2-A735-E4F9A67F6913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Podsumowanie!$U$27:$U$35</c:f>
              <c:numCache>
                <c:formatCode>0.00</c:formatCode>
                <c:ptCount val="9"/>
                <c:pt idx="0">
                  <c:v>92.809776536312768</c:v>
                </c:pt>
                <c:pt idx="1">
                  <c:v>94.555586592178557</c:v>
                </c:pt>
                <c:pt idx="2">
                  <c:v>96.107417752948194</c:v>
                </c:pt>
                <c:pt idx="3">
                  <c:v>97.368280571073598</c:v>
                </c:pt>
                <c:pt idx="4">
                  <c:v>99.308069522035922</c:v>
                </c:pt>
                <c:pt idx="5">
                  <c:v>101.15086902544981</c:v>
                </c:pt>
                <c:pt idx="6">
                  <c:v>103.28463687150828</c:v>
                </c:pt>
                <c:pt idx="7">
                  <c:v>106.00034140285524</c:v>
                </c:pt>
                <c:pt idx="8" formatCode="General">
                  <c:v>110</c:v>
                </c:pt>
              </c:numCache>
            </c:numRef>
          </c:xVal>
          <c:yVal>
            <c:numRef>
              <c:f>Podsumowanie!$M$27:$M$40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  <c:pt idx="10">
                  <c:v>0</c:v>
                </c:pt>
                <c:pt idx="11">
                  <c:v>0</c:v>
                </c:pt>
                <c:pt idx="12">
                  <c:v>500</c:v>
                </c:pt>
                <c:pt idx="13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8A5-4CD2-A735-E4F9A67F6913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Podsumowanie!$Y$3:$Y$12</c:f>
              <c:numCache>
                <c:formatCode>0.00</c:formatCode>
                <c:ptCount val="10"/>
                <c:pt idx="0">
                  <c:v>92.438709677419325</c:v>
                </c:pt>
                <c:pt idx="1">
                  <c:v>96.696774193548251</c:v>
                </c:pt>
                <c:pt idx="2">
                  <c:v>99.346236559139527</c:v>
                </c:pt>
                <c:pt idx="3">
                  <c:v>101.61720430107516</c:v>
                </c:pt>
                <c:pt idx="4">
                  <c:v>104.64516129032243</c:v>
                </c:pt>
                <c:pt idx="5">
                  <c:v>107.86236559139772</c:v>
                </c:pt>
                <c:pt idx="6">
                  <c:v>111.458064516129</c:v>
                </c:pt>
                <c:pt idx="7">
                  <c:v>114.76989247311829</c:v>
                </c:pt>
                <c:pt idx="8">
                  <c:v>119.97419354838684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8A5-4CD2-A735-E4F9A67F6913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Podsumowanie!$Y$15:$Y$24</c:f>
              <c:numCache>
                <c:formatCode>0.00</c:formatCode>
                <c:ptCount val="10"/>
                <c:pt idx="0">
                  <c:v>78.31145038167935</c:v>
                </c:pt>
                <c:pt idx="1">
                  <c:v>79.6854961832058</c:v>
                </c:pt>
                <c:pt idx="2">
                  <c:v>82.433587786259409</c:v>
                </c:pt>
                <c:pt idx="3">
                  <c:v>85.639694656488487</c:v>
                </c:pt>
                <c:pt idx="4">
                  <c:v>88.502290076335683</c:v>
                </c:pt>
                <c:pt idx="5">
                  <c:v>91.822900763358717</c:v>
                </c:pt>
                <c:pt idx="6">
                  <c:v>95.372519083969323</c:v>
                </c:pt>
                <c:pt idx="7">
                  <c:v>100.18167938931276</c:v>
                </c:pt>
                <c:pt idx="8">
                  <c:v>104.30381679389281</c:v>
                </c:pt>
                <c:pt idx="9" formatCode="General">
                  <c:v>108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8A5-4CD2-A735-E4F9A67F6913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Podsumowanie!$Y$27:$Y$35</c:f>
              <c:numCache>
                <c:formatCode>0.00</c:formatCode>
                <c:ptCount val="9"/>
                <c:pt idx="0">
                  <c:v>76.021374045801238</c:v>
                </c:pt>
                <c:pt idx="1">
                  <c:v>79.341984732824287</c:v>
                </c:pt>
                <c:pt idx="2">
                  <c:v>81.861068702289955</c:v>
                </c:pt>
                <c:pt idx="3">
                  <c:v>85.067175572519034</c:v>
                </c:pt>
                <c:pt idx="4">
                  <c:v>87.929770992366244</c:v>
                </c:pt>
                <c:pt idx="5">
                  <c:v>93.196946564885167</c:v>
                </c:pt>
                <c:pt idx="6">
                  <c:v>97.777099236641035</c:v>
                </c:pt>
                <c:pt idx="7">
                  <c:v>104.41832061068676</c:v>
                </c:pt>
                <c:pt idx="8" formatCode="General">
                  <c:v>110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8A5-4CD2-A735-E4F9A67F6913}"/>
            </c:ext>
          </c:extLst>
        </c:ser>
        <c:ser>
          <c:idx val="4"/>
          <c:order val="12"/>
          <c:tx>
            <c:v>10wmax1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Podsumowanie!$S$3:$S$12</c:f>
              <c:numCache>
                <c:formatCode>0.00</c:formatCode>
                <c:ptCount val="10"/>
                <c:pt idx="0">
                  <c:v>23.164556962025298</c:v>
                </c:pt>
                <c:pt idx="1">
                  <c:v>20.379746835443001</c:v>
                </c:pt>
                <c:pt idx="2">
                  <c:v>17.426160337552702</c:v>
                </c:pt>
                <c:pt idx="3">
                  <c:v>14.3037974683544</c:v>
                </c:pt>
                <c:pt idx="4">
                  <c:v>11.2658227848101</c:v>
                </c:pt>
                <c:pt idx="5">
                  <c:v>8.6075949367088604</c:v>
                </c:pt>
                <c:pt idx="6">
                  <c:v>5.8649789029535802</c:v>
                </c:pt>
                <c:pt idx="7">
                  <c:v>3.8396624472573797</c:v>
                </c:pt>
                <c:pt idx="8">
                  <c:v>1.3080168776371301</c:v>
                </c:pt>
                <c:pt idx="9" formatCode="General">
                  <c:v>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8A5-4CD2-A735-E4F9A67F6913}"/>
            </c:ext>
          </c:extLst>
        </c:ser>
        <c:ser>
          <c:idx val="17"/>
          <c:order val="13"/>
          <c:tx>
            <c:v>10wmax2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Podsumowanie!$S$15:$S$24</c:f>
              <c:numCache>
                <c:formatCode>0.00</c:formatCode>
                <c:ptCount val="10"/>
                <c:pt idx="0">
                  <c:v>23.8309887651147</c:v>
                </c:pt>
                <c:pt idx="1">
                  <c:v>20.781264876701798</c:v>
                </c:pt>
                <c:pt idx="2">
                  <c:v>18.1406502903932</c:v>
                </c:pt>
                <c:pt idx="3">
                  <c:v>14.8677758735599</c:v>
                </c:pt>
                <c:pt idx="4">
                  <c:v>11.743668475673601</c:v>
                </c:pt>
                <c:pt idx="5">
                  <c:v>9.0286703798914605</c:v>
                </c:pt>
                <c:pt idx="6">
                  <c:v>5.9789464914786192</c:v>
                </c:pt>
                <c:pt idx="7">
                  <c:v>3.3011401504331999</c:v>
                </c:pt>
                <c:pt idx="8">
                  <c:v>0.40018328096734501</c:v>
                </c:pt>
                <c:pt idx="9" formatCode="General">
                  <c:v>0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8A5-4CD2-A735-E4F9A67F6913}"/>
            </c:ext>
          </c:extLst>
        </c:ser>
        <c:ser>
          <c:idx val="24"/>
          <c:order val="14"/>
          <c:tx>
            <c:v>10wmax3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Podsumowanie!$S$27:$S$35</c:f>
              <c:numCache>
                <c:formatCode>0.00</c:formatCode>
                <c:ptCount val="9"/>
                <c:pt idx="0">
                  <c:v>22.343318575645</c:v>
                </c:pt>
                <c:pt idx="1">
                  <c:v>19.516745215652598</c:v>
                </c:pt>
                <c:pt idx="2">
                  <c:v>16.6529801009235</c:v>
                </c:pt>
                <c:pt idx="3">
                  <c:v>13.566064457773901</c:v>
                </c:pt>
                <c:pt idx="4">
                  <c:v>10.6651075883081</c:v>
                </c:pt>
                <c:pt idx="5">
                  <c:v>7.9129177377892006</c:v>
                </c:pt>
                <c:pt idx="6">
                  <c:v>5.2351113967437799</c:v>
                </c:pt>
                <c:pt idx="7">
                  <c:v>2.2969627725411801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8A5-4CD2-A735-E4F9A67F6913}"/>
            </c:ext>
          </c:extLst>
        </c:ser>
        <c:ser>
          <c:idx val="5"/>
          <c:order val="15"/>
          <c:tx>
            <c:v>10ymax1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Podsumowanie!$W$3:$W$12</c:f>
              <c:numCache>
                <c:formatCode>0.00</c:formatCode>
                <c:ptCount val="10"/>
                <c:pt idx="0">
                  <c:v>48.934426229508205</c:v>
                </c:pt>
                <c:pt idx="1">
                  <c:v>41.475409836065502</c:v>
                </c:pt>
                <c:pt idx="2">
                  <c:v>34.918032786885199</c:v>
                </c:pt>
                <c:pt idx="3">
                  <c:v>29.0983606557377</c:v>
                </c:pt>
                <c:pt idx="4">
                  <c:v>22.0491803278688</c:v>
                </c:pt>
                <c:pt idx="5">
                  <c:v>16.639344262294998</c:v>
                </c:pt>
                <c:pt idx="6">
                  <c:v>10.983606557377</c:v>
                </c:pt>
                <c:pt idx="7">
                  <c:v>7.0491803278688501</c:v>
                </c:pt>
                <c:pt idx="8">
                  <c:v>2.4590163934426101</c:v>
                </c:pt>
                <c:pt idx="9" formatCode="General">
                  <c:v>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8A5-4CD2-A735-E4F9A67F6913}"/>
            </c:ext>
          </c:extLst>
        </c:ser>
        <c:ser>
          <c:idx val="18"/>
          <c:order val="16"/>
          <c:tx>
            <c:v>10ymax2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Podsumowanie!$W$15:$W$24</c:f>
              <c:numCache>
                <c:formatCode>0.00</c:formatCode>
                <c:ptCount val="10"/>
                <c:pt idx="0">
                  <c:v>54.991119005328599</c:v>
                </c:pt>
                <c:pt idx="1">
                  <c:v>47.424511545293001</c:v>
                </c:pt>
                <c:pt idx="2">
                  <c:v>38.685612788632298</c:v>
                </c:pt>
                <c:pt idx="3">
                  <c:v>31.119005328596799</c:v>
                </c:pt>
                <c:pt idx="4">
                  <c:v>24.404973357015901</c:v>
                </c:pt>
                <c:pt idx="5">
                  <c:v>18.436944937833001</c:v>
                </c:pt>
                <c:pt idx="6">
                  <c:v>12.1492007104795</c:v>
                </c:pt>
                <c:pt idx="7">
                  <c:v>6.1811722912966207</c:v>
                </c:pt>
                <c:pt idx="8">
                  <c:v>1.1722912966252199</c:v>
                </c:pt>
                <c:pt idx="9" formatCode="General">
                  <c:v>0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8A5-4CD2-A735-E4F9A67F6913}"/>
            </c:ext>
          </c:extLst>
        </c:ser>
        <c:ser>
          <c:idx val="25"/>
          <c:order val="17"/>
          <c:tx>
            <c:v>10ymax3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Podsumowanie!$W$27:$W$35</c:f>
              <c:numCache>
                <c:formatCode>0.00</c:formatCode>
                <c:ptCount val="9"/>
                <c:pt idx="0">
                  <c:v>52.220248667850804</c:v>
                </c:pt>
                <c:pt idx="1">
                  <c:v>42.841918294849002</c:v>
                </c:pt>
                <c:pt idx="2">
                  <c:v>35.914742451154503</c:v>
                </c:pt>
                <c:pt idx="3">
                  <c:v>28.028419182948401</c:v>
                </c:pt>
                <c:pt idx="4">
                  <c:v>21.5275310834813</c:v>
                </c:pt>
                <c:pt idx="5">
                  <c:v>14.9200710479573</c:v>
                </c:pt>
                <c:pt idx="6">
                  <c:v>9.5914742451154495</c:v>
                </c:pt>
                <c:pt idx="7">
                  <c:v>4.0497335701598498</c:v>
                </c:pt>
                <c:pt idx="8" formatCode="General">
                  <c:v>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8A5-4CD2-A735-E4F9A67F6913}"/>
            </c:ext>
          </c:extLst>
        </c:ser>
        <c:ser>
          <c:idx val="6"/>
          <c:order val="18"/>
          <c:tx>
            <c:v>th1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Podsumowanie!$AA$3:$AA$12</c:f>
              <c:numCache>
                <c:formatCode>0.00</c:formatCode>
                <c:ptCount val="10"/>
                <c:pt idx="0">
                  <c:v>0</c:v>
                </c:pt>
                <c:pt idx="1">
                  <c:v>3.8278685120696729</c:v>
                </c:pt>
                <c:pt idx="2">
                  <c:v>8.205908025018033</c:v>
                </c:pt>
                <c:pt idx="3">
                  <c:v>13.319246598246689</c:v>
                </c:pt>
                <c:pt idx="4">
                  <c:v>19.465733755476553</c:v>
                </c:pt>
                <c:pt idx="5">
                  <c:v>27.171362034571782</c:v>
                </c:pt>
                <c:pt idx="6">
                  <c:v>37.506120669347332</c:v>
                </c:pt>
                <c:pt idx="7">
                  <c:v>53.254014075120971</c:v>
                </c:pt>
                <c:pt idx="8">
                  <c:v>87.604536170414349</c:v>
                </c:pt>
                <c:pt idx="9" formatCode="General">
                  <c:v>160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8A5-4CD2-A735-E4F9A67F6913}"/>
            </c:ext>
          </c:extLst>
        </c:ser>
        <c:ser>
          <c:idx val="19"/>
          <c:order val="19"/>
          <c:tx>
            <c:v>th2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Podsumowanie!$AA$15:$AA$24</c:f>
              <c:numCache>
                <c:formatCode>0.00</c:formatCode>
                <c:ptCount val="10"/>
                <c:pt idx="0">
                  <c:v>0</c:v>
                </c:pt>
                <c:pt idx="1">
                  <c:v>3.7310316003979609</c:v>
                </c:pt>
                <c:pt idx="2">
                  <c:v>8.02595969602541</c:v>
                </c:pt>
                <c:pt idx="3">
                  <c:v>13.086112496004187</c:v>
                </c:pt>
                <c:pt idx="4">
                  <c:v>19.244579703084106</c:v>
                </c:pt>
                <c:pt idx="5">
                  <c:v>27.114200444332585</c:v>
                </c:pt>
                <c:pt idx="6">
                  <c:v>38.02791092783005</c:v>
                </c:pt>
                <c:pt idx="7">
                  <c:v>55.954112825682095</c:v>
                </c:pt>
                <c:pt idx="8">
                  <c:v>115.64784771822464</c:v>
                </c:pt>
                <c:pt idx="9" formatCode="General">
                  <c:v>160</c:v>
                </c:pt>
              </c:numCache>
            </c:numRef>
          </c:xVal>
          <c:yVal>
            <c:numRef>
              <c:f>Podsumowanie!$M$15:$M$24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8A5-4CD2-A735-E4F9A67F6913}"/>
            </c:ext>
          </c:extLst>
        </c:ser>
        <c:ser>
          <c:idx val="26"/>
          <c:order val="20"/>
          <c:tx>
            <c:v>th3</c:v>
          </c:tx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Podsumowanie!$AA$27:$AA$35</c:f>
              <c:numCache>
                <c:formatCode>0.00</c:formatCode>
                <c:ptCount val="9"/>
                <c:pt idx="0">
                  <c:v>0</c:v>
                </c:pt>
                <c:pt idx="1">
                  <c:v>3.9913824207374162</c:v>
                </c:pt>
                <c:pt idx="2">
                  <c:v>8.6188083404482789</c:v>
                </c:pt>
                <c:pt idx="3">
                  <c:v>14.124136447756639</c:v>
                </c:pt>
                <c:pt idx="4">
                  <c:v>20.920336070202147</c:v>
                </c:pt>
                <c:pt idx="5">
                  <c:v>29.804337412090465</c:v>
                </c:pt>
                <c:pt idx="6">
                  <c:v>42.657902025111916</c:v>
                </c:pt>
                <c:pt idx="7">
                  <c:v>66.249054733965849</c:v>
                </c:pt>
                <c:pt idx="8" formatCode="General">
                  <c:v>160</c:v>
                </c:pt>
              </c:numCache>
            </c:numRef>
          </c:xVal>
          <c:yVal>
            <c:numRef>
              <c:f>Podsumowanie!$M$27:$M$35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8A5-4CD2-A735-E4F9A67F6913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Podsumowanie!$AC$46:$AC$47</c:f>
              <c:numCache>
                <c:formatCode>General</c:formatCode>
                <c:ptCount val="2"/>
                <c:pt idx="0">
                  <c:v>4240</c:v>
                </c:pt>
                <c:pt idx="1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8A5-4CD2-A735-E4F9A67F6913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Podsumowanie!$AE$46:$AE$47</c:f>
              <c:numCache>
                <c:formatCode>General</c:formatCode>
                <c:ptCount val="2"/>
                <c:pt idx="0">
                  <c:v>4070</c:v>
                </c:pt>
                <c:pt idx="1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8A5-4CD2-A735-E4F9A67F6913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Podsumowanie!$AG$46:$AG$47</c:f>
              <c:numCache>
                <c:formatCode>General</c:formatCode>
                <c:ptCount val="2"/>
                <c:pt idx="0">
                  <c:v>3900</c:v>
                </c:pt>
                <c:pt idx="1">
                  <c:v>3900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8A5-4CD2-A735-E4F9A67F6913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Podsumowanie!$AD$46:$AD$47</c:f>
              <c:numCache>
                <c:formatCode>General</c:formatCode>
                <c:ptCount val="2"/>
                <c:pt idx="0">
                  <c:v>3324.95</c:v>
                </c:pt>
                <c:pt idx="1">
                  <c:v>3324.95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18A5-4CD2-A735-E4F9A67F6913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Podsumowanie!$AF$46:$AF$47</c:f>
              <c:numCache>
                <c:formatCode>General</c:formatCode>
                <c:ptCount val="2"/>
                <c:pt idx="0">
                  <c:v>3216.4</c:v>
                </c:pt>
                <c:pt idx="1">
                  <c:v>3216.4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18A5-4CD2-A735-E4F9A67F6913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Podsumowanie!$AH$46:$AH$47</c:f>
              <c:numCache>
                <c:formatCode>General</c:formatCode>
                <c:ptCount val="2"/>
                <c:pt idx="0">
                  <c:v>3027</c:v>
                </c:pt>
                <c:pt idx="1">
                  <c:v>3027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8A5-4CD2-A735-E4F9A67F6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</c:scatterChart>
      <c:valAx>
        <c:axId val="1494335119"/>
        <c:scaling>
          <c:orientation val="minMax"/>
          <c:max val="15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 [m/s]</a:t>
                </a:r>
              </a:p>
              <a:p>
                <a:pPr>
                  <a:defRPr/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  <a:p>
                <a:pPr>
                  <a:defRPr/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[°]</a:t>
                </a:r>
              </a:p>
            </c:rich>
          </c:tx>
          <c:layout>
            <c:manualLayout>
              <c:xMode val="edge"/>
              <c:yMode val="edge"/>
              <c:x val="0.887742675517877"/>
              <c:y val="0.85196712438752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5"/>
      </c:valAx>
      <c:valAx>
        <c:axId val="1641619439"/>
        <c:scaling>
          <c:orientation val="minMax"/>
          <c:max val="4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ofertowy samolotu PWS-51 w otoczeniu pułapu samolotu mmax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0553237624689336E-2"/>
          <c:y val="6.6571788151444766E-2"/>
          <c:w val="0.85026377588115487"/>
          <c:h val="0.8543834260471791"/>
        </c:manualLayout>
      </c:layout>
      <c:scatterChart>
        <c:scatterStyle val="smoothMarker"/>
        <c:varyColors val="0"/>
        <c:ser>
          <c:idx val="0"/>
          <c:order val="0"/>
          <c:tx>
            <c:v>Vmin1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Podsumowanie!$O$3:$O$12</c:f>
              <c:numCache>
                <c:formatCode>0.00</c:formatCode>
                <c:ptCount val="10"/>
                <c:pt idx="0">
                  <c:v>73.707305389221233</c:v>
                </c:pt>
                <c:pt idx="1">
                  <c:v>75.509461077843966</c:v>
                </c:pt>
                <c:pt idx="2">
                  <c:v>77.31161676646704</c:v>
                </c:pt>
                <c:pt idx="3">
                  <c:v>79.208622754490889</c:v>
                </c:pt>
                <c:pt idx="4">
                  <c:v>81.200479041915841</c:v>
                </c:pt>
                <c:pt idx="5">
                  <c:v>83.192335329341162</c:v>
                </c:pt>
                <c:pt idx="6">
                  <c:v>85.2790419161676</c:v>
                </c:pt>
                <c:pt idx="7">
                  <c:v>91.728862275448805</c:v>
                </c:pt>
                <c:pt idx="8">
                  <c:v>102.73149700598772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D6-40A5-B4EB-198F47B29326}"/>
            </c:ext>
          </c:extLst>
        </c:ser>
        <c:ser>
          <c:idx val="13"/>
          <c:order val="1"/>
          <c:tx>
            <c:v>Vmin2</c:v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Podsumowanie!$O$38:$O$46</c:f>
              <c:numCache>
                <c:formatCode>0.00</c:formatCode>
                <c:ptCount val="9"/>
                <c:pt idx="0">
                  <c:v>73.707305389221233</c:v>
                </c:pt>
                <c:pt idx="1">
                  <c:v>75.604311377245438</c:v>
                </c:pt>
                <c:pt idx="2">
                  <c:v>77.406467065868171</c:v>
                </c:pt>
                <c:pt idx="3">
                  <c:v>79.303473053891992</c:v>
                </c:pt>
                <c:pt idx="4">
                  <c:v>81.390179640718443</c:v>
                </c:pt>
                <c:pt idx="5">
                  <c:v>83.476886227544881</c:v>
                </c:pt>
                <c:pt idx="6">
                  <c:v>85.563592814370963</c:v>
                </c:pt>
                <c:pt idx="7">
                  <c:v>97.040479041915845</c:v>
                </c:pt>
                <c:pt idx="8" formatCode="General">
                  <c:v>113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D6-40A5-B4EB-198F47B29326}"/>
            </c:ext>
          </c:extLst>
        </c:ser>
        <c:ser>
          <c:idx val="20"/>
          <c:order val="2"/>
          <c:tx>
            <c:v>Vmin3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Podsumowanie!$O$50:$O$58</c:f>
              <c:numCache>
                <c:formatCode>0.00</c:formatCode>
                <c:ptCount val="9"/>
                <c:pt idx="0">
                  <c:v>73.707305389221233</c:v>
                </c:pt>
                <c:pt idx="1">
                  <c:v>75.509461077843966</c:v>
                </c:pt>
                <c:pt idx="2">
                  <c:v>77.406467065868171</c:v>
                </c:pt>
                <c:pt idx="3">
                  <c:v>79.303473053891992</c:v>
                </c:pt>
                <c:pt idx="4">
                  <c:v>81.390179640718443</c:v>
                </c:pt>
                <c:pt idx="5">
                  <c:v>83.382035928143395</c:v>
                </c:pt>
                <c:pt idx="6">
                  <c:v>86.512095808383236</c:v>
                </c:pt>
                <c:pt idx="7">
                  <c:v>101.1190419161676</c:v>
                </c:pt>
                <c:pt idx="8" formatCode="General">
                  <c:v>111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D6-40A5-B4EB-198F47B29326}"/>
            </c:ext>
          </c:extLst>
        </c:ser>
        <c:ser>
          <c:idx val="1"/>
          <c:order val="3"/>
          <c:tx>
            <c:v>Vmax1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Podsumowanie!$Q$3:$Q$12</c:f>
              <c:numCache>
                <c:formatCode>0.00</c:formatCode>
                <c:ptCount val="10"/>
                <c:pt idx="0">
                  <c:v>151.18111776447108</c:v>
                </c:pt>
                <c:pt idx="1">
                  <c:v>150.52243512974039</c:v>
                </c:pt>
                <c:pt idx="2">
                  <c:v>150.02842315369247</c:v>
                </c:pt>
                <c:pt idx="3">
                  <c:v>149.31485029940112</c:v>
                </c:pt>
                <c:pt idx="4">
                  <c:v>147.61325349301393</c:v>
                </c:pt>
                <c:pt idx="5">
                  <c:v>146.73500998003982</c:v>
                </c:pt>
                <c:pt idx="6">
                  <c:v>144.37473053892194</c:v>
                </c:pt>
                <c:pt idx="7">
                  <c:v>138.06235528942105</c:v>
                </c:pt>
                <c:pt idx="8">
                  <c:v>129.60926147704572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D6-40A5-B4EB-198F47B29326}"/>
            </c:ext>
          </c:extLst>
        </c:ser>
        <c:ser>
          <c:idx val="14"/>
          <c:order val="4"/>
          <c:tx>
            <c:v>Vmax2</c:v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Podsumowanie!$Q$38:$Q$46</c:f>
              <c:numCache>
                <c:formatCode>0.00</c:formatCode>
                <c:ptCount val="9"/>
                <c:pt idx="0">
                  <c:v>149.47952095808353</c:v>
                </c:pt>
                <c:pt idx="1">
                  <c:v>148.4914970059877</c:v>
                </c:pt>
                <c:pt idx="2">
                  <c:v>147.39369261477015</c:v>
                </c:pt>
                <c:pt idx="3">
                  <c:v>145.85676646706568</c:v>
                </c:pt>
                <c:pt idx="4">
                  <c:v>143.2220359281437</c:v>
                </c:pt>
                <c:pt idx="5">
                  <c:v>140.91664670658685</c:v>
                </c:pt>
                <c:pt idx="6">
                  <c:v>133.78091816367254</c:v>
                </c:pt>
                <c:pt idx="7">
                  <c:v>122.08930139720556</c:v>
                </c:pt>
                <c:pt idx="8" formatCode="General">
                  <c:v>113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D6-40A5-B4EB-198F47B29326}"/>
            </c:ext>
          </c:extLst>
        </c:ser>
        <c:ser>
          <c:idx val="21"/>
          <c:order val="5"/>
          <c:tx>
            <c:v>Vmax3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Podsumowanie!$Q$50:$Q$58</c:f>
              <c:numCache>
                <c:formatCode>0.00</c:formatCode>
                <c:ptCount val="9"/>
                <c:pt idx="0">
                  <c:v>147.06435129740495</c:v>
                </c:pt>
                <c:pt idx="1">
                  <c:v>145.4176447105788</c:v>
                </c:pt>
                <c:pt idx="2">
                  <c:v>143.66115768463058</c:v>
                </c:pt>
                <c:pt idx="3">
                  <c:v>142.39868263473025</c:v>
                </c:pt>
                <c:pt idx="4">
                  <c:v>140.31285429141684</c:v>
                </c:pt>
                <c:pt idx="5">
                  <c:v>136.63520958083831</c:v>
                </c:pt>
                <c:pt idx="6">
                  <c:v>126.91964071856268</c:v>
                </c:pt>
                <c:pt idx="7">
                  <c:v>118.24698602794393</c:v>
                </c:pt>
                <c:pt idx="8" formatCode="General">
                  <c:v>111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D6-40A5-B4EB-198F47B29326}"/>
            </c:ext>
          </c:extLst>
        </c:ser>
        <c:ser>
          <c:idx val="2"/>
          <c:order val="6"/>
          <c:tx>
            <c:v>Vw1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Podsumowanie!$U$3:$U$12</c:f>
              <c:numCache>
                <c:formatCode>0.00</c:formatCode>
                <c:ptCount val="10"/>
                <c:pt idx="0">
                  <c:v>105.57700598802384</c:v>
                </c:pt>
                <c:pt idx="1">
                  <c:v>107.09461077844284</c:v>
                </c:pt>
                <c:pt idx="2">
                  <c:v>109.65556886227525</c:v>
                </c:pt>
                <c:pt idx="3">
                  <c:v>111.45772455089795</c:v>
                </c:pt>
                <c:pt idx="4">
                  <c:v>114.01868263473037</c:v>
                </c:pt>
                <c:pt idx="5">
                  <c:v>116.01053892215567</c:v>
                </c:pt>
                <c:pt idx="6">
                  <c:v>118.00239520958063</c:v>
                </c:pt>
                <c:pt idx="7">
                  <c:v>119.42514970059852</c:v>
                </c:pt>
                <c:pt idx="8">
                  <c:v>121.32215568862271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BD6-40A5-B4EB-198F47B29326}"/>
            </c:ext>
          </c:extLst>
        </c:ser>
        <c:ser>
          <c:idx val="15"/>
          <c:order val="7"/>
          <c:tx>
            <c:v>Vw2</c:v>
          </c:tx>
          <c:spPr>
            <a:ln w="190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Podsumowanie!$U$38:$U$46</c:f>
              <c:numCache>
                <c:formatCode>0.00</c:formatCode>
                <c:ptCount val="9"/>
                <c:pt idx="0">
                  <c:v>101.7829940119758</c:v>
                </c:pt>
                <c:pt idx="1">
                  <c:v>103.58514970059852</c:v>
                </c:pt>
                <c:pt idx="2">
                  <c:v>104.81820359281416</c:v>
                </c:pt>
                <c:pt idx="3">
                  <c:v>106.52550898203576</c:v>
                </c:pt>
                <c:pt idx="4">
                  <c:v>108.23281437125736</c:v>
                </c:pt>
                <c:pt idx="5">
                  <c:v>109.94011976047896</c:v>
                </c:pt>
                <c:pt idx="6">
                  <c:v>111.45772455089795</c:v>
                </c:pt>
                <c:pt idx="7">
                  <c:v>112.97532934131732</c:v>
                </c:pt>
                <c:pt idx="8" formatCode="General">
                  <c:v>113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BD6-40A5-B4EB-198F47B29326}"/>
            </c:ext>
          </c:extLst>
        </c:ser>
        <c:ser>
          <c:idx val="22"/>
          <c:order val="8"/>
          <c:tx>
            <c:v>Vw3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Podsumowanie!$U$50:$U$58</c:f>
              <c:numCache>
                <c:formatCode>0.00</c:formatCode>
                <c:ptCount val="9"/>
                <c:pt idx="0">
                  <c:v>98.747784431137433</c:v>
                </c:pt>
                <c:pt idx="1">
                  <c:v>99.601437125748248</c:v>
                </c:pt>
                <c:pt idx="2">
                  <c:v>100.36023952095792</c:v>
                </c:pt>
                <c:pt idx="3">
                  <c:v>101.87784431137692</c:v>
                </c:pt>
                <c:pt idx="4">
                  <c:v>103.01604790419144</c:v>
                </c:pt>
                <c:pt idx="5">
                  <c:v>104.62850299401192</c:v>
                </c:pt>
                <c:pt idx="6">
                  <c:v>106.52550898203576</c:v>
                </c:pt>
                <c:pt idx="7">
                  <c:v>109.18131736526928</c:v>
                </c:pt>
                <c:pt idx="8" formatCode="General">
                  <c:v>111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BD6-40A5-B4EB-198F47B29326}"/>
            </c:ext>
          </c:extLst>
        </c:ser>
        <c:ser>
          <c:idx val="3"/>
          <c:order val="9"/>
          <c:tx>
            <c:v>Vy1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Podsumowanie!$Y$3:$Y$12</c:f>
              <c:numCache>
                <c:formatCode>0.00</c:formatCode>
                <c:ptCount val="10"/>
                <c:pt idx="0">
                  <c:v>92.438709677419325</c:v>
                </c:pt>
                <c:pt idx="1">
                  <c:v>96.696774193548251</c:v>
                </c:pt>
                <c:pt idx="2">
                  <c:v>99.346236559139527</c:v>
                </c:pt>
                <c:pt idx="3">
                  <c:v>101.61720430107516</c:v>
                </c:pt>
                <c:pt idx="4">
                  <c:v>104.64516129032243</c:v>
                </c:pt>
                <c:pt idx="5">
                  <c:v>107.86236559139772</c:v>
                </c:pt>
                <c:pt idx="6">
                  <c:v>111.458064516129</c:v>
                </c:pt>
                <c:pt idx="7">
                  <c:v>114.76989247311829</c:v>
                </c:pt>
                <c:pt idx="8">
                  <c:v>119.97419354838684</c:v>
                </c:pt>
                <c:pt idx="9" formatCode="General">
                  <c:v>122</c:v>
                </c:pt>
              </c:numCache>
            </c:numRef>
          </c:xVal>
          <c:yVal>
            <c:numRef>
              <c:f>Podsumowanie!$M$3:$M$12</c:f>
              <c:numCache>
                <c:formatCode>General</c:formatCode>
                <c:ptCount val="1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BD6-40A5-B4EB-198F47B29326}"/>
            </c:ext>
          </c:extLst>
        </c:ser>
        <c:ser>
          <c:idx val="16"/>
          <c:order val="10"/>
          <c:tx>
            <c:v>Vy2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Podsumowanie!$Y$38:$Y$46</c:f>
              <c:numCache>
                <c:formatCode>0.00</c:formatCode>
                <c:ptCount val="9"/>
                <c:pt idx="0">
                  <c:v>80.421505376343831</c:v>
                </c:pt>
                <c:pt idx="1">
                  <c:v>82.976344086021484</c:v>
                </c:pt>
                <c:pt idx="2">
                  <c:v>87.5182795698924</c:v>
                </c:pt>
                <c:pt idx="3">
                  <c:v>91.587096774193327</c:v>
                </c:pt>
                <c:pt idx="4">
                  <c:v>95.561290322580604</c:v>
                </c:pt>
                <c:pt idx="5">
                  <c:v>99.724731182795523</c:v>
                </c:pt>
                <c:pt idx="6">
                  <c:v>103.22580645161281</c:v>
                </c:pt>
                <c:pt idx="7">
                  <c:v>108.90322580645136</c:v>
                </c:pt>
                <c:pt idx="8" formatCode="General">
                  <c:v>113</c:v>
                </c:pt>
              </c:numCache>
            </c:numRef>
          </c:xVal>
          <c:yVal>
            <c:numRef>
              <c:f>Podsumowanie!$M$38:$M$46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BD6-40A5-B4EB-198F47B29326}"/>
            </c:ext>
          </c:extLst>
        </c:ser>
        <c:ser>
          <c:idx val="23"/>
          <c:order val="11"/>
          <c:tx>
            <c:v>Vy3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Podsumowanie!$Y$50:$Y$58</c:f>
              <c:numCache>
                <c:formatCode>0.00</c:formatCode>
                <c:ptCount val="9"/>
                <c:pt idx="0">
                  <c:v>86.761290322580393</c:v>
                </c:pt>
                <c:pt idx="1">
                  <c:v>91.397849462365329</c:v>
                </c:pt>
                <c:pt idx="2">
                  <c:v>95.845161290322238</c:v>
                </c:pt>
                <c:pt idx="3">
                  <c:v>99.251612903225521</c:v>
                </c:pt>
                <c:pt idx="4">
                  <c:v>101.99569892473117</c:v>
                </c:pt>
                <c:pt idx="5">
                  <c:v>105.96989247311808</c:v>
                </c:pt>
                <c:pt idx="6">
                  <c:v>108.52473118279536</c:v>
                </c:pt>
                <c:pt idx="7">
                  <c:v>111.36344086021499</c:v>
                </c:pt>
                <c:pt idx="8" formatCode="General">
                  <c:v>111</c:v>
                </c:pt>
              </c:numCache>
            </c:numRef>
          </c:xVal>
          <c:yVal>
            <c:numRef>
              <c:f>Podsumowanie!$M$50:$M$58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BD6-40A5-B4EB-198F47B29326}"/>
            </c:ext>
          </c:extLst>
        </c:ser>
        <c:ser>
          <c:idx val="7"/>
          <c:order val="21"/>
          <c:tx>
            <c:v>ht1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Podsumowanie!$AC$46:$AC$47</c:f>
              <c:numCache>
                <c:formatCode>General</c:formatCode>
                <c:ptCount val="2"/>
                <c:pt idx="0">
                  <c:v>4240</c:v>
                </c:pt>
                <c:pt idx="1">
                  <c:v>4240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BD6-40A5-B4EB-198F47B29326}"/>
            </c:ext>
          </c:extLst>
        </c:ser>
        <c:ser>
          <c:idx val="9"/>
          <c:order val="22"/>
          <c:tx>
            <c:v>ht2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Podsumowanie!$AI$46:$AI$47</c:f>
              <c:numCache>
                <c:formatCode>General</c:formatCode>
                <c:ptCount val="2"/>
                <c:pt idx="0">
                  <c:v>3640</c:v>
                </c:pt>
                <c:pt idx="1">
                  <c:v>3640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4BD6-40A5-B4EB-198F47B29326}"/>
            </c:ext>
          </c:extLst>
        </c:ser>
        <c:ser>
          <c:idx val="11"/>
          <c:order val="23"/>
          <c:tx>
            <c:v>ht3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Podsumowanie!$AK$46:$AK$47</c:f>
              <c:numCache>
                <c:formatCode>General</c:formatCode>
                <c:ptCount val="2"/>
                <c:pt idx="0">
                  <c:v>3645</c:v>
                </c:pt>
                <c:pt idx="1">
                  <c:v>3645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BD6-40A5-B4EB-198F47B29326}"/>
            </c:ext>
          </c:extLst>
        </c:ser>
        <c:ser>
          <c:idx val="8"/>
          <c:order val="24"/>
          <c:tx>
            <c:v>hp1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Podsumowanie!$AD$46:$AD$47</c:f>
              <c:numCache>
                <c:formatCode>General</c:formatCode>
                <c:ptCount val="2"/>
                <c:pt idx="0">
                  <c:v>3324.95</c:v>
                </c:pt>
                <c:pt idx="1">
                  <c:v>3324.95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4BD6-40A5-B4EB-198F47B29326}"/>
            </c:ext>
          </c:extLst>
        </c:ser>
        <c:ser>
          <c:idx val="10"/>
          <c:order val="25"/>
          <c:tx>
            <c:v>hp2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Podsumowanie!$AJ$46:$AJ$47</c:f>
              <c:numCache>
                <c:formatCode>General</c:formatCode>
                <c:ptCount val="2"/>
                <c:pt idx="0">
                  <c:v>2763.15</c:v>
                </c:pt>
                <c:pt idx="1">
                  <c:v>2763.15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BD6-40A5-B4EB-198F47B29326}"/>
            </c:ext>
          </c:extLst>
        </c:ser>
        <c:ser>
          <c:idx val="12"/>
          <c:order val="26"/>
          <c:tx>
            <c:v>hp3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Podsumowanie!$AC$51:$AC$52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Podsumowanie!$AL$46:$AL$47</c:f>
              <c:numCache>
                <c:formatCode>General</c:formatCode>
                <c:ptCount val="2"/>
                <c:pt idx="0">
                  <c:v>2756.9</c:v>
                </c:pt>
                <c:pt idx="1">
                  <c:v>2756.9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4BD6-40A5-B4EB-198F47B29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335119"/>
        <c:axId val="1641619439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2"/>
                <c:tx>
                  <c:v>10wmax1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Podsumowanie!$S$3:$S$12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23.164556962025298</c:v>
                      </c:pt>
                      <c:pt idx="1">
                        <c:v>20.379746835443001</c:v>
                      </c:pt>
                      <c:pt idx="2">
                        <c:v>17.426160337552702</c:v>
                      </c:pt>
                      <c:pt idx="3">
                        <c:v>14.3037974683544</c:v>
                      </c:pt>
                      <c:pt idx="4">
                        <c:v>11.2658227848101</c:v>
                      </c:pt>
                      <c:pt idx="5">
                        <c:v>8.6075949367088604</c:v>
                      </c:pt>
                      <c:pt idx="6">
                        <c:v>5.8649789029535802</c:v>
                      </c:pt>
                      <c:pt idx="7">
                        <c:v>3.8396624472573797</c:v>
                      </c:pt>
                      <c:pt idx="8">
                        <c:v>1.3080168776371301</c:v>
                      </c:pt>
                      <c:pt idx="9" formatCode="General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Podsumowanie!$M$3:$M$12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4240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4BD6-40A5-B4EB-198F47B29326}"/>
                  </c:ext>
                </c:extLst>
              </c15:ser>
            </c15:filteredScatterSeries>
            <c15:filteredScatterSeries>
              <c15:ser>
                <c:idx val="17"/>
                <c:order val="13"/>
                <c:tx>
                  <c:v>10wmax2</c:v>
                </c:tx>
                <c:spPr>
                  <a:ln w="19050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Podsumowanie!$S$38:$S$46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20.759493670886002</c:v>
                      </c:pt>
                      <c:pt idx="1">
                        <c:v>17.848101265822699</c:v>
                      </c:pt>
                      <c:pt idx="2">
                        <c:v>15.3164556962025</c:v>
                      </c:pt>
                      <c:pt idx="3">
                        <c:v>12.278481012658201</c:v>
                      </c:pt>
                      <c:pt idx="4">
                        <c:v>8.9451476793248901</c:v>
                      </c:pt>
                      <c:pt idx="5">
                        <c:v>6.2869198312236296</c:v>
                      </c:pt>
                      <c:pt idx="6">
                        <c:v>3.29113924050632</c:v>
                      </c:pt>
                      <c:pt idx="7">
                        <c:v>0.80168776371308104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Podsumowanie!$M$38:$M$46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3640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BD6-40A5-B4EB-198F47B29326}"/>
                  </c:ext>
                </c:extLst>
              </c15:ser>
            </c15:filteredScatterSeries>
            <c15:filteredScatterSeries>
              <c15:ser>
                <c:idx val="24"/>
                <c:order val="14"/>
                <c:tx>
                  <c:v>10wmax3</c:v>
                </c:tx>
                <c:spPr>
                  <a:ln w="19050" cap="rnd">
                    <a:solidFill>
                      <a:schemeClr val="accent5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Podsumowanie!$S$50:$S$58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20.506329113924</c:v>
                      </c:pt>
                      <c:pt idx="1">
                        <c:v>17.6371308016877</c:v>
                      </c:pt>
                      <c:pt idx="2">
                        <c:v>14.978902953586498</c:v>
                      </c:pt>
                      <c:pt idx="3">
                        <c:v>11.814345991561099</c:v>
                      </c:pt>
                      <c:pt idx="4">
                        <c:v>9.0717299578059105</c:v>
                      </c:pt>
                      <c:pt idx="5">
                        <c:v>6.2025316455696196</c:v>
                      </c:pt>
                      <c:pt idx="6">
                        <c:v>3.5021097046413501</c:v>
                      </c:pt>
                      <c:pt idx="7">
                        <c:v>0.80168776371308104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Podsumowanie!$M$50:$M$58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3645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BD6-40A5-B4EB-198F47B29326}"/>
                  </c:ext>
                </c:extLst>
              </c15:ser>
            </c15:filteredScatterSeries>
            <c15:filteredScatterSeries>
              <c15:ser>
                <c:idx val="5"/>
                <c:order val="15"/>
                <c:tx>
                  <c:v>10ymax1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Podsumowanie!$W$3:$W$12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48.934426229508205</c:v>
                      </c:pt>
                      <c:pt idx="1">
                        <c:v>41.475409836065502</c:v>
                      </c:pt>
                      <c:pt idx="2">
                        <c:v>34.918032786885199</c:v>
                      </c:pt>
                      <c:pt idx="3">
                        <c:v>29.0983606557377</c:v>
                      </c:pt>
                      <c:pt idx="4">
                        <c:v>22.0491803278688</c:v>
                      </c:pt>
                      <c:pt idx="5">
                        <c:v>16.639344262294998</c:v>
                      </c:pt>
                      <c:pt idx="6">
                        <c:v>10.983606557377</c:v>
                      </c:pt>
                      <c:pt idx="7">
                        <c:v>7.0491803278688501</c:v>
                      </c:pt>
                      <c:pt idx="8">
                        <c:v>2.4590163934426101</c:v>
                      </c:pt>
                      <c:pt idx="9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Podsumowanie!$M$3:$M$12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4240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BD6-40A5-B4EB-198F47B29326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v>10ymax2</c:v>
                </c:tx>
                <c:spPr>
                  <a:ln w="19050" cap="rnd">
                    <a:solidFill>
                      <a:schemeClr val="accent6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Podsumowanie!$W$38:$W$46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46.147540983606497</c:v>
                      </c:pt>
                      <c:pt idx="1">
                        <c:v>38.6065573770491</c:v>
                      </c:pt>
                      <c:pt idx="2">
                        <c:v>31.311475409836</c:v>
                      </c:pt>
                      <c:pt idx="3">
                        <c:v>24.918032786885199</c:v>
                      </c:pt>
                      <c:pt idx="4">
                        <c:v>18.6065573770491</c:v>
                      </c:pt>
                      <c:pt idx="5">
                        <c:v>13.5245901639344</c:v>
                      </c:pt>
                      <c:pt idx="6">
                        <c:v>7.3770491803278606</c:v>
                      </c:pt>
                      <c:pt idx="7">
                        <c:v>1.80327868852458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Podsumowanie!$M$38:$M$46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3640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BD6-40A5-B4EB-198F47B29326}"/>
                  </c:ext>
                </c:extLst>
              </c15:ser>
            </c15:filteredScatterSeries>
            <c15:filteredScatterSeries>
              <c15:ser>
                <c:idx val="25"/>
                <c:order val="17"/>
                <c:tx>
                  <c:v>10ymax3</c:v>
                </c:tx>
                <c:spPr>
                  <a:ln w="19050" cap="rnd">
                    <a:solidFill>
                      <a:schemeClr val="accent6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Podsumowanie!$W$50:$W$58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44.426229508196698</c:v>
                      </c:pt>
                      <c:pt idx="1">
                        <c:v>37.786885245901601</c:v>
                      </c:pt>
                      <c:pt idx="2">
                        <c:v>31.229508196721302</c:v>
                      </c:pt>
                      <c:pt idx="3">
                        <c:v>24.5081967213114</c:v>
                      </c:pt>
                      <c:pt idx="4">
                        <c:v>18.442622950819601</c:v>
                      </c:pt>
                      <c:pt idx="5">
                        <c:v>12.2950819672131</c:v>
                      </c:pt>
                      <c:pt idx="6">
                        <c:v>6.9672131147540908</c:v>
                      </c:pt>
                      <c:pt idx="7">
                        <c:v>1.4754098360655701</c:v>
                      </c:pt>
                      <c:pt idx="8" formatCode="General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Podsumowanie!$M$50:$M$58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3645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BD6-40A5-B4EB-198F47B29326}"/>
                  </c:ext>
                </c:extLst>
              </c15:ser>
            </c15:filteredScatterSeries>
            <c15:filteredScatterSeries>
              <c15:ser>
                <c:idx val="6"/>
                <c:order val="18"/>
                <c:tx>
                  <c:v>th1</c:v>
                </c:tx>
                <c:spPr>
                  <a:ln w="1270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Podsumowanie!$AA$3:$AA$12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0</c:v>
                      </c:pt>
                      <c:pt idx="1">
                        <c:v>3.8278685120696729</c:v>
                      </c:pt>
                      <c:pt idx="2">
                        <c:v>8.205908025018033</c:v>
                      </c:pt>
                      <c:pt idx="3">
                        <c:v>13.319246598246689</c:v>
                      </c:pt>
                      <c:pt idx="4">
                        <c:v>19.465733755476553</c:v>
                      </c:pt>
                      <c:pt idx="5">
                        <c:v>27.171362034571782</c:v>
                      </c:pt>
                      <c:pt idx="6">
                        <c:v>37.506120669347332</c:v>
                      </c:pt>
                      <c:pt idx="7">
                        <c:v>53.254014075120971</c:v>
                      </c:pt>
                      <c:pt idx="8">
                        <c:v>87.604536170414349</c:v>
                      </c:pt>
                      <c:pt idx="9" formatCode="General">
                        <c:v>160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Podsumowanie!$M$3:$M$12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4000</c:v>
                      </c:pt>
                      <c:pt idx="9">
                        <c:v>4240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BD6-40A5-B4EB-198F47B29326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v>th2</c:v>
                </c:tx>
                <c:spPr>
                  <a:ln w="12700" cap="rnd">
                    <a:solidFill>
                      <a:srgbClr val="FF0000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Podsumowanie!$AA$38:$AA$46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4.3181015396182874</c:v>
                      </c:pt>
                      <c:pt idx="2">
                        <c:v>9.3867522435840272</c:v>
                      </c:pt>
                      <c:pt idx="3">
                        <c:v>15.522917001822975</c:v>
                      </c:pt>
                      <c:pt idx="4">
                        <c:v>23.299591076473121</c:v>
                      </c:pt>
                      <c:pt idx="5">
                        <c:v>33.92727036151436</c:v>
                      </c:pt>
                      <c:pt idx="6">
                        <c:v>50.798490521007686</c:v>
                      </c:pt>
                      <c:pt idx="7">
                        <c:v>95.213235820473685</c:v>
                      </c:pt>
                      <c:pt idx="8" formatCode="General">
                        <c:v>160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Podsumowanie!$M$38:$M$46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3640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BD6-40A5-B4EB-198F47B29326}"/>
                  </c:ext>
                </c:extLst>
              </c15:ser>
            </c15:filteredScatterSeries>
            <c15:filteredScatterSeries>
              <c15:ser>
                <c:idx val="26"/>
                <c:order val="20"/>
                <c:tx>
                  <c:v>th3</c:v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Podsumowanie!$AA$50:$AA$58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0</c:v>
                      </c:pt>
                      <c:pt idx="1">
                        <c:v>4.3709458310059608</c:v>
                      </c:pt>
                      <c:pt idx="2">
                        <c:v>9.5003020169544019</c:v>
                      </c:pt>
                      <c:pt idx="3">
                        <c:v>15.707673087514033</c:v>
                      </c:pt>
                      <c:pt idx="4">
                        <c:v>23.570123444332417</c:v>
                      </c:pt>
                      <c:pt idx="5">
                        <c:v>34.304319955462233</c:v>
                      </c:pt>
                      <c:pt idx="6">
                        <c:v>51.306391831542093</c:v>
                      </c:pt>
                      <c:pt idx="7">
                        <c:v>95.522195347407461</c:v>
                      </c:pt>
                      <c:pt idx="8" formatCode="General">
                        <c:v>160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Podsumowanie!$M$50:$M$58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1500</c:v>
                      </c:pt>
                      <c:pt idx="4">
                        <c:v>2000</c:v>
                      </c:pt>
                      <c:pt idx="5">
                        <c:v>2500</c:v>
                      </c:pt>
                      <c:pt idx="6">
                        <c:v>3000</c:v>
                      </c:pt>
                      <c:pt idx="7">
                        <c:v>3500</c:v>
                      </c:pt>
                      <c:pt idx="8">
                        <c:v>3645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BD6-40A5-B4EB-198F47B29326}"/>
                  </c:ext>
                </c:extLst>
              </c15:ser>
            </c15:filteredScatterSeries>
          </c:ext>
        </c:extLst>
      </c:scatterChart>
      <c:valAx>
        <c:axId val="1494335119"/>
        <c:scaling>
          <c:orientation val="minMax"/>
          <c:max val="150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 [km/h]</a:t>
                </a:r>
              </a:p>
            </c:rich>
          </c:tx>
          <c:layout>
            <c:manualLayout>
              <c:xMode val="edge"/>
              <c:yMode val="edge"/>
              <c:x val="0.43988807996810497"/>
              <c:y val="0.950569935887350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19439"/>
        <c:crosses val="autoZero"/>
        <c:crossBetween val="midCat"/>
        <c:majorUnit val="5"/>
      </c:valAx>
      <c:valAx>
        <c:axId val="1641619439"/>
        <c:scaling>
          <c:orientation val="minMax"/>
          <c:max val="4300"/>
          <c:min val="2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h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3351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958539784933778"/>
          <c:y val="1.596121381372766E-2"/>
          <c:w val="8.1201636475728131E-2"/>
          <c:h val="0.96609007004945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'h=0m'!$N$3:$N$17</c:f>
              <c:numCache>
                <c:formatCode>0.00</c:formatCode>
                <c:ptCount val="15"/>
                <c:pt idx="0">
                  <c:v>1.8818145104848438</c:v>
                </c:pt>
                <c:pt idx="1">
                  <c:v>2.102456839614399</c:v>
                </c:pt>
                <c:pt idx="2">
                  <c:v>2.2140980877465259</c:v>
                </c:pt>
                <c:pt idx="3">
                  <c:v>2.3453377659130155</c:v>
                </c:pt>
                <c:pt idx="4">
                  <c:v>2.3773190754931992</c:v>
                </c:pt>
                <c:pt idx="5">
                  <c:v>2.3188806815029657</c:v>
                </c:pt>
                <c:pt idx="6">
                  <c:v>2.091606092750506</c:v>
                </c:pt>
                <c:pt idx="7">
                  <c:v>1.757432351914064</c:v>
                </c:pt>
                <c:pt idx="8">
                  <c:v>1.2004596852568861</c:v>
                </c:pt>
                <c:pt idx="9">
                  <c:v>-0.11543223748851203</c:v>
                </c:pt>
                <c:pt idx="10">
                  <c:v>-1.2362457407993475</c:v>
                </c:pt>
                <c:pt idx="11">
                  <c:v>-2.5457967345520931</c:v>
                </c:pt>
                <c:pt idx="12">
                  <c:v>-3.9937267714982605</c:v>
                </c:pt>
                <c:pt idx="13">
                  <c:v>-5.6989586393173335</c:v>
                </c:pt>
                <c:pt idx="14">
                  <c:v>-7.5846257845013225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6-4162-A4CD-36322D73127A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'h=0m'!$H$24:$H$36</c:f>
              <c:numCache>
                <c:formatCode>0.0</c:formatCode>
                <c:ptCount val="13"/>
                <c:pt idx="0">
                  <c:v>21.429825785748122</c:v>
                </c:pt>
                <c:pt idx="1">
                  <c:v>22.312432381898088</c:v>
                </c:pt>
                <c:pt idx="2">
                  <c:v>24.509709083434171</c:v>
                </c:pt>
                <c:pt idx="3">
                  <c:v>25.868682000759506</c:v>
                </c:pt>
                <c:pt idx="4">
                  <c:v>27.486331407644101</c:v>
                </c:pt>
                <c:pt idx="5">
                  <c:v>29.426326272975654</c:v>
                </c:pt>
                <c:pt idx="6">
                  <c:v>32.043106320799382</c:v>
                </c:pt>
                <c:pt idx="7">
                  <c:v>35.113267990460102</c:v>
                </c:pt>
                <c:pt idx="8">
                  <c:v>39.58681539671273</c:v>
                </c:pt>
                <c:pt idx="9">
                  <c:v>42.239693588971924</c:v>
                </c:pt>
                <c:pt idx="10">
                  <c:v>46.215950660815523</c:v>
                </c:pt>
                <c:pt idx="11">
                  <c:v>51.012458134162578</c:v>
                </c:pt>
                <c:pt idx="12">
                  <c:v>58.023959236010896</c:v>
                </c:pt>
              </c:numCache>
            </c:numRef>
          </c:xVal>
          <c:yVal>
            <c:numRef>
              <c:f>'h=0m'!$L$24:$L$36</c:f>
              <c:numCache>
                <c:formatCode>0.00</c:formatCode>
                <c:ptCount val="13"/>
                <c:pt idx="0">
                  <c:v>1.9451881653163641</c:v>
                </c:pt>
                <c:pt idx="1">
                  <c:v>2.0153303443611792</c:v>
                </c:pt>
                <c:pt idx="2">
                  <c:v>2.184007611956309</c:v>
                </c:pt>
                <c:pt idx="3">
                  <c:v>2.2302539848297704</c:v>
                </c:pt>
                <c:pt idx="4">
                  <c:v>2.2098612474997865</c:v>
                </c:pt>
                <c:pt idx="5">
                  <c:v>2.1397559334804739</c:v>
                </c:pt>
                <c:pt idx="6">
                  <c:v>1.9400067027880747</c:v>
                </c:pt>
                <c:pt idx="7">
                  <c:v>1.5307073970717775</c:v>
                </c:pt>
                <c:pt idx="8">
                  <c:v>0.67208158928273309</c:v>
                </c:pt>
                <c:pt idx="9">
                  <c:v>-0.30713712231317614</c:v>
                </c:pt>
                <c:pt idx="10">
                  <c:v>-2.7253589580468187</c:v>
                </c:pt>
                <c:pt idx="11">
                  <c:v>-6.3928806195739138</c:v>
                </c:pt>
                <c:pt idx="12">
                  <c:v>-13.851557523210666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6-4162-A4CD-36322D73127A}"/>
            </c:ext>
          </c:extLst>
        </c:ser>
        <c:ser>
          <c:idx val="2"/>
          <c:order val="2"/>
          <c:tx>
            <c:v>metoda ciągu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22.079780146439905</c:v>
                </c:pt>
                <c:pt idx="2">
                  <c:v>23.689027827482992</c:v>
                </c:pt>
                <c:pt idx="3">
                  <c:v>25.298275508526075</c:v>
                </c:pt>
                <c:pt idx="4">
                  <c:v>26.907523189569158</c:v>
                </c:pt>
                <c:pt idx="5">
                  <c:v>28.516770870612241</c:v>
                </c:pt>
                <c:pt idx="6">
                  <c:v>30.126018551655328</c:v>
                </c:pt>
                <c:pt idx="7">
                  <c:v>31.735266232698411</c:v>
                </c:pt>
                <c:pt idx="8">
                  <c:v>33.344513913741494</c:v>
                </c:pt>
                <c:pt idx="9">
                  <c:v>34.953761594784581</c:v>
                </c:pt>
                <c:pt idx="10">
                  <c:v>36.563009275827667</c:v>
                </c:pt>
                <c:pt idx="11">
                  <c:v>38.172256956870747</c:v>
                </c:pt>
                <c:pt idx="12">
                  <c:v>39.781504637913834</c:v>
                </c:pt>
                <c:pt idx="13">
                  <c:v>41.390752318956913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masa'!$O$4:$O$18</c:f>
              <c:numCache>
                <c:formatCode>0.00</c:formatCode>
                <c:ptCount val="15"/>
                <c:pt idx="0">
                  <c:v>1.655581286735003</c:v>
                </c:pt>
                <c:pt idx="1">
                  <c:v>1.8199771565329694</c:v>
                </c:pt>
                <c:pt idx="2">
                  <c:v>2.0118705411337232</c:v>
                </c:pt>
                <c:pt idx="3">
                  <c:v>2.1444642058853742</c:v>
                </c:pt>
                <c:pt idx="4">
                  <c:v>2.2706780030276561</c:v>
                </c:pt>
                <c:pt idx="5">
                  <c:v>2.3010922162961669</c:v>
                </c:pt>
                <c:pt idx="6">
                  <c:v>2.2876169727700146</c:v>
                </c:pt>
                <c:pt idx="7">
                  <c:v>2.2558172269342056</c:v>
                </c:pt>
                <c:pt idx="8">
                  <c:v>2.1406376424434042</c:v>
                </c:pt>
                <c:pt idx="9">
                  <c:v>2.0126702466615023</c:v>
                </c:pt>
                <c:pt idx="10">
                  <c:v>1.8239397316843851</c:v>
                </c:pt>
                <c:pt idx="11">
                  <c:v>1.5620709465906601</c:v>
                </c:pt>
                <c:pt idx="12">
                  <c:v>1.1003825575591191</c:v>
                </c:pt>
                <c:pt idx="13">
                  <c:v>0.33627351079282719</c:v>
                </c:pt>
                <c:pt idx="14">
                  <c:v>-0.58613548989357023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6-4162-A4CD-36322D731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31316367316830496"/>
          <c:h val="9.244955210558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0"/>
          <c:order val="0"/>
          <c:tx>
            <c:v>metoda mocy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'h=0m'!$H$22:$H$36</c:f>
              <c:numCache>
                <c:formatCode>0.0</c:formatCode>
                <c:ptCount val="15"/>
                <c:pt idx="0">
                  <c:v>19.885538967126291</c:v>
                </c:pt>
                <c:pt idx="1">
                  <c:v>20.631460592290651</c:v>
                </c:pt>
                <c:pt idx="2">
                  <c:v>21.429825785748122</c:v>
                </c:pt>
                <c:pt idx="3">
                  <c:v>22.312432381898088</c:v>
                </c:pt>
                <c:pt idx="4">
                  <c:v>24.509709083434171</c:v>
                </c:pt>
                <c:pt idx="5">
                  <c:v>25.868682000759506</c:v>
                </c:pt>
                <c:pt idx="6">
                  <c:v>27.486331407644101</c:v>
                </c:pt>
                <c:pt idx="7">
                  <c:v>29.426326272975654</c:v>
                </c:pt>
                <c:pt idx="8">
                  <c:v>32.043106320799382</c:v>
                </c:pt>
                <c:pt idx="9">
                  <c:v>35.113267990460102</c:v>
                </c:pt>
                <c:pt idx="10">
                  <c:v>39.58681539671273</c:v>
                </c:pt>
                <c:pt idx="11">
                  <c:v>42.239693588971924</c:v>
                </c:pt>
                <c:pt idx="12">
                  <c:v>46.215950660815523</c:v>
                </c:pt>
                <c:pt idx="13">
                  <c:v>51.012458134162578</c:v>
                </c:pt>
                <c:pt idx="14">
                  <c:v>58.023959236010896</c:v>
                </c:pt>
              </c:numCache>
            </c:numRef>
          </c:xVal>
          <c:yVal>
            <c:numRef>
              <c:f>'h=0m'!$M$22:$M$36</c:f>
              <c:numCache>
                <c:formatCode>0.00</c:formatCode>
                <c:ptCount val="15"/>
                <c:pt idx="0">
                  <c:v>4.9902057684216974</c:v>
                </c:pt>
                <c:pt idx="1">
                  <c:v>5.2299291173129809</c:v>
                </c:pt>
                <c:pt idx="2">
                  <c:v>5.2079138914151564</c:v>
                </c:pt>
                <c:pt idx="3">
                  <c:v>5.182200950021115</c:v>
                </c:pt>
                <c:pt idx="4">
                  <c:v>5.1122847521356833</c:v>
                </c:pt>
                <c:pt idx="5">
                  <c:v>4.9458636577148347</c:v>
                </c:pt>
                <c:pt idx="6">
                  <c:v>4.6114748825320815</c:v>
                </c:pt>
                <c:pt idx="7">
                  <c:v>4.1699831224212431</c:v>
                </c:pt>
                <c:pt idx="8">
                  <c:v>3.4710185092085251</c:v>
                </c:pt>
                <c:pt idx="9">
                  <c:v>2.4985106943686652</c:v>
                </c:pt>
                <c:pt idx="10">
                  <c:v>0.97278066591783852</c:v>
                </c:pt>
                <c:pt idx="11">
                  <c:v>-0.41661798224475632</c:v>
                </c:pt>
                <c:pt idx="12">
                  <c:v>-3.380698822672616</c:v>
                </c:pt>
                <c:pt idx="13">
                  <c:v>-7.1992350293697003</c:v>
                </c:pt>
                <c:pt idx="14">
                  <c:v>-13.811085331218576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C3-4267-9AA9-BF0674AFAA22}"/>
            </c:ext>
          </c:extLst>
        </c:ser>
        <c:ser>
          <c:idx val="1"/>
          <c:order val="1"/>
          <c:tx>
            <c:v>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5.4301574510823851</c:v>
                </c:pt>
                <c:pt idx="1">
                  <c:v>5.4839101069983194</c:v>
                </c:pt>
                <c:pt idx="2">
                  <c:v>5.2932963917559439</c:v>
                </c:pt>
                <c:pt idx="3">
                  <c:v>5.1754178798587205</c:v>
                </c:pt>
                <c:pt idx="4">
                  <c:v>4.8705190498519402</c:v>
                </c:pt>
                <c:pt idx="5">
                  <c:v>4.4331578170290067</c:v>
                </c:pt>
                <c:pt idx="6">
                  <c:v>3.6339571361416989</c:v>
                </c:pt>
                <c:pt idx="7">
                  <c:v>2.7981526160249071</c:v>
                </c:pt>
                <c:pt idx="8">
                  <c:v>1.7639010115844047</c:v>
                </c:pt>
                <c:pt idx="9">
                  <c:v>-0.15747115129075906</c:v>
                </c:pt>
                <c:pt idx="10">
                  <c:v>-1.6100224077273666</c:v>
                </c:pt>
                <c:pt idx="11">
                  <c:v>-3.1725646058028953</c:v>
                </c:pt>
                <c:pt idx="12">
                  <c:v>-4.7726776368369714</c:v>
                </c:pt>
                <c:pt idx="13">
                  <c:v>-6.5447488113646335</c:v>
                </c:pt>
                <c:pt idx="14">
                  <c:v>-8.3869781156973744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C3-4267-9AA9-BF0674AFAA22}"/>
            </c:ext>
          </c:extLst>
        </c:ser>
        <c:ser>
          <c:idx val="2"/>
          <c:order val="2"/>
          <c:tx>
            <c:v>metoda ciągu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22.079780146439905</c:v>
                </c:pt>
                <c:pt idx="2">
                  <c:v>23.689027827482992</c:v>
                </c:pt>
                <c:pt idx="3">
                  <c:v>25.298275508526075</c:v>
                </c:pt>
                <c:pt idx="4">
                  <c:v>26.907523189569158</c:v>
                </c:pt>
                <c:pt idx="5">
                  <c:v>28.516770870612241</c:v>
                </c:pt>
                <c:pt idx="6">
                  <c:v>30.126018551655328</c:v>
                </c:pt>
                <c:pt idx="7">
                  <c:v>31.735266232698411</c:v>
                </c:pt>
                <c:pt idx="8">
                  <c:v>33.344513913741494</c:v>
                </c:pt>
                <c:pt idx="9">
                  <c:v>34.953761594784581</c:v>
                </c:pt>
                <c:pt idx="10">
                  <c:v>36.563009275827667</c:v>
                </c:pt>
                <c:pt idx="11">
                  <c:v>38.172256956870747</c:v>
                </c:pt>
                <c:pt idx="12">
                  <c:v>39.781504637913834</c:v>
                </c:pt>
                <c:pt idx="13">
                  <c:v>41.390752318956913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masa'!$N$4:$N$18</c:f>
              <c:numCache>
                <c:formatCode>0.00</c:formatCode>
                <c:ptCount val="15"/>
                <c:pt idx="0">
                  <c:v>4.6389382690645746</c:v>
                </c:pt>
                <c:pt idx="1">
                  <c:v>4.7281020277410635</c:v>
                </c:pt>
                <c:pt idx="2">
                  <c:v>4.8719059293173013</c:v>
                </c:pt>
                <c:pt idx="3">
                  <c:v>4.8626386117170268</c:v>
                </c:pt>
                <c:pt idx="4">
                  <c:v>4.8408460947174614</c:v>
                </c:pt>
                <c:pt idx="5">
                  <c:v>4.6283771641653386</c:v>
                </c:pt>
                <c:pt idx="6">
                  <c:v>4.3549427855898237</c:v>
                </c:pt>
                <c:pt idx="7">
                  <c:v>4.076156043841582</c:v>
                </c:pt>
                <c:pt idx="8">
                  <c:v>3.6807825678465345</c:v>
                </c:pt>
                <c:pt idx="9">
                  <c:v>3.3009703233436305</c:v>
                </c:pt>
                <c:pt idx="10">
                  <c:v>2.8593773431400149</c:v>
                </c:pt>
                <c:pt idx="11">
                  <c:v>2.3452915202510125</c:v>
                </c:pt>
                <c:pt idx="12">
                  <c:v>1.5850410748738253</c:v>
                </c:pt>
                <c:pt idx="13">
                  <c:v>0.46549685163571225</c:v>
                </c:pt>
                <c:pt idx="14">
                  <c:v>-0.7810262760272807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C3-4267-9AA9-BF0674AFA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31384743664683834"/>
          <c:h val="9.64357195076642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'h=0m'!$L$3:$L$17</c:f>
              <c:numCache>
                <c:formatCode>0.00</c:formatCode>
                <c:ptCount val="15"/>
                <c:pt idx="0">
                  <c:v>10.38333320599871</c:v>
                </c:pt>
                <c:pt idx="1">
                  <c:v>7.9134634409256863</c:v>
                </c:pt>
                <c:pt idx="2">
                  <c:v>6.118932432588343</c:v>
                </c:pt>
                <c:pt idx="3">
                  <c:v>4.697269946499036</c:v>
                </c:pt>
                <c:pt idx="4">
                  <c:v>3.5593865678950105</c:v>
                </c:pt>
                <c:pt idx="5">
                  <c:v>2.6343040948531056</c:v>
                </c:pt>
                <c:pt idx="6">
                  <c:v>1.5399966629134336</c:v>
                </c:pt>
                <c:pt idx="7">
                  <c:v>0.70021879787500774</c:v>
                </c:pt>
                <c:pt idx="8">
                  <c:v>4.2409079721793239E-2</c:v>
                </c:pt>
                <c:pt idx="9">
                  <c:v>-0.48391799773558231</c:v>
                </c:pt>
                <c:pt idx="10">
                  <c:v>-0.78009708517290499</c:v>
                </c:pt>
                <c:pt idx="11">
                  <c:v>-1.0412816658520667</c:v>
                </c:pt>
                <c:pt idx="12">
                  <c:v>-1.2728928199902036</c:v>
                </c:pt>
                <c:pt idx="13">
                  <c:v>-1.4802799192707132</c:v>
                </c:pt>
                <c:pt idx="14">
                  <c:v>-1.6667115536406725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9E-41DA-82F4-689B216FB702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5.4301574510823851</c:v>
                </c:pt>
                <c:pt idx="1">
                  <c:v>5.4839101069983194</c:v>
                </c:pt>
                <c:pt idx="2">
                  <c:v>5.2932963917559439</c:v>
                </c:pt>
                <c:pt idx="3">
                  <c:v>5.1754178798587205</c:v>
                </c:pt>
                <c:pt idx="4">
                  <c:v>4.8705190498519402</c:v>
                </c:pt>
                <c:pt idx="5">
                  <c:v>4.4331578170290067</c:v>
                </c:pt>
                <c:pt idx="6">
                  <c:v>3.6339571361416989</c:v>
                </c:pt>
                <c:pt idx="7">
                  <c:v>2.7981526160249071</c:v>
                </c:pt>
                <c:pt idx="8">
                  <c:v>1.7639010115844047</c:v>
                </c:pt>
                <c:pt idx="9">
                  <c:v>-0.15747115129075906</c:v>
                </c:pt>
                <c:pt idx="10">
                  <c:v>-1.6100224077273666</c:v>
                </c:pt>
                <c:pt idx="11">
                  <c:v>-3.1725646058028953</c:v>
                </c:pt>
                <c:pt idx="12">
                  <c:v>-4.7726776368369714</c:v>
                </c:pt>
                <c:pt idx="13">
                  <c:v>-6.5447488113646335</c:v>
                </c:pt>
                <c:pt idx="14">
                  <c:v>-8.3869781156973744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9E-41DA-82F4-689B216FB702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'h=0m'!$H$22:$H$36</c:f>
              <c:numCache>
                <c:formatCode>0.0</c:formatCode>
                <c:ptCount val="15"/>
                <c:pt idx="0">
                  <c:v>19.885538967126291</c:v>
                </c:pt>
                <c:pt idx="1">
                  <c:v>20.631460592290651</c:v>
                </c:pt>
                <c:pt idx="2">
                  <c:v>21.429825785748122</c:v>
                </c:pt>
                <c:pt idx="3">
                  <c:v>22.312432381898088</c:v>
                </c:pt>
                <c:pt idx="4">
                  <c:v>24.509709083434171</c:v>
                </c:pt>
                <c:pt idx="5">
                  <c:v>25.868682000759506</c:v>
                </c:pt>
                <c:pt idx="6">
                  <c:v>27.486331407644101</c:v>
                </c:pt>
                <c:pt idx="7">
                  <c:v>29.426326272975654</c:v>
                </c:pt>
                <c:pt idx="8">
                  <c:v>32.043106320799382</c:v>
                </c:pt>
                <c:pt idx="9">
                  <c:v>35.113267990460102</c:v>
                </c:pt>
                <c:pt idx="10">
                  <c:v>39.58681539671273</c:v>
                </c:pt>
                <c:pt idx="11">
                  <c:v>42.239693588971924</c:v>
                </c:pt>
                <c:pt idx="12">
                  <c:v>46.215950660815523</c:v>
                </c:pt>
                <c:pt idx="13">
                  <c:v>51.012458134162578</c:v>
                </c:pt>
                <c:pt idx="14">
                  <c:v>58.023959236010896</c:v>
                </c:pt>
              </c:numCache>
            </c:numRef>
          </c:xVal>
          <c:yVal>
            <c:numRef>
              <c:f>'h=0m'!$N$22:$N$36</c:f>
              <c:numCache>
                <c:formatCode>0.00</c:formatCode>
                <c:ptCount val="15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  <c:pt idx="13">
                  <c:v>-1.3260000000000001</c:v>
                </c:pt>
                <c:pt idx="14">
                  <c:v>-1.8520000000000001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9E-41DA-82F4-689B216FB702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'h=0m'!$H$22:$H$36</c:f>
              <c:numCache>
                <c:formatCode>0.0</c:formatCode>
                <c:ptCount val="15"/>
                <c:pt idx="0">
                  <c:v>19.885538967126291</c:v>
                </c:pt>
                <c:pt idx="1">
                  <c:v>20.631460592290651</c:v>
                </c:pt>
                <c:pt idx="2">
                  <c:v>21.429825785748122</c:v>
                </c:pt>
                <c:pt idx="3">
                  <c:v>22.312432381898088</c:v>
                </c:pt>
                <c:pt idx="4">
                  <c:v>24.509709083434171</c:v>
                </c:pt>
                <c:pt idx="5">
                  <c:v>25.868682000759506</c:v>
                </c:pt>
                <c:pt idx="6">
                  <c:v>27.486331407644101</c:v>
                </c:pt>
                <c:pt idx="7">
                  <c:v>29.426326272975654</c:v>
                </c:pt>
                <c:pt idx="8">
                  <c:v>32.043106320799382</c:v>
                </c:pt>
                <c:pt idx="9">
                  <c:v>35.113267990460102</c:v>
                </c:pt>
                <c:pt idx="10">
                  <c:v>39.58681539671273</c:v>
                </c:pt>
                <c:pt idx="11">
                  <c:v>42.239693588971924</c:v>
                </c:pt>
                <c:pt idx="12">
                  <c:v>46.215950660815523</c:v>
                </c:pt>
                <c:pt idx="13">
                  <c:v>51.012458134162578</c:v>
                </c:pt>
                <c:pt idx="14">
                  <c:v>58.023959236010896</c:v>
                </c:pt>
              </c:numCache>
            </c:numRef>
          </c:xVal>
          <c:yVal>
            <c:numRef>
              <c:f>'h=0m'!$M$22:$M$36</c:f>
              <c:numCache>
                <c:formatCode>0.00</c:formatCode>
                <c:ptCount val="15"/>
                <c:pt idx="0">
                  <c:v>4.9902057684216974</c:v>
                </c:pt>
                <c:pt idx="1">
                  <c:v>5.2299291173129809</c:v>
                </c:pt>
                <c:pt idx="2">
                  <c:v>5.2079138914151564</c:v>
                </c:pt>
                <c:pt idx="3">
                  <c:v>5.182200950021115</c:v>
                </c:pt>
                <c:pt idx="4">
                  <c:v>5.1122847521356833</c:v>
                </c:pt>
                <c:pt idx="5">
                  <c:v>4.9458636577148347</c:v>
                </c:pt>
                <c:pt idx="6">
                  <c:v>4.6114748825320815</c:v>
                </c:pt>
                <c:pt idx="7">
                  <c:v>4.1699831224212431</c:v>
                </c:pt>
                <c:pt idx="8">
                  <c:v>3.4710185092085251</c:v>
                </c:pt>
                <c:pt idx="9">
                  <c:v>2.4985106943686652</c:v>
                </c:pt>
                <c:pt idx="10">
                  <c:v>0.97278066591783852</c:v>
                </c:pt>
                <c:pt idx="11">
                  <c:v>-0.41661798224475632</c:v>
                </c:pt>
                <c:pt idx="12">
                  <c:v>-3.380698822672616</c:v>
                </c:pt>
                <c:pt idx="13">
                  <c:v>-7.1992350293697003</c:v>
                </c:pt>
                <c:pt idx="14">
                  <c:v>-13.811085331218576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9E-41DA-82F4-689B216FB702}"/>
            </c:ext>
          </c:extLst>
        </c:ser>
        <c:ser>
          <c:idx val="4"/>
          <c:order val="4"/>
          <c:tx>
            <c:v>alfa metoda ciągu 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22.079780146439905</c:v>
                </c:pt>
                <c:pt idx="2">
                  <c:v>23.689027827482992</c:v>
                </c:pt>
                <c:pt idx="3">
                  <c:v>25.298275508526075</c:v>
                </c:pt>
                <c:pt idx="4">
                  <c:v>26.907523189569158</c:v>
                </c:pt>
                <c:pt idx="5">
                  <c:v>28.516770870612241</c:v>
                </c:pt>
                <c:pt idx="6">
                  <c:v>30.126018551655328</c:v>
                </c:pt>
                <c:pt idx="7">
                  <c:v>31.735266232698411</c:v>
                </c:pt>
                <c:pt idx="8">
                  <c:v>33.344513913741494</c:v>
                </c:pt>
                <c:pt idx="9">
                  <c:v>34.953761594784581</c:v>
                </c:pt>
                <c:pt idx="10">
                  <c:v>36.563009275827667</c:v>
                </c:pt>
                <c:pt idx="11">
                  <c:v>38.172256956870747</c:v>
                </c:pt>
                <c:pt idx="12">
                  <c:v>39.781504637913834</c:v>
                </c:pt>
                <c:pt idx="13">
                  <c:v>41.390752318956913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masa'!$M$4:$M$18</c:f>
              <c:numCache>
                <c:formatCode>0.00</c:formatCode>
                <c:ptCount val="15"/>
                <c:pt idx="0">
                  <c:v>10.430745077824003</c:v>
                </c:pt>
                <c:pt idx="1">
                  <c:v>8.4212486379727061</c:v>
                </c:pt>
                <c:pt idx="2">
                  <c:v>6.7819427584179977</c:v>
                </c:pt>
                <c:pt idx="3">
                  <c:v>5.4374494153644024</c:v>
                </c:pt>
                <c:pt idx="4">
                  <c:v>4.320101116098912</c:v>
                </c:pt>
                <c:pt idx="5">
                  <c:v>3.3859258321018708</c:v>
                </c:pt>
                <c:pt idx="6">
                  <c:v>2.5958091782770918</c:v>
                </c:pt>
                <c:pt idx="7">
                  <c:v>1.9217199862966612</c:v>
                </c:pt>
                <c:pt idx="8">
                  <c:v>1.3433093335015969</c:v>
                </c:pt>
                <c:pt idx="9">
                  <c:v>0.8427836276732259</c:v>
                </c:pt>
                <c:pt idx="10">
                  <c:v>0.40738282824774191</c:v>
                </c:pt>
                <c:pt idx="11">
                  <c:v>2.63989483955685E-2</c:v>
                </c:pt>
                <c:pt idx="12">
                  <c:v>-0.30878162873235093</c:v>
                </c:pt>
                <c:pt idx="13">
                  <c:v>-0.60591224432847512</c:v>
                </c:pt>
                <c:pt idx="14">
                  <c:v>-0.87116653941379585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9E-41DA-82F4-689B216FB702}"/>
            </c:ext>
          </c:extLst>
        </c:ser>
        <c:ser>
          <c:idx val="5"/>
          <c:order val="5"/>
          <c:tx>
            <c:v>gamma metoda ciągu 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'Metoda Ciągu, zmienna masa'!$J$4:$J$18</c:f>
              <c:numCache>
                <c:formatCode>0.0</c:formatCode>
                <c:ptCount val="15"/>
                <c:pt idx="0">
                  <c:v>20.470532465396822</c:v>
                </c:pt>
                <c:pt idx="1">
                  <c:v>22.079780146439905</c:v>
                </c:pt>
                <c:pt idx="2">
                  <c:v>23.689027827482992</c:v>
                </c:pt>
                <c:pt idx="3">
                  <c:v>25.298275508526075</c:v>
                </c:pt>
                <c:pt idx="4">
                  <c:v>26.907523189569158</c:v>
                </c:pt>
                <c:pt idx="5">
                  <c:v>28.516770870612241</c:v>
                </c:pt>
                <c:pt idx="6">
                  <c:v>30.126018551655328</c:v>
                </c:pt>
                <c:pt idx="7">
                  <c:v>31.735266232698411</c:v>
                </c:pt>
                <c:pt idx="8">
                  <c:v>33.344513913741494</c:v>
                </c:pt>
                <c:pt idx="9">
                  <c:v>34.953761594784581</c:v>
                </c:pt>
                <c:pt idx="10">
                  <c:v>36.563009275827667</c:v>
                </c:pt>
                <c:pt idx="11">
                  <c:v>38.172256956870747</c:v>
                </c:pt>
                <c:pt idx="12">
                  <c:v>39.781504637913834</c:v>
                </c:pt>
                <c:pt idx="13">
                  <c:v>41.390752318956913</c:v>
                </c:pt>
                <c:pt idx="14">
                  <c:v>43</c:v>
                </c:pt>
              </c:numCache>
            </c:numRef>
          </c:xVal>
          <c:yVal>
            <c:numRef>
              <c:f>'Metoda Ciągu, zmienna masa'!$N$4:$N$18</c:f>
              <c:numCache>
                <c:formatCode>0.00</c:formatCode>
                <c:ptCount val="15"/>
                <c:pt idx="0">
                  <c:v>4.6389382690645746</c:v>
                </c:pt>
                <c:pt idx="1">
                  <c:v>4.7281020277410635</c:v>
                </c:pt>
                <c:pt idx="2">
                  <c:v>4.8719059293173013</c:v>
                </c:pt>
                <c:pt idx="3">
                  <c:v>4.8626386117170268</c:v>
                </c:pt>
                <c:pt idx="4">
                  <c:v>4.8408460947174614</c:v>
                </c:pt>
                <c:pt idx="5">
                  <c:v>4.6283771641653386</c:v>
                </c:pt>
                <c:pt idx="6">
                  <c:v>4.3549427855898237</c:v>
                </c:pt>
                <c:pt idx="7">
                  <c:v>4.076156043841582</c:v>
                </c:pt>
                <c:pt idx="8">
                  <c:v>3.6807825678465345</c:v>
                </c:pt>
                <c:pt idx="9">
                  <c:v>3.3009703233436305</c:v>
                </c:pt>
                <c:pt idx="10">
                  <c:v>2.8593773431400149</c:v>
                </c:pt>
                <c:pt idx="11">
                  <c:v>2.3452915202510125</c:v>
                </c:pt>
                <c:pt idx="12">
                  <c:v>1.5850410748738253</c:v>
                </c:pt>
                <c:pt idx="13">
                  <c:v>0.46549685163571225</c:v>
                </c:pt>
                <c:pt idx="14">
                  <c:v>-0.7810262760272807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9E-41DA-82F4-689B216FB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</a:t>
            </a:r>
            <a:r>
              <a:rPr lang="pl-PL"/>
              <a:t>odele m</a:t>
            </a:r>
            <a:r>
              <a:rPr lang="en-US"/>
              <a:t>asy </a:t>
            </a:r>
            <a:r>
              <a:rPr lang="pl-PL"/>
              <a:t>samolotu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2791776027996496E-2"/>
          <c:y val="0.17171296296296296"/>
          <c:w val="0.89387489063867021"/>
          <c:h val="0.45175743657042872"/>
        </c:manualLayout>
      </c:layout>
      <c:scatterChart>
        <c:scatterStyle val="lineMarker"/>
        <c:varyColors val="0"/>
        <c:ser>
          <c:idx val="0"/>
          <c:order val="0"/>
          <c:tx>
            <c:v>stała, maksymalna masa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'Nr(V)'!$N$4:$N$5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3-4D52-A226-4315BACB90DE}"/>
            </c:ext>
          </c:extLst>
        </c:ser>
        <c:ser>
          <c:idx val="1"/>
          <c:order val="1"/>
          <c:tx>
            <c:v>stała, średnia masa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'Nr(V)'!$O$4:$O$5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13-4D52-A226-4315BACB90DE}"/>
            </c:ext>
          </c:extLst>
        </c:ser>
        <c:ser>
          <c:idx val="2"/>
          <c:order val="2"/>
          <c:tx>
            <c:v>zmienna masa na poziomie morza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'Nr(V)'!$P$4:$P$5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13-4D52-A226-4315BACB90DE}"/>
            </c:ext>
          </c:extLst>
        </c:ser>
        <c:ser>
          <c:idx val="3"/>
          <c:order val="3"/>
          <c:tx>
            <c:v>zmienna masa, na wysokości h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'Nr(V)'!$Q$4:$Q$5</c:f>
              <c:numCache>
                <c:formatCode>General</c:formatCode>
                <c:ptCount val="2"/>
                <c:pt idx="0">
                  <c:v>90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13-4D52-A226-4315BACB90DE}"/>
            </c:ext>
          </c:extLst>
        </c:ser>
        <c:ser>
          <c:idx val="4"/>
          <c:order val="4"/>
          <c:tx>
            <c:v>masa samolotu bez paliwa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'Nr(V)'!$R$4:$R$5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13-4D52-A226-4315BACB9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71791"/>
        <c:axId val="100119631"/>
      </c:scatterChart>
      <c:valAx>
        <c:axId val="97771791"/>
        <c:scaling>
          <c:orientation val="minMax"/>
          <c:max val="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prędkość, 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crossAx val="100119631"/>
        <c:crosses val="autoZero"/>
        <c:crossBetween val="midCat"/>
      </c:valAx>
      <c:valAx>
        <c:axId val="100119631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masa samolotu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8675816564596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crossAx val="97771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4809457567804024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metoda ciągu, zmienna masa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'Nr(V)'!$M$4:$N$4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'Nr(V)'!$M$5:$N$5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0-4CDB-8DAB-17A7EA0E2F1E}"/>
            </c:ext>
          </c:extLst>
        </c:ser>
        <c:ser>
          <c:idx val="1"/>
          <c:order val="1"/>
          <c:tx>
            <c:v>metoda ciągu, średnia masa</c:v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'Nr(V)'!$O$4:$O$5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A0-4CDB-8DAB-17A7EA0E2F1E}"/>
            </c:ext>
          </c:extLst>
        </c:ser>
        <c:ser>
          <c:idx val="2"/>
          <c:order val="2"/>
          <c:tx>
            <c:v>metoda mocy, średnia masa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'Nr(V)'!$R$4:$R$5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A0-4CDB-8DAB-17A7EA0E2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22383"/>
        <c:axId val="104651183"/>
      </c:scatterChart>
      <c:valAx>
        <c:axId val="10462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651183"/>
        <c:crosses val="autoZero"/>
        <c:crossBetween val="midCat"/>
      </c:valAx>
      <c:valAx>
        <c:axId val="10465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622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613779527559051"/>
          <c:y val="0.36768336249635464"/>
          <c:w val="0.39719553805774277"/>
          <c:h val="0.38541994750656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3698346456692913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metoda ciągu, zmienna masa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'Nr(V)'!$M$4:$N$4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'Nr(V)'!$M$5:$N$5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51-496F-87EB-794F717F6EA2}"/>
            </c:ext>
          </c:extLst>
        </c:ser>
        <c:ser>
          <c:idx val="1"/>
          <c:order val="1"/>
          <c:tx>
            <c:v>metoda ciągu, maksymalna masa</c:v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'Nr(V)'!$O$4:$O$5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51-496F-87EB-794F717F6EA2}"/>
            </c:ext>
          </c:extLst>
        </c:ser>
        <c:ser>
          <c:idx val="2"/>
          <c:order val="2"/>
          <c:tx>
            <c:v>metoda mocy, maksymalna masa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'Nr(V)'!$M$4:$M$5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'Nr(V)'!$R$4:$R$5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51-496F-87EB-794F717F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22383"/>
        <c:axId val="104651183"/>
      </c:scatterChart>
      <c:valAx>
        <c:axId val="10462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651183"/>
        <c:crosses val="autoZero"/>
        <c:crossBetween val="midCat"/>
      </c:valAx>
      <c:valAx>
        <c:axId val="10465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622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83600174978128"/>
          <c:y val="0.36768336249635464"/>
          <c:w val="0.52497331583552054"/>
          <c:h val="0.38541994750656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'h=0m'!$L$3:$L$17</c:f>
              <c:numCache>
                <c:formatCode>0.00</c:formatCode>
                <c:ptCount val="15"/>
                <c:pt idx="0">
                  <c:v>10.38333320599871</c:v>
                </c:pt>
                <c:pt idx="1">
                  <c:v>7.9134634409256863</c:v>
                </c:pt>
                <c:pt idx="2">
                  <c:v>6.118932432588343</c:v>
                </c:pt>
                <c:pt idx="3">
                  <c:v>4.697269946499036</c:v>
                </c:pt>
                <c:pt idx="4">
                  <c:v>3.5593865678950105</c:v>
                </c:pt>
                <c:pt idx="5">
                  <c:v>2.6343040948531056</c:v>
                </c:pt>
                <c:pt idx="6">
                  <c:v>1.5399966629134336</c:v>
                </c:pt>
                <c:pt idx="7">
                  <c:v>0.70021879787500774</c:v>
                </c:pt>
                <c:pt idx="8">
                  <c:v>4.2409079721793239E-2</c:v>
                </c:pt>
                <c:pt idx="9">
                  <c:v>-0.48391799773558231</c:v>
                </c:pt>
                <c:pt idx="10">
                  <c:v>-0.78009708517290499</c:v>
                </c:pt>
                <c:pt idx="11">
                  <c:v>-1.0412816658520667</c:v>
                </c:pt>
                <c:pt idx="12">
                  <c:v>-1.2728928199902036</c:v>
                </c:pt>
                <c:pt idx="13">
                  <c:v>-1.4802799192707132</c:v>
                </c:pt>
                <c:pt idx="14">
                  <c:v>-1.6667115536406725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27-490A-9C5D-753DF6A24356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5.4301574510823851</c:v>
                </c:pt>
                <c:pt idx="1">
                  <c:v>5.4839101069983194</c:v>
                </c:pt>
                <c:pt idx="2">
                  <c:v>5.2932963917559439</c:v>
                </c:pt>
                <c:pt idx="3">
                  <c:v>5.1754178798587205</c:v>
                </c:pt>
                <c:pt idx="4">
                  <c:v>4.8705190498519402</c:v>
                </c:pt>
                <c:pt idx="5">
                  <c:v>4.4331578170290067</c:v>
                </c:pt>
                <c:pt idx="6">
                  <c:v>3.6339571361416989</c:v>
                </c:pt>
                <c:pt idx="7">
                  <c:v>2.7981526160249071</c:v>
                </c:pt>
                <c:pt idx="8">
                  <c:v>1.7639010115844047</c:v>
                </c:pt>
                <c:pt idx="9">
                  <c:v>-0.15747115129075906</c:v>
                </c:pt>
                <c:pt idx="10">
                  <c:v>-1.6100224077273666</c:v>
                </c:pt>
                <c:pt idx="11">
                  <c:v>-3.1725646058028953</c:v>
                </c:pt>
                <c:pt idx="12">
                  <c:v>-4.7726776368369714</c:v>
                </c:pt>
                <c:pt idx="13">
                  <c:v>-6.5447488113646335</c:v>
                </c:pt>
                <c:pt idx="14">
                  <c:v>-8.3869781156973744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27-490A-9C5D-753DF6A24356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'h=0m'!$H$22:$H$36</c:f>
              <c:numCache>
                <c:formatCode>0.0</c:formatCode>
                <c:ptCount val="15"/>
                <c:pt idx="0">
                  <c:v>19.885538967126291</c:v>
                </c:pt>
                <c:pt idx="1">
                  <c:v>20.631460592290651</c:v>
                </c:pt>
                <c:pt idx="2">
                  <c:v>21.429825785748122</c:v>
                </c:pt>
                <c:pt idx="3">
                  <c:v>22.312432381898088</c:v>
                </c:pt>
                <c:pt idx="4">
                  <c:v>24.509709083434171</c:v>
                </c:pt>
                <c:pt idx="5">
                  <c:v>25.868682000759506</c:v>
                </c:pt>
                <c:pt idx="6">
                  <c:v>27.486331407644101</c:v>
                </c:pt>
                <c:pt idx="7">
                  <c:v>29.426326272975654</c:v>
                </c:pt>
                <c:pt idx="8">
                  <c:v>32.043106320799382</c:v>
                </c:pt>
                <c:pt idx="9">
                  <c:v>35.113267990460102</c:v>
                </c:pt>
                <c:pt idx="10">
                  <c:v>39.58681539671273</c:v>
                </c:pt>
                <c:pt idx="11">
                  <c:v>42.239693588971924</c:v>
                </c:pt>
                <c:pt idx="12">
                  <c:v>46.215950660815523</c:v>
                </c:pt>
                <c:pt idx="13">
                  <c:v>51.012458134162578</c:v>
                </c:pt>
                <c:pt idx="14">
                  <c:v>58.023959236010896</c:v>
                </c:pt>
              </c:numCache>
            </c:numRef>
          </c:xVal>
          <c:yVal>
            <c:numRef>
              <c:f>'h=0m'!$N$22:$N$36</c:f>
              <c:numCache>
                <c:formatCode>0.00</c:formatCode>
                <c:ptCount val="15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  <c:pt idx="13">
                  <c:v>-1.3260000000000001</c:v>
                </c:pt>
                <c:pt idx="14">
                  <c:v>-1.8520000000000001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27-490A-9C5D-753DF6A24356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'h=0m'!$H$22:$H$36</c:f>
              <c:numCache>
                <c:formatCode>0.0</c:formatCode>
                <c:ptCount val="15"/>
                <c:pt idx="0">
                  <c:v>19.885538967126291</c:v>
                </c:pt>
                <c:pt idx="1">
                  <c:v>20.631460592290651</c:v>
                </c:pt>
                <c:pt idx="2">
                  <c:v>21.429825785748122</c:v>
                </c:pt>
                <c:pt idx="3">
                  <c:v>22.312432381898088</c:v>
                </c:pt>
                <c:pt idx="4">
                  <c:v>24.509709083434171</c:v>
                </c:pt>
                <c:pt idx="5">
                  <c:v>25.868682000759506</c:v>
                </c:pt>
                <c:pt idx="6">
                  <c:v>27.486331407644101</c:v>
                </c:pt>
                <c:pt idx="7">
                  <c:v>29.426326272975654</c:v>
                </c:pt>
                <c:pt idx="8">
                  <c:v>32.043106320799382</c:v>
                </c:pt>
                <c:pt idx="9">
                  <c:v>35.113267990460102</c:v>
                </c:pt>
                <c:pt idx="10">
                  <c:v>39.58681539671273</c:v>
                </c:pt>
                <c:pt idx="11">
                  <c:v>42.239693588971924</c:v>
                </c:pt>
                <c:pt idx="12">
                  <c:v>46.215950660815523</c:v>
                </c:pt>
                <c:pt idx="13">
                  <c:v>51.012458134162578</c:v>
                </c:pt>
                <c:pt idx="14">
                  <c:v>58.023959236010896</c:v>
                </c:pt>
              </c:numCache>
            </c:numRef>
          </c:xVal>
          <c:yVal>
            <c:numRef>
              <c:f>'h=0m'!$M$22:$M$36</c:f>
              <c:numCache>
                <c:formatCode>0.00</c:formatCode>
                <c:ptCount val="15"/>
                <c:pt idx="0">
                  <c:v>4.9902057684216974</c:v>
                </c:pt>
                <c:pt idx="1">
                  <c:v>5.2299291173129809</c:v>
                </c:pt>
                <c:pt idx="2">
                  <c:v>5.2079138914151564</c:v>
                </c:pt>
                <c:pt idx="3">
                  <c:v>5.182200950021115</c:v>
                </c:pt>
                <c:pt idx="4">
                  <c:v>5.1122847521356833</c:v>
                </c:pt>
                <c:pt idx="5">
                  <c:v>4.9458636577148347</c:v>
                </c:pt>
                <c:pt idx="6">
                  <c:v>4.6114748825320815</c:v>
                </c:pt>
                <c:pt idx="7">
                  <c:v>4.1699831224212431</c:v>
                </c:pt>
                <c:pt idx="8">
                  <c:v>3.4710185092085251</c:v>
                </c:pt>
                <c:pt idx="9">
                  <c:v>2.4985106943686652</c:v>
                </c:pt>
                <c:pt idx="10">
                  <c:v>0.97278066591783852</c:v>
                </c:pt>
                <c:pt idx="11">
                  <c:v>-0.41661798224475632</c:v>
                </c:pt>
                <c:pt idx="12">
                  <c:v>-3.380698822672616</c:v>
                </c:pt>
                <c:pt idx="13">
                  <c:v>-7.1992350293697003</c:v>
                </c:pt>
                <c:pt idx="14">
                  <c:v>-13.811085331218576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27-490A-9C5D-753DF6A2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9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'h=0m'!$N$3:$N$17</c:f>
              <c:numCache>
                <c:formatCode>0.00</c:formatCode>
                <c:ptCount val="15"/>
                <c:pt idx="0">
                  <c:v>1.8818145104848438</c:v>
                </c:pt>
                <c:pt idx="1">
                  <c:v>2.102456839614399</c:v>
                </c:pt>
                <c:pt idx="2">
                  <c:v>2.2140980877465259</c:v>
                </c:pt>
                <c:pt idx="3">
                  <c:v>2.3453377659130155</c:v>
                </c:pt>
                <c:pt idx="4">
                  <c:v>2.3773190754931992</c:v>
                </c:pt>
                <c:pt idx="5">
                  <c:v>2.3188806815029657</c:v>
                </c:pt>
                <c:pt idx="6">
                  <c:v>2.091606092750506</c:v>
                </c:pt>
                <c:pt idx="7">
                  <c:v>1.757432351914064</c:v>
                </c:pt>
                <c:pt idx="8">
                  <c:v>1.2004596852568861</c:v>
                </c:pt>
                <c:pt idx="9">
                  <c:v>-0.11543223748851203</c:v>
                </c:pt>
                <c:pt idx="10">
                  <c:v>-1.2362457407993475</c:v>
                </c:pt>
                <c:pt idx="11">
                  <c:v>-2.5457967345520931</c:v>
                </c:pt>
                <c:pt idx="12">
                  <c:v>-3.9937267714982605</c:v>
                </c:pt>
                <c:pt idx="13">
                  <c:v>-5.6989586393173335</c:v>
                </c:pt>
                <c:pt idx="14">
                  <c:v>-7.5846257845013225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D7-457C-ADD2-DA8445E2EC67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'h=0m'!$H$24:$H$36</c:f>
              <c:numCache>
                <c:formatCode>0.0</c:formatCode>
                <c:ptCount val="13"/>
                <c:pt idx="0">
                  <c:v>21.429825785748122</c:v>
                </c:pt>
                <c:pt idx="1">
                  <c:v>22.312432381898088</c:v>
                </c:pt>
                <c:pt idx="2">
                  <c:v>24.509709083434171</c:v>
                </c:pt>
                <c:pt idx="3">
                  <c:v>25.868682000759506</c:v>
                </c:pt>
                <c:pt idx="4">
                  <c:v>27.486331407644101</c:v>
                </c:pt>
                <c:pt idx="5">
                  <c:v>29.426326272975654</c:v>
                </c:pt>
                <c:pt idx="6">
                  <c:v>32.043106320799382</c:v>
                </c:pt>
                <c:pt idx="7">
                  <c:v>35.113267990460102</c:v>
                </c:pt>
                <c:pt idx="8">
                  <c:v>39.58681539671273</c:v>
                </c:pt>
                <c:pt idx="9">
                  <c:v>42.239693588971924</c:v>
                </c:pt>
                <c:pt idx="10">
                  <c:v>46.215950660815523</c:v>
                </c:pt>
                <c:pt idx="11">
                  <c:v>51.012458134162578</c:v>
                </c:pt>
                <c:pt idx="12">
                  <c:v>58.023959236010896</c:v>
                </c:pt>
              </c:numCache>
            </c:numRef>
          </c:xVal>
          <c:yVal>
            <c:numRef>
              <c:f>'h=0m'!$L$24:$L$36</c:f>
              <c:numCache>
                <c:formatCode>0.00</c:formatCode>
                <c:ptCount val="13"/>
                <c:pt idx="0">
                  <c:v>1.9451881653163641</c:v>
                </c:pt>
                <c:pt idx="1">
                  <c:v>2.0153303443611792</c:v>
                </c:pt>
                <c:pt idx="2">
                  <c:v>2.184007611956309</c:v>
                </c:pt>
                <c:pt idx="3">
                  <c:v>2.2302539848297704</c:v>
                </c:pt>
                <c:pt idx="4">
                  <c:v>2.2098612474997865</c:v>
                </c:pt>
                <c:pt idx="5">
                  <c:v>2.1397559334804739</c:v>
                </c:pt>
                <c:pt idx="6">
                  <c:v>1.9400067027880747</c:v>
                </c:pt>
                <c:pt idx="7">
                  <c:v>1.5307073970717775</c:v>
                </c:pt>
                <c:pt idx="8">
                  <c:v>0.67208158928273309</c:v>
                </c:pt>
                <c:pt idx="9">
                  <c:v>-0.30713712231317614</c:v>
                </c:pt>
                <c:pt idx="10">
                  <c:v>-2.7253589580468187</c:v>
                </c:pt>
                <c:pt idx="11">
                  <c:v>-6.3928806195739138</c:v>
                </c:pt>
                <c:pt idx="12">
                  <c:v>-13.851557523210666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D7-457C-ADD2-DA8445E2E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'h=0m'!$I$3:$I$17</c:f>
              <c:numCache>
                <c:formatCode>0.0</c:formatCode>
                <c:ptCount val="15"/>
                <c:pt idx="0">
                  <c:v>19.885538967126294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'h=0m'!$M$3:$M$17</c:f>
              <c:numCache>
                <c:formatCode>0.00</c:formatCode>
                <c:ptCount val="15"/>
                <c:pt idx="0">
                  <c:v>5.4301574510823851</c:v>
                </c:pt>
                <c:pt idx="1">
                  <c:v>5.4839101069983194</c:v>
                </c:pt>
                <c:pt idx="2">
                  <c:v>5.2932963917559439</c:v>
                </c:pt>
                <c:pt idx="3">
                  <c:v>5.1754178798587205</c:v>
                </c:pt>
                <c:pt idx="4">
                  <c:v>4.8705190498519402</c:v>
                </c:pt>
                <c:pt idx="5">
                  <c:v>4.4331578170290067</c:v>
                </c:pt>
                <c:pt idx="6">
                  <c:v>3.6339571361416989</c:v>
                </c:pt>
                <c:pt idx="7">
                  <c:v>2.7981526160249071</c:v>
                </c:pt>
                <c:pt idx="8">
                  <c:v>1.7639010115844047</c:v>
                </c:pt>
                <c:pt idx="9">
                  <c:v>-0.15747115129075906</c:v>
                </c:pt>
                <c:pt idx="10">
                  <c:v>-1.6100224077273666</c:v>
                </c:pt>
                <c:pt idx="11">
                  <c:v>-3.1725646058028953</c:v>
                </c:pt>
                <c:pt idx="12">
                  <c:v>-4.7726776368369714</c:v>
                </c:pt>
                <c:pt idx="13">
                  <c:v>-6.5447488113646335</c:v>
                </c:pt>
                <c:pt idx="14">
                  <c:v>-8.3869781156973744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1F-4FDA-9AA2-E785EC3B0348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'h=0m'!$H$22:$H$36</c:f>
              <c:numCache>
                <c:formatCode>0.0</c:formatCode>
                <c:ptCount val="15"/>
                <c:pt idx="0">
                  <c:v>19.885538967126291</c:v>
                </c:pt>
                <c:pt idx="1">
                  <c:v>20.631460592290651</c:v>
                </c:pt>
                <c:pt idx="2">
                  <c:v>21.429825785748122</c:v>
                </c:pt>
                <c:pt idx="3">
                  <c:v>22.312432381898088</c:v>
                </c:pt>
                <c:pt idx="4">
                  <c:v>24.509709083434171</c:v>
                </c:pt>
                <c:pt idx="5">
                  <c:v>25.868682000759506</c:v>
                </c:pt>
                <c:pt idx="6">
                  <c:v>27.486331407644101</c:v>
                </c:pt>
                <c:pt idx="7">
                  <c:v>29.426326272975654</c:v>
                </c:pt>
                <c:pt idx="8">
                  <c:v>32.043106320799382</c:v>
                </c:pt>
                <c:pt idx="9">
                  <c:v>35.113267990460102</c:v>
                </c:pt>
                <c:pt idx="10">
                  <c:v>39.58681539671273</c:v>
                </c:pt>
                <c:pt idx="11">
                  <c:v>42.239693588971924</c:v>
                </c:pt>
                <c:pt idx="12">
                  <c:v>46.215950660815523</c:v>
                </c:pt>
                <c:pt idx="13">
                  <c:v>51.012458134162578</c:v>
                </c:pt>
                <c:pt idx="14">
                  <c:v>58.023959236010896</c:v>
                </c:pt>
              </c:numCache>
            </c:numRef>
          </c:xVal>
          <c:yVal>
            <c:numRef>
              <c:f>'h=0m'!$M$22:$M$36</c:f>
              <c:numCache>
                <c:formatCode>0.00</c:formatCode>
                <c:ptCount val="15"/>
                <c:pt idx="0">
                  <c:v>4.9902057684216974</c:v>
                </c:pt>
                <c:pt idx="1">
                  <c:v>5.2299291173129809</c:v>
                </c:pt>
                <c:pt idx="2">
                  <c:v>5.2079138914151564</c:v>
                </c:pt>
                <c:pt idx="3">
                  <c:v>5.182200950021115</c:v>
                </c:pt>
                <c:pt idx="4">
                  <c:v>5.1122847521356833</c:v>
                </c:pt>
                <c:pt idx="5">
                  <c:v>4.9458636577148347</c:v>
                </c:pt>
                <c:pt idx="6">
                  <c:v>4.6114748825320815</c:v>
                </c:pt>
                <c:pt idx="7">
                  <c:v>4.1699831224212431</c:v>
                </c:pt>
                <c:pt idx="8">
                  <c:v>3.4710185092085251</c:v>
                </c:pt>
                <c:pt idx="9">
                  <c:v>2.4985106943686652</c:v>
                </c:pt>
                <c:pt idx="10">
                  <c:v>0.97278066591783852</c:v>
                </c:pt>
                <c:pt idx="11">
                  <c:v>-0.41661798224475632</c:v>
                </c:pt>
                <c:pt idx="12">
                  <c:v>-3.380698822672616</c:v>
                </c:pt>
                <c:pt idx="13">
                  <c:v>-7.1992350293697003</c:v>
                </c:pt>
                <c:pt idx="14">
                  <c:v>-13.811085331218576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1F-4FDA-9AA2-E785EC3B0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'h=500m'!$I$3:$I$17</c:f>
              <c:numCache>
                <c:formatCode>0.0</c:formatCode>
                <c:ptCount val="15"/>
                <c:pt idx="0">
                  <c:v>20.371714852065022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'h=500m'!$L$3:$L$17</c:f>
              <c:numCache>
                <c:formatCode>0.00</c:formatCode>
                <c:ptCount val="15"/>
                <c:pt idx="0">
                  <c:v>10.424547357369887</c:v>
                </c:pt>
                <c:pt idx="1">
                  <c:v>8.4988730988815426</c:v>
                </c:pt>
                <c:pt idx="2">
                  <c:v>6.615868781075827</c:v>
                </c:pt>
                <c:pt idx="3">
                  <c:v>5.1227236449763742</c:v>
                </c:pt>
                <c:pt idx="4">
                  <c:v>3.9259975520049237</c:v>
                </c:pt>
                <c:pt idx="5">
                  <c:v>2.9534879992166694</c:v>
                </c:pt>
                <c:pt idx="6">
                  <c:v>1.8043495805948084</c:v>
                </c:pt>
                <c:pt idx="7">
                  <c:v>0.9219046324854907</c:v>
                </c:pt>
                <c:pt idx="8">
                  <c:v>0.23120444527590975</c:v>
                </c:pt>
                <c:pt idx="9">
                  <c:v>-0.32112457385970478</c:v>
                </c:pt>
                <c:pt idx="10">
                  <c:v>-0.63158958535083576</c:v>
                </c:pt>
                <c:pt idx="11">
                  <c:v>-0.90519571567071355</c:v>
                </c:pt>
                <c:pt idx="12">
                  <c:v>-1.1478912284841813</c:v>
                </c:pt>
                <c:pt idx="13">
                  <c:v>-1.365183196761468</c:v>
                </c:pt>
                <c:pt idx="14">
                  <c:v>-1.5597271294490578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8B-487E-9716-FEE64F51907C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'h=500m'!$I$3:$I$17</c:f>
              <c:numCache>
                <c:formatCode>0.0</c:formatCode>
                <c:ptCount val="15"/>
                <c:pt idx="0">
                  <c:v>20.371714852065022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'h=500m'!$M$3:$M$17</c:f>
              <c:numCache>
                <c:formatCode>0.00</c:formatCode>
                <c:ptCount val="15"/>
                <c:pt idx="0">
                  <c:v>4.7445366209597841</c:v>
                </c:pt>
                <c:pt idx="1">
                  <c:v>4.7310175023747298</c:v>
                </c:pt>
                <c:pt idx="2">
                  <c:v>4.5402004207947746</c:v>
                </c:pt>
                <c:pt idx="3">
                  <c:v>4.4448788533836625</c:v>
                </c:pt>
                <c:pt idx="4">
                  <c:v>4.2369755579325634</c:v>
                </c:pt>
                <c:pt idx="5">
                  <c:v>3.8865682866359248</c:v>
                </c:pt>
                <c:pt idx="6">
                  <c:v>3.0947539180572039</c:v>
                </c:pt>
                <c:pt idx="7">
                  <c:v>2.4022921255495864</c:v>
                </c:pt>
                <c:pt idx="8">
                  <c:v>1.4320816188751708</c:v>
                </c:pt>
                <c:pt idx="9">
                  <c:v>-0.27897730844386393</c:v>
                </c:pt>
                <c:pt idx="10">
                  <c:v>-1.6370878269833251</c:v>
                </c:pt>
                <c:pt idx="11">
                  <c:v>-3.1200756752937129</c:v>
                </c:pt>
                <c:pt idx="12">
                  <c:v>-4.6852242570844744</c:v>
                </c:pt>
                <c:pt idx="13">
                  <c:v>-6.4306163380111148</c:v>
                </c:pt>
                <c:pt idx="14">
                  <c:v>-8.1442663548191572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8B-487E-9716-FEE64F51907C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'h=500m'!$H$22:$H$36</c:f>
              <c:numCache>
                <c:formatCode>0.0</c:formatCode>
                <c:ptCount val="15"/>
                <c:pt idx="0">
                  <c:v>20.371714852065022</c:v>
                </c:pt>
                <c:pt idx="1">
                  <c:v>21.135873302834597</c:v>
                </c:pt>
                <c:pt idx="2">
                  <c:v>21.953757499778725</c:v>
                </c:pt>
                <c:pt idx="3">
                  <c:v>22.857942693503812</c:v>
                </c:pt>
                <c:pt idx="4">
                  <c:v>25.10893998800902</c:v>
                </c:pt>
                <c:pt idx="5">
                  <c:v>26.501138047573679</c:v>
                </c:pt>
                <c:pt idx="6">
                  <c:v>28.158336904599548</c:v>
                </c:pt>
                <c:pt idx="7">
                  <c:v>30.145762152481375</c:v>
                </c:pt>
                <c:pt idx="8">
                  <c:v>32.826519111242433</c:v>
                </c:pt>
                <c:pt idx="9">
                  <c:v>35.971742290129519</c:v>
                </c:pt>
                <c:pt idx="10">
                  <c:v>40.554662184231027</c:v>
                </c:pt>
                <c:pt idx="11">
                  <c:v>43.272399840691236</c:v>
                </c:pt>
                <c:pt idx="12">
                  <c:v>47.345871290472651</c:v>
                </c:pt>
                <c:pt idx="13">
                  <c:v>52.259647210469538</c:v>
                </c:pt>
              </c:numCache>
            </c:numRef>
          </c:xVal>
          <c:yVal>
            <c:numRef>
              <c:f>'h=500m'!$N$22:$N$36</c:f>
              <c:numCache>
                <c:formatCode>0.00</c:formatCode>
                <c:ptCount val="15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  <c:pt idx="13">
                  <c:v>-1.3260000000000001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8B-487E-9716-FEE64F51907C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'h=500m'!$H$22:$H$36</c:f>
              <c:numCache>
                <c:formatCode>0.0</c:formatCode>
                <c:ptCount val="15"/>
                <c:pt idx="0">
                  <c:v>20.371714852065022</c:v>
                </c:pt>
                <c:pt idx="1">
                  <c:v>21.135873302834597</c:v>
                </c:pt>
                <c:pt idx="2">
                  <c:v>21.953757499778725</c:v>
                </c:pt>
                <c:pt idx="3">
                  <c:v>22.857942693503812</c:v>
                </c:pt>
                <c:pt idx="4">
                  <c:v>25.10893998800902</c:v>
                </c:pt>
                <c:pt idx="5">
                  <c:v>26.501138047573679</c:v>
                </c:pt>
                <c:pt idx="6">
                  <c:v>28.158336904599548</c:v>
                </c:pt>
                <c:pt idx="7">
                  <c:v>30.145762152481375</c:v>
                </c:pt>
                <c:pt idx="8">
                  <c:v>32.826519111242433</c:v>
                </c:pt>
                <c:pt idx="9">
                  <c:v>35.971742290129519</c:v>
                </c:pt>
                <c:pt idx="10">
                  <c:v>40.554662184231027</c:v>
                </c:pt>
                <c:pt idx="11">
                  <c:v>43.272399840691236</c:v>
                </c:pt>
                <c:pt idx="12">
                  <c:v>47.345871290472651</c:v>
                </c:pt>
                <c:pt idx="13">
                  <c:v>52.259647210469538</c:v>
                </c:pt>
              </c:numCache>
            </c:numRef>
          </c:xVal>
          <c:yVal>
            <c:numRef>
              <c:f>'h=500m'!$M$22:$M$36</c:f>
              <c:numCache>
                <c:formatCode>0.00</c:formatCode>
                <c:ptCount val="15"/>
                <c:pt idx="0">
                  <c:v>3.8255061482825106</c:v>
                </c:pt>
                <c:pt idx="1">
                  <c:v>4.0019594115454646</c:v>
                </c:pt>
                <c:pt idx="2">
                  <c:v>4.2561569836723381</c:v>
                </c:pt>
                <c:pt idx="3">
                  <c:v>4.3076384542829178</c:v>
                </c:pt>
                <c:pt idx="4">
                  <c:v>4.2816843117951358</c:v>
                </c:pt>
                <c:pt idx="5">
                  <c:v>4.2085838433827103</c:v>
                </c:pt>
                <c:pt idx="6">
                  <c:v>3.9088357542509922</c:v>
                </c:pt>
                <c:pt idx="7">
                  <c:v>3.4521934249711164</c:v>
                </c:pt>
                <c:pt idx="8">
                  <c:v>2.7054851805884441</c:v>
                </c:pt>
                <c:pt idx="9">
                  <c:v>1.7879122091930666</c:v>
                </c:pt>
                <c:pt idx="10">
                  <c:v>0.28723499343342568</c:v>
                </c:pt>
                <c:pt idx="11">
                  <c:v>-1.2608820986096374</c:v>
                </c:pt>
                <c:pt idx="12">
                  <c:v>-4.1991465766674141</c:v>
                </c:pt>
                <c:pt idx="13">
                  <c:v>-8.1919101685430409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8B-487E-9716-FEE64F51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8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'h=500m'!$I$3:$I$17</c:f>
              <c:numCache>
                <c:formatCode>0.0</c:formatCode>
                <c:ptCount val="15"/>
                <c:pt idx="0">
                  <c:v>20.371714852065022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'h=500m'!$N$3:$N$17</c:f>
              <c:numCache>
                <c:formatCode>0.00</c:formatCode>
                <c:ptCount val="15"/>
                <c:pt idx="0">
                  <c:v>1.6850093312441492</c:v>
                </c:pt>
                <c:pt idx="1">
                  <c:v>1.8145167427879239</c:v>
                </c:pt>
                <c:pt idx="2">
                  <c:v>1.8998050361209238</c:v>
                </c:pt>
                <c:pt idx="3">
                  <c:v>2.0149994731587504</c:v>
                </c:pt>
                <c:pt idx="4">
                  <c:v>2.0686902312036919</c:v>
                </c:pt>
                <c:pt idx="5">
                  <c:v>2.0334421213522544</c:v>
                </c:pt>
                <c:pt idx="6">
                  <c:v>1.7815837162201587</c:v>
                </c:pt>
                <c:pt idx="7">
                  <c:v>1.5089624547151146</c:v>
                </c:pt>
                <c:pt idx="8">
                  <c:v>0.97468554406659225</c:v>
                </c:pt>
                <c:pt idx="9">
                  <c:v>-0.2045002399229422</c:v>
                </c:pt>
                <c:pt idx="10">
                  <c:v>-1.2570221464969258</c:v>
                </c:pt>
                <c:pt idx="11">
                  <c:v>-2.5037194437712911</c:v>
                </c:pt>
                <c:pt idx="12">
                  <c:v>-3.9207114102553517</c:v>
                </c:pt>
                <c:pt idx="13">
                  <c:v>-5.5999971010428489</c:v>
                </c:pt>
                <c:pt idx="14">
                  <c:v>-7.3666359410961251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E2-422D-8598-CEFBAF9F6E63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'h=500m'!$H$24:$H$36</c:f>
              <c:numCache>
                <c:formatCode>0.0</c:formatCode>
                <c:ptCount val="13"/>
                <c:pt idx="0">
                  <c:v>21.953757499778725</c:v>
                </c:pt>
                <c:pt idx="1">
                  <c:v>22.857942693503812</c:v>
                </c:pt>
                <c:pt idx="2">
                  <c:v>25.10893998800902</c:v>
                </c:pt>
                <c:pt idx="3">
                  <c:v>26.501138047573679</c:v>
                </c:pt>
                <c:pt idx="4">
                  <c:v>28.158336904599548</c:v>
                </c:pt>
                <c:pt idx="5">
                  <c:v>30.145762152481375</c:v>
                </c:pt>
                <c:pt idx="6">
                  <c:v>32.826519111242433</c:v>
                </c:pt>
                <c:pt idx="7">
                  <c:v>35.971742290129519</c:v>
                </c:pt>
                <c:pt idx="8">
                  <c:v>40.554662184231027</c:v>
                </c:pt>
                <c:pt idx="9">
                  <c:v>43.272399840691236</c:v>
                </c:pt>
                <c:pt idx="10">
                  <c:v>47.345871290472651</c:v>
                </c:pt>
                <c:pt idx="11">
                  <c:v>52.259647210469538</c:v>
                </c:pt>
              </c:numCache>
            </c:numRef>
          </c:xVal>
          <c:yVal>
            <c:numRef>
              <c:f>'h=500m'!$L$24:$L$36</c:f>
              <c:numCache>
                <c:formatCode>0.00</c:formatCode>
                <c:ptCount val="13"/>
                <c:pt idx="0">
                  <c:v>1.6293124686335496</c:v>
                </c:pt>
                <c:pt idx="1">
                  <c:v>1.7168981814856679</c:v>
                </c:pt>
                <c:pt idx="2">
                  <c:v>1.8746322985318904</c:v>
                </c:pt>
                <c:pt idx="3">
                  <c:v>1.9448551915285455</c:v>
                </c:pt>
                <c:pt idx="4">
                  <c:v>1.9195297723904317</c:v>
                </c:pt>
                <c:pt idx="5">
                  <c:v>1.8152479449533521</c:v>
                </c:pt>
                <c:pt idx="6">
                  <c:v>1.5494799378052511</c:v>
                </c:pt>
                <c:pt idx="7">
                  <c:v>1.122314428949615</c:v>
                </c:pt>
                <c:pt idx="8">
                  <c:v>0.20330763334355514</c:v>
                </c:pt>
                <c:pt idx="9">
                  <c:v>-0.9521991146412907</c:v>
                </c:pt>
                <c:pt idx="10">
                  <c:v>-3.4668229292668209</c:v>
                </c:pt>
                <c:pt idx="11">
                  <c:v>-7.4464343630966034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E2-422D-8598-CEFBAF9F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'h=500m'!$I$3:$I$17</c:f>
              <c:numCache>
                <c:formatCode>0.0</c:formatCode>
                <c:ptCount val="15"/>
                <c:pt idx="0">
                  <c:v>20.371714852065022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'h=500m'!$M$3:$M$17</c:f>
              <c:numCache>
                <c:formatCode>0.00</c:formatCode>
                <c:ptCount val="15"/>
                <c:pt idx="0">
                  <c:v>4.7445366209597841</c:v>
                </c:pt>
                <c:pt idx="1">
                  <c:v>4.7310175023747298</c:v>
                </c:pt>
                <c:pt idx="2">
                  <c:v>4.5402004207947746</c:v>
                </c:pt>
                <c:pt idx="3">
                  <c:v>4.4448788533836625</c:v>
                </c:pt>
                <c:pt idx="4">
                  <c:v>4.2369755579325634</c:v>
                </c:pt>
                <c:pt idx="5">
                  <c:v>3.8865682866359248</c:v>
                </c:pt>
                <c:pt idx="6">
                  <c:v>3.0947539180572039</c:v>
                </c:pt>
                <c:pt idx="7">
                  <c:v>2.4022921255495864</c:v>
                </c:pt>
                <c:pt idx="8">
                  <c:v>1.4320816188751708</c:v>
                </c:pt>
                <c:pt idx="9">
                  <c:v>-0.27897730844386393</c:v>
                </c:pt>
                <c:pt idx="10">
                  <c:v>-1.6370878269833251</c:v>
                </c:pt>
                <c:pt idx="11">
                  <c:v>-3.1200756752937129</c:v>
                </c:pt>
                <c:pt idx="12">
                  <c:v>-4.6852242570844744</c:v>
                </c:pt>
                <c:pt idx="13">
                  <c:v>-6.4306163380111148</c:v>
                </c:pt>
                <c:pt idx="14">
                  <c:v>-8.1442663548191572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C4-428B-ABE7-993371574AF9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'h=500m'!$H$22:$H$36</c:f>
              <c:numCache>
                <c:formatCode>0.0</c:formatCode>
                <c:ptCount val="15"/>
                <c:pt idx="0">
                  <c:v>20.371714852065022</c:v>
                </c:pt>
                <c:pt idx="1">
                  <c:v>21.135873302834597</c:v>
                </c:pt>
                <c:pt idx="2">
                  <c:v>21.953757499778725</c:v>
                </c:pt>
                <c:pt idx="3">
                  <c:v>22.857942693503812</c:v>
                </c:pt>
                <c:pt idx="4">
                  <c:v>25.10893998800902</c:v>
                </c:pt>
                <c:pt idx="5">
                  <c:v>26.501138047573679</c:v>
                </c:pt>
                <c:pt idx="6">
                  <c:v>28.158336904599548</c:v>
                </c:pt>
                <c:pt idx="7">
                  <c:v>30.145762152481375</c:v>
                </c:pt>
                <c:pt idx="8">
                  <c:v>32.826519111242433</c:v>
                </c:pt>
                <c:pt idx="9">
                  <c:v>35.971742290129519</c:v>
                </c:pt>
                <c:pt idx="10">
                  <c:v>40.554662184231027</c:v>
                </c:pt>
                <c:pt idx="11">
                  <c:v>43.272399840691236</c:v>
                </c:pt>
                <c:pt idx="12">
                  <c:v>47.345871290472651</c:v>
                </c:pt>
                <c:pt idx="13">
                  <c:v>52.259647210469538</c:v>
                </c:pt>
              </c:numCache>
            </c:numRef>
          </c:xVal>
          <c:yVal>
            <c:numRef>
              <c:f>'h=500m'!$M$22:$M$36</c:f>
              <c:numCache>
                <c:formatCode>0.00</c:formatCode>
                <c:ptCount val="15"/>
                <c:pt idx="0">
                  <c:v>3.8255061482825106</c:v>
                </c:pt>
                <c:pt idx="1">
                  <c:v>4.0019594115454646</c:v>
                </c:pt>
                <c:pt idx="2">
                  <c:v>4.2561569836723381</c:v>
                </c:pt>
                <c:pt idx="3">
                  <c:v>4.3076384542829178</c:v>
                </c:pt>
                <c:pt idx="4">
                  <c:v>4.2816843117951358</c:v>
                </c:pt>
                <c:pt idx="5">
                  <c:v>4.2085838433827103</c:v>
                </c:pt>
                <c:pt idx="6">
                  <c:v>3.9088357542509922</c:v>
                </c:pt>
                <c:pt idx="7">
                  <c:v>3.4521934249711164</c:v>
                </c:pt>
                <c:pt idx="8">
                  <c:v>2.7054851805884441</c:v>
                </c:pt>
                <c:pt idx="9">
                  <c:v>1.7879122091930666</c:v>
                </c:pt>
                <c:pt idx="10">
                  <c:v>0.28723499343342568</c:v>
                </c:pt>
                <c:pt idx="11">
                  <c:v>-1.2608820986096374</c:v>
                </c:pt>
                <c:pt idx="12">
                  <c:v>-4.1991465766674141</c:v>
                </c:pt>
                <c:pt idx="13">
                  <c:v>-8.1919101685430409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C4-428B-ABE7-99337157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'h=1000m'!$I$3:$I$17</c:f>
              <c:numCache>
                <c:formatCode>0.0</c:formatCode>
                <c:ptCount val="15"/>
                <c:pt idx="0">
                  <c:v>20.875565662291493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'h=1000m'!$L$3:$L$17</c:f>
              <c:numCache>
                <c:formatCode>0.00</c:formatCode>
                <c:ptCount val="15"/>
                <c:pt idx="0">
                  <c:v>10.479794260719899</c:v>
                </c:pt>
                <c:pt idx="1">
                  <c:v>9.1254556887193559</c:v>
                </c:pt>
                <c:pt idx="2">
                  <c:v>7.1410730572868495</c:v>
                </c:pt>
                <c:pt idx="3">
                  <c:v>5.5723395991966225</c:v>
                </c:pt>
                <c:pt idx="4">
                  <c:v>4.313522732211883</c:v>
                </c:pt>
                <c:pt idx="5">
                  <c:v>3.2916587364737828</c:v>
                </c:pt>
                <c:pt idx="6">
                  <c:v>2.0838938049152818</c:v>
                </c:pt>
                <c:pt idx="7">
                  <c:v>1.157232873675158</c:v>
                </c:pt>
                <c:pt idx="8">
                  <c:v>0.4315987753633429</c:v>
                </c:pt>
                <c:pt idx="9">
                  <c:v>-0.14822486337060414</c:v>
                </c:pt>
                <c:pt idx="10">
                  <c:v>-0.47399209762257682</c:v>
                </c:pt>
                <c:pt idx="11">
                  <c:v>-0.76071743817569148</c:v>
                </c:pt>
                <c:pt idx="12">
                  <c:v>-1.0148859638741863</c:v>
                </c:pt>
                <c:pt idx="13">
                  <c:v>-1.2417740422985384</c:v>
                </c:pt>
                <c:pt idx="14">
                  <c:v>-1.4455894172119743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D2-45AE-919A-895F93AE9625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'h=1000m'!$I$3:$I$17</c:f>
              <c:numCache>
                <c:formatCode>0.0</c:formatCode>
                <c:ptCount val="15"/>
                <c:pt idx="0">
                  <c:v>20.875565662291493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'h=1000m'!$M$3:$M$17</c:f>
              <c:numCache>
                <c:formatCode>0.00</c:formatCode>
                <c:ptCount val="15"/>
                <c:pt idx="0">
                  <c:v>3.7775123982340482</c:v>
                </c:pt>
                <c:pt idx="1">
                  <c:v>3.8407256601146642</c:v>
                </c:pt>
                <c:pt idx="2">
                  <c:v>3.8368221188188567</c:v>
                </c:pt>
                <c:pt idx="3">
                  <c:v>3.7798073959210252</c:v>
                </c:pt>
                <c:pt idx="4">
                  <c:v>3.681768952637853</c:v>
                </c:pt>
                <c:pt idx="5">
                  <c:v>3.3774428244179497</c:v>
                </c:pt>
                <c:pt idx="6">
                  <c:v>2.6973594756125019</c:v>
                </c:pt>
                <c:pt idx="7">
                  <c:v>1.9913872450301064</c:v>
                </c:pt>
                <c:pt idx="8">
                  <c:v>1.110544438986468</c:v>
                </c:pt>
                <c:pt idx="9">
                  <c:v>-0.36884303237785659</c:v>
                </c:pt>
                <c:pt idx="10">
                  <c:v>-1.6938281020385542</c:v>
                </c:pt>
                <c:pt idx="11">
                  <c:v>-3.0755780034776521</c:v>
                </c:pt>
                <c:pt idx="12">
                  <c:v>-4.5540886434859855</c:v>
                </c:pt>
                <c:pt idx="13">
                  <c:v>-6.1431452900180039</c:v>
                </c:pt>
                <c:pt idx="14">
                  <c:v>-7.8355784229605074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D2-45AE-919A-895F93AE9625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'h=1000m'!$H$22:$H$36</c:f>
              <c:numCache>
                <c:formatCode>0.0</c:formatCode>
                <c:ptCount val="15"/>
                <c:pt idx="0">
                  <c:v>20.875565662291496</c:v>
                </c:pt>
                <c:pt idx="1">
                  <c:v>21.65862393849833</c:v>
                </c:pt>
                <c:pt idx="2">
                  <c:v>22.496736752340656</c:v>
                </c:pt>
                <c:pt idx="3">
                  <c:v>23.423285033599683</c:v>
                </c:pt>
                <c:pt idx="4">
                  <c:v>25.729955933340875</c:v>
                </c:pt>
                <c:pt idx="5">
                  <c:v>27.156587035258685</c:v>
                </c:pt>
                <c:pt idx="6">
                  <c:v>28.85477316276631</c:v>
                </c:pt>
                <c:pt idx="7">
                  <c:v>30.891353124852685</c:v>
                </c:pt>
                <c:pt idx="8">
                  <c:v>33.63841287527859</c:v>
                </c:pt>
                <c:pt idx="9">
                  <c:v>36.861426424712938</c:v>
                </c:pt>
                <c:pt idx="10">
                  <c:v>41.557695043681953</c:v>
                </c:pt>
                <c:pt idx="11">
                  <c:v>44.342650130296391</c:v>
                </c:pt>
                <c:pt idx="12">
                  <c:v>48.516870186923668</c:v>
                </c:pt>
                <c:pt idx="13">
                  <c:v>53.552177848187334</c:v>
                </c:pt>
              </c:numCache>
            </c:numRef>
          </c:xVal>
          <c:yVal>
            <c:numRef>
              <c:f>'h=1000m'!$N$22:$N$36</c:f>
              <c:numCache>
                <c:formatCode>0.00</c:formatCode>
                <c:ptCount val="15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  <c:pt idx="13">
                  <c:v>-1.3260000000000001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D2-45AE-919A-895F93AE9625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'h=1000m'!$H$22:$H$36</c:f>
              <c:numCache>
                <c:formatCode>0.0</c:formatCode>
                <c:ptCount val="15"/>
                <c:pt idx="0">
                  <c:v>20.875565662291496</c:v>
                </c:pt>
                <c:pt idx="1">
                  <c:v>21.65862393849833</c:v>
                </c:pt>
                <c:pt idx="2">
                  <c:v>22.496736752340656</c:v>
                </c:pt>
                <c:pt idx="3">
                  <c:v>23.423285033599683</c:v>
                </c:pt>
                <c:pt idx="4">
                  <c:v>25.729955933340875</c:v>
                </c:pt>
                <c:pt idx="5">
                  <c:v>27.156587035258685</c:v>
                </c:pt>
                <c:pt idx="6">
                  <c:v>28.85477316276631</c:v>
                </c:pt>
                <c:pt idx="7">
                  <c:v>30.891353124852685</c:v>
                </c:pt>
                <c:pt idx="8">
                  <c:v>33.63841287527859</c:v>
                </c:pt>
                <c:pt idx="9">
                  <c:v>36.861426424712938</c:v>
                </c:pt>
                <c:pt idx="10">
                  <c:v>41.557695043681953</c:v>
                </c:pt>
                <c:pt idx="11">
                  <c:v>44.342650130296391</c:v>
                </c:pt>
                <c:pt idx="12">
                  <c:v>48.516870186923668</c:v>
                </c:pt>
                <c:pt idx="13">
                  <c:v>53.552177848187334</c:v>
                </c:pt>
              </c:numCache>
            </c:numRef>
          </c:xVal>
          <c:yVal>
            <c:numRef>
              <c:f>'h=1000m'!$M$22:$M$36</c:f>
              <c:numCache>
                <c:formatCode>0.00</c:formatCode>
                <c:ptCount val="15"/>
                <c:pt idx="0">
                  <c:v>3.0269996241105366</c:v>
                </c:pt>
                <c:pt idx="1">
                  <c:v>3.3689258921627538</c:v>
                </c:pt>
                <c:pt idx="2">
                  <c:v>3.4549847609471733</c:v>
                </c:pt>
                <c:pt idx="3">
                  <c:v>3.5971801805394414</c:v>
                </c:pt>
                <c:pt idx="4">
                  <c:v>3.5618929581648331</c:v>
                </c:pt>
                <c:pt idx="5">
                  <c:v>3.5168649499042299</c:v>
                </c:pt>
                <c:pt idx="6">
                  <c:v>3.2847708989109479</c:v>
                </c:pt>
                <c:pt idx="7">
                  <c:v>2.8765567958523652</c:v>
                </c:pt>
                <c:pt idx="8">
                  <c:v>2.12088443426769</c:v>
                </c:pt>
                <c:pt idx="9">
                  <c:v>1.2145222341551514</c:v>
                </c:pt>
                <c:pt idx="10">
                  <c:v>-0.41037894033982714</c:v>
                </c:pt>
                <c:pt idx="11">
                  <c:v>-1.956633344896445</c:v>
                </c:pt>
                <c:pt idx="12">
                  <c:v>-4.8579121349511825</c:v>
                </c:pt>
                <c:pt idx="13">
                  <c:v>-8.8430367988547616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D2-45AE-919A-895F93AE9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7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'h=1000m'!$I$3:$I$17</c:f>
              <c:numCache>
                <c:formatCode>0.0</c:formatCode>
                <c:ptCount val="15"/>
                <c:pt idx="0">
                  <c:v>20.875565662291493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'h=1000m'!$N$3:$N$17</c:f>
              <c:numCache>
                <c:formatCode>0.00</c:formatCode>
                <c:ptCount val="15"/>
                <c:pt idx="0">
                  <c:v>1.3753297681709875</c:v>
                </c:pt>
                <c:pt idx="1">
                  <c:v>1.4736285904569371</c:v>
                </c:pt>
                <c:pt idx="2">
                  <c:v>1.6059633829513507</c:v>
                </c:pt>
                <c:pt idx="3">
                  <c:v>1.7139783359046987</c:v>
                </c:pt>
                <c:pt idx="4">
                  <c:v>1.7980137398193319</c:v>
                </c:pt>
                <c:pt idx="5">
                  <c:v>1.7674009494159004</c:v>
                </c:pt>
                <c:pt idx="6">
                  <c:v>1.5529937272127197</c:v>
                </c:pt>
                <c:pt idx="7">
                  <c:v>1.2509736101396489</c:v>
                </c:pt>
                <c:pt idx="8">
                  <c:v>0.75587629011138824</c:v>
                </c:pt>
                <c:pt idx="9">
                  <c:v>-0.2703741967258626</c:v>
                </c:pt>
                <c:pt idx="10">
                  <c:v>-1.3005771409188356</c:v>
                </c:pt>
                <c:pt idx="11">
                  <c:v>-2.4680466282965527</c:v>
                </c:pt>
                <c:pt idx="12">
                  <c:v>-3.8112084206571479</c:v>
                </c:pt>
                <c:pt idx="13">
                  <c:v>-5.3506402410727825</c:v>
                </c:pt>
                <c:pt idx="14">
                  <c:v>-7.0891996045479555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CC-47D4-86D9-AFE89F6AE710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'h=1000m'!$H$24:$H$36</c:f>
              <c:numCache>
                <c:formatCode>0.0</c:formatCode>
                <c:ptCount val="13"/>
                <c:pt idx="0">
                  <c:v>22.496736752340656</c:v>
                </c:pt>
                <c:pt idx="1">
                  <c:v>23.423285033599683</c:v>
                </c:pt>
                <c:pt idx="2">
                  <c:v>25.729955933340875</c:v>
                </c:pt>
                <c:pt idx="3">
                  <c:v>27.156587035258685</c:v>
                </c:pt>
                <c:pt idx="4">
                  <c:v>28.85477316276631</c:v>
                </c:pt>
                <c:pt idx="5">
                  <c:v>30.891353124852685</c:v>
                </c:pt>
                <c:pt idx="6">
                  <c:v>33.63841287527859</c:v>
                </c:pt>
                <c:pt idx="7">
                  <c:v>36.861426424712938</c:v>
                </c:pt>
                <c:pt idx="8">
                  <c:v>41.557695043681953</c:v>
                </c:pt>
                <c:pt idx="9">
                  <c:v>44.342650130296391</c:v>
                </c:pt>
                <c:pt idx="10">
                  <c:v>48.516870186923668</c:v>
                </c:pt>
                <c:pt idx="11">
                  <c:v>53.552177848187334</c:v>
                </c:pt>
              </c:numCache>
            </c:numRef>
          </c:xVal>
          <c:yVal>
            <c:numRef>
              <c:f>'h=1000m'!$L$24:$L$36</c:f>
              <c:numCache>
                <c:formatCode>0.00</c:formatCode>
                <c:ptCount val="13"/>
                <c:pt idx="0">
                  <c:v>1.355750588960454</c:v>
                </c:pt>
                <c:pt idx="1">
                  <c:v>1.4696097292011385</c:v>
                </c:pt>
                <c:pt idx="2">
                  <c:v>1.5985178901559236</c:v>
                </c:pt>
                <c:pt idx="3">
                  <c:v>1.6658485074386191</c:v>
                </c:pt>
                <c:pt idx="4">
                  <c:v>1.653340059442624</c:v>
                </c:pt>
                <c:pt idx="5">
                  <c:v>1.5502608937866726</c:v>
                </c:pt>
                <c:pt idx="6">
                  <c:v>1.2448891593408353</c:v>
                </c:pt>
                <c:pt idx="7">
                  <c:v>0.7813083223895767</c:v>
                </c:pt>
                <c:pt idx="8">
                  <c:v>-0.29765293678932914</c:v>
                </c:pt>
                <c:pt idx="9">
                  <c:v>-1.5139936281986603</c:v>
                </c:pt>
                <c:pt idx="10">
                  <c:v>-4.1086517815323349</c:v>
                </c:pt>
                <c:pt idx="11">
                  <c:v>-8.2324737393596834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CC-47D4-86D9-AFE89F6AE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'h=1000m'!$I$3:$I$17</c:f>
              <c:numCache>
                <c:formatCode>0.0</c:formatCode>
                <c:ptCount val="15"/>
                <c:pt idx="0">
                  <c:v>20.875565662291493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'h=1000m'!$M$3:$M$17</c:f>
              <c:numCache>
                <c:formatCode>0.00</c:formatCode>
                <c:ptCount val="15"/>
                <c:pt idx="0">
                  <c:v>3.7775123982340482</c:v>
                </c:pt>
                <c:pt idx="1">
                  <c:v>3.8407256601146642</c:v>
                </c:pt>
                <c:pt idx="2">
                  <c:v>3.8368221188188567</c:v>
                </c:pt>
                <c:pt idx="3">
                  <c:v>3.7798073959210252</c:v>
                </c:pt>
                <c:pt idx="4">
                  <c:v>3.681768952637853</c:v>
                </c:pt>
                <c:pt idx="5">
                  <c:v>3.3774428244179497</c:v>
                </c:pt>
                <c:pt idx="6">
                  <c:v>2.6973594756125019</c:v>
                </c:pt>
                <c:pt idx="7">
                  <c:v>1.9913872450301064</c:v>
                </c:pt>
                <c:pt idx="8">
                  <c:v>1.110544438986468</c:v>
                </c:pt>
                <c:pt idx="9">
                  <c:v>-0.36884303237785659</c:v>
                </c:pt>
                <c:pt idx="10">
                  <c:v>-1.6938281020385542</c:v>
                </c:pt>
                <c:pt idx="11">
                  <c:v>-3.0755780034776521</c:v>
                </c:pt>
                <c:pt idx="12">
                  <c:v>-4.5540886434859855</c:v>
                </c:pt>
                <c:pt idx="13">
                  <c:v>-6.1431452900180039</c:v>
                </c:pt>
                <c:pt idx="14">
                  <c:v>-7.8355784229605074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2C-4E33-BA4D-6FCCD3725481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'h=1000m'!$H$22:$H$36</c:f>
              <c:numCache>
                <c:formatCode>0.0</c:formatCode>
                <c:ptCount val="15"/>
                <c:pt idx="0">
                  <c:v>20.875565662291496</c:v>
                </c:pt>
                <c:pt idx="1">
                  <c:v>21.65862393849833</c:v>
                </c:pt>
                <c:pt idx="2">
                  <c:v>22.496736752340656</c:v>
                </c:pt>
                <c:pt idx="3">
                  <c:v>23.423285033599683</c:v>
                </c:pt>
                <c:pt idx="4">
                  <c:v>25.729955933340875</c:v>
                </c:pt>
                <c:pt idx="5">
                  <c:v>27.156587035258685</c:v>
                </c:pt>
                <c:pt idx="6">
                  <c:v>28.85477316276631</c:v>
                </c:pt>
                <c:pt idx="7">
                  <c:v>30.891353124852685</c:v>
                </c:pt>
                <c:pt idx="8">
                  <c:v>33.63841287527859</c:v>
                </c:pt>
                <c:pt idx="9">
                  <c:v>36.861426424712938</c:v>
                </c:pt>
                <c:pt idx="10">
                  <c:v>41.557695043681953</c:v>
                </c:pt>
                <c:pt idx="11">
                  <c:v>44.342650130296391</c:v>
                </c:pt>
                <c:pt idx="12">
                  <c:v>48.516870186923668</c:v>
                </c:pt>
                <c:pt idx="13">
                  <c:v>53.552177848187334</c:v>
                </c:pt>
              </c:numCache>
            </c:numRef>
          </c:xVal>
          <c:yVal>
            <c:numRef>
              <c:f>'h=1000m'!$M$22:$M$36</c:f>
              <c:numCache>
                <c:formatCode>0.00</c:formatCode>
                <c:ptCount val="15"/>
                <c:pt idx="0">
                  <c:v>3.0269996241105366</c:v>
                </c:pt>
                <c:pt idx="1">
                  <c:v>3.3689258921627538</c:v>
                </c:pt>
                <c:pt idx="2">
                  <c:v>3.4549847609471733</c:v>
                </c:pt>
                <c:pt idx="3">
                  <c:v>3.5971801805394414</c:v>
                </c:pt>
                <c:pt idx="4">
                  <c:v>3.5618929581648331</c:v>
                </c:pt>
                <c:pt idx="5">
                  <c:v>3.5168649499042299</c:v>
                </c:pt>
                <c:pt idx="6">
                  <c:v>3.2847708989109479</c:v>
                </c:pt>
                <c:pt idx="7">
                  <c:v>2.8765567958523652</c:v>
                </c:pt>
                <c:pt idx="8">
                  <c:v>2.12088443426769</c:v>
                </c:pt>
                <c:pt idx="9">
                  <c:v>1.2145222341551514</c:v>
                </c:pt>
                <c:pt idx="10">
                  <c:v>-0.41037894033982714</c:v>
                </c:pt>
                <c:pt idx="11">
                  <c:v>-1.956633344896445</c:v>
                </c:pt>
                <c:pt idx="12">
                  <c:v>-4.8579121349511825</c:v>
                </c:pt>
                <c:pt idx="13">
                  <c:v>-8.8430367988547616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2C-4E33-BA4D-6FCCD3725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'h=1500m'!$I$3:$I$17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'h=1500m'!$L$3:$L$17</c:f>
              <c:numCache>
                <c:formatCode>0.00</c:formatCode>
                <c:ptCount val="15"/>
                <c:pt idx="0">
                  <c:v>10.520490118973738</c:v>
                </c:pt>
                <c:pt idx="1">
                  <c:v>9.7861824149472429</c:v>
                </c:pt>
                <c:pt idx="2">
                  <c:v>7.6995151747777504</c:v>
                </c:pt>
                <c:pt idx="3">
                  <c:v>6.0488775473732117</c:v>
                </c:pt>
                <c:pt idx="4">
                  <c:v>4.727055906675969</c:v>
                </c:pt>
                <c:pt idx="5">
                  <c:v>3.6512919646692157</c:v>
                </c:pt>
                <c:pt idx="6">
                  <c:v>2.3811759000575332</c:v>
                </c:pt>
                <c:pt idx="7">
                  <c:v>1.4069855374865303</c:v>
                </c:pt>
                <c:pt idx="8">
                  <c:v>0.6444354864379348</c:v>
                </c:pt>
                <c:pt idx="9">
                  <c:v>3.5404189260700547E-2</c:v>
                </c:pt>
                <c:pt idx="10">
                  <c:v>-0.30647559246446532</c:v>
                </c:pt>
                <c:pt idx="11">
                  <c:v>-0.60752448402156189</c:v>
                </c:pt>
                <c:pt idx="12">
                  <c:v>-0.87347168286806487</c:v>
                </c:pt>
                <c:pt idx="13">
                  <c:v>-1.1114615383711837</c:v>
                </c:pt>
                <c:pt idx="14">
                  <c:v>-1.3240858112445506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2-4DB2-ACC6-23C09B49260C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'h=1500m'!$I$3:$I$17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'h=1500m'!$M$3:$M$17</c:f>
              <c:numCache>
                <c:formatCode>0.00</c:formatCode>
                <c:ptCount val="15"/>
                <c:pt idx="0">
                  <c:v>3.0237060869583794</c:v>
                </c:pt>
                <c:pt idx="1">
                  <c:v>3.0284651904907034</c:v>
                </c:pt>
                <c:pt idx="2">
                  <c:v>3.0948285417901098</c:v>
                </c:pt>
                <c:pt idx="3">
                  <c:v>3.1391708254455422</c:v>
                </c:pt>
                <c:pt idx="4">
                  <c:v>3.0000726631139019</c:v>
                </c:pt>
                <c:pt idx="5">
                  <c:v>2.818989948289766</c:v>
                </c:pt>
                <c:pt idx="6">
                  <c:v>2.2382797267065455</c:v>
                </c:pt>
                <c:pt idx="7">
                  <c:v>1.6366389094287905</c:v>
                </c:pt>
                <c:pt idx="8">
                  <c:v>0.83882528345776797</c:v>
                </c:pt>
                <c:pt idx="9">
                  <c:v>-0.50028599833083809</c:v>
                </c:pt>
                <c:pt idx="10">
                  <c:v>-1.7336697544886548</c:v>
                </c:pt>
                <c:pt idx="11">
                  <c:v>-3.1056050037697034</c:v>
                </c:pt>
                <c:pt idx="12">
                  <c:v>-4.4109740457689472</c:v>
                </c:pt>
                <c:pt idx="13">
                  <c:v>-5.9795458358463041</c:v>
                </c:pt>
                <c:pt idx="14">
                  <c:v>-7.50024948986841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32-4DB2-ACC6-23C09B49260C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'h=1500m'!$H$22:$H$36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22.200602640258872</c:v>
                </c:pt>
                <c:pt idx="2">
                  <c:v>23.059688129746011</c:v>
                </c:pt>
                <c:pt idx="3">
                  <c:v>24.009422068414352</c:v>
                </c:pt>
                <c:pt idx="4">
                  <c:v>26.373814386800632</c:v>
                </c:pt>
                <c:pt idx="5">
                  <c:v>27.836145063848615</c:v>
                </c:pt>
                <c:pt idx="6">
                  <c:v>29.57682607539633</c:v>
                </c:pt>
                <c:pt idx="7">
                  <c:v>31.66436878410121</c:v>
                </c:pt>
                <c:pt idx="8">
                  <c:v>34.480170107464623</c:v>
                </c:pt>
                <c:pt idx="9">
                  <c:v>37.783835350387868</c:v>
                </c:pt>
                <c:pt idx="10">
                  <c:v>42.597621941710763</c:v>
                </c:pt>
                <c:pt idx="11">
                  <c:v>45.452266882426308</c:v>
                </c:pt>
                <c:pt idx="12">
                  <c:v>49.730941329765479</c:v>
                </c:pt>
                <c:pt idx="13">
                  <c:v>54.892250971439623</c:v>
                </c:pt>
              </c:numCache>
            </c:numRef>
          </c:xVal>
          <c:yVal>
            <c:numRef>
              <c:f>'h=1500m'!$N$22:$N$36</c:f>
              <c:numCache>
                <c:formatCode>0.00</c:formatCode>
                <c:ptCount val="15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  <c:pt idx="13">
                  <c:v>-1.3260000000000001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32-4DB2-ACC6-23C09B49260C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'h=1500m'!$H$22:$H$36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22.200602640258872</c:v>
                </c:pt>
                <c:pt idx="2">
                  <c:v>23.059688129746011</c:v>
                </c:pt>
                <c:pt idx="3">
                  <c:v>24.009422068414352</c:v>
                </c:pt>
                <c:pt idx="4">
                  <c:v>26.373814386800632</c:v>
                </c:pt>
                <c:pt idx="5">
                  <c:v>27.836145063848615</c:v>
                </c:pt>
                <c:pt idx="6">
                  <c:v>29.57682607539633</c:v>
                </c:pt>
                <c:pt idx="7">
                  <c:v>31.66436878410121</c:v>
                </c:pt>
                <c:pt idx="8">
                  <c:v>34.480170107464623</c:v>
                </c:pt>
                <c:pt idx="9">
                  <c:v>37.783835350387868</c:v>
                </c:pt>
                <c:pt idx="10">
                  <c:v>42.597621941710763</c:v>
                </c:pt>
                <c:pt idx="11">
                  <c:v>45.452266882426308</c:v>
                </c:pt>
                <c:pt idx="12">
                  <c:v>49.730941329765479</c:v>
                </c:pt>
                <c:pt idx="13">
                  <c:v>54.892250971439623</c:v>
                </c:pt>
              </c:numCache>
            </c:numRef>
          </c:xVal>
          <c:yVal>
            <c:numRef>
              <c:f>'h=1500m'!$M$22:$M$36</c:f>
              <c:numCache>
                <c:formatCode>0.00</c:formatCode>
                <c:ptCount val="15"/>
                <c:pt idx="0">
                  <c:v>2.3538124650194172</c:v>
                </c:pt>
                <c:pt idx="1">
                  <c:v>2.66496216541077</c:v>
                </c:pt>
                <c:pt idx="2">
                  <c:v>2.7948087743598475</c:v>
                </c:pt>
                <c:pt idx="3">
                  <c:v>2.7841479432961243</c:v>
                </c:pt>
                <c:pt idx="4">
                  <c:v>2.8684435778936512</c:v>
                </c:pt>
                <c:pt idx="5">
                  <c:v>2.7948781963126605</c:v>
                </c:pt>
                <c:pt idx="6">
                  <c:v>2.5438158835310869</c:v>
                </c:pt>
                <c:pt idx="7">
                  <c:v>2.1425537475895222</c:v>
                </c:pt>
                <c:pt idx="8">
                  <c:v>1.4527180488874611</c:v>
                </c:pt>
                <c:pt idx="9">
                  <c:v>0.71548233955866147</c:v>
                </c:pt>
                <c:pt idx="10">
                  <c:v>-1.0335766629344059</c:v>
                </c:pt>
                <c:pt idx="11">
                  <c:v>-2.7161364962071048</c:v>
                </c:pt>
                <c:pt idx="12">
                  <c:v>-5.6567097413036027</c:v>
                </c:pt>
                <c:pt idx="13">
                  <c:v>-9.6663581339548887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32-4DB2-ACC6-23C09B492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7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'h=1500m'!$I$3:$I$17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'h=1500m'!$N$3:$N$17</c:f>
              <c:numCache>
                <c:formatCode>0.00</c:formatCode>
                <c:ptCount val="15"/>
                <c:pt idx="0">
                  <c:v>1.1287232977546438</c:v>
                </c:pt>
                <c:pt idx="1">
                  <c:v>1.1623057643421641</c:v>
                </c:pt>
                <c:pt idx="2">
                  <c:v>1.2957284608885846</c:v>
                </c:pt>
                <c:pt idx="3">
                  <c:v>1.4237979534634531</c:v>
                </c:pt>
                <c:pt idx="4">
                  <c:v>1.4654422360324755</c:v>
                </c:pt>
                <c:pt idx="5">
                  <c:v>1.4754242561550224</c:v>
                </c:pt>
                <c:pt idx="6">
                  <c:v>1.2888287044779756</c:v>
                </c:pt>
                <c:pt idx="7">
                  <c:v>1.0281907171950548</c:v>
                </c:pt>
                <c:pt idx="8">
                  <c:v>0.57094986228165145</c:v>
                </c:pt>
                <c:pt idx="9">
                  <c:v>-0.36672413067058529</c:v>
                </c:pt>
                <c:pt idx="10">
                  <c:v>-1.3311596476547496</c:v>
                </c:pt>
                <c:pt idx="11">
                  <c:v>-2.4921187858640641</c:v>
                </c:pt>
                <c:pt idx="12">
                  <c:v>-3.6916797817669158</c:v>
                </c:pt>
                <c:pt idx="13">
                  <c:v>-5.2086709873274266</c:v>
                </c:pt>
                <c:pt idx="14">
                  <c:v>-6.787586488061832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45-40F1-BFE2-5B4A8549777D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'h=1500m'!$H$24:$H$36</c:f>
              <c:numCache>
                <c:formatCode>0.0</c:formatCode>
                <c:ptCount val="13"/>
                <c:pt idx="0">
                  <c:v>23.059688129746011</c:v>
                </c:pt>
                <c:pt idx="1">
                  <c:v>24.009422068414352</c:v>
                </c:pt>
                <c:pt idx="2">
                  <c:v>26.373814386800632</c:v>
                </c:pt>
                <c:pt idx="3">
                  <c:v>27.836145063848615</c:v>
                </c:pt>
                <c:pt idx="4">
                  <c:v>29.57682607539633</c:v>
                </c:pt>
                <c:pt idx="5">
                  <c:v>31.66436878410121</c:v>
                </c:pt>
                <c:pt idx="6">
                  <c:v>34.480170107464623</c:v>
                </c:pt>
                <c:pt idx="7">
                  <c:v>37.783835350387868</c:v>
                </c:pt>
                <c:pt idx="8">
                  <c:v>42.597621941710763</c:v>
                </c:pt>
                <c:pt idx="9">
                  <c:v>45.452266882426308</c:v>
                </c:pt>
                <c:pt idx="10">
                  <c:v>49.730941329765479</c:v>
                </c:pt>
                <c:pt idx="11">
                  <c:v>54.892250971439623</c:v>
                </c:pt>
              </c:numCache>
            </c:numRef>
          </c:xVal>
          <c:yVal>
            <c:numRef>
              <c:f>'h=1500m'!$L$24:$L$36</c:f>
              <c:numCache>
                <c:formatCode>0.00</c:formatCode>
                <c:ptCount val="13"/>
                <c:pt idx="0">
                  <c:v>1.1243736468989649</c:v>
                </c:pt>
                <c:pt idx="1">
                  <c:v>1.1662199258419552</c:v>
                </c:pt>
                <c:pt idx="2">
                  <c:v>1.3198214780766304</c:v>
                </c:pt>
                <c:pt idx="3">
                  <c:v>1.3573039055827616</c:v>
                </c:pt>
                <c:pt idx="4">
                  <c:v>1.3127194551064829</c:v>
                </c:pt>
                <c:pt idx="5">
                  <c:v>1.1838010114448358</c:v>
                </c:pt>
                <c:pt idx="6">
                  <c:v>0.87414115356821964</c:v>
                </c:pt>
                <c:pt idx="7">
                  <c:v>0.47181423400161837</c:v>
                </c:pt>
                <c:pt idx="8">
                  <c:v>-0.76839028012384825</c:v>
                </c:pt>
                <c:pt idx="9">
                  <c:v>-2.1538816224648931</c:v>
                </c:pt>
                <c:pt idx="10">
                  <c:v>-4.901874437929937</c:v>
                </c:pt>
                <c:pt idx="11">
                  <c:v>-9.2169898954730218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45-40F1-BFE2-5B4A85497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'h=1500m'!$I$3:$I$17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'h=1500m'!$M$3:$M$17</c:f>
              <c:numCache>
                <c:formatCode>0.00</c:formatCode>
                <c:ptCount val="15"/>
                <c:pt idx="0">
                  <c:v>3.0237060869583794</c:v>
                </c:pt>
                <c:pt idx="1">
                  <c:v>3.0284651904907034</c:v>
                </c:pt>
                <c:pt idx="2">
                  <c:v>3.0948285417901098</c:v>
                </c:pt>
                <c:pt idx="3">
                  <c:v>3.1391708254455422</c:v>
                </c:pt>
                <c:pt idx="4">
                  <c:v>3.0000726631139019</c:v>
                </c:pt>
                <c:pt idx="5">
                  <c:v>2.818989948289766</c:v>
                </c:pt>
                <c:pt idx="6">
                  <c:v>2.2382797267065455</c:v>
                </c:pt>
                <c:pt idx="7">
                  <c:v>1.6366389094287905</c:v>
                </c:pt>
                <c:pt idx="8">
                  <c:v>0.83882528345776797</c:v>
                </c:pt>
                <c:pt idx="9">
                  <c:v>-0.50028599833083809</c:v>
                </c:pt>
                <c:pt idx="10">
                  <c:v>-1.7336697544886548</c:v>
                </c:pt>
                <c:pt idx="11">
                  <c:v>-3.1056050037697034</c:v>
                </c:pt>
                <c:pt idx="12">
                  <c:v>-4.4109740457689472</c:v>
                </c:pt>
                <c:pt idx="13">
                  <c:v>-5.9795458358463041</c:v>
                </c:pt>
                <c:pt idx="14">
                  <c:v>-7.50024948986841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65-41D5-B181-A40785EC37FE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'h=1500m'!$H$22:$H$36</c:f>
              <c:numCache>
                <c:formatCode>0.0</c:formatCode>
                <c:ptCount val="15"/>
                <c:pt idx="0">
                  <c:v>21.397949356116786</c:v>
                </c:pt>
                <c:pt idx="1">
                  <c:v>22.200602640258872</c:v>
                </c:pt>
                <c:pt idx="2">
                  <c:v>23.059688129746011</c:v>
                </c:pt>
                <c:pt idx="3">
                  <c:v>24.009422068414352</c:v>
                </c:pt>
                <c:pt idx="4">
                  <c:v>26.373814386800632</c:v>
                </c:pt>
                <c:pt idx="5">
                  <c:v>27.836145063848615</c:v>
                </c:pt>
                <c:pt idx="6">
                  <c:v>29.57682607539633</c:v>
                </c:pt>
                <c:pt idx="7">
                  <c:v>31.66436878410121</c:v>
                </c:pt>
                <c:pt idx="8">
                  <c:v>34.480170107464623</c:v>
                </c:pt>
                <c:pt idx="9">
                  <c:v>37.783835350387868</c:v>
                </c:pt>
                <c:pt idx="10">
                  <c:v>42.597621941710763</c:v>
                </c:pt>
                <c:pt idx="11">
                  <c:v>45.452266882426308</c:v>
                </c:pt>
                <c:pt idx="12">
                  <c:v>49.730941329765479</c:v>
                </c:pt>
                <c:pt idx="13">
                  <c:v>54.892250971439623</c:v>
                </c:pt>
              </c:numCache>
            </c:numRef>
          </c:xVal>
          <c:yVal>
            <c:numRef>
              <c:f>'h=1500m'!$M$22:$M$36</c:f>
              <c:numCache>
                <c:formatCode>0.00</c:formatCode>
                <c:ptCount val="15"/>
                <c:pt idx="0">
                  <c:v>2.3538124650194172</c:v>
                </c:pt>
                <c:pt idx="1">
                  <c:v>2.66496216541077</c:v>
                </c:pt>
                <c:pt idx="2">
                  <c:v>2.7948087743598475</c:v>
                </c:pt>
                <c:pt idx="3">
                  <c:v>2.7841479432961243</c:v>
                </c:pt>
                <c:pt idx="4">
                  <c:v>2.8684435778936512</c:v>
                </c:pt>
                <c:pt idx="5">
                  <c:v>2.7948781963126605</c:v>
                </c:pt>
                <c:pt idx="6">
                  <c:v>2.5438158835310869</c:v>
                </c:pt>
                <c:pt idx="7">
                  <c:v>2.1425537475895222</c:v>
                </c:pt>
                <c:pt idx="8">
                  <c:v>1.4527180488874611</c:v>
                </c:pt>
                <c:pt idx="9">
                  <c:v>0.71548233955866147</c:v>
                </c:pt>
                <c:pt idx="10">
                  <c:v>-1.0335766629344059</c:v>
                </c:pt>
                <c:pt idx="11">
                  <c:v>-2.7161364962071048</c:v>
                </c:pt>
                <c:pt idx="12">
                  <c:v>-5.6567097413036027</c:v>
                </c:pt>
                <c:pt idx="13">
                  <c:v>-9.6663581339548887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65-41D5-B181-A40785EC3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'h=2000m'!$I$3:$I$17</c:f>
              <c:numCache>
                <c:formatCode>0.0</c:formatCode>
                <c:ptCount val="15"/>
                <c:pt idx="0">
                  <c:v>21.939776241582344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'h=2000m'!$L$3:$L$17</c:f>
              <c:numCache>
                <c:formatCode>0.00</c:formatCode>
                <c:ptCount val="15"/>
                <c:pt idx="0">
                  <c:v>10.563593203655763</c:v>
                </c:pt>
                <c:pt idx="1">
                  <c:v>9.3255045100133973</c:v>
                </c:pt>
                <c:pt idx="2">
                  <c:v>8.2914324354494795</c:v>
                </c:pt>
                <c:pt idx="3">
                  <c:v>6.5558281774451297</c:v>
                </c:pt>
                <c:pt idx="4">
                  <c:v>5.164925718391693</c:v>
                </c:pt>
                <c:pt idx="5">
                  <c:v>4.0344043607037001</c:v>
                </c:pt>
                <c:pt idx="6">
                  <c:v>2.6974011052016955</c:v>
                </c:pt>
                <c:pt idx="7">
                  <c:v>1.6728052152893969</c:v>
                </c:pt>
                <c:pt idx="8">
                  <c:v>0.87073151273854654</c:v>
                </c:pt>
                <c:pt idx="9">
                  <c:v>0.23052816211913635</c:v>
                </c:pt>
                <c:pt idx="10">
                  <c:v>-0.12871762922944482</c:v>
                </c:pt>
                <c:pt idx="11">
                  <c:v>-0.44428244646117399</c:v>
                </c:pt>
                <c:pt idx="12">
                  <c:v>-0.72344270011394962</c:v>
                </c:pt>
                <c:pt idx="13">
                  <c:v>-0.97293294339655256</c:v>
                </c:pt>
                <c:pt idx="14">
                  <c:v>-1.1954183015044391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40-4DE1-88E0-B3E22CA82574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'h=2000m'!$I$3:$I$17</c:f>
              <c:numCache>
                <c:formatCode>0.0</c:formatCode>
                <c:ptCount val="15"/>
                <c:pt idx="0">
                  <c:v>21.939776241582344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'h=2000m'!$M$3:$M$17</c:f>
              <c:numCache>
                <c:formatCode>0.00</c:formatCode>
                <c:ptCount val="15"/>
                <c:pt idx="0">
                  <c:v>2.179007503454172</c:v>
                </c:pt>
                <c:pt idx="1">
                  <c:v>2.2423006171711815</c:v>
                </c:pt>
                <c:pt idx="2">
                  <c:v>2.3789063064175195</c:v>
                </c:pt>
                <c:pt idx="3">
                  <c:v>2.4620001509201823</c:v>
                </c:pt>
                <c:pt idx="4">
                  <c:v>2.3954733812170077</c:v>
                </c:pt>
                <c:pt idx="5">
                  <c:v>2.1761870920818187</c:v>
                </c:pt>
                <c:pt idx="6">
                  <c:v>1.732745141086486</c:v>
                </c:pt>
                <c:pt idx="7">
                  <c:v>1.166448012800348</c:v>
                </c:pt>
                <c:pt idx="8">
                  <c:v>0.49822508982636193</c:v>
                </c:pt>
                <c:pt idx="9">
                  <c:v>-0.69755312889024712</c:v>
                </c:pt>
                <c:pt idx="10">
                  <c:v>-1.884439779368124</c:v>
                </c:pt>
                <c:pt idx="11">
                  <c:v>-3.0654822173830154</c:v>
                </c:pt>
                <c:pt idx="12">
                  <c:v>-4.3303607687404506</c:v>
                </c:pt>
                <c:pt idx="13">
                  <c:v>-5.8267099028820715</c:v>
                </c:pt>
                <c:pt idx="14">
                  <c:v>-7.2367596163515806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40-4DE1-88E0-B3E22CA82574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'h=2000m'!$H$22:$H$36</c:f>
              <c:numCache>
                <c:formatCode>0.0</c:formatCode>
                <c:ptCount val="15"/>
                <c:pt idx="0">
                  <c:v>21.939776241582344</c:v>
                </c:pt>
                <c:pt idx="1">
                  <c:v>22.76275386250164</c:v>
                </c:pt>
                <c:pt idx="2">
                  <c:v>23.643592633453782</c:v>
                </c:pt>
                <c:pt idx="3">
                  <c:v>24.617375202831795</c:v>
                </c:pt>
                <c:pt idx="4">
                  <c:v>27.041637338861314</c:v>
                </c:pt>
                <c:pt idx="5">
                  <c:v>28.540996334047602</c:v>
                </c:pt>
                <c:pt idx="6">
                  <c:v>30.325753894958975</c:v>
                </c:pt>
                <c:pt idx="7">
                  <c:v>32.466156190594809</c:v>
                </c:pt>
                <c:pt idx="8">
                  <c:v>35.353257657525099</c:v>
                </c:pt>
                <c:pt idx="9">
                  <c:v>38.740576460862172</c:v>
                </c:pt>
                <c:pt idx="10">
                  <c:v>43.676255059342601</c:v>
                </c:pt>
                <c:pt idx="11">
                  <c:v>46.603183719941597</c:v>
                </c:pt>
                <c:pt idx="12">
                  <c:v>50.990200364523147</c:v>
                </c:pt>
                <c:pt idx="13">
                  <c:v>56.282201797337187</c:v>
                </c:pt>
              </c:numCache>
            </c:numRef>
          </c:xVal>
          <c:yVal>
            <c:numRef>
              <c:f>'h=2000m'!$N$22:$N$36</c:f>
              <c:numCache>
                <c:formatCode>0.00</c:formatCode>
                <c:ptCount val="15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  <c:pt idx="13">
                  <c:v>-1.3260000000000001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40-4DE1-88E0-B3E22CA82574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'h=2000m'!$H$22:$H$36</c:f>
              <c:numCache>
                <c:formatCode>0.0</c:formatCode>
                <c:ptCount val="15"/>
                <c:pt idx="0">
                  <c:v>21.939776241582344</c:v>
                </c:pt>
                <c:pt idx="1">
                  <c:v>22.76275386250164</c:v>
                </c:pt>
                <c:pt idx="2">
                  <c:v>23.643592633453782</c:v>
                </c:pt>
                <c:pt idx="3">
                  <c:v>24.617375202831795</c:v>
                </c:pt>
                <c:pt idx="4">
                  <c:v>27.041637338861314</c:v>
                </c:pt>
                <c:pt idx="5">
                  <c:v>28.540996334047602</c:v>
                </c:pt>
                <c:pt idx="6">
                  <c:v>30.325753894958975</c:v>
                </c:pt>
                <c:pt idx="7">
                  <c:v>32.466156190594809</c:v>
                </c:pt>
                <c:pt idx="8">
                  <c:v>35.353257657525099</c:v>
                </c:pt>
                <c:pt idx="9">
                  <c:v>38.740576460862172</c:v>
                </c:pt>
                <c:pt idx="10">
                  <c:v>43.676255059342601</c:v>
                </c:pt>
                <c:pt idx="11">
                  <c:v>46.603183719941597</c:v>
                </c:pt>
                <c:pt idx="12">
                  <c:v>50.990200364523147</c:v>
                </c:pt>
                <c:pt idx="13">
                  <c:v>56.282201797337187</c:v>
                </c:pt>
              </c:numCache>
            </c:numRef>
          </c:xVal>
          <c:yVal>
            <c:numRef>
              <c:f>'h=2000m'!$M$22:$M$36</c:f>
              <c:numCache>
                <c:formatCode>0.00</c:formatCode>
                <c:ptCount val="15"/>
                <c:pt idx="0">
                  <c:v>1.5642698261801602</c:v>
                </c:pt>
                <c:pt idx="1">
                  <c:v>1.8739088286735428</c:v>
                </c:pt>
                <c:pt idx="2">
                  <c:v>2.0065272532344154</c:v>
                </c:pt>
                <c:pt idx="3">
                  <c:v>2.1483265222894738</c:v>
                </c:pt>
                <c:pt idx="4">
                  <c:v>2.2007648600610707</c:v>
                </c:pt>
                <c:pt idx="5">
                  <c:v>2.1540078448812148</c:v>
                </c:pt>
                <c:pt idx="6">
                  <c:v>1.8650527515121729</c:v>
                </c:pt>
                <c:pt idx="7">
                  <c:v>1.4050789466047533</c:v>
                </c:pt>
                <c:pt idx="8">
                  <c:v>0.85305594281592434</c:v>
                </c:pt>
                <c:pt idx="9">
                  <c:v>8.7814009297005557E-2</c:v>
                </c:pt>
                <c:pt idx="10">
                  <c:v>-1.76260227478785</c:v>
                </c:pt>
                <c:pt idx="11">
                  <c:v>-3.5114494716051015</c:v>
                </c:pt>
                <c:pt idx="12">
                  <c:v>-6.4020836939698871</c:v>
                </c:pt>
                <c:pt idx="13">
                  <c:v>-10.167162130813097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40-4DE1-88E0-B3E22CA82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6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'h=2000m'!$I$3:$I$17</c:f>
              <c:numCache>
                <c:formatCode>0.0</c:formatCode>
                <c:ptCount val="15"/>
                <c:pt idx="0">
                  <c:v>21.939776241582344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'h=2000m'!$N$3:$N$17</c:f>
              <c:numCache>
                <c:formatCode>0.00</c:formatCode>
                <c:ptCount val="15"/>
                <c:pt idx="0">
                  <c:v>0.83418733571115367</c:v>
                </c:pt>
                <c:pt idx="1">
                  <c:v>0.89988740679916635</c:v>
                </c:pt>
                <c:pt idx="2">
                  <c:v>0.99618766630046651</c:v>
                </c:pt>
                <c:pt idx="3">
                  <c:v>1.1168764510735445</c:v>
                </c:pt>
                <c:pt idx="4">
                  <c:v>1.1703081179196859</c:v>
                </c:pt>
                <c:pt idx="5">
                  <c:v>1.1391749543512684</c:v>
                </c:pt>
                <c:pt idx="6">
                  <c:v>0.99783744028880328</c:v>
                </c:pt>
                <c:pt idx="7">
                  <c:v>0.73285027592283325</c:v>
                </c:pt>
                <c:pt idx="8">
                  <c:v>0.33912678724403417</c:v>
                </c:pt>
                <c:pt idx="9">
                  <c:v>-0.51132051826978275</c:v>
                </c:pt>
                <c:pt idx="10">
                  <c:v>-1.446884973405735</c:v>
                </c:pt>
                <c:pt idx="11">
                  <c:v>-2.4599528482552677</c:v>
                </c:pt>
                <c:pt idx="12">
                  <c:v>-3.6243417632744346</c:v>
                </c:pt>
                <c:pt idx="13">
                  <c:v>-5.0760037722083862</c:v>
                </c:pt>
                <c:pt idx="14">
                  <c:v>-6.5504257021762102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2-4A9A-BAA3-A39CFD612A8B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'h=2000m'!$H$24:$H$36</c:f>
              <c:numCache>
                <c:formatCode>0.0</c:formatCode>
                <c:ptCount val="13"/>
                <c:pt idx="0">
                  <c:v>23.643592633453782</c:v>
                </c:pt>
                <c:pt idx="1">
                  <c:v>24.617375202831795</c:v>
                </c:pt>
                <c:pt idx="2">
                  <c:v>27.041637338861314</c:v>
                </c:pt>
                <c:pt idx="3">
                  <c:v>28.540996334047602</c:v>
                </c:pt>
                <c:pt idx="4">
                  <c:v>30.325753894958975</c:v>
                </c:pt>
                <c:pt idx="5">
                  <c:v>32.466156190594809</c:v>
                </c:pt>
                <c:pt idx="6">
                  <c:v>35.353257657525099</c:v>
                </c:pt>
                <c:pt idx="7">
                  <c:v>38.740576460862172</c:v>
                </c:pt>
                <c:pt idx="8">
                  <c:v>43.676255059342601</c:v>
                </c:pt>
                <c:pt idx="9">
                  <c:v>46.603183719941597</c:v>
                </c:pt>
                <c:pt idx="10">
                  <c:v>50.990200364523147</c:v>
                </c:pt>
                <c:pt idx="11">
                  <c:v>56.282201797337187</c:v>
                </c:pt>
              </c:numCache>
            </c:numRef>
          </c:xVal>
          <c:yVal>
            <c:numRef>
              <c:f>'h=2000m'!$L$24:$L$36</c:f>
              <c:numCache>
                <c:formatCode>0.00</c:formatCode>
                <c:ptCount val="13"/>
                <c:pt idx="0">
                  <c:v>0.82784136374227735</c:v>
                </c:pt>
                <c:pt idx="1">
                  <c:v>0.92282135340223881</c:v>
                </c:pt>
                <c:pt idx="2">
                  <c:v>1.0384299330503453</c:v>
                </c:pt>
                <c:pt idx="3">
                  <c:v>1.0727325820445985</c:v>
                </c:pt>
                <c:pt idx="4">
                  <c:v>0.98696873530863116</c:v>
                </c:pt>
                <c:pt idx="5">
                  <c:v>0.7960959907787889</c:v>
                </c:pt>
                <c:pt idx="6">
                  <c:v>0.5263422996487489</c:v>
                </c:pt>
                <c:pt idx="7">
                  <c:v>5.9375473002536157E-2</c:v>
                </c:pt>
                <c:pt idx="8">
                  <c:v>-1.3434100233175001</c:v>
                </c:pt>
                <c:pt idx="9">
                  <c:v>-2.854351636475815</c:v>
                </c:pt>
                <c:pt idx="10">
                  <c:v>-5.6856660041866585</c:v>
                </c:pt>
                <c:pt idx="11">
                  <c:v>-9.9349702978649201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52-4A9A-BAA3-A39CFD61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'h=2000m'!$I$3:$I$17</c:f>
              <c:numCache>
                <c:formatCode>0.0</c:formatCode>
                <c:ptCount val="15"/>
                <c:pt idx="0">
                  <c:v>21.939776241582344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'h=2000m'!$M$3:$M$17</c:f>
              <c:numCache>
                <c:formatCode>0.00</c:formatCode>
                <c:ptCount val="15"/>
                <c:pt idx="0">
                  <c:v>2.179007503454172</c:v>
                </c:pt>
                <c:pt idx="1">
                  <c:v>2.2423006171711815</c:v>
                </c:pt>
                <c:pt idx="2">
                  <c:v>2.3789063064175195</c:v>
                </c:pt>
                <c:pt idx="3">
                  <c:v>2.4620001509201823</c:v>
                </c:pt>
                <c:pt idx="4">
                  <c:v>2.3954733812170077</c:v>
                </c:pt>
                <c:pt idx="5">
                  <c:v>2.1761870920818187</c:v>
                </c:pt>
                <c:pt idx="6">
                  <c:v>1.732745141086486</c:v>
                </c:pt>
                <c:pt idx="7">
                  <c:v>1.166448012800348</c:v>
                </c:pt>
                <c:pt idx="8">
                  <c:v>0.49822508982636193</c:v>
                </c:pt>
                <c:pt idx="9">
                  <c:v>-0.69755312889024712</c:v>
                </c:pt>
                <c:pt idx="10">
                  <c:v>-1.884439779368124</c:v>
                </c:pt>
                <c:pt idx="11">
                  <c:v>-3.0654822173830154</c:v>
                </c:pt>
                <c:pt idx="12">
                  <c:v>-4.3303607687404506</c:v>
                </c:pt>
                <c:pt idx="13">
                  <c:v>-5.8267099028820715</c:v>
                </c:pt>
                <c:pt idx="14">
                  <c:v>-7.2367596163515806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4-46C1-A366-755039660F72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'h=2000m'!$H$22:$H$36</c:f>
              <c:numCache>
                <c:formatCode>0.0</c:formatCode>
                <c:ptCount val="15"/>
                <c:pt idx="0">
                  <c:v>21.939776241582344</c:v>
                </c:pt>
                <c:pt idx="1">
                  <c:v>22.76275386250164</c:v>
                </c:pt>
                <c:pt idx="2">
                  <c:v>23.643592633453782</c:v>
                </c:pt>
                <c:pt idx="3">
                  <c:v>24.617375202831795</c:v>
                </c:pt>
                <c:pt idx="4">
                  <c:v>27.041637338861314</c:v>
                </c:pt>
                <c:pt idx="5">
                  <c:v>28.540996334047602</c:v>
                </c:pt>
                <c:pt idx="6">
                  <c:v>30.325753894958975</c:v>
                </c:pt>
                <c:pt idx="7">
                  <c:v>32.466156190594809</c:v>
                </c:pt>
                <c:pt idx="8">
                  <c:v>35.353257657525099</c:v>
                </c:pt>
                <c:pt idx="9">
                  <c:v>38.740576460862172</c:v>
                </c:pt>
                <c:pt idx="10">
                  <c:v>43.676255059342601</c:v>
                </c:pt>
                <c:pt idx="11">
                  <c:v>46.603183719941597</c:v>
                </c:pt>
                <c:pt idx="12">
                  <c:v>50.990200364523147</c:v>
                </c:pt>
                <c:pt idx="13">
                  <c:v>56.282201797337187</c:v>
                </c:pt>
              </c:numCache>
            </c:numRef>
          </c:xVal>
          <c:yVal>
            <c:numRef>
              <c:f>'h=2000m'!$M$22:$M$36</c:f>
              <c:numCache>
                <c:formatCode>0.00</c:formatCode>
                <c:ptCount val="15"/>
                <c:pt idx="0">
                  <c:v>1.5642698261801602</c:v>
                </c:pt>
                <c:pt idx="1">
                  <c:v>1.8739088286735428</c:v>
                </c:pt>
                <c:pt idx="2">
                  <c:v>2.0065272532344154</c:v>
                </c:pt>
                <c:pt idx="3">
                  <c:v>2.1483265222894738</c:v>
                </c:pt>
                <c:pt idx="4">
                  <c:v>2.2007648600610707</c:v>
                </c:pt>
                <c:pt idx="5">
                  <c:v>2.1540078448812148</c:v>
                </c:pt>
                <c:pt idx="6">
                  <c:v>1.8650527515121729</c:v>
                </c:pt>
                <c:pt idx="7">
                  <c:v>1.4050789466047533</c:v>
                </c:pt>
                <c:pt idx="8">
                  <c:v>0.85305594281592434</c:v>
                </c:pt>
                <c:pt idx="9">
                  <c:v>8.7814009297005557E-2</c:v>
                </c:pt>
                <c:pt idx="10">
                  <c:v>-1.76260227478785</c:v>
                </c:pt>
                <c:pt idx="11">
                  <c:v>-3.5114494716051015</c:v>
                </c:pt>
                <c:pt idx="12">
                  <c:v>-6.4020836939698871</c:v>
                </c:pt>
                <c:pt idx="13">
                  <c:v>-10.167162130813097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64-46C1-A366-75503966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'h=2500m'!$I$3:$I$17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'h=2500m'!$L$3:$L$17</c:f>
              <c:numCache>
                <c:formatCode>0.00</c:formatCode>
                <c:ptCount val="15"/>
                <c:pt idx="0">
                  <c:v>10.59913660626809</c:v>
                </c:pt>
                <c:pt idx="1">
                  <c:v>10.009839425575734</c:v>
                </c:pt>
                <c:pt idx="2">
                  <c:v>8.9232126064814778</c:v>
                </c:pt>
                <c:pt idx="3">
                  <c:v>7.0924245157980073</c:v>
                </c:pt>
                <c:pt idx="4">
                  <c:v>5.6293147405358592</c:v>
                </c:pt>
                <c:pt idx="5">
                  <c:v>4.4397237582292517</c:v>
                </c:pt>
                <c:pt idx="6">
                  <c:v>3.0327112071884721</c:v>
                </c:pt>
                <c:pt idx="7">
                  <c:v>1.9549519154761223</c:v>
                </c:pt>
                <c:pt idx="8">
                  <c:v>1.1113963895071846</c:v>
                </c:pt>
                <c:pt idx="9">
                  <c:v>0.43832911704172084</c:v>
                </c:pt>
                <c:pt idx="10">
                  <c:v>6.0815983393000018E-2</c:v>
                </c:pt>
                <c:pt idx="11">
                  <c:v>-0.27065445010841976</c:v>
                </c:pt>
                <c:pt idx="12">
                  <c:v>-0.56388358215400702</c:v>
                </c:pt>
                <c:pt idx="13">
                  <c:v>-0.82562939965982141</c:v>
                </c:pt>
                <c:pt idx="14">
                  <c:v>-1.0592432064234609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1B-4E83-BC02-7DA958F6F4DD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'h=2500m'!$I$3:$I$17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'h=2500m'!$M$3:$M$17</c:f>
              <c:numCache>
                <c:formatCode>0.00</c:formatCode>
                <c:ptCount val="15"/>
                <c:pt idx="0">
                  <c:v>1.4394314663193724</c:v>
                </c:pt>
                <c:pt idx="1">
                  <c:v>1.4517475552957535</c:v>
                </c:pt>
                <c:pt idx="2">
                  <c:v>1.5790731298672915</c:v>
                </c:pt>
                <c:pt idx="3">
                  <c:v>1.8677349936591714</c:v>
                </c:pt>
                <c:pt idx="4">
                  <c:v>1.8487205649619027</c:v>
                </c:pt>
                <c:pt idx="5">
                  <c:v>1.6901143227990452</c:v>
                </c:pt>
                <c:pt idx="6">
                  <c:v>1.3679141353868816</c:v>
                </c:pt>
                <c:pt idx="7">
                  <c:v>0.88041024083984887</c:v>
                </c:pt>
                <c:pt idx="8">
                  <c:v>0.28603124055070206</c:v>
                </c:pt>
                <c:pt idx="9">
                  <c:v>-0.79013661004294033</c:v>
                </c:pt>
                <c:pt idx="10">
                  <c:v>-1.9252154415399172</c:v>
                </c:pt>
                <c:pt idx="11">
                  <c:v>-3.0441046550258171</c:v>
                </c:pt>
                <c:pt idx="12">
                  <c:v>-4.2694780802358201</c:v>
                </c:pt>
                <c:pt idx="13">
                  <c:v>-5.6946957095241126</c:v>
                </c:pt>
                <c:pt idx="14">
                  <c:v>-7.074313905460067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1B-4E83-BC02-7DA958F6F4DD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'h=2500m'!$H$22:$H$36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23.346080380937142</c:v>
                </c:pt>
                <c:pt idx="2">
                  <c:v>24.249491843078857</c:v>
                </c:pt>
                <c:pt idx="3">
                  <c:v>25.248228914857581</c:v>
                </c:pt>
                <c:pt idx="4">
                  <c:v>27.734616064412577</c:v>
                </c:pt>
                <c:pt idx="5">
                  <c:v>29.272398172541617</c:v>
                </c:pt>
                <c:pt idx="6">
                  <c:v>31.10289257270129</c:v>
                </c:pt>
                <c:pt idx="7">
                  <c:v>33.298145587485891</c:v>
                </c:pt>
                <c:pt idx="8">
                  <c:v>36.259232955122549</c:v>
                </c:pt>
                <c:pt idx="9">
                  <c:v>39.73335640856115</c:v>
                </c:pt>
                <c:pt idx="10">
                  <c:v>44.79551848221157</c:v>
                </c:pt>
                <c:pt idx="11">
                  <c:v>47.797453669508066</c:v>
                </c:pt>
                <c:pt idx="12">
                  <c:v>52.296893580670641</c:v>
                </c:pt>
                <c:pt idx="13">
                  <c:v>57.724509745779635</c:v>
                </c:pt>
              </c:numCache>
            </c:numRef>
          </c:xVal>
          <c:yVal>
            <c:numRef>
              <c:f>'h=2500m'!$N$22:$N$36</c:f>
              <c:numCache>
                <c:formatCode>0.00</c:formatCode>
                <c:ptCount val="15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  <c:pt idx="13">
                  <c:v>-1.3260000000000001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1B-4E83-BC02-7DA958F6F4DD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'h=2500m'!$H$22:$H$36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23.346080380937142</c:v>
                </c:pt>
                <c:pt idx="2">
                  <c:v>24.249491843078857</c:v>
                </c:pt>
                <c:pt idx="3">
                  <c:v>25.248228914857581</c:v>
                </c:pt>
                <c:pt idx="4">
                  <c:v>27.734616064412577</c:v>
                </c:pt>
                <c:pt idx="5">
                  <c:v>29.272398172541617</c:v>
                </c:pt>
                <c:pt idx="6">
                  <c:v>31.10289257270129</c:v>
                </c:pt>
                <c:pt idx="7">
                  <c:v>33.298145587485891</c:v>
                </c:pt>
                <c:pt idx="8">
                  <c:v>36.259232955122549</c:v>
                </c:pt>
                <c:pt idx="9">
                  <c:v>39.73335640856115</c:v>
                </c:pt>
                <c:pt idx="10">
                  <c:v>44.79551848221157</c:v>
                </c:pt>
                <c:pt idx="11">
                  <c:v>47.797453669508066</c:v>
                </c:pt>
                <c:pt idx="12">
                  <c:v>52.296893580670641</c:v>
                </c:pt>
                <c:pt idx="13">
                  <c:v>57.724509745779635</c:v>
                </c:pt>
              </c:numCache>
            </c:numRef>
          </c:xVal>
          <c:yVal>
            <c:numRef>
              <c:f>'h=2500m'!$M$22:$M$36</c:f>
              <c:numCache>
                <c:formatCode>0.00</c:formatCode>
                <c:ptCount val="15"/>
                <c:pt idx="0">
                  <c:v>0.96471218793040803</c:v>
                </c:pt>
                <c:pt idx="1">
                  <c:v>1.1793876869386577</c:v>
                </c:pt>
                <c:pt idx="2">
                  <c:v>1.291203067581987</c:v>
                </c:pt>
                <c:pt idx="3">
                  <c:v>1.454531032595646</c:v>
                </c:pt>
                <c:pt idx="4">
                  <c:v>1.5952149133437765</c:v>
                </c:pt>
                <c:pt idx="5">
                  <c:v>1.5372418688427005</c:v>
                </c:pt>
                <c:pt idx="6">
                  <c:v>1.3275702046823772</c:v>
                </c:pt>
                <c:pt idx="7">
                  <c:v>0.92764969360679783</c:v>
                </c:pt>
                <c:pt idx="8">
                  <c:v>0.43140722246114394</c:v>
                </c:pt>
                <c:pt idx="9">
                  <c:v>-0.39982345696674587</c:v>
                </c:pt>
                <c:pt idx="10">
                  <c:v>-2.4395204288136205</c:v>
                </c:pt>
                <c:pt idx="11">
                  <c:v>-4.166119885686201</c:v>
                </c:pt>
                <c:pt idx="12">
                  <c:v>-7.2049488160143662</c:v>
                </c:pt>
                <c:pt idx="13">
                  <c:v>-10.890685916623209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1B-4E83-BC02-7DA958F6F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4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'h=2500m'!$I$3:$I$17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'h=2500m'!$N$3:$N$17</c:f>
              <c:numCache>
                <c:formatCode>0.00</c:formatCode>
                <c:ptCount val="15"/>
                <c:pt idx="0">
                  <c:v>0.56525451818308226</c:v>
                </c:pt>
                <c:pt idx="1">
                  <c:v>0.5827064646600324</c:v>
                </c:pt>
                <c:pt idx="2">
                  <c:v>0.6613568756639272</c:v>
                </c:pt>
                <c:pt idx="3">
                  <c:v>0.84740115635895297</c:v>
                </c:pt>
                <c:pt idx="4">
                  <c:v>0.90329854448473157</c:v>
                </c:pt>
                <c:pt idx="5">
                  <c:v>0.88481345907406539</c:v>
                </c:pt>
                <c:pt idx="6">
                  <c:v>0.78778713871959027</c:v>
                </c:pt>
                <c:pt idx="7">
                  <c:v>0.55315630020399409</c:v>
                </c:pt>
                <c:pt idx="8">
                  <c:v>0.19469448083971289</c:v>
                </c:pt>
                <c:pt idx="9">
                  <c:v>-0.57918202789898809</c:v>
                </c:pt>
                <c:pt idx="10">
                  <c:v>-1.4781811301375773</c:v>
                </c:pt>
                <c:pt idx="11">
                  <c:v>-2.442814229446761</c:v>
                </c:pt>
                <c:pt idx="12">
                  <c:v>-3.5734803705965441</c:v>
                </c:pt>
                <c:pt idx="13">
                  <c:v>-4.9613814863509367</c:v>
                </c:pt>
                <c:pt idx="14">
                  <c:v>-6.4041429430346968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1-4517-869C-536FE6603DD6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'h=2500m'!$H$24:$H$36</c:f>
              <c:numCache>
                <c:formatCode>0.0</c:formatCode>
                <c:ptCount val="13"/>
                <c:pt idx="0">
                  <c:v>24.249491843078857</c:v>
                </c:pt>
                <c:pt idx="1">
                  <c:v>25.248228914857581</c:v>
                </c:pt>
                <c:pt idx="2">
                  <c:v>27.734616064412577</c:v>
                </c:pt>
                <c:pt idx="3">
                  <c:v>29.272398172541617</c:v>
                </c:pt>
                <c:pt idx="4">
                  <c:v>31.10289257270129</c:v>
                </c:pt>
                <c:pt idx="5">
                  <c:v>33.298145587485891</c:v>
                </c:pt>
                <c:pt idx="6">
                  <c:v>36.259232955122549</c:v>
                </c:pt>
                <c:pt idx="7">
                  <c:v>39.73335640856115</c:v>
                </c:pt>
                <c:pt idx="8">
                  <c:v>44.79551848221157</c:v>
                </c:pt>
                <c:pt idx="9">
                  <c:v>47.797453669508066</c:v>
                </c:pt>
                <c:pt idx="10">
                  <c:v>52.296893580670641</c:v>
                </c:pt>
                <c:pt idx="11">
                  <c:v>57.724509745779635</c:v>
                </c:pt>
              </c:numCache>
            </c:numRef>
          </c:xVal>
          <c:yVal>
            <c:numRef>
              <c:f>'h=2500m'!$L$24:$L$36</c:f>
              <c:numCache>
                <c:formatCode>0.00</c:formatCode>
                <c:ptCount val="13"/>
                <c:pt idx="0">
                  <c:v>0.54643410597718367</c:v>
                </c:pt>
                <c:pt idx="1">
                  <c:v>0.64089167317738716</c:v>
                </c:pt>
                <c:pt idx="2">
                  <c:v>0.77208055946519416</c:v>
                </c:pt>
                <c:pt idx="3">
                  <c:v>0.7852822312357477</c:v>
                </c:pt>
                <c:pt idx="4">
                  <c:v>0.72060419161129585</c:v>
                </c:pt>
                <c:pt idx="5">
                  <c:v>0.53909145357337851</c:v>
                </c:pt>
                <c:pt idx="6">
                  <c:v>0.27301046094014203</c:v>
                </c:pt>
                <c:pt idx="7">
                  <c:v>-0.27726647789144515</c:v>
                </c:pt>
                <c:pt idx="8">
                  <c:v>-1.9067122976084077</c:v>
                </c:pt>
                <c:pt idx="9">
                  <c:v>-3.4724110575476468</c:v>
                </c:pt>
                <c:pt idx="10">
                  <c:v>-6.5590201816895588</c:v>
                </c:pt>
                <c:pt idx="11">
                  <c:v>-10.906227114634833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81-4517-869C-536FE6603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'h=2500m'!$I$3:$I$17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'h=2500m'!$M$3:$M$17</c:f>
              <c:numCache>
                <c:formatCode>0.00</c:formatCode>
                <c:ptCount val="15"/>
                <c:pt idx="0">
                  <c:v>1.4394314663193724</c:v>
                </c:pt>
                <c:pt idx="1">
                  <c:v>1.4517475552957535</c:v>
                </c:pt>
                <c:pt idx="2">
                  <c:v>1.5790731298672915</c:v>
                </c:pt>
                <c:pt idx="3">
                  <c:v>1.8677349936591714</c:v>
                </c:pt>
                <c:pt idx="4">
                  <c:v>1.8487205649619027</c:v>
                </c:pt>
                <c:pt idx="5">
                  <c:v>1.6901143227990452</c:v>
                </c:pt>
                <c:pt idx="6">
                  <c:v>1.3679141353868816</c:v>
                </c:pt>
                <c:pt idx="7">
                  <c:v>0.88041024083984887</c:v>
                </c:pt>
                <c:pt idx="8">
                  <c:v>0.28603124055070206</c:v>
                </c:pt>
                <c:pt idx="9">
                  <c:v>-0.79013661004294033</c:v>
                </c:pt>
                <c:pt idx="10">
                  <c:v>-1.9252154415399172</c:v>
                </c:pt>
                <c:pt idx="11">
                  <c:v>-3.0441046550258171</c:v>
                </c:pt>
                <c:pt idx="12">
                  <c:v>-4.2694780802358201</c:v>
                </c:pt>
                <c:pt idx="13">
                  <c:v>-5.6946957095241126</c:v>
                </c:pt>
                <c:pt idx="14">
                  <c:v>-7.074313905460067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A-4C67-BC9D-086B3BB0EE59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'h=2500m'!$H$22:$H$36</c:f>
              <c:numCache>
                <c:formatCode>0.0</c:formatCode>
                <c:ptCount val="15"/>
                <c:pt idx="0">
                  <c:v>22.502012839472162</c:v>
                </c:pt>
                <c:pt idx="1">
                  <c:v>23.346080380937142</c:v>
                </c:pt>
                <c:pt idx="2">
                  <c:v>24.249491843078857</c:v>
                </c:pt>
                <c:pt idx="3">
                  <c:v>25.248228914857581</c:v>
                </c:pt>
                <c:pt idx="4">
                  <c:v>27.734616064412577</c:v>
                </c:pt>
                <c:pt idx="5">
                  <c:v>29.272398172541617</c:v>
                </c:pt>
                <c:pt idx="6">
                  <c:v>31.10289257270129</c:v>
                </c:pt>
                <c:pt idx="7">
                  <c:v>33.298145587485891</c:v>
                </c:pt>
                <c:pt idx="8">
                  <c:v>36.259232955122549</c:v>
                </c:pt>
                <c:pt idx="9">
                  <c:v>39.73335640856115</c:v>
                </c:pt>
                <c:pt idx="10">
                  <c:v>44.79551848221157</c:v>
                </c:pt>
                <c:pt idx="11">
                  <c:v>47.797453669508066</c:v>
                </c:pt>
                <c:pt idx="12">
                  <c:v>52.296893580670641</c:v>
                </c:pt>
                <c:pt idx="13">
                  <c:v>57.724509745779635</c:v>
                </c:pt>
              </c:numCache>
            </c:numRef>
          </c:xVal>
          <c:yVal>
            <c:numRef>
              <c:f>'h=2500m'!$M$22:$M$36</c:f>
              <c:numCache>
                <c:formatCode>0.00</c:formatCode>
                <c:ptCount val="15"/>
                <c:pt idx="0">
                  <c:v>0.96471218793040803</c:v>
                </c:pt>
                <c:pt idx="1">
                  <c:v>1.1793876869386577</c:v>
                </c:pt>
                <c:pt idx="2">
                  <c:v>1.291203067581987</c:v>
                </c:pt>
                <c:pt idx="3">
                  <c:v>1.454531032595646</c:v>
                </c:pt>
                <c:pt idx="4">
                  <c:v>1.5952149133437765</c:v>
                </c:pt>
                <c:pt idx="5">
                  <c:v>1.5372418688427005</c:v>
                </c:pt>
                <c:pt idx="6">
                  <c:v>1.3275702046823772</c:v>
                </c:pt>
                <c:pt idx="7">
                  <c:v>0.92764969360679783</c:v>
                </c:pt>
                <c:pt idx="8">
                  <c:v>0.43140722246114394</c:v>
                </c:pt>
                <c:pt idx="9">
                  <c:v>-0.39982345696674587</c:v>
                </c:pt>
                <c:pt idx="10">
                  <c:v>-2.4395204288136205</c:v>
                </c:pt>
                <c:pt idx="11">
                  <c:v>-4.166119885686201</c:v>
                </c:pt>
                <c:pt idx="12">
                  <c:v>-7.2049488160143662</c:v>
                </c:pt>
                <c:pt idx="13">
                  <c:v>-10.890685916623209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7A-4C67-BC9D-086B3BB0E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'h=3000m'!$I$3:$I$17</c:f>
              <c:numCache>
                <c:formatCode>0.0</c:formatCode>
                <c:ptCount val="15"/>
                <c:pt idx="0">
                  <c:v>23.085686081940391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'h=3000m'!$L$3:$L$17</c:f>
              <c:numCache>
                <c:formatCode>0.00</c:formatCode>
                <c:ptCount val="15"/>
                <c:pt idx="0">
                  <c:v>10.63028138900046</c:v>
                </c:pt>
                <c:pt idx="1">
                  <c:v>10.142884733065442</c:v>
                </c:pt>
                <c:pt idx="2">
                  <c:v>9.5898759202851274</c:v>
                </c:pt>
                <c:pt idx="3">
                  <c:v>7.6661891926464332</c:v>
                </c:pt>
                <c:pt idx="4">
                  <c:v>6.1243224031284047</c:v>
                </c:pt>
                <c:pt idx="5">
                  <c:v>4.8723151344748867</c:v>
                </c:pt>
                <c:pt idx="6">
                  <c:v>3.3910115091041089</c:v>
                </c:pt>
                <c:pt idx="7">
                  <c:v>2.2558853053476828</c:v>
                </c:pt>
                <c:pt idx="8">
                  <c:v>1.3676623208795544</c:v>
                </c:pt>
                <c:pt idx="9">
                  <c:v>0.65942596403937404</c:v>
                </c:pt>
                <c:pt idx="10">
                  <c:v>0.26277494159124948</c:v>
                </c:pt>
                <c:pt idx="11">
                  <c:v>-8.5375625287868337E-2</c:v>
                </c:pt>
                <c:pt idx="12">
                  <c:v>-0.39411725061491165</c:v>
                </c:pt>
                <c:pt idx="13">
                  <c:v>-0.66823272147499868</c:v>
                </c:pt>
                <c:pt idx="14">
                  <c:v>-0.91357460345379682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90-4677-839C-11902888BD13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'h=3000m'!$I$3:$I$17</c:f>
              <c:numCache>
                <c:formatCode>0.0</c:formatCode>
                <c:ptCount val="15"/>
                <c:pt idx="0">
                  <c:v>23.085686081940391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'h=3000m'!$M$3:$M$17</c:f>
              <c:numCache>
                <c:formatCode>0.00</c:formatCode>
                <c:ptCount val="15"/>
                <c:pt idx="0">
                  <c:v>0.75274814952526414</c:v>
                </c:pt>
                <c:pt idx="1">
                  <c:v>0.87309676272482006</c:v>
                </c:pt>
                <c:pt idx="2">
                  <c:v>0.91229300978567185</c:v>
                </c:pt>
                <c:pt idx="3">
                  <c:v>1.1551987556857874</c:v>
                </c:pt>
                <c:pt idx="4">
                  <c:v>1.2476617233926519</c:v>
                </c:pt>
                <c:pt idx="5">
                  <c:v>1.1013621984976643</c:v>
                </c:pt>
                <c:pt idx="6">
                  <c:v>0.7996635608490793</c:v>
                </c:pt>
                <c:pt idx="7">
                  <c:v>0.40697162405669751</c:v>
                </c:pt>
                <c:pt idx="8">
                  <c:v>-8.4060542383982417E-3</c:v>
                </c:pt>
                <c:pt idx="9">
                  <c:v>-0.97307798739752371</c:v>
                </c:pt>
                <c:pt idx="10">
                  <c:v>-1.9257162302313922</c:v>
                </c:pt>
                <c:pt idx="11">
                  <c:v>-2.9413322013274628</c:v>
                </c:pt>
                <c:pt idx="12">
                  <c:v>-4.2388280991519967</c:v>
                </c:pt>
                <c:pt idx="13">
                  <c:v>-5.4910994120669034</c:v>
                </c:pt>
                <c:pt idx="14">
                  <c:v>-6.8349776371937541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90-4677-839C-11902888BD13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'h=3000m'!$H$22:$H$35</c:f>
              <c:numCache>
                <c:formatCode>0.0</c:formatCode>
                <c:ptCount val="14"/>
                <c:pt idx="0">
                  <c:v>23.085686081940391</c:v>
                </c:pt>
                <c:pt idx="1">
                  <c:v>23.951647648722293</c:v>
                </c:pt>
                <c:pt idx="2">
                  <c:v>24.87849244107997</c:v>
                </c:pt>
                <c:pt idx="3">
                  <c:v>25.90313546666011</c:v>
                </c:pt>
                <c:pt idx="4">
                  <c:v>28.454016297734412</c:v>
                </c:pt>
                <c:pt idx="5">
                  <c:v>30.031686493905372</c:v>
                </c:pt>
                <c:pt idx="6">
                  <c:v>31.909661562104972</c:v>
                </c:pt>
                <c:pt idx="7">
                  <c:v>34.161856613778376</c:v>
                </c:pt>
                <c:pt idx="8">
                  <c:v>37.199750775430736</c:v>
                </c:pt>
                <c:pt idx="9">
                  <c:v>40.763988518433983</c:v>
                </c:pt>
                <c:pt idx="10">
                  <c:v>45.957456558910806</c:v>
                </c:pt>
                <c:pt idx="11">
                  <c:v>49.037258080074793</c:v>
                </c:pt>
                <c:pt idx="12">
                  <c:v>53.653407669654776</c:v>
                </c:pt>
              </c:numCache>
            </c:numRef>
          </c:xVal>
          <c:yVal>
            <c:numRef>
              <c:f>'h=3000m'!$N$22:$N$35</c:f>
              <c:numCache>
                <c:formatCode>0.00</c:formatCode>
                <c:ptCount val="14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90-4677-839C-11902888BD13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'h=3000m'!$H$22:$H$35</c:f>
              <c:numCache>
                <c:formatCode>0.0</c:formatCode>
                <c:ptCount val="14"/>
                <c:pt idx="0">
                  <c:v>23.085686081940391</c:v>
                </c:pt>
                <c:pt idx="1">
                  <c:v>23.951647648722293</c:v>
                </c:pt>
                <c:pt idx="2">
                  <c:v>24.87849244107997</c:v>
                </c:pt>
                <c:pt idx="3">
                  <c:v>25.90313546666011</c:v>
                </c:pt>
                <c:pt idx="4">
                  <c:v>28.454016297734412</c:v>
                </c:pt>
                <c:pt idx="5">
                  <c:v>30.031686493905372</c:v>
                </c:pt>
                <c:pt idx="6">
                  <c:v>31.909661562104972</c:v>
                </c:pt>
                <c:pt idx="7">
                  <c:v>34.161856613778376</c:v>
                </c:pt>
                <c:pt idx="8">
                  <c:v>37.199750775430736</c:v>
                </c:pt>
                <c:pt idx="9">
                  <c:v>40.763988518433983</c:v>
                </c:pt>
                <c:pt idx="10">
                  <c:v>45.957456558910806</c:v>
                </c:pt>
                <c:pt idx="11">
                  <c:v>49.037258080074793</c:v>
                </c:pt>
                <c:pt idx="12">
                  <c:v>53.653407669654776</c:v>
                </c:pt>
              </c:numCache>
            </c:numRef>
          </c:xVal>
          <c:yVal>
            <c:numRef>
              <c:f>'h=3000m'!$M$22:$M$35</c:f>
              <c:numCache>
                <c:formatCode>0.00</c:formatCode>
                <c:ptCount val="14"/>
                <c:pt idx="0">
                  <c:v>0.34249650846083091</c:v>
                </c:pt>
                <c:pt idx="1">
                  <c:v>0.53293733815624655</c:v>
                </c:pt>
                <c:pt idx="2">
                  <c:v>0.72743858161963804</c:v>
                </c:pt>
                <c:pt idx="3">
                  <c:v>0.84697377637905513</c:v>
                </c:pt>
                <c:pt idx="4">
                  <c:v>1.0302653886904074</c:v>
                </c:pt>
                <c:pt idx="5">
                  <c:v>0.96072330279165563</c:v>
                </c:pt>
                <c:pt idx="6">
                  <c:v>0.66521741009484614</c:v>
                </c:pt>
                <c:pt idx="7">
                  <c:v>0.34693157817259457</c:v>
                </c:pt>
                <c:pt idx="8">
                  <c:v>-0.18292812924829777</c:v>
                </c:pt>
                <c:pt idx="9">
                  <c:v>-0.89504682995888929</c:v>
                </c:pt>
                <c:pt idx="10">
                  <c:v>-3.0107063353250108</c:v>
                </c:pt>
                <c:pt idx="11">
                  <c:v>-4.7098032429823817</c:v>
                </c:pt>
                <c:pt idx="12">
                  <c:v>-7.7506994533518698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90-4677-839C-11902888B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4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'h=3000m'!$I$3:$I$17</c:f>
              <c:numCache>
                <c:formatCode>0.0</c:formatCode>
                <c:ptCount val="15"/>
                <c:pt idx="0">
                  <c:v>23.085686081940391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'h=3000m'!$N$3:$N$17</c:f>
              <c:numCache>
                <c:formatCode>0.00</c:formatCode>
                <c:ptCount val="15"/>
                <c:pt idx="0">
                  <c:v>0.30328948688058455</c:v>
                </c:pt>
                <c:pt idx="1">
                  <c:v>0.35808885118895767</c:v>
                </c:pt>
                <c:pt idx="2">
                  <c:v>0.38212425541087819</c:v>
                </c:pt>
                <c:pt idx="3">
                  <c:v>0.52417705154124861</c:v>
                </c:pt>
                <c:pt idx="4">
                  <c:v>0.60967435487305721</c:v>
                </c:pt>
                <c:pt idx="5">
                  <c:v>0.57663638585085963</c:v>
                </c:pt>
                <c:pt idx="6">
                  <c:v>0.46055819503203177</c:v>
                </c:pt>
                <c:pt idx="7">
                  <c:v>0.25570566269205991</c:v>
                </c:pt>
                <c:pt idx="8">
                  <c:v>-5.7218195983628362E-3</c:v>
                </c:pt>
                <c:pt idx="9">
                  <c:v>-0.71326912992038838</c:v>
                </c:pt>
                <c:pt idx="10">
                  <c:v>-1.4785654911044752</c:v>
                </c:pt>
                <c:pt idx="11">
                  <c:v>-2.3604157567550725</c:v>
                </c:pt>
                <c:pt idx="12">
                  <c:v>-3.5478738485275549</c:v>
                </c:pt>
                <c:pt idx="13">
                  <c:v>-4.7845560987569735</c:v>
                </c:pt>
                <c:pt idx="14">
                  <c:v>-6.1885265914213479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1E-4F91-BCEB-A695E5BBAC5F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'h=3000m'!$H$24:$H$35</c:f>
              <c:numCache>
                <c:formatCode>0.0</c:formatCode>
                <c:ptCount val="12"/>
                <c:pt idx="0">
                  <c:v>24.87849244107997</c:v>
                </c:pt>
                <c:pt idx="1">
                  <c:v>25.90313546666011</c:v>
                </c:pt>
                <c:pt idx="2">
                  <c:v>28.454016297734412</c:v>
                </c:pt>
                <c:pt idx="3">
                  <c:v>30.031686493905372</c:v>
                </c:pt>
                <c:pt idx="4">
                  <c:v>31.909661562104972</c:v>
                </c:pt>
                <c:pt idx="5">
                  <c:v>34.161856613778376</c:v>
                </c:pt>
                <c:pt idx="6">
                  <c:v>37.199750775430736</c:v>
                </c:pt>
                <c:pt idx="7">
                  <c:v>40.763988518433983</c:v>
                </c:pt>
                <c:pt idx="8">
                  <c:v>45.957456558910806</c:v>
                </c:pt>
                <c:pt idx="9">
                  <c:v>49.037258080074793</c:v>
                </c:pt>
                <c:pt idx="10">
                  <c:v>53.653407669654776</c:v>
                </c:pt>
              </c:numCache>
            </c:numRef>
          </c:xVal>
          <c:yVal>
            <c:numRef>
              <c:f>'h=3000m'!$L$24:$L$35</c:f>
              <c:numCache>
                <c:formatCode>0.00</c:formatCode>
                <c:ptCount val="12"/>
                <c:pt idx="0">
                  <c:v>0.31585378905940575</c:v>
                </c:pt>
                <c:pt idx="1">
                  <c:v>0.38289866420510821</c:v>
                </c:pt>
                <c:pt idx="2">
                  <c:v>0.51161898247166959</c:v>
                </c:pt>
                <c:pt idx="3">
                  <c:v>0.50354126074173755</c:v>
                </c:pt>
                <c:pt idx="4">
                  <c:v>0.37047031590858531</c:v>
                </c:pt>
                <c:pt idx="5">
                  <c:v>0.20685213651315415</c:v>
                </c:pt>
                <c:pt idx="6">
                  <c:v>-0.11876737370475314</c:v>
                </c:pt>
                <c:pt idx="7">
                  <c:v>-0.63676932375020956</c:v>
                </c:pt>
                <c:pt idx="8">
                  <c:v>-2.4138032715922892</c:v>
                </c:pt>
                <c:pt idx="9">
                  <c:v>-4.0264017417898392</c:v>
                </c:pt>
                <c:pt idx="10">
                  <c:v>-7.2358609414764326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1E-4F91-BCEB-A695E5BBA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'h=3000m'!$I$3:$I$17</c:f>
              <c:numCache>
                <c:formatCode>0.0</c:formatCode>
                <c:ptCount val="15"/>
                <c:pt idx="0">
                  <c:v>23.085686081940391</c:v>
                </c:pt>
                <c:pt idx="1">
                  <c:v>23.5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'h=3000m'!$M$3:$M$17</c:f>
              <c:numCache>
                <c:formatCode>0.00</c:formatCode>
                <c:ptCount val="15"/>
                <c:pt idx="0">
                  <c:v>0.75274814952526414</c:v>
                </c:pt>
                <c:pt idx="1">
                  <c:v>0.87309676272482006</c:v>
                </c:pt>
                <c:pt idx="2">
                  <c:v>0.91229300978567185</c:v>
                </c:pt>
                <c:pt idx="3">
                  <c:v>1.1551987556857874</c:v>
                </c:pt>
                <c:pt idx="4">
                  <c:v>1.2476617233926519</c:v>
                </c:pt>
                <c:pt idx="5">
                  <c:v>1.1013621984976643</c:v>
                </c:pt>
                <c:pt idx="6">
                  <c:v>0.7996635608490793</c:v>
                </c:pt>
                <c:pt idx="7">
                  <c:v>0.40697162405669751</c:v>
                </c:pt>
                <c:pt idx="8">
                  <c:v>-8.4060542383982417E-3</c:v>
                </c:pt>
                <c:pt idx="9">
                  <c:v>-0.97307798739752371</c:v>
                </c:pt>
                <c:pt idx="10">
                  <c:v>-1.9257162302313922</c:v>
                </c:pt>
                <c:pt idx="11">
                  <c:v>-2.9413322013274628</c:v>
                </c:pt>
                <c:pt idx="12">
                  <c:v>-4.2388280991519967</c:v>
                </c:pt>
                <c:pt idx="13">
                  <c:v>-5.4910994120669034</c:v>
                </c:pt>
                <c:pt idx="14">
                  <c:v>-6.8349776371937541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6-48C1-B69B-19D2B4D11502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'h=3000m'!$H$22:$H$35</c:f>
              <c:numCache>
                <c:formatCode>0.0</c:formatCode>
                <c:ptCount val="14"/>
                <c:pt idx="0">
                  <c:v>23.085686081940391</c:v>
                </c:pt>
                <c:pt idx="1">
                  <c:v>23.951647648722293</c:v>
                </c:pt>
                <c:pt idx="2">
                  <c:v>24.87849244107997</c:v>
                </c:pt>
                <c:pt idx="3">
                  <c:v>25.90313546666011</c:v>
                </c:pt>
                <c:pt idx="4">
                  <c:v>28.454016297734412</c:v>
                </c:pt>
                <c:pt idx="5">
                  <c:v>30.031686493905372</c:v>
                </c:pt>
                <c:pt idx="6">
                  <c:v>31.909661562104972</c:v>
                </c:pt>
                <c:pt idx="7">
                  <c:v>34.161856613778376</c:v>
                </c:pt>
                <c:pt idx="8">
                  <c:v>37.199750775430736</c:v>
                </c:pt>
                <c:pt idx="9">
                  <c:v>40.763988518433983</c:v>
                </c:pt>
                <c:pt idx="10">
                  <c:v>45.957456558910806</c:v>
                </c:pt>
                <c:pt idx="11">
                  <c:v>49.037258080074793</c:v>
                </c:pt>
                <c:pt idx="12">
                  <c:v>53.653407669654776</c:v>
                </c:pt>
              </c:numCache>
            </c:numRef>
          </c:xVal>
          <c:yVal>
            <c:numRef>
              <c:f>'h=3000m'!$M$22:$M$35</c:f>
              <c:numCache>
                <c:formatCode>0.00</c:formatCode>
                <c:ptCount val="14"/>
                <c:pt idx="0">
                  <c:v>0.34249650846083091</c:v>
                </c:pt>
                <c:pt idx="1">
                  <c:v>0.53293733815624655</c:v>
                </c:pt>
                <c:pt idx="2">
                  <c:v>0.72743858161963804</c:v>
                </c:pt>
                <c:pt idx="3">
                  <c:v>0.84697377637905513</c:v>
                </c:pt>
                <c:pt idx="4">
                  <c:v>1.0302653886904074</c:v>
                </c:pt>
                <c:pt idx="5">
                  <c:v>0.96072330279165563</c:v>
                </c:pt>
                <c:pt idx="6">
                  <c:v>0.66521741009484614</c:v>
                </c:pt>
                <c:pt idx="7">
                  <c:v>0.34693157817259457</c:v>
                </c:pt>
                <c:pt idx="8">
                  <c:v>-0.18292812924829777</c:v>
                </c:pt>
                <c:pt idx="9">
                  <c:v>-0.89504682995888929</c:v>
                </c:pt>
                <c:pt idx="10">
                  <c:v>-3.0107063353250108</c:v>
                </c:pt>
                <c:pt idx="11">
                  <c:v>-4.7098032429823817</c:v>
                </c:pt>
                <c:pt idx="12">
                  <c:v>-7.7506994533518698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6-48C1-B69B-19D2B4D1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'h=3500m'!$I$3:$I$17</c:f>
              <c:numCache>
                <c:formatCode>0.0</c:formatCode>
                <c:ptCount val="15"/>
                <c:pt idx="0">
                  <c:v>23.691887880412988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'h=3500m'!$L$3:$L$17</c:f>
              <c:numCache>
                <c:formatCode>0.00</c:formatCode>
                <c:ptCount val="15"/>
                <c:pt idx="0">
                  <c:v>10.658459744830605</c:v>
                </c:pt>
                <c:pt idx="1">
                  <c:v>10.30232924148668</c:v>
                </c:pt>
                <c:pt idx="2">
                  <c:v>9.2311370152256451</c:v>
                </c:pt>
                <c:pt idx="3">
                  <c:v>8.2751076444316976</c:v>
                </c:pt>
                <c:pt idx="4">
                  <c:v>6.6523440065742676</c:v>
                </c:pt>
                <c:pt idx="5">
                  <c:v>5.331541489393139</c:v>
                </c:pt>
                <c:pt idx="6">
                  <c:v>3.7710440896642945</c:v>
                </c:pt>
                <c:pt idx="7">
                  <c:v>2.5759596331409451</c:v>
                </c:pt>
                <c:pt idx="8">
                  <c:v>1.640751301814418</c:v>
                </c:pt>
                <c:pt idx="9">
                  <c:v>0.89499425963549506</c:v>
                </c:pt>
                <c:pt idx="10">
                  <c:v>0.47776762567421804</c:v>
                </c:pt>
                <c:pt idx="11">
                  <c:v>0.11166401663827326</c:v>
                </c:pt>
                <c:pt idx="12">
                  <c:v>-0.21246363816776753</c:v>
                </c:pt>
                <c:pt idx="13">
                  <c:v>-0.50083520163482576</c:v>
                </c:pt>
                <c:pt idx="14">
                  <c:v>-0.75816357701515125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C2-4E2B-946A-09176CB91A80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'h=3500m'!$I$3:$I$17</c:f>
              <c:numCache>
                <c:formatCode>0.0</c:formatCode>
                <c:ptCount val="15"/>
                <c:pt idx="0">
                  <c:v>23.691887880412988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'h=3500m'!$M$3:$M$17</c:f>
              <c:numCache>
                <c:formatCode>0.00</c:formatCode>
                <c:ptCount val="15"/>
                <c:pt idx="0">
                  <c:v>9.4032394346490383E-2</c:v>
                </c:pt>
                <c:pt idx="1">
                  <c:v>0.15940387454146296</c:v>
                </c:pt>
                <c:pt idx="2">
                  <c:v>0.34433165182528935</c:v>
                </c:pt>
                <c:pt idx="3">
                  <c:v>0.50374636720982247</c:v>
                </c:pt>
                <c:pt idx="4">
                  <c:v>0.59174684080950157</c:v>
                </c:pt>
                <c:pt idx="5">
                  <c:v>0.61618515651016303</c:v>
                </c:pt>
                <c:pt idx="6">
                  <c:v>0.44911395648717478</c:v>
                </c:pt>
                <c:pt idx="7">
                  <c:v>8.84583589784151E-2</c:v>
                </c:pt>
                <c:pt idx="8">
                  <c:v>-0.42475892985777886</c:v>
                </c:pt>
                <c:pt idx="9">
                  <c:v>-1.173347116943859</c:v>
                </c:pt>
                <c:pt idx="10">
                  <c:v>-1.9906537200606296</c:v>
                </c:pt>
                <c:pt idx="11">
                  <c:v>-2.9238958444792127</c:v>
                </c:pt>
                <c:pt idx="12">
                  <c:v>-4.0890913961745126</c:v>
                </c:pt>
                <c:pt idx="13">
                  <c:v>-5.3387116916054165</c:v>
                </c:pt>
                <c:pt idx="14">
                  <c:v>-6.5778114947847186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C2-4E2B-946A-09176CB91A80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'h=3500m'!$H$22:$H$35</c:f>
              <c:numCache>
                <c:formatCode>0.0</c:formatCode>
                <c:ptCount val="14"/>
                <c:pt idx="0">
                  <c:v>23.691887880412988</c:v>
                </c:pt>
                <c:pt idx="1">
                  <c:v>24.580588535707488</c:v>
                </c:pt>
                <c:pt idx="2">
                  <c:v>25.531771135399026</c:v>
                </c:pt>
                <c:pt idx="3">
                  <c:v>26.58332002995332</c:v>
                </c:pt>
                <c:pt idx="4">
                  <c:v>29.201183862615611</c:v>
                </c:pt>
                <c:pt idx="5">
                  <c:v>30.820281742890085</c:v>
                </c:pt>
                <c:pt idx="6">
                  <c:v>32.747570132763926</c:v>
                </c:pt>
                <c:pt idx="7">
                  <c:v>35.058905063840939</c:v>
                </c:pt>
                <c:pt idx="8">
                  <c:v>38.176570599747741</c:v>
                </c:pt>
                <c:pt idx="9">
                  <c:v>41.834400853812753</c:v>
                </c:pt>
                <c:pt idx="10">
                  <c:v>47.164242994468907</c:v>
                </c:pt>
                <c:pt idx="11">
                  <c:v>50.324916325742485</c:v>
                </c:pt>
                <c:pt idx="12">
                  <c:v>55.06228034114848</c:v>
                </c:pt>
              </c:numCache>
            </c:numRef>
          </c:xVal>
          <c:yVal>
            <c:numRef>
              <c:f>'h=3500m'!$N$22:$N$35</c:f>
              <c:numCache>
                <c:formatCode>0.00</c:formatCode>
                <c:ptCount val="14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C2-4E2B-946A-09176CB91A80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'h=3500m'!$H$22:$H$35</c:f>
              <c:numCache>
                <c:formatCode>0.0</c:formatCode>
                <c:ptCount val="14"/>
                <c:pt idx="0">
                  <c:v>23.691887880412988</c:v>
                </c:pt>
                <c:pt idx="1">
                  <c:v>24.580588535707488</c:v>
                </c:pt>
                <c:pt idx="2">
                  <c:v>25.531771135399026</c:v>
                </c:pt>
                <c:pt idx="3">
                  <c:v>26.58332002995332</c:v>
                </c:pt>
                <c:pt idx="4">
                  <c:v>29.201183862615611</c:v>
                </c:pt>
                <c:pt idx="5">
                  <c:v>30.820281742890085</c:v>
                </c:pt>
                <c:pt idx="6">
                  <c:v>32.747570132763926</c:v>
                </c:pt>
                <c:pt idx="7">
                  <c:v>35.058905063840939</c:v>
                </c:pt>
                <c:pt idx="8">
                  <c:v>38.176570599747741</c:v>
                </c:pt>
                <c:pt idx="9">
                  <c:v>41.834400853812753</c:v>
                </c:pt>
                <c:pt idx="10">
                  <c:v>47.164242994468907</c:v>
                </c:pt>
                <c:pt idx="11">
                  <c:v>50.324916325742485</c:v>
                </c:pt>
                <c:pt idx="12">
                  <c:v>55.06228034114848</c:v>
                </c:pt>
              </c:numCache>
            </c:numRef>
          </c:xVal>
          <c:yVal>
            <c:numRef>
              <c:f>'h=3500m'!$M$22:$M$35</c:f>
              <c:numCache>
                <c:formatCode>0.00</c:formatCode>
                <c:ptCount val="14"/>
                <c:pt idx="0">
                  <c:v>-0.32129346258164504</c:v>
                </c:pt>
                <c:pt idx="1">
                  <c:v>-8.8631809122891717E-2</c:v>
                </c:pt>
                <c:pt idx="2">
                  <c:v>0.12430749035675052</c:v>
                </c:pt>
                <c:pt idx="3">
                  <c:v>0.18559257660217468</c:v>
                </c:pt>
                <c:pt idx="4">
                  <c:v>0.41656279778295707</c:v>
                </c:pt>
                <c:pt idx="5">
                  <c:v>0.40642548766742975</c:v>
                </c:pt>
                <c:pt idx="6">
                  <c:v>0.23286100264393073</c:v>
                </c:pt>
                <c:pt idx="7">
                  <c:v>-0.13797830198847003</c:v>
                </c:pt>
                <c:pt idx="8">
                  <c:v>-0.70563350010749726</c:v>
                </c:pt>
                <c:pt idx="9">
                  <c:v>-1.4331899789898268</c:v>
                </c:pt>
                <c:pt idx="10">
                  <c:v>-3.657010325066564</c:v>
                </c:pt>
                <c:pt idx="11">
                  <c:v>-5.4665783481259611</c:v>
                </c:pt>
                <c:pt idx="12">
                  <c:v>-8.413942099032754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C2-4E2B-946A-09176CB91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4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'h=3500m'!$I$3:$I$17</c:f>
              <c:numCache>
                <c:formatCode>0.0</c:formatCode>
                <c:ptCount val="15"/>
                <c:pt idx="0">
                  <c:v>23.691887880412988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'h=3500m'!$N$3:$N$17</c:f>
              <c:numCache>
                <c:formatCode>0.00</c:formatCode>
                <c:ptCount val="15"/>
                <c:pt idx="0">
                  <c:v>3.8882513910003254E-2</c:v>
                </c:pt>
                <c:pt idx="1">
                  <c:v>6.6770852691665078E-2</c:v>
                </c:pt>
                <c:pt idx="2">
                  <c:v>0.15024212169962356</c:v>
                </c:pt>
                <c:pt idx="3">
                  <c:v>0.22858990525169384</c:v>
                </c:pt>
                <c:pt idx="4">
                  <c:v>0.28917691892900454</c:v>
                </c:pt>
                <c:pt idx="5">
                  <c:v>0.32262757430819489</c:v>
                </c:pt>
                <c:pt idx="6">
                  <c:v>0.25866842060782441</c:v>
                </c:pt>
                <c:pt idx="7">
                  <c:v>5.5580004062995424E-2</c:v>
                </c:pt>
                <c:pt idx="8">
                  <c:v>-0.28912158394907905</c:v>
                </c:pt>
                <c:pt idx="9">
                  <c:v>-0.86004824184470097</c:v>
                </c:pt>
                <c:pt idx="10">
                  <c:v>-1.5284047790654098</c:v>
                </c:pt>
                <c:pt idx="11">
                  <c:v>-2.346435285207106</c:v>
                </c:pt>
                <c:pt idx="12">
                  <c:v>-3.4227618833505717</c:v>
                </c:pt>
                <c:pt idx="13">
                  <c:v>-4.652166209839721</c:v>
                </c:pt>
                <c:pt idx="14">
                  <c:v>-5.9567271863250628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BB-44C0-8E81-5A554DBC9108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'h=3500m'!$H$24:$H$35</c:f>
              <c:numCache>
                <c:formatCode>0.0</c:formatCode>
                <c:ptCount val="12"/>
                <c:pt idx="0">
                  <c:v>25.531771135399026</c:v>
                </c:pt>
                <c:pt idx="1">
                  <c:v>26.58332002995332</c:v>
                </c:pt>
                <c:pt idx="2">
                  <c:v>29.201183862615611</c:v>
                </c:pt>
                <c:pt idx="3">
                  <c:v>30.820281742890085</c:v>
                </c:pt>
                <c:pt idx="4">
                  <c:v>32.747570132763926</c:v>
                </c:pt>
                <c:pt idx="5">
                  <c:v>35.058905063840939</c:v>
                </c:pt>
                <c:pt idx="6">
                  <c:v>38.176570599747741</c:v>
                </c:pt>
                <c:pt idx="7">
                  <c:v>41.834400853812753</c:v>
                </c:pt>
                <c:pt idx="8">
                  <c:v>47.164242994468907</c:v>
                </c:pt>
                <c:pt idx="9">
                  <c:v>50.324916325742485</c:v>
                </c:pt>
                <c:pt idx="10">
                  <c:v>55.06228034114848</c:v>
                </c:pt>
              </c:numCache>
            </c:numRef>
          </c:xVal>
          <c:yVal>
            <c:numRef>
              <c:f>'h=3500m'!$L$24:$L$35</c:f>
              <c:numCache>
                <c:formatCode>0.00</c:formatCode>
                <c:ptCount val="12"/>
                <c:pt idx="0">
                  <c:v>5.5393048690650828E-2</c:v>
                </c:pt>
                <c:pt idx="1">
                  <c:v>8.6108580304553553E-2</c:v>
                </c:pt>
                <c:pt idx="2">
                  <c:v>0.21230219379006657</c:v>
                </c:pt>
                <c:pt idx="3">
                  <c:v>0.21862069243667936</c:v>
                </c:pt>
                <c:pt idx="4">
                  <c:v>0.13309201981663984</c:v>
                </c:pt>
                <c:pt idx="5">
                  <c:v>-8.442792044768796E-2</c:v>
                </c:pt>
                <c:pt idx="6">
                  <c:v>-0.47015655224219122</c:v>
                </c:pt>
                <c:pt idx="7">
                  <c:v>-1.04633172570771</c:v>
                </c:pt>
                <c:pt idx="8">
                  <c:v>-3.008302507978617</c:v>
                </c:pt>
                <c:pt idx="9">
                  <c:v>-4.794208380518505</c:v>
                </c:pt>
                <c:pt idx="10">
                  <c:v>-8.0569193070175018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BB-44C0-8E81-5A554DBC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'h=3500m'!$I$3:$I$17</c:f>
              <c:numCache>
                <c:formatCode>0.0</c:formatCode>
                <c:ptCount val="15"/>
                <c:pt idx="0">
                  <c:v>23.691887880412988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'h=3500m'!$M$3:$M$17</c:f>
              <c:numCache>
                <c:formatCode>0.00</c:formatCode>
                <c:ptCount val="15"/>
                <c:pt idx="0">
                  <c:v>9.4032394346490383E-2</c:v>
                </c:pt>
                <c:pt idx="1">
                  <c:v>0.15940387454146296</c:v>
                </c:pt>
                <c:pt idx="2">
                  <c:v>0.34433165182528935</c:v>
                </c:pt>
                <c:pt idx="3">
                  <c:v>0.50374636720982247</c:v>
                </c:pt>
                <c:pt idx="4">
                  <c:v>0.59174684080950157</c:v>
                </c:pt>
                <c:pt idx="5">
                  <c:v>0.61618515651016303</c:v>
                </c:pt>
                <c:pt idx="6">
                  <c:v>0.44911395648717478</c:v>
                </c:pt>
                <c:pt idx="7">
                  <c:v>8.84583589784151E-2</c:v>
                </c:pt>
                <c:pt idx="8">
                  <c:v>-0.42475892985777886</c:v>
                </c:pt>
                <c:pt idx="9">
                  <c:v>-1.173347116943859</c:v>
                </c:pt>
                <c:pt idx="10">
                  <c:v>-1.9906537200606296</c:v>
                </c:pt>
                <c:pt idx="11">
                  <c:v>-2.9238958444792127</c:v>
                </c:pt>
                <c:pt idx="12">
                  <c:v>-4.0890913961745126</c:v>
                </c:pt>
                <c:pt idx="13">
                  <c:v>-5.3387116916054165</c:v>
                </c:pt>
                <c:pt idx="14">
                  <c:v>-6.5778114947847186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A8-4E2B-A739-D5F610495CCB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'h=3500m'!$H$22:$H$35</c:f>
              <c:numCache>
                <c:formatCode>0.0</c:formatCode>
                <c:ptCount val="14"/>
                <c:pt idx="0">
                  <c:v>23.691887880412988</c:v>
                </c:pt>
                <c:pt idx="1">
                  <c:v>24.580588535707488</c:v>
                </c:pt>
                <c:pt idx="2">
                  <c:v>25.531771135399026</c:v>
                </c:pt>
                <c:pt idx="3">
                  <c:v>26.58332002995332</c:v>
                </c:pt>
                <c:pt idx="4">
                  <c:v>29.201183862615611</c:v>
                </c:pt>
                <c:pt idx="5">
                  <c:v>30.820281742890085</c:v>
                </c:pt>
                <c:pt idx="6">
                  <c:v>32.747570132763926</c:v>
                </c:pt>
                <c:pt idx="7">
                  <c:v>35.058905063840939</c:v>
                </c:pt>
                <c:pt idx="8">
                  <c:v>38.176570599747741</c:v>
                </c:pt>
                <c:pt idx="9">
                  <c:v>41.834400853812753</c:v>
                </c:pt>
                <c:pt idx="10">
                  <c:v>47.164242994468907</c:v>
                </c:pt>
                <c:pt idx="11">
                  <c:v>50.324916325742485</c:v>
                </c:pt>
                <c:pt idx="12">
                  <c:v>55.06228034114848</c:v>
                </c:pt>
              </c:numCache>
            </c:numRef>
          </c:xVal>
          <c:yVal>
            <c:numRef>
              <c:f>'h=3500m'!$M$22:$M$35</c:f>
              <c:numCache>
                <c:formatCode>0.00</c:formatCode>
                <c:ptCount val="14"/>
                <c:pt idx="0">
                  <c:v>-0.32129346258164504</c:v>
                </c:pt>
                <c:pt idx="1">
                  <c:v>-8.8631809122891717E-2</c:v>
                </c:pt>
                <c:pt idx="2">
                  <c:v>0.12430749035675052</c:v>
                </c:pt>
                <c:pt idx="3">
                  <c:v>0.18559257660217468</c:v>
                </c:pt>
                <c:pt idx="4">
                  <c:v>0.41656279778295707</c:v>
                </c:pt>
                <c:pt idx="5">
                  <c:v>0.40642548766742975</c:v>
                </c:pt>
                <c:pt idx="6">
                  <c:v>0.23286100264393073</c:v>
                </c:pt>
                <c:pt idx="7">
                  <c:v>-0.13797830198847003</c:v>
                </c:pt>
                <c:pt idx="8">
                  <c:v>-0.70563350010749726</c:v>
                </c:pt>
                <c:pt idx="9">
                  <c:v>-1.4331899789898268</c:v>
                </c:pt>
                <c:pt idx="10">
                  <c:v>-3.657010325066564</c:v>
                </c:pt>
                <c:pt idx="11">
                  <c:v>-5.4665783481259611</c:v>
                </c:pt>
                <c:pt idx="12">
                  <c:v>-8.413942099032754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A8-4E2B-A739-D5F61049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'h=4000m'!$I$3:$I$17</c:f>
              <c:numCache>
                <c:formatCode>0.0</c:formatCode>
                <c:ptCount val="15"/>
                <c:pt idx="0">
                  <c:v>24.321780100259733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'h=4000m'!$L$3:$L$17</c:f>
              <c:numCache>
                <c:formatCode>0.00</c:formatCode>
                <c:ptCount val="15"/>
                <c:pt idx="0">
                  <c:v>10.683057843469028</c:v>
                </c:pt>
                <c:pt idx="1">
                  <c:v>9.9328595493824796</c:v>
                </c:pt>
                <c:pt idx="2">
                  <c:v>8.9247420435471714</c:v>
                </c:pt>
                <c:pt idx="3">
                  <c:v>8.0222977976944492</c:v>
                </c:pt>
                <c:pt idx="4">
                  <c:v>7.2129981885972887</c:v>
                </c:pt>
                <c:pt idx="5">
                  <c:v>5.8213728161626896</c:v>
                </c:pt>
                <c:pt idx="6">
                  <c:v>4.1771814502297833</c:v>
                </c:pt>
                <c:pt idx="7">
                  <c:v>2.9176639070085337</c:v>
                </c:pt>
                <c:pt idx="8">
                  <c:v>1.9318769607443238</c:v>
                </c:pt>
                <c:pt idx="9">
                  <c:v>1.1460851251621353</c:v>
                </c:pt>
                <c:pt idx="10">
                  <c:v>0.70687901951556464</c:v>
                </c:pt>
                <c:pt idx="11">
                  <c:v>0.32121746471413748</c:v>
                </c:pt>
                <c:pt idx="12">
                  <c:v>-1.9468293176246002E-2</c:v>
                </c:pt>
                <c:pt idx="13">
                  <c:v>-0.32220201856717584</c:v>
                </c:pt>
                <c:pt idx="14">
                  <c:v>-0.59263811041294501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DE-480A-A588-A64D3742A16C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'h=4000m'!$I$3:$I$17</c:f>
              <c:numCache>
                <c:formatCode>0.0</c:formatCode>
                <c:ptCount val="15"/>
                <c:pt idx="0">
                  <c:v>24.321780100259733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'h=4000m'!$M$3:$M$17</c:f>
              <c:numCache>
                <c:formatCode>0.00</c:formatCode>
                <c:ptCount val="15"/>
                <c:pt idx="0">
                  <c:v>-0.51599706380365007</c:v>
                </c:pt>
                <c:pt idx="1">
                  <c:v>-0.39765763840308777</c:v>
                </c:pt>
                <c:pt idx="2">
                  <c:v>-0.18785081936520301</c:v>
                </c:pt>
                <c:pt idx="3">
                  <c:v>-2.3009889653364791E-2</c:v>
                </c:pt>
                <c:pt idx="4">
                  <c:v>2.8134748527006224E-2</c:v>
                </c:pt>
                <c:pt idx="5">
                  <c:v>9.5891623045465613E-2</c:v>
                </c:pt>
                <c:pt idx="6">
                  <c:v>-4.3333638114144243E-2</c:v>
                </c:pt>
                <c:pt idx="7">
                  <c:v>-0.37517392067338301</c:v>
                </c:pt>
                <c:pt idx="8">
                  <c:v>-0.7134172140034668</c:v>
                </c:pt>
                <c:pt idx="9">
                  <c:v>-1.439937649235197</c:v>
                </c:pt>
                <c:pt idx="10">
                  <c:v>-2.1085109157448279</c:v>
                </c:pt>
                <c:pt idx="11">
                  <c:v>-3.036335227776898</c:v>
                </c:pt>
                <c:pt idx="12">
                  <c:v>-4.0653694387214765</c:v>
                </c:pt>
                <c:pt idx="13">
                  <c:v>-5.1759658462390021</c:v>
                </c:pt>
                <c:pt idx="14">
                  <c:v>-6.3519295778474376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DE-480A-A588-A64D3742A16C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'h=4000m'!$H$22:$H$35</c:f>
              <c:numCache>
                <c:formatCode>0.0</c:formatCode>
                <c:ptCount val="14"/>
                <c:pt idx="0">
                  <c:v>24.321780100259733</c:v>
                </c:pt>
                <c:pt idx="1">
                  <c:v>25.234108489712366</c:v>
                </c:pt>
                <c:pt idx="2">
                  <c:v>26.210580020460117</c:v>
                </c:pt>
                <c:pt idx="3">
                  <c:v>27.2900862677932</c:v>
                </c:pt>
                <c:pt idx="4">
                  <c:v>29.977550803832759</c:v>
                </c:pt>
                <c:pt idx="5">
                  <c:v>31.639695365870338</c:v>
                </c:pt>
                <c:pt idx="6">
                  <c:v>33.618224246510898</c:v>
                </c:pt>
                <c:pt idx="7">
                  <c:v>35.991010248853073</c:v>
                </c:pt>
                <c:pt idx="8">
                  <c:v>39.191564631569577</c:v>
                </c:pt>
                <c:pt idx="9">
                  <c:v>42.946645000534055</c:v>
                </c:pt>
                <c:pt idx="10">
                  <c:v>48.41819075359782</c:v>
                </c:pt>
                <c:pt idx="11">
                  <c:v>51.662896372669458</c:v>
                </c:pt>
                <c:pt idx="12">
                  <c:v>56.526211884678354</c:v>
                </c:pt>
              </c:numCache>
            </c:numRef>
          </c:xVal>
          <c:yVal>
            <c:numRef>
              <c:f>'h=4000m'!$N$22:$N$35</c:f>
              <c:numCache>
                <c:formatCode>0.00</c:formatCode>
                <c:ptCount val="14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DE-480A-A588-A64D3742A16C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'h=4000m'!$H$22:$H$35</c:f>
              <c:numCache>
                <c:formatCode>0.0</c:formatCode>
                <c:ptCount val="14"/>
                <c:pt idx="0">
                  <c:v>24.321780100259733</c:v>
                </c:pt>
                <c:pt idx="1">
                  <c:v>25.234108489712366</c:v>
                </c:pt>
                <c:pt idx="2">
                  <c:v>26.210580020460117</c:v>
                </c:pt>
                <c:pt idx="3">
                  <c:v>27.2900862677932</c:v>
                </c:pt>
                <c:pt idx="4">
                  <c:v>29.977550803832759</c:v>
                </c:pt>
                <c:pt idx="5">
                  <c:v>31.639695365870338</c:v>
                </c:pt>
                <c:pt idx="6">
                  <c:v>33.618224246510898</c:v>
                </c:pt>
                <c:pt idx="7">
                  <c:v>35.991010248853073</c:v>
                </c:pt>
                <c:pt idx="8">
                  <c:v>39.191564631569577</c:v>
                </c:pt>
                <c:pt idx="9">
                  <c:v>42.946645000534055</c:v>
                </c:pt>
                <c:pt idx="10">
                  <c:v>48.41819075359782</c:v>
                </c:pt>
                <c:pt idx="11">
                  <c:v>51.662896372669458</c:v>
                </c:pt>
                <c:pt idx="12">
                  <c:v>56.526211884678354</c:v>
                </c:pt>
              </c:numCache>
            </c:numRef>
          </c:xVal>
          <c:yVal>
            <c:numRef>
              <c:f>'h=4000m'!$M$22:$M$35</c:f>
              <c:numCache>
                <c:formatCode>0.00</c:formatCode>
                <c:ptCount val="14"/>
                <c:pt idx="0">
                  <c:v>-0.97965184785480219</c:v>
                </c:pt>
                <c:pt idx="1">
                  <c:v>-0.66552503139259001</c:v>
                </c:pt>
                <c:pt idx="2">
                  <c:v>-0.39670268361972477</c:v>
                </c:pt>
                <c:pt idx="3">
                  <c:v>-0.22391982381889294</c:v>
                </c:pt>
                <c:pt idx="4">
                  <c:v>-5.3024424727956647E-2</c:v>
                </c:pt>
                <c:pt idx="5">
                  <c:v>-0.12643455002787199</c:v>
                </c:pt>
                <c:pt idx="6">
                  <c:v>-0.27552910060375713</c:v>
                </c:pt>
                <c:pt idx="7">
                  <c:v>-0.59039172533215001</c:v>
                </c:pt>
                <c:pt idx="8">
                  <c:v>-1.1818240309419199</c:v>
                </c:pt>
                <c:pt idx="9">
                  <c:v>-2.0217534263766903</c:v>
                </c:pt>
                <c:pt idx="10">
                  <c:v>-4.2544744262730667</c:v>
                </c:pt>
                <c:pt idx="11">
                  <c:v>-5.999968984363889</c:v>
                </c:pt>
                <c:pt idx="12">
                  <c:v>-8.9458757277877758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DE-480A-A588-A64D3742A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3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'h=4000m'!$I$3:$I$17</c:f>
              <c:numCache>
                <c:formatCode>0.0</c:formatCode>
                <c:ptCount val="15"/>
                <c:pt idx="0">
                  <c:v>24.321780100259733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'h=4000m'!$N$3:$N$17</c:f>
              <c:numCache>
                <c:formatCode>0.00</c:formatCode>
                <c:ptCount val="15"/>
                <c:pt idx="0">
                  <c:v>-0.21903528638164016</c:v>
                </c:pt>
                <c:pt idx="1">
                  <c:v>-0.17350948415660383</c:v>
                </c:pt>
                <c:pt idx="2">
                  <c:v>-8.5243845093727802E-2</c:v>
                </c:pt>
                <c:pt idx="3">
                  <c:v>-1.0843154752772179E-2</c:v>
                </c:pt>
                <c:pt idx="4">
                  <c:v>1.3749231335927304E-2</c:v>
                </c:pt>
                <c:pt idx="5">
                  <c:v>5.0208712977470878E-2</c:v>
                </c:pt>
                <c:pt idx="6">
                  <c:v>-2.4958381465249049E-2</c:v>
                </c:pt>
                <c:pt idx="7">
                  <c:v>-0.23572704206499878</c:v>
                </c:pt>
                <c:pt idx="8">
                  <c:v>-0.4855951457139509</c:v>
                </c:pt>
                <c:pt idx="9">
                  <c:v>-1.0554183175560834</c:v>
                </c:pt>
                <c:pt idx="10">
                  <c:v>-1.6188546898085066</c:v>
                </c:pt>
                <c:pt idx="11">
                  <c:v>-2.4365853127156685</c:v>
                </c:pt>
                <c:pt idx="12">
                  <c:v>-3.4029389197750968</c:v>
                </c:pt>
                <c:pt idx="13">
                  <c:v>-4.5107411756256814</c:v>
                </c:pt>
                <c:pt idx="14">
                  <c:v>-5.7530269975866029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F-4A2F-AD8F-E757FA10FC23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'h=4000m'!$H$24:$H$35</c:f>
              <c:numCache>
                <c:formatCode>0.0</c:formatCode>
                <c:ptCount val="12"/>
                <c:pt idx="0">
                  <c:v>26.210580020460117</c:v>
                </c:pt>
                <c:pt idx="1">
                  <c:v>27.2900862677932</c:v>
                </c:pt>
                <c:pt idx="2">
                  <c:v>29.977550803832759</c:v>
                </c:pt>
                <c:pt idx="3">
                  <c:v>31.639695365870338</c:v>
                </c:pt>
                <c:pt idx="4">
                  <c:v>33.618224246510898</c:v>
                </c:pt>
                <c:pt idx="5">
                  <c:v>35.991010248853073</c:v>
                </c:pt>
                <c:pt idx="6">
                  <c:v>39.191564631569577</c:v>
                </c:pt>
                <c:pt idx="7">
                  <c:v>42.946645000534055</c:v>
                </c:pt>
                <c:pt idx="8">
                  <c:v>48.41819075359782</c:v>
                </c:pt>
                <c:pt idx="9">
                  <c:v>51.662896372669458</c:v>
                </c:pt>
                <c:pt idx="10">
                  <c:v>56.526211884678354</c:v>
                </c:pt>
              </c:numCache>
            </c:numRef>
          </c:xVal>
          <c:yVal>
            <c:numRef>
              <c:f>'h=4000m'!$L$24:$L$35</c:f>
              <c:numCache>
                <c:formatCode>0.00</c:formatCode>
                <c:ptCount val="12"/>
                <c:pt idx="0">
                  <c:v>-0.18147452475412928</c:v>
                </c:pt>
                <c:pt idx="1">
                  <c:v>-0.10665315675005076</c:v>
                </c:pt>
                <c:pt idx="2">
                  <c:v>-2.7742744277823059E-2</c:v>
                </c:pt>
                <c:pt idx="3">
                  <c:v>-6.9819233353096144E-2</c:v>
                </c:pt>
                <c:pt idx="4">
                  <c:v>-0.16166571898089727</c:v>
                </c:pt>
                <c:pt idx="5">
                  <c:v>-0.3708548656369553</c:v>
                </c:pt>
                <c:pt idx="6">
                  <c:v>-0.80833612818710154</c:v>
                </c:pt>
                <c:pt idx="7">
                  <c:v>-1.5151117603497721</c:v>
                </c:pt>
                <c:pt idx="8">
                  <c:v>-3.5919697509052764</c:v>
                </c:pt>
                <c:pt idx="9">
                  <c:v>-5.4002153525775123</c:v>
                </c:pt>
                <c:pt idx="10">
                  <c:v>-8.78990388612735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2F-4A2F-AD8F-E757FA10F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'h=4000m'!$I$3:$I$17</c:f>
              <c:numCache>
                <c:formatCode>0.0</c:formatCode>
                <c:ptCount val="15"/>
                <c:pt idx="0">
                  <c:v>24.321780100259733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'h=4000m'!$M$3:$M$17</c:f>
              <c:numCache>
                <c:formatCode>0.00</c:formatCode>
                <c:ptCount val="15"/>
                <c:pt idx="0">
                  <c:v>-0.51599706380365007</c:v>
                </c:pt>
                <c:pt idx="1">
                  <c:v>-0.39765763840308777</c:v>
                </c:pt>
                <c:pt idx="2">
                  <c:v>-0.18785081936520301</c:v>
                </c:pt>
                <c:pt idx="3">
                  <c:v>-2.3009889653364791E-2</c:v>
                </c:pt>
                <c:pt idx="4">
                  <c:v>2.8134748527006224E-2</c:v>
                </c:pt>
                <c:pt idx="5">
                  <c:v>9.5891623045465613E-2</c:v>
                </c:pt>
                <c:pt idx="6">
                  <c:v>-4.3333638114144243E-2</c:v>
                </c:pt>
                <c:pt idx="7">
                  <c:v>-0.37517392067338301</c:v>
                </c:pt>
                <c:pt idx="8">
                  <c:v>-0.7134172140034668</c:v>
                </c:pt>
                <c:pt idx="9">
                  <c:v>-1.439937649235197</c:v>
                </c:pt>
                <c:pt idx="10">
                  <c:v>-2.1085109157448279</c:v>
                </c:pt>
                <c:pt idx="11">
                  <c:v>-3.036335227776898</c:v>
                </c:pt>
                <c:pt idx="12">
                  <c:v>-4.0653694387214765</c:v>
                </c:pt>
                <c:pt idx="13">
                  <c:v>-5.1759658462390021</c:v>
                </c:pt>
                <c:pt idx="14">
                  <c:v>-6.3519295778474376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6-4970-AFD2-E0B31EE283E0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'h=4000m'!$H$22:$H$35</c:f>
              <c:numCache>
                <c:formatCode>0.0</c:formatCode>
                <c:ptCount val="14"/>
                <c:pt idx="0">
                  <c:v>24.321780100259733</c:v>
                </c:pt>
                <c:pt idx="1">
                  <c:v>25.234108489712366</c:v>
                </c:pt>
                <c:pt idx="2">
                  <c:v>26.210580020460117</c:v>
                </c:pt>
                <c:pt idx="3">
                  <c:v>27.2900862677932</c:v>
                </c:pt>
                <c:pt idx="4">
                  <c:v>29.977550803832759</c:v>
                </c:pt>
                <c:pt idx="5">
                  <c:v>31.639695365870338</c:v>
                </c:pt>
                <c:pt idx="6">
                  <c:v>33.618224246510898</c:v>
                </c:pt>
                <c:pt idx="7">
                  <c:v>35.991010248853073</c:v>
                </c:pt>
                <c:pt idx="8">
                  <c:v>39.191564631569577</c:v>
                </c:pt>
                <c:pt idx="9">
                  <c:v>42.946645000534055</c:v>
                </c:pt>
                <c:pt idx="10">
                  <c:v>48.41819075359782</c:v>
                </c:pt>
                <c:pt idx="11">
                  <c:v>51.662896372669458</c:v>
                </c:pt>
                <c:pt idx="12">
                  <c:v>56.526211884678354</c:v>
                </c:pt>
              </c:numCache>
            </c:numRef>
          </c:xVal>
          <c:yVal>
            <c:numRef>
              <c:f>'h=4000m'!$M$22:$M$35</c:f>
              <c:numCache>
                <c:formatCode>0.00</c:formatCode>
                <c:ptCount val="14"/>
                <c:pt idx="0">
                  <c:v>-0.97965184785480219</c:v>
                </c:pt>
                <c:pt idx="1">
                  <c:v>-0.66552503139259001</c:v>
                </c:pt>
                <c:pt idx="2">
                  <c:v>-0.39670268361972477</c:v>
                </c:pt>
                <c:pt idx="3">
                  <c:v>-0.22391982381889294</c:v>
                </c:pt>
                <c:pt idx="4">
                  <c:v>-5.3024424727956647E-2</c:v>
                </c:pt>
                <c:pt idx="5">
                  <c:v>-0.12643455002787199</c:v>
                </c:pt>
                <c:pt idx="6">
                  <c:v>-0.27552910060375713</c:v>
                </c:pt>
                <c:pt idx="7">
                  <c:v>-0.59039172533215001</c:v>
                </c:pt>
                <c:pt idx="8">
                  <c:v>-1.1818240309419199</c:v>
                </c:pt>
                <c:pt idx="9">
                  <c:v>-2.0217534263766903</c:v>
                </c:pt>
                <c:pt idx="10">
                  <c:v>-4.2544744262730667</c:v>
                </c:pt>
                <c:pt idx="11">
                  <c:v>-5.999968984363889</c:v>
                </c:pt>
                <c:pt idx="12">
                  <c:v>-8.9458757277877758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A6-4970-AFD2-E0B31EE2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(V),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γ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 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'h=4500m'!$I$3:$I$17</c:f>
              <c:numCache>
                <c:formatCode>0.0</c:formatCode>
                <c:ptCount val="15"/>
                <c:pt idx="0">
                  <c:v>24.976599984063338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'h=4500m'!$L$3:$L$17</c:f>
              <c:numCache>
                <c:formatCode>0.00</c:formatCode>
                <c:ptCount val="15"/>
                <c:pt idx="0">
                  <c:v>10.701400493476752</c:v>
                </c:pt>
                <c:pt idx="1">
                  <c:v>9.6127977292068856</c:v>
                </c:pt>
                <c:pt idx="2">
                  <c:v>8.6661749340419387</c:v>
                </c:pt>
                <c:pt idx="3">
                  <c:v>7.8111223744417648</c:v>
                </c:pt>
                <c:pt idx="4">
                  <c:v>7.0411168075840465</c:v>
                </c:pt>
                <c:pt idx="5">
                  <c:v>6.344006711578527</c:v>
                </c:pt>
                <c:pt idx="6">
                  <c:v>4.6098270096167013</c:v>
                </c:pt>
                <c:pt idx="7">
                  <c:v>3.2814383632293813</c:v>
                </c:pt>
                <c:pt idx="8">
                  <c:v>2.2425522751717821</c:v>
                </c:pt>
                <c:pt idx="9">
                  <c:v>1.4142277852694867</c:v>
                </c:pt>
                <c:pt idx="10">
                  <c:v>0.95159142477743852</c:v>
                </c:pt>
                <c:pt idx="11">
                  <c:v>0.54575999178014267</c:v>
                </c:pt>
                <c:pt idx="12">
                  <c:v>0.18663671327051251</c:v>
                </c:pt>
                <c:pt idx="13">
                  <c:v>-0.13194043537843</c:v>
                </c:pt>
                <c:pt idx="14">
                  <c:v>-0.41625428514660873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1F-4ED7-AB30-4FEDCA96BD31}"/>
            </c:ext>
          </c:extLst>
        </c:ser>
        <c:ser>
          <c:idx val="1"/>
          <c:order val="1"/>
          <c:tx>
            <c:v>γ metoda ciągu, m=const.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'h=4500m'!$I$3:$I$17</c:f>
              <c:numCache>
                <c:formatCode>0.0</c:formatCode>
                <c:ptCount val="15"/>
                <c:pt idx="0">
                  <c:v>24.976599984063338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'h=4500m'!$M$3:$M$17</c:f>
              <c:numCache>
                <c:formatCode>0.00</c:formatCode>
                <c:ptCount val="15"/>
                <c:pt idx="0">
                  <c:v>-0.99623873025621457</c:v>
                </c:pt>
                <c:pt idx="1">
                  <c:v>-0.74059199378321783</c:v>
                </c:pt>
                <c:pt idx="2">
                  <c:v>-0.70723867230617365</c:v>
                </c:pt>
                <c:pt idx="3">
                  <c:v>-0.55515047229864778</c:v>
                </c:pt>
                <c:pt idx="4">
                  <c:v>-0.49329955336645048</c:v>
                </c:pt>
                <c:pt idx="5">
                  <c:v>-0.44300829150382942</c:v>
                </c:pt>
                <c:pt idx="6">
                  <c:v>-0.45978724102494389</c:v>
                </c:pt>
                <c:pt idx="7">
                  <c:v>-0.59925980543369051</c:v>
                </c:pt>
                <c:pt idx="8">
                  <c:v>-1.0193186985610541</c:v>
                </c:pt>
                <c:pt idx="9">
                  <c:v>-1.626619704044272</c:v>
                </c:pt>
                <c:pt idx="10">
                  <c:v>-2.174709039235919</c:v>
                </c:pt>
                <c:pt idx="11">
                  <c:v>-2.9672764409634413</c:v>
                </c:pt>
                <c:pt idx="12">
                  <c:v>-4.0290763359592896</c:v>
                </c:pt>
                <c:pt idx="13">
                  <c:v>-5.0744481629422769</c:v>
                </c:pt>
                <c:pt idx="14">
                  <c:v>-6.1669888824759918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1F-4ED7-AB30-4FEDCA96BD31}"/>
            </c:ext>
          </c:extLst>
        </c:ser>
        <c:ser>
          <c:idx val="2"/>
          <c:order val="2"/>
          <c:tx>
            <c:v>α metoda mocy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'h=4500m'!$H$22:$H$35</c:f>
              <c:numCache>
                <c:formatCode>0.0</c:formatCode>
                <c:ptCount val="14"/>
                <c:pt idx="0">
                  <c:v>24.976599984063338</c:v>
                </c:pt>
                <c:pt idx="1">
                  <c:v>25.913491163225832</c:v>
                </c:pt>
                <c:pt idx="2">
                  <c:v>26.916252421603136</c:v>
                </c:pt>
                <c:pt idx="3">
                  <c:v>28.024822419719673</c:v>
                </c:pt>
                <c:pt idx="4">
                  <c:v>30.784642071542759</c:v>
                </c:pt>
                <c:pt idx="5">
                  <c:v>32.491536865861505</c:v>
                </c:pt>
                <c:pt idx="6">
                  <c:v>34.523334053607158</c:v>
                </c:pt>
                <c:pt idx="7">
                  <c:v>36.960003022078439</c:v>
                </c:pt>
                <c:pt idx="8">
                  <c:v>40.246726535522967</c:v>
                </c:pt>
                <c:pt idx="9">
                  <c:v>44.102905643179376</c:v>
                </c:pt>
                <c:pt idx="10">
                  <c:v>49.721762856978245</c:v>
                </c:pt>
                <c:pt idx="11">
                  <c:v>53.053826298861324</c:v>
                </c:pt>
                <c:pt idx="12">
                  <c:v>58.048077773836184</c:v>
                </c:pt>
              </c:numCache>
            </c:numRef>
          </c:xVal>
          <c:yVal>
            <c:numRef>
              <c:f>'h=4500m'!$N$22:$N$35</c:f>
              <c:numCache>
                <c:formatCode>0.00</c:formatCode>
                <c:ptCount val="14"/>
                <c:pt idx="0">
                  <c:v>13.202</c:v>
                </c:pt>
                <c:pt idx="1">
                  <c:v>11.19</c:v>
                </c:pt>
                <c:pt idx="2">
                  <c:v>9.6229999999999993</c:v>
                </c:pt>
                <c:pt idx="3">
                  <c:v>8.0570000000000004</c:v>
                </c:pt>
                <c:pt idx="4">
                  <c:v>6.1870000000000003</c:v>
                </c:pt>
                <c:pt idx="5">
                  <c:v>5.3460000000000001</c:v>
                </c:pt>
                <c:pt idx="6">
                  <c:v>4.1539999999999999</c:v>
                </c:pt>
                <c:pt idx="7">
                  <c:v>3.0790000000000002</c:v>
                </c:pt>
                <c:pt idx="8">
                  <c:v>2.073</c:v>
                </c:pt>
                <c:pt idx="9">
                  <c:v>1.2330000000000001</c:v>
                </c:pt>
                <c:pt idx="10">
                  <c:v>0.39200000000000002</c:v>
                </c:pt>
                <c:pt idx="11">
                  <c:v>-0.13300000000000001</c:v>
                </c:pt>
                <c:pt idx="12">
                  <c:v>-0.8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1F-4ED7-AB30-4FEDCA96BD31}"/>
            </c:ext>
          </c:extLst>
        </c:ser>
        <c:ser>
          <c:idx val="3"/>
          <c:order val="3"/>
          <c:tx>
            <c:v>γ metoda mocy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'h=4500m'!$H$22:$H$35</c:f>
              <c:numCache>
                <c:formatCode>0.0</c:formatCode>
                <c:ptCount val="14"/>
                <c:pt idx="0">
                  <c:v>24.976599984063338</c:v>
                </c:pt>
                <c:pt idx="1">
                  <c:v>25.913491163225832</c:v>
                </c:pt>
                <c:pt idx="2">
                  <c:v>26.916252421603136</c:v>
                </c:pt>
                <c:pt idx="3">
                  <c:v>28.024822419719673</c:v>
                </c:pt>
                <c:pt idx="4">
                  <c:v>30.784642071542759</c:v>
                </c:pt>
                <c:pt idx="5">
                  <c:v>32.491536865861505</c:v>
                </c:pt>
                <c:pt idx="6">
                  <c:v>34.523334053607158</c:v>
                </c:pt>
                <c:pt idx="7">
                  <c:v>36.960003022078439</c:v>
                </c:pt>
                <c:pt idx="8">
                  <c:v>40.246726535522967</c:v>
                </c:pt>
                <c:pt idx="9">
                  <c:v>44.102905643179376</c:v>
                </c:pt>
                <c:pt idx="10">
                  <c:v>49.721762856978245</c:v>
                </c:pt>
                <c:pt idx="11">
                  <c:v>53.053826298861324</c:v>
                </c:pt>
                <c:pt idx="12">
                  <c:v>58.048077773836184</c:v>
                </c:pt>
              </c:numCache>
            </c:numRef>
          </c:xVal>
          <c:yVal>
            <c:numRef>
              <c:f>'h=4500m'!$M$22:$M$35</c:f>
              <c:numCache>
                <c:formatCode>0.00</c:formatCode>
                <c:ptCount val="14"/>
                <c:pt idx="0">
                  <c:v>-1.4057071276347592</c:v>
                </c:pt>
                <c:pt idx="1">
                  <c:v>-1.1205365667548699</c:v>
                </c:pt>
                <c:pt idx="2">
                  <c:v>-0.84033808832557699</c:v>
                </c:pt>
                <c:pt idx="3">
                  <c:v>-0.71044140918447685</c:v>
                </c:pt>
                <c:pt idx="4">
                  <c:v>-0.57142584248880579</c:v>
                </c:pt>
                <c:pt idx="5">
                  <c:v>-0.57501614894884223</c:v>
                </c:pt>
                <c:pt idx="6">
                  <c:v>-0.77862648833113091</c:v>
                </c:pt>
                <c:pt idx="7">
                  <c:v>-1.0116960477623984</c:v>
                </c:pt>
                <c:pt idx="8">
                  <c:v>-1.5755933277558183</c:v>
                </c:pt>
                <c:pt idx="9">
                  <c:v>-2.4925854991055503</c:v>
                </c:pt>
                <c:pt idx="10">
                  <c:v>-4.9296519205600537</c:v>
                </c:pt>
                <c:pt idx="11">
                  <c:v>-6.7045692504641901</c:v>
                </c:pt>
                <c:pt idx="12">
                  <c:v>-9.5605965064382623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1F-4ED7-AB30-4FEDCA96B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9103"/>
        <c:axId val="1803560847"/>
      </c:scatterChart>
      <c:valAx>
        <c:axId val="1857809103"/>
        <c:scaling>
          <c:orientation val="minMax"/>
          <c:max val="5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3560847"/>
        <c:crosses val="autoZero"/>
        <c:crossBetween val="midCat"/>
        <c:majorUnit val="2"/>
      </c:valAx>
      <c:valAx>
        <c:axId val="1803560847"/>
        <c:scaling>
          <c:orientation val="minMax"/>
          <c:max val="3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α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,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451095461658842"/>
          <c:w val="0.79411986001749768"/>
          <c:h val="0.67020720121252453"/>
        </c:manualLayout>
      </c:layout>
      <c:scatterChart>
        <c:scatterStyle val="smoothMarker"/>
        <c:varyColors val="0"/>
        <c:ser>
          <c:idx val="0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'h=4500m'!$I$3:$I$17</c:f>
              <c:numCache>
                <c:formatCode>0.0</c:formatCode>
                <c:ptCount val="15"/>
                <c:pt idx="0">
                  <c:v>24.976599984063338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'h=4500m'!$N$3:$N$17</c:f>
              <c:numCache>
                <c:formatCode>0.00</c:formatCode>
                <c:ptCount val="15"/>
                <c:pt idx="0">
                  <c:v>-0.43426239573143161</c:v>
                </c:pt>
                <c:pt idx="1">
                  <c:v>-0.33606062824262062</c:v>
                </c:pt>
                <c:pt idx="2">
                  <c:v>-0.33326990929607508</c:v>
                </c:pt>
                <c:pt idx="3">
                  <c:v>-0.27129345548228401</c:v>
                </c:pt>
                <c:pt idx="4">
                  <c:v>-0.24967825606604394</c:v>
                </c:pt>
                <c:pt idx="5">
                  <c:v>-0.23195628781745004</c:v>
                </c:pt>
                <c:pt idx="6">
                  <c:v>-0.26481559781781067</c:v>
                </c:pt>
                <c:pt idx="7">
                  <c:v>-0.37651917569157367</c:v>
                </c:pt>
                <c:pt idx="8">
                  <c:v>-0.69379163031989433</c:v>
                </c:pt>
                <c:pt idx="9">
                  <c:v>-1.1922143534155683</c:v>
                </c:pt>
                <c:pt idx="10">
                  <c:v>-1.6696556880158044</c:v>
                </c:pt>
                <c:pt idx="11">
                  <c:v>-2.3812174440162144</c:v>
                </c:pt>
                <c:pt idx="12">
                  <c:v>-3.372609904635488</c:v>
                </c:pt>
                <c:pt idx="13">
                  <c:v>-4.4225044947915162</c:v>
                </c:pt>
                <c:pt idx="14">
                  <c:v>-5.5861808631045875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C3-4DCA-B3CC-A447AEBDB0B6}"/>
            </c:ext>
          </c:extLst>
        </c:ser>
        <c:ser>
          <c:idx val="1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'h=4500m'!$H$24:$H$35</c:f>
              <c:numCache>
                <c:formatCode>0.0</c:formatCode>
                <c:ptCount val="12"/>
                <c:pt idx="0">
                  <c:v>26.916252421603136</c:v>
                </c:pt>
                <c:pt idx="1">
                  <c:v>28.024822419719673</c:v>
                </c:pt>
                <c:pt idx="2">
                  <c:v>30.784642071542759</c:v>
                </c:pt>
                <c:pt idx="3">
                  <c:v>32.491536865861505</c:v>
                </c:pt>
                <c:pt idx="4">
                  <c:v>34.523334053607158</c:v>
                </c:pt>
                <c:pt idx="5">
                  <c:v>36.960003022078439</c:v>
                </c:pt>
                <c:pt idx="6">
                  <c:v>40.246726535522967</c:v>
                </c:pt>
                <c:pt idx="7">
                  <c:v>44.102905643179376</c:v>
                </c:pt>
                <c:pt idx="8">
                  <c:v>49.721762856978245</c:v>
                </c:pt>
                <c:pt idx="9">
                  <c:v>53.053826298861324</c:v>
                </c:pt>
                <c:pt idx="10">
                  <c:v>58.048077773836184</c:v>
                </c:pt>
              </c:numCache>
            </c:numRef>
          </c:xVal>
          <c:yVal>
            <c:numRef>
              <c:f>'h=4500m'!$L$24:$L$35</c:f>
              <c:numCache>
                <c:formatCode>0.00</c:formatCode>
                <c:ptCount val="12"/>
                <c:pt idx="0">
                  <c:v>-0.39475754377839095</c:v>
                </c:pt>
                <c:pt idx="1">
                  <c:v>-0.3474860507362611</c:v>
                </c:pt>
                <c:pt idx="2">
                  <c:v>-0.30701822302523224</c:v>
                </c:pt>
                <c:pt idx="3">
                  <c:v>-0.32607715498568324</c:v>
                </c:pt>
                <c:pt idx="4">
                  <c:v>-0.46914371735854948</c:v>
                </c:pt>
                <c:pt idx="5">
                  <c:v>-0.65258464538420669</c:v>
                </c:pt>
                <c:pt idx="6">
                  <c:v>-1.1066169695655861</c:v>
                </c:pt>
                <c:pt idx="7">
                  <c:v>-1.9180398964379806</c:v>
                </c:pt>
                <c:pt idx="8">
                  <c:v>-4.2727175706559049</c:v>
                </c:pt>
                <c:pt idx="9">
                  <c:v>-6.1940310670306937</c:v>
                </c:pt>
                <c:pt idx="10">
                  <c:v>-9.6412410791168188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C3-4DCA-B3CC-A447AEBDB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05743"/>
        <c:axId val="1798274655"/>
      </c:scatterChart>
      <c:valAx>
        <c:axId val="1857805743"/>
        <c:scaling>
          <c:orientation val="minMax"/>
          <c:max val="44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8274655"/>
        <c:crosses val="autoZero"/>
        <c:crossBetween val="midCat"/>
        <c:majorUnit val="2"/>
      </c:valAx>
      <c:valAx>
        <c:axId val="1798274655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80574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983311461067365"/>
          <c:y val="0.90755024459970668"/>
          <c:w val="0.53016688538932644"/>
          <c:h val="6.553300555740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Calibri Light" panose="020F0302020204030204" pitchFamily="34" charset="0"/>
                <a:cs typeface="Calibri Light" panose="020F0302020204030204" pitchFamily="34" charset="0"/>
              </a:rPr>
              <a:t>γ</a:t>
            </a:r>
            <a:r>
              <a:rPr lang="pl-PL">
                <a:latin typeface="Calibri Light" panose="020F0302020204030204" pitchFamily="34" charset="0"/>
                <a:cs typeface="Calibri Light" panose="020F0302020204030204" pitchFamily="34" charset="0"/>
              </a:rPr>
              <a:t>(V)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47062554680665"/>
          <c:y val="0.17171296296296296"/>
          <c:w val="0.77627865266841645"/>
          <c:h val="0.651411854768154"/>
        </c:manualLayout>
      </c:layout>
      <c:scatterChart>
        <c:scatterStyle val="smoothMarker"/>
        <c:varyColors val="0"/>
        <c:ser>
          <c:idx val="1"/>
          <c:order val="0"/>
          <c:tx>
            <c:v>metoda ciągu, m=const.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'h=4500m'!$I$3:$I$17</c:f>
              <c:numCache>
                <c:formatCode>0.0</c:formatCode>
                <c:ptCount val="15"/>
                <c:pt idx="0">
                  <c:v>24.976599984063338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36</c:v>
                </c:pt>
                <c:pt idx="8">
                  <c:v>39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50</c:v>
                </c:pt>
                <c:pt idx="14">
                  <c:v>52</c:v>
                </c:pt>
              </c:numCache>
            </c:numRef>
          </c:xVal>
          <c:yVal>
            <c:numRef>
              <c:f>'h=4500m'!$M$3:$M$17</c:f>
              <c:numCache>
                <c:formatCode>0.00</c:formatCode>
                <c:ptCount val="15"/>
                <c:pt idx="0">
                  <c:v>-0.99623873025621457</c:v>
                </c:pt>
                <c:pt idx="1">
                  <c:v>-0.74059199378321783</c:v>
                </c:pt>
                <c:pt idx="2">
                  <c:v>-0.70723867230617365</c:v>
                </c:pt>
                <c:pt idx="3">
                  <c:v>-0.55515047229864778</c:v>
                </c:pt>
                <c:pt idx="4">
                  <c:v>-0.49329955336645048</c:v>
                </c:pt>
                <c:pt idx="5">
                  <c:v>-0.44300829150382942</c:v>
                </c:pt>
                <c:pt idx="6">
                  <c:v>-0.45978724102494389</c:v>
                </c:pt>
                <c:pt idx="7">
                  <c:v>-0.59925980543369051</c:v>
                </c:pt>
                <c:pt idx="8">
                  <c:v>-1.0193186985610541</c:v>
                </c:pt>
                <c:pt idx="9">
                  <c:v>-1.626619704044272</c:v>
                </c:pt>
                <c:pt idx="10">
                  <c:v>-2.174709039235919</c:v>
                </c:pt>
                <c:pt idx="11">
                  <c:v>-2.9672764409634413</c:v>
                </c:pt>
                <c:pt idx="12">
                  <c:v>-4.0290763359592896</c:v>
                </c:pt>
                <c:pt idx="13">
                  <c:v>-5.0744481629422769</c:v>
                </c:pt>
                <c:pt idx="14">
                  <c:v>-6.1669888824759918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D9-4846-88B0-4EEEE1BC55B9}"/>
            </c:ext>
          </c:extLst>
        </c:ser>
        <c:ser>
          <c:idx val="0"/>
          <c:order val="1"/>
          <c:tx>
            <c:v>metoda mocy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'h=4500m'!$H$22:$H$35</c:f>
              <c:numCache>
                <c:formatCode>0.0</c:formatCode>
                <c:ptCount val="14"/>
                <c:pt idx="0">
                  <c:v>24.976599984063338</c:v>
                </c:pt>
                <c:pt idx="1">
                  <c:v>25.913491163225832</c:v>
                </c:pt>
                <c:pt idx="2">
                  <c:v>26.916252421603136</c:v>
                </c:pt>
                <c:pt idx="3">
                  <c:v>28.024822419719673</c:v>
                </c:pt>
                <c:pt idx="4">
                  <c:v>30.784642071542759</c:v>
                </c:pt>
                <c:pt idx="5">
                  <c:v>32.491536865861505</c:v>
                </c:pt>
                <c:pt idx="6">
                  <c:v>34.523334053607158</c:v>
                </c:pt>
                <c:pt idx="7">
                  <c:v>36.960003022078439</c:v>
                </c:pt>
                <c:pt idx="8">
                  <c:v>40.246726535522967</c:v>
                </c:pt>
                <c:pt idx="9">
                  <c:v>44.102905643179376</c:v>
                </c:pt>
                <c:pt idx="10">
                  <c:v>49.721762856978245</c:v>
                </c:pt>
                <c:pt idx="11">
                  <c:v>53.053826298861324</c:v>
                </c:pt>
                <c:pt idx="12">
                  <c:v>58.048077773836184</c:v>
                </c:pt>
              </c:numCache>
            </c:numRef>
          </c:xVal>
          <c:yVal>
            <c:numRef>
              <c:f>'h=4500m'!$M$22:$M$35</c:f>
              <c:numCache>
                <c:formatCode>0.00</c:formatCode>
                <c:ptCount val="14"/>
                <c:pt idx="0">
                  <c:v>-1.4057071276347592</c:v>
                </c:pt>
                <c:pt idx="1">
                  <c:v>-1.1205365667548699</c:v>
                </c:pt>
                <c:pt idx="2">
                  <c:v>-0.84033808832557699</c:v>
                </c:pt>
                <c:pt idx="3">
                  <c:v>-0.71044140918447685</c:v>
                </c:pt>
                <c:pt idx="4">
                  <c:v>-0.57142584248880579</c:v>
                </c:pt>
                <c:pt idx="5">
                  <c:v>-0.57501614894884223</c:v>
                </c:pt>
                <c:pt idx="6">
                  <c:v>-0.77862648833113091</c:v>
                </c:pt>
                <c:pt idx="7">
                  <c:v>-1.0116960477623984</c:v>
                </c:pt>
                <c:pt idx="8">
                  <c:v>-1.5755933277558183</c:v>
                </c:pt>
                <c:pt idx="9">
                  <c:v>-2.4925854991055503</c:v>
                </c:pt>
                <c:pt idx="10">
                  <c:v>-4.9296519205600537</c:v>
                </c:pt>
                <c:pt idx="11">
                  <c:v>-6.7045692504641901</c:v>
                </c:pt>
                <c:pt idx="12">
                  <c:v>-9.5605965064382623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D9-4846-88B0-4EEEE1BC5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9855"/>
        <c:axId val="119494479"/>
      </c:scatterChart>
      <c:valAx>
        <c:axId val="73229855"/>
        <c:scaling>
          <c:orientation val="minMax"/>
          <c:max val="4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494479"/>
        <c:crosses val="autoZero"/>
        <c:crossBetween val="midCat"/>
        <c:majorUnit val="2"/>
      </c:valAx>
      <c:valAx>
        <c:axId val="119494479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γ</a:t>
                </a:r>
                <a:r>
                  <a:rPr lang="pl-PL">
                    <a:latin typeface="Calibri Light" panose="020F0302020204030204" pitchFamily="34" charset="0"/>
                    <a:cs typeface="Calibri Light" panose="020F0302020204030204" pitchFamily="34" charset="0"/>
                  </a:rPr>
                  <a:t>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318241469816273E-2"/>
          <c:y val="0.9035640857392826"/>
          <c:w val="0.9630150918635170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76200</xdr:rowOff>
    </xdr:from>
    <xdr:to>
      <xdr:col>11</xdr:col>
      <xdr:colOff>228600</xdr:colOff>
      <xdr:row>23</xdr:row>
      <xdr:rowOff>32657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E8A907C-E7DE-464A-9BF7-848ED342E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218803</xdr:colOff>
      <xdr:row>22</xdr:row>
      <xdr:rowOff>148046</xdr:rowOff>
    </xdr:from>
    <xdr:to>
      <xdr:col>11</xdr:col>
      <xdr:colOff>556260</xdr:colOff>
      <xdr:row>44</xdr:row>
      <xdr:rowOff>144780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E8D21FE-180E-4A4F-B7E4-B2C943427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359229</xdr:colOff>
      <xdr:row>58</xdr:row>
      <xdr:rowOff>174173</xdr:rowOff>
    </xdr:from>
    <xdr:to>
      <xdr:col>28</xdr:col>
      <xdr:colOff>533400</xdr:colOff>
      <xdr:row>73</xdr:row>
      <xdr:rowOff>130630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1E2C713-8E7A-4B80-9A74-225D955D1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76200</xdr:colOff>
      <xdr:row>59</xdr:row>
      <xdr:rowOff>32659</xdr:rowOff>
    </xdr:from>
    <xdr:to>
      <xdr:col>22</xdr:col>
      <xdr:colOff>402772</xdr:colOff>
      <xdr:row>73</xdr:row>
      <xdr:rowOff>174173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3084D06-E413-4364-95BF-41C7E592D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380999</xdr:colOff>
      <xdr:row>59</xdr:row>
      <xdr:rowOff>65316</xdr:rowOff>
    </xdr:from>
    <xdr:to>
      <xdr:col>17</xdr:col>
      <xdr:colOff>97970</xdr:colOff>
      <xdr:row>74</xdr:row>
      <xdr:rowOff>21772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02DDC56B-D880-4024-8D44-2A7F5FD13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468086</xdr:colOff>
      <xdr:row>88</xdr:row>
      <xdr:rowOff>76199</xdr:rowOff>
    </xdr:from>
    <xdr:to>
      <xdr:col>28</xdr:col>
      <xdr:colOff>380999</xdr:colOff>
      <xdr:row>127</xdr:row>
      <xdr:rowOff>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6718919B-7BCF-ECDF-B00A-4036DAD90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241662</xdr:colOff>
      <xdr:row>127</xdr:row>
      <xdr:rowOff>34834</xdr:rowOff>
    </xdr:from>
    <xdr:to>
      <xdr:col>48</xdr:col>
      <xdr:colOff>596921</xdr:colOff>
      <xdr:row>165</xdr:row>
      <xdr:rowOff>72615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518B6E7-9142-4493-B296-25AC513C7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195943</xdr:colOff>
      <xdr:row>99</xdr:row>
      <xdr:rowOff>152400</xdr:rowOff>
    </xdr:from>
    <xdr:to>
      <xdr:col>7</xdr:col>
      <xdr:colOff>310243</xdr:colOff>
      <xdr:row>124</xdr:row>
      <xdr:rowOff>87087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A5731CA4-9D35-4F37-B608-49485C23A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370116</xdr:colOff>
      <xdr:row>124</xdr:row>
      <xdr:rowOff>163758</xdr:rowOff>
    </xdr:from>
    <xdr:to>
      <xdr:col>10</xdr:col>
      <xdr:colOff>536714</xdr:colOff>
      <xdr:row>148</xdr:row>
      <xdr:rowOff>10884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E9E5A937-A252-40AF-ABA0-874CEA3C2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163286</xdr:colOff>
      <xdr:row>0</xdr:row>
      <xdr:rowOff>32657</xdr:rowOff>
    </xdr:from>
    <xdr:to>
      <xdr:col>47</xdr:col>
      <xdr:colOff>133705</xdr:colOff>
      <xdr:row>22</xdr:row>
      <xdr:rowOff>181271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897C6937-DE45-495E-8B25-DFB1EFF7D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38</xdr:col>
      <xdr:colOff>326571</xdr:colOff>
      <xdr:row>23</xdr:row>
      <xdr:rowOff>87086</xdr:rowOff>
    </xdr:from>
    <xdr:to>
      <xdr:col>48</xdr:col>
      <xdr:colOff>215347</xdr:colOff>
      <xdr:row>45</xdr:row>
      <xdr:rowOff>103698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14114994-AD7C-4D67-AD3A-B41F878C9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130629</xdr:colOff>
      <xdr:row>74</xdr:row>
      <xdr:rowOff>21772</xdr:rowOff>
    </xdr:from>
    <xdr:to>
      <xdr:col>22</xdr:col>
      <xdr:colOff>457201</xdr:colOff>
      <xdr:row>88</xdr:row>
      <xdr:rowOff>152400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6CEE0491-4BEE-479C-881B-5FC89E6C9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381000</xdr:colOff>
      <xdr:row>74</xdr:row>
      <xdr:rowOff>21771</xdr:rowOff>
    </xdr:from>
    <xdr:to>
      <xdr:col>28</xdr:col>
      <xdr:colOff>555171</xdr:colOff>
      <xdr:row>88</xdr:row>
      <xdr:rowOff>152399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5801D50B-6BB2-48C8-B49C-A529F1DF0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511628</xdr:colOff>
      <xdr:row>127</xdr:row>
      <xdr:rowOff>10886</xdr:rowOff>
    </xdr:from>
    <xdr:to>
      <xdr:col>28</xdr:col>
      <xdr:colOff>424541</xdr:colOff>
      <xdr:row>165</xdr:row>
      <xdr:rowOff>141516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D2715BB2-53AD-4217-BB68-5D4090D4E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500742</xdr:colOff>
      <xdr:row>88</xdr:row>
      <xdr:rowOff>130628</xdr:rowOff>
    </xdr:from>
    <xdr:to>
      <xdr:col>49</xdr:col>
      <xdr:colOff>206827</xdr:colOff>
      <xdr:row>127</xdr:row>
      <xdr:rowOff>54429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0B36CCF8-9C57-4960-98C7-42786F876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29</xdr:col>
      <xdr:colOff>449580</xdr:colOff>
      <xdr:row>10</xdr:row>
      <xdr:rowOff>22860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6A1520A-8D10-4D0F-AF81-BAB6CFFD8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10</xdr:row>
      <xdr:rowOff>0</xdr:rowOff>
    </xdr:from>
    <xdr:to>
      <xdr:col>29</xdr:col>
      <xdr:colOff>441960</xdr:colOff>
      <xdr:row>17</xdr:row>
      <xdr:rowOff>144780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50A19E8-8547-4896-BEC5-6D3579FEB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2</xdr:row>
      <xdr:rowOff>0</xdr:rowOff>
    </xdr:from>
    <xdr:to>
      <xdr:col>37</xdr:col>
      <xdr:colOff>304800</xdr:colOff>
      <xdr:row>17</xdr:row>
      <xdr:rowOff>106680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1A371C1A-55EB-48B6-9E17-A5E4C0F0D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129206</xdr:colOff>
      <xdr:row>6</xdr:row>
      <xdr:rowOff>102704</xdr:rowOff>
    </xdr:from>
    <xdr:to>
      <xdr:col>18</xdr:col>
      <xdr:colOff>434006</xdr:colOff>
      <xdr:row>20</xdr:row>
      <xdr:rowOff>155712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35E04C7-B7E0-B146-D29D-C7D2EA550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142460</xdr:colOff>
      <xdr:row>20</xdr:row>
      <xdr:rowOff>162339</xdr:rowOff>
    </xdr:from>
    <xdr:to>
      <xdr:col>18</xdr:col>
      <xdr:colOff>447260</xdr:colOff>
      <xdr:row>35</xdr:row>
      <xdr:rowOff>23192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1C12E80-29ED-3D79-4805-649264BF5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205409</xdr:colOff>
      <xdr:row>35</xdr:row>
      <xdr:rowOff>99392</xdr:rowOff>
    </xdr:from>
    <xdr:to>
      <xdr:col>18</xdr:col>
      <xdr:colOff>510209</xdr:colOff>
      <xdr:row>49</xdr:row>
      <xdr:rowOff>152400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3D831F1-570B-4C72-A2E4-6DC9EE7FB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0.02283</cdr:x>
      <cdr:y>0.11956</cdr:y>
    </cdr:from>
    <cdr:to>
      <cdr:x>0.0721</cdr:x>
      <cdr:y>0.27355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1AF3BBBA-BCE6-1420-EE86-41FB1FD3FDF1}"/>
            </a:ext>
          </a:extLst>
        </cdr:cNvPr>
        <cdr:cNvSpPr txBox="1"/>
      </cdr:nvSpPr>
      <cdr:spPr>
        <a:xfrm xmlns:a="http://schemas.openxmlformats.org/drawingml/2006/main" rot="16200000">
          <a:off x="5801" y="426553"/>
          <a:ext cx="422413" cy="225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l-GR" sz="900"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pl-PL" sz="900"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pl-PL" sz="900" baseline="-25000"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phi</a:t>
          </a:r>
          <a:endParaRPr lang="pl-PL" sz="900"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0.67319</cdr:x>
      <cdr:y>0.08816</cdr:y>
    </cdr:from>
    <cdr:to>
      <cdr:x>0.76449</cdr:x>
      <cdr:y>0.16546</cdr:y>
    </cdr:to>
    <cdr:sp macro="" textlink="">
      <cdr:nvSpPr>
        <cdr:cNvPr id="3" name="pole tekstowe 2">
          <a:extLst xmlns:a="http://schemas.openxmlformats.org/drawingml/2006/main">
            <a:ext uri="{FF2B5EF4-FFF2-40B4-BE49-F238E27FC236}">
              <a16:creationId xmlns:a16="http://schemas.microsoft.com/office/drawing/2014/main" id="{C3D7EC39-9514-9024-0E2E-71DA92524531}"/>
            </a:ext>
          </a:extLst>
        </cdr:cNvPr>
        <cdr:cNvSpPr txBox="1"/>
      </cdr:nvSpPr>
      <cdr:spPr>
        <a:xfrm xmlns:a="http://schemas.openxmlformats.org/drawingml/2006/main">
          <a:off x="3077817" y="241852"/>
          <a:ext cx="417444" cy="212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l-PL" sz="110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pl-PL" sz="1100" baseline="-2500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0</a:t>
          </a:r>
          <a:endParaRPr lang="pl-PL" sz="11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0.67681</cdr:x>
      <cdr:y>0.31039</cdr:y>
    </cdr:from>
    <cdr:to>
      <cdr:x>0.75145</cdr:x>
      <cdr:y>0.41425</cdr:y>
    </cdr:to>
    <cdr:sp macro="" textlink="">
      <cdr:nvSpPr>
        <cdr:cNvPr id="4" name="pole tekstowe 3">
          <a:extLst xmlns:a="http://schemas.openxmlformats.org/drawingml/2006/main">
            <a:ext uri="{FF2B5EF4-FFF2-40B4-BE49-F238E27FC236}">
              <a16:creationId xmlns:a16="http://schemas.microsoft.com/office/drawing/2014/main" id="{C8A26B76-D001-2AD7-0FA9-3EE002DD2D85}"/>
            </a:ext>
          </a:extLst>
        </cdr:cNvPr>
        <cdr:cNvSpPr txBox="1"/>
      </cdr:nvSpPr>
      <cdr:spPr>
        <a:xfrm xmlns:a="http://schemas.openxmlformats.org/drawingml/2006/main">
          <a:off x="3094381" y="851452"/>
          <a:ext cx="341246" cy="284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l-PL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pl-PL" sz="1100" baseline="-250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śr</a:t>
          </a:r>
          <a:r>
            <a:rPr lang="pl-PL" sz="1100" baseline="-25000">
              <a:effectLst/>
              <a:latin typeface="+mn-lt"/>
              <a:ea typeface="+mn-ea"/>
              <a:cs typeface="+mn-cs"/>
            </a:rPr>
            <a:t> </a:t>
          </a:r>
          <a:endParaRPr lang="pl-PL" sz="1100"/>
        </a:p>
      </cdr:txBody>
    </cdr:sp>
  </cdr:relSizeAnchor>
  <cdr:relSizeAnchor xmlns:cdr="http://schemas.openxmlformats.org/drawingml/2006/chartDrawing">
    <cdr:from>
      <cdr:x>0.03696</cdr:x>
      <cdr:y>0.62319</cdr:y>
    </cdr:from>
    <cdr:to>
      <cdr:x>0.11812</cdr:x>
      <cdr:y>0.82729</cdr:y>
    </cdr:to>
    <cdr:sp macro="" textlink="">
      <cdr:nvSpPr>
        <cdr:cNvPr id="5" name="pole tekstowe 4">
          <a:extLst xmlns:a="http://schemas.openxmlformats.org/drawingml/2006/main">
            <a:ext uri="{FF2B5EF4-FFF2-40B4-BE49-F238E27FC236}">
              <a16:creationId xmlns:a16="http://schemas.microsoft.com/office/drawing/2014/main" id="{18BE0B30-EEF4-9ECC-20F5-BEAB78EC8DD1}"/>
            </a:ext>
          </a:extLst>
        </cdr:cNvPr>
        <cdr:cNvSpPr txBox="1"/>
      </cdr:nvSpPr>
      <cdr:spPr>
        <a:xfrm xmlns:a="http://schemas.openxmlformats.org/drawingml/2006/main">
          <a:off x="168965" y="1709529"/>
          <a:ext cx="371061" cy="559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l-PL" sz="1100">
              <a:effectLst/>
              <a:latin typeface="+mn-lt"/>
              <a:ea typeface="+mn-ea"/>
              <a:cs typeface="+mn-cs"/>
            </a:rPr>
            <a:t>V</a:t>
          </a:r>
          <a:r>
            <a:rPr lang="pl-PL" sz="1100" baseline="-25000">
              <a:effectLst/>
              <a:latin typeface="+mn-lt"/>
              <a:ea typeface="+mn-ea"/>
              <a:cs typeface="+mn-cs"/>
            </a:rPr>
            <a:t>min</a:t>
          </a:r>
        </a:p>
        <a:p xmlns:a="http://schemas.openxmlformats.org/drawingml/2006/main">
          <a:pPr algn="ctr"/>
          <a:r>
            <a:rPr lang="pl-PL" sz="1100"/>
            <a:t>t=0</a:t>
          </a:r>
        </a:p>
      </cdr:txBody>
    </cdr:sp>
  </cdr:relSizeAnchor>
  <cdr:relSizeAnchor xmlns:cdr="http://schemas.openxmlformats.org/drawingml/2006/chartDrawing">
    <cdr:from>
      <cdr:x>0.91739</cdr:x>
      <cdr:y>0.63043</cdr:y>
    </cdr:from>
    <cdr:to>
      <cdr:x>1</cdr:x>
      <cdr:y>0.80072</cdr:y>
    </cdr:to>
    <cdr:sp macro="" textlink="">
      <cdr:nvSpPr>
        <cdr:cNvPr id="6" name="pole tekstowe 5">
          <a:extLst xmlns:a="http://schemas.openxmlformats.org/drawingml/2006/main">
            <a:ext uri="{FF2B5EF4-FFF2-40B4-BE49-F238E27FC236}">
              <a16:creationId xmlns:a16="http://schemas.microsoft.com/office/drawing/2014/main" id="{F6A814C4-C6ED-CCED-4D62-FC2E42754718}"/>
            </a:ext>
          </a:extLst>
        </cdr:cNvPr>
        <cdr:cNvSpPr txBox="1"/>
      </cdr:nvSpPr>
      <cdr:spPr>
        <a:xfrm xmlns:a="http://schemas.openxmlformats.org/drawingml/2006/main">
          <a:off x="4194311" y="1729407"/>
          <a:ext cx="377689" cy="4671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l-PL" sz="1100">
              <a:effectLst/>
              <a:latin typeface="+mn-lt"/>
              <a:ea typeface="+mn-ea"/>
              <a:cs typeface="+mn-cs"/>
            </a:rPr>
            <a:t>V</a:t>
          </a:r>
          <a:r>
            <a:rPr lang="pl-PL" sz="1100" baseline="-25000">
              <a:effectLst/>
              <a:latin typeface="+mn-lt"/>
              <a:ea typeface="+mn-ea"/>
              <a:cs typeface="+mn-cs"/>
            </a:rPr>
            <a:t>max</a:t>
          </a:r>
        </a:p>
        <a:p xmlns:a="http://schemas.openxmlformats.org/drawingml/2006/main">
          <a:pPr algn="ctr"/>
          <a:r>
            <a:rPr lang="pl-PL" sz="1100"/>
            <a:t>t=</a:t>
          </a:r>
          <a:r>
            <a:rPr lang="pl-PL" sz="1100">
              <a:effectLst/>
              <a:latin typeface="+mn-lt"/>
              <a:ea typeface="+mn-ea"/>
              <a:cs typeface="+mn-cs"/>
            </a:rPr>
            <a:t>t</a:t>
          </a:r>
          <a:r>
            <a:rPr lang="pl-PL" sz="1100" baseline="-25000">
              <a:effectLst/>
              <a:latin typeface="+mn-lt"/>
              <a:ea typeface="+mn-ea"/>
              <a:cs typeface="+mn-cs"/>
            </a:rPr>
            <a:t>k</a:t>
          </a:r>
          <a:endParaRPr lang="pl-PL" sz="1100"/>
        </a:p>
      </cdr:txBody>
    </cdr:sp>
  </cdr:relSizeAnchor>
  <cdr:relSizeAnchor xmlns:cdr="http://schemas.openxmlformats.org/drawingml/2006/chartDrawing">
    <cdr:from>
      <cdr:x>0.20652</cdr:x>
      <cdr:y>0.17271</cdr:y>
    </cdr:from>
    <cdr:to>
      <cdr:x>0.28478</cdr:x>
      <cdr:y>0.25966</cdr:y>
    </cdr:to>
    <cdr:sp macro="" textlink="">
      <cdr:nvSpPr>
        <cdr:cNvPr id="7" name="pole tekstowe 6">
          <a:extLst xmlns:a="http://schemas.openxmlformats.org/drawingml/2006/main">
            <a:ext uri="{FF2B5EF4-FFF2-40B4-BE49-F238E27FC236}">
              <a16:creationId xmlns:a16="http://schemas.microsoft.com/office/drawing/2014/main" id="{50DFF9FD-26A0-FF38-267C-E37EF45102EA}"/>
            </a:ext>
          </a:extLst>
        </cdr:cNvPr>
        <cdr:cNvSpPr txBox="1"/>
      </cdr:nvSpPr>
      <cdr:spPr>
        <a:xfrm xmlns:a="http://schemas.openxmlformats.org/drawingml/2006/main" rot="972275">
          <a:off x="944218" y="473766"/>
          <a:ext cx="357808" cy="2385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l-PL" sz="1100">
              <a:solidFill>
                <a:schemeClr val="accent3"/>
              </a:solidFill>
            </a:rPr>
            <a:t>h=0</a:t>
          </a:r>
        </a:p>
      </cdr:txBody>
    </cdr:sp>
  </cdr:relSizeAnchor>
  <cdr:relSizeAnchor xmlns:cdr="http://schemas.openxmlformats.org/drawingml/2006/chartDrawing">
    <cdr:from>
      <cdr:x>0.16449</cdr:x>
      <cdr:y>0.27416</cdr:y>
    </cdr:from>
    <cdr:to>
      <cdr:x>0.23985</cdr:x>
      <cdr:y>0.36836</cdr:y>
    </cdr:to>
    <cdr:sp macro="" textlink="">
      <cdr:nvSpPr>
        <cdr:cNvPr id="9" name="pole tekstowe 8">
          <a:extLst xmlns:a="http://schemas.openxmlformats.org/drawingml/2006/main">
            <a:ext uri="{FF2B5EF4-FFF2-40B4-BE49-F238E27FC236}">
              <a16:creationId xmlns:a16="http://schemas.microsoft.com/office/drawing/2014/main" id="{A26AB24A-BDA1-88BA-3DAA-930A12ACBFA0}"/>
            </a:ext>
          </a:extLst>
        </cdr:cNvPr>
        <cdr:cNvSpPr txBox="1"/>
      </cdr:nvSpPr>
      <cdr:spPr>
        <a:xfrm xmlns:a="http://schemas.openxmlformats.org/drawingml/2006/main" rot="868366">
          <a:off x="752060" y="752062"/>
          <a:ext cx="344557" cy="2584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l-PL" sz="1100">
              <a:solidFill>
                <a:schemeClr val="accent3"/>
              </a:solidFill>
            </a:rPr>
            <a:t>h&gt;0</a:t>
          </a:r>
        </a:p>
      </cdr:txBody>
    </cdr:sp>
  </cdr:relSizeAnchor>
  <cdr:relSizeAnchor xmlns:cdr="http://schemas.openxmlformats.org/drawingml/2006/chartDrawing">
    <cdr:from>
      <cdr:x>0.66884</cdr:x>
      <cdr:y>0.53744</cdr:y>
    </cdr:from>
    <cdr:to>
      <cdr:x>0.86884</cdr:x>
      <cdr:y>0.87077</cdr:y>
    </cdr:to>
    <cdr:sp macro="" textlink="">
      <cdr:nvSpPr>
        <cdr:cNvPr id="10" name="pole tekstowe 9">
          <a:extLst xmlns:a="http://schemas.openxmlformats.org/drawingml/2006/main">
            <a:ext uri="{FF2B5EF4-FFF2-40B4-BE49-F238E27FC236}">
              <a16:creationId xmlns:a16="http://schemas.microsoft.com/office/drawing/2014/main" id="{B169B5B2-A0F3-30E2-708D-B0E4443BF985}"/>
            </a:ext>
          </a:extLst>
        </cdr:cNvPr>
        <cdr:cNvSpPr txBox="1"/>
      </cdr:nvSpPr>
      <cdr:spPr>
        <a:xfrm xmlns:a="http://schemas.openxmlformats.org/drawingml/2006/main">
          <a:off x="3057941" y="147430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l-PL" sz="110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pl-PL" sz="1100" baseline="-2500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min</a:t>
          </a:r>
          <a:endParaRPr lang="pl-PL" sz="1100">
            <a:solidFill>
              <a:schemeClr val="accent5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EAF61F6-1C87-5DA8-4735-3E072D20D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BFF5090-BDC7-F8BA-9DF6-4B9CED660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518160</xdr:colOff>
      <xdr:row>0</xdr:row>
      <xdr:rowOff>95250</xdr:rowOff>
    </xdr:from>
    <xdr:to>
      <xdr:col>32</xdr:col>
      <xdr:colOff>213360</xdr:colOff>
      <xdr:row>15</xdr:row>
      <xdr:rowOff>106680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21CAE41-5F64-3CAD-0636-B7571DC63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3DF5FE3-7EF3-480A-A080-866738677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7D5018A-83BE-4F36-BCAF-72B348DF7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525780</xdr:colOff>
      <xdr:row>0</xdr:row>
      <xdr:rowOff>76200</xdr:rowOff>
    </xdr:from>
    <xdr:to>
      <xdr:col>32</xdr:col>
      <xdr:colOff>220980</xdr:colOff>
      <xdr:row>15</xdr:row>
      <xdr:rowOff>87630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9ECDC62-B3A9-4346-8020-224AA79DD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1EEB78D-00AA-4C0E-9F3D-DAF2C536B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68C73E0-3FB0-4643-9CF7-AE0FA1AF0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548640</xdr:colOff>
      <xdr:row>0</xdr:row>
      <xdr:rowOff>53340</xdr:rowOff>
    </xdr:from>
    <xdr:to>
      <xdr:col>32</xdr:col>
      <xdr:colOff>243840</xdr:colOff>
      <xdr:row>15</xdr:row>
      <xdr:rowOff>64770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9E3A952-8CCC-48CF-AADF-C5DE55E5F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E239C66-92A4-427B-93BD-439D047D9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978BBA4-EABB-47FB-BEF6-0C8AE5821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548640</xdr:colOff>
      <xdr:row>0</xdr:row>
      <xdr:rowOff>91440</xdr:rowOff>
    </xdr:from>
    <xdr:to>
      <xdr:col>32</xdr:col>
      <xdr:colOff>243840</xdr:colOff>
      <xdr:row>15</xdr:row>
      <xdr:rowOff>102870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60F7AF9-E263-4E3B-BA0A-94381AA40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39AF53A-0D27-461C-96FD-629C9A5FA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CF87B24-5AD9-4F4A-BCF3-491408668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579120</xdr:colOff>
      <xdr:row>0</xdr:row>
      <xdr:rowOff>137160</xdr:rowOff>
    </xdr:from>
    <xdr:to>
      <xdr:col>32</xdr:col>
      <xdr:colOff>274320</xdr:colOff>
      <xdr:row>15</xdr:row>
      <xdr:rowOff>148590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751CD08-1EF2-431A-9A9A-8AD7FE7C2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956DBB8-5790-4B6B-8971-7711F88F6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434C0C6-1ED1-467E-8EC7-B54C2076D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571500</xdr:colOff>
      <xdr:row>0</xdr:row>
      <xdr:rowOff>76200</xdr:rowOff>
    </xdr:from>
    <xdr:to>
      <xdr:col>32</xdr:col>
      <xdr:colOff>266700</xdr:colOff>
      <xdr:row>15</xdr:row>
      <xdr:rowOff>87630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F337130-D4FC-4739-95C7-7B5065367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A5D5434-DE09-4E9D-84BC-31E226A2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289560</xdr:colOff>
      <xdr:row>0</xdr:row>
      <xdr:rowOff>125730</xdr:rowOff>
    </xdr:from>
    <xdr:to>
      <xdr:col>24</xdr:col>
      <xdr:colOff>594360</xdr:colOff>
      <xdr:row>15</xdr:row>
      <xdr:rowOff>110490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E15162B-4DDD-4BDA-B0A6-13D3B3716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502920</xdr:colOff>
      <xdr:row>0</xdr:row>
      <xdr:rowOff>91440</xdr:rowOff>
    </xdr:from>
    <xdr:to>
      <xdr:col>32</xdr:col>
      <xdr:colOff>198120</xdr:colOff>
      <xdr:row>15</xdr:row>
      <xdr:rowOff>102870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28339D1-BE9B-4405-9C94-46CC442DC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5A158A8-1E90-4656-B6E7-BD3874F30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30EDD3B-9E5F-4C49-BC2D-CBE18AC2E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495300</xdr:colOff>
      <xdr:row>0</xdr:row>
      <xdr:rowOff>53340</xdr:rowOff>
    </xdr:from>
    <xdr:to>
      <xdr:col>32</xdr:col>
      <xdr:colOff>190500</xdr:colOff>
      <xdr:row>15</xdr:row>
      <xdr:rowOff>64770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E0EED77-4E2F-4CE8-B5E8-0D6F868E7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F6F3F53-136D-4F9A-B832-0E09115AF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EAE1430-9C23-4497-903F-EF74885F6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533400</xdr:colOff>
      <xdr:row>0</xdr:row>
      <xdr:rowOff>83820</xdr:rowOff>
    </xdr:from>
    <xdr:to>
      <xdr:col>32</xdr:col>
      <xdr:colOff>228600</xdr:colOff>
      <xdr:row>15</xdr:row>
      <xdr:rowOff>95250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A1CFF71-35F8-44C2-A36C-73EEC3627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16</xdr:row>
      <xdr:rowOff>80010</xdr:rowOff>
    </xdr:from>
    <xdr:to>
      <xdr:col>24</xdr:col>
      <xdr:colOff>548640</xdr:colOff>
      <xdr:row>30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5741F6C-72D9-4C85-BB7D-22CDDFF35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175260</xdr:colOff>
      <xdr:row>0</xdr:row>
      <xdr:rowOff>110490</xdr:rowOff>
    </xdr:from>
    <xdr:to>
      <xdr:col>24</xdr:col>
      <xdr:colOff>480060</xdr:colOff>
      <xdr:row>15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2B7D20C-4315-432E-804A-76BB19FE6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472440</xdr:colOff>
      <xdr:row>0</xdr:row>
      <xdr:rowOff>22860</xdr:rowOff>
    </xdr:from>
    <xdr:to>
      <xdr:col>32</xdr:col>
      <xdr:colOff>167640</xdr:colOff>
      <xdr:row>15</xdr:row>
      <xdr:rowOff>34290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95B09DC9-9F3A-4D30-A36A-C61024DC8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 PWS" connectionId="32" xr16:uid="{A2C241F8-EA4B-418A-B947-FC51FA4FDA5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(v) dane_1" connectionId="1" xr16:uid="{00000000-0016-0000-0000-000000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2 PWS" connectionId="33" xr16:uid="{43BBF24F-C94E-46B8-A2A8-EAA5CD1A1879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500" connectionId="31" xr16:uid="{4DC0C967-59D3-453F-AA25-F117421FFD5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4000" connectionId="29" xr16:uid="{A78D550E-AA8F-42F3-90AB-083F95A06DA6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22" xr16:uid="{107D9DDF-CA84-49AF-9D56-C564DD8B9843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5011" connectionId="2" xr16:uid="{1668E645-01D3-46AE-BE08-640FF130A1AE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1500" connectionId="24" xr16:uid="{787804BD-D34C-4C55-835D-8F062E6EF898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2000" connectionId="25" xr16:uid="{E283C856-44ED-4B5F-B494-F44F9CB3486C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2500" connectionId="26" xr16:uid="{3FBA354A-6EB4-4DFD-A95E-AA2F3F596861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4500" connectionId="30" xr16:uid="{87237806-53CD-4908-A85B-B149D34ED749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1000" connectionId="23" xr16:uid="{8C6E15BB-0EC0-46D5-B7FE-A604F3509584}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3000" connectionId="27" xr16:uid="{C5A71315-78B9-43FA-AB88-5275058B132C}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3500" connectionId="28" xr16:uid="{D7D3B9A1-E22F-4C8C-8112-30320F2182D8}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3" xr16:uid="{0A34FA7A-7ED4-4488-BE70-91FE633341F8}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5" xr16:uid="{08D96480-1419-4EB7-879C-D38893DFC7BA}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4" xr16:uid="{19D435E3-E16D-4B76-9F1C-CD36293881F4}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6" xr16:uid="{DD94E9E8-C2EF-4794-B80A-17C5B19EA99F}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14" xr16:uid="{D94444F8-60CA-4604-A0D1-AA6381B152C2}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7" xr16:uid="{E7AF46A8-56EA-4ABD-9BBF-7CA228859F68}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15" xr16:uid="{27EC2045-B532-405B-BC33-9D4E69748D6D}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8" xr16:uid="{E15F0F51-0411-490E-9B03-3BBDC44A84E4}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16" xr16:uid="{E601ADB7-9E84-447D-A8B0-E9FD4AA2217C}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9" xr16:uid="{97702F87-9DEC-496A-9B79-A83D1C77FCF8}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17" xr16:uid="{18496DF9-A54D-41E2-8DD1-D184F09C5A45}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10" xr16:uid="{0B179721-9BAA-4D3E-B454-1A920E10E975}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18" xr16:uid="{BA946952-43DC-4F36-AEF1-44EB254C530C}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11" xr16:uid="{14F85793-F597-42A5-A4F2-126F781295BC}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19" xr16:uid="{A54481C4-9E22-4D85-A262-783FEE488A2B}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12" xr16:uid="{ABEB9DF3-AFF9-4C9B-BEF0-AE774965B5E8}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20" xr16:uid="{49F865CF-8300-43B0-BF8C-F1E12D18EC8C}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_1" connectionId="13" xr16:uid="{5AAA991B-D754-45E4-906B-5F0377D295A8}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=0" connectionId="21" xr16:uid="{AC10EA88-83E7-42D7-89D6-4BAEB8A1C85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9.xml"/><Relationship Id="rId13" Type="http://schemas.openxmlformats.org/officeDocument/2006/relationships/queryTable" Target="../queryTables/queryTable14.xml"/><Relationship Id="rId3" Type="http://schemas.openxmlformats.org/officeDocument/2006/relationships/queryTable" Target="../queryTables/queryTable4.xml"/><Relationship Id="rId7" Type="http://schemas.openxmlformats.org/officeDocument/2006/relationships/queryTable" Target="../queryTables/queryTable8.xml"/><Relationship Id="rId12" Type="http://schemas.openxmlformats.org/officeDocument/2006/relationships/queryTable" Target="../queryTables/queryTable1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queryTable" Target="../queryTables/queryTable7.xml"/><Relationship Id="rId11" Type="http://schemas.openxmlformats.org/officeDocument/2006/relationships/queryTable" Target="../queryTables/queryTable12.xml"/><Relationship Id="rId5" Type="http://schemas.openxmlformats.org/officeDocument/2006/relationships/queryTable" Target="../queryTables/queryTable6.xml"/><Relationship Id="rId10" Type="http://schemas.openxmlformats.org/officeDocument/2006/relationships/queryTable" Target="../queryTables/queryTable11.xml"/><Relationship Id="rId4" Type="http://schemas.openxmlformats.org/officeDocument/2006/relationships/queryTable" Target="../queryTables/queryTable5.xml"/><Relationship Id="rId9" Type="http://schemas.openxmlformats.org/officeDocument/2006/relationships/queryTable" Target="../queryTables/queryTable1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5.xml"/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7.xml"/><Relationship Id="rId2" Type="http://schemas.openxmlformats.org/officeDocument/2006/relationships/queryTable" Target="../queryTables/queryTable16.xml"/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9.xml"/><Relationship Id="rId2" Type="http://schemas.openxmlformats.org/officeDocument/2006/relationships/queryTable" Target="../queryTables/queryTable18.xml"/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1.xml"/><Relationship Id="rId2" Type="http://schemas.openxmlformats.org/officeDocument/2006/relationships/queryTable" Target="../queryTables/queryTable20.xml"/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3.xml"/><Relationship Id="rId2" Type="http://schemas.openxmlformats.org/officeDocument/2006/relationships/queryTable" Target="../queryTables/queryTable22.xml"/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5.xml"/><Relationship Id="rId2" Type="http://schemas.openxmlformats.org/officeDocument/2006/relationships/queryTable" Target="../queryTables/queryTable24.xml"/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7.xml"/><Relationship Id="rId2" Type="http://schemas.openxmlformats.org/officeDocument/2006/relationships/queryTable" Target="../queryTables/queryTable26.xml"/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9.xml"/><Relationship Id="rId2" Type="http://schemas.openxmlformats.org/officeDocument/2006/relationships/queryTable" Target="../queryTables/queryTable28.xml"/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1.xml"/><Relationship Id="rId2" Type="http://schemas.openxmlformats.org/officeDocument/2006/relationships/queryTable" Target="../queryTables/queryTable30.xml"/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3.xml"/><Relationship Id="rId2" Type="http://schemas.openxmlformats.org/officeDocument/2006/relationships/queryTable" Target="../queryTables/queryTable32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0"/>
  <sheetViews>
    <sheetView topLeftCell="O1" zoomScale="55" zoomScaleNormal="55" workbookViewId="0"/>
  </sheetViews>
  <sheetFormatPr defaultRowHeight="14.4" x14ac:dyDescent="0.3"/>
  <cols>
    <col min="1" max="1" width="11.109375" style="1" customWidth="1"/>
    <col min="2" max="3" width="11.109375" style="2" customWidth="1"/>
    <col min="4" max="8" width="11.109375" customWidth="1"/>
    <col min="13" max="24" width="12.44140625" style="2" customWidth="1"/>
    <col min="25" max="25" width="12.6640625" style="2" bestFit="1" customWidth="1"/>
    <col min="26" max="26" width="8.88671875" style="2"/>
    <col min="27" max="27" width="12.21875" bestFit="1" customWidth="1"/>
    <col min="29" max="30" width="12.44140625" style="2" bestFit="1" customWidth="1"/>
    <col min="31" max="34" width="8.88671875" style="2"/>
    <col min="35" max="35" width="13.33203125" bestFit="1" customWidth="1"/>
    <col min="36" max="36" width="13.88671875" bestFit="1" customWidth="1"/>
  </cols>
  <sheetData>
    <row r="1" spans="1:38" ht="15" thickBot="1" x14ac:dyDescent="0.35">
      <c r="A1" s="7" t="s">
        <v>137</v>
      </c>
      <c r="B1" s="7">
        <v>9.81</v>
      </c>
      <c r="C1" s="7" t="s">
        <v>48</v>
      </c>
      <c r="AC1" s="2" t="s">
        <v>123</v>
      </c>
      <c r="AD1" s="2" t="s">
        <v>124</v>
      </c>
      <c r="AE1" s="79" t="s">
        <v>123</v>
      </c>
      <c r="AF1" s="80" t="s">
        <v>176</v>
      </c>
      <c r="AG1" s="2" t="s">
        <v>125</v>
      </c>
      <c r="AH1" s="2" t="s">
        <v>176</v>
      </c>
      <c r="AI1" s="117" t="s">
        <v>123</v>
      </c>
      <c r="AJ1" s="118" t="s">
        <v>177</v>
      </c>
      <c r="AK1" s="115" t="s">
        <v>125</v>
      </c>
      <c r="AL1" s="115" t="s">
        <v>177</v>
      </c>
    </row>
    <row r="2" spans="1:38" ht="15.6" x14ac:dyDescent="0.35">
      <c r="A2" s="5" t="s">
        <v>43</v>
      </c>
      <c r="B2" s="7">
        <v>1.2255</v>
      </c>
      <c r="C2" s="7" t="s">
        <v>35</v>
      </c>
      <c r="M2" s="73" t="s">
        <v>8</v>
      </c>
      <c r="N2" s="74" t="s">
        <v>110</v>
      </c>
      <c r="O2" s="74" t="s">
        <v>111</v>
      </c>
      <c r="P2" s="74" t="s">
        <v>112</v>
      </c>
      <c r="Q2" s="74" t="s">
        <v>113</v>
      </c>
      <c r="R2" s="74" t="s">
        <v>114</v>
      </c>
      <c r="S2" s="74" t="s">
        <v>121</v>
      </c>
      <c r="T2" s="74" t="s">
        <v>115</v>
      </c>
      <c r="U2" s="74" t="s">
        <v>116</v>
      </c>
      <c r="V2" s="75" t="s">
        <v>117</v>
      </c>
      <c r="W2" s="75" t="s">
        <v>120</v>
      </c>
      <c r="X2" s="75" t="s">
        <v>118</v>
      </c>
      <c r="Y2" s="75" t="s">
        <v>119</v>
      </c>
      <c r="Z2" s="75" t="s">
        <v>122</v>
      </c>
      <c r="AA2" s="76" t="s">
        <v>146</v>
      </c>
      <c r="AC2" s="81" t="s">
        <v>126</v>
      </c>
      <c r="AD2" s="82"/>
      <c r="AE2" s="83"/>
      <c r="AF2" s="84"/>
      <c r="AG2" s="83"/>
      <c r="AH2" s="84"/>
      <c r="AI2" s="116"/>
      <c r="AJ2" s="119"/>
      <c r="AK2" s="116"/>
      <c r="AL2" s="116"/>
    </row>
    <row r="3" spans="1:38" x14ac:dyDescent="0.3">
      <c r="A3" s="4" t="s">
        <v>5</v>
      </c>
      <c r="B3" s="4">
        <v>18</v>
      </c>
      <c r="C3" s="4" t="s">
        <v>33</v>
      </c>
      <c r="M3" s="77">
        <v>0</v>
      </c>
      <c r="N3" s="85">
        <f>AC3</f>
        <v>20.474251497005898</v>
      </c>
      <c r="O3" s="85">
        <f>N3*3.6</f>
        <v>73.707305389221233</v>
      </c>
      <c r="P3" s="85">
        <f>AC13</f>
        <v>41.994754934575298</v>
      </c>
      <c r="Q3" s="85">
        <f>P3*3.6</f>
        <v>151.18111776447108</v>
      </c>
      <c r="R3" s="85">
        <f>AD23</f>
        <v>2.3164556962025298</v>
      </c>
      <c r="S3" s="85">
        <f>10*R3</f>
        <v>23.164556962025298</v>
      </c>
      <c r="T3" s="85">
        <f>AC23</f>
        <v>29.326946107784401</v>
      </c>
      <c r="U3" s="85">
        <f>T3*3.6</f>
        <v>105.57700598802384</v>
      </c>
      <c r="V3" s="85">
        <f>AD33</f>
        <v>4.8934426229508201</v>
      </c>
      <c r="W3" s="85">
        <f>10*V3</f>
        <v>48.934426229508205</v>
      </c>
      <c r="X3" s="85">
        <f>AC33</f>
        <v>25.677419354838701</v>
      </c>
      <c r="Y3" s="85">
        <f>X3*3.6</f>
        <v>92.438709677419325</v>
      </c>
      <c r="Z3" s="78">
        <f>AC46</f>
        <v>4240</v>
      </c>
      <c r="AA3" s="86">
        <f>Z3/R$3*LN(1/(1-M3/Z3))/60</f>
        <v>0</v>
      </c>
      <c r="AC3">
        <v>20.474251497005898</v>
      </c>
      <c r="AD3">
        <v>1.6540084388185601</v>
      </c>
      <c r="AE3" s="121">
        <v>19.9072436030071</v>
      </c>
      <c r="AF3" s="120">
        <v>1.88472936303913</v>
      </c>
      <c r="AG3" s="121">
        <v>19.9072436030071</v>
      </c>
      <c r="AH3" s="120">
        <v>1.72852399314481</v>
      </c>
      <c r="AI3">
        <v>20.474251497005898</v>
      </c>
      <c r="AJ3" s="120">
        <v>1.6540084388185601</v>
      </c>
      <c r="AK3">
        <v>20.474251497005898</v>
      </c>
      <c r="AL3">
        <v>1.5105485232067499</v>
      </c>
    </row>
    <row r="4" spans="1:38" ht="15.6" x14ac:dyDescent="0.3">
      <c r="A4" s="4" t="s">
        <v>39</v>
      </c>
      <c r="B4" s="4">
        <v>720</v>
      </c>
      <c r="C4" s="4" t="s">
        <v>0</v>
      </c>
      <c r="M4" s="77">
        <v>500</v>
      </c>
      <c r="N4" s="85">
        <f t="shared" ref="N4:N11" si="0">AC4</f>
        <v>20.974850299401101</v>
      </c>
      <c r="O4" s="85">
        <f t="shared" ref="O4:O11" si="1">N4*3.6</f>
        <v>75.509461077843966</v>
      </c>
      <c r="P4" s="85">
        <f t="shared" ref="P4:P11" si="2">AC14</f>
        <v>41.811787536038999</v>
      </c>
      <c r="Q4" s="85">
        <f t="shared" ref="Q4:Q11" si="3">P4*3.6</f>
        <v>150.52243512974039</v>
      </c>
      <c r="R4" s="85">
        <f t="shared" ref="R4:R11" si="4">AD24</f>
        <v>2.0379746835443</v>
      </c>
      <c r="S4" s="85">
        <f t="shared" ref="S4:S11" si="5">10*R4</f>
        <v>20.379746835443001</v>
      </c>
      <c r="T4" s="85">
        <f t="shared" ref="T4:T11" si="6">AC24</f>
        <v>29.748502994011901</v>
      </c>
      <c r="U4" s="85">
        <f t="shared" ref="U4:U11" si="7">T4*3.6</f>
        <v>107.09461077844284</v>
      </c>
      <c r="V4" s="85">
        <f t="shared" ref="V4:V11" si="8">AD34</f>
        <v>4.1475409836065502</v>
      </c>
      <c r="W4" s="85">
        <f t="shared" ref="W4:W11" si="9">10*V4</f>
        <v>41.475409836065502</v>
      </c>
      <c r="X4" s="85">
        <f t="shared" ref="X4:X11" si="10">AC34</f>
        <v>26.860215053763401</v>
      </c>
      <c r="Y4" s="85">
        <f t="shared" ref="Y4:Y11" si="11">X4*3.6</f>
        <v>96.696774193548251</v>
      </c>
      <c r="Z4" s="78">
        <f>Z3</f>
        <v>4240</v>
      </c>
      <c r="AA4" s="86">
        <f t="shared" ref="AA4:AA11" si="12">Z4/R$3*LN(1/(1-M4/Z4))/60</f>
        <v>3.8278685120696729</v>
      </c>
      <c r="AC4">
        <v>20.974850299401101</v>
      </c>
      <c r="AD4">
        <v>1.4008438818565401</v>
      </c>
      <c r="AE4" s="121">
        <v>20.392190840747599</v>
      </c>
      <c r="AF4" s="120">
        <v>1.6876130629343999</v>
      </c>
      <c r="AG4" s="121">
        <v>20.3652493275398</v>
      </c>
      <c r="AH4" s="120">
        <v>1.3566064457773901</v>
      </c>
      <c r="AI4">
        <v>21.001197604790399</v>
      </c>
      <c r="AJ4" s="120">
        <v>1.3966244725738299</v>
      </c>
      <c r="AK4">
        <v>20.974850299401101</v>
      </c>
      <c r="AL4">
        <v>1.25316455696202</v>
      </c>
    </row>
    <row r="5" spans="1:38" ht="15.6" x14ac:dyDescent="0.3">
      <c r="A5" s="4" t="s">
        <v>45</v>
      </c>
      <c r="B5" s="4">
        <v>90</v>
      </c>
      <c r="C5" s="4" t="s">
        <v>0</v>
      </c>
      <c r="M5" s="77">
        <v>1000</v>
      </c>
      <c r="N5" s="85">
        <f t="shared" si="0"/>
        <v>21.4754491017964</v>
      </c>
      <c r="O5" s="85">
        <f t="shared" si="1"/>
        <v>77.31161676646704</v>
      </c>
      <c r="P5" s="85">
        <f t="shared" si="2"/>
        <v>41.674561987136798</v>
      </c>
      <c r="Q5" s="85">
        <f t="shared" si="3"/>
        <v>150.02842315369247</v>
      </c>
      <c r="R5" s="85">
        <f t="shared" si="4"/>
        <v>1.7426160337552701</v>
      </c>
      <c r="S5" s="85">
        <f t="shared" si="5"/>
        <v>17.426160337552702</v>
      </c>
      <c r="T5" s="85">
        <f t="shared" si="6"/>
        <v>30.459880239520899</v>
      </c>
      <c r="U5" s="85">
        <f t="shared" si="7"/>
        <v>109.65556886227525</v>
      </c>
      <c r="V5" s="85">
        <f t="shared" si="8"/>
        <v>3.4918032786885198</v>
      </c>
      <c r="W5" s="85">
        <f t="shared" si="9"/>
        <v>34.918032786885199</v>
      </c>
      <c r="X5" s="85">
        <f t="shared" si="10"/>
        <v>27.5961768219832</v>
      </c>
      <c r="Y5" s="85">
        <f t="shared" si="11"/>
        <v>99.346236559139527</v>
      </c>
      <c r="Z5" s="78">
        <f t="shared" ref="Z5:Z11" si="13">Z4</f>
        <v>4240</v>
      </c>
      <c r="AA5" s="86">
        <f t="shared" si="12"/>
        <v>8.205908025018033</v>
      </c>
      <c r="AC5">
        <v>21.4754491017964</v>
      </c>
      <c r="AD5">
        <v>1.1350210970464101</v>
      </c>
      <c r="AE5" s="121">
        <v>20.877138078488102</v>
      </c>
      <c r="AF5" s="120">
        <v>1.37892149861944</v>
      </c>
      <c r="AG5" s="121">
        <v>20.904079591695901</v>
      </c>
      <c r="AH5" s="120">
        <v>1.10370251356755</v>
      </c>
      <c r="AI5">
        <v>21.501796407185601</v>
      </c>
      <c r="AJ5" s="120">
        <v>1.1223628691983101</v>
      </c>
      <c r="AK5">
        <v>21.501796407185601</v>
      </c>
      <c r="AL5">
        <v>0.99156118143459904</v>
      </c>
    </row>
    <row r="6" spans="1:38" ht="15.6" x14ac:dyDescent="0.3">
      <c r="A6" s="4" t="s">
        <v>52</v>
      </c>
      <c r="B6" s="4">
        <v>520</v>
      </c>
      <c r="C6" s="4" t="s">
        <v>0</v>
      </c>
      <c r="M6" s="77">
        <v>1500</v>
      </c>
      <c r="N6" s="85">
        <f t="shared" si="0"/>
        <v>22.002395209580801</v>
      </c>
      <c r="O6" s="85">
        <f t="shared" si="1"/>
        <v>79.208622754490889</v>
      </c>
      <c r="P6" s="85">
        <f t="shared" si="2"/>
        <v>41.476347305389197</v>
      </c>
      <c r="Q6" s="85">
        <f t="shared" si="3"/>
        <v>149.31485029940112</v>
      </c>
      <c r="R6" s="85">
        <f t="shared" si="4"/>
        <v>1.43037974683544</v>
      </c>
      <c r="S6" s="85">
        <f t="shared" si="5"/>
        <v>14.3037974683544</v>
      </c>
      <c r="T6" s="85">
        <f t="shared" si="6"/>
        <v>30.960479041916098</v>
      </c>
      <c r="U6" s="85">
        <f t="shared" si="7"/>
        <v>111.45772455089795</v>
      </c>
      <c r="V6" s="85">
        <f t="shared" si="8"/>
        <v>2.9098360655737698</v>
      </c>
      <c r="W6" s="85">
        <f t="shared" si="9"/>
        <v>29.0983606557377</v>
      </c>
      <c r="X6" s="85">
        <f t="shared" si="10"/>
        <v>28.227001194743099</v>
      </c>
      <c r="Y6" s="85">
        <f t="shared" si="11"/>
        <v>101.61720430107516</v>
      </c>
      <c r="Z6" s="78">
        <f t="shared" si="13"/>
        <v>4240</v>
      </c>
      <c r="AA6" s="86">
        <f t="shared" si="12"/>
        <v>13.319246598246689</v>
      </c>
      <c r="AC6">
        <v>22.002395209580801</v>
      </c>
      <c r="AD6">
        <v>0.86497890295358604</v>
      </c>
      <c r="AE6" s="121">
        <v>21.415968342644302</v>
      </c>
      <c r="AF6" s="120">
        <v>1.12973674188327</v>
      </c>
      <c r="AG6" s="121">
        <v>21.415968342644302</v>
      </c>
      <c r="AH6" s="120">
        <v>0.87683280967342603</v>
      </c>
      <c r="AI6">
        <v>22.028742514969998</v>
      </c>
      <c r="AJ6" s="120">
        <v>0.848101265822784</v>
      </c>
      <c r="AK6">
        <v>22.028742514969998</v>
      </c>
      <c r="AL6">
        <v>0.721518987341772</v>
      </c>
    </row>
    <row r="7" spans="1:38" ht="15.6" x14ac:dyDescent="0.3">
      <c r="A7" s="7" t="s">
        <v>47</v>
      </c>
      <c r="B7" s="7">
        <f>(B4+B6)/2</f>
        <v>620</v>
      </c>
      <c r="C7" s="7" t="s">
        <v>0</v>
      </c>
      <c r="M7" s="77">
        <v>2000</v>
      </c>
      <c r="N7" s="85">
        <f t="shared" si="0"/>
        <v>22.555688622754399</v>
      </c>
      <c r="O7" s="85">
        <f t="shared" si="1"/>
        <v>81.200479041915841</v>
      </c>
      <c r="P7" s="85">
        <f t="shared" si="2"/>
        <v>41.003681525837202</v>
      </c>
      <c r="Q7" s="85">
        <f t="shared" si="3"/>
        <v>147.61325349301393</v>
      </c>
      <c r="R7" s="85">
        <f t="shared" si="4"/>
        <v>1.12658227848101</v>
      </c>
      <c r="S7" s="85">
        <f t="shared" si="5"/>
        <v>11.2658227848101</v>
      </c>
      <c r="T7" s="85">
        <f t="shared" si="6"/>
        <v>31.671856287425101</v>
      </c>
      <c r="U7" s="85">
        <f t="shared" si="7"/>
        <v>114.01868263473037</v>
      </c>
      <c r="V7" s="85">
        <f t="shared" si="8"/>
        <v>2.20491803278688</v>
      </c>
      <c r="W7" s="85">
        <f t="shared" si="9"/>
        <v>22.0491803278688</v>
      </c>
      <c r="X7" s="85">
        <f t="shared" si="10"/>
        <v>29.0681003584229</v>
      </c>
      <c r="Y7" s="85">
        <f t="shared" si="11"/>
        <v>104.64516129032243</v>
      </c>
      <c r="Z7" s="78">
        <f t="shared" si="13"/>
        <v>4240</v>
      </c>
      <c r="AA7" s="86">
        <f t="shared" si="12"/>
        <v>19.465733755476553</v>
      </c>
      <c r="AC7">
        <v>22.555688622754399</v>
      </c>
      <c r="AD7">
        <v>0.59071729957805896</v>
      </c>
      <c r="AE7" s="121">
        <v>21.981740120008201</v>
      </c>
      <c r="AF7" s="120">
        <v>0.83592187946301</v>
      </c>
      <c r="AG7" s="121">
        <v>21.981740120008201</v>
      </c>
      <c r="AH7" s="120">
        <v>0.60161382462153601</v>
      </c>
      <c r="AI7">
        <v>22.608383233532901</v>
      </c>
      <c r="AJ7" s="120">
        <v>0.56540084388185596</v>
      </c>
      <c r="AK7">
        <v>22.608383233532901</v>
      </c>
      <c r="AL7">
        <v>0.43881856540084302</v>
      </c>
    </row>
    <row r="8" spans="1:38" x14ac:dyDescent="0.3">
      <c r="A8" s="7" t="s">
        <v>13</v>
      </c>
      <c r="B8" s="7">
        <f>(B7+B4)/2*B1</f>
        <v>6572.7000000000007</v>
      </c>
      <c r="C8" s="7" t="s">
        <v>36</v>
      </c>
      <c r="M8" s="77">
        <v>2500</v>
      </c>
      <c r="N8" s="85">
        <f t="shared" si="0"/>
        <v>23.108982035928101</v>
      </c>
      <c r="O8" s="85">
        <f t="shared" si="1"/>
        <v>83.192335329341162</v>
      </c>
      <c r="P8" s="85">
        <f t="shared" si="2"/>
        <v>40.759724994455503</v>
      </c>
      <c r="Q8" s="85">
        <f t="shared" si="3"/>
        <v>146.73500998003982</v>
      </c>
      <c r="R8" s="85">
        <f t="shared" si="4"/>
        <v>0.860759493670886</v>
      </c>
      <c r="S8" s="85">
        <f t="shared" si="5"/>
        <v>8.6075949367088604</v>
      </c>
      <c r="T8" s="85">
        <f t="shared" si="6"/>
        <v>32.225149700598799</v>
      </c>
      <c r="U8" s="85">
        <f t="shared" si="7"/>
        <v>116.01053892215567</v>
      </c>
      <c r="V8" s="85">
        <f t="shared" si="8"/>
        <v>1.6639344262294999</v>
      </c>
      <c r="W8" s="85">
        <f t="shared" si="9"/>
        <v>16.639344262294998</v>
      </c>
      <c r="X8" s="85">
        <f t="shared" si="10"/>
        <v>29.961768219832699</v>
      </c>
      <c r="Y8" s="85">
        <f t="shared" si="11"/>
        <v>107.86236559139772</v>
      </c>
      <c r="Z8" s="78">
        <f t="shared" si="13"/>
        <v>4240</v>
      </c>
      <c r="AA8" s="86">
        <f t="shared" si="12"/>
        <v>27.171362034571782</v>
      </c>
      <c r="AC8">
        <v>23.108982035928101</v>
      </c>
      <c r="AD8">
        <v>0.316455696202531</v>
      </c>
      <c r="AE8" s="121">
        <v>22.520570384164401</v>
      </c>
      <c r="AF8" s="120">
        <v>0.56814124535846899</v>
      </c>
      <c r="AG8" s="121">
        <v>22.493628870956599</v>
      </c>
      <c r="AH8" s="120">
        <v>0.38218247167475899</v>
      </c>
      <c r="AI8">
        <v>23.188023952095801</v>
      </c>
      <c r="AJ8" s="120">
        <v>0.28691983122362802</v>
      </c>
      <c r="AK8">
        <v>23.1616766467065</v>
      </c>
      <c r="AL8">
        <v>0.164556962025316</v>
      </c>
    </row>
    <row r="9" spans="1:38" x14ac:dyDescent="0.3">
      <c r="A9" s="1" t="s">
        <v>153</v>
      </c>
      <c r="B9" s="2">
        <f>(B7+B5)*B1</f>
        <v>6965.1</v>
      </c>
      <c r="C9" s="2" t="s">
        <v>36</v>
      </c>
      <c r="M9" s="77">
        <v>3000</v>
      </c>
      <c r="N9" s="85">
        <f t="shared" si="0"/>
        <v>23.688622754491</v>
      </c>
      <c r="O9" s="85">
        <f t="shared" si="1"/>
        <v>85.2790419161676</v>
      </c>
      <c r="P9" s="85">
        <f t="shared" si="2"/>
        <v>40.104091816367202</v>
      </c>
      <c r="Q9" s="85">
        <f t="shared" si="3"/>
        <v>144.37473053892194</v>
      </c>
      <c r="R9" s="85">
        <f t="shared" si="4"/>
        <v>0.58649789029535804</v>
      </c>
      <c r="S9" s="85">
        <f t="shared" si="5"/>
        <v>5.8649789029535802</v>
      </c>
      <c r="T9" s="85">
        <f t="shared" si="6"/>
        <v>32.778443113772397</v>
      </c>
      <c r="U9" s="85">
        <f t="shared" si="7"/>
        <v>118.00239520958063</v>
      </c>
      <c r="V9" s="85">
        <f t="shared" si="8"/>
        <v>1.0983606557376999</v>
      </c>
      <c r="W9" s="85">
        <f t="shared" si="9"/>
        <v>10.983606557377</v>
      </c>
      <c r="X9" s="85">
        <f t="shared" si="10"/>
        <v>30.9605734767025</v>
      </c>
      <c r="Y9" s="85">
        <f t="shared" si="11"/>
        <v>111.458064516129</v>
      </c>
      <c r="Z9" s="78">
        <f t="shared" si="13"/>
        <v>4240</v>
      </c>
      <c r="AA9" s="86">
        <f t="shared" si="12"/>
        <v>37.506120669347332</v>
      </c>
      <c r="AC9">
        <v>23.688622754491</v>
      </c>
      <c r="AD9">
        <v>0.13080168776371301</v>
      </c>
      <c r="AE9" s="121">
        <v>23.0863421615283</v>
      </c>
      <c r="AF9" s="120">
        <v>0.304079786727601</v>
      </c>
      <c r="AG9" s="121">
        <v>23.0863421615283</v>
      </c>
      <c r="AH9" s="120">
        <v>0.14043606588593699</v>
      </c>
      <c r="AI9">
        <v>23.767664670658601</v>
      </c>
      <c r="AJ9" s="120">
        <v>7.1729957805906894E-2</v>
      </c>
      <c r="AK9">
        <v>24.031137724550899</v>
      </c>
      <c r="AL9">
        <v>-4.2194092827005899E-3</v>
      </c>
    </row>
    <row r="10" spans="1:38" ht="15.6" x14ac:dyDescent="0.3">
      <c r="A10" s="4" t="s">
        <v>53</v>
      </c>
      <c r="B10" s="4">
        <v>59000</v>
      </c>
      <c r="C10" s="4" t="s">
        <v>32</v>
      </c>
      <c r="M10" s="77">
        <v>3500</v>
      </c>
      <c r="N10" s="85">
        <f t="shared" si="0"/>
        <v>25.480239520958001</v>
      </c>
      <c r="O10" s="85">
        <f t="shared" si="1"/>
        <v>91.728862275448805</v>
      </c>
      <c r="P10" s="85">
        <f t="shared" si="2"/>
        <v>38.350654247061399</v>
      </c>
      <c r="Q10" s="85">
        <f t="shared" si="3"/>
        <v>138.06235528942105</v>
      </c>
      <c r="R10" s="85">
        <f t="shared" si="4"/>
        <v>0.38396624472573798</v>
      </c>
      <c r="S10" s="85">
        <f t="shared" si="5"/>
        <v>3.8396624472573797</v>
      </c>
      <c r="T10" s="85">
        <f t="shared" si="6"/>
        <v>33.173652694610702</v>
      </c>
      <c r="U10" s="85">
        <f t="shared" si="7"/>
        <v>119.42514970059852</v>
      </c>
      <c r="V10" s="85">
        <f t="shared" si="8"/>
        <v>0.70491803278688503</v>
      </c>
      <c r="W10" s="85">
        <f t="shared" si="9"/>
        <v>7.0491803278688501</v>
      </c>
      <c r="X10" s="85">
        <f t="shared" si="10"/>
        <v>31.8805256869773</v>
      </c>
      <c r="Y10" s="85">
        <f t="shared" si="11"/>
        <v>114.76989247311829</v>
      </c>
      <c r="Z10" s="78">
        <f t="shared" si="13"/>
        <v>4240</v>
      </c>
      <c r="AA10" s="86">
        <f t="shared" si="12"/>
        <v>53.254014075120971</v>
      </c>
      <c r="AC10">
        <v>25.480239520958001</v>
      </c>
      <c r="AD10">
        <v>-4.2194092827005899E-3</v>
      </c>
      <c r="AE10" s="121">
        <v>23.732938478515699</v>
      </c>
      <c r="AF10" s="120">
        <v>4.0018328096734501E-2</v>
      </c>
      <c r="AG10" s="121">
        <v>24.945306572867</v>
      </c>
      <c r="AH10" s="120">
        <v>2.8265733599925902E-3</v>
      </c>
      <c r="AI10">
        <v>26.955688622754401</v>
      </c>
      <c r="AJ10" s="120">
        <v>-4.2194092827005899E-3</v>
      </c>
      <c r="AK10">
        <v>28.088622754490999</v>
      </c>
      <c r="AL10">
        <v>-4.2194092827005899E-3</v>
      </c>
    </row>
    <row r="11" spans="1:38" ht="16.2" thickBot="1" x14ac:dyDescent="0.35">
      <c r="A11" s="4" t="s">
        <v>54</v>
      </c>
      <c r="B11" s="4">
        <v>59000</v>
      </c>
      <c r="C11" s="4" t="s">
        <v>32</v>
      </c>
      <c r="M11" s="77">
        <v>4000</v>
      </c>
      <c r="N11" s="85">
        <f t="shared" si="0"/>
        <v>28.536526946107699</v>
      </c>
      <c r="O11" s="85">
        <f t="shared" si="1"/>
        <v>102.73149700598772</v>
      </c>
      <c r="P11" s="85">
        <f t="shared" si="2"/>
        <v>36.002572632512702</v>
      </c>
      <c r="Q11" s="85">
        <f t="shared" si="3"/>
        <v>129.60926147704572</v>
      </c>
      <c r="R11" s="85">
        <f t="shared" si="4"/>
        <v>0.13080168776371301</v>
      </c>
      <c r="S11" s="85">
        <f t="shared" si="5"/>
        <v>1.3080168776371301</v>
      </c>
      <c r="T11" s="85">
        <f t="shared" si="6"/>
        <v>33.700598802395199</v>
      </c>
      <c r="U11" s="85">
        <f t="shared" si="7"/>
        <v>121.32215568862271</v>
      </c>
      <c r="V11" s="85">
        <f t="shared" si="8"/>
        <v>0.24590163934426101</v>
      </c>
      <c r="W11" s="85">
        <f t="shared" si="9"/>
        <v>2.4590163934426101</v>
      </c>
      <c r="X11" s="85">
        <f t="shared" si="10"/>
        <v>33.3261648745519</v>
      </c>
      <c r="Y11" s="85">
        <f t="shared" si="11"/>
        <v>119.97419354838684</v>
      </c>
      <c r="Z11" s="78">
        <f t="shared" si="13"/>
        <v>4240</v>
      </c>
      <c r="AA11" s="86">
        <f t="shared" si="12"/>
        <v>87.604536170414349</v>
      </c>
      <c r="AC11">
        <v>28.536526946107699</v>
      </c>
      <c r="AD11">
        <v>-4.2194092827005899E-3</v>
      </c>
      <c r="AE11" s="126">
        <v>27.235335195530698</v>
      </c>
      <c r="AF11" s="123">
        <v>2.8265733599925902E-3</v>
      </c>
      <c r="AG11" s="121"/>
      <c r="AH11" s="120"/>
      <c r="AJ11" s="120"/>
    </row>
    <row r="12" spans="1:38" ht="15.6" x14ac:dyDescent="0.3">
      <c r="A12" s="4" t="s">
        <v>55</v>
      </c>
      <c r="B12" s="4">
        <v>36.667000000000002</v>
      </c>
      <c r="C12" s="4" t="s">
        <v>34</v>
      </c>
      <c r="M12" s="2">
        <f>Z3</f>
        <v>4240</v>
      </c>
      <c r="O12" s="2">
        <v>122</v>
      </c>
      <c r="Q12" s="2">
        <f>O12</f>
        <v>122</v>
      </c>
      <c r="S12" s="2">
        <v>0</v>
      </c>
      <c r="U12" s="2">
        <f>Q12</f>
        <v>122</v>
      </c>
      <c r="W12" s="2">
        <f>S12</f>
        <v>0</v>
      </c>
      <c r="Y12" s="2">
        <f>U12</f>
        <v>122</v>
      </c>
      <c r="AA12" s="2">
        <v>160</v>
      </c>
      <c r="AC12" s="124" t="s">
        <v>129</v>
      </c>
      <c r="AD12" s="82"/>
      <c r="AE12" s="79"/>
      <c r="AF12" s="80"/>
      <c r="AG12" s="83"/>
      <c r="AH12" s="84"/>
      <c r="AI12" s="116"/>
      <c r="AJ12" s="119"/>
      <c r="AK12" s="116"/>
      <c r="AL12" s="116"/>
    </row>
    <row r="13" spans="1:38" ht="15" thickBot="1" x14ac:dyDescent="0.35">
      <c r="A13" s="4" t="s">
        <v>17</v>
      </c>
      <c r="B13" s="4">
        <v>1.8</v>
      </c>
      <c r="C13" s="4" t="s">
        <v>3</v>
      </c>
      <c r="AA13" s="2"/>
      <c r="AC13">
        <v>41.994754934575298</v>
      </c>
      <c r="AD13">
        <v>-3.9654633536487698E-3</v>
      </c>
      <c r="AE13" s="121">
        <v>41.756810814538902</v>
      </c>
      <c r="AF13" s="120">
        <v>2.8265733599925902E-3</v>
      </c>
      <c r="AG13" s="121">
        <v>41.595161735292002</v>
      </c>
      <c r="AH13" s="120">
        <v>2.8265733599925902E-3</v>
      </c>
      <c r="AI13">
        <v>41.522089155023203</v>
      </c>
      <c r="AJ13" s="120">
        <v>-3.9654633536487698E-3</v>
      </c>
      <c r="AK13">
        <v>40.851208693723599</v>
      </c>
      <c r="AL13">
        <v>-1.5236755743082101E-3</v>
      </c>
    </row>
    <row r="14" spans="1:38" ht="15.6" x14ac:dyDescent="0.3">
      <c r="A14" s="4" t="s">
        <v>56</v>
      </c>
      <c r="B14" s="4">
        <v>4.5869999999999997</v>
      </c>
      <c r="C14" s="4" t="s">
        <v>7</v>
      </c>
      <c r="M14" s="73" t="s">
        <v>8</v>
      </c>
      <c r="N14" s="74" t="s">
        <v>110</v>
      </c>
      <c r="O14" s="74" t="s">
        <v>111</v>
      </c>
      <c r="P14" s="74" t="s">
        <v>112</v>
      </c>
      <c r="Q14" s="74" t="s">
        <v>113</v>
      </c>
      <c r="R14" s="74" t="s">
        <v>114</v>
      </c>
      <c r="S14" s="74" t="s">
        <v>121</v>
      </c>
      <c r="T14" s="74" t="s">
        <v>115</v>
      </c>
      <c r="U14" s="74" t="s">
        <v>116</v>
      </c>
      <c r="V14" s="75" t="s">
        <v>117</v>
      </c>
      <c r="W14" s="75" t="s">
        <v>120</v>
      </c>
      <c r="X14" s="75" t="s">
        <v>118</v>
      </c>
      <c r="Y14" s="75" t="s">
        <v>119</v>
      </c>
      <c r="Z14" s="75" t="s">
        <v>122</v>
      </c>
      <c r="AA14" s="76" t="s">
        <v>147</v>
      </c>
      <c r="AC14">
        <v>41.811787536038999</v>
      </c>
      <c r="AD14">
        <v>-3.9654633536487698E-3</v>
      </c>
      <c r="AE14" s="121">
        <v>41.541278708876398</v>
      </c>
      <c r="AF14" s="120">
        <v>2.8265733599925902E-3</v>
      </c>
      <c r="AG14" s="121">
        <v>41.217980550382698</v>
      </c>
      <c r="AH14" s="120">
        <v>2.8265733599925902E-3</v>
      </c>
      <c r="AI14">
        <v>41.247638057218801</v>
      </c>
      <c r="AJ14" s="120">
        <v>-3.9654633536487698E-3</v>
      </c>
      <c r="AK14">
        <v>40.393790197382998</v>
      </c>
      <c r="AL14">
        <v>-1.5236755743082101E-3</v>
      </c>
    </row>
    <row r="15" spans="1:38" ht="15.6" x14ac:dyDescent="0.3">
      <c r="A15" s="4" t="s">
        <v>57</v>
      </c>
      <c r="B15" s="4">
        <v>4.478E-2</v>
      </c>
      <c r="C15" s="4" t="s">
        <v>7</v>
      </c>
      <c r="M15" s="77">
        <v>0</v>
      </c>
      <c r="N15" s="85">
        <f>AE3</f>
        <v>19.9072436030071</v>
      </c>
      <c r="O15" s="85">
        <f>N15*3.6</f>
        <v>71.666076970825557</v>
      </c>
      <c r="P15" s="85">
        <f>AE13</f>
        <v>41.756810814538902</v>
      </c>
      <c r="Q15" s="85">
        <f>P15*3.6</f>
        <v>150.32451893234006</v>
      </c>
      <c r="R15" s="85">
        <f>AF23</f>
        <v>2.38309887651147</v>
      </c>
      <c r="S15" s="85">
        <f>10*R15</f>
        <v>23.8309887651147</v>
      </c>
      <c r="T15" s="85">
        <f>AE23</f>
        <v>27.5855748672322</v>
      </c>
      <c r="U15" s="85">
        <f>T15*3.6</f>
        <v>99.308069522035922</v>
      </c>
      <c r="V15" s="85">
        <f>AF33</f>
        <v>5.4991119005328599</v>
      </c>
      <c r="W15" s="85">
        <f>10*V15</f>
        <v>54.991119005328599</v>
      </c>
      <c r="X15" s="85">
        <f>AE33</f>
        <v>21.753180661577598</v>
      </c>
      <c r="Y15" s="85">
        <f>X15*3.6</f>
        <v>78.31145038167935</v>
      </c>
      <c r="Z15" s="78">
        <f>AE46</f>
        <v>4070</v>
      </c>
      <c r="AA15" s="86">
        <f>Z15/R$15*LN(1/(1-M15/Z15))/60</f>
        <v>0</v>
      </c>
      <c r="AC15">
        <v>41.674561987136798</v>
      </c>
      <c r="AD15">
        <v>-3.9654633536487698E-3</v>
      </c>
      <c r="AE15" s="121">
        <v>41.325746603214</v>
      </c>
      <c r="AF15" s="120">
        <v>2.8265733599925902E-3</v>
      </c>
      <c r="AG15" s="121">
        <v>40.463618180564097</v>
      </c>
      <c r="AH15" s="120">
        <v>-8.9260211368147302E-4</v>
      </c>
      <c r="AI15">
        <v>40.942692392991702</v>
      </c>
      <c r="AJ15" s="120">
        <v>-1.5236755743082101E-3</v>
      </c>
      <c r="AK15">
        <v>39.905877134619601</v>
      </c>
      <c r="AL15">
        <v>-1.5236755743082101E-3</v>
      </c>
    </row>
    <row r="16" spans="1:38" ht="15.6" x14ac:dyDescent="0.35">
      <c r="A16" s="1" t="s">
        <v>109</v>
      </c>
      <c r="B16" s="2">
        <v>1.5069999999999999</v>
      </c>
      <c r="C16" s="2" t="s">
        <v>7</v>
      </c>
      <c r="M16" s="77">
        <v>500</v>
      </c>
      <c r="N16" s="85">
        <f t="shared" ref="N16:N23" si="14">AE4</f>
        <v>20.392190840747599</v>
      </c>
      <c r="O16" s="85">
        <f t="shared" ref="O16:O23" si="15">N16*3.6</f>
        <v>73.41188702669136</v>
      </c>
      <c r="P16" s="85">
        <f t="shared" ref="P16:P23" si="16">AE14</f>
        <v>41.541278708876398</v>
      </c>
      <c r="Q16" s="85">
        <f t="shared" ref="Q16:Q23" si="17">P16*3.6</f>
        <v>149.54860335195502</v>
      </c>
      <c r="R16" s="85">
        <f t="shared" ref="R16:R23" si="18">AF24</f>
        <v>2.0781264876701799</v>
      </c>
      <c r="S16" s="85">
        <f t="shared" ref="S16:S23" si="19">10*R16</f>
        <v>20.781264876701798</v>
      </c>
      <c r="T16" s="85">
        <f t="shared" ref="T16:T23" si="20">AE24</f>
        <v>27.908873025725899</v>
      </c>
      <c r="U16" s="85">
        <f t="shared" ref="U16:U23" si="21">T16*3.6</f>
        <v>100.47194289261324</v>
      </c>
      <c r="V16" s="85">
        <f t="shared" ref="V16:V23" si="22">AF34</f>
        <v>4.7424511545293004</v>
      </c>
      <c r="W16" s="85">
        <f t="shared" ref="W16:W23" si="23">10*V16</f>
        <v>47.424511545293001</v>
      </c>
      <c r="X16" s="85">
        <f t="shared" ref="X16:X23" si="24">AE34</f>
        <v>22.134860050890499</v>
      </c>
      <c r="Y16" s="85">
        <f t="shared" ref="Y16:Y23" si="25">X16*3.6</f>
        <v>79.6854961832058</v>
      </c>
      <c r="Z16" s="78">
        <f>Z15</f>
        <v>4070</v>
      </c>
      <c r="AA16" s="86">
        <f t="shared" ref="AA16:AA23" si="26">Z16/R$15*LN(1/(1-M16/Z16))/60</f>
        <v>3.7310316003979609</v>
      </c>
      <c r="AC16">
        <v>41.476347305389197</v>
      </c>
      <c r="AD16">
        <v>-3.9654633536487698E-3</v>
      </c>
      <c r="AE16" s="121">
        <v>40.948565418304703</v>
      </c>
      <c r="AF16" s="120">
        <v>2.8265733599925902E-3</v>
      </c>
      <c r="AG16" s="121">
        <v>39.870904889992403</v>
      </c>
      <c r="AH16" s="120">
        <v>2.8265733599925902E-3</v>
      </c>
      <c r="AI16">
        <v>40.515768463073798</v>
      </c>
      <c r="AJ16" s="120">
        <v>-3.9654633536487698E-3</v>
      </c>
      <c r="AK16">
        <v>39.555189620758398</v>
      </c>
      <c r="AL16">
        <v>-1.5236755743082101E-3</v>
      </c>
    </row>
    <row r="17" spans="1:38" ht="15.6" x14ac:dyDescent="0.3">
      <c r="A17" s="4" t="s">
        <v>58</v>
      </c>
      <c r="B17" s="4">
        <v>5.8319999999999999</v>
      </c>
      <c r="C17" s="4" t="s">
        <v>31</v>
      </c>
      <c r="M17" s="77">
        <v>1000</v>
      </c>
      <c r="N17" s="85">
        <f t="shared" si="14"/>
        <v>20.877138078488102</v>
      </c>
      <c r="O17" s="85">
        <f t="shared" si="15"/>
        <v>75.157697082557164</v>
      </c>
      <c r="P17" s="85">
        <f t="shared" si="16"/>
        <v>41.325746603214</v>
      </c>
      <c r="Q17" s="85">
        <f t="shared" si="17"/>
        <v>148.77268777157042</v>
      </c>
      <c r="R17" s="85">
        <f t="shared" si="18"/>
        <v>1.8140650290393201</v>
      </c>
      <c r="S17" s="85">
        <f t="shared" si="19"/>
        <v>18.1406502903932</v>
      </c>
      <c r="T17" s="85">
        <f t="shared" si="20"/>
        <v>28.232171184219599</v>
      </c>
      <c r="U17" s="85">
        <f t="shared" si="21"/>
        <v>101.63581626319056</v>
      </c>
      <c r="V17" s="85">
        <f t="shared" si="22"/>
        <v>3.86856127886323</v>
      </c>
      <c r="W17" s="85">
        <f t="shared" si="23"/>
        <v>38.685612788632298</v>
      </c>
      <c r="X17" s="85">
        <f t="shared" si="24"/>
        <v>22.898218829516502</v>
      </c>
      <c r="Y17" s="85">
        <f t="shared" si="25"/>
        <v>82.433587786259409</v>
      </c>
      <c r="Z17" s="78">
        <f t="shared" ref="Z17:Z23" si="27">Z16</f>
        <v>4070</v>
      </c>
      <c r="AA17" s="86">
        <f t="shared" si="26"/>
        <v>8.02595969602541</v>
      </c>
      <c r="AC17">
        <v>41.003681525837202</v>
      </c>
      <c r="AD17">
        <v>-3.9654633536487698E-3</v>
      </c>
      <c r="AE17" s="121">
        <v>40.382793640940697</v>
      </c>
      <c r="AF17" s="120">
        <v>2.8265733599925902E-3</v>
      </c>
      <c r="AG17" s="121">
        <v>39.0087764673425</v>
      </c>
      <c r="AH17" s="120">
        <v>-8.9260211368147302E-4</v>
      </c>
      <c r="AI17">
        <v>39.783898868928802</v>
      </c>
      <c r="AJ17" s="120">
        <v>-6.4072511329893401E-3</v>
      </c>
      <c r="AK17">
        <v>38.975792858726898</v>
      </c>
      <c r="AL17">
        <v>-6.4072511329893401E-3</v>
      </c>
    </row>
    <row r="18" spans="1:38" x14ac:dyDescent="0.3">
      <c r="A18" s="4" t="s">
        <v>14</v>
      </c>
      <c r="B18" s="4">
        <v>0.14000000000000001</v>
      </c>
      <c r="C18" s="4" t="s">
        <v>7</v>
      </c>
      <c r="M18" s="77">
        <v>1500</v>
      </c>
      <c r="N18" s="85">
        <f t="shared" si="14"/>
        <v>21.415968342644302</v>
      </c>
      <c r="O18" s="85">
        <f t="shared" si="15"/>
        <v>77.097486033519488</v>
      </c>
      <c r="P18" s="85">
        <f t="shared" si="16"/>
        <v>40.948565418304703</v>
      </c>
      <c r="Q18" s="85">
        <f t="shared" si="17"/>
        <v>147.41483550589695</v>
      </c>
      <c r="R18" s="85">
        <f t="shared" si="18"/>
        <v>1.4867775873559901</v>
      </c>
      <c r="S18" s="85">
        <f t="shared" si="19"/>
        <v>14.8677758735599</v>
      </c>
      <c r="T18" s="85">
        <f t="shared" si="20"/>
        <v>28.663235395544501</v>
      </c>
      <c r="U18" s="85">
        <f t="shared" si="21"/>
        <v>103.1876474239602</v>
      </c>
      <c r="V18" s="85">
        <f t="shared" si="22"/>
        <v>3.1119005328596798</v>
      </c>
      <c r="W18" s="85">
        <f t="shared" si="23"/>
        <v>31.119005328596799</v>
      </c>
      <c r="X18" s="85">
        <f t="shared" si="24"/>
        <v>23.788804071246801</v>
      </c>
      <c r="Y18" s="85">
        <f t="shared" si="25"/>
        <v>85.639694656488487</v>
      </c>
      <c r="Z18" s="78">
        <f t="shared" si="27"/>
        <v>4070</v>
      </c>
      <c r="AA18" s="86">
        <f t="shared" si="26"/>
        <v>13.086112496004187</v>
      </c>
      <c r="AC18">
        <v>40.759724994455503</v>
      </c>
      <c r="AD18">
        <v>-3.9654633536487698E-3</v>
      </c>
      <c r="AE18" s="121">
        <v>39.924787916408</v>
      </c>
      <c r="AF18" s="120">
        <v>-8.9260211368147302E-4</v>
      </c>
      <c r="AG18" s="121">
        <v>38.389121663563003</v>
      </c>
      <c r="AH18" s="120">
        <v>-8.9260211368147302E-4</v>
      </c>
      <c r="AI18">
        <v>39.143512974051902</v>
      </c>
      <c r="AJ18" s="120">
        <v>-3.9654633536487698E-3</v>
      </c>
      <c r="AK18">
        <v>37.954224883566198</v>
      </c>
      <c r="AL18">
        <v>-6.4072511329893401E-3</v>
      </c>
    </row>
    <row r="19" spans="1:38" x14ac:dyDescent="0.3">
      <c r="A19" s="8" t="s">
        <v>27</v>
      </c>
      <c r="B19" s="4">
        <v>1</v>
      </c>
      <c r="C19" s="9" t="s">
        <v>61</v>
      </c>
      <c r="M19" s="77">
        <v>2000</v>
      </c>
      <c r="N19" s="85">
        <f t="shared" si="14"/>
        <v>21.981740120008201</v>
      </c>
      <c r="O19" s="85">
        <f t="shared" si="15"/>
        <v>79.134264432029525</v>
      </c>
      <c r="P19" s="85">
        <f t="shared" si="16"/>
        <v>40.382793640940697</v>
      </c>
      <c r="Q19" s="85">
        <f t="shared" si="17"/>
        <v>145.37805710738652</v>
      </c>
      <c r="R19" s="85">
        <f t="shared" si="18"/>
        <v>1.1743668475673601</v>
      </c>
      <c r="S19" s="85">
        <f t="shared" si="19"/>
        <v>11.743668475673601</v>
      </c>
      <c r="T19" s="85">
        <f t="shared" si="20"/>
        <v>29.0673580936616</v>
      </c>
      <c r="U19" s="85">
        <f t="shared" si="21"/>
        <v>104.64248913718176</v>
      </c>
      <c r="V19" s="85">
        <f t="shared" si="22"/>
        <v>2.4404973357015902</v>
      </c>
      <c r="W19" s="85">
        <f t="shared" si="23"/>
        <v>24.404973357015901</v>
      </c>
      <c r="X19" s="85">
        <f t="shared" si="24"/>
        <v>24.583969465648799</v>
      </c>
      <c r="Y19" s="85">
        <f t="shared" si="25"/>
        <v>88.502290076335683</v>
      </c>
      <c r="Z19" s="78">
        <f t="shared" si="27"/>
        <v>4070</v>
      </c>
      <c r="AA19" s="86">
        <f t="shared" si="26"/>
        <v>19.244579703084106</v>
      </c>
      <c r="AC19">
        <v>40.104091816367202</v>
      </c>
      <c r="AD19">
        <v>-1.5236755743082101E-3</v>
      </c>
      <c r="AE19" s="121">
        <v>38.954893440926902</v>
      </c>
      <c r="AF19" s="120">
        <v>2.8265733599925902E-3</v>
      </c>
      <c r="AG19" s="121">
        <v>36.179917580522797</v>
      </c>
      <c r="AH19" s="120">
        <v>2.8265733599925902E-3</v>
      </c>
      <c r="AI19">
        <v>37.161366156575703</v>
      </c>
      <c r="AJ19" s="120">
        <v>-6.4072511329893401E-3</v>
      </c>
      <c r="AK19">
        <v>35.255455755156298</v>
      </c>
      <c r="AL19">
        <v>-1.5236755743082101E-3</v>
      </c>
    </row>
    <row r="20" spans="1:38" ht="15.6" x14ac:dyDescent="0.3">
      <c r="A20" s="4" t="s">
        <v>59</v>
      </c>
      <c r="B20" s="4">
        <v>-3.8159999999999998</v>
      </c>
      <c r="C20" s="9" t="s">
        <v>61</v>
      </c>
      <c r="M20" s="77">
        <v>2500</v>
      </c>
      <c r="N20" s="85">
        <f t="shared" si="14"/>
        <v>22.520570384164401</v>
      </c>
      <c r="O20" s="85">
        <f t="shared" si="15"/>
        <v>81.074053382991849</v>
      </c>
      <c r="P20" s="85">
        <f t="shared" si="16"/>
        <v>39.924787916408</v>
      </c>
      <c r="Q20" s="85">
        <f t="shared" si="17"/>
        <v>143.7292364990688</v>
      </c>
      <c r="R20" s="85">
        <f t="shared" si="18"/>
        <v>0.90286703798914603</v>
      </c>
      <c r="S20" s="85">
        <f t="shared" si="19"/>
        <v>9.0286703798914605</v>
      </c>
      <c r="T20" s="85">
        <f t="shared" si="20"/>
        <v>29.4445392785709</v>
      </c>
      <c r="U20" s="85">
        <f t="shared" si="21"/>
        <v>106.00034140285524</v>
      </c>
      <c r="V20" s="85">
        <f t="shared" si="22"/>
        <v>1.8436944937833</v>
      </c>
      <c r="W20" s="85">
        <f t="shared" si="23"/>
        <v>18.436944937833001</v>
      </c>
      <c r="X20" s="85">
        <f t="shared" si="24"/>
        <v>25.5063613231552</v>
      </c>
      <c r="Y20" s="85">
        <f t="shared" si="25"/>
        <v>91.822900763358717</v>
      </c>
      <c r="Z20" s="78">
        <f t="shared" si="27"/>
        <v>4070</v>
      </c>
      <c r="AA20" s="86">
        <f t="shared" si="26"/>
        <v>27.114200444332585</v>
      </c>
      <c r="AC20">
        <v>38.350654247061399</v>
      </c>
      <c r="AD20">
        <v>-3.9654633536487698E-3</v>
      </c>
      <c r="AE20" s="121">
        <v>36.610981791847699</v>
      </c>
      <c r="AF20" s="120">
        <v>-8.9260211368147302E-4</v>
      </c>
      <c r="AG20" s="121">
        <v>34.347894682391797</v>
      </c>
      <c r="AH20" s="120">
        <v>-8.9260211368147302E-4</v>
      </c>
      <c r="AI20">
        <v>33.913694832557098</v>
      </c>
      <c r="AJ20" s="120">
        <v>-6.4072511329893401E-3</v>
      </c>
      <c r="AK20">
        <v>32.846385007762201</v>
      </c>
      <c r="AL20">
        <v>-3.9654633536487698E-3</v>
      </c>
    </row>
    <row r="21" spans="1:38" ht="16.2" thickBot="1" x14ac:dyDescent="0.35">
      <c r="A21" s="4" t="s">
        <v>60</v>
      </c>
      <c r="B21" s="4">
        <v>0.79100000000000004</v>
      </c>
      <c r="C21" s="4" t="s">
        <v>7</v>
      </c>
      <c r="M21" s="77">
        <v>3000</v>
      </c>
      <c r="N21" s="85">
        <f t="shared" si="14"/>
        <v>23.0863421615283</v>
      </c>
      <c r="O21" s="85">
        <f t="shared" si="15"/>
        <v>83.110831781501886</v>
      </c>
      <c r="P21" s="85">
        <f t="shared" si="16"/>
        <v>38.954893440926902</v>
      </c>
      <c r="Q21" s="85">
        <f t="shared" si="17"/>
        <v>140.23761638733686</v>
      </c>
      <c r="R21" s="85">
        <f t="shared" si="18"/>
        <v>0.59789464914786195</v>
      </c>
      <c r="S21" s="85">
        <f t="shared" si="19"/>
        <v>5.9789464914786192</v>
      </c>
      <c r="T21" s="85">
        <f t="shared" si="20"/>
        <v>29.983369542727001</v>
      </c>
      <c r="U21" s="85">
        <f t="shared" si="21"/>
        <v>107.94013035381721</v>
      </c>
      <c r="V21" s="85">
        <f t="shared" si="22"/>
        <v>1.21492007104795</v>
      </c>
      <c r="W21" s="85">
        <f t="shared" si="23"/>
        <v>12.1492007104795</v>
      </c>
      <c r="X21" s="85">
        <f t="shared" si="24"/>
        <v>26.492366412213698</v>
      </c>
      <c r="Y21" s="85">
        <f t="shared" si="25"/>
        <v>95.372519083969323</v>
      </c>
      <c r="Z21" s="78">
        <f t="shared" si="27"/>
        <v>4070</v>
      </c>
      <c r="AA21" s="86">
        <f t="shared" si="26"/>
        <v>38.02791092783005</v>
      </c>
      <c r="AC21" s="122">
        <v>36.002572632512702</v>
      </c>
      <c r="AD21" s="122">
        <v>-1.5236755743082101E-3</v>
      </c>
      <c r="AE21" s="121">
        <v>32.4889302710531</v>
      </c>
      <c r="AF21" s="120">
        <v>2.8265733599925902E-3</v>
      </c>
      <c r="AG21" s="126"/>
      <c r="AH21" s="123"/>
      <c r="AI21" s="122"/>
      <c r="AJ21" s="123"/>
      <c r="AK21" s="122"/>
      <c r="AL21" s="122"/>
    </row>
    <row r="22" spans="1:38" ht="15.6" x14ac:dyDescent="0.3">
      <c r="A22" s="7" t="s">
        <v>50</v>
      </c>
      <c r="B22" s="7">
        <f>B4/(B10/1000)</f>
        <v>12.203389830508474</v>
      </c>
      <c r="C22" s="7"/>
      <c r="M22" s="77">
        <v>3500</v>
      </c>
      <c r="N22" s="85">
        <f t="shared" si="14"/>
        <v>23.732938478515699</v>
      </c>
      <c r="O22" s="85">
        <f t="shared" si="15"/>
        <v>85.438578522656513</v>
      </c>
      <c r="P22" s="85">
        <f t="shared" si="16"/>
        <v>36.610981791847699</v>
      </c>
      <c r="Q22" s="85">
        <f t="shared" si="17"/>
        <v>131.79953445065172</v>
      </c>
      <c r="R22" s="85">
        <f t="shared" si="18"/>
        <v>0.33011401504332</v>
      </c>
      <c r="S22" s="85">
        <f t="shared" si="19"/>
        <v>3.3011401504331999</v>
      </c>
      <c r="T22" s="85">
        <f t="shared" si="20"/>
        <v>30.549141320091</v>
      </c>
      <c r="U22" s="85">
        <f t="shared" si="21"/>
        <v>109.9769087523276</v>
      </c>
      <c r="V22" s="85">
        <f t="shared" si="22"/>
        <v>0.61811722912966205</v>
      </c>
      <c r="W22" s="85">
        <f t="shared" si="23"/>
        <v>6.1811722912966207</v>
      </c>
      <c r="X22" s="85">
        <f t="shared" si="24"/>
        <v>27.828244274809101</v>
      </c>
      <c r="Y22" s="85">
        <f t="shared" si="25"/>
        <v>100.18167938931276</v>
      </c>
      <c r="Z22" s="78">
        <f t="shared" si="27"/>
        <v>4070</v>
      </c>
      <c r="AA22" s="86">
        <f t="shared" si="26"/>
        <v>55.954112825682095</v>
      </c>
      <c r="AC22" s="125" t="s">
        <v>128</v>
      </c>
      <c r="AE22" s="83"/>
      <c r="AF22" s="84"/>
      <c r="AG22" s="79"/>
      <c r="AH22" s="80"/>
      <c r="AJ22" s="120"/>
    </row>
    <row r="23" spans="1:38" ht="15.6" x14ac:dyDescent="0.3">
      <c r="A23" s="7" t="s">
        <v>44</v>
      </c>
      <c r="B23" s="7">
        <f>0.022*B25</f>
        <v>18.48</v>
      </c>
      <c r="C23" s="7"/>
      <c r="M23" s="77">
        <v>4000</v>
      </c>
      <c r="N23" s="85">
        <f t="shared" si="14"/>
        <v>27.235335195530698</v>
      </c>
      <c r="O23" s="85">
        <f t="shared" si="15"/>
        <v>98.047206703910518</v>
      </c>
      <c r="P23" s="85">
        <f t="shared" si="16"/>
        <v>32.4889302710531</v>
      </c>
      <c r="Q23" s="85">
        <f t="shared" si="17"/>
        <v>116.96014897579116</v>
      </c>
      <c r="R23" s="85">
        <f t="shared" si="18"/>
        <v>4.0018328096734501E-2</v>
      </c>
      <c r="S23" s="85">
        <f t="shared" si="19"/>
        <v>0.40018328096734501</v>
      </c>
      <c r="T23" s="85">
        <f t="shared" si="20"/>
        <v>31.195737637078398</v>
      </c>
      <c r="U23" s="85">
        <f t="shared" si="21"/>
        <v>112.30465549348223</v>
      </c>
      <c r="V23" s="85">
        <f t="shared" si="22"/>
        <v>0.117229129662522</v>
      </c>
      <c r="W23" s="85">
        <f t="shared" si="23"/>
        <v>1.1722912966252199</v>
      </c>
      <c r="X23" s="85">
        <f t="shared" si="24"/>
        <v>28.973282442748001</v>
      </c>
      <c r="Y23" s="85">
        <f t="shared" si="25"/>
        <v>104.30381679389281</v>
      </c>
      <c r="Z23" s="78">
        <f t="shared" si="27"/>
        <v>4070</v>
      </c>
      <c r="AA23" s="86">
        <f t="shared" si="26"/>
        <v>115.64784771822464</v>
      </c>
      <c r="AC23">
        <v>29.326946107784401</v>
      </c>
      <c r="AD23">
        <v>2.3164556962025298</v>
      </c>
      <c r="AE23" s="121">
        <v>27.5855748672322</v>
      </c>
      <c r="AF23" s="120">
        <v>2.38309887651147</v>
      </c>
      <c r="AG23" s="121">
        <v>25.780493482309101</v>
      </c>
      <c r="AH23" s="120">
        <v>2.2343318575644999</v>
      </c>
      <c r="AI23">
        <v>28.273053892215501</v>
      </c>
      <c r="AJ23" s="120">
        <v>2.0759493670886</v>
      </c>
      <c r="AK23">
        <v>27.429940119760399</v>
      </c>
      <c r="AL23">
        <v>2.0506329113924</v>
      </c>
    </row>
    <row r="24" spans="1:38" ht="15.6" x14ac:dyDescent="0.3">
      <c r="A24" s="7" t="s">
        <v>51</v>
      </c>
      <c r="B24" s="7">
        <f>B23/B11</f>
        <v>3.1322033898305084E-4</v>
      </c>
      <c r="C24" s="7"/>
      <c r="M24" s="2">
        <f>Z15</f>
        <v>4070</v>
      </c>
      <c r="O24" s="2">
        <v>108</v>
      </c>
      <c r="Q24" s="2">
        <f>O24</f>
        <v>108</v>
      </c>
      <c r="S24" s="2">
        <f>S12</f>
        <v>0</v>
      </c>
      <c r="U24" s="2">
        <f>Q24</f>
        <v>108</v>
      </c>
      <c r="W24" s="2">
        <f>S24</f>
        <v>0</v>
      </c>
      <c r="Y24" s="2">
        <f>U24</f>
        <v>108</v>
      </c>
      <c r="AA24" s="2">
        <f>AA12</f>
        <v>160</v>
      </c>
      <c r="AC24">
        <v>29.748502994011901</v>
      </c>
      <c r="AD24">
        <v>2.0379746835443</v>
      </c>
      <c r="AE24" s="121">
        <v>27.908873025725899</v>
      </c>
      <c r="AF24" s="120">
        <v>2.0781264876701799</v>
      </c>
      <c r="AG24" s="121">
        <v>26.2654407200496</v>
      </c>
      <c r="AH24" s="120">
        <v>1.95167452156526</v>
      </c>
      <c r="AI24">
        <v>28.7736526946107</v>
      </c>
      <c r="AJ24" s="120">
        <v>1.78481012658227</v>
      </c>
      <c r="AK24">
        <v>27.6670658682634</v>
      </c>
      <c r="AL24">
        <v>1.7637130801687699</v>
      </c>
    </row>
    <row r="25" spans="1:38" ht="16.2" thickBot="1" x14ac:dyDescent="0.4">
      <c r="A25" s="10" t="s">
        <v>62</v>
      </c>
      <c r="B25" s="4">
        <v>840</v>
      </c>
      <c r="C25" s="4" t="s">
        <v>35</v>
      </c>
      <c r="AC25">
        <v>30.459880239520899</v>
      </c>
      <c r="AD25">
        <v>1.7426160337552701</v>
      </c>
      <c r="AE25" s="121">
        <v>28.232171184219599</v>
      </c>
      <c r="AF25" s="120">
        <v>1.8140650290393201</v>
      </c>
      <c r="AG25" s="121">
        <v>26.696504931374498</v>
      </c>
      <c r="AH25" s="120">
        <v>1.66529801009235</v>
      </c>
      <c r="AI25">
        <v>29.116167664670598</v>
      </c>
      <c r="AJ25" s="120">
        <v>1.53164556962025</v>
      </c>
      <c r="AK25">
        <v>27.877844311377199</v>
      </c>
      <c r="AL25">
        <v>1.4978902953586499</v>
      </c>
    </row>
    <row r="26" spans="1:38" ht="15.6" x14ac:dyDescent="0.3">
      <c r="A26" s="7" t="s">
        <v>42</v>
      </c>
      <c r="B26" s="7">
        <v>45.4</v>
      </c>
      <c r="C26" s="7" t="s">
        <v>49</v>
      </c>
      <c r="M26" s="73" t="s">
        <v>8</v>
      </c>
      <c r="N26" s="74" t="s">
        <v>110</v>
      </c>
      <c r="O26" s="74" t="s">
        <v>111</v>
      </c>
      <c r="P26" s="74" t="s">
        <v>112</v>
      </c>
      <c r="Q26" s="74" t="s">
        <v>113</v>
      </c>
      <c r="R26" s="74" t="s">
        <v>114</v>
      </c>
      <c r="S26" s="74" t="s">
        <v>121</v>
      </c>
      <c r="T26" s="74" t="s">
        <v>115</v>
      </c>
      <c r="U26" s="74" t="s">
        <v>116</v>
      </c>
      <c r="V26" s="75" t="s">
        <v>117</v>
      </c>
      <c r="W26" s="75" t="s">
        <v>120</v>
      </c>
      <c r="X26" s="75" t="s">
        <v>118</v>
      </c>
      <c r="Y26" s="75" t="s">
        <v>119</v>
      </c>
      <c r="Z26" s="75" t="s">
        <v>122</v>
      </c>
      <c r="AA26" s="76" t="s">
        <v>147</v>
      </c>
      <c r="AC26">
        <v>30.960479041916098</v>
      </c>
      <c r="AD26">
        <v>1.43037974683544</v>
      </c>
      <c r="AE26" s="121">
        <v>28.663235395544501</v>
      </c>
      <c r="AF26" s="120">
        <v>1.4867775873559901</v>
      </c>
      <c r="AG26" s="121">
        <v>27.046744603076</v>
      </c>
      <c r="AH26" s="120">
        <v>1.3566064457773901</v>
      </c>
      <c r="AI26">
        <v>29.5904191616766</v>
      </c>
      <c r="AJ26" s="120">
        <v>1.22784810126582</v>
      </c>
      <c r="AK26">
        <v>28.299401197604698</v>
      </c>
      <c r="AL26">
        <v>1.1814345991561099</v>
      </c>
    </row>
    <row r="27" spans="1:38" x14ac:dyDescent="0.3">
      <c r="A27" s="7" t="s">
        <v>46</v>
      </c>
      <c r="B27" s="7">
        <v>1.25</v>
      </c>
      <c r="C27" s="7" t="s">
        <v>6</v>
      </c>
      <c r="M27" s="77">
        <v>0</v>
      </c>
      <c r="N27" s="85">
        <f>AG3</f>
        <v>19.9072436030071</v>
      </c>
      <c r="O27" s="85">
        <f>N27*3.6</f>
        <v>71.666076970825557</v>
      </c>
      <c r="P27" s="85">
        <f>AG13</f>
        <v>41.595161735292002</v>
      </c>
      <c r="Q27" s="85">
        <f>P27*3.6</f>
        <v>149.74258224705122</v>
      </c>
      <c r="R27" s="85">
        <f>AH23</f>
        <v>2.2343318575644999</v>
      </c>
      <c r="S27" s="85">
        <f>10*R27</f>
        <v>22.343318575645</v>
      </c>
      <c r="T27" s="85">
        <f>AG23</f>
        <v>25.780493482309101</v>
      </c>
      <c r="U27" s="85">
        <f>T27*3.6</f>
        <v>92.809776536312768</v>
      </c>
      <c r="V27" s="85">
        <f>AH33</f>
        <v>5.2220248667850804</v>
      </c>
      <c r="W27" s="85">
        <f>10*V27</f>
        <v>52.220248667850804</v>
      </c>
      <c r="X27" s="85">
        <f>AG33</f>
        <v>21.117048346055899</v>
      </c>
      <c r="Y27" s="85">
        <f>X27*3.6</f>
        <v>76.021374045801238</v>
      </c>
      <c r="Z27" s="78">
        <f>AG46</f>
        <v>3900</v>
      </c>
      <c r="AA27" s="86">
        <f>Z27/R$27*LN(1/(1-M27/Z27))/60</f>
        <v>0</v>
      </c>
      <c r="AC27">
        <v>31.671856287425101</v>
      </c>
      <c r="AD27">
        <v>1.12658227848101</v>
      </c>
      <c r="AE27" s="121">
        <v>29.0673580936616</v>
      </c>
      <c r="AF27" s="120">
        <v>1.1743668475673601</v>
      </c>
      <c r="AG27" s="121">
        <v>27.5855748672322</v>
      </c>
      <c r="AH27" s="120">
        <v>1.06651075883081</v>
      </c>
      <c r="AI27">
        <v>30.064670658682601</v>
      </c>
      <c r="AJ27" s="120">
        <v>0.89451476793248896</v>
      </c>
      <c r="AK27">
        <v>28.615568862275399</v>
      </c>
      <c r="AL27">
        <v>0.90717299578059096</v>
      </c>
    </row>
    <row r="28" spans="1:38" ht="15.6" x14ac:dyDescent="0.3">
      <c r="A28" s="7" t="s">
        <v>40</v>
      </c>
      <c r="B28" s="7">
        <v>4550</v>
      </c>
      <c r="C28" s="7" t="s">
        <v>3</v>
      </c>
      <c r="M28" s="77">
        <v>500</v>
      </c>
      <c r="N28" s="85">
        <f t="shared" ref="N28:N34" si="28">AG4</f>
        <v>20.3652493275398</v>
      </c>
      <c r="O28" s="85">
        <f t="shared" ref="O28:O34" si="29">N28*3.6</f>
        <v>73.314897579143278</v>
      </c>
      <c r="P28" s="85">
        <f t="shared" ref="P28:P34" si="30">AG14</f>
        <v>41.217980550382698</v>
      </c>
      <c r="Q28" s="85">
        <f t="shared" ref="Q28:Q34" si="31">P28*3.6</f>
        <v>148.38472998137772</v>
      </c>
      <c r="R28" s="85">
        <f t="shared" ref="R28:R34" si="32">AH24</f>
        <v>1.95167452156526</v>
      </c>
      <c r="S28" s="85">
        <f t="shared" ref="S28:S34" si="33">10*R28</f>
        <v>19.516745215652598</v>
      </c>
      <c r="T28" s="85">
        <f t="shared" ref="T28:T34" si="34">AG24</f>
        <v>26.2654407200496</v>
      </c>
      <c r="U28" s="85">
        <f t="shared" ref="U28:U34" si="35">T28*3.6</f>
        <v>94.555586592178557</v>
      </c>
      <c r="V28" s="85">
        <f t="shared" ref="V28:V34" si="36">AH34</f>
        <v>4.2841918294849002</v>
      </c>
      <c r="W28" s="85">
        <f t="shared" ref="W28:W34" si="37">10*V28</f>
        <v>42.841918294849002</v>
      </c>
      <c r="X28" s="85">
        <f t="shared" ref="X28:X34" si="38">AG34</f>
        <v>22.0394402035623</v>
      </c>
      <c r="Y28" s="85">
        <f t="shared" ref="Y28:Y34" si="39">X28*3.6</f>
        <v>79.341984732824287</v>
      </c>
      <c r="Z28" s="78">
        <f>Z27</f>
        <v>3900</v>
      </c>
      <c r="AA28" s="86">
        <f t="shared" ref="AA28:AA34" si="40">Z28/R$27*LN(1/(1-M28/Z28))/60</f>
        <v>3.9913824207374162</v>
      </c>
      <c r="AC28">
        <v>32.225149700598799</v>
      </c>
      <c r="AD28">
        <v>0.860759493670886</v>
      </c>
      <c r="AE28" s="121">
        <v>29.4445392785709</v>
      </c>
      <c r="AF28" s="120">
        <v>0.90286703798914603</v>
      </c>
      <c r="AG28" s="121">
        <v>28.097463618180502</v>
      </c>
      <c r="AH28" s="120">
        <v>0.79129177377892002</v>
      </c>
      <c r="AI28">
        <v>30.538922155688599</v>
      </c>
      <c r="AJ28" s="120">
        <v>0.62869198312236296</v>
      </c>
      <c r="AK28">
        <v>29.063473053892199</v>
      </c>
      <c r="AL28">
        <v>0.620253164556962</v>
      </c>
    </row>
    <row r="29" spans="1:38" ht="15.6" x14ac:dyDescent="0.3">
      <c r="A29" s="7" t="s">
        <v>41</v>
      </c>
      <c r="B29" s="7">
        <v>3700</v>
      </c>
      <c r="C29" s="7" t="s">
        <v>3</v>
      </c>
      <c r="M29" s="77">
        <v>1000</v>
      </c>
      <c r="N29" s="85">
        <f t="shared" si="28"/>
        <v>20.904079591695901</v>
      </c>
      <c r="O29" s="85">
        <f t="shared" si="29"/>
        <v>75.254686530105246</v>
      </c>
      <c r="P29" s="85">
        <f t="shared" si="30"/>
        <v>40.463618180564097</v>
      </c>
      <c r="Q29" s="85">
        <f t="shared" si="31"/>
        <v>145.66902545003074</v>
      </c>
      <c r="R29" s="85">
        <f t="shared" si="32"/>
        <v>1.66529801009235</v>
      </c>
      <c r="S29" s="85">
        <f t="shared" si="33"/>
        <v>16.6529801009235</v>
      </c>
      <c r="T29" s="85">
        <f t="shared" si="34"/>
        <v>26.696504931374498</v>
      </c>
      <c r="U29" s="85">
        <f t="shared" si="35"/>
        <v>96.107417752948194</v>
      </c>
      <c r="V29" s="85">
        <f t="shared" si="36"/>
        <v>3.59147424511545</v>
      </c>
      <c r="W29" s="85">
        <f t="shared" si="37"/>
        <v>35.914742451154503</v>
      </c>
      <c r="X29" s="85">
        <f t="shared" si="38"/>
        <v>22.7391857506361</v>
      </c>
      <c r="Y29" s="85">
        <f t="shared" si="39"/>
        <v>81.861068702289955</v>
      </c>
      <c r="Z29" s="78">
        <f t="shared" ref="Z29:Z34" si="41">Z28</f>
        <v>3900</v>
      </c>
      <c r="AA29" s="86">
        <f t="shared" si="40"/>
        <v>8.6188083404482789</v>
      </c>
      <c r="AC29">
        <v>32.778443113772397</v>
      </c>
      <c r="AD29">
        <v>0.58649789029535804</v>
      </c>
      <c r="AE29" s="121">
        <v>29.983369542727001</v>
      </c>
      <c r="AF29" s="120">
        <v>0.59789464914786195</v>
      </c>
      <c r="AG29" s="121">
        <v>28.690176908752299</v>
      </c>
      <c r="AH29" s="120">
        <v>0.52351113967437801</v>
      </c>
      <c r="AI29">
        <v>30.960479041916098</v>
      </c>
      <c r="AJ29" s="120">
        <v>0.329113924050632</v>
      </c>
      <c r="AK29">
        <v>29.5904191616766</v>
      </c>
      <c r="AL29">
        <v>0.35021097046413502</v>
      </c>
    </row>
    <row r="30" spans="1:38" x14ac:dyDescent="0.3">
      <c r="A30" s="6" t="s">
        <v>27</v>
      </c>
      <c r="B30" s="7">
        <f>RADIANS(B19)</f>
        <v>1.7453292519943295E-2</v>
      </c>
      <c r="C30" s="7" t="s">
        <v>37</v>
      </c>
      <c r="M30" s="77">
        <v>1500</v>
      </c>
      <c r="N30" s="85">
        <f t="shared" si="28"/>
        <v>21.415968342644302</v>
      </c>
      <c r="O30" s="85">
        <f t="shared" si="29"/>
        <v>77.097486033519488</v>
      </c>
      <c r="P30" s="85">
        <f t="shared" si="30"/>
        <v>39.870904889992403</v>
      </c>
      <c r="Q30" s="85">
        <f t="shared" si="31"/>
        <v>143.53525760397267</v>
      </c>
      <c r="R30" s="85">
        <f t="shared" si="32"/>
        <v>1.3566064457773901</v>
      </c>
      <c r="S30" s="85">
        <f t="shared" si="33"/>
        <v>13.566064457773901</v>
      </c>
      <c r="T30" s="85">
        <f t="shared" si="34"/>
        <v>27.046744603076</v>
      </c>
      <c r="U30" s="85">
        <f t="shared" si="35"/>
        <v>97.368280571073598</v>
      </c>
      <c r="V30" s="85">
        <f t="shared" si="36"/>
        <v>2.8028419182948401</v>
      </c>
      <c r="W30" s="85">
        <f t="shared" si="37"/>
        <v>28.028419182948401</v>
      </c>
      <c r="X30" s="85">
        <f t="shared" si="38"/>
        <v>23.629770992366399</v>
      </c>
      <c r="Y30" s="85">
        <f t="shared" si="39"/>
        <v>85.067175572519034</v>
      </c>
      <c r="Z30" s="78">
        <f t="shared" si="41"/>
        <v>3900</v>
      </c>
      <c r="AA30" s="86">
        <f t="shared" si="40"/>
        <v>14.124136447756639</v>
      </c>
      <c r="AC30">
        <v>33.173652694610702</v>
      </c>
      <c r="AD30">
        <v>0.38396624472573798</v>
      </c>
      <c r="AE30" s="121">
        <v>30.549141320091</v>
      </c>
      <c r="AF30" s="120">
        <v>0.33011401504332</v>
      </c>
      <c r="AG30" s="121">
        <v>29.4445392785709</v>
      </c>
      <c r="AH30" s="120">
        <v>0.22969627725411801</v>
      </c>
      <c r="AI30">
        <v>31.382035928143701</v>
      </c>
      <c r="AJ30" s="120">
        <v>8.0168776371308106E-2</v>
      </c>
      <c r="AK30">
        <v>30.3281437125748</v>
      </c>
      <c r="AL30">
        <v>8.0168776371308106E-2</v>
      </c>
    </row>
    <row r="31" spans="1:38" ht="16.2" thickBot="1" x14ac:dyDescent="0.35">
      <c r="A31" s="7" t="s">
        <v>28</v>
      </c>
      <c r="B31" s="7">
        <f>RADIANS(B20)</f>
        <v>-6.6601764256103618E-2</v>
      </c>
      <c r="C31" s="7" t="s">
        <v>37</v>
      </c>
      <c r="M31" s="77">
        <v>2000</v>
      </c>
      <c r="N31" s="85">
        <f t="shared" si="28"/>
        <v>21.981740120008201</v>
      </c>
      <c r="O31" s="85">
        <f t="shared" si="29"/>
        <v>79.134264432029525</v>
      </c>
      <c r="P31" s="85">
        <f t="shared" si="30"/>
        <v>39.0087764673425</v>
      </c>
      <c r="Q31" s="85">
        <f t="shared" si="31"/>
        <v>140.43159528243299</v>
      </c>
      <c r="R31" s="85">
        <f t="shared" si="32"/>
        <v>1.06651075883081</v>
      </c>
      <c r="S31" s="85">
        <f t="shared" si="33"/>
        <v>10.6651075883081</v>
      </c>
      <c r="T31" s="85">
        <f t="shared" si="34"/>
        <v>27.5855748672322</v>
      </c>
      <c r="U31" s="85">
        <f t="shared" si="35"/>
        <v>99.308069522035922</v>
      </c>
      <c r="V31" s="85">
        <f t="shared" si="36"/>
        <v>2.1527531083481302</v>
      </c>
      <c r="W31" s="85">
        <f t="shared" si="37"/>
        <v>21.5275310834813</v>
      </c>
      <c r="X31" s="85">
        <f t="shared" si="38"/>
        <v>24.424936386768401</v>
      </c>
      <c r="Y31" s="85">
        <f t="shared" si="39"/>
        <v>87.929770992366244</v>
      </c>
      <c r="Z31" s="78">
        <f t="shared" si="41"/>
        <v>3900</v>
      </c>
      <c r="AA31" s="86">
        <f t="shared" si="40"/>
        <v>20.920336070202147</v>
      </c>
      <c r="AC31">
        <v>33.700598802395199</v>
      </c>
      <c r="AD31">
        <v>0.13080168776371301</v>
      </c>
      <c r="AE31" s="126">
        <v>31.195737637078398</v>
      </c>
      <c r="AF31" s="123">
        <v>4.0018328096734501E-2</v>
      </c>
      <c r="AG31" s="121"/>
      <c r="AH31" s="120"/>
      <c r="AJ31" s="120"/>
    </row>
    <row r="32" spans="1:38" x14ac:dyDescent="0.3">
      <c r="A32" s="1" t="s">
        <v>139</v>
      </c>
      <c r="B32" s="2">
        <v>0.31322</v>
      </c>
      <c r="C32" s="2" t="s">
        <v>140</v>
      </c>
      <c r="M32" s="77">
        <v>2500</v>
      </c>
      <c r="N32" s="85">
        <f t="shared" si="28"/>
        <v>22.493628870956599</v>
      </c>
      <c r="O32" s="85">
        <f t="shared" si="29"/>
        <v>80.977063935443752</v>
      </c>
      <c r="P32" s="85">
        <f t="shared" si="30"/>
        <v>38.389121663563003</v>
      </c>
      <c r="Q32" s="85">
        <f t="shared" si="31"/>
        <v>138.20083798882681</v>
      </c>
      <c r="R32" s="85">
        <f t="shared" si="32"/>
        <v>0.79129177377892002</v>
      </c>
      <c r="S32" s="85">
        <f t="shared" si="33"/>
        <v>7.9129177377892006</v>
      </c>
      <c r="T32" s="85">
        <f t="shared" si="34"/>
        <v>28.097463618180502</v>
      </c>
      <c r="U32" s="85">
        <f t="shared" si="35"/>
        <v>101.15086902544981</v>
      </c>
      <c r="V32" s="85">
        <f t="shared" si="36"/>
        <v>1.49200710479573</v>
      </c>
      <c r="W32" s="85">
        <f t="shared" si="37"/>
        <v>14.9200710479573</v>
      </c>
      <c r="X32" s="85">
        <f t="shared" si="38"/>
        <v>25.888040712468101</v>
      </c>
      <c r="Y32" s="85">
        <f t="shared" si="39"/>
        <v>93.196946564885167</v>
      </c>
      <c r="Z32" s="78">
        <f t="shared" si="41"/>
        <v>3900</v>
      </c>
      <c r="AA32" s="86">
        <f t="shared" si="40"/>
        <v>29.804337412090465</v>
      </c>
      <c r="AC32" s="124" t="s">
        <v>127</v>
      </c>
      <c r="AD32" s="82"/>
      <c r="AE32" s="79"/>
      <c r="AF32" s="80"/>
      <c r="AG32" s="83"/>
      <c r="AH32" s="84"/>
      <c r="AI32" s="116"/>
      <c r="AJ32" s="119"/>
      <c r="AK32" s="116"/>
      <c r="AL32" s="116"/>
    </row>
    <row r="33" spans="1:38" x14ac:dyDescent="0.3">
      <c r="M33" s="77">
        <v>3000</v>
      </c>
      <c r="N33" s="85">
        <f t="shared" si="28"/>
        <v>23.0863421615283</v>
      </c>
      <c r="O33" s="85">
        <f t="shared" si="29"/>
        <v>83.110831781501886</v>
      </c>
      <c r="P33" s="85">
        <f t="shared" si="30"/>
        <v>36.179917580522797</v>
      </c>
      <c r="Q33" s="85">
        <f t="shared" si="31"/>
        <v>130.24770328988208</v>
      </c>
      <c r="R33" s="85">
        <f t="shared" si="32"/>
        <v>0.52351113967437801</v>
      </c>
      <c r="S33" s="85">
        <f t="shared" si="33"/>
        <v>5.2351113967437799</v>
      </c>
      <c r="T33" s="85">
        <f t="shared" si="34"/>
        <v>28.690176908752299</v>
      </c>
      <c r="U33" s="85">
        <f t="shared" si="35"/>
        <v>103.28463687150828</v>
      </c>
      <c r="V33" s="85">
        <f t="shared" si="36"/>
        <v>0.959147424511545</v>
      </c>
      <c r="W33" s="85">
        <f t="shared" si="37"/>
        <v>9.5914742451154495</v>
      </c>
      <c r="X33" s="85">
        <f t="shared" si="38"/>
        <v>27.1603053435114</v>
      </c>
      <c r="Y33" s="85">
        <f t="shared" si="39"/>
        <v>97.777099236641035</v>
      </c>
      <c r="Z33" s="78">
        <f t="shared" si="41"/>
        <v>3900</v>
      </c>
      <c r="AA33" s="86">
        <f t="shared" si="40"/>
        <v>42.657902025111916</v>
      </c>
      <c r="AC33">
        <v>25.677419354838701</v>
      </c>
      <c r="AD33">
        <v>4.8934426229508201</v>
      </c>
      <c r="AE33" s="121">
        <v>21.753180661577598</v>
      </c>
      <c r="AF33" s="120">
        <v>5.4991119005328599</v>
      </c>
      <c r="AG33" s="121">
        <v>21.117048346055899</v>
      </c>
      <c r="AH33" s="120">
        <v>5.2220248667850804</v>
      </c>
      <c r="AI33">
        <v>22.339307048984399</v>
      </c>
      <c r="AJ33" s="120">
        <v>4.6147540983606499</v>
      </c>
      <c r="AK33">
        <v>24.100358422938999</v>
      </c>
      <c r="AL33">
        <v>4.4426229508196702</v>
      </c>
    </row>
    <row r="34" spans="1:38" x14ac:dyDescent="0.3">
      <c r="M34" s="77">
        <v>3500</v>
      </c>
      <c r="N34" s="85">
        <f t="shared" si="28"/>
        <v>24.945306572867</v>
      </c>
      <c r="O34" s="85">
        <f t="shared" si="29"/>
        <v>89.803103662321206</v>
      </c>
      <c r="P34" s="85">
        <f t="shared" si="30"/>
        <v>34.347894682391797</v>
      </c>
      <c r="Q34" s="85">
        <f t="shared" si="31"/>
        <v>123.65242085661048</v>
      </c>
      <c r="R34" s="85">
        <f t="shared" si="32"/>
        <v>0.22969627725411801</v>
      </c>
      <c r="S34" s="85">
        <f t="shared" si="33"/>
        <v>2.2969627725411801</v>
      </c>
      <c r="T34" s="85">
        <f t="shared" si="34"/>
        <v>29.4445392785709</v>
      </c>
      <c r="U34" s="85">
        <f t="shared" si="35"/>
        <v>106.00034140285524</v>
      </c>
      <c r="V34" s="85">
        <f t="shared" si="36"/>
        <v>0.40497335701598502</v>
      </c>
      <c r="W34" s="85">
        <f t="shared" si="37"/>
        <v>4.0497335701598498</v>
      </c>
      <c r="X34" s="85">
        <f t="shared" si="38"/>
        <v>29.005089058524099</v>
      </c>
      <c r="Y34" s="85">
        <f t="shared" si="39"/>
        <v>104.41832061068676</v>
      </c>
      <c r="Z34" s="78">
        <f t="shared" si="41"/>
        <v>3900</v>
      </c>
      <c r="AA34" s="86">
        <f t="shared" si="40"/>
        <v>66.249054733965849</v>
      </c>
      <c r="AC34">
        <v>26.860215053763401</v>
      </c>
      <c r="AD34">
        <v>4.1475409836065502</v>
      </c>
      <c r="AE34" s="121">
        <v>22.134860050890499</v>
      </c>
      <c r="AF34" s="120">
        <v>4.7424511545293004</v>
      </c>
      <c r="AG34" s="121">
        <v>22.0394402035623</v>
      </c>
      <c r="AH34" s="120">
        <v>4.2841918294849002</v>
      </c>
      <c r="AI34">
        <v>23.048984468339299</v>
      </c>
      <c r="AJ34" s="120">
        <v>3.86065573770491</v>
      </c>
      <c r="AK34">
        <v>25.388291517323701</v>
      </c>
      <c r="AL34">
        <v>3.77868852459016</v>
      </c>
    </row>
    <row r="35" spans="1:38" x14ac:dyDescent="0.3">
      <c r="M35" s="2">
        <f>Z27</f>
        <v>3900</v>
      </c>
      <c r="O35" s="2">
        <v>110</v>
      </c>
      <c r="Q35" s="2">
        <f>O35</f>
        <v>110</v>
      </c>
      <c r="S35" s="2">
        <f>S24</f>
        <v>0</v>
      </c>
      <c r="U35" s="2">
        <f>Q35</f>
        <v>110</v>
      </c>
      <c r="W35" s="2">
        <f>S35</f>
        <v>0</v>
      </c>
      <c r="Y35" s="2">
        <f>U35</f>
        <v>110</v>
      </c>
      <c r="AA35" s="2">
        <f>AA12</f>
        <v>160</v>
      </c>
      <c r="AC35">
        <v>27.5961768219832</v>
      </c>
      <c r="AD35">
        <v>3.4918032786885198</v>
      </c>
      <c r="AE35" s="121">
        <v>22.898218829516502</v>
      </c>
      <c r="AF35" s="120">
        <v>3.86856127886323</v>
      </c>
      <c r="AG35" s="121">
        <v>22.7391857506361</v>
      </c>
      <c r="AH35" s="120">
        <v>3.59147424511545</v>
      </c>
      <c r="AI35">
        <v>24.310633213858999</v>
      </c>
      <c r="AJ35" s="120">
        <v>3.1311475409836</v>
      </c>
      <c r="AK35">
        <v>26.6236559139784</v>
      </c>
      <c r="AL35">
        <v>3.1229508196721301</v>
      </c>
    </row>
    <row r="36" spans="1:38" ht="15" thickBot="1" x14ac:dyDescent="0.35">
      <c r="AC36">
        <v>28.227001194743099</v>
      </c>
      <c r="AD36">
        <v>2.9098360655737698</v>
      </c>
      <c r="AE36" s="121">
        <v>23.788804071246801</v>
      </c>
      <c r="AF36" s="120">
        <v>3.1119005328596798</v>
      </c>
      <c r="AG36" s="121">
        <v>23.629770992366399</v>
      </c>
      <c r="AH36" s="120">
        <v>2.8028419182948401</v>
      </c>
      <c r="AI36">
        <v>25.4408602150537</v>
      </c>
      <c r="AJ36" s="120">
        <v>2.4918032786885198</v>
      </c>
      <c r="AK36">
        <v>27.569892473118198</v>
      </c>
      <c r="AL36">
        <v>2.4508196721311402</v>
      </c>
    </row>
    <row r="37" spans="1:38" ht="15.6" x14ac:dyDescent="0.3">
      <c r="A37" s="3"/>
      <c r="M37" s="73" t="s">
        <v>8</v>
      </c>
      <c r="N37" s="74" t="s">
        <v>110</v>
      </c>
      <c r="O37" s="74" t="s">
        <v>111</v>
      </c>
      <c r="P37" s="74" t="s">
        <v>112</v>
      </c>
      <c r="Q37" s="74" t="s">
        <v>113</v>
      </c>
      <c r="R37" s="74" t="s">
        <v>114</v>
      </c>
      <c r="S37" s="74" t="s">
        <v>121</v>
      </c>
      <c r="T37" s="74" t="s">
        <v>115</v>
      </c>
      <c r="U37" s="74" t="s">
        <v>116</v>
      </c>
      <c r="V37" s="75" t="s">
        <v>117</v>
      </c>
      <c r="W37" s="75" t="s">
        <v>120</v>
      </c>
      <c r="X37" s="75" t="s">
        <v>118</v>
      </c>
      <c r="Y37" s="75" t="s">
        <v>119</v>
      </c>
      <c r="Z37" s="75" t="s">
        <v>122</v>
      </c>
      <c r="AA37" s="76" t="s">
        <v>147</v>
      </c>
      <c r="AC37">
        <v>29.0681003584229</v>
      </c>
      <c r="AD37">
        <v>2.20491803278688</v>
      </c>
      <c r="AE37" s="121">
        <v>24.583969465648799</v>
      </c>
      <c r="AF37" s="120">
        <v>2.4404973357015902</v>
      </c>
      <c r="AG37" s="121">
        <v>24.424936386768401</v>
      </c>
      <c r="AH37" s="120">
        <v>2.1527531083481302</v>
      </c>
      <c r="AI37">
        <v>26.544802867383499</v>
      </c>
      <c r="AJ37" s="120">
        <v>1.86065573770491</v>
      </c>
      <c r="AK37">
        <v>28.332138590203101</v>
      </c>
      <c r="AL37">
        <v>1.84426229508196</v>
      </c>
    </row>
    <row r="38" spans="1:38" x14ac:dyDescent="0.3">
      <c r="A38" s="2"/>
      <c r="M38" s="77">
        <v>0</v>
      </c>
      <c r="N38" s="85">
        <f>AI3</f>
        <v>20.474251497005898</v>
      </c>
      <c r="O38" s="85">
        <f>N38*3.6</f>
        <v>73.707305389221233</v>
      </c>
      <c r="P38" s="85">
        <f>AI13</f>
        <v>41.522089155023203</v>
      </c>
      <c r="Q38" s="85">
        <f>P38*3.6</f>
        <v>149.47952095808353</v>
      </c>
      <c r="R38" s="85">
        <f>AJ23</f>
        <v>2.0759493670886</v>
      </c>
      <c r="S38" s="85">
        <f>10*R38</f>
        <v>20.759493670886002</v>
      </c>
      <c r="T38" s="85">
        <f>AI23</f>
        <v>28.273053892215501</v>
      </c>
      <c r="U38" s="85">
        <f>T38*3.6</f>
        <v>101.7829940119758</v>
      </c>
      <c r="V38" s="85">
        <f>AJ33</f>
        <v>4.6147540983606499</v>
      </c>
      <c r="W38" s="85">
        <f>10*V38</f>
        <v>46.147540983606497</v>
      </c>
      <c r="X38" s="85">
        <f>AI33</f>
        <v>22.339307048984399</v>
      </c>
      <c r="Y38" s="85">
        <f>X38*3.6</f>
        <v>80.421505376343831</v>
      </c>
      <c r="Z38" s="78">
        <f>M46</f>
        <v>3640</v>
      </c>
      <c r="AA38" s="86">
        <f>Z38/R$38*LN(1/(1-M38/Z38))/60</f>
        <v>0</v>
      </c>
      <c r="AC38">
        <v>29.961768219832699</v>
      </c>
      <c r="AD38">
        <v>1.6639344262294999</v>
      </c>
      <c r="AE38" s="121">
        <v>25.5063613231552</v>
      </c>
      <c r="AF38" s="120">
        <v>1.8436944937833</v>
      </c>
      <c r="AG38" s="121">
        <v>25.888040712468101</v>
      </c>
      <c r="AH38" s="120">
        <v>1.49200710479573</v>
      </c>
      <c r="AI38">
        <v>27.701314217443201</v>
      </c>
      <c r="AJ38" s="120">
        <v>1.35245901639344</v>
      </c>
      <c r="AK38">
        <v>29.436081242532801</v>
      </c>
      <c r="AL38">
        <v>1.22950819672131</v>
      </c>
    </row>
    <row r="39" spans="1:38" x14ac:dyDescent="0.3">
      <c r="M39" s="77">
        <v>500</v>
      </c>
      <c r="N39" s="85">
        <f t="shared" ref="N39:N45" si="42">AI4</f>
        <v>21.001197604790399</v>
      </c>
      <c r="O39" s="85">
        <f t="shared" ref="O39:O45" si="43">N39*3.6</f>
        <v>75.604311377245438</v>
      </c>
      <c r="P39" s="85">
        <f t="shared" ref="P39:P45" si="44">AI14</f>
        <v>41.247638057218801</v>
      </c>
      <c r="Q39" s="85">
        <f t="shared" ref="Q39:Q45" si="45">P39*3.6</f>
        <v>148.4914970059877</v>
      </c>
      <c r="R39" s="85">
        <f t="shared" ref="R39:R45" si="46">AJ24</f>
        <v>1.78481012658227</v>
      </c>
      <c r="S39" s="85">
        <f t="shared" ref="S39:S45" si="47">10*R39</f>
        <v>17.848101265822699</v>
      </c>
      <c r="T39" s="85">
        <f t="shared" ref="T39:T45" si="48">AI24</f>
        <v>28.7736526946107</v>
      </c>
      <c r="U39" s="85">
        <f t="shared" ref="U39:U45" si="49">T39*3.6</f>
        <v>103.58514970059852</v>
      </c>
      <c r="V39" s="85">
        <f t="shared" ref="V39:V45" si="50">AJ34</f>
        <v>3.86065573770491</v>
      </c>
      <c r="W39" s="85">
        <f t="shared" ref="W39:W45" si="51">10*V39</f>
        <v>38.6065573770491</v>
      </c>
      <c r="X39" s="85">
        <f t="shared" ref="X39:X45" si="52">AI34</f>
        <v>23.048984468339299</v>
      </c>
      <c r="Y39" s="85">
        <f t="shared" ref="Y39:Y45" si="53">X39*3.6</f>
        <v>82.976344086021484</v>
      </c>
      <c r="Z39" s="78">
        <f>Z38</f>
        <v>3640</v>
      </c>
      <c r="AA39" s="86">
        <f t="shared" ref="AA39:AA45" si="54">Z39/R$38*LN(1/(1-M39/Z39))/60</f>
        <v>4.3181015396182874</v>
      </c>
      <c r="AC39">
        <v>30.9605734767025</v>
      </c>
      <c r="AD39">
        <v>1.0983606557376999</v>
      </c>
      <c r="AE39" s="121">
        <v>26.492366412213698</v>
      </c>
      <c r="AF39" s="120">
        <v>1.21492007104795</v>
      </c>
      <c r="AG39" s="121">
        <v>27.1603053435114</v>
      </c>
      <c r="AH39" s="120">
        <v>0.959147424511545</v>
      </c>
      <c r="AI39">
        <v>28.673835125448001</v>
      </c>
      <c r="AJ39" s="120">
        <v>0.73770491803278604</v>
      </c>
      <c r="AK39">
        <v>30.145758661887601</v>
      </c>
      <c r="AL39">
        <v>0.69672131147540906</v>
      </c>
    </row>
    <row r="40" spans="1:38" x14ac:dyDescent="0.3">
      <c r="M40" s="77">
        <v>1000</v>
      </c>
      <c r="N40" s="85">
        <f t="shared" si="42"/>
        <v>21.501796407185601</v>
      </c>
      <c r="O40" s="85">
        <f t="shared" si="43"/>
        <v>77.406467065868171</v>
      </c>
      <c r="P40" s="85">
        <f t="shared" si="44"/>
        <v>40.942692392991702</v>
      </c>
      <c r="Q40" s="85">
        <f t="shared" si="45"/>
        <v>147.39369261477015</v>
      </c>
      <c r="R40" s="85">
        <f t="shared" si="46"/>
        <v>1.53164556962025</v>
      </c>
      <c r="S40" s="85">
        <f t="shared" si="47"/>
        <v>15.3164556962025</v>
      </c>
      <c r="T40" s="85">
        <f t="shared" si="48"/>
        <v>29.116167664670598</v>
      </c>
      <c r="U40" s="85">
        <f t="shared" si="49"/>
        <v>104.81820359281416</v>
      </c>
      <c r="V40" s="85">
        <f t="shared" si="50"/>
        <v>3.1311475409836</v>
      </c>
      <c r="W40" s="85">
        <f t="shared" si="51"/>
        <v>31.311475409836</v>
      </c>
      <c r="X40" s="85">
        <f t="shared" si="52"/>
        <v>24.310633213858999</v>
      </c>
      <c r="Y40" s="85">
        <f t="shared" si="53"/>
        <v>87.5182795698924</v>
      </c>
      <c r="Z40" s="78">
        <f t="shared" ref="Z40:Z45" si="55">Z39</f>
        <v>3640</v>
      </c>
      <c r="AA40" s="86">
        <f t="shared" si="54"/>
        <v>9.3867522435840272</v>
      </c>
      <c r="AC40">
        <v>31.8805256869773</v>
      </c>
      <c r="AD40">
        <v>0.70491803278688503</v>
      </c>
      <c r="AE40" s="121">
        <v>27.828244274809101</v>
      </c>
      <c r="AF40" s="120">
        <v>0.61811722912966205</v>
      </c>
      <c r="AG40" s="121">
        <v>29.005089058524099</v>
      </c>
      <c r="AH40" s="120">
        <v>0.40497335701598502</v>
      </c>
      <c r="AI40">
        <v>30.2508960573476</v>
      </c>
      <c r="AJ40" s="120">
        <v>0.180327868852458</v>
      </c>
      <c r="AK40">
        <v>30.934289127837499</v>
      </c>
      <c r="AL40">
        <v>0.14754098360655701</v>
      </c>
    </row>
    <row r="41" spans="1:38" x14ac:dyDescent="0.3">
      <c r="A41" s="2"/>
      <c r="M41" s="77">
        <v>1500</v>
      </c>
      <c r="N41" s="85">
        <f t="shared" si="42"/>
        <v>22.028742514969998</v>
      </c>
      <c r="O41" s="85">
        <f t="shared" si="43"/>
        <v>79.303473053891992</v>
      </c>
      <c r="P41" s="85">
        <f t="shared" si="44"/>
        <v>40.515768463073798</v>
      </c>
      <c r="Q41" s="85">
        <f t="shared" si="45"/>
        <v>145.85676646706568</v>
      </c>
      <c r="R41" s="85">
        <f t="shared" si="46"/>
        <v>1.22784810126582</v>
      </c>
      <c r="S41" s="85">
        <f t="shared" si="47"/>
        <v>12.278481012658201</v>
      </c>
      <c r="T41" s="85">
        <f t="shared" si="48"/>
        <v>29.5904191616766</v>
      </c>
      <c r="U41" s="85">
        <f t="shared" si="49"/>
        <v>106.52550898203576</v>
      </c>
      <c r="V41" s="85">
        <f t="shared" si="50"/>
        <v>2.4918032786885198</v>
      </c>
      <c r="W41" s="85">
        <f t="shared" si="51"/>
        <v>24.918032786885199</v>
      </c>
      <c r="X41" s="85">
        <f t="shared" si="52"/>
        <v>25.4408602150537</v>
      </c>
      <c r="Y41" s="85">
        <f t="shared" si="53"/>
        <v>91.587096774193327</v>
      </c>
      <c r="Z41" s="78">
        <f t="shared" si="55"/>
        <v>3640</v>
      </c>
      <c r="AA41" s="86">
        <f>Z41/R$38*LN(1/(1-M41/Z41))/60</f>
        <v>15.522917001822975</v>
      </c>
      <c r="AC41">
        <v>33.3261648745519</v>
      </c>
      <c r="AD41">
        <v>0.24590163934426101</v>
      </c>
      <c r="AE41" s="121">
        <v>28.973282442748001</v>
      </c>
      <c r="AF41" s="120">
        <v>0.117229129662522</v>
      </c>
      <c r="AG41" s="121"/>
      <c r="AH41" s="120"/>
      <c r="AJ41" s="120"/>
    </row>
    <row r="42" spans="1:38" x14ac:dyDescent="0.3">
      <c r="A42" s="2"/>
      <c r="M42" s="77">
        <v>2000</v>
      </c>
      <c r="N42" s="85">
        <f t="shared" si="42"/>
        <v>22.608383233532901</v>
      </c>
      <c r="O42" s="85">
        <f t="shared" si="43"/>
        <v>81.390179640718443</v>
      </c>
      <c r="P42" s="85">
        <f t="shared" si="44"/>
        <v>39.783898868928802</v>
      </c>
      <c r="Q42" s="85">
        <f t="shared" si="45"/>
        <v>143.2220359281437</v>
      </c>
      <c r="R42" s="85">
        <f t="shared" si="46"/>
        <v>0.89451476793248896</v>
      </c>
      <c r="S42" s="85">
        <f t="shared" si="47"/>
        <v>8.9451476793248901</v>
      </c>
      <c r="T42" s="85">
        <f t="shared" si="48"/>
        <v>30.064670658682601</v>
      </c>
      <c r="U42" s="85">
        <f t="shared" si="49"/>
        <v>108.23281437125736</v>
      </c>
      <c r="V42" s="85">
        <f t="shared" si="50"/>
        <v>1.86065573770491</v>
      </c>
      <c r="W42" s="85">
        <f t="shared" si="51"/>
        <v>18.6065573770491</v>
      </c>
      <c r="X42" s="85">
        <f t="shared" si="52"/>
        <v>26.544802867383499</v>
      </c>
      <c r="Y42" s="85">
        <f t="shared" si="53"/>
        <v>95.561290322580604</v>
      </c>
      <c r="Z42" s="78">
        <f t="shared" si="55"/>
        <v>3640</v>
      </c>
      <c r="AA42" s="86">
        <f t="shared" si="54"/>
        <v>23.299591076473121</v>
      </c>
      <c r="AE42" s="79"/>
      <c r="AF42" s="80"/>
      <c r="AG42" s="79"/>
      <c r="AH42" s="80"/>
      <c r="AJ42" s="120"/>
    </row>
    <row r="43" spans="1:38" x14ac:dyDescent="0.3">
      <c r="M43" s="77">
        <v>2500</v>
      </c>
      <c r="N43" s="85">
        <f t="shared" si="42"/>
        <v>23.188023952095801</v>
      </c>
      <c r="O43" s="85">
        <f t="shared" si="43"/>
        <v>83.476886227544881</v>
      </c>
      <c r="P43" s="85">
        <f t="shared" si="44"/>
        <v>39.143512974051902</v>
      </c>
      <c r="Q43" s="85">
        <f t="shared" si="45"/>
        <v>140.91664670658685</v>
      </c>
      <c r="R43" s="85">
        <f t="shared" si="46"/>
        <v>0.62869198312236296</v>
      </c>
      <c r="S43" s="85">
        <f t="shared" si="47"/>
        <v>6.2869198312236296</v>
      </c>
      <c r="T43" s="85">
        <f t="shared" si="48"/>
        <v>30.538922155688599</v>
      </c>
      <c r="U43" s="85">
        <f t="shared" si="49"/>
        <v>109.94011976047896</v>
      </c>
      <c r="V43" s="85">
        <f t="shared" si="50"/>
        <v>1.35245901639344</v>
      </c>
      <c r="W43" s="85">
        <f t="shared" si="51"/>
        <v>13.5245901639344</v>
      </c>
      <c r="X43" s="85">
        <f t="shared" si="52"/>
        <v>27.701314217443201</v>
      </c>
      <c r="Y43" s="85">
        <f t="shared" si="53"/>
        <v>99.724731182795523</v>
      </c>
      <c r="Z43" s="78">
        <f t="shared" si="55"/>
        <v>3640</v>
      </c>
      <c r="AA43" s="86">
        <f t="shared" si="54"/>
        <v>33.92727036151436</v>
      </c>
      <c r="AE43" s="79"/>
      <c r="AF43" s="80"/>
      <c r="AG43" s="79"/>
      <c r="AH43" s="80"/>
      <c r="AJ43" s="120"/>
    </row>
    <row r="44" spans="1:38" ht="15" thickBot="1" x14ac:dyDescent="0.35">
      <c r="M44" s="77">
        <v>3000</v>
      </c>
      <c r="N44" s="85">
        <f t="shared" si="42"/>
        <v>23.767664670658601</v>
      </c>
      <c r="O44" s="85">
        <f t="shared" si="43"/>
        <v>85.563592814370963</v>
      </c>
      <c r="P44" s="85">
        <f t="shared" si="44"/>
        <v>37.161366156575703</v>
      </c>
      <c r="Q44" s="85">
        <f t="shared" si="45"/>
        <v>133.78091816367254</v>
      </c>
      <c r="R44" s="85">
        <f t="shared" si="46"/>
        <v>0.329113924050632</v>
      </c>
      <c r="S44" s="85">
        <f t="shared" si="47"/>
        <v>3.29113924050632</v>
      </c>
      <c r="T44" s="85">
        <f t="shared" si="48"/>
        <v>30.960479041916098</v>
      </c>
      <c r="U44" s="85">
        <f t="shared" si="49"/>
        <v>111.45772455089795</v>
      </c>
      <c r="V44" s="85">
        <f t="shared" si="50"/>
        <v>0.73770491803278604</v>
      </c>
      <c r="W44" s="85">
        <f t="shared" si="51"/>
        <v>7.3770491803278606</v>
      </c>
      <c r="X44" s="85">
        <f t="shared" si="52"/>
        <v>28.673835125448001</v>
      </c>
      <c r="Y44" s="85">
        <f t="shared" si="53"/>
        <v>103.22580645161281</v>
      </c>
      <c r="Z44" s="78">
        <f t="shared" si="55"/>
        <v>3640</v>
      </c>
      <c r="AA44" s="86">
        <f t="shared" si="54"/>
        <v>50.798490521007686</v>
      </c>
      <c r="AE44" s="117"/>
      <c r="AF44" s="118"/>
      <c r="AG44" s="117"/>
      <c r="AH44" s="118"/>
      <c r="AI44" s="122"/>
      <c r="AJ44" s="123"/>
    </row>
    <row r="45" spans="1:38" x14ac:dyDescent="0.3">
      <c r="M45" s="77">
        <v>3500</v>
      </c>
      <c r="N45" s="85">
        <f t="shared" si="42"/>
        <v>26.955688622754401</v>
      </c>
      <c r="O45" s="85">
        <f t="shared" si="43"/>
        <v>97.040479041915845</v>
      </c>
      <c r="P45" s="85">
        <f t="shared" si="44"/>
        <v>33.913694832557098</v>
      </c>
      <c r="Q45" s="85">
        <f t="shared" si="45"/>
        <v>122.08930139720556</v>
      </c>
      <c r="R45" s="85">
        <f t="shared" si="46"/>
        <v>8.0168776371308106E-2</v>
      </c>
      <c r="S45" s="85">
        <f t="shared" si="47"/>
        <v>0.80168776371308104</v>
      </c>
      <c r="T45" s="85">
        <f t="shared" si="48"/>
        <v>31.382035928143701</v>
      </c>
      <c r="U45" s="85">
        <f t="shared" si="49"/>
        <v>112.97532934131732</v>
      </c>
      <c r="V45" s="85">
        <f t="shared" si="50"/>
        <v>0.180327868852458</v>
      </c>
      <c r="W45" s="85">
        <f t="shared" si="51"/>
        <v>1.80327868852458</v>
      </c>
      <c r="X45" s="85">
        <f t="shared" si="52"/>
        <v>30.2508960573476</v>
      </c>
      <c r="Y45" s="85">
        <f t="shared" si="53"/>
        <v>108.90322580645136</v>
      </c>
      <c r="Z45" s="78">
        <f t="shared" si="55"/>
        <v>3640</v>
      </c>
      <c r="AA45" s="86">
        <f t="shared" si="54"/>
        <v>95.213235820473685</v>
      </c>
      <c r="AC45" s="124" t="s">
        <v>131</v>
      </c>
      <c r="AD45" s="124" t="s">
        <v>132</v>
      </c>
      <c r="AE45" s="127" t="s">
        <v>133</v>
      </c>
      <c r="AF45" s="124" t="s">
        <v>134</v>
      </c>
      <c r="AG45" s="127" t="s">
        <v>135</v>
      </c>
      <c r="AH45" s="128" t="s">
        <v>136</v>
      </c>
      <c r="AI45" s="124" t="s">
        <v>181</v>
      </c>
      <c r="AJ45" s="128" t="s">
        <v>178</v>
      </c>
      <c r="AK45" s="124" t="s">
        <v>179</v>
      </c>
      <c r="AL45" s="124" t="s">
        <v>180</v>
      </c>
    </row>
    <row r="46" spans="1:38" ht="15" thickBot="1" x14ac:dyDescent="0.35">
      <c r="M46" s="2">
        <f>AI46</f>
        <v>3640</v>
      </c>
      <c r="O46" s="2">
        <v>113</v>
      </c>
      <c r="Q46" s="2">
        <f>O46</f>
        <v>113</v>
      </c>
      <c r="S46" s="2">
        <f>S35</f>
        <v>0</v>
      </c>
      <c r="U46" s="2">
        <f>Q46</f>
        <v>113</v>
      </c>
      <c r="W46" s="2">
        <f>S46</f>
        <v>0</v>
      </c>
      <c r="Y46" s="2">
        <f>U46</f>
        <v>113</v>
      </c>
      <c r="AA46" s="2">
        <f>AA35</f>
        <v>160</v>
      </c>
      <c r="AC46" s="2">
        <v>4240</v>
      </c>
      <c r="AD46" s="2">
        <f>-1830.1*AD$51+AC46</f>
        <v>3324.95</v>
      </c>
      <c r="AE46" s="79">
        <v>4070</v>
      </c>
      <c r="AF46" s="2">
        <f>-1707.2*AD$51+AE46</f>
        <v>3216.4</v>
      </c>
      <c r="AG46" s="79">
        <v>3900</v>
      </c>
      <c r="AH46" s="80">
        <f>-1746*AD$51+AG46</f>
        <v>3027</v>
      </c>
      <c r="AI46" s="2">
        <v>3640</v>
      </c>
      <c r="AJ46" s="80">
        <f>-1753.7*AD51+AI46</f>
        <v>2763.15</v>
      </c>
      <c r="AK46" s="2">
        <v>3645</v>
      </c>
      <c r="AL46" s="2">
        <f>-1776.2*AD51+AK46</f>
        <v>2756.9</v>
      </c>
    </row>
    <row r="47" spans="1:38" ht="15" thickBot="1" x14ac:dyDescent="0.35">
      <c r="A47" s="90" t="str">
        <f>M2</f>
        <v>h [m]</v>
      </c>
      <c r="B47" s="89" t="str">
        <f>N2</f>
        <v>Vmin [m/s]</v>
      </c>
      <c r="C47" s="89" t="str">
        <f>P2</f>
        <v>Vmax [m/s]</v>
      </c>
      <c r="D47" s="89" t="str">
        <f>R2</f>
        <v>wmax [m/s]</v>
      </c>
      <c r="E47" s="89" t="str">
        <f>T2</f>
        <v>Vw [m/s]</v>
      </c>
      <c r="F47" s="89" t="str">
        <f>V2</f>
        <v>γmax [°]</v>
      </c>
      <c r="G47" s="89" t="str">
        <f>X2</f>
        <v>Vγ [m/s]</v>
      </c>
      <c r="H47" s="91" t="str">
        <f>AA2</f>
        <v>th [min]</v>
      </c>
      <c r="AC47" s="115">
        <f t="shared" ref="AC47:AI47" si="56">AC46</f>
        <v>4240</v>
      </c>
      <c r="AD47" s="115">
        <f t="shared" si="56"/>
        <v>3324.95</v>
      </c>
      <c r="AE47" s="117">
        <f t="shared" si="56"/>
        <v>4070</v>
      </c>
      <c r="AF47" s="115">
        <f t="shared" si="56"/>
        <v>3216.4</v>
      </c>
      <c r="AG47" s="117">
        <f t="shared" si="56"/>
        <v>3900</v>
      </c>
      <c r="AH47" s="118">
        <f t="shared" si="56"/>
        <v>3027</v>
      </c>
      <c r="AI47" s="115">
        <f t="shared" si="56"/>
        <v>3640</v>
      </c>
      <c r="AJ47" s="118">
        <f t="shared" ref="AJ47:AL47" si="57">AJ46</f>
        <v>2763.15</v>
      </c>
      <c r="AK47" s="115">
        <f t="shared" si="57"/>
        <v>3645</v>
      </c>
      <c r="AL47" s="115">
        <f t="shared" si="57"/>
        <v>2756.9</v>
      </c>
    </row>
    <row r="48" spans="1:38" ht="15" thickBot="1" x14ac:dyDescent="0.35">
      <c r="A48" s="87">
        <f t="shared" ref="A48:B48" si="58">M3</f>
        <v>0</v>
      </c>
      <c r="B48" s="85">
        <f t="shared" si="58"/>
        <v>20.474251497005898</v>
      </c>
      <c r="C48" s="85">
        <f t="shared" ref="C48:C56" si="59">P3</f>
        <v>41.994754934575298</v>
      </c>
      <c r="D48" s="85">
        <f t="shared" ref="D48:D56" si="60">R3</f>
        <v>2.3164556962025298</v>
      </c>
      <c r="E48" s="85">
        <f t="shared" ref="E48:E56" si="61">T3</f>
        <v>29.326946107784401</v>
      </c>
      <c r="F48" s="85">
        <f t="shared" ref="F48:F56" si="62">V3</f>
        <v>4.8934426229508201</v>
      </c>
      <c r="G48" s="85">
        <f t="shared" ref="G48:G56" si="63">X3</f>
        <v>25.677419354838701</v>
      </c>
      <c r="H48" s="86">
        <f t="shared" ref="H48:H56" si="64">AA3</f>
        <v>0</v>
      </c>
    </row>
    <row r="49" spans="1:30" ht="15.6" x14ac:dyDescent="0.3">
      <c r="A49" s="87">
        <f t="shared" ref="A49:B49" si="65">M4</f>
        <v>500</v>
      </c>
      <c r="B49" s="85">
        <f t="shared" si="65"/>
        <v>20.974850299401101</v>
      </c>
      <c r="C49" s="85">
        <f t="shared" si="59"/>
        <v>41.811787536038999</v>
      </c>
      <c r="D49" s="85">
        <f t="shared" si="60"/>
        <v>2.0379746835443</v>
      </c>
      <c r="E49" s="85">
        <f t="shared" si="61"/>
        <v>29.748502994011901</v>
      </c>
      <c r="F49" s="85">
        <f t="shared" si="62"/>
        <v>4.1475409836065502</v>
      </c>
      <c r="G49" s="85">
        <f t="shared" si="63"/>
        <v>26.860215053763401</v>
      </c>
      <c r="H49" s="86">
        <f t="shared" si="64"/>
        <v>3.8278685120696729</v>
      </c>
      <c r="M49" s="73" t="s">
        <v>8</v>
      </c>
      <c r="N49" s="74" t="s">
        <v>110</v>
      </c>
      <c r="O49" s="74" t="s">
        <v>111</v>
      </c>
      <c r="P49" s="74" t="s">
        <v>112</v>
      </c>
      <c r="Q49" s="74" t="s">
        <v>113</v>
      </c>
      <c r="R49" s="74" t="s">
        <v>114</v>
      </c>
      <c r="S49" s="74" t="s">
        <v>121</v>
      </c>
      <c r="T49" s="74" t="s">
        <v>115</v>
      </c>
      <c r="U49" s="74" t="s">
        <v>116</v>
      </c>
      <c r="V49" s="75" t="s">
        <v>117</v>
      </c>
      <c r="W49" s="75" t="s">
        <v>120</v>
      </c>
      <c r="X49" s="75" t="s">
        <v>118</v>
      </c>
      <c r="Y49" s="75" t="s">
        <v>119</v>
      </c>
      <c r="Z49" s="75" t="s">
        <v>122</v>
      </c>
      <c r="AA49" s="76" t="s">
        <v>147</v>
      </c>
    </row>
    <row r="50" spans="1:30" x14ac:dyDescent="0.3">
      <c r="A50" s="87">
        <f t="shared" ref="A50:B50" si="66">M5</f>
        <v>1000</v>
      </c>
      <c r="B50" s="85">
        <f t="shared" si="66"/>
        <v>21.4754491017964</v>
      </c>
      <c r="C50" s="85">
        <f t="shared" si="59"/>
        <v>41.674561987136798</v>
      </c>
      <c r="D50" s="85">
        <f t="shared" si="60"/>
        <v>1.7426160337552701</v>
      </c>
      <c r="E50" s="85">
        <f t="shared" si="61"/>
        <v>30.459880239520899</v>
      </c>
      <c r="F50" s="85">
        <f t="shared" si="62"/>
        <v>3.4918032786885198</v>
      </c>
      <c r="G50" s="85">
        <f t="shared" si="63"/>
        <v>27.5961768219832</v>
      </c>
      <c r="H50" s="86">
        <f t="shared" si="64"/>
        <v>8.205908025018033</v>
      </c>
      <c r="M50" s="77">
        <v>0</v>
      </c>
      <c r="N50" s="85">
        <f>AK3</f>
        <v>20.474251497005898</v>
      </c>
      <c r="O50" s="85">
        <f>N50*3.6</f>
        <v>73.707305389221233</v>
      </c>
      <c r="P50" s="85">
        <f>AK13</f>
        <v>40.851208693723599</v>
      </c>
      <c r="Q50" s="85">
        <f>P50*3.6</f>
        <v>147.06435129740495</v>
      </c>
      <c r="R50" s="85">
        <f>AL23</f>
        <v>2.0506329113924</v>
      </c>
      <c r="S50" s="85">
        <f>10*R50</f>
        <v>20.506329113924</v>
      </c>
      <c r="T50" s="85">
        <f>AK23</f>
        <v>27.429940119760399</v>
      </c>
      <c r="U50" s="85">
        <f>T50*3.6</f>
        <v>98.747784431137433</v>
      </c>
      <c r="V50" s="85">
        <f>AL33</f>
        <v>4.4426229508196702</v>
      </c>
      <c r="W50" s="85">
        <f>10*V50</f>
        <v>44.426229508196698</v>
      </c>
      <c r="X50" s="85">
        <f>AK33</f>
        <v>24.100358422938999</v>
      </c>
      <c r="Y50" s="85">
        <f>X50*3.6</f>
        <v>86.761290322580393</v>
      </c>
      <c r="Z50" s="78">
        <f>M58</f>
        <v>3645</v>
      </c>
      <c r="AA50" s="86">
        <f>Z50/R$50*LN(1/(1-M50/Z50))/60</f>
        <v>0</v>
      </c>
      <c r="AC50" s="2" t="s">
        <v>6</v>
      </c>
      <c r="AD50" s="2" t="s">
        <v>130</v>
      </c>
    </row>
    <row r="51" spans="1:30" x14ac:dyDescent="0.3">
      <c r="A51" s="87">
        <f t="shared" ref="A51:B51" si="67">M6</f>
        <v>1500</v>
      </c>
      <c r="B51" s="85">
        <f t="shared" si="67"/>
        <v>22.002395209580801</v>
      </c>
      <c r="C51" s="85">
        <f t="shared" si="59"/>
        <v>41.476347305389197</v>
      </c>
      <c r="D51" s="85">
        <f t="shared" si="60"/>
        <v>1.43037974683544</v>
      </c>
      <c r="E51" s="85">
        <f t="shared" si="61"/>
        <v>30.960479041916098</v>
      </c>
      <c r="F51" s="85">
        <f t="shared" si="62"/>
        <v>2.9098360655737698</v>
      </c>
      <c r="G51" s="85">
        <f t="shared" si="63"/>
        <v>28.227001194743099</v>
      </c>
      <c r="H51" s="86">
        <f t="shared" si="64"/>
        <v>13.319246598246689</v>
      </c>
      <c r="M51" s="77">
        <v>500</v>
      </c>
      <c r="N51" s="85">
        <f t="shared" ref="N51:N57" si="68">AK4</f>
        <v>20.974850299401101</v>
      </c>
      <c r="O51" s="85">
        <f t="shared" ref="O51:O57" si="69">N51*3.6</f>
        <v>75.509461077843966</v>
      </c>
      <c r="P51" s="85">
        <f t="shared" ref="P51:P57" si="70">AK14</f>
        <v>40.393790197382998</v>
      </c>
      <c r="Q51" s="85">
        <f t="shared" ref="Q51:Q57" si="71">P51*3.6</f>
        <v>145.4176447105788</v>
      </c>
      <c r="R51" s="85">
        <f t="shared" ref="R51:R57" si="72">AL24</f>
        <v>1.7637130801687699</v>
      </c>
      <c r="S51" s="85">
        <f t="shared" ref="S51:S57" si="73">10*R51</f>
        <v>17.6371308016877</v>
      </c>
      <c r="T51" s="85">
        <f t="shared" ref="T51:T57" si="74">AK24</f>
        <v>27.6670658682634</v>
      </c>
      <c r="U51" s="85">
        <f t="shared" ref="U51:U57" si="75">T51*3.6</f>
        <v>99.601437125748248</v>
      </c>
      <c r="V51" s="85">
        <f t="shared" ref="V51:V57" si="76">AL34</f>
        <v>3.77868852459016</v>
      </c>
      <c r="W51" s="85">
        <f t="shared" ref="W51:W57" si="77">10*V51</f>
        <v>37.786885245901601</v>
      </c>
      <c r="X51" s="85">
        <f t="shared" ref="X51:X57" si="78">AK34</f>
        <v>25.388291517323701</v>
      </c>
      <c r="Y51" s="85">
        <f t="shared" ref="Y51:Y57" si="79">X51*3.6</f>
        <v>91.397849462365329</v>
      </c>
      <c r="Z51" s="78">
        <f>Z50</f>
        <v>3645</v>
      </c>
      <c r="AA51" s="86">
        <f t="shared" ref="AA51:AA57" si="80">Z51/R$50*LN(1/(1-M51/Z51))/60</f>
        <v>4.3709458310059608</v>
      </c>
      <c r="AC51" s="2">
        <v>0</v>
      </c>
      <c r="AD51" s="2">
        <v>0.5</v>
      </c>
    </row>
    <row r="52" spans="1:30" x14ac:dyDescent="0.3">
      <c r="A52" s="87">
        <f t="shared" ref="A52:B52" si="81">M7</f>
        <v>2000</v>
      </c>
      <c r="B52" s="85">
        <f t="shared" si="81"/>
        <v>22.555688622754399</v>
      </c>
      <c r="C52" s="85">
        <f t="shared" si="59"/>
        <v>41.003681525837202</v>
      </c>
      <c r="D52" s="85">
        <f t="shared" si="60"/>
        <v>1.12658227848101</v>
      </c>
      <c r="E52" s="85">
        <f t="shared" si="61"/>
        <v>31.671856287425101</v>
      </c>
      <c r="F52" s="85">
        <f t="shared" si="62"/>
        <v>2.20491803278688</v>
      </c>
      <c r="G52" s="85">
        <f t="shared" si="63"/>
        <v>29.0681003584229</v>
      </c>
      <c r="H52" s="86">
        <f t="shared" si="64"/>
        <v>19.465733755476553</v>
      </c>
      <c r="M52" s="77">
        <v>1000</v>
      </c>
      <c r="N52" s="85">
        <f t="shared" si="68"/>
        <v>21.501796407185601</v>
      </c>
      <c r="O52" s="85">
        <f t="shared" si="69"/>
        <v>77.406467065868171</v>
      </c>
      <c r="P52" s="85">
        <f t="shared" si="70"/>
        <v>39.905877134619601</v>
      </c>
      <c r="Q52" s="85">
        <f t="shared" si="71"/>
        <v>143.66115768463058</v>
      </c>
      <c r="R52" s="85">
        <f t="shared" si="72"/>
        <v>1.4978902953586499</v>
      </c>
      <c r="S52" s="85">
        <f t="shared" si="73"/>
        <v>14.978902953586498</v>
      </c>
      <c r="T52" s="85">
        <f t="shared" si="74"/>
        <v>27.877844311377199</v>
      </c>
      <c r="U52" s="85">
        <f t="shared" si="75"/>
        <v>100.36023952095792</v>
      </c>
      <c r="V52" s="85">
        <f t="shared" si="76"/>
        <v>3.1229508196721301</v>
      </c>
      <c r="W52" s="85">
        <f t="shared" si="77"/>
        <v>31.229508196721302</v>
      </c>
      <c r="X52" s="85">
        <f t="shared" si="78"/>
        <v>26.6236559139784</v>
      </c>
      <c r="Y52" s="85">
        <f t="shared" si="79"/>
        <v>95.845161290322238</v>
      </c>
      <c r="Z52" s="78">
        <f t="shared" ref="Z52:Z57" si="82">Z51</f>
        <v>3645</v>
      </c>
      <c r="AA52" s="86">
        <f t="shared" si="80"/>
        <v>9.5003020169544019</v>
      </c>
      <c r="AC52" s="2">
        <v>5000</v>
      </c>
      <c r="AD52" s="2">
        <v>0.5</v>
      </c>
    </row>
    <row r="53" spans="1:30" x14ac:dyDescent="0.3">
      <c r="A53" s="87">
        <f t="shared" ref="A53:B53" si="83">M8</f>
        <v>2500</v>
      </c>
      <c r="B53" s="85">
        <f t="shared" si="83"/>
        <v>23.108982035928101</v>
      </c>
      <c r="C53" s="85">
        <f t="shared" si="59"/>
        <v>40.759724994455503</v>
      </c>
      <c r="D53" s="85">
        <f t="shared" si="60"/>
        <v>0.860759493670886</v>
      </c>
      <c r="E53" s="85">
        <f t="shared" si="61"/>
        <v>32.225149700598799</v>
      </c>
      <c r="F53" s="85">
        <f t="shared" si="62"/>
        <v>1.6639344262294999</v>
      </c>
      <c r="G53" s="85">
        <f t="shared" si="63"/>
        <v>29.961768219832699</v>
      </c>
      <c r="H53" s="86">
        <f t="shared" si="64"/>
        <v>27.171362034571782</v>
      </c>
      <c r="M53" s="77">
        <v>1500</v>
      </c>
      <c r="N53" s="85">
        <f t="shared" si="68"/>
        <v>22.028742514969998</v>
      </c>
      <c r="O53" s="85">
        <f t="shared" si="69"/>
        <v>79.303473053891992</v>
      </c>
      <c r="P53" s="85">
        <f t="shared" si="70"/>
        <v>39.555189620758398</v>
      </c>
      <c r="Q53" s="85">
        <f t="shared" si="71"/>
        <v>142.39868263473025</v>
      </c>
      <c r="R53" s="85">
        <f t="shared" si="72"/>
        <v>1.1814345991561099</v>
      </c>
      <c r="S53" s="85">
        <f t="shared" si="73"/>
        <v>11.814345991561099</v>
      </c>
      <c r="T53" s="85">
        <f t="shared" si="74"/>
        <v>28.299401197604698</v>
      </c>
      <c r="U53" s="85">
        <f t="shared" si="75"/>
        <v>101.87784431137692</v>
      </c>
      <c r="V53" s="85">
        <f t="shared" si="76"/>
        <v>2.4508196721311402</v>
      </c>
      <c r="W53" s="85">
        <f t="shared" si="77"/>
        <v>24.5081967213114</v>
      </c>
      <c r="X53" s="85">
        <f t="shared" si="78"/>
        <v>27.569892473118198</v>
      </c>
      <c r="Y53" s="85">
        <f t="shared" si="79"/>
        <v>99.251612903225521</v>
      </c>
      <c r="Z53" s="78">
        <f t="shared" si="82"/>
        <v>3645</v>
      </c>
      <c r="AA53" s="86">
        <f>Z53/R$50*LN(1/(1-M53/Z53))/60</f>
        <v>15.707673087514033</v>
      </c>
    </row>
    <row r="54" spans="1:30" x14ac:dyDescent="0.3">
      <c r="A54" s="87">
        <f t="shared" ref="A54:B54" si="84">M9</f>
        <v>3000</v>
      </c>
      <c r="B54" s="85">
        <f t="shared" si="84"/>
        <v>23.688622754491</v>
      </c>
      <c r="C54" s="85">
        <f t="shared" si="59"/>
        <v>40.104091816367202</v>
      </c>
      <c r="D54" s="85">
        <f t="shared" si="60"/>
        <v>0.58649789029535804</v>
      </c>
      <c r="E54" s="85">
        <f t="shared" si="61"/>
        <v>32.778443113772397</v>
      </c>
      <c r="F54" s="85">
        <f t="shared" si="62"/>
        <v>1.0983606557376999</v>
      </c>
      <c r="G54" s="85">
        <f t="shared" si="63"/>
        <v>30.9605734767025</v>
      </c>
      <c r="H54" s="86">
        <f t="shared" si="64"/>
        <v>37.506120669347332</v>
      </c>
      <c r="M54" s="77">
        <v>2000</v>
      </c>
      <c r="N54" s="85">
        <f t="shared" si="68"/>
        <v>22.608383233532901</v>
      </c>
      <c r="O54" s="85">
        <f t="shared" si="69"/>
        <v>81.390179640718443</v>
      </c>
      <c r="P54" s="85">
        <f t="shared" si="70"/>
        <v>38.975792858726898</v>
      </c>
      <c r="Q54" s="85">
        <f t="shared" si="71"/>
        <v>140.31285429141684</v>
      </c>
      <c r="R54" s="85">
        <f t="shared" si="72"/>
        <v>0.90717299578059096</v>
      </c>
      <c r="S54" s="85">
        <f t="shared" si="73"/>
        <v>9.0717299578059105</v>
      </c>
      <c r="T54" s="85">
        <f t="shared" si="74"/>
        <v>28.615568862275399</v>
      </c>
      <c r="U54" s="85">
        <f t="shared" si="75"/>
        <v>103.01604790419144</v>
      </c>
      <c r="V54" s="85">
        <f t="shared" si="76"/>
        <v>1.84426229508196</v>
      </c>
      <c r="W54" s="85">
        <f t="shared" si="77"/>
        <v>18.442622950819601</v>
      </c>
      <c r="X54" s="85">
        <f t="shared" si="78"/>
        <v>28.332138590203101</v>
      </c>
      <c r="Y54" s="85">
        <f t="shared" si="79"/>
        <v>101.99569892473117</v>
      </c>
      <c r="Z54" s="78">
        <f t="shared" si="82"/>
        <v>3645</v>
      </c>
      <c r="AA54" s="86">
        <f t="shared" si="80"/>
        <v>23.570123444332417</v>
      </c>
    </row>
    <row r="55" spans="1:30" x14ac:dyDescent="0.3">
      <c r="A55" s="87">
        <f t="shared" ref="A55:B55" si="85">M10</f>
        <v>3500</v>
      </c>
      <c r="B55" s="85">
        <f t="shared" si="85"/>
        <v>25.480239520958001</v>
      </c>
      <c r="C55" s="85">
        <f t="shared" si="59"/>
        <v>38.350654247061399</v>
      </c>
      <c r="D55" s="85">
        <f t="shared" si="60"/>
        <v>0.38396624472573798</v>
      </c>
      <c r="E55" s="85">
        <f t="shared" si="61"/>
        <v>33.173652694610702</v>
      </c>
      <c r="F55" s="85">
        <f t="shared" si="62"/>
        <v>0.70491803278688503</v>
      </c>
      <c r="G55" s="85">
        <f t="shared" si="63"/>
        <v>31.8805256869773</v>
      </c>
      <c r="H55" s="86">
        <f t="shared" si="64"/>
        <v>53.254014075120971</v>
      </c>
      <c r="M55" s="77">
        <v>2500</v>
      </c>
      <c r="N55" s="85">
        <f t="shared" si="68"/>
        <v>23.1616766467065</v>
      </c>
      <c r="O55" s="85">
        <f t="shared" si="69"/>
        <v>83.382035928143395</v>
      </c>
      <c r="P55" s="85">
        <f t="shared" si="70"/>
        <v>37.954224883566198</v>
      </c>
      <c r="Q55" s="85">
        <f t="shared" si="71"/>
        <v>136.63520958083831</v>
      </c>
      <c r="R55" s="85">
        <f t="shared" si="72"/>
        <v>0.620253164556962</v>
      </c>
      <c r="S55" s="85">
        <f t="shared" si="73"/>
        <v>6.2025316455696196</v>
      </c>
      <c r="T55" s="85">
        <f t="shared" si="74"/>
        <v>29.063473053892199</v>
      </c>
      <c r="U55" s="85">
        <f t="shared" si="75"/>
        <v>104.62850299401192</v>
      </c>
      <c r="V55" s="85">
        <f t="shared" si="76"/>
        <v>1.22950819672131</v>
      </c>
      <c r="W55" s="85">
        <f t="shared" si="77"/>
        <v>12.2950819672131</v>
      </c>
      <c r="X55" s="85">
        <f t="shared" si="78"/>
        <v>29.436081242532801</v>
      </c>
      <c r="Y55" s="85">
        <f t="shared" si="79"/>
        <v>105.96989247311808</v>
      </c>
      <c r="Z55" s="78">
        <f t="shared" si="82"/>
        <v>3645</v>
      </c>
      <c r="AA55" s="86">
        <f t="shared" si="80"/>
        <v>34.304319955462233</v>
      </c>
    </row>
    <row r="56" spans="1:30" ht="15" thickBot="1" x14ac:dyDescent="0.35">
      <c r="A56" s="88">
        <f t="shared" ref="A56:B56" si="86">M11</f>
        <v>4000</v>
      </c>
      <c r="B56" s="92">
        <f t="shared" si="86"/>
        <v>28.536526946107699</v>
      </c>
      <c r="C56" s="92">
        <f t="shared" si="59"/>
        <v>36.002572632512702</v>
      </c>
      <c r="D56" s="92">
        <f t="shared" si="60"/>
        <v>0.13080168776371301</v>
      </c>
      <c r="E56" s="92">
        <f t="shared" si="61"/>
        <v>33.700598802395199</v>
      </c>
      <c r="F56" s="92">
        <f t="shared" si="62"/>
        <v>0.24590163934426101</v>
      </c>
      <c r="G56" s="92">
        <f t="shared" si="63"/>
        <v>33.3261648745519</v>
      </c>
      <c r="H56" s="93">
        <f t="shared" si="64"/>
        <v>87.604536170414349</v>
      </c>
      <c r="M56" s="77">
        <v>3000</v>
      </c>
      <c r="N56" s="85">
        <f t="shared" si="68"/>
        <v>24.031137724550899</v>
      </c>
      <c r="O56" s="85">
        <f t="shared" si="69"/>
        <v>86.512095808383236</v>
      </c>
      <c r="P56" s="85">
        <f t="shared" si="70"/>
        <v>35.255455755156298</v>
      </c>
      <c r="Q56" s="85">
        <f t="shared" si="71"/>
        <v>126.91964071856268</v>
      </c>
      <c r="R56" s="85">
        <f t="shared" si="72"/>
        <v>0.35021097046413502</v>
      </c>
      <c r="S56" s="85">
        <f t="shared" si="73"/>
        <v>3.5021097046413501</v>
      </c>
      <c r="T56" s="85">
        <f t="shared" si="74"/>
        <v>29.5904191616766</v>
      </c>
      <c r="U56" s="85">
        <f t="shared" si="75"/>
        <v>106.52550898203576</v>
      </c>
      <c r="V56" s="85">
        <f t="shared" si="76"/>
        <v>0.69672131147540906</v>
      </c>
      <c r="W56" s="85">
        <f t="shared" si="77"/>
        <v>6.9672131147540908</v>
      </c>
      <c r="X56" s="85">
        <f t="shared" si="78"/>
        <v>30.145758661887601</v>
      </c>
      <c r="Y56" s="85">
        <f t="shared" si="79"/>
        <v>108.52473118279536</v>
      </c>
      <c r="Z56" s="78">
        <f t="shared" si="82"/>
        <v>3645</v>
      </c>
      <c r="AA56" s="86">
        <f>Z56/R$50*LN(1/(1-M56/Z56))/60</f>
        <v>51.306391831542093</v>
      </c>
    </row>
    <row r="57" spans="1:30" ht="15" thickBot="1" x14ac:dyDescent="0.35">
      <c r="M57" s="77">
        <v>3500</v>
      </c>
      <c r="N57" s="85">
        <f t="shared" si="68"/>
        <v>28.088622754490999</v>
      </c>
      <c r="O57" s="85">
        <f t="shared" si="69"/>
        <v>101.1190419161676</v>
      </c>
      <c r="P57" s="85">
        <f t="shared" si="70"/>
        <v>32.846385007762201</v>
      </c>
      <c r="Q57" s="85">
        <f t="shared" si="71"/>
        <v>118.24698602794393</v>
      </c>
      <c r="R57" s="85">
        <f t="shared" si="72"/>
        <v>8.0168776371308106E-2</v>
      </c>
      <c r="S57" s="85">
        <f t="shared" si="73"/>
        <v>0.80168776371308104</v>
      </c>
      <c r="T57" s="85">
        <f t="shared" si="74"/>
        <v>30.3281437125748</v>
      </c>
      <c r="U57" s="85">
        <f t="shared" si="75"/>
        <v>109.18131736526928</v>
      </c>
      <c r="V57" s="85">
        <f t="shared" si="76"/>
        <v>0.14754098360655701</v>
      </c>
      <c r="W57" s="85">
        <f t="shared" si="77"/>
        <v>1.4754098360655701</v>
      </c>
      <c r="X57" s="85">
        <f t="shared" si="78"/>
        <v>30.934289127837499</v>
      </c>
      <c r="Y57" s="85">
        <f t="shared" si="79"/>
        <v>111.36344086021499</v>
      </c>
      <c r="Z57" s="78">
        <f t="shared" si="82"/>
        <v>3645</v>
      </c>
      <c r="AA57" s="86">
        <f t="shared" si="80"/>
        <v>95.522195347407461</v>
      </c>
    </row>
    <row r="58" spans="1:30" x14ac:dyDescent="0.3">
      <c r="A58" s="90" t="str">
        <f t="shared" ref="A58:A67" si="87">M14</f>
        <v>h [m]</v>
      </c>
      <c r="B58" s="89" t="str">
        <f t="shared" ref="B58:B67" si="88">N14</f>
        <v>Vmin [m/s]</v>
      </c>
      <c r="C58" s="89" t="str">
        <f t="shared" ref="C58:C67" si="89">P14</f>
        <v>Vmax [m/s]</v>
      </c>
      <c r="D58" s="89" t="str">
        <f t="shared" ref="D58:D67" si="90">R14</f>
        <v>wmax [m/s]</v>
      </c>
      <c r="E58" s="89" t="str">
        <f t="shared" ref="E58:E67" si="91">T14</f>
        <v>Vw [m/s]</v>
      </c>
      <c r="F58" s="89" t="str">
        <f t="shared" ref="F58:F67" si="92">V14</f>
        <v>γmax [°]</v>
      </c>
      <c r="G58" s="89" t="str">
        <f t="shared" ref="G58:G67" si="93">X14</f>
        <v>Vγ [m/s]</v>
      </c>
      <c r="H58" s="91" t="str">
        <f t="shared" ref="H58:H67" si="94">AA14</f>
        <v>th  [min]</v>
      </c>
      <c r="M58" s="2">
        <f>AK46</f>
        <v>3645</v>
      </c>
      <c r="O58" s="2">
        <v>111</v>
      </c>
      <c r="Q58" s="2">
        <f>O58</f>
        <v>111</v>
      </c>
      <c r="S58" s="2">
        <f>S46</f>
        <v>0</v>
      </c>
      <c r="U58" s="2">
        <f>Q58</f>
        <v>111</v>
      </c>
      <c r="W58" s="2">
        <f>S58</f>
        <v>0</v>
      </c>
      <c r="Y58" s="2">
        <f>U58</f>
        <v>111</v>
      </c>
      <c r="AA58" s="2">
        <f>AA46</f>
        <v>160</v>
      </c>
    </row>
    <row r="59" spans="1:30" x14ac:dyDescent="0.3">
      <c r="A59" s="87">
        <f t="shared" si="87"/>
        <v>0</v>
      </c>
      <c r="B59" s="85">
        <f t="shared" si="88"/>
        <v>19.9072436030071</v>
      </c>
      <c r="C59" s="85">
        <f t="shared" si="89"/>
        <v>41.756810814538902</v>
      </c>
      <c r="D59" s="85">
        <f t="shared" si="90"/>
        <v>2.38309887651147</v>
      </c>
      <c r="E59" s="85">
        <f t="shared" si="91"/>
        <v>27.5855748672322</v>
      </c>
      <c r="F59" s="85">
        <f t="shared" si="92"/>
        <v>5.4991119005328599</v>
      </c>
      <c r="G59" s="85">
        <f t="shared" si="93"/>
        <v>21.753180661577598</v>
      </c>
      <c r="H59" s="86">
        <f t="shared" si="94"/>
        <v>0</v>
      </c>
    </row>
    <row r="60" spans="1:30" x14ac:dyDescent="0.3">
      <c r="A60" s="87">
        <f t="shared" si="87"/>
        <v>500</v>
      </c>
      <c r="B60" s="85">
        <f t="shared" si="88"/>
        <v>20.392190840747599</v>
      </c>
      <c r="C60" s="85">
        <f t="shared" si="89"/>
        <v>41.541278708876398</v>
      </c>
      <c r="D60" s="85">
        <f t="shared" si="90"/>
        <v>2.0781264876701799</v>
      </c>
      <c r="E60" s="85">
        <f t="shared" si="91"/>
        <v>27.908873025725899</v>
      </c>
      <c r="F60" s="85">
        <f t="shared" si="92"/>
        <v>4.7424511545293004</v>
      </c>
      <c r="G60" s="85">
        <f t="shared" si="93"/>
        <v>22.134860050890499</v>
      </c>
      <c r="H60" s="86">
        <f t="shared" si="94"/>
        <v>3.7310316003979609</v>
      </c>
    </row>
    <row r="61" spans="1:30" x14ac:dyDescent="0.3">
      <c r="A61" s="87">
        <f t="shared" si="87"/>
        <v>1000</v>
      </c>
      <c r="B61" s="85">
        <f t="shared" si="88"/>
        <v>20.877138078488102</v>
      </c>
      <c r="C61" s="85">
        <f t="shared" si="89"/>
        <v>41.325746603214</v>
      </c>
      <c r="D61" s="85">
        <f t="shared" si="90"/>
        <v>1.8140650290393201</v>
      </c>
      <c r="E61" s="85">
        <f t="shared" si="91"/>
        <v>28.232171184219599</v>
      </c>
      <c r="F61" s="85">
        <f t="shared" si="92"/>
        <v>3.86856127886323</v>
      </c>
      <c r="G61" s="85">
        <f t="shared" si="93"/>
        <v>22.898218829516502</v>
      </c>
      <c r="H61" s="86">
        <f t="shared" si="94"/>
        <v>8.02595969602541</v>
      </c>
    </row>
    <row r="62" spans="1:30" x14ac:dyDescent="0.3">
      <c r="A62" s="87">
        <f t="shared" si="87"/>
        <v>1500</v>
      </c>
      <c r="B62" s="85">
        <f t="shared" si="88"/>
        <v>21.415968342644302</v>
      </c>
      <c r="C62" s="85">
        <f t="shared" si="89"/>
        <v>40.948565418304703</v>
      </c>
      <c r="D62" s="85">
        <f t="shared" si="90"/>
        <v>1.4867775873559901</v>
      </c>
      <c r="E62" s="85">
        <f t="shared" si="91"/>
        <v>28.663235395544501</v>
      </c>
      <c r="F62" s="85">
        <f t="shared" si="92"/>
        <v>3.1119005328596798</v>
      </c>
      <c r="G62" s="85">
        <f t="shared" si="93"/>
        <v>23.788804071246801</v>
      </c>
      <c r="H62" s="86">
        <f t="shared" si="94"/>
        <v>13.086112496004187</v>
      </c>
    </row>
    <row r="63" spans="1:30" x14ac:dyDescent="0.3">
      <c r="A63" s="87">
        <f t="shared" si="87"/>
        <v>2000</v>
      </c>
      <c r="B63" s="85">
        <f t="shared" si="88"/>
        <v>21.981740120008201</v>
      </c>
      <c r="C63" s="85">
        <f t="shared" si="89"/>
        <v>40.382793640940697</v>
      </c>
      <c r="D63" s="85">
        <f t="shared" si="90"/>
        <v>1.1743668475673601</v>
      </c>
      <c r="E63" s="85">
        <f t="shared" si="91"/>
        <v>29.0673580936616</v>
      </c>
      <c r="F63" s="85">
        <f t="shared" si="92"/>
        <v>2.4404973357015902</v>
      </c>
      <c r="G63" s="85">
        <f t="shared" si="93"/>
        <v>24.583969465648799</v>
      </c>
      <c r="H63" s="86">
        <f t="shared" si="94"/>
        <v>19.244579703084106</v>
      </c>
    </row>
    <row r="64" spans="1:30" x14ac:dyDescent="0.3">
      <c r="A64" s="87">
        <f t="shared" si="87"/>
        <v>2500</v>
      </c>
      <c r="B64" s="85">
        <f t="shared" si="88"/>
        <v>22.520570384164401</v>
      </c>
      <c r="C64" s="85">
        <f t="shared" si="89"/>
        <v>39.924787916408</v>
      </c>
      <c r="D64" s="85">
        <f t="shared" si="90"/>
        <v>0.90286703798914603</v>
      </c>
      <c r="E64" s="85">
        <f t="shared" si="91"/>
        <v>29.4445392785709</v>
      </c>
      <c r="F64" s="85">
        <f t="shared" si="92"/>
        <v>1.8436944937833</v>
      </c>
      <c r="G64" s="85">
        <f t="shared" si="93"/>
        <v>25.5063613231552</v>
      </c>
      <c r="H64" s="86">
        <f t="shared" si="94"/>
        <v>27.114200444332585</v>
      </c>
    </row>
    <row r="65" spans="1:8" x14ac:dyDescent="0.3">
      <c r="A65" s="87">
        <f t="shared" si="87"/>
        <v>3000</v>
      </c>
      <c r="B65" s="85">
        <f t="shared" si="88"/>
        <v>23.0863421615283</v>
      </c>
      <c r="C65" s="85">
        <f t="shared" si="89"/>
        <v>38.954893440926902</v>
      </c>
      <c r="D65" s="85">
        <f t="shared" si="90"/>
        <v>0.59789464914786195</v>
      </c>
      <c r="E65" s="85">
        <f t="shared" si="91"/>
        <v>29.983369542727001</v>
      </c>
      <c r="F65" s="85">
        <f t="shared" si="92"/>
        <v>1.21492007104795</v>
      </c>
      <c r="G65" s="85">
        <f t="shared" si="93"/>
        <v>26.492366412213698</v>
      </c>
      <c r="H65" s="86">
        <f t="shared" si="94"/>
        <v>38.02791092783005</v>
      </c>
    </row>
    <row r="66" spans="1:8" x14ac:dyDescent="0.3">
      <c r="A66" s="87">
        <f t="shared" si="87"/>
        <v>3500</v>
      </c>
      <c r="B66" s="85">
        <f t="shared" si="88"/>
        <v>23.732938478515699</v>
      </c>
      <c r="C66" s="85">
        <f t="shared" si="89"/>
        <v>36.610981791847699</v>
      </c>
      <c r="D66" s="85">
        <f t="shared" si="90"/>
        <v>0.33011401504332</v>
      </c>
      <c r="E66" s="85">
        <f t="shared" si="91"/>
        <v>30.549141320091</v>
      </c>
      <c r="F66" s="85">
        <f t="shared" si="92"/>
        <v>0.61811722912966205</v>
      </c>
      <c r="G66" s="85">
        <f t="shared" si="93"/>
        <v>27.828244274809101</v>
      </c>
      <c r="H66" s="86">
        <f t="shared" si="94"/>
        <v>55.954112825682095</v>
      </c>
    </row>
    <row r="67" spans="1:8" ht="15" thickBot="1" x14ac:dyDescent="0.35">
      <c r="A67" s="88">
        <f t="shared" si="87"/>
        <v>4000</v>
      </c>
      <c r="B67" s="92">
        <f t="shared" si="88"/>
        <v>27.235335195530698</v>
      </c>
      <c r="C67" s="92">
        <f t="shared" si="89"/>
        <v>32.4889302710531</v>
      </c>
      <c r="D67" s="92">
        <f t="shared" si="90"/>
        <v>4.0018328096734501E-2</v>
      </c>
      <c r="E67" s="92">
        <f t="shared" si="91"/>
        <v>31.195737637078398</v>
      </c>
      <c r="F67" s="92">
        <f t="shared" si="92"/>
        <v>0.117229129662522</v>
      </c>
      <c r="G67" s="92">
        <f t="shared" si="93"/>
        <v>28.973282442748001</v>
      </c>
      <c r="H67" s="93">
        <f t="shared" si="94"/>
        <v>115.64784771822464</v>
      </c>
    </row>
    <row r="68" spans="1:8" ht="15" thickBot="1" x14ac:dyDescent="0.35"/>
    <row r="69" spans="1:8" x14ac:dyDescent="0.3">
      <c r="A69" s="90" t="str">
        <f t="shared" ref="A69:A77" si="95">M26</f>
        <v>h [m]</v>
      </c>
      <c r="B69" s="89" t="str">
        <f t="shared" ref="B69:B77" si="96">N26</f>
        <v>Vmin [m/s]</v>
      </c>
      <c r="C69" s="89" t="str">
        <f t="shared" ref="C69:C77" si="97">P26</f>
        <v>Vmax [m/s]</v>
      </c>
      <c r="D69" s="89" t="str">
        <f t="shared" ref="D69:D77" si="98">R26</f>
        <v>wmax [m/s]</v>
      </c>
      <c r="E69" s="89" t="str">
        <f t="shared" ref="E69:E77" si="99">T26</f>
        <v>Vw [m/s]</v>
      </c>
      <c r="F69" s="89" t="str">
        <f t="shared" ref="F69:F77" si="100">V26</f>
        <v>γmax [°]</v>
      </c>
      <c r="G69" s="89" t="str">
        <f t="shared" ref="G69:G77" si="101">X26</f>
        <v>Vγ [m/s]</v>
      </c>
      <c r="H69" s="91" t="str">
        <f t="shared" ref="H69:H77" si="102">AA26</f>
        <v>th  [min]</v>
      </c>
    </row>
    <row r="70" spans="1:8" x14ac:dyDescent="0.3">
      <c r="A70" s="87">
        <f t="shared" si="95"/>
        <v>0</v>
      </c>
      <c r="B70" s="85">
        <f t="shared" si="96"/>
        <v>19.9072436030071</v>
      </c>
      <c r="C70" s="85">
        <f t="shared" si="97"/>
        <v>41.595161735292002</v>
      </c>
      <c r="D70" s="85">
        <f t="shared" si="98"/>
        <v>2.2343318575644999</v>
      </c>
      <c r="E70" s="85">
        <f t="shared" si="99"/>
        <v>25.780493482309101</v>
      </c>
      <c r="F70" s="85">
        <f t="shared" si="100"/>
        <v>5.2220248667850804</v>
      </c>
      <c r="G70" s="85">
        <f t="shared" si="101"/>
        <v>21.117048346055899</v>
      </c>
      <c r="H70" s="86">
        <f t="shared" si="102"/>
        <v>0</v>
      </c>
    </row>
    <row r="71" spans="1:8" x14ac:dyDescent="0.3">
      <c r="A71" s="87">
        <f t="shared" si="95"/>
        <v>500</v>
      </c>
      <c r="B71" s="85">
        <f t="shared" si="96"/>
        <v>20.3652493275398</v>
      </c>
      <c r="C71" s="85">
        <f t="shared" si="97"/>
        <v>41.217980550382698</v>
      </c>
      <c r="D71" s="85">
        <f t="shared" si="98"/>
        <v>1.95167452156526</v>
      </c>
      <c r="E71" s="85">
        <f t="shared" si="99"/>
        <v>26.2654407200496</v>
      </c>
      <c r="F71" s="85">
        <f t="shared" si="100"/>
        <v>4.2841918294849002</v>
      </c>
      <c r="G71" s="85">
        <f t="shared" si="101"/>
        <v>22.0394402035623</v>
      </c>
      <c r="H71" s="86">
        <f t="shared" si="102"/>
        <v>3.9913824207374162</v>
      </c>
    </row>
    <row r="72" spans="1:8" x14ac:dyDescent="0.3">
      <c r="A72" s="87">
        <f t="shared" si="95"/>
        <v>1000</v>
      </c>
      <c r="B72" s="85">
        <f t="shared" si="96"/>
        <v>20.904079591695901</v>
      </c>
      <c r="C72" s="85">
        <f t="shared" si="97"/>
        <v>40.463618180564097</v>
      </c>
      <c r="D72" s="85">
        <f t="shared" si="98"/>
        <v>1.66529801009235</v>
      </c>
      <c r="E72" s="85">
        <f t="shared" si="99"/>
        <v>26.696504931374498</v>
      </c>
      <c r="F72" s="85">
        <f t="shared" si="100"/>
        <v>3.59147424511545</v>
      </c>
      <c r="G72" s="85">
        <f t="shared" si="101"/>
        <v>22.7391857506361</v>
      </c>
      <c r="H72" s="86">
        <f t="shared" si="102"/>
        <v>8.6188083404482789</v>
      </c>
    </row>
    <row r="73" spans="1:8" x14ac:dyDescent="0.3">
      <c r="A73" s="87">
        <f t="shared" si="95"/>
        <v>1500</v>
      </c>
      <c r="B73" s="85">
        <f t="shared" si="96"/>
        <v>21.415968342644302</v>
      </c>
      <c r="C73" s="85">
        <f t="shared" si="97"/>
        <v>39.870904889992403</v>
      </c>
      <c r="D73" s="85">
        <f t="shared" si="98"/>
        <v>1.3566064457773901</v>
      </c>
      <c r="E73" s="85">
        <f t="shared" si="99"/>
        <v>27.046744603076</v>
      </c>
      <c r="F73" s="85">
        <f t="shared" si="100"/>
        <v>2.8028419182948401</v>
      </c>
      <c r="G73" s="85">
        <f t="shared" si="101"/>
        <v>23.629770992366399</v>
      </c>
      <c r="H73" s="86">
        <f t="shared" si="102"/>
        <v>14.124136447756639</v>
      </c>
    </row>
    <row r="74" spans="1:8" x14ac:dyDescent="0.3">
      <c r="A74" s="87">
        <f t="shared" si="95"/>
        <v>2000</v>
      </c>
      <c r="B74" s="85">
        <f t="shared" si="96"/>
        <v>21.981740120008201</v>
      </c>
      <c r="C74" s="85">
        <f t="shared" si="97"/>
        <v>39.0087764673425</v>
      </c>
      <c r="D74" s="85">
        <f t="shared" si="98"/>
        <v>1.06651075883081</v>
      </c>
      <c r="E74" s="85">
        <f t="shared" si="99"/>
        <v>27.5855748672322</v>
      </c>
      <c r="F74" s="85">
        <f t="shared" si="100"/>
        <v>2.1527531083481302</v>
      </c>
      <c r="G74" s="85">
        <f t="shared" si="101"/>
        <v>24.424936386768401</v>
      </c>
      <c r="H74" s="86">
        <f t="shared" si="102"/>
        <v>20.920336070202147</v>
      </c>
    </row>
    <row r="75" spans="1:8" x14ac:dyDescent="0.3">
      <c r="A75" s="87">
        <f t="shared" si="95"/>
        <v>2500</v>
      </c>
      <c r="B75" s="85">
        <f t="shared" si="96"/>
        <v>22.493628870956599</v>
      </c>
      <c r="C75" s="85">
        <f t="shared" si="97"/>
        <v>38.389121663563003</v>
      </c>
      <c r="D75" s="85">
        <f t="shared" si="98"/>
        <v>0.79129177377892002</v>
      </c>
      <c r="E75" s="85">
        <f t="shared" si="99"/>
        <v>28.097463618180502</v>
      </c>
      <c r="F75" s="85">
        <f t="shared" si="100"/>
        <v>1.49200710479573</v>
      </c>
      <c r="G75" s="85">
        <f t="shared" si="101"/>
        <v>25.888040712468101</v>
      </c>
      <c r="H75" s="86">
        <f t="shared" si="102"/>
        <v>29.804337412090465</v>
      </c>
    </row>
    <row r="76" spans="1:8" x14ac:dyDescent="0.3">
      <c r="A76" s="87">
        <f t="shared" si="95"/>
        <v>3000</v>
      </c>
      <c r="B76" s="85">
        <f t="shared" si="96"/>
        <v>23.0863421615283</v>
      </c>
      <c r="C76" s="85">
        <f t="shared" si="97"/>
        <v>36.179917580522797</v>
      </c>
      <c r="D76" s="85">
        <f t="shared" si="98"/>
        <v>0.52351113967437801</v>
      </c>
      <c r="E76" s="85">
        <f t="shared" si="99"/>
        <v>28.690176908752299</v>
      </c>
      <c r="F76" s="85">
        <f t="shared" si="100"/>
        <v>0.959147424511545</v>
      </c>
      <c r="G76" s="85">
        <f t="shared" si="101"/>
        <v>27.1603053435114</v>
      </c>
      <c r="H76" s="86">
        <f t="shared" si="102"/>
        <v>42.657902025111916</v>
      </c>
    </row>
    <row r="77" spans="1:8" ht="15" thickBot="1" x14ac:dyDescent="0.35">
      <c r="A77" s="88">
        <f t="shared" si="95"/>
        <v>3500</v>
      </c>
      <c r="B77" s="92">
        <f t="shared" si="96"/>
        <v>24.945306572867</v>
      </c>
      <c r="C77" s="92">
        <f t="shared" si="97"/>
        <v>34.347894682391797</v>
      </c>
      <c r="D77" s="92">
        <f t="shared" si="98"/>
        <v>0.22969627725411801</v>
      </c>
      <c r="E77" s="92">
        <f t="shared" si="99"/>
        <v>29.4445392785709</v>
      </c>
      <c r="F77" s="92">
        <f t="shared" si="100"/>
        <v>0.40497335701598502</v>
      </c>
      <c r="G77" s="92">
        <f t="shared" si="101"/>
        <v>29.005089058524099</v>
      </c>
      <c r="H77" s="93">
        <f t="shared" si="102"/>
        <v>66.249054733965849</v>
      </c>
    </row>
    <row r="78" spans="1:8" ht="15" thickBot="1" x14ac:dyDescent="0.35"/>
    <row r="79" spans="1:8" x14ac:dyDescent="0.3">
      <c r="A79" s="110" t="str">
        <f>M37</f>
        <v>h [m]</v>
      </c>
      <c r="B79" s="111" t="str">
        <f>N37</f>
        <v>Vmin [m/s]</v>
      </c>
      <c r="C79" s="111" t="str">
        <f>P37</f>
        <v>Vmax [m/s]</v>
      </c>
      <c r="D79" s="111" t="str">
        <f>R37</f>
        <v>wmax [m/s]</v>
      </c>
      <c r="E79" s="111" t="str">
        <f>T37</f>
        <v>Vw [m/s]</v>
      </c>
      <c r="F79" s="111" t="str">
        <f>V37</f>
        <v>γmax [°]</v>
      </c>
      <c r="G79" s="111" t="str">
        <f>X37</f>
        <v>Vγ [m/s]</v>
      </c>
      <c r="H79" s="112" t="str">
        <f>AA37</f>
        <v>th  [min]</v>
      </c>
    </row>
    <row r="80" spans="1:8" x14ac:dyDescent="0.3">
      <c r="A80" s="113">
        <f t="shared" ref="A80:B80" si="103">M38</f>
        <v>0</v>
      </c>
      <c r="B80" s="114">
        <f t="shared" si="103"/>
        <v>20.474251497005898</v>
      </c>
      <c r="C80" s="114">
        <f t="shared" ref="C80:C87" si="104">P38</f>
        <v>41.522089155023203</v>
      </c>
      <c r="D80" s="114">
        <f t="shared" ref="D80:D87" si="105">R38</f>
        <v>2.0759493670886</v>
      </c>
      <c r="E80" s="114">
        <f t="shared" ref="E80:E87" si="106">T38</f>
        <v>28.273053892215501</v>
      </c>
      <c r="F80" s="114">
        <f t="shared" ref="F80:F87" si="107">V38</f>
        <v>4.6147540983606499</v>
      </c>
      <c r="G80" s="114">
        <f t="shared" ref="G80:G87" si="108">X38</f>
        <v>22.339307048984399</v>
      </c>
      <c r="H80" s="132">
        <f t="shared" ref="H80:H87" si="109">AA38</f>
        <v>0</v>
      </c>
    </row>
    <row r="81" spans="1:8" x14ac:dyDescent="0.3">
      <c r="A81" s="113">
        <f t="shared" ref="A81:B81" si="110">M39</f>
        <v>500</v>
      </c>
      <c r="B81" s="114">
        <f t="shared" si="110"/>
        <v>21.001197604790399</v>
      </c>
      <c r="C81" s="114">
        <f t="shared" si="104"/>
        <v>41.247638057218801</v>
      </c>
      <c r="D81" s="114">
        <f t="shared" si="105"/>
        <v>1.78481012658227</v>
      </c>
      <c r="E81" s="114">
        <f t="shared" si="106"/>
        <v>28.7736526946107</v>
      </c>
      <c r="F81" s="114">
        <f t="shared" si="107"/>
        <v>3.86065573770491</v>
      </c>
      <c r="G81" s="114">
        <f t="shared" si="108"/>
        <v>23.048984468339299</v>
      </c>
      <c r="H81" s="132">
        <f t="shared" si="109"/>
        <v>4.3181015396182874</v>
      </c>
    </row>
    <row r="82" spans="1:8" x14ac:dyDescent="0.3">
      <c r="A82" s="113">
        <f t="shared" ref="A82:B82" si="111">M40</f>
        <v>1000</v>
      </c>
      <c r="B82" s="114">
        <f t="shared" si="111"/>
        <v>21.501796407185601</v>
      </c>
      <c r="C82" s="114">
        <f t="shared" si="104"/>
        <v>40.942692392991702</v>
      </c>
      <c r="D82" s="114">
        <f t="shared" si="105"/>
        <v>1.53164556962025</v>
      </c>
      <c r="E82" s="114">
        <f t="shared" si="106"/>
        <v>29.116167664670598</v>
      </c>
      <c r="F82" s="114">
        <f t="shared" si="107"/>
        <v>3.1311475409836</v>
      </c>
      <c r="G82" s="114">
        <f t="shared" si="108"/>
        <v>24.310633213858999</v>
      </c>
      <c r="H82" s="132">
        <f t="shared" si="109"/>
        <v>9.3867522435840272</v>
      </c>
    </row>
    <row r="83" spans="1:8" x14ac:dyDescent="0.3">
      <c r="A83" s="113">
        <f t="shared" ref="A83:B83" si="112">M41</f>
        <v>1500</v>
      </c>
      <c r="B83" s="114">
        <f t="shared" si="112"/>
        <v>22.028742514969998</v>
      </c>
      <c r="C83" s="114">
        <f t="shared" si="104"/>
        <v>40.515768463073798</v>
      </c>
      <c r="D83" s="114">
        <f t="shared" si="105"/>
        <v>1.22784810126582</v>
      </c>
      <c r="E83" s="114">
        <f t="shared" si="106"/>
        <v>29.5904191616766</v>
      </c>
      <c r="F83" s="114">
        <f t="shared" si="107"/>
        <v>2.4918032786885198</v>
      </c>
      <c r="G83" s="114">
        <f t="shared" si="108"/>
        <v>25.4408602150537</v>
      </c>
      <c r="H83" s="132">
        <f t="shared" si="109"/>
        <v>15.522917001822975</v>
      </c>
    </row>
    <row r="84" spans="1:8" x14ac:dyDescent="0.3">
      <c r="A84" s="113">
        <f t="shared" ref="A84:B84" si="113">M42</f>
        <v>2000</v>
      </c>
      <c r="B84" s="114">
        <f t="shared" si="113"/>
        <v>22.608383233532901</v>
      </c>
      <c r="C84" s="114">
        <f t="shared" si="104"/>
        <v>39.783898868928802</v>
      </c>
      <c r="D84" s="114">
        <f t="shared" si="105"/>
        <v>0.89451476793248896</v>
      </c>
      <c r="E84" s="114">
        <f t="shared" si="106"/>
        <v>30.064670658682601</v>
      </c>
      <c r="F84" s="114">
        <f t="shared" si="107"/>
        <v>1.86065573770491</v>
      </c>
      <c r="G84" s="114">
        <f t="shared" si="108"/>
        <v>26.544802867383499</v>
      </c>
      <c r="H84" s="132">
        <f t="shared" si="109"/>
        <v>23.299591076473121</v>
      </c>
    </row>
    <row r="85" spans="1:8" x14ac:dyDescent="0.3">
      <c r="A85" s="113">
        <f t="shared" ref="A85:B85" si="114">M43</f>
        <v>2500</v>
      </c>
      <c r="B85" s="114">
        <f t="shared" si="114"/>
        <v>23.188023952095801</v>
      </c>
      <c r="C85" s="114">
        <f t="shared" si="104"/>
        <v>39.143512974051902</v>
      </c>
      <c r="D85" s="114">
        <f t="shared" si="105"/>
        <v>0.62869198312236296</v>
      </c>
      <c r="E85" s="114">
        <f t="shared" si="106"/>
        <v>30.538922155688599</v>
      </c>
      <c r="F85" s="114">
        <f t="shared" si="107"/>
        <v>1.35245901639344</v>
      </c>
      <c r="G85" s="114">
        <f t="shared" si="108"/>
        <v>27.701314217443201</v>
      </c>
      <c r="H85" s="132">
        <f t="shared" si="109"/>
        <v>33.92727036151436</v>
      </c>
    </row>
    <row r="86" spans="1:8" x14ac:dyDescent="0.3">
      <c r="A86" s="113">
        <f t="shared" ref="A86:B86" si="115">M44</f>
        <v>3000</v>
      </c>
      <c r="B86" s="114">
        <f t="shared" si="115"/>
        <v>23.767664670658601</v>
      </c>
      <c r="C86" s="114">
        <f t="shared" si="104"/>
        <v>37.161366156575703</v>
      </c>
      <c r="D86" s="114">
        <f t="shared" si="105"/>
        <v>0.329113924050632</v>
      </c>
      <c r="E86" s="114">
        <f t="shared" si="106"/>
        <v>30.960479041916098</v>
      </c>
      <c r="F86" s="114">
        <f t="shared" si="107"/>
        <v>0.73770491803278604</v>
      </c>
      <c r="G86" s="114">
        <f t="shared" si="108"/>
        <v>28.673835125448001</v>
      </c>
      <c r="H86" s="132">
        <f t="shared" si="109"/>
        <v>50.798490521007686</v>
      </c>
    </row>
    <row r="87" spans="1:8" ht="15" thickBot="1" x14ac:dyDescent="0.35">
      <c r="A87" s="129">
        <f t="shared" ref="A87:B87" si="116">M45</f>
        <v>3500</v>
      </c>
      <c r="B87" s="130">
        <f t="shared" si="116"/>
        <v>26.955688622754401</v>
      </c>
      <c r="C87" s="130">
        <f t="shared" si="104"/>
        <v>33.913694832557098</v>
      </c>
      <c r="D87" s="130">
        <f t="shared" si="105"/>
        <v>8.0168776371308106E-2</v>
      </c>
      <c r="E87" s="130">
        <f t="shared" si="106"/>
        <v>31.382035928143701</v>
      </c>
      <c r="F87" s="130">
        <f t="shared" si="107"/>
        <v>0.180327868852458</v>
      </c>
      <c r="G87" s="130">
        <f t="shared" si="108"/>
        <v>30.2508960573476</v>
      </c>
      <c r="H87" s="133">
        <f t="shared" si="109"/>
        <v>95.213235820473685</v>
      </c>
    </row>
    <row r="88" spans="1:8" x14ac:dyDescent="0.3">
      <c r="A88" s="131"/>
      <c r="B88" s="131"/>
      <c r="C88" s="131"/>
      <c r="D88" s="131"/>
      <c r="E88" s="131"/>
      <c r="F88" s="131"/>
      <c r="G88" s="131"/>
      <c r="H88" s="131"/>
    </row>
    <row r="89" spans="1:8" ht="15" thickBot="1" x14ac:dyDescent="0.35"/>
    <row r="90" spans="1:8" x14ac:dyDescent="0.3">
      <c r="A90" s="110" t="str">
        <f>M49</f>
        <v>h [m]</v>
      </c>
      <c r="B90" s="111" t="str">
        <f>N49</f>
        <v>Vmin [m/s]</v>
      </c>
      <c r="C90" s="111" t="str">
        <f>P49</f>
        <v>Vmax [m/s]</v>
      </c>
      <c r="D90" s="111" t="str">
        <f>R49</f>
        <v>wmax [m/s]</v>
      </c>
      <c r="E90" s="111" t="str">
        <f>T49</f>
        <v>Vw [m/s]</v>
      </c>
      <c r="F90" s="111" t="str">
        <f>V49</f>
        <v>γmax [°]</v>
      </c>
      <c r="G90" s="111" t="str">
        <f>X49</f>
        <v>Vγ [m/s]</v>
      </c>
      <c r="H90" s="112" t="str">
        <f>AA49</f>
        <v>th  [min]</v>
      </c>
    </row>
    <row r="91" spans="1:8" x14ac:dyDescent="0.3">
      <c r="A91" s="113">
        <f t="shared" ref="A91:B91" si="117">M50</f>
        <v>0</v>
      </c>
      <c r="B91" s="114">
        <f t="shared" si="117"/>
        <v>20.474251497005898</v>
      </c>
      <c r="C91" s="114">
        <f t="shared" ref="C91:C98" si="118">P50</f>
        <v>40.851208693723599</v>
      </c>
      <c r="D91" s="114">
        <f t="shared" ref="D91:D98" si="119">R50</f>
        <v>2.0506329113924</v>
      </c>
      <c r="E91" s="114">
        <f t="shared" ref="E91:E98" si="120">T50</f>
        <v>27.429940119760399</v>
      </c>
      <c r="F91" s="114">
        <f t="shared" ref="F91:F98" si="121">V50</f>
        <v>4.4426229508196702</v>
      </c>
      <c r="G91" s="114">
        <f t="shared" ref="G91:G98" si="122">X50</f>
        <v>24.100358422938999</v>
      </c>
      <c r="H91" s="132">
        <f t="shared" ref="H91:H98" si="123">AA50</f>
        <v>0</v>
      </c>
    </row>
    <row r="92" spans="1:8" x14ac:dyDescent="0.3">
      <c r="A92" s="113">
        <f t="shared" ref="A92:B92" si="124">M51</f>
        <v>500</v>
      </c>
      <c r="B92" s="114">
        <f t="shared" si="124"/>
        <v>20.974850299401101</v>
      </c>
      <c r="C92" s="114">
        <f t="shared" si="118"/>
        <v>40.393790197382998</v>
      </c>
      <c r="D92" s="114">
        <f t="shared" si="119"/>
        <v>1.7637130801687699</v>
      </c>
      <c r="E92" s="114">
        <f t="shared" si="120"/>
        <v>27.6670658682634</v>
      </c>
      <c r="F92" s="114">
        <f t="shared" si="121"/>
        <v>3.77868852459016</v>
      </c>
      <c r="G92" s="114">
        <f t="shared" si="122"/>
        <v>25.388291517323701</v>
      </c>
      <c r="H92" s="132">
        <f t="shared" si="123"/>
        <v>4.3709458310059608</v>
      </c>
    </row>
    <row r="93" spans="1:8" x14ac:dyDescent="0.3">
      <c r="A93" s="113">
        <f t="shared" ref="A93:B93" si="125">M52</f>
        <v>1000</v>
      </c>
      <c r="B93" s="114">
        <f t="shared" si="125"/>
        <v>21.501796407185601</v>
      </c>
      <c r="C93" s="114">
        <f t="shared" si="118"/>
        <v>39.905877134619601</v>
      </c>
      <c r="D93" s="114">
        <f t="shared" si="119"/>
        <v>1.4978902953586499</v>
      </c>
      <c r="E93" s="114">
        <f t="shared" si="120"/>
        <v>27.877844311377199</v>
      </c>
      <c r="F93" s="114">
        <f t="shared" si="121"/>
        <v>3.1229508196721301</v>
      </c>
      <c r="G93" s="114">
        <f t="shared" si="122"/>
        <v>26.6236559139784</v>
      </c>
      <c r="H93" s="132">
        <f t="shared" si="123"/>
        <v>9.5003020169544019</v>
      </c>
    </row>
    <row r="94" spans="1:8" x14ac:dyDescent="0.3">
      <c r="A94" s="113">
        <f t="shared" ref="A94:B94" si="126">M53</f>
        <v>1500</v>
      </c>
      <c r="B94" s="114">
        <f t="shared" si="126"/>
        <v>22.028742514969998</v>
      </c>
      <c r="C94" s="114">
        <f t="shared" si="118"/>
        <v>39.555189620758398</v>
      </c>
      <c r="D94" s="114">
        <f t="shared" si="119"/>
        <v>1.1814345991561099</v>
      </c>
      <c r="E94" s="114">
        <f t="shared" si="120"/>
        <v>28.299401197604698</v>
      </c>
      <c r="F94" s="114">
        <f t="shared" si="121"/>
        <v>2.4508196721311402</v>
      </c>
      <c r="G94" s="114">
        <f t="shared" si="122"/>
        <v>27.569892473118198</v>
      </c>
      <c r="H94" s="132">
        <f t="shared" si="123"/>
        <v>15.707673087514033</v>
      </c>
    </row>
    <row r="95" spans="1:8" x14ac:dyDescent="0.3">
      <c r="A95" s="113">
        <f t="shared" ref="A95:B95" si="127">M54</f>
        <v>2000</v>
      </c>
      <c r="B95" s="114">
        <f t="shared" si="127"/>
        <v>22.608383233532901</v>
      </c>
      <c r="C95" s="114">
        <f t="shared" si="118"/>
        <v>38.975792858726898</v>
      </c>
      <c r="D95" s="114">
        <f t="shared" si="119"/>
        <v>0.90717299578059096</v>
      </c>
      <c r="E95" s="114">
        <f t="shared" si="120"/>
        <v>28.615568862275399</v>
      </c>
      <c r="F95" s="114">
        <f t="shared" si="121"/>
        <v>1.84426229508196</v>
      </c>
      <c r="G95" s="114">
        <f t="shared" si="122"/>
        <v>28.332138590203101</v>
      </c>
      <c r="H95" s="132">
        <f t="shared" si="123"/>
        <v>23.570123444332417</v>
      </c>
    </row>
    <row r="96" spans="1:8" x14ac:dyDescent="0.3">
      <c r="A96" s="113">
        <f t="shared" ref="A96:B96" si="128">M55</f>
        <v>2500</v>
      </c>
      <c r="B96" s="114">
        <f t="shared" si="128"/>
        <v>23.1616766467065</v>
      </c>
      <c r="C96" s="114">
        <f t="shared" si="118"/>
        <v>37.954224883566198</v>
      </c>
      <c r="D96" s="114">
        <f t="shared" si="119"/>
        <v>0.620253164556962</v>
      </c>
      <c r="E96" s="114">
        <f t="shared" si="120"/>
        <v>29.063473053892199</v>
      </c>
      <c r="F96" s="114">
        <f t="shared" si="121"/>
        <v>1.22950819672131</v>
      </c>
      <c r="G96" s="114">
        <f t="shared" si="122"/>
        <v>29.436081242532801</v>
      </c>
      <c r="H96" s="132">
        <f t="shared" si="123"/>
        <v>34.304319955462233</v>
      </c>
    </row>
    <row r="97" spans="1:23" x14ac:dyDescent="0.3">
      <c r="A97" s="113">
        <f t="shared" ref="A97:B97" si="129">M56</f>
        <v>3000</v>
      </c>
      <c r="B97" s="114">
        <f t="shared" si="129"/>
        <v>24.031137724550899</v>
      </c>
      <c r="C97" s="114">
        <f t="shared" si="118"/>
        <v>35.255455755156298</v>
      </c>
      <c r="D97" s="114">
        <f t="shared" si="119"/>
        <v>0.35021097046413502</v>
      </c>
      <c r="E97" s="114">
        <f t="shared" si="120"/>
        <v>29.5904191616766</v>
      </c>
      <c r="F97" s="114">
        <f t="shared" si="121"/>
        <v>0.69672131147540906</v>
      </c>
      <c r="G97" s="114">
        <f t="shared" si="122"/>
        <v>30.145758661887601</v>
      </c>
      <c r="H97" s="132">
        <f t="shared" si="123"/>
        <v>51.306391831542093</v>
      </c>
    </row>
    <row r="98" spans="1:23" ht="15" thickBot="1" x14ac:dyDescent="0.35">
      <c r="A98" s="129">
        <f t="shared" ref="A98" si="130">M57</f>
        <v>3500</v>
      </c>
      <c r="B98" s="130">
        <f>N57</f>
        <v>28.088622754490999</v>
      </c>
      <c r="C98" s="130">
        <f t="shared" si="118"/>
        <v>32.846385007762201</v>
      </c>
      <c r="D98" s="130">
        <f t="shared" si="119"/>
        <v>8.0168776371308106E-2</v>
      </c>
      <c r="E98" s="130">
        <f t="shared" si="120"/>
        <v>30.3281437125748</v>
      </c>
      <c r="F98" s="130">
        <f t="shared" si="121"/>
        <v>0.14754098360655701</v>
      </c>
      <c r="G98" s="130">
        <f t="shared" si="122"/>
        <v>30.934289127837499</v>
      </c>
      <c r="H98" s="133">
        <f t="shared" si="123"/>
        <v>95.522195347407461</v>
      </c>
    </row>
    <row r="99" spans="1:23" x14ac:dyDescent="0.3">
      <c r="A99" s="131"/>
      <c r="B99" s="131"/>
      <c r="C99" s="131"/>
      <c r="D99" s="131"/>
      <c r="E99" s="131"/>
      <c r="F99" s="131"/>
      <c r="G99" s="131"/>
      <c r="H99" s="131"/>
    </row>
    <row r="110" spans="1:23" x14ac:dyDescent="0.3">
      <c r="W110" s="94" t="s">
        <v>88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2885-1F55-4C69-B612-750623106FBB}">
  <dimension ref="A1:X180"/>
  <sheetViews>
    <sheetView workbookViewId="0"/>
  </sheetViews>
  <sheetFormatPr defaultRowHeight="15" x14ac:dyDescent="0.3"/>
  <cols>
    <col min="1" max="1" width="43" style="14" customWidth="1"/>
    <col min="2" max="2" width="12.77734375" style="14" customWidth="1"/>
    <col min="3" max="4" width="8.88671875" style="14"/>
    <col min="5" max="5" width="11" style="14" bestFit="1" customWidth="1"/>
    <col min="6" max="6" width="8.88671875" style="14"/>
    <col min="7" max="7" width="9.6640625" style="14" customWidth="1"/>
    <col min="8" max="8" width="9" style="14" bestFit="1" customWidth="1"/>
    <col min="9" max="9" width="11.5546875" style="14" customWidth="1"/>
    <col min="10" max="10" width="12.33203125" style="14" customWidth="1"/>
    <col min="11" max="11" width="10.33203125" style="14" bestFit="1" customWidth="1"/>
    <col min="12" max="14" width="8.88671875" style="14"/>
    <col min="15" max="16" width="10" style="14" customWidth="1"/>
    <col min="17" max="17" width="8.88671875" style="14"/>
    <col min="18" max="18" width="13.44140625" style="14" customWidth="1"/>
    <col min="19" max="19" width="8.5546875" style="14" customWidth="1"/>
    <col min="20" max="21" width="8.88671875" style="14"/>
    <col min="22" max="22" width="8.5546875" style="14" customWidth="1"/>
    <col min="23" max="23" width="13.44140625" style="14" customWidth="1"/>
    <col min="24" max="16384" width="8.88671875" style="14"/>
  </cols>
  <sheetData>
    <row r="1" spans="1:24" ht="16.2" thickBot="1" x14ac:dyDescent="0.35">
      <c r="A1" s="16" t="s">
        <v>10</v>
      </c>
      <c r="B1" s="16" t="s">
        <v>27</v>
      </c>
      <c r="C1" s="16">
        <f>Podsumowanie!B30</f>
        <v>1.7453292519943295E-2</v>
      </c>
      <c r="D1" s="16" t="s">
        <v>37</v>
      </c>
    </row>
    <row r="2" spans="1:24" ht="16.2" thickBot="1" x14ac:dyDescent="0.35">
      <c r="A2" s="16" t="s">
        <v>11</v>
      </c>
      <c r="B2" s="16" t="s">
        <v>17</v>
      </c>
      <c r="C2" s="16">
        <f>Podsumowanie!B13</f>
        <v>1.8</v>
      </c>
      <c r="D2" s="16" t="s">
        <v>3</v>
      </c>
      <c r="J2" s="134" t="s">
        <v>86</v>
      </c>
      <c r="K2" s="135"/>
      <c r="L2" s="135"/>
      <c r="M2" s="135"/>
      <c r="N2" s="135"/>
      <c r="O2" s="136"/>
    </row>
    <row r="3" spans="1:24" ht="18.600000000000001" thickBot="1" x14ac:dyDescent="0.35">
      <c r="A3" s="16" t="s">
        <v>87</v>
      </c>
      <c r="B3" s="16" t="s">
        <v>64</v>
      </c>
      <c r="C3" s="16">
        <f>Podsumowanie!B17</f>
        <v>5.8319999999999999</v>
      </c>
      <c r="D3" s="16" t="s">
        <v>31</v>
      </c>
      <c r="F3" s="66"/>
      <c r="J3" s="100" t="s">
        <v>76</v>
      </c>
      <c r="K3" s="100" t="s">
        <v>77</v>
      </c>
      <c r="L3" s="100" t="s">
        <v>78</v>
      </c>
      <c r="M3" s="100" t="s">
        <v>79</v>
      </c>
      <c r="N3" s="100" t="s">
        <v>85</v>
      </c>
      <c r="O3" s="100" t="s">
        <v>80</v>
      </c>
      <c r="P3" s="14" t="s">
        <v>143</v>
      </c>
      <c r="R3" s="67" t="s">
        <v>88</v>
      </c>
      <c r="S3" s="68" t="s">
        <v>90</v>
      </c>
      <c r="T3" s="68" t="s">
        <v>89</v>
      </c>
      <c r="U3" s="70" t="s">
        <v>89</v>
      </c>
      <c r="V3" s="70" t="s">
        <v>90</v>
      </c>
      <c r="W3" s="69" t="s">
        <v>91</v>
      </c>
    </row>
    <row r="4" spans="1:24" ht="18" x14ac:dyDescent="0.3">
      <c r="A4" s="16" t="s">
        <v>22</v>
      </c>
      <c r="B4" s="16" t="s">
        <v>65</v>
      </c>
      <c r="C4" s="16">
        <f>Podsumowanie!B10</f>
        <v>59000</v>
      </c>
      <c r="D4" s="16" t="s">
        <v>32</v>
      </c>
      <c r="F4" s="66"/>
      <c r="J4" s="103">
        <f>SQRT(2*(C$14+G11)*C$12/C$5/C$15/G8)</f>
        <v>20.470532465396822</v>
      </c>
      <c r="K4" s="102">
        <f>'Nr(V)'!B43</f>
        <v>29979.747063324099</v>
      </c>
      <c r="L4" s="102">
        <f>K4/J4</f>
        <v>1464.5318637412854</v>
      </c>
      <c r="M4" s="104">
        <f t="shared" ref="M4:M18" si="0">V4</f>
        <v>10.430745077824003</v>
      </c>
      <c r="N4" s="104">
        <f t="shared" ref="N4:N18" si="1">S4</f>
        <v>4.6389382690645746</v>
      </c>
      <c r="O4" s="104">
        <f t="shared" ref="O4:O18" si="2">J4*SIN(RADIANS(N4))</f>
        <v>1.655581286735003</v>
      </c>
      <c r="P4" s="14">
        <f>(K4/1000)/(O4*3600)</f>
        <v>5.0300807241021829E-3</v>
      </c>
      <c r="Q4" s="14">
        <v>1</v>
      </c>
      <c r="R4" s="71">
        <f>0.5*G$8*C$5*C$3*(U4-C$6)*J4^2+K4/J4*SIN(U4-C$1)-C$12*(C$14+G$11*(J$18-J4)/(J$18-J$4))*COS(T4)</f>
        <v>6.2471581259160303E-6</v>
      </c>
      <c r="S4" s="71">
        <f t="shared" ref="S4:S18" si="3">DEGREES(T4)</f>
        <v>4.6389382690645746</v>
      </c>
      <c r="T4" s="71">
        <v>8.0964746591943443E-2</v>
      </c>
      <c r="U4" s="72">
        <v>0.182050845044221</v>
      </c>
      <c r="V4" s="72">
        <f t="shared" ref="V4:V18" si="4">DEGREES(U4)</f>
        <v>10.430745077824003</v>
      </c>
      <c r="W4" s="72">
        <f>-0.5*G$8*C$5*J4^2*(C$8+(C$3^2)*(U4-C$6)^2/(PI()*C$7))+K4/J4*COS(U4-C$1)-C$12*(C$14+G$11*(J$18-J4)/(J$18-J$4))*SIN(T4)</f>
        <v>-1.4850214370198955E-5</v>
      </c>
      <c r="X4" s="14">
        <f t="shared" ref="X4:X18" si="5">Q4</f>
        <v>1</v>
      </c>
    </row>
    <row r="5" spans="1:24" ht="18" x14ac:dyDescent="0.3">
      <c r="A5" s="16" t="s">
        <v>21</v>
      </c>
      <c r="B5" s="16" t="s">
        <v>5</v>
      </c>
      <c r="C5" s="16">
        <f>Podsumowanie!B3</f>
        <v>18</v>
      </c>
      <c r="D5" s="16" t="s">
        <v>66</v>
      </c>
      <c r="F5" s="66"/>
      <c r="J5" s="20">
        <f>J$4+Q4*G$13</f>
        <v>22.079780146439905</v>
      </c>
      <c r="K5" s="21">
        <f>'Nr(V)'!B46</f>
        <v>30919.618344659899</v>
      </c>
      <c r="L5" s="21">
        <f t="shared" ref="L5:L18" si="6">K5/J5</f>
        <v>1400.358977290148</v>
      </c>
      <c r="M5" s="18">
        <f t="shared" si="0"/>
        <v>8.4212486379727061</v>
      </c>
      <c r="N5" s="18">
        <f t="shared" si="1"/>
        <v>4.7281020277410635</v>
      </c>
      <c r="O5" s="18">
        <f t="shared" si="2"/>
        <v>1.8199771565329694</v>
      </c>
      <c r="P5" s="14">
        <f t="shared" ref="P5:P18" si="7">(K5/1000)/(O5*3600)</f>
        <v>4.7191707009543726E-3</v>
      </c>
      <c r="Q5" s="14">
        <v>2</v>
      </c>
      <c r="R5" s="71">
        <f t="shared" ref="R5:R18" si="8">0.5*G$8*C$5*C$3*(U5-C$6)*J5^2+K5/J5*SIN(U5-C$1)-C$12*(C$14+G$11*(J$18-J5)/(J$18-J$4))*COS(T5)</f>
        <v>7.7291108027566224E-5</v>
      </c>
      <c r="S5" s="71">
        <f t="shared" si="3"/>
        <v>4.7281020277410635</v>
      </c>
      <c r="T5" s="71">
        <v>8.2520947754301827E-2</v>
      </c>
      <c r="U5" s="72">
        <v>0.14697851586171168</v>
      </c>
      <c r="V5" s="72">
        <f t="shared" si="4"/>
        <v>8.4212486379727061</v>
      </c>
      <c r="W5" s="72">
        <f t="shared" ref="W5:W18" si="9">-0.5*G$8*C$5*J5^2*(C$8+(C$3^2)*(U5-C$6)^2/(PI()*C$7))+K5/J5*COS(U5-C$1)-C$12*(C$14+G$11*(J$18-J5)/(J$18-J$4))*SIN(T5)</f>
        <v>1.3867340953765961E-5</v>
      </c>
      <c r="X5" s="14">
        <f t="shared" si="5"/>
        <v>2</v>
      </c>
    </row>
    <row r="6" spans="1:24" ht="18" x14ac:dyDescent="0.3">
      <c r="A6" s="16" t="s">
        <v>38</v>
      </c>
      <c r="B6" s="16" t="s">
        <v>67</v>
      </c>
      <c r="C6" s="16">
        <f>Podsumowanie!B31</f>
        <v>-6.6601764256103618E-2</v>
      </c>
      <c r="D6" s="16" t="s">
        <v>37</v>
      </c>
      <c r="F6" s="66"/>
      <c r="J6" s="20">
        <f t="shared" ref="J6:J17" si="10">J$4+Q5*G$13</f>
        <v>23.689027827482992</v>
      </c>
      <c r="K6" s="21">
        <f>'Nr(V)'!B50</f>
        <v>32329.312750348701</v>
      </c>
      <c r="L6" s="21">
        <f t="shared" si="6"/>
        <v>1364.7378434349096</v>
      </c>
      <c r="M6" s="18">
        <f t="shared" si="0"/>
        <v>6.7819427584179977</v>
      </c>
      <c r="N6" s="18">
        <f t="shared" si="1"/>
        <v>4.8719059293173013</v>
      </c>
      <c r="O6" s="18">
        <f t="shared" si="2"/>
        <v>2.0118705411337232</v>
      </c>
      <c r="P6" s="14">
        <f t="shared" si="7"/>
        <v>4.4636891237614376E-3</v>
      </c>
      <c r="Q6" s="56">
        <v>3</v>
      </c>
      <c r="R6" s="71">
        <f>0.5*G$8*C$5*C$3*(U6-C$6)*J6^2+K6/J6*SIN(U6-C$1)-C$12*(C$14+G$11*(J$18-J6)/(J$18-J$4))*COS(T6)</f>
        <v>-3.8726284401491284E-9</v>
      </c>
      <c r="S6" s="71">
        <f t="shared" si="3"/>
        <v>4.8719059293173013</v>
      </c>
      <c r="T6" s="71">
        <v>8.5030799314021036E-2</v>
      </c>
      <c r="U6" s="72">
        <v>0.11836723081618043</v>
      </c>
      <c r="V6" s="72">
        <f t="shared" si="4"/>
        <v>6.7819427584179977</v>
      </c>
      <c r="W6" s="72">
        <f t="shared" si="9"/>
        <v>-5.1386450650170445E-11</v>
      </c>
      <c r="X6" s="14">
        <f t="shared" si="5"/>
        <v>3</v>
      </c>
    </row>
    <row r="7" spans="1:24" ht="18" x14ac:dyDescent="0.3">
      <c r="A7" s="16" t="s">
        <v>20</v>
      </c>
      <c r="B7" s="16" t="s">
        <v>68</v>
      </c>
      <c r="C7" s="16">
        <f>Podsumowanie!B14</f>
        <v>4.5869999999999997</v>
      </c>
      <c r="D7" s="16" t="s">
        <v>7</v>
      </c>
      <c r="F7" s="12" t="s">
        <v>6</v>
      </c>
      <c r="G7" s="12">
        <v>0</v>
      </c>
      <c r="H7" s="12" t="s">
        <v>3</v>
      </c>
      <c r="J7" s="20">
        <f t="shared" si="10"/>
        <v>25.298275508526075</v>
      </c>
      <c r="K7" s="21">
        <f>'Nr(V)'!B53</f>
        <v>33621.9901885773</v>
      </c>
      <c r="L7" s="21">
        <f t="shared" si="6"/>
        <v>1329.0230070127093</v>
      </c>
      <c r="M7" s="18">
        <f t="shared" si="0"/>
        <v>5.4374494153644024</v>
      </c>
      <c r="N7" s="18">
        <f t="shared" si="1"/>
        <v>4.8626386117170268</v>
      </c>
      <c r="O7" s="18">
        <f t="shared" si="2"/>
        <v>2.1444642058853742</v>
      </c>
      <c r="P7" s="14">
        <f t="shared" si="7"/>
        <v>4.3551399428433555E-3</v>
      </c>
      <c r="Q7" s="56">
        <v>4</v>
      </c>
      <c r="R7" s="71">
        <f t="shared" si="8"/>
        <v>1.7014182958519086E-5</v>
      </c>
      <c r="S7" s="71">
        <f t="shared" si="3"/>
        <v>4.8626386117170268</v>
      </c>
      <c r="T7" s="71">
        <v>8.486905410906824E-2</v>
      </c>
      <c r="U7" s="72">
        <v>9.4901395208749573E-2</v>
      </c>
      <c r="V7" s="72">
        <f t="shared" si="4"/>
        <v>5.4374494153644024</v>
      </c>
      <c r="W7" s="72">
        <f t="shared" si="9"/>
        <v>2.3625609628652455E-6</v>
      </c>
      <c r="X7" s="14">
        <f t="shared" si="5"/>
        <v>4</v>
      </c>
    </row>
    <row r="8" spans="1:24" ht="18.600000000000001" x14ac:dyDescent="0.3">
      <c r="A8" s="16" t="s">
        <v>92</v>
      </c>
      <c r="B8" s="16" t="s">
        <v>69</v>
      </c>
      <c r="C8" s="16">
        <f>Podsumowanie!B15</f>
        <v>4.478E-2</v>
      </c>
      <c r="D8" s="16" t="s">
        <v>7</v>
      </c>
      <c r="F8" s="14" t="s">
        <v>72</v>
      </c>
      <c r="G8" s="14">
        <f>C$11*(1-G7/44300)^4.256</f>
        <v>1.2255</v>
      </c>
      <c r="H8" s="14" t="s">
        <v>73</v>
      </c>
      <c r="J8" s="20">
        <f t="shared" si="10"/>
        <v>26.907523189569158</v>
      </c>
      <c r="K8" s="21">
        <f>'Nr(V)'!B56</f>
        <v>35149.961744452899</v>
      </c>
      <c r="L8" s="21">
        <f t="shared" si="6"/>
        <v>1306.3246846175334</v>
      </c>
      <c r="M8" s="18">
        <f t="shared" si="0"/>
        <v>4.320101116098912</v>
      </c>
      <c r="N8" s="18">
        <f t="shared" si="1"/>
        <v>4.8408460947174614</v>
      </c>
      <c r="O8" s="18">
        <f t="shared" si="2"/>
        <v>2.2706780030276561</v>
      </c>
      <c r="P8" s="14">
        <f t="shared" si="7"/>
        <v>4.2999836389523991E-3</v>
      </c>
      <c r="Q8" s="56">
        <v>5</v>
      </c>
      <c r="R8" s="71">
        <f t="shared" si="8"/>
        <v>1.8341631948715076E-4</v>
      </c>
      <c r="S8" s="71">
        <f t="shared" si="3"/>
        <v>4.8408460947174614</v>
      </c>
      <c r="T8" s="71">
        <v>8.4488702935128987E-2</v>
      </c>
      <c r="U8" s="72">
        <v>7.5399988495007828E-2</v>
      </c>
      <c r="V8" s="72">
        <f t="shared" si="4"/>
        <v>4.320101116098912</v>
      </c>
      <c r="W8" s="72">
        <f t="shared" si="9"/>
        <v>2.2190786353348813E-5</v>
      </c>
      <c r="X8" s="14">
        <f t="shared" si="5"/>
        <v>5</v>
      </c>
    </row>
    <row r="9" spans="1:24" ht="18.600000000000001" x14ac:dyDescent="0.3">
      <c r="A9" s="16" t="s">
        <v>18</v>
      </c>
      <c r="B9" s="16" t="s">
        <v>70</v>
      </c>
      <c r="C9" s="16">
        <f>Podsumowanie!B12</f>
        <v>36.667000000000002</v>
      </c>
      <c r="D9" s="16" t="s">
        <v>34</v>
      </c>
      <c r="F9" s="14" t="s">
        <v>74</v>
      </c>
      <c r="G9" s="14">
        <f>C$4*((G8/C$11)-C$10)/(1-C$10)</f>
        <v>59000</v>
      </c>
      <c r="H9" s="14" t="s">
        <v>32</v>
      </c>
      <c r="J9" s="20">
        <f t="shared" si="10"/>
        <v>28.516770870612241</v>
      </c>
      <c r="K9" s="21">
        <f>'Nr(V)'!B59</f>
        <v>36324.992123857897</v>
      </c>
      <c r="L9" s="21">
        <f t="shared" si="6"/>
        <v>1273.8115507072494</v>
      </c>
      <c r="M9" s="18">
        <f t="shared" si="0"/>
        <v>3.3859258321018708</v>
      </c>
      <c r="N9" s="18">
        <f t="shared" si="1"/>
        <v>4.6283771641653386</v>
      </c>
      <c r="O9" s="18">
        <f t="shared" si="2"/>
        <v>2.3010922162961669</v>
      </c>
      <c r="P9" s="14">
        <f t="shared" si="7"/>
        <v>4.3849940121920943E-3</v>
      </c>
      <c r="Q9" s="56">
        <v>6</v>
      </c>
      <c r="R9" s="71">
        <f t="shared" si="8"/>
        <v>9.5606436843809206E-5</v>
      </c>
      <c r="S9" s="71">
        <f t="shared" si="3"/>
        <v>4.6283771641653386</v>
      </c>
      <c r="T9" s="71">
        <v>8.0780420538803271E-2</v>
      </c>
      <c r="U9" s="72">
        <v>5.9095553998506363E-2</v>
      </c>
      <c r="V9" s="72">
        <f t="shared" si="4"/>
        <v>3.3859258321018708</v>
      </c>
      <c r="W9" s="72">
        <f t="shared" si="9"/>
        <v>1.0381258675806748E-5</v>
      </c>
      <c r="X9" s="14">
        <f t="shared" si="5"/>
        <v>6</v>
      </c>
    </row>
    <row r="10" spans="1:24" ht="18.600000000000001" x14ac:dyDescent="0.3">
      <c r="A10" s="16" t="s">
        <v>19</v>
      </c>
      <c r="B10" s="16" t="s">
        <v>14</v>
      </c>
      <c r="C10" s="16">
        <f>Podsumowanie!B18</f>
        <v>0.14000000000000001</v>
      </c>
      <c r="D10" s="16" t="s">
        <v>7</v>
      </c>
      <c r="F10" s="14" t="s">
        <v>75</v>
      </c>
      <c r="G10" s="14">
        <f>G9/G8/C$9^3/C$2^5</f>
        <v>5.1683276095044667E-2</v>
      </c>
      <c r="H10" s="14" t="s">
        <v>7</v>
      </c>
      <c r="J10" s="20">
        <f t="shared" si="10"/>
        <v>30.126018551655328</v>
      </c>
      <c r="K10" s="21">
        <f>'Nr(V)'!B62</f>
        <v>37500.112516314803</v>
      </c>
      <c r="L10" s="21">
        <f t="shared" si="6"/>
        <v>1244.774926099695</v>
      </c>
      <c r="M10" s="18">
        <f t="shared" si="0"/>
        <v>2.5958091782770918</v>
      </c>
      <c r="N10" s="18">
        <f t="shared" si="1"/>
        <v>4.3549427855898237</v>
      </c>
      <c r="O10" s="18">
        <f t="shared" si="2"/>
        <v>2.2876169727700146</v>
      </c>
      <c r="P10" s="14">
        <f t="shared" si="7"/>
        <v>4.5535148782294846E-3</v>
      </c>
      <c r="Q10" s="14">
        <v>7</v>
      </c>
      <c r="R10" s="71">
        <f>0.5*G$8*C$5*C$3*(U10-C$6)*J10^2+K10/J10*SIN(U10-C$1)-C$12*(C$14+G$11*(J$18-J10)/(J$18-J$4))*COS(T10)</f>
        <v>2.6192610675934702E-5</v>
      </c>
      <c r="S10" s="71">
        <f t="shared" si="3"/>
        <v>4.3549427855898237</v>
      </c>
      <c r="T10" s="71">
        <v>7.6008090344515888E-2</v>
      </c>
      <c r="U10" s="72">
        <v>4.5305416914423718E-2</v>
      </c>
      <c r="V10" s="72">
        <f t="shared" si="4"/>
        <v>2.5958091782770918</v>
      </c>
      <c r="W10" s="72">
        <f>-0.5*G$8*C$5*J10^2*(C$8+(C$3^2)*(U10-C$6)^2/(PI()*C$7))+K10/J10*COS(U10-C$1)-C$12*(C$14+G$11*(J$18-J10)/(J$18-J$4))*SIN(T10)</f>
        <v>2.5815343178692274E-6</v>
      </c>
      <c r="X10" s="14">
        <f t="shared" si="5"/>
        <v>7</v>
      </c>
    </row>
    <row r="11" spans="1:24" ht="18" x14ac:dyDescent="0.3">
      <c r="A11" s="16" t="s">
        <v>30</v>
      </c>
      <c r="B11" s="16" t="s">
        <v>29</v>
      </c>
      <c r="C11" s="16">
        <f>Podsumowanie!B2</f>
        <v>1.2255</v>
      </c>
      <c r="D11" s="16" t="s">
        <v>71</v>
      </c>
      <c r="F11" s="14" t="s">
        <v>141</v>
      </c>
      <c r="G11" s="14">
        <f>C13</f>
        <v>90</v>
      </c>
      <c r="H11" s="14" t="s">
        <v>0</v>
      </c>
      <c r="J11" s="20">
        <f t="shared" si="10"/>
        <v>31.735266232698411</v>
      </c>
      <c r="K11" s="21">
        <f>'Nr(V)'!B66</f>
        <v>38850.9383860659</v>
      </c>
      <c r="L11" s="21">
        <f t="shared" si="6"/>
        <v>1224.2197087994132</v>
      </c>
      <c r="M11" s="18">
        <f t="shared" si="0"/>
        <v>1.9217199862966612</v>
      </c>
      <c r="N11" s="18">
        <f t="shared" si="1"/>
        <v>4.076156043841582</v>
      </c>
      <c r="O11" s="18">
        <f t="shared" si="2"/>
        <v>2.2558172269342056</v>
      </c>
      <c r="P11" s="14">
        <f t="shared" si="7"/>
        <v>4.7840433172547598E-3</v>
      </c>
      <c r="Q11" s="14">
        <v>8</v>
      </c>
      <c r="R11" s="71">
        <f t="shared" si="8"/>
        <v>-3.4106051316484809E-10</v>
      </c>
      <c r="S11" s="71">
        <f t="shared" si="3"/>
        <v>4.076156043841582</v>
      </c>
      <c r="T11" s="71">
        <v>7.1142343790101939E-2</v>
      </c>
      <c r="U11" s="72">
        <v>3.3540341062257048E-2</v>
      </c>
      <c r="V11" s="72">
        <f t="shared" si="4"/>
        <v>1.9217199862966612</v>
      </c>
      <c r="W11" s="72">
        <f t="shared" si="9"/>
        <v>-6.5369931689929217E-12</v>
      </c>
      <c r="X11" s="14">
        <f t="shared" si="5"/>
        <v>8</v>
      </c>
    </row>
    <row r="12" spans="1:24" ht="18" x14ac:dyDescent="0.3">
      <c r="A12" s="16" t="s">
        <v>93</v>
      </c>
      <c r="B12" s="16" t="s">
        <v>4</v>
      </c>
      <c r="C12" s="16">
        <f>Podsumowanie!B1</f>
        <v>9.81</v>
      </c>
      <c r="D12" s="16" t="s">
        <v>94</v>
      </c>
      <c r="F12" s="14" t="s">
        <v>142</v>
      </c>
      <c r="G12" s="14" cm="1">
        <f t="array" ref="G12">C$16*(G25-G7)*MIN(IF(P4:P18&gt;0,P4:P18))</f>
        <v>0.67342043769633519</v>
      </c>
      <c r="H12" s="14" t="s">
        <v>0</v>
      </c>
      <c r="J12" s="20">
        <f t="shared" si="10"/>
        <v>33.344513913741494</v>
      </c>
      <c r="K12" s="21">
        <f>'Nr(V)'!B69</f>
        <v>39967.235249111101</v>
      </c>
      <c r="L12" s="21">
        <f t="shared" si="6"/>
        <v>1198.6150211246697</v>
      </c>
      <c r="M12" s="18">
        <f t="shared" si="0"/>
        <v>1.3433093335015969</v>
      </c>
      <c r="N12" s="18">
        <f t="shared" si="1"/>
        <v>3.6807825678465345</v>
      </c>
      <c r="O12" s="18">
        <f t="shared" si="2"/>
        <v>2.1406376424434042</v>
      </c>
      <c r="P12" s="14">
        <f t="shared" si="7"/>
        <v>5.1863097103849384E-3</v>
      </c>
      <c r="Q12" s="56">
        <v>9</v>
      </c>
      <c r="R12" s="71">
        <f t="shared" si="8"/>
        <v>4.5642518671229482E-6</v>
      </c>
      <c r="S12" s="71">
        <f t="shared" si="3"/>
        <v>3.6807825678465345</v>
      </c>
      <c r="T12" s="71">
        <v>6.4241774858933592E-2</v>
      </c>
      <c r="U12" s="72">
        <v>2.3445170742373435E-2</v>
      </c>
      <c r="V12" s="72">
        <f t="shared" si="4"/>
        <v>1.3433093335015969</v>
      </c>
      <c r="W12" s="72">
        <f t="shared" si="9"/>
        <v>5.5568642665093648E-7</v>
      </c>
      <c r="X12" s="14">
        <f t="shared" si="5"/>
        <v>9</v>
      </c>
    </row>
    <row r="13" spans="1:24" ht="18" x14ac:dyDescent="0.3">
      <c r="A13" s="16" t="s">
        <v>95</v>
      </c>
      <c r="B13" s="16" t="s">
        <v>96</v>
      </c>
      <c r="C13" s="16">
        <f>Podsumowanie!B5</f>
        <v>90</v>
      </c>
      <c r="D13" s="16" t="s">
        <v>0</v>
      </c>
      <c r="F13" s="14" t="s">
        <v>144</v>
      </c>
      <c r="G13" s="14">
        <f>(J18-J4)/Q17</f>
        <v>1.6092476810430842</v>
      </c>
      <c r="H13" s="14" t="s">
        <v>145</v>
      </c>
      <c r="J13" s="20">
        <f t="shared" si="10"/>
        <v>34.953761594784581</v>
      </c>
      <c r="K13" s="21">
        <f>'Nr(V)'!B72</f>
        <v>41318.5561906476</v>
      </c>
      <c r="L13" s="21">
        <f t="shared" si="6"/>
        <v>1182.0918351978662</v>
      </c>
      <c r="M13" s="18">
        <f t="shared" si="0"/>
        <v>0.8427836276732259</v>
      </c>
      <c r="N13" s="18">
        <f t="shared" si="1"/>
        <v>3.3009703233436305</v>
      </c>
      <c r="O13" s="18">
        <f t="shared" si="2"/>
        <v>2.0126702466615023</v>
      </c>
      <c r="P13" s="14">
        <f t="shared" si="7"/>
        <v>5.7025619267052421E-3</v>
      </c>
      <c r="Q13" s="56">
        <v>10</v>
      </c>
      <c r="R13" s="71">
        <f t="shared" si="8"/>
        <v>2.9588836696348153E-6</v>
      </c>
      <c r="S13" s="71">
        <f t="shared" si="3"/>
        <v>3.3009703233436305</v>
      </c>
      <c r="T13" s="71">
        <v>5.7612800652968185E-2</v>
      </c>
      <c r="U13" s="72">
        <v>1.4709349184799788E-2</v>
      </c>
      <c r="V13" s="72">
        <f t="shared" si="4"/>
        <v>0.8427836276732259</v>
      </c>
      <c r="W13" s="72">
        <f t="shared" si="9"/>
        <v>4.2920407850033371E-7</v>
      </c>
      <c r="X13" s="14">
        <f t="shared" si="5"/>
        <v>10</v>
      </c>
    </row>
    <row r="14" spans="1:24" ht="18" x14ac:dyDescent="0.3">
      <c r="A14" s="16" t="s">
        <v>97</v>
      </c>
      <c r="B14" s="16" t="s">
        <v>98</v>
      </c>
      <c r="C14" s="16">
        <f>Podsumowanie!B7</f>
        <v>620</v>
      </c>
      <c r="D14" s="16" t="s">
        <v>0</v>
      </c>
      <c r="J14" s="20">
        <f t="shared" si="10"/>
        <v>36.563009275827667</v>
      </c>
      <c r="K14" s="21">
        <f>'Nr(V)'!B75</f>
        <v>42611.278635402101</v>
      </c>
      <c r="L14" s="21">
        <f t="shared" si="6"/>
        <v>1165.4204475880772</v>
      </c>
      <c r="M14" s="18">
        <f t="shared" si="0"/>
        <v>0.40738282824774191</v>
      </c>
      <c r="N14" s="18">
        <f t="shared" si="1"/>
        <v>2.8593773431400149</v>
      </c>
      <c r="O14" s="18">
        <f t="shared" si="2"/>
        <v>1.8239397316843851</v>
      </c>
      <c r="P14" s="14">
        <f t="shared" si="7"/>
        <v>6.4895051530462957E-3</v>
      </c>
      <c r="Q14" s="56">
        <v>11</v>
      </c>
      <c r="R14" s="71">
        <f t="shared" si="8"/>
        <v>7.1600506998947822E-6</v>
      </c>
      <c r="S14" s="71">
        <f t="shared" si="3"/>
        <v>2.8593773431400149</v>
      </c>
      <c r="T14" s="71">
        <v>4.9905549194720955E-2</v>
      </c>
      <c r="U14" s="72">
        <v>7.1101716690096578E-3</v>
      </c>
      <c r="V14" s="72">
        <f t="shared" si="4"/>
        <v>0.40738282824774191</v>
      </c>
      <c r="W14" s="72">
        <f t="shared" si="9"/>
        <v>5.7546333209756995E-7</v>
      </c>
      <c r="X14" s="14">
        <f t="shared" si="5"/>
        <v>11</v>
      </c>
    </row>
    <row r="15" spans="1:24" ht="18" x14ac:dyDescent="0.3">
      <c r="A15" s="16" t="s">
        <v>99</v>
      </c>
      <c r="B15" s="16" t="s">
        <v>100</v>
      </c>
      <c r="C15" s="16">
        <f>Podsumowanie!B16</f>
        <v>1.5069999999999999</v>
      </c>
      <c r="D15" s="16" t="s">
        <v>7</v>
      </c>
      <c r="J15" s="20">
        <f t="shared" si="10"/>
        <v>38.172256956870747</v>
      </c>
      <c r="K15" s="21">
        <f>'Nr(V)'!B78</f>
        <v>43786.264008281199</v>
      </c>
      <c r="L15" s="21">
        <f t="shared" si="6"/>
        <v>1147.0703463448201</v>
      </c>
      <c r="M15" s="18">
        <f t="shared" si="0"/>
        <v>2.63989483955685E-2</v>
      </c>
      <c r="N15" s="18">
        <f t="shared" si="1"/>
        <v>2.3452915202510125</v>
      </c>
      <c r="O15" s="18">
        <f t="shared" si="2"/>
        <v>1.5620709465906601</v>
      </c>
      <c r="P15" s="14">
        <f t="shared" si="7"/>
        <v>7.7863628025076591E-3</v>
      </c>
      <c r="Q15" s="56">
        <v>12</v>
      </c>
      <c r="R15" s="71">
        <f t="shared" si="8"/>
        <v>2.2783788153901696E-6</v>
      </c>
      <c r="S15" s="71">
        <f t="shared" si="3"/>
        <v>2.3452915202510125</v>
      </c>
      <c r="T15" s="71">
        <v>4.0933058947483433E-2</v>
      </c>
      <c r="U15" s="72">
        <v>4.6074856856674477E-4</v>
      </c>
      <c r="V15" s="72">
        <f t="shared" si="4"/>
        <v>2.63989483955685E-2</v>
      </c>
      <c r="W15" s="72">
        <f>-0.5*G$8*C$5*J15^2*(C$8+(C$3^2)*(U15-C$6)^2/(PI()*C$7))+K15/J15*COS(U15-C$1)-C$12*(C$14+G$11*(J$18-J15)/(J$18-J$4))*SIN(T15)</f>
        <v>2.003451413656876E-7</v>
      </c>
      <c r="X15" s="14">
        <f t="shared" si="5"/>
        <v>12</v>
      </c>
    </row>
    <row r="16" spans="1:24" ht="15.6" x14ac:dyDescent="0.3">
      <c r="A16" s="16" t="s">
        <v>138</v>
      </c>
      <c r="B16" s="16" t="s">
        <v>139</v>
      </c>
      <c r="C16" s="16">
        <f>Podsumowanie!B32</f>
        <v>0.31322</v>
      </c>
      <c r="D16" s="16" t="s">
        <v>140</v>
      </c>
      <c r="J16" s="20">
        <f t="shared" si="10"/>
        <v>39.781504637913834</v>
      </c>
      <c r="K16" s="21">
        <f>'Nr(V)'!B82</f>
        <v>44078.491381250198</v>
      </c>
      <c r="L16" s="21">
        <f t="shared" si="6"/>
        <v>1108.0146862831607</v>
      </c>
      <c r="M16" s="18">
        <f t="shared" si="0"/>
        <v>-0.30878162873235093</v>
      </c>
      <c r="N16" s="18">
        <f t="shared" si="1"/>
        <v>1.5850410748738253</v>
      </c>
      <c r="O16" s="18">
        <f t="shared" si="2"/>
        <v>1.1003825575591191</v>
      </c>
      <c r="P16" s="14">
        <f t="shared" si="7"/>
        <v>1.1127062401680052E-2</v>
      </c>
      <c r="Q16" s="14">
        <v>13</v>
      </c>
      <c r="R16" s="71">
        <f t="shared" si="8"/>
        <v>8.7362423073500395E-8</v>
      </c>
      <c r="S16" s="71">
        <f t="shared" si="3"/>
        <v>1.5850410748738253</v>
      </c>
      <c r="T16" s="71">
        <v>2.7664185535898216E-2</v>
      </c>
      <c r="U16" s="72">
        <v>-5.3892560910502483E-3</v>
      </c>
      <c r="V16" s="72">
        <f t="shared" si="4"/>
        <v>-0.30878162873235093</v>
      </c>
      <c r="W16" s="72">
        <f t="shared" si="9"/>
        <v>1.3235052165327943E-8</v>
      </c>
      <c r="X16" s="14">
        <f t="shared" si="5"/>
        <v>13</v>
      </c>
    </row>
    <row r="17" spans="1:24" x14ac:dyDescent="0.3">
      <c r="J17" s="20">
        <f t="shared" si="10"/>
        <v>41.390752318956913</v>
      </c>
      <c r="K17" s="21">
        <f>'Nr(V)'!B85</f>
        <v>42900.490571132803</v>
      </c>
      <c r="L17" s="21">
        <f t="shared" si="6"/>
        <v>1036.4752551618742</v>
      </c>
      <c r="M17" s="18">
        <f t="shared" si="0"/>
        <v>-0.60591224432847512</v>
      </c>
      <c r="N17" s="18">
        <f t="shared" si="1"/>
        <v>0.46549685163571225</v>
      </c>
      <c r="O17" s="18">
        <f t="shared" si="2"/>
        <v>0.33627351079282719</v>
      </c>
      <c r="P17" s="14">
        <f t="shared" si="7"/>
        <v>3.5437828297357428E-2</v>
      </c>
      <c r="Q17" s="14">
        <v>14</v>
      </c>
      <c r="R17" s="71">
        <f t="shared" si="8"/>
        <v>-2.4155280698323622E-5</v>
      </c>
      <c r="S17" s="71">
        <f t="shared" si="3"/>
        <v>0.46549685163571225</v>
      </c>
      <c r="T17" s="71">
        <v>8.1244527187107306E-3</v>
      </c>
      <c r="U17" s="72">
        <v>-1.057516364168023E-2</v>
      </c>
      <c r="V17" s="72">
        <f t="shared" si="4"/>
        <v>-0.60591224432847512</v>
      </c>
      <c r="W17" s="72">
        <f t="shared" si="9"/>
        <v>6.770572497316607E-6</v>
      </c>
      <c r="X17" s="14">
        <f t="shared" si="5"/>
        <v>14</v>
      </c>
    </row>
    <row r="18" spans="1:24" x14ac:dyDescent="0.3">
      <c r="J18" s="20">
        <v>43</v>
      </c>
      <c r="K18" s="21">
        <f>'Nr(V)'!B88</f>
        <v>41193.123002835397</v>
      </c>
      <c r="L18" s="21">
        <f t="shared" si="6"/>
        <v>957.97960471710223</v>
      </c>
      <c r="M18" s="18">
        <f t="shared" si="0"/>
        <v>-0.87116653941379585</v>
      </c>
      <c r="N18" s="18">
        <f t="shared" si="1"/>
        <v>-0.7810262760272807</v>
      </c>
      <c r="O18" s="18">
        <f t="shared" si="2"/>
        <v>-0.58613548989357023</v>
      </c>
      <c r="P18" s="14">
        <f t="shared" si="7"/>
        <v>-1.952199510992245E-2</v>
      </c>
      <c r="Q18" s="56">
        <v>15</v>
      </c>
      <c r="R18" s="71">
        <f t="shared" si="8"/>
        <v>-5.5669640460109804E-5</v>
      </c>
      <c r="S18" s="71">
        <f t="shared" si="3"/>
        <v>-0.7810262760272807</v>
      </c>
      <c r="T18" s="71">
        <v>-1.3631480061266105E-2</v>
      </c>
      <c r="U18" s="72">
        <v>-1.5204724445975688E-2</v>
      </c>
      <c r="V18" s="72">
        <f t="shared" si="4"/>
        <v>-0.87116653941379585</v>
      </c>
      <c r="W18" s="72">
        <f t="shared" si="9"/>
        <v>2.4851378981338712E-6</v>
      </c>
      <c r="X18" s="14">
        <f t="shared" si="5"/>
        <v>15</v>
      </c>
    </row>
    <row r="19" spans="1:24" ht="15.6" thickBot="1" x14ac:dyDescent="0.35"/>
    <row r="20" spans="1:24" ht="16.2" thickBot="1" x14ac:dyDescent="0.35">
      <c r="J20" s="134" t="s">
        <v>148</v>
      </c>
      <c r="K20" s="135"/>
      <c r="L20" s="135"/>
      <c r="M20" s="135"/>
      <c r="N20" s="135"/>
      <c r="O20" s="136"/>
    </row>
    <row r="21" spans="1:24" ht="18.600000000000001" thickBot="1" x14ac:dyDescent="0.35">
      <c r="F21" s="66"/>
      <c r="J21" s="100" t="s">
        <v>76</v>
      </c>
      <c r="K21" s="100" t="s">
        <v>77</v>
      </c>
      <c r="L21" s="100" t="s">
        <v>78</v>
      </c>
      <c r="M21" s="100" t="s">
        <v>79</v>
      </c>
      <c r="N21" s="100" t="s">
        <v>85</v>
      </c>
      <c r="O21" s="100" t="s">
        <v>80</v>
      </c>
      <c r="P21" s="14" t="s">
        <v>143</v>
      </c>
      <c r="R21" s="67" t="s">
        <v>88</v>
      </c>
      <c r="S21" s="68" t="s">
        <v>90</v>
      </c>
      <c r="T21" s="68" t="s">
        <v>89</v>
      </c>
      <c r="U21" s="70" t="s">
        <v>89</v>
      </c>
      <c r="V21" s="70" t="s">
        <v>90</v>
      </c>
      <c r="W21" s="69" t="s">
        <v>91</v>
      </c>
    </row>
    <row r="22" spans="1:24" x14ac:dyDescent="0.3">
      <c r="F22" s="66"/>
      <c r="J22" s="103">
        <f>SQRT(2*(C$14+G29)*C$12/C$5/C$15/G26)</f>
        <v>20.961063043845897</v>
      </c>
      <c r="K22" s="102">
        <f>'Nr(V)'!C44</f>
        <v>28685.224357531799</v>
      </c>
      <c r="L22" s="102">
        <f t="shared" ref="L22:L36" si="11">K22/J22</f>
        <v>1368.5004571346724</v>
      </c>
      <c r="M22" s="104">
        <f t="shared" ref="M22:M36" si="12">V22</f>
        <v>10.476854178320824</v>
      </c>
      <c r="N22" s="104">
        <f t="shared" ref="N22:N36" si="13">S22</f>
        <v>3.8305175392260939</v>
      </c>
      <c r="O22" s="104">
        <f t="shared" ref="O22:O36" si="14">J22*SIN(RADIANS(N22))</f>
        <v>1.400311184579651</v>
      </c>
      <c r="P22" s="14">
        <f>(K22/1000)/(O22*3600)</f>
        <v>5.6902479711922437E-3</v>
      </c>
      <c r="Q22" s="14">
        <v>1</v>
      </c>
      <c r="R22" s="71">
        <f>0.5*G$26*C$5*C$3*(U22-C$6)*J22^2+K22/J22*SIN(U22-C$1)-C$12*(C$14+G$29*(J$36-J22)/(J$36-J$22))*COS(T22)</f>
        <v>3.9652159102843143E-6</v>
      </c>
      <c r="S22" s="71">
        <f t="shared" ref="S22:S36" si="15">DEGREES(T22)</f>
        <v>3.8305175392260939</v>
      </c>
      <c r="T22" s="71">
        <v>6.6855143114886384E-2</v>
      </c>
      <c r="U22" s="72">
        <v>0.1828556006630235</v>
      </c>
      <c r="V22" s="72">
        <f t="shared" ref="V22:V36" si="16">DEGREES(U22)</f>
        <v>10.476854178320824</v>
      </c>
      <c r="W22" s="72">
        <f>-0.5*G$26*C$5*J22^2*(C$8+(C$3^2)*(U22-C$6)^2/(PI()*C$7))+K22/J22*COS(U22-C$1)-C$12*(C$14+G$29*(J$36-J22)/(J$36-J$22))*SIN(T22)</f>
        <v>-9.5271570330623945E-6</v>
      </c>
      <c r="X22" s="14">
        <f t="shared" ref="X22:X36" si="17">Q22</f>
        <v>1</v>
      </c>
    </row>
    <row r="23" spans="1:24" x14ac:dyDescent="0.3">
      <c r="F23" s="66"/>
      <c r="J23" s="20">
        <f>J$22+Q22*G$31</f>
        <v>22.535272826428333</v>
      </c>
      <c r="K23" s="21">
        <f>'Nr(V)'!C47</f>
        <v>29624.915612763802</v>
      </c>
      <c r="L23" s="21">
        <f>K23/J23</f>
        <v>1314.6020392538164</v>
      </c>
      <c r="M23" s="18">
        <f t="shared" si="12"/>
        <v>8.5300714545689047</v>
      </c>
      <c r="N23" s="18">
        <f t="shared" si="13"/>
        <v>3.9862944749406539</v>
      </c>
      <c r="O23" s="18">
        <f>J23*SIN(RADIANS(N23))</f>
        <v>1.5666036689079785</v>
      </c>
      <c r="P23" s="14">
        <f t="shared" ref="P23:P36" si="18">(K23/1000)/(O23*3600)</f>
        <v>5.2528558365396612E-3</v>
      </c>
      <c r="Q23" s="14">
        <v>2</v>
      </c>
      <c r="R23" s="71">
        <f t="shared" ref="R23:R36" si="19">0.5*G$26*C$5*C$3*(U23-C$6)*J23^2+K23/J23*SIN(U23-C$1)-C$12*(C$14+G$29*(J$36-J23)/(J$36-J$22))*COS(T23)</f>
        <v>5.4117013860377483E-5</v>
      </c>
      <c r="S23" s="71">
        <f t="shared" si="15"/>
        <v>3.9862944749406539</v>
      </c>
      <c r="T23" s="71">
        <v>6.9573963541773004E-2</v>
      </c>
      <c r="U23" s="72">
        <v>0.14887783231260929</v>
      </c>
      <c r="V23" s="72">
        <f t="shared" si="16"/>
        <v>8.5300714545689047</v>
      </c>
      <c r="W23" s="72">
        <f t="shared" ref="W23:W36" si="20">-0.5*G$26*C$5*J23^2*(C$8+(C$3^2)*(U23-C$6)^2/(PI()*C$7))+K23/J23*COS(U23-C$1)-C$12*(C$14+G$29*(J$36-J23)/(J$36-J$22))*SIN(T23)</f>
        <v>1.0079527726247761E-5</v>
      </c>
      <c r="X23" s="14">
        <f t="shared" si="17"/>
        <v>2</v>
      </c>
    </row>
    <row r="24" spans="1:24" x14ac:dyDescent="0.3">
      <c r="F24" s="66"/>
      <c r="J24" s="20">
        <f t="shared" ref="J24:J35" si="21">J$22+Q23*G$31</f>
        <v>24.109482609010769</v>
      </c>
      <c r="K24" s="21">
        <f>'Nr(V)'!C50</f>
        <v>30505.9183581619</v>
      </c>
      <c r="L24" s="21">
        <f t="shared" si="11"/>
        <v>1265.3078812550089</v>
      </c>
      <c r="M24" s="18">
        <f t="shared" si="12"/>
        <v>6.9363877380804002</v>
      </c>
      <c r="N24" s="18">
        <f t="shared" si="13"/>
        <v>4.0044537370113193</v>
      </c>
      <c r="O24" s="18">
        <f t="shared" si="14"/>
        <v>1.6836620076744635</v>
      </c>
      <c r="P24" s="14">
        <f t="shared" si="18"/>
        <v>5.0329972238934975E-3</v>
      </c>
      <c r="Q24" s="56">
        <v>3</v>
      </c>
      <c r="R24" s="71">
        <f t="shared" si="19"/>
        <v>4.3592626752797514E-7</v>
      </c>
      <c r="S24" s="71">
        <f t="shared" si="15"/>
        <v>4.0044537370113193</v>
      </c>
      <c r="T24" s="71">
        <v>6.9890902454638637E-2</v>
      </c>
      <c r="U24" s="72">
        <v>0.12106280422446504</v>
      </c>
      <c r="V24" s="72">
        <f t="shared" si="16"/>
        <v>6.9363877380804002</v>
      </c>
      <c r="W24" s="72">
        <f t="shared" si="20"/>
        <v>7.3345063356100582E-9</v>
      </c>
      <c r="X24" s="14">
        <f t="shared" si="17"/>
        <v>3</v>
      </c>
    </row>
    <row r="25" spans="1:24" x14ac:dyDescent="0.3">
      <c r="A25" s="56"/>
      <c r="B25" s="63"/>
      <c r="C25" s="62"/>
      <c r="D25" s="63"/>
      <c r="E25" s="56"/>
      <c r="F25" s="12" t="s">
        <v>6</v>
      </c>
      <c r="G25" s="12">
        <v>500</v>
      </c>
      <c r="H25" s="12" t="s">
        <v>3</v>
      </c>
      <c r="J25" s="20">
        <f t="shared" si="21"/>
        <v>25.683692391593205</v>
      </c>
      <c r="K25" s="21">
        <f>'Nr(V)'!C53</f>
        <v>31857.284306224399</v>
      </c>
      <c r="L25" s="21">
        <f t="shared" si="11"/>
        <v>1240.3701080243407</v>
      </c>
      <c r="M25" s="18">
        <f t="shared" si="12"/>
        <v>5.6132989109133984</v>
      </c>
      <c r="N25" s="18">
        <f t="shared" si="13"/>
        <v>4.0886766826241265</v>
      </c>
      <c r="O25" s="18">
        <f t="shared" si="14"/>
        <v>1.8312554745701077</v>
      </c>
      <c r="P25" s="14">
        <f t="shared" si="18"/>
        <v>4.8323381218534096E-3</v>
      </c>
      <c r="Q25" s="56">
        <v>4</v>
      </c>
      <c r="R25" s="71">
        <f t="shared" si="19"/>
        <v>1.2485543265938759E-8</v>
      </c>
      <c r="S25" s="71">
        <f t="shared" si="15"/>
        <v>4.0886766826241265</v>
      </c>
      <c r="T25" s="71">
        <v>7.1360870161310236E-2</v>
      </c>
      <c r="U25" s="72">
        <v>9.7970547894050658E-2</v>
      </c>
      <c r="V25" s="72">
        <f t="shared" si="16"/>
        <v>5.6132989109133984</v>
      </c>
      <c r="W25" s="72">
        <f t="shared" si="20"/>
        <v>-4.0756731323199347E-11</v>
      </c>
      <c r="X25" s="14">
        <f t="shared" si="17"/>
        <v>4</v>
      </c>
    </row>
    <row r="26" spans="1:24" ht="18.600000000000001" x14ac:dyDescent="0.3">
      <c r="A26" s="56"/>
      <c r="B26" s="63"/>
      <c r="C26" s="62"/>
      <c r="D26" s="63"/>
      <c r="E26" s="56"/>
      <c r="F26" s="14" t="s">
        <v>72</v>
      </c>
      <c r="G26" s="14">
        <f>C$11*(1-G25/44300)^4.256</f>
        <v>1.16770427745239</v>
      </c>
      <c r="H26" s="14" t="s">
        <v>73</v>
      </c>
      <c r="J26" s="20">
        <f>J$22+Q25*G$31</f>
        <v>27.257902174175641</v>
      </c>
      <c r="K26" s="21">
        <f>'Nr(V)'!C57</f>
        <v>33384.850803366397</v>
      </c>
      <c r="L26" s="21">
        <f t="shared" si="11"/>
        <v>1224.776968896582</v>
      </c>
      <c r="M26" s="18">
        <f t="shared" si="12"/>
        <v>4.5077993646212269</v>
      </c>
      <c r="N26" s="18">
        <f t="shared" si="13"/>
        <v>4.1363193061807202</v>
      </c>
      <c r="O26" s="18">
        <f t="shared" si="14"/>
        <v>1.9661042828707382</v>
      </c>
      <c r="P26" s="14">
        <f t="shared" si="18"/>
        <v>4.7167231913361682E-3</v>
      </c>
      <c r="Q26" s="56">
        <v>5</v>
      </c>
      <c r="R26" s="71">
        <f t="shared" si="19"/>
        <v>9.2899424089409877E-5</v>
      </c>
      <c r="S26" s="71">
        <f t="shared" si="15"/>
        <v>4.1363193061807202</v>
      </c>
      <c r="T26" s="71">
        <v>7.2192390806660997E-2</v>
      </c>
      <c r="U26" s="72">
        <v>7.8675940931948796E-2</v>
      </c>
      <c r="V26" s="72">
        <f t="shared" si="16"/>
        <v>4.5077993646212269</v>
      </c>
      <c r="W26" s="72">
        <f t="shared" si="20"/>
        <v>1.1234612827593082E-5</v>
      </c>
      <c r="X26" s="14">
        <f t="shared" si="17"/>
        <v>5</v>
      </c>
    </row>
    <row r="27" spans="1:24" ht="18.600000000000001" x14ac:dyDescent="0.3">
      <c r="A27" s="56"/>
      <c r="B27" s="63"/>
      <c r="C27" s="62"/>
      <c r="D27" s="63"/>
      <c r="E27" s="56"/>
      <c r="F27" s="14" t="s">
        <v>74</v>
      </c>
      <c r="G27" s="14">
        <f>C$4*((G26/C$11)-C$10)/(1-C$10)</f>
        <v>55764.540690265014</v>
      </c>
      <c r="H27" s="14" t="s">
        <v>32</v>
      </c>
      <c r="J27" s="20">
        <f t="shared" si="21"/>
        <v>28.832111956758077</v>
      </c>
      <c r="K27" s="21">
        <f>'Nr(V)'!C60</f>
        <v>34736.351771006797</v>
      </c>
      <c r="L27" s="21">
        <f t="shared" si="11"/>
        <v>1204.7799974938985</v>
      </c>
      <c r="M27" s="18">
        <f t="shared" si="12"/>
        <v>3.5776357122048923</v>
      </c>
      <c r="N27" s="18">
        <f t="shared" si="13"/>
        <v>4.0468047286645747</v>
      </c>
      <c r="O27" s="18">
        <f t="shared" si="14"/>
        <v>2.0347212682747458</v>
      </c>
      <c r="P27" s="14">
        <f t="shared" si="18"/>
        <v>4.7421662875912658E-3</v>
      </c>
      <c r="Q27" s="56">
        <v>6</v>
      </c>
      <c r="R27" s="71">
        <f t="shared" si="19"/>
        <v>-7.8307493822649121E-10</v>
      </c>
      <c r="S27" s="71">
        <f t="shared" si="15"/>
        <v>4.0468047286645747</v>
      </c>
      <c r="T27" s="71">
        <v>7.0630066700472574E-2</v>
      </c>
      <c r="U27" s="72">
        <v>6.2441522614907652E-2</v>
      </c>
      <c r="V27" s="72">
        <f t="shared" si="16"/>
        <v>3.5776357122048923</v>
      </c>
      <c r="W27" s="72">
        <f t="shared" si="20"/>
        <v>-1.1425527191022411E-11</v>
      </c>
      <c r="X27" s="14">
        <f t="shared" si="17"/>
        <v>6</v>
      </c>
    </row>
    <row r="28" spans="1:24" ht="18.600000000000001" x14ac:dyDescent="0.3">
      <c r="A28" s="56"/>
      <c r="B28" s="63"/>
      <c r="C28" s="62"/>
      <c r="D28" s="63"/>
      <c r="E28" s="56"/>
      <c r="F28" s="14" t="s">
        <v>75</v>
      </c>
      <c r="G28" s="14">
        <f>G27/G26/C$9^3/C$2^5</f>
        <v>5.1266845676182116E-2</v>
      </c>
      <c r="H28" s="14" t="s">
        <v>7</v>
      </c>
      <c r="J28" s="20">
        <f t="shared" si="21"/>
        <v>30.406321739340513</v>
      </c>
      <c r="K28" s="21">
        <f>'Nr(V)'!C63</f>
        <v>35676.043026238702</v>
      </c>
      <c r="L28" s="21">
        <f t="shared" si="11"/>
        <v>1173.3100547995612</v>
      </c>
      <c r="M28" s="18">
        <f t="shared" si="12"/>
        <v>2.7886917286098099</v>
      </c>
      <c r="N28" s="18">
        <f t="shared" si="13"/>
        <v>3.7706060514282687</v>
      </c>
      <c r="O28" s="18">
        <f t="shared" si="14"/>
        <v>1.9995804819286018</v>
      </c>
      <c r="P28" s="14">
        <f t="shared" si="18"/>
        <v>4.9560455512021873E-3</v>
      </c>
      <c r="Q28" s="14">
        <v>7</v>
      </c>
      <c r="R28" s="71">
        <f>0.5*G$26*C$5*C$3*(U28-C$6)*J28^2+K28/J28*SIN(U28-C$1)-C$12*(C$14+G$29*(J$36-J28)/(J$36-J$22))*COS(T28)</f>
        <v>2.9514555535570253E-5</v>
      </c>
      <c r="S28" s="71">
        <f t="shared" si="15"/>
        <v>3.7706060514282687</v>
      </c>
      <c r="T28" s="71">
        <v>6.5809490393045927E-2</v>
      </c>
      <c r="U28" s="72">
        <v>4.8671852487373331E-2</v>
      </c>
      <c r="V28" s="72">
        <f t="shared" si="16"/>
        <v>2.7886917286098099</v>
      </c>
      <c r="W28" s="72">
        <f t="shared" si="20"/>
        <v>2.9668087222489703E-6</v>
      </c>
      <c r="X28" s="14">
        <f t="shared" si="17"/>
        <v>7</v>
      </c>
    </row>
    <row r="29" spans="1:24" x14ac:dyDescent="0.3">
      <c r="A29" s="56"/>
      <c r="B29" s="63"/>
      <c r="C29" s="62"/>
      <c r="D29" s="63"/>
      <c r="E29" s="56"/>
      <c r="F29" s="14" t="s">
        <v>141</v>
      </c>
      <c r="G29" s="14">
        <f>G11-G12</f>
        <v>89.326579562303664</v>
      </c>
      <c r="H29" s="14" t="s">
        <v>0</v>
      </c>
      <c r="J29" s="20">
        <f t="shared" si="21"/>
        <v>31.980531521922948</v>
      </c>
      <c r="K29" s="21">
        <f>'Nr(V)'!C66</f>
        <v>36674.6028174085</v>
      </c>
      <c r="L29" s="21">
        <f t="shared" si="11"/>
        <v>1146.7790268672591</v>
      </c>
      <c r="M29" s="18">
        <f t="shared" si="12"/>
        <v>2.1125422884284979</v>
      </c>
      <c r="N29" s="18">
        <f t="shared" si="13"/>
        <v>3.4610324800815873</v>
      </c>
      <c r="O29" s="18">
        <f t="shared" si="14"/>
        <v>1.9306545338179626</v>
      </c>
      <c r="P29" s="14">
        <f t="shared" si="18"/>
        <v>5.2766507384189058E-3</v>
      </c>
      <c r="Q29" s="14">
        <v>8</v>
      </c>
      <c r="R29" s="71">
        <f t="shared" si="19"/>
        <v>3.5882840165868402E-6</v>
      </c>
      <c r="S29" s="71">
        <f t="shared" si="15"/>
        <v>3.4610324800815873</v>
      </c>
      <c r="T29" s="71">
        <v>6.0406412295888758E-2</v>
      </c>
      <c r="U29" s="72">
        <v>3.6870818520692995E-2</v>
      </c>
      <c r="V29" s="72">
        <f t="shared" si="16"/>
        <v>2.1125422884284979</v>
      </c>
      <c r="W29" s="72">
        <f t="shared" si="20"/>
        <v>3.66536198725953E-7</v>
      </c>
      <c r="X29" s="14">
        <f t="shared" si="17"/>
        <v>8</v>
      </c>
    </row>
    <row r="30" spans="1:24" x14ac:dyDescent="0.3">
      <c r="A30" s="56"/>
      <c r="B30" s="63"/>
      <c r="C30" s="62"/>
      <c r="D30" s="63"/>
      <c r="E30" s="56"/>
      <c r="F30" s="14" t="s">
        <v>142</v>
      </c>
      <c r="G30" s="14" cm="1">
        <f t="array" ref="G30">C$16*(G43-G25)*MIN(IF(P22:P36&gt;0,P22:P36))</f>
        <v>0.73868601899515718</v>
      </c>
      <c r="H30" s="14" t="s">
        <v>0</v>
      </c>
      <c r="J30" s="20">
        <f t="shared" si="21"/>
        <v>33.554741304505384</v>
      </c>
      <c r="K30" s="21">
        <f>'Nr(V)'!C69</f>
        <v>37614.3840856924</v>
      </c>
      <c r="L30" s="21">
        <f t="shared" si="11"/>
        <v>1120.9856676988277</v>
      </c>
      <c r="M30" s="18">
        <f t="shared" si="12"/>
        <v>1.5293230008039995</v>
      </c>
      <c r="N30" s="18">
        <f t="shared" si="13"/>
        <v>3.0890406095970135</v>
      </c>
      <c r="O30" s="18">
        <f t="shared" si="14"/>
        <v>1.8081916734043084</v>
      </c>
      <c r="P30" s="14">
        <f t="shared" si="18"/>
        <v>5.7783918472160732E-3</v>
      </c>
      <c r="Q30" s="56">
        <v>9</v>
      </c>
      <c r="R30" s="71">
        <f t="shared" si="19"/>
        <v>1.1177698979736306E-5</v>
      </c>
      <c r="S30" s="71">
        <f t="shared" si="15"/>
        <v>3.0890406095970135</v>
      </c>
      <c r="T30" s="71">
        <v>5.3913929365280631E-2</v>
      </c>
      <c r="U30" s="72">
        <v>2.6691721690509679E-2</v>
      </c>
      <c r="V30" s="72">
        <f t="shared" si="16"/>
        <v>1.5293230008039995</v>
      </c>
      <c r="W30" s="72">
        <f>-0.5*G$26*C$5*J30^2*(C$8+(C$3^2)*(U30-C$6)^2/(PI()*C$7))+K30/J30*COS(U30-C$1)-C$12*(C$14+G$29*(J$36-J30)/(J$36-J$22))*SIN(T30)</f>
        <v>1.0097272706843796E-6</v>
      </c>
      <c r="X30" s="14">
        <f t="shared" si="17"/>
        <v>9</v>
      </c>
    </row>
    <row r="31" spans="1:24" x14ac:dyDescent="0.3">
      <c r="A31" s="56"/>
      <c r="B31" s="63"/>
      <c r="C31" s="62"/>
      <c r="D31" s="63"/>
      <c r="E31" s="56"/>
      <c r="F31" s="14" t="s">
        <v>144</v>
      </c>
      <c r="G31" s="14">
        <f>(J36-J22)/Q35</f>
        <v>1.5742097825824359</v>
      </c>
      <c r="H31" s="14" t="s">
        <v>145</v>
      </c>
      <c r="J31" s="20">
        <f t="shared" si="21"/>
        <v>35.12895108708782</v>
      </c>
      <c r="K31" s="21">
        <f>'Nr(V)'!C72</f>
        <v>38906.971510869</v>
      </c>
      <c r="L31" s="21">
        <f t="shared" si="11"/>
        <v>1107.5472027165038</v>
      </c>
      <c r="M31" s="18">
        <f t="shared" si="12"/>
        <v>1.0225516930826226</v>
      </c>
      <c r="N31" s="18">
        <f t="shared" si="13"/>
        <v>2.7649921470369083</v>
      </c>
      <c r="O31" s="18">
        <f t="shared" si="14"/>
        <v>1.6946026098430442</v>
      </c>
      <c r="P31" s="14">
        <f t="shared" si="18"/>
        <v>6.3775967436716626E-3</v>
      </c>
      <c r="Q31" s="56">
        <v>10</v>
      </c>
      <c r="R31" s="71">
        <f t="shared" si="19"/>
        <v>2.351530383748468E-6</v>
      </c>
      <c r="S31" s="71">
        <f t="shared" si="15"/>
        <v>2.7649921470369083</v>
      </c>
      <c r="T31" s="71">
        <v>4.8258216757581227E-2</v>
      </c>
      <c r="U31" s="72">
        <v>1.7846893816134291E-2</v>
      </c>
      <c r="V31" s="72">
        <f t="shared" si="16"/>
        <v>1.0225516930826226</v>
      </c>
      <c r="W31" s="72">
        <f t="shared" si="20"/>
        <v>3.2073478450911352E-7</v>
      </c>
      <c r="X31" s="14">
        <f t="shared" si="17"/>
        <v>10</v>
      </c>
    </row>
    <row r="32" spans="1:24" x14ac:dyDescent="0.3">
      <c r="A32" s="56"/>
      <c r="B32" s="63"/>
      <c r="C32" s="62"/>
      <c r="D32" s="63"/>
      <c r="E32" s="56"/>
      <c r="J32" s="20">
        <f t="shared" si="21"/>
        <v>36.703160869670256</v>
      </c>
      <c r="K32" s="21">
        <f>'Nr(V)'!C75</f>
        <v>40199.468922993801</v>
      </c>
      <c r="L32" s="21">
        <f t="shared" si="11"/>
        <v>1095.2590450108271</v>
      </c>
      <c r="M32" s="18">
        <f t="shared" si="12"/>
        <v>0.58016523188125113</v>
      </c>
      <c r="N32" s="18">
        <f t="shared" si="13"/>
        <v>2.3942559190685544</v>
      </c>
      <c r="O32" s="18">
        <f t="shared" si="14"/>
        <v>1.5332924687023484</v>
      </c>
      <c r="P32" s="14">
        <f t="shared" si="18"/>
        <v>7.2827065763431762E-3</v>
      </c>
      <c r="Q32" s="56">
        <v>11</v>
      </c>
      <c r="R32" s="71">
        <f t="shared" si="19"/>
        <v>7.3431056080153212E-7</v>
      </c>
      <c r="S32" s="71">
        <f t="shared" si="15"/>
        <v>2.3942559190685544</v>
      </c>
      <c r="T32" s="71">
        <v>4.1787648923109162E-2</v>
      </c>
      <c r="U32" s="72">
        <v>1.0125793501924208E-2</v>
      </c>
      <c r="V32" s="72">
        <f t="shared" si="16"/>
        <v>0.58016523188125113</v>
      </c>
      <c r="W32" s="72">
        <f t="shared" si="20"/>
        <v>1.1933650512219174E-7</v>
      </c>
      <c r="X32" s="14">
        <f t="shared" si="17"/>
        <v>11</v>
      </c>
    </row>
    <row r="33" spans="1:24" x14ac:dyDescent="0.3">
      <c r="A33" s="56"/>
      <c r="B33" s="63"/>
      <c r="C33" s="62"/>
      <c r="D33" s="63"/>
      <c r="E33" s="56"/>
      <c r="J33" s="20">
        <f t="shared" si="21"/>
        <v>38.277370652252692</v>
      </c>
      <c r="K33" s="21">
        <f>'Nr(V)'!C79</f>
        <v>41609.433367838297</v>
      </c>
      <c r="L33" s="21">
        <f t="shared" si="11"/>
        <v>1087.0504598097182</v>
      </c>
      <c r="M33" s="18">
        <f t="shared" si="12"/>
        <v>0.1918030135937572</v>
      </c>
      <c r="N33" s="18">
        <f t="shared" si="13"/>
        <v>2.007197751256093</v>
      </c>
      <c r="O33" s="18">
        <f t="shared" si="14"/>
        <v>1.3406666049997034</v>
      </c>
      <c r="P33" s="14">
        <f t="shared" si="18"/>
        <v>8.62121566421295E-3</v>
      </c>
      <c r="Q33" s="56">
        <v>12</v>
      </c>
      <c r="R33" s="71">
        <f t="shared" si="19"/>
        <v>1.7159536582767032E-6</v>
      </c>
      <c r="S33" s="71">
        <f t="shared" si="15"/>
        <v>2.007197751256093</v>
      </c>
      <c r="T33" s="71">
        <v>3.5032209498044968E-2</v>
      </c>
      <c r="U33" s="72">
        <v>3.347594102458505E-3</v>
      </c>
      <c r="V33" s="72">
        <f t="shared" si="16"/>
        <v>0.1918030135937572</v>
      </c>
      <c r="W33" s="72">
        <f t="shared" si="20"/>
        <v>1.7124557416536845E-7</v>
      </c>
      <c r="X33" s="14">
        <f t="shared" si="17"/>
        <v>12</v>
      </c>
    </row>
    <row r="34" spans="1:24" x14ac:dyDescent="0.3">
      <c r="A34" s="56"/>
      <c r="B34" s="63"/>
      <c r="C34" s="62"/>
      <c r="D34" s="63"/>
      <c r="E34" s="56"/>
      <c r="J34" s="20">
        <f t="shared" si="21"/>
        <v>39.851580434835128</v>
      </c>
      <c r="K34" s="21">
        <f>'Nr(V)'!C82</f>
        <v>41607.813132904201</v>
      </c>
      <c r="L34" s="21">
        <f t="shared" si="11"/>
        <v>1044.0693362447907</v>
      </c>
      <c r="M34" s="18">
        <f t="shared" si="12"/>
        <v>-0.1507042579047676</v>
      </c>
      <c r="N34" s="18">
        <f t="shared" si="13"/>
        <v>1.2485077285541308</v>
      </c>
      <c r="O34" s="18">
        <f t="shared" si="14"/>
        <v>0.86831995592995537</v>
      </c>
      <c r="P34" s="14">
        <f t="shared" si="18"/>
        <v>1.3310445984018695E-2</v>
      </c>
      <c r="Q34" s="14">
        <v>13</v>
      </c>
      <c r="R34" s="71">
        <f t="shared" si="19"/>
        <v>6.2448452808894217E-7</v>
      </c>
      <c r="S34" s="71">
        <f t="shared" si="15"/>
        <v>1.2485077285541308</v>
      </c>
      <c r="T34" s="71">
        <v>2.1790570599865205E-2</v>
      </c>
      <c r="U34" s="72">
        <v>-2.6302854972128854E-3</v>
      </c>
      <c r="V34" s="72">
        <f t="shared" si="16"/>
        <v>-0.1507042579047676</v>
      </c>
      <c r="W34" s="72">
        <f t="shared" si="20"/>
        <v>5.8993606444346369E-8</v>
      </c>
      <c r="X34" s="14">
        <f t="shared" si="17"/>
        <v>13</v>
      </c>
    </row>
    <row r="35" spans="1:24" x14ac:dyDescent="0.3">
      <c r="A35" s="56"/>
      <c r="B35" s="63"/>
      <c r="C35" s="62"/>
      <c r="D35" s="63"/>
      <c r="E35" s="56"/>
      <c r="J35" s="20">
        <f t="shared" si="21"/>
        <v>41.425790217417564</v>
      </c>
      <c r="K35" s="21">
        <f>'Nr(V)'!C85</f>
        <v>40724.109995949402</v>
      </c>
      <c r="L35" s="21">
        <f t="shared" si="11"/>
        <v>983.06175409604771</v>
      </c>
      <c r="M35" s="18">
        <f t="shared" si="12"/>
        <v>-0.45513210841421625</v>
      </c>
      <c r="N35" s="18">
        <f t="shared" si="13"/>
        <v>0.26734524475705113</v>
      </c>
      <c r="O35" s="18">
        <f t="shared" si="14"/>
        <v>0.19329430424942837</v>
      </c>
      <c r="P35" s="14">
        <f t="shared" si="18"/>
        <v>5.8523466692816772E-2</v>
      </c>
      <c r="Q35" s="14">
        <v>14</v>
      </c>
      <c r="R35" s="71">
        <f t="shared" si="19"/>
        <v>4.5274646254256368E-9</v>
      </c>
      <c r="S35" s="71">
        <f t="shared" si="15"/>
        <v>0.26734524475705113</v>
      </c>
      <c r="T35" s="71">
        <v>4.6660547605606503E-3</v>
      </c>
      <c r="U35" s="72">
        <v>-7.943553823371861E-3</v>
      </c>
      <c r="V35" s="72">
        <f t="shared" si="16"/>
        <v>-0.45513210841421625</v>
      </c>
      <c r="W35" s="72">
        <f t="shared" si="20"/>
        <v>-2.3138824190027663E-11</v>
      </c>
      <c r="X35" s="14">
        <f t="shared" si="17"/>
        <v>14</v>
      </c>
    </row>
    <row r="36" spans="1:24" x14ac:dyDescent="0.3">
      <c r="A36" s="56"/>
      <c r="B36" s="63"/>
      <c r="C36" s="62"/>
      <c r="D36" s="63"/>
      <c r="E36" s="56"/>
      <c r="J36" s="20">
        <f t="shared" ref="J36" si="22">J18</f>
        <v>43</v>
      </c>
      <c r="K36" s="21">
        <f>'Nr(V)'!C88</f>
        <v>39369.593591070698</v>
      </c>
      <c r="L36" s="21">
        <f t="shared" si="11"/>
        <v>915.57194397838828</v>
      </c>
      <c r="M36" s="18">
        <f t="shared" si="12"/>
        <v>-0.72731146784967171</v>
      </c>
      <c r="N36" s="18">
        <f t="shared" si="13"/>
        <v>-0.8316541741415826</v>
      </c>
      <c r="O36" s="18">
        <f t="shared" si="14"/>
        <v>-0.62412753720591263</v>
      </c>
      <c r="P36" s="14">
        <f t="shared" si="18"/>
        <v>-1.7522056899940703E-2</v>
      </c>
      <c r="Q36" s="56">
        <v>15</v>
      </c>
      <c r="R36" s="71">
        <f t="shared" si="19"/>
        <v>-4.764641653309809E-5</v>
      </c>
      <c r="S36" s="71">
        <f t="shared" si="15"/>
        <v>-0.8316541741415826</v>
      </c>
      <c r="T36" s="71">
        <v>-1.4515103576724902E-2</v>
      </c>
      <c r="U36" s="72">
        <v>-1.2693979801489653E-2</v>
      </c>
      <c r="V36" s="72">
        <f t="shared" si="16"/>
        <v>-0.72731146784967171</v>
      </c>
      <c r="W36" s="72">
        <f t="shared" si="20"/>
        <v>1.3814785120302986E-6</v>
      </c>
      <c r="X36" s="14">
        <f t="shared" si="17"/>
        <v>15</v>
      </c>
    </row>
    <row r="37" spans="1:24" ht="15.6" thickBot="1" x14ac:dyDescent="0.35">
      <c r="A37" s="56"/>
      <c r="B37" s="63"/>
      <c r="C37" s="62"/>
      <c r="D37" s="63"/>
      <c r="E37" s="56"/>
      <c r="F37" s="62"/>
      <c r="G37" s="63"/>
      <c r="H37" s="63"/>
      <c r="I37" s="63"/>
      <c r="J37" s="62"/>
      <c r="K37" s="57"/>
      <c r="L37" s="63"/>
      <c r="M37" s="63"/>
      <c r="N37" s="63"/>
    </row>
    <row r="38" spans="1:24" ht="16.2" thickBot="1" x14ac:dyDescent="0.35">
      <c r="A38" s="56"/>
      <c r="B38" s="63"/>
      <c r="C38" s="62"/>
      <c r="D38" s="63"/>
      <c r="E38" s="56"/>
      <c r="J38" s="134" t="s">
        <v>101</v>
      </c>
      <c r="K38" s="135"/>
      <c r="L38" s="135"/>
      <c r="M38" s="135"/>
      <c r="N38" s="135"/>
      <c r="O38" s="136"/>
    </row>
    <row r="39" spans="1:24" ht="18.600000000000001" thickBot="1" x14ac:dyDescent="0.35">
      <c r="A39" s="56"/>
      <c r="B39" s="63"/>
      <c r="C39" s="62"/>
      <c r="D39" s="63"/>
      <c r="E39" s="56"/>
      <c r="F39" s="66"/>
      <c r="J39" s="100" t="s">
        <v>76</v>
      </c>
      <c r="K39" s="100" t="s">
        <v>77</v>
      </c>
      <c r="L39" s="100" t="s">
        <v>78</v>
      </c>
      <c r="M39" s="100" t="s">
        <v>79</v>
      </c>
      <c r="N39" s="100" t="s">
        <v>85</v>
      </c>
      <c r="O39" s="100" t="s">
        <v>80</v>
      </c>
      <c r="P39" s="14" t="s">
        <v>143</v>
      </c>
      <c r="R39" s="67" t="s">
        <v>88</v>
      </c>
      <c r="S39" s="68" t="s">
        <v>90</v>
      </c>
      <c r="T39" s="68" t="s">
        <v>89</v>
      </c>
      <c r="U39" s="70" t="s">
        <v>89</v>
      </c>
      <c r="V39" s="70" t="s">
        <v>90</v>
      </c>
      <c r="W39" s="69" t="s">
        <v>91</v>
      </c>
    </row>
    <row r="40" spans="1:24" x14ac:dyDescent="0.3">
      <c r="A40" s="56"/>
      <c r="B40" s="63"/>
      <c r="C40" s="62"/>
      <c r="D40" s="63"/>
      <c r="E40" s="56"/>
      <c r="F40" s="66"/>
      <c r="J40" s="103">
        <f>SQRT(2*(C$14+G47)*C$12/C$5/C$15/G44)</f>
        <v>21.468302938847525</v>
      </c>
      <c r="K40" s="102">
        <f>'Nr(V)'!D45</f>
        <v>27331.7881092758</v>
      </c>
      <c r="L40" s="102">
        <f t="shared" ref="L40:L54" si="23">K40/J40</f>
        <v>1273.1229006377641</v>
      </c>
      <c r="M40" s="104">
        <f t="shared" ref="M40:M54" si="24">V40</f>
        <v>10.520157822090491</v>
      </c>
      <c r="N40" s="104">
        <f t="shared" ref="N40:N54" si="25">S40</f>
        <v>3.0300430284647475</v>
      </c>
      <c r="O40" s="104">
        <f t="shared" ref="O40:O54" si="26">J40*SIN(RADIANS(N40))</f>
        <v>1.1348054806341914</v>
      </c>
      <c r="P40" s="14">
        <f>(K40/1000)/(O40*3600)</f>
        <v>6.6902773147031382E-3</v>
      </c>
      <c r="Q40" s="14">
        <v>1</v>
      </c>
      <c r="R40" s="71">
        <f>0.5*G$44*C$5*C$3*(U40-C$6)*J40^2+K40/J40*SIN(U40-C$1)-C$12*(C$14+G$47*(J$54-J40)/(J$54-J$40))*COS(T40)</f>
        <v>5.7037086298805661E-4</v>
      </c>
      <c r="S40" s="71">
        <f t="shared" ref="S40:S54" si="27">DEGREES(T40)</f>
        <v>3.0300430284647475</v>
      </c>
      <c r="T40" s="71">
        <v>5.288422732381011E-2</v>
      </c>
      <c r="U40" s="72">
        <v>0.18361139182491493</v>
      </c>
      <c r="V40" s="72">
        <f t="shared" ref="V40:V54" si="28">DEGREES(U40)</f>
        <v>10.520157822090491</v>
      </c>
      <c r="W40" s="72">
        <f>-0.5*G$44*C$5*J40^2*(C$8+(C$3^2)*(U40-C$6)^2/(PI()*C$7))+K40/J40*COS(U40-C$1)-C$12*(C$14+G$47*(J$54-J40)/(J$54-J$40))*SIN(T40)</f>
        <v>1.232885434774289E-4</v>
      </c>
      <c r="X40" s="14">
        <f t="shared" ref="X40:X54" si="29">Q40</f>
        <v>1</v>
      </c>
    </row>
    <row r="41" spans="1:24" x14ac:dyDescent="0.3">
      <c r="A41" s="56"/>
      <c r="B41" s="63"/>
      <c r="C41" s="62"/>
      <c r="D41" s="63"/>
      <c r="E41" s="56"/>
      <c r="F41" s="66"/>
      <c r="J41" s="20">
        <f>J$40+Q40*G$49</f>
        <v>23.006281300358417</v>
      </c>
      <c r="K41" s="21">
        <f>'Nr(V)'!D48</f>
        <v>28212.655835096</v>
      </c>
      <c r="L41" s="21">
        <f t="shared" si="23"/>
        <v>1226.3023070424022</v>
      </c>
      <c r="M41" s="18">
        <f t="shared" si="24"/>
        <v>8.6383635224098203</v>
      </c>
      <c r="N41" s="18">
        <f t="shared" si="25"/>
        <v>3.2241706165272515</v>
      </c>
      <c r="O41" s="18">
        <f t="shared" si="26"/>
        <v>1.2939353561241809</v>
      </c>
      <c r="P41" s="14">
        <f t="shared" ref="P41:P54" si="30">(K41/1000)/(O41*3600)</f>
        <v>6.0565999730902388E-3</v>
      </c>
      <c r="Q41" s="14">
        <v>2</v>
      </c>
      <c r="R41" s="71">
        <f t="shared" ref="R41:R54" si="31">0.5*G$44*C$5*C$3*(U41-C$6)*J41^2+K41/J41*SIN(U41-C$1)-C$12*(C$14+G$47*(J$54-J41)/(J$54-J$40))*COS(T41)</f>
        <v>3.9049259612511378E-5</v>
      </c>
      <c r="S41" s="71">
        <f t="shared" si="27"/>
        <v>3.2241706165272515</v>
      </c>
      <c r="T41" s="71">
        <v>5.6272392904456042E-2</v>
      </c>
      <c r="U41" s="72">
        <v>0.15076788545022632</v>
      </c>
      <c r="V41" s="72">
        <f t="shared" si="28"/>
        <v>8.6383635224098203</v>
      </c>
      <c r="W41" s="72">
        <f t="shared" ref="W41:W54" si="32">-0.5*G$44*C$5*J41^2*(C$8+(C$3^2)*(U41-C$6)^2/(PI()*C$7))+K41/J41*COS(U41-C$1)-C$12*(C$14+G$47*(J$54-J41)/(J$54-J$40))*SIN(T41)</f>
        <v>9.2026027118663478E-6</v>
      </c>
      <c r="X41" s="14">
        <f t="shared" si="29"/>
        <v>2</v>
      </c>
    </row>
    <row r="42" spans="1:24" x14ac:dyDescent="0.3">
      <c r="A42" s="56"/>
      <c r="B42" s="63"/>
      <c r="C42" s="62"/>
      <c r="D42" s="63"/>
      <c r="E42" s="56"/>
      <c r="F42" s="66"/>
      <c r="J42" s="20">
        <f t="shared" ref="J42:J53" si="33">J$40+Q41*G$49</f>
        <v>24.544259661869308</v>
      </c>
      <c r="K42" s="21">
        <f>'Nr(V)'!D51</f>
        <v>29328.8176785633</v>
      </c>
      <c r="L42" s="21">
        <f t="shared" si="23"/>
        <v>1194.9359272843351</v>
      </c>
      <c r="M42" s="18">
        <f t="shared" si="24"/>
        <v>7.0829124430728445</v>
      </c>
      <c r="N42" s="18">
        <f t="shared" si="25"/>
        <v>3.3867456694064906</v>
      </c>
      <c r="O42" s="18">
        <f t="shared" si="26"/>
        <v>1.4499631222407314</v>
      </c>
      <c r="P42" s="14">
        <f t="shared" si="30"/>
        <v>5.6186903478006676E-3</v>
      </c>
      <c r="Q42" s="56">
        <v>3</v>
      </c>
      <c r="R42" s="71">
        <f t="shared" si="31"/>
        <v>8.1380000665376429E-5</v>
      </c>
      <c r="S42" s="71">
        <f t="shared" si="27"/>
        <v>3.3867456694064906</v>
      </c>
      <c r="T42" s="71">
        <v>5.9109862858802646E-2</v>
      </c>
      <c r="U42" s="72">
        <v>0.12362014276209657</v>
      </c>
      <c r="V42" s="72">
        <f t="shared" si="28"/>
        <v>7.0829124430728445</v>
      </c>
      <c r="W42" s="72">
        <f t="shared" si="32"/>
        <v>1.3725068470193946E-5</v>
      </c>
      <c r="X42" s="14">
        <f t="shared" si="29"/>
        <v>3</v>
      </c>
    </row>
    <row r="43" spans="1:24" x14ac:dyDescent="0.3">
      <c r="A43" s="56"/>
      <c r="B43" s="63"/>
      <c r="C43" s="62"/>
      <c r="D43" s="63"/>
      <c r="E43" s="56"/>
      <c r="F43" s="12" t="s">
        <v>6</v>
      </c>
      <c r="G43" s="12">
        <v>1000</v>
      </c>
      <c r="H43" s="12" t="s">
        <v>3</v>
      </c>
      <c r="J43" s="20">
        <f t="shared" si="33"/>
        <v>26.082238023380199</v>
      </c>
      <c r="K43" s="21">
        <f>'Nr(V)'!D54</f>
        <v>30386.246005670801</v>
      </c>
      <c r="L43" s="21">
        <f t="shared" si="23"/>
        <v>1165.0168201989597</v>
      </c>
      <c r="M43" s="18">
        <f t="shared" si="24"/>
        <v>5.7880238624713396</v>
      </c>
      <c r="N43" s="18">
        <f t="shared" si="25"/>
        <v>3.4285019984554808</v>
      </c>
      <c r="O43" s="18">
        <f t="shared" si="26"/>
        <v>1.559794628508884</v>
      </c>
      <c r="P43" s="14">
        <f t="shared" si="30"/>
        <v>5.4113687380325766E-3</v>
      </c>
      <c r="Q43" s="56">
        <v>4</v>
      </c>
      <c r="R43" s="71">
        <f t="shared" si="31"/>
        <v>5.9980708101647906E-5</v>
      </c>
      <c r="S43" s="71">
        <f t="shared" si="27"/>
        <v>3.4285019984554808</v>
      </c>
      <c r="T43" s="71">
        <v>5.9838648284253684E-2</v>
      </c>
      <c r="U43" s="72">
        <v>0.10102007358412433</v>
      </c>
      <c r="V43" s="72">
        <f t="shared" si="28"/>
        <v>5.7880238624713396</v>
      </c>
      <c r="W43" s="72">
        <f t="shared" si="32"/>
        <v>8.6533784724451834E-6</v>
      </c>
      <c r="X43" s="14">
        <f t="shared" si="29"/>
        <v>4</v>
      </c>
    </row>
    <row r="44" spans="1:24" ht="18.600000000000001" x14ac:dyDescent="0.3">
      <c r="A44" s="56"/>
      <c r="B44" s="63"/>
      <c r="C44" s="62"/>
      <c r="D44" s="63"/>
      <c r="E44" s="56"/>
      <c r="F44" s="14" t="s">
        <v>72</v>
      </c>
      <c r="G44" s="14">
        <f>C$11*(1-G43/44300)^4.256</f>
        <v>1.1120172997678104</v>
      </c>
      <c r="H44" s="14" t="s">
        <v>73</v>
      </c>
      <c r="J44" s="20">
        <f t="shared" si="33"/>
        <v>27.620216384891091</v>
      </c>
      <c r="K44" s="21">
        <f>'Nr(V)'!D57</f>
        <v>31737.701966785098</v>
      </c>
      <c r="L44" s="21">
        <f t="shared" si="23"/>
        <v>1149.0750660500389</v>
      </c>
      <c r="M44" s="18">
        <f t="shared" si="24"/>
        <v>4.6978068259715915</v>
      </c>
      <c r="N44" s="18">
        <f t="shared" si="25"/>
        <v>3.4802122903603983</v>
      </c>
      <c r="O44" s="18">
        <f t="shared" si="26"/>
        <v>1.6766526267647108</v>
      </c>
      <c r="P44" s="14">
        <f t="shared" si="30"/>
        <v>5.2581126128186054E-3</v>
      </c>
      <c r="Q44" s="56">
        <v>5</v>
      </c>
      <c r="R44" s="71">
        <f t="shared" si="31"/>
        <v>1.0291165926901158E-4</v>
      </c>
      <c r="S44" s="71">
        <f t="shared" si="27"/>
        <v>3.4802122903603983</v>
      </c>
      <c r="T44" s="71">
        <v>6.0741163135161862E-2</v>
      </c>
      <c r="U44" s="72">
        <v>8.1992196735868536E-2</v>
      </c>
      <c r="V44" s="72">
        <f t="shared" si="28"/>
        <v>4.6978068259715915</v>
      </c>
      <c r="W44" s="72">
        <f t="shared" si="32"/>
        <v>1.3041449278716755E-5</v>
      </c>
      <c r="X44" s="14">
        <f t="shared" si="29"/>
        <v>5</v>
      </c>
    </row>
    <row r="45" spans="1:24" ht="18.600000000000001" x14ac:dyDescent="0.3">
      <c r="A45" s="56"/>
      <c r="B45" s="63"/>
      <c r="C45" s="62"/>
      <c r="D45" s="63"/>
      <c r="E45" s="56"/>
      <c r="F45" s="14" t="s">
        <v>74</v>
      </c>
      <c r="G45" s="14">
        <f>C$4*((G44/C$11)-C$10)/(1-C$10)</f>
        <v>52647.130916000875</v>
      </c>
      <c r="H45" s="14" t="s">
        <v>32</v>
      </c>
      <c r="J45" s="20">
        <f t="shared" si="33"/>
        <v>29.158194746401982</v>
      </c>
      <c r="K45" s="21">
        <f>'Nr(V)'!D60</f>
        <v>32795.040280840702</v>
      </c>
      <c r="L45" s="21">
        <f t="shared" si="23"/>
        <v>1124.728076140156</v>
      </c>
      <c r="M45" s="18">
        <f t="shared" si="24"/>
        <v>3.7754197859020784</v>
      </c>
      <c r="N45" s="18">
        <f t="shared" si="25"/>
        <v>3.365194603894945</v>
      </c>
      <c r="O45" s="18">
        <f t="shared" si="26"/>
        <v>1.711584957447555</v>
      </c>
      <c r="P45" s="14">
        <f t="shared" si="30"/>
        <v>5.3223962805385733E-3</v>
      </c>
      <c r="Q45" s="56">
        <v>6</v>
      </c>
      <c r="R45" s="71">
        <f t="shared" si="31"/>
        <v>1.48630169860553E-6</v>
      </c>
      <c r="S45" s="71">
        <f t="shared" si="27"/>
        <v>3.365194603894945</v>
      </c>
      <c r="T45" s="71">
        <v>5.8733725808313181E-2</v>
      </c>
      <c r="U45" s="72">
        <v>6.5893505908930658E-2</v>
      </c>
      <c r="V45" s="72">
        <f t="shared" si="28"/>
        <v>3.7754197859020784</v>
      </c>
      <c r="W45" s="72">
        <f t="shared" si="32"/>
        <v>2.8480201308411779E-8</v>
      </c>
      <c r="X45" s="14">
        <f t="shared" si="29"/>
        <v>6</v>
      </c>
    </row>
    <row r="46" spans="1:24" ht="18.600000000000001" x14ac:dyDescent="0.3">
      <c r="A46" s="56"/>
      <c r="B46" s="63"/>
      <c r="C46" s="62"/>
      <c r="D46" s="63"/>
      <c r="E46" s="56"/>
      <c r="F46" s="14" t="s">
        <v>75</v>
      </c>
      <c r="G46" s="14">
        <f>G45/G44/C$9^3/C$2^5</f>
        <v>5.0824662547639295E-2</v>
      </c>
      <c r="H46" s="14" t="s">
        <v>7</v>
      </c>
      <c r="J46" s="20">
        <f t="shared" si="33"/>
        <v>30.69617310791287</v>
      </c>
      <c r="K46" s="21">
        <f>'Nr(V)'!D64</f>
        <v>34028.444124398004</v>
      </c>
      <c r="L46" s="21">
        <f t="shared" si="23"/>
        <v>1108.5565619131246</v>
      </c>
      <c r="M46" s="18">
        <f t="shared" si="24"/>
        <v>2.9867696121487892</v>
      </c>
      <c r="N46" s="18">
        <f t="shared" si="25"/>
        <v>3.2401280246450082</v>
      </c>
      <c r="O46" s="18">
        <f t="shared" si="26"/>
        <v>1.7349711977376501</v>
      </c>
      <c r="P46" s="14">
        <f t="shared" si="30"/>
        <v>5.4481282469911489E-3</v>
      </c>
      <c r="Q46" s="14">
        <v>7</v>
      </c>
      <c r="R46" s="71">
        <f>0.5*G$44*C$5*C$3*(U46-C$6)*J46^2+K46/J46*SIN(U46-C$1)-C$12*(C$14+G$47*(J$54-J46)/(J$54-J$40))*COS(T46)</f>
        <v>-3.1377567211166024E-10</v>
      </c>
      <c r="S46" s="71">
        <f t="shared" si="27"/>
        <v>3.2401280246450082</v>
      </c>
      <c r="T46" s="71">
        <v>5.6550902216195367E-2</v>
      </c>
      <c r="U46" s="72">
        <v>5.2128963730510403E-2</v>
      </c>
      <c r="V46" s="72">
        <f t="shared" si="28"/>
        <v>2.9867696121487892</v>
      </c>
      <c r="W46" s="72">
        <f t="shared" si="32"/>
        <v>-3.1263880373444408E-12</v>
      </c>
      <c r="X46" s="14">
        <f t="shared" si="29"/>
        <v>7</v>
      </c>
    </row>
    <row r="47" spans="1:24" x14ac:dyDescent="0.3">
      <c r="A47" s="56"/>
      <c r="B47" s="63"/>
      <c r="C47" s="62"/>
      <c r="D47" s="63"/>
      <c r="E47" s="56"/>
      <c r="F47" s="14" t="s">
        <v>141</v>
      </c>
      <c r="G47" s="14">
        <f>G29-G30</f>
        <v>88.58789354330851</v>
      </c>
      <c r="H47" s="14" t="s">
        <v>0</v>
      </c>
      <c r="J47" s="20">
        <f t="shared" si="33"/>
        <v>32.234151469423765</v>
      </c>
      <c r="K47" s="21">
        <f>'Nr(V)'!D67</f>
        <v>35026.8238894639</v>
      </c>
      <c r="L47" s="21">
        <f t="shared" si="23"/>
        <v>1086.6370694661894</v>
      </c>
      <c r="M47" s="18">
        <f t="shared" si="24"/>
        <v>2.3088528827731247</v>
      </c>
      <c r="N47" s="18">
        <f t="shared" si="25"/>
        <v>2.9926142051143807</v>
      </c>
      <c r="O47" s="18">
        <f t="shared" si="26"/>
        <v>1.6828556317021175</v>
      </c>
      <c r="P47" s="14">
        <f t="shared" si="30"/>
        <v>5.7816446754780874E-3</v>
      </c>
      <c r="Q47" s="14">
        <v>8</v>
      </c>
      <c r="R47" s="71">
        <f t="shared" si="31"/>
        <v>-1.3915268937125802E-10</v>
      </c>
      <c r="S47" s="71">
        <f t="shared" si="27"/>
        <v>2.9926142051143807</v>
      </c>
      <c r="T47" s="71">
        <v>5.2230971121198871E-2</v>
      </c>
      <c r="U47" s="72">
        <v>4.0297084748553695E-2</v>
      </c>
      <c r="V47" s="72">
        <f t="shared" si="28"/>
        <v>2.3088528827731247</v>
      </c>
      <c r="W47" s="72">
        <f>-0.5*G$44*C$5*J47^2*(C$8+(C$3^2)*(U47-C$6)^2/(PI()*C$7))+K47/J47*COS(U47-C$1)-C$12*(C$14+G$47*(J$54-J47)/(J$54-J$40))*SIN(T47)</f>
        <v>-1.5916157281026244E-12</v>
      </c>
      <c r="X47" s="14">
        <f t="shared" si="29"/>
        <v>8</v>
      </c>
    </row>
    <row r="48" spans="1:24" x14ac:dyDescent="0.3">
      <c r="A48" s="56"/>
      <c r="B48" s="63"/>
      <c r="C48" s="62"/>
      <c r="D48" s="63"/>
      <c r="E48" s="56"/>
      <c r="F48" s="14" t="s">
        <v>142</v>
      </c>
      <c r="G48" s="14" cm="1">
        <f t="array" ref="G48">C$16*(G61-G43)*MIN(IF(P40:P54&gt;0,P40:P54))</f>
        <v>0.82347301629352176</v>
      </c>
      <c r="H48" s="14" t="s">
        <v>0</v>
      </c>
      <c r="J48" s="20">
        <f t="shared" si="33"/>
        <v>33.772129830934652</v>
      </c>
      <c r="K48" s="21">
        <f>'Nr(V)'!D70</f>
        <v>35907.871641387901</v>
      </c>
      <c r="L48" s="21">
        <f t="shared" si="23"/>
        <v>1063.2397725919243</v>
      </c>
      <c r="M48" s="18">
        <f t="shared" si="24"/>
        <v>1.72174731570203</v>
      </c>
      <c r="N48" s="18">
        <f t="shared" si="25"/>
        <v>2.666783913113842</v>
      </c>
      <c r="O48" s="18">
        <f t="shared" si="26"/>
        <v>1.571327918269559</v>
      </c>
      <c r="P48" s="14">
        <f t="shared" si="30"/>
        <v>6.3477576343573374E-3</v>
      </c>
      <c r="Q48" s="56">
        <v>9</v>
      </c>
      <c r="R48" s="71">
        <f t="shared" si="31"/>
        <v>1.4726254448760301E-5</v>
      </c>
      <c r="S48" s="71">
        <f t="shared" si="27"/>
        <v>2.666783913113842</v>
      </c>
      <c r="T48" s="71">
        <v>4.654415972305493E-2</v>
      </c>
      <c r="U48" s="72">
        <v>3.0050159546374688E-2</v>
      </c>
      <c r="V48" s="72">
        <f t="shared" si="28"/>
        <v>1.72174731570203</v>
      </c>
      <c r="W48" s="72">
        <f t="shared" si="32"/>
        <v>1.3304879757924937E-6</v>
      </c>
      <c r="X48" s="14">
        <f t="shared" si="29"/>
        <v>9</v>
      </c>
    </row>
    <row r="49" spans="1:24" x14ac:dyDescent="0.3">
      <c r="A49" s="56"/>
      <c r="B49" s="63"/>
      <c r="C49" s="62"/>
      <c r="D49" s="63"/>
      <c r="E49" s="56"/>
      <c r="F49" s="14" t="s">
        <v>144</v>
      </c>
      <c r="G49" s="14">
        <f>(J54-J40)/Q53</f>
        <v>1.5379783615108911</v>
      </c>
      <c r="H49" s="14" t="s">
        <v>145</v>
      </c>
      <c r="J49" s="20">
        <f t="shared" si="33"/>
        <v>35.310108192445547</v>
      </c>
      <c r="K49" s="21">
        <f>'Nr(V)'!D73</f>
        <v>37023.988478329302</v>
      </c>
      <c r="L49" s="21">
        <f t="shared" si="23"/>
        <v>1048.5379505648309</v>
      </c>
      <c r="M49" s="18">
        <f t="shared" si="24"/>
        <v>1.2097326365513277</v>
      </c>
      <c r="N49" s="18">
        <f t="shared" si="25"/>
        <v>2.3592960764020141</v>
      </c>
      <c r="O49" s="18">
        <f t="shared" si="26"/>
        <v>1.4535705782562984</v>
      </c>
      <c r="P49" s="14">
        <f t="shared" si="30"/>
        <v>7.0752954124302415E-3</v>
      </c>
      <c r="Q49" s="56">
        <v>10</v>
      </c>
      <c r="R49" s="71">
        <f t="shared" si="31"/>
        <v>5.5294003686867654E-6</v>
      </c>
      <c r="S49" s="71">
        <f t="shared" si="27"/>
        <v>2.3592960764020141</v>
      </c>
      <c r="T49" s="71">
        <v>4.1177484562598836E-2</v>
      </c>
      <c r="U49" s="72">
        <v>2.1113817576652569E-2</v>
      </c>
      <c r="V49" s="72">
        <f t="shared" si="28"/>
        <v>1.2097326365513277</v>
      </c>
      <c r="W49" s="72">
        <f t="shared" si="32"/>
        <v>4.9034025551009108E-7</v>
      </c>
      <c r="X49" s="14">
        <f t="shared" si="29"/>
        <v>10</v>
      </c>
    </row>
    <row r="50" spans="1:24" x14ac:dyDescent="0.3">
      <c r="A50" s="56"/>
      <c r="B50" s="63"/>
      <c r="C50" s="62"/>
      <c r="D50" s="63"/>
      <c r="E50" s="56"/>
      <c r="J50" s="20">
        <f t="shared" si="33"/>
        <v>36.848086553956435</v>
      </c>
      <c r="K50" s="21">
        <f>'Nr(V)'!D76</f>
        <v>38140.195328322603</v>
      </c>
      <c r="L50" s="21">
        <f t="shared" si="23"/>
        <v>1035.0658309617825</v>
      </c>
      <c r="M50" s="18">
        <f t="shared" si="24"/>
        <v>0.76107928197726982</v>
      </c>
      <c r="N50" s="18">
        <f t="shared" si="25"/>
        <v>2.0084838909031615</v>
      </c>
      <c r="O50" s="18">
        <f t="shared" si="26"/>
        <v>1.2914325009129655</v>
      </c>
      <c r="P50" s="14">
        <f t="shared" si="30"/>
        <v>8.203679785681527E-3</v>
      </c>
      <c r="Q50" s="56">
        <v>11</v>
      </c>
      <c r="R50" s="71">
        <f t="shared" si="31"/>
        <v>3.0181181500665843E-6</v>
      </c>
      <c r="S50" s="71">
        <f t="shared" si="27"/>
        <v>2.0084838909031615</v>
      </c>
      <c r="T50" s="71">
        <v>3.5054656869526753E-2</v>
      </c>
      <c r="U50" s="72">
        <v>1.3283339339217697E-2</v>
      </c>
      <c r="V50" s="72">
        <f t="shared" si="28"/>
        <v>0.76107928197726982</v>
      </c>
      <c r="W50" s="72">
        <f t="shared" si="32"/>
        <v>3.0307219844871724E-7</v>
      </c>
      <c r="X50" s="14">
        <f t="shared" si="29"/>
        <v>11</v>
      </c>
    </row>
    <row r="51" spans="1:24" x14ac:dyDescent="0.3">
      <c r="A51" s="56"/>
      <c r="B51" s="63"/>
      <c r="C51" s="62"/>
      <c r="D51" s="63"/>
      <c r="E51" s="56"/>
      <c r="J51" s="20">
        <f t="shared" si="33"/>
        <v>38.38606491546733</v>
      </c>
      <c r="K51" s="21">
        <f>'Nr(V)'!D79</f>
        <v>39197.443629326197</v>
      </c>
      <c r="L51" s="21">
        <f t="shared" si="23"/>
        <v>1021.1373245902038</v>
      </c>
      <c r="M51" s="18">
        <f t="shared" si="24"/>
        <v>0.36591254803607576</v>
      </c>
      <c r="N51" s="18">
        <f t="shared" si="25"/>
        <v>1.6023840453114291</v>
      </c>
      <c r="O51" s="18">
        <f t="shared" si="26"/>
        <v>1.0733984356004123</v>
      </c>
      <c r="P51" s="14">
        <f t="shared" si="30"/>
        <v>1.0143650693727321E-2</v>
      </c>
      <c r="Q51" s="56">
        <v>12</v>
      </c>
      <c r="R51" s="71">
        <f t="shared" si="31"/>
        <v>4.4341504690237343E-7</v>
      </c>
      <c r="S51" s="71">
        <f t="shared" si="27"/>
        <v>1.6023840453114291</v>
      </c>
      <c r="T51" s="71">
        <v>2.7966877472110442E-2</v>
      </c>
      <c r="U51" s="72">
        <v>6.3863787375914331E-3</v>
      </c>
      <c r="V51" s="72">
        <f t="shared" si="28"/>
        <v>0.36591254803607576</v>
      </c>
      <c r="W51" s="72">
        <f t="shared" si="32"/>
        <v>8.0074528341356199E-8</v>
      </c>
      <c r="X51" s="14">
        <f t="shared" si="29"/>
        <v>12</v>
      </c>
    </row>
    <row r="52" spans="1:24" x14ac:dyDescent="0.3">
      <c r="A52" s="56"/>
      <c r="B52" s="63"/>
      <c r="C52" s="62"/>
      <c r="D52" s="63"/>
      <c r="E52" s="56"/>
      <c r="J52" s="20">
        <f t="shared" si="33"/>
        <v>39.924043276978217</v>
      </c>
      <c r="K52" s="21">
        <f>'Nr(V)'!D82</f>
        <v>39372.519015257203</v>
      </c>
      <c r="L52" s="21">
        <f t="shared" si="23"/>
        <v>986.1856611592483</v>
      </c>
      <c r="M52" s="18">
        <f t="shared" si="24"/>
        <v>1.6142271370783567E-2</v>
      </c>
      <c r="N52" s="18">
        <f t="shared" si="25"/>
        <v>0.95338797658836205</v>
      </c>
      <c r="O52" s="18">
        <f t="shared" si="26"/>
        <v>0.66429581182852304</v>
      </c>
      <c r="P52" s="14">
        <f t="shared" si="30"/>
        <v>1.6463766055467174E-2</v>
      </c>
      <c r="Q52" s="14">
        <v>13</v>
      </c>
      <c r="R52" s="71">
        <f t="shared" si="31"/>
        <v>5.9758167481049895E-7</v>
      </c>
      <c r="S52" s="71">
        <f t="shared" si="27"/>
        <v>0.95338797658836205</v>
      </c>
      <c r="T52" s="71">
        <v>1.6639759240393532E-2</v>
      </c>
      <c r="U52" s="72">
        <v>2.8173578417059161E-4</v>
      </c>
      <c r="V52" s="72">
        <f t="shared" si="28"/>
        <v>1.6142271370783567E-2</v>
      </c>
      <c r="W52" s="72">
        <f t="shared" si="32"/>
        <v>6.4549155354143295E-8</v>
      </c>
      <c r="X52" s="14">
        <f t="shared" si="29"/>
        <v>13</v>
      </c>
    </row>
    <row r="53" spans="1:24" x14ac:dyDescent="0.3">
      <c r="A53" s="56"/>
      <c r="B53" s="63"/>
      <c r="C53" s="62"/>
      <c r="D53" s="63"/>
      <c r="E53" s="56"/>
      <c r="J53" s="20">
        <f t="shared" si="33"/>
        <v>41.462021638489105</v>
      </c>
      <c r="K53" s="21">
        <f>'Nr(V)'!D85</f>
        <v>38900.535577658702</v>
      </c>
      <c r="L53" s="21">
        <f t="shared" si="23"/>
        <v>938.22090772215074</v>
      </c>
      <c r="M53" s="18">
        <f t="shared" si="24"/>
        <v>-0.29540374456834934</v>
      </c>
      <c r="N53" s="18">
        <f t="shared" si="25"/>
        <v>0.13260932180918983</v>
      </c>
      <c r="O53" s="18">
        <f t="shared" si="26"/>
        <v>9.5962489876851201E-2</v>
      </c>
      <c r="P53" s="14">
        <f t="shared" si="30"/>
        <v>0.11260341765823702</v>
      </c>
      <c r="Q53" s="14">
        <v>14</v>
      </c>
      <c r="R53" s="71">
        <f t="shared" si="31"/>
        <v>5.3069015848450363E-9</v>
      </c>
      <c r="S53" s="71">
        <f t="shared" si="27"/>
        <v>0.13260932180918983</v>
      </c>
      <c r="T53" s="71">
        <v>2.314469284407086E-3</v>
      </c>
      <c r="U53" s="72">
        <v>-5.1557679654380111E-3</v>
      </c>
      <c r="V53" s="72">
        <f t="shared" si="28"/>
        <v>-0.29540374456834934</v>
      </c>
      <c r="W53" s="72">
        <f t="shared" si="32"/>
        <v>-1.2047252084812499E-11</v>
      </c>
      <c r="X53" s="14">
        <f t="shared" si="29"/>
        <v>14</v>
      </c>
    </row>
    <row r="54" spans="1:24" x14ac:dyDescent="0.3">
      <c r="A54" s="56"/>
      <c r="B54" s="63"/>
      <c r="C54" s="62"/>
      <c r="D54" s="63"/>
      <c r="E54" s="56"/>
      <c r="J54" s="20">
        <f t="shared" ref="J54" si="34">J36</f>
        <v>43</v>
      </c>
      <c r="K54" s="21">
        <f>'Nr(V)'!D88</f>
        <v>37604.887708717702</v>
      </c>
      <c r="L54" s="21">
        <f t="shared" si="23"/>
        <v>874.53227229576055</v>
      </c>
      <c r="M54" s="18">
        <f t="shared" si="24"/>
        <v>-0.57457924821026318</v>
      </c>
      <c r="N54" s="18">
        <f t="shared" si="25"/>
        <v>-0.88784036715571502</v>
      </c>
      <c r="O54" s="18">
        <f t="shared" si="26"/>
        <v>-0.66629005303620004</v>
      </c>
      <c r="P54" s="14">
        <f t="shared" si="30"/>
        <v>-1.5677559786027518E-2</v>
      </c>
      <c r="Q54" s="56">
        <v>15</v>
      </c>
      <c r="R54" s="71">
        <f t="shared" si="31"/>
        <v>-2.8557851692312397E-5</v>
      </c>
      <c r="S54" s="71">
        <f t="shared" si="27"/>
        <v>-0.88784036715571502</v>
      </c>
      <c r="T54" s="71">
        <v>-1.549573763898255E-2</v>
      </c>
      <c r="U54" s="72">
        <v>-1.0028299694902829E-2</v>
      </c>
      <c r="V54" s="72">
        <f t="shared" si="28"/>
        <v>-0.57457924821026318</v>
      </c>
      <c r="W54" s="72">
        <f t="shared" si="32"/>
        <v>3.4935506221245305E-7</v>
      </c>
      <c r="X54" s="14">
        <f t="shared" si="29"/>
        <v>15</v>
      </c>
    </row>
    <row r="55" spans="1:24" ht="15.6" thickBot="1" x14ac:dyDescent="0.35">
      <c r="F55" s="56"/>
      <c r="G55" s="56"/>
      <c r="H55" s="63"/>
      <c r="I55" s="62"/>
      <c r="J55" s="57"/>
      <c r="K55" s="63"/>
      <c r="L55" s="63"/>
      <c r="M55" s="56"/>
      <c r="N55" s="56"/>
    </row>
    <row r="56" spans="1:24" ht="16.2" thickBot="1" x14ac:dyDescent="0.35">
      <c r="J56" s="134" t="s">
        <v>102</v>
      </c>
      <c r="K56" s="135"/>
      <c r="L56" s="135"/>
      <c r="M56" s="135"/>
      <c r="N56" s="135"/>
      <c r="O56" s="136"/>
    </row>
    <row r="57" spans="1:24" ht="18.600000000000001" thickBot="1" x14ac:dyDescent="0.35">
      <c r="F57" s="66"/>
      <c r="J57" s="100" t="s">
        <v>76</v>
      </c>
      <c r="K57" s="100" t="s">
        <v>77</v>
      </c>
      <c r="L57" s="100" t="s">
        <v>78</v>
      </c>
      <c r="M57" s="100" t="s">
        <v>79</v>
      </c>
      <c r="N57" s="100" t="s">
        <v>85</v>
      </c>
      <c r="O57" s="100" t="s">
        <v>80</v>
      </c>
      <c r="P57" s="14" t="s">
        <v>143</v>
      </c>
      <c r="R57" s="67" t="s">
        <v>88</v>
      </c>
      <c r="S57" s="68" t="s">
        <v>90</v>
      </c>
      <c r="T57" s="68" t="s">
        <v>89</v>
      </c>
      <c r="U57" s="70" t="s">
        <v>89</v>
      </c>
      <c r="V57" s="70" t="s">
        <v>90</v>
      </c>
      <c r="W57" s="69" t="s">
        <v>91</v>
      </c>
    </row>
    <row r="58" spans="1:24" x14ac:dyDescent="0.3">
      <c r="F58" s="66"/>
      <c r="J58" s="103">
        <f>SQRT(2*(C$14+G65)*C$12/C$5/C$15/G62)</f>
        <v>21.992728725304172</v>
      </c>
      <c r="K58" s="102">
        <f>'Nr(V)'!E46</f>
        <v>25978.441874071701</v>
      </c>
      <c r="L58" s="102">
        <f t="shared" ref="L58:L72" si="35">K58/J58</f>
        <v>1181.2286778303089</v>
      </c>
      <c r="M58" s="104">
        <f t="shared" ref="M58:M72" si="36">V58</f>
        <v>10.559507032301651</v>
      </c>
      <c r="N58" s="104">
        <f t="shared" ref="N58:N72" si="37">S58</f>
        <v>2.2613904376671194</v>
      </c>
      <c r="O58" s="104">
        <f t="shared" ref="O58:O72" si="38">J58*SIN(RADIANS(N58))</f>
        <v>0.86779925847790551</v>
      </c>
      <c r="P58" s="14">
        <f>(K58/1000)/(O58*3600)</f>
        <v>8.3155566029934954E-3</v>
      </c>
      <c r="Q58" s="14">
        <v>1</v>
      </c>
      <c r="R58" s="71">
        <f>0.5*G$62*C$5*C$3*(U58-C$6)*J58^2+K58/J58*SIN(U58-C$1)-C$12*(C$14+G$65*(J$72-J58)/(J$72-J$58))*COS(T58)</f>
        <v>2.417726609564852E-4</v>
      </c>
      <c r="S58" s="71">
        <f t="shared" ref="S58:S72" si="39">DEGREES(T58)</f>
        <v>2.2613904376671194</v>
      </c>
      <c r="T58" s="71">
        <v>3.946870881040683E-2</v>
      </c>
      <c r="U58" s="72">
        <v>0.18429816510115904</v>
      </c>
      <c r="V58" s="72">
        <f t="shared" ref="V58:V72" si="40">DEGREES(U58)</f>
        <v>10.559507032301651</v>
      </c>
      <c r="W58" s="72">
        <f>-0.5*G$62*C$5*J58^2*(C$8+(C$3^2)*(U58-C$6)^2/(PI()*C$7))+K58/J58*COS(U58-C$1)-C$12*(C$14+G$65*(J$72-J58)/(J$72-J$58))*SIN(T58)</f>
        <v>5.459588976464147E-5</v>
      </c>
      <c r="X58" s="14">
        <f t="shared" ref="X58:X72" si="41">Q58</f>
        <v>1</v>
      </c>
    </row>
    <row r="59" spans="1:24" x14ac:dyDescent="0.3">
      <c r="F59" s="66"/>
      <c r="J59" s="20">
        <f>J$58+Q58*G$67</f>
        <v>23.421819530639588</v>
      </c>
      <c r="K59" s="21">
        <f>'Nr(V)'!E49</f>
        <v>26682.839011656601</v>
      </c>
      <c r="L59" s="21">
        <f t="shared" si="35"/>
        <v>1139.2299806917674</v>
      </c>
      <c r="M59" s="18">
        <f t="shared" si="36"/>
        <v>8.8188661197330163</v>
      </c>
      <c r="N59" s="18">
        <f t="shared" si="37"/>
        <v>2.4558591575580508</v>
      </c>
      <c r="O59" s="18">
        <f t="shared" si="38"/>
        <v>1.0036180507696248</v>
      </c>
      <c r="P59" s="14">
        <f t="shared" ref="P59:P72" si="42">(K59/1000)/(O59*3600)</f>
        <v>7.3851797701091062E-3</v>
      </c>
      <c r="Q59" s="14">
        <v>2</v>
      </c>
      <c r="R59" s="71">
        <f t="shared" ref="R59:R72" si="43">0.5*G$62*C$5*C$3*(U59-C$6)*J59^2+K59/J59*SIN(U59-C$1)-C$12*(C$14+G$65*(J$72-J59)/(J$72-J$58))*COS(T59)</f>
        <v>1.0067640687339008E-5</v>
      </c>
      <c r="S59" s="71">
        <f t="shared" si="39"/>
        <v>2.4558591575580508</v>
      </c>
      <c r="T59" s="71">
        <v>4.2862828264642168E-2</v>
      </c>
      <c r="U59" s="72">
        <v>0.15391825008191762</v>
      </c>
      <c r="V59" s="72">
        <f t="shared" si="40"/>
        <v>8.8188661197330163</v>
      </c>
      <c r="W59" s="72">
        <f t="shared" ref="W59:W72" si="44">-0.5*G$62*C$5*J59^2*(C$8+(C$3^2)*(U59-C$6)^2/(PI()*C$7))+K59/J59*COS(U59-C$1)-C$12*(C$14+G$65*(J$72-J59)/(J$72-J$58))*SIN(T59)</f>
        <v>3.5916725664719706E-6</v>
      </c>
      <c r="X59" s="14">
        <f t="shared" si="41"/>
        <v>2</v>
      </c>
    </row>
    <row r="60" spans="1:24" x14ac:dyDescent="0.3">
      <c r="F60" s="66"/>
      <c r="J60" s="20">
        <f t="shared" ref="J60:J71" si="45">J$58+Q59*G$67</f>
        <v>24.850910335975005</v>
      </c>
      <c r="K60" s="21">
        <f>'Nr(V)'!E52</f>
        <v>27857.9143975876</v>
      </c>
      <c r="L60" s="21">
        <f t="shared" si="35"/>
        <v>1121.0017669758986</v>
      </c>
      <c r="M60" s="18">
        <f t="shared" si="36"/>
        <v>7.3541791202566751</v>
      </c>
      <c r="N60" s="18">
        <f t="shared" si="37"/>
        <v>2.7142873060301356</v>
      </c>
      <c r="O60" s="18">
        <f t="shared" si="38"/>
        <v>1.176828103317429</v>
      </c>
      <c r="P60" s="14">
        <f t="shared" si="42"/>
        <v>6.5755648875748919E-3</v>
      </c>
      <c r="Q60" s="56">
        <v>3</v>
      </c>
      <c r="R60" s="71">
        <f t="shared" si="43"/>
        <v>6.0354812376317568E-5</v>
      </c>
      <c r="S60" s="71">
        <f t="shared" si="39"/>
        <v>2.7142873060301356</v>
      </c>
      <c r="T60" s="71">
        <v>4.7373250335312804E-2</v>
      </c>
      <c r="U60" s="72">
        <v>0.128354639429899</v>
      </c>
      <c r="V60" s="72">
        <f t="shared" si="40"/>
        <v>7.3541791202566751</v>
      </c>
      <c r="W60" s="72">
        <f t="shared" si="44"/>
        <v>1.2380272266909742E-5</v>
      </c>
      <c r="X60" s="14">
        <f t="shared" si="41"/>
        <v>3</v>
      </c>
    </row>
    <row r="61" spans="1:24" x14ac:dyDescent="0.3">
      <c r="F61" s="12" t="s">
        <v>6</v>
      </c>
      <c r="G61" s="12">
        <v>1500</v>
      </c>
      <c r="H61" s="12" t="s">
        <v>3</v>
      </c>
      <c r="J61" s="20">
        <f t="shared" si="45"/>
        <v>26.280001141310422</v>
      </c>
      <c r="K61" s="21">
        <f>'Nr(V)'!E55</f>
        <v>29032.944776992601</v>
      </c>
      <c r="L61" s="21">
        <f t="shared" si="35"/>
        <v>1104.7543194872519</v>
      </c>
      <c r="M61" s="18">
        <f t="shared" si="36"/>
        <v>6.1173546674230721</v>
      </c>
      <c r="N61" s="18">
        <f t="shared" si="37"/>
        <v>2.8755123364061888</v>
      </c>
      <c r="O61" s="18">
        <f t="shared" si="38"/>
        <v>1.3183649667766248</v>
      </c>
      <c r="P61" s="14">
        <f t="shared" si="42"/>
        <v>6.1172035708867379E-3</v>
      </c>
      <c r="Q61" s="56">
        <v>4</v>
      </c>
      <c r="R61" s="71">
        <f t="shared" si="43"/>
        <v>1.0702099461923353E-4</v>
      </c>
      <c r="S61" s="71">
        <f t="shared" si="39"/>
        <v>2.8755123364061888</v>
      </c>
      <c r="T61" s="71">
        <v>5.0187157952002799E-2</v>
      </c>
      <c r="U61" s="72">
        <v>0.10676798045877531</v>
      </c>
      <c r="V61" s="72">
        <f t="shared" si="40"/>
        <v>6.1173546674230721</v>
      </c>
      <c r="W61" s="72">
        <f t="shared" si="44"/>
        <v>1.6827151569032139E-5</v>
      </c>
      <c r="X61" s="14">
        <f t="shared" si="41"/>
        <v>4</v>
      </c>
    </row>
    <row r="62" spans="1:24" ht="18.600000000000001" x14ac:dyDescent="0.3">
      <c r="F62" s="14" t="s">
        <v>72</v>
      </c>
      <c r="G62" s="14">
        <f>C$11*(1-G61/44300)^4.256</f>
        <v>1.0583851499599146</v>
      </c>
      <c r="H62" s="14" t="s">
        <v>73</v>
      </c>
      <c r="J62" s="20">
        <f t="shared" si="45"/>
        <v>27.709091946645838</v>
      </c>
      <c r="K62" s="21">
        <f>'Nr(V)'!E58</f>
        <v>30031.369548584498</v>
      </c>
      <c r="L62" s="21">
        <f t="shared" si="35"/>
        <v>1083.8092279028931</v>
      </c>
      <c r="M62" s="18">
        <f t="shared" si="36"/>
        <v>5.0656063555183737</v>
      </c>
      <c r="N62" s="18">
        <f t="shared" si="37"/>
        <v>2.8996770715089442</v>
      </c>
      <c r="O62" s="18">
        <f t="shared" si="38"/>
        <v>1.4017284553906126</v>
      </c>
      <c r="P62" s="14">
        <f t="shared" si="42"/>
        <v>5.951257581129998E-3</v>
      </c>
      <c r="Q62" s="56">
        <v>5</v>
      </c>
      <c r="R62" s="71">
        <f t="shared" si="43"/>
        <v>-5.392712409957312E-7</v>
      </c>
      <c r="S62" s="71">
        <f t="shared" si="39"/>
        <v>2.8996770715089442</v>
      </c>
      <c r="T62" s="71">
        <v>5.0608912142418132E-2</v>
      </c>
      <c r="U62" s="72">
        <v>8.8411509513746045E-2</v>
      </c>
      <c r="V62" s="72">
        <f t="shared" si="40"/>
        <v>5.0656063555183737</v>
      </c>
      <c r="W62" s="72">
        <f t="shared" si="44"/>
        <v>-8.6039335656096227E-9</v>
      </c>
      <c r="X62" s="14">
        <f t="shared" si="41"/>
        <v>5</v>
      </c>
    </row>
    <row r="63" spans="1:24" ht="18.600000000000001" x14ac:dyDescent="0.3">
      <c r="F63" s="14" t="s">
        <v>74</v>
      </c>
      <c r="G63" s="14">
        <f>C$4*((G62/C$11)-C$10)/(1-C$10)</f>
        <v>49644.752353225507</v>
      </c>
      <c r="H63" s="14" t="s">
        <v>32</v>
      </c>
      <c r="J63" s="20">
        <f t="shared" si="45"/>
        <v>29.138182751981255</v>
      </c>
      <c r="K63" s="21">
        <f>'Nr(V)'!E60</f>
        <v>30971.465862550001</v>
      </c>
      <c r="L63" s="21">
        <f t="shared" si="35"/>
        <v>1062.9168650005838</v>
      </c>
      <c r="M63" s="18">
        <f t="shared" si="36"/>
        <v>4.1636566137564985</v>
      </c>
      <c r="N63" s="18">
        <f t="shared" si="37"/>
        <v>2.8410079071641023</v>
      </c>
      <c r="O63" s="18">
        <f t="shared" si="38"/>
        <v>1.444223123052746</v>
      </c>
      <c r="P63" s="14">
        <f t="shared" si="42"/>
        <v>5.9569638683213627E-3</v>
      </c>
      <c r="Q63" s="56">
        <v>6</v>
      </c>
      <c r="R63" s="71">
        <f>0.5*G$62*C$5*C$3*(U63-C$6)*J63^2+K63/J63*SIN(U63-C$1)-C$12*(C$14+G$65*(J$72-J63)/(J$72-J$58))*COS(T63)</f>
        <v>7.7078766480553895E-8</v>
      </c>
      <c r="S63" s="71">
        <f t="shared" si="39"/>
        <v>2.8410079071641023</v>
      </c>
      <c r="T63" s="71">
        <v>4.9584942055206985E-2</v>
      </c>
      <c r="U63" s="72">
        <v>7.266951683248872E-2</v>
      </c>
      <c r="V63" s="72">
        <f t="shared" si="40"/>
        <v>4.1636566137564985</v>
      </c>
      <c r="W63" s="72">
        <f t="shared" si="44"/>
        <v>7.0974692789604887E-10</v>
      </c>
      <c r="X63" s="14">
        <f t="shared" si="41"/>
        <v>6</v>
      </c>
    </row>
    <row r="64" spans="1:24" ht="18.600000000000001" x14ac:dyDescent="0.3">
      <c r="F64" s="14" t="s">
        <v>75</v>
      </c>
      <c r="G64" s="14">
        <f>G63/G62/C$9^3/C$2^5</f>
        <v>5.0354808622540742E-2</v>
      </c>
      <c r="H64" s="14" t="s">
        <v>7</v>
      </c>
      <c r="J64" s="20">
        <f t="shared" si="45"/>
        <v>30.567273557316668</v>
      </c>
      <c r="K64" s="21">
        <f>'Nr(V)'!E63</f>
        <v>31734.8665556505</v>
      </c>
      <c r="L64" s="21">
        <f t="shared" si="35"/>
        <v>1038.1974858223609</v>
      </c>
      <c r="M64" s="18">
        <f t="shared" si="36"/>
        <v>3.3852277056873441</v>
      </c>
      <c r="N64" s="18">
        <f t="shared" si="37"/>
        <v>2.6757835681409285</v>
      </c>
      <c r="O64" s="18">
        <f t="shared" si="38"/>
        <v>1.4270105232299446</v>
      </c>
      <c r="P64" s="14">
        <f t="shared" si="42"/>
        <v>6.1774181524255328E-3</v>
      </c>
      <c r="Q64" s="14">
        <v>7</v>
      </c>
      <c r="R64" s="71">
        <f t="shared" si="43"/>
        <v>8.1365487858420238E-7</v>
      </c>
      <c r="S64" s="71">
        <f t="shared" si="39"/>
        <v>2.6757835681409285</v>
      </c>
      <c r="T64" s="71">
        <v>4.6701233334821249E-2</v>
      </c>
      <c r="U64" s="72">
        <v>5.9083369393977722E-2</v>
      </c>
      <c r="V64" s="72">
        <f t="shared" si="40"/>
        <v>3.3852277056873441</v>
      </c>
      <c r="W64" s="72">
        <f t="shared" si="44"/>
        <v>8.2688416114251595E-9</v>
      </c>
      <c r="X64" s="14">
        <f t="shared" si="41"/>
        <v>7</v>
      </c>
    </row>
    <row r="65" spans="6:24" x14ac:dyDescent="0.3">
      <c r="F65" s="14" t="s">
        <v>141</v>
      </c>
      <c r="G65" s="14">
        <f>G47-G48</f>
        <v>87.764420527014991</v>
      </c>
      <c r="H65" s="14" t="s">
        <v>0</v>
      </c>
      <c r="J65" s="20">
        <f t="shared" si="45"/>
        <v>31.996364362652088</v>
      </c>
      <c r="K65" s="21">
        <f>'Nr(V)'!E66</f>
        <v>32615.734281470799</v>
      </c>
      <c r="L65" s="21">
        <f t="shared" si="35"/>
        <v>1019.3575092406959</v>
      </c>
      <c r="M65" s="18">
        <f t="shared" si="36"/>
        <v>2.7082700848107106</v>
      </c>
      <c r="N65" s="18">
        <f t="shared" si="37"/>
        <v>2.4972969293812088</v>
      </c>
      <c r="O65" s="18">
        <f t="shared" si="38"/>
        <v>1.3941537386708296</v>
      </c>
      <c r="P65" s="14">
        <f t="shared" si="42"/>
        <v>6.4985129960882758E-3</v>
      </c>
      <c r="Q65" s="14">
        <v>8</v>
      </c>
      <c r="R65" s="71">
        <f t="shared" si="43"/>
        <v>6.5386575442971662E-7</v>
      </c>
      <c r="S65" s="71">
        <f t="shared" si="39"/>
        <v>2.4972969293812088</v>
      </c>
      <c r="T65" s="71">
        <v>4.3586053817646409E-2</v>
      </c>
      <c r="U65" s="72">
        <v>4.7268230013212967E-2</v>
      </c>
      <c r="V65" s="72">
        <f t="shared" si="40"/>
        <v>2.7082700848107106</v>
      </c>
      <c r="W65" s="72">
        <f t="shared" si="44"/>
        <v>7.8973130257509183E-9</v>
      </c>
      <c r="X65" s="14">
        <f t="shared" si="41"/>
        <v>8</v>
      </c>
    </row>
    <row r="66" spans="6:24" x14ac:dyDescent="0.3">
      <c r="F66" s="14" t="s">
        <v>142</v>
      </c>
      <c r="G66" s="14" cm="1">
        <f t="array" ref="G66">C$16*(G79-G61)*MIN(IF(P58:P72&gt;0,P58:P72))</f>
        <v>0.93202644978076887</v>
      </c>
      <c r="H66" s="14" t="s">
        <v>0</v>
      </c>
      <c r="J66" s="20">
        <f t="shared" si="45"/>
        <v>33.425455167987501</v>
      </c>
      <c r="K66" s="21">
        <f>'Nr(V)'!E69</f>
        <v>33614.204059588599</v>
      </c>
      <c r="L66" s="21">
        <f t="shared" si="35"/>
        <v>1005.6468607728001</v>
      </c>
      <c r="M66" s="18">
        <f t="shared" si="36"/>
        <v>2.116391215122043</v>
      </c>
      <c r="N66" s="18">
        <f t="shared" si="37"/>
        <v>2.3062707751010842</v>
      </c>
      <c r="O66" s="18">
        <f t="shared" si="38"/>
        <v>1.3450787483537261</v>
      </c>
      <c r="P66" s="14">
        <f t="shared" si="42"/>
        <v>6.9418083639113297E-3</v>
      </c>
      <c r="Q66" s="56">
        <v>9</v>
      </c>
      <c r="R66" s="71">
        <f t="shared" si="43"/>
        <v>1.5659134078305215E-7</v>
      </c>
      <c r="S66" s="71">
        <f t="shared" si="39"/>
        <v>2.3062707751010842</v>
      </c>
      <c r="T66" s="71">
        <v>4.0252018468035576E-2</v>
      </c>
      <c r="U66" s="72">
        <v>3.6937994964163251E-2</v>
      </c>
      <c r="V66" s="72">
        <f t="shared" si="40"/>
        <v>2.116391215122043</v>
      </c>
      <c r="W66" s="72">
        <f>-0.5*G$62*C$5*J66^2*(C$8+(C$3^2)*(U66-C$6)^2/(PI()*C$7))+K66/J66*COS(U66-C$1)-C$12*(C$14+G$65*(J$72-J66)/(J$72-J$58))*SIN(T66)</f>
        <v>1.6643753042444587E-9</v>
      </c>
      <c r="X66" s="14">
        <f t="shared" si="41"/>
        <v>9</v>
      </c>
    </row>
    <row r="67" spans="6:24" x14ac:dyDescent="0.3">
      <c r="F67" s="14" t="s">
        <v>144</v>
      </c>
      <c r="G67" s="14">
        <f>(J72-J58)/Q71</f>
        <v>1.4290908053354163</v>
      </c>
      <c r="H67" s="14" t="s">
        <v>145</v>
      </c>
      <c r="J67" s="20">
        <f t="shared" si="45"/>
        <v>34.854545973322921</v>
      </c>
      <c r="K67" s="21">
        <f>'Nr(V)'!E72</f>
        <v>34789.324452045497</v>
      </c>
      <c r="L67" s="21">
        <f t="shared" si="35"/>
        <v>998.12875137356991</v>
      </c>
      <c r="M67" s="18">
        <f t="shared" si="36"/>
        <v>1.5962250929581034</v>
      </c>
      <c r="N67" s="18">
        <f t="shared" si="37"/>
        <v>2.1182657211681781</v>
      </c>
      <c r="O67" s="18">
        <f t="shared" si="38"/>
        <v>1.2883038258958441</v>
      </c>
      <c r="P67" s="14">
        <f t="shared" si="42"/>
        <v>7.5011041979631517E-3</v>
      </c>
      <c r="Q67" s="56">
        <v>10</v>
      </c>
      <c r="R67" s="71">
        <f t="shared" si="43"/>
        <v>1.179666469397489E-6</v>
      </c>
      <c r="S67" s="71">
        <f t="shared" si="39"/>
        <v>2.1182657211681781</v>
      </c>
      <c r="T67" s="71">
        <v>3.6970711266516854E-2</v>
      </c>
      <c r="U67" s="72">
        <v>2.7859383475071459E-2</v>
      </c>
      <c r="V67" s="72">
        <f t="shared" si="40"/>
        <v>1.5962250929581034</v>
      </c>
      <c r="W67" s="72">
        <f t="shared" si="44"/>
        <v>1.1889525808328472E-7</v>
      </c>
      <c r="X67" s="14">
        <f t="shared" si="41"/>
        <v>10</v>
      </c>
    </row>
    <row r="68" spans="6:24" x14ac:dyDescent="0.3">
      <c r="J68" s="20">
        <f t="shared" si="45"/>
        <v>36.283636778658334</v>
      </c>
      <c r="K68" s="21">
        <f>'Nr(V)'!E75</f>
        <v>35787.749223637402</v>
      </c>
      <c r="L68" s="21">
        <f t="shared" si="35"/>
        <v>986.33302504801259</v>
      </c>
      <c r="M68" s="18">
        <f t="shared" si="36"/>
        <v>1.1372443731031054</v>
      </c>
      <c r="N68" s="18">
        <f t="shared" si="37"/>
        <v>1.8434408400955482</v>
      </c>
      <c r="O68" s="18">
        <f t="shared" si="38"/>
        <v>1.167192402899097</v>
      </c>
      <c r="P68" s="14">
        <f t="shared" si="42"/>
        <v>8.5170546229727181E-3</v>
      </c>
      <c r="Q68" s="56">
        <v>11</v>
      </c>
      <c r="R68" s="71">
        <f t="shared" si="43"/>
        <v>3.4021222745650448E-6</v>
      </c>
      <c r="S68" s="71">
        <f t="shared" si="39"/>
        <v>1.8434408400955482</v>
      </c>
      <c r="T68" s="71">
        <v>3.2174112225397615E-2</v>
      </c>
      <c r="U68" s="72">
        <v>1.9848658710428031E-2</v>
      </c>
      <c r="V68" s="72">
        <f t="shared" si="40"/>
        <v>1.1372443731031054</v>
      </c>
      <c r="W68" s="72">
        <f t="shared" si="44"/>
        <v>2.9199890150266583E-7</v>
      </c>
      <c r="X68" s="14">
        <f t="shared" si="41"/>
        <v>11</v>
      </c>
    </row>
    <row r="69" spans="6:24" x14ac:dyDescent="0.3">
      <c r="J69" s="20">
        <f t="shared" si="45"/>
        <v>37.712727583993754</v>
      </c>
      <c r="K69" s="21">
        <f>'Nr(V)'!E77</f>
        <v>36492.641433007702</v>
      </c>
      <c r="L69" s="21">
        <f t="shared" si="35"/>
        <v>967.64789424820367</v>
      </c>
      <c r="M69" s="18">
        <f t="shared" si="36"/>
        <v>0.73027923383008908</v>
      </c>
      <c r="N69" s="18">
        <f t="shared" si="37"/>
        <v>1.4598832450098393</v>
      </c>
      <c r="O69" s="18">
        <f t="shared" si="38"/>
        <v>0.96080762902673378</v>
      </c>
      <c r="P69" s="14">
        <f t="shared" si="42"/>
        <v>1.0550337587109323E-2</v>
      </c>
      <c r="Q69" s="56">
        <v>12</v>
      </c>
      <c r="R69" s="71">
        <f t="shared" si="43"/>
        <v>8.9942659542430192E-8</v>
      </c>
      <c r="S69" s="71">
        <f t="shared" si="39"/>
        <v>1.4598832450098393</v>
      </c>
      <c r="T69" s="71">
        <v>2.5479769320120773E-2</v>
      </c>
      <c r="U69" s="72">
        <v>1.2745777089276614E-2</v>
      </c>
      <c r="V69" s="72">
        <f t="shared" si="40"/>
        <v>0.73027923383008908</v>
      </c>
      <c r="W69" s="72">
        <f t="shared" si="44"/>
        <v>3.7806557884323411E-10</v>
      </c>
      <c r="X69" s="14">
        <f t="shared" si="41"/>
        <v>12</v>
      </c>
    </row>
    <row r="70" spans="6:24" x14ac:dyDescent="0.3">
      <c r="J70" s="20">
        <f t="shared" si="45"/>
        <v>39.141818389329167</v>
      </c>
      <c r="K70" s="21">
        <f>'Nr(V)'!E80</f>
        <v>37138.4400738107</v>
      </c>
      <c r="L70" s="21">
        <f t="shared" si="35"/>
        <v>948.81744390126164</v>
      </c>
      <c r="M70" s="18">
        <f t="shared" si="36"/>
        <v>0.36764182748846352</v>
      </c>
      <c r="N70" s="18">
        <f t="shared" si="37"/>
        <v>1.0305215348879364</v>
      </c>
      <c r="O70" s="18">
        <f t="shared" si="38"/>
        <v>0.70396654624456834</v>
      </c>
      <c r="P70" s="14">
        <f t="shared" si="42"/>
        <v>1.4654436931513352E-2</v>
      </c>
      <c r="Q70" s="14">
        <v>13</v>
      </c>
      <c r="R70" s="71">
        <f t="shared" si="43"/>
        <v>1.1459633242338896E-10</v>
      </c>
      <c r="S70" s="71">
        <f t="shared" si="39"/>
        <v>1.0305215348879364</v>
      </c>
      <c r="T70" s="71">
        <v>1.7985993796500104E-2</v>
      </c>
      <c r="U70" s="72">
        <v>6.4165603577226839E-3</v>
      </c>
      <c r="V70" s="72">
        <f t="shared" si="40"/>
        <v>0.36764182748846352</v>
      </c>
      <c r="W70" s="72">
        <f t="shared" si="44"/>
        <v>-1.1795009413617663E-11</v>
      </c>
      <c r="X70" s="14">
        <f t="shared" si="41"/>
        <v>13</v>
      </c>
    </row>
    <row r="71" spans="6:24" x14ac:dyDescent="0.3">
      <c r="J71" s="20">
        <f t="shared" si="45"/>
        <v>40.57090919466458</v>
      </c>
      <c r="K71" s="21">
        <f>'Nr(V)'!E83</f>
        <v>37489.716008821197</v>
      </c>
      <c r="L71" s="21">
        <f t="shared" si="35"/>
        <v>924.05412530787976</v>
      </c>
      <c r="M71" s="18">
        <f t="shared" si="36"/>
        <v>4.3152895021755538E-2</v>
      </c>
      <c r="N71" s="18">
        <f t="shared" si="37"/>
        <v>0.50304143454183181</v>
      </c>
      <c r="O71" s="18">
        <f t="shared" si="38"/>
        <v>0.35619702425420402</v>
      </c>
      <c r="P71" s="14">
        <f t="shared" si="42"/>
        <v>2.9236094895106143E-2</v>
      </c>
      <c r="Q71" s="14">
        <v>14</v>
      </c>
      <c r="R71" s="71">
        <f t="shared" si="43"/>
        <v>8.0446625361219049E-8</v>
      </c>
      <c r="S71" s="71">
        <f t="shared" si="39"/>
        <v>0.50304143454183181</v>
      </c>
      <c r="T71" s="71">
        <v>8.7797293067104973E-3</v>
      </c>
      <c r="U71" s="72">
        <v>7.5316009989710416E-4</v>
      </c>
      <c r="V71" s="72">
        <f t="shared" si="40"/>
        <v>4.3152895021755538E-2</v>
      </c>
      <c r="W71" s="72">
        <f t="shared" si="44"/>
        <v>1.1306177327696787E-8</v>
      </c>
      <c r="X71" s="14">
        <f t="shared" si="41"/>
        <v>14</v>
      </c>
    </row>
    <row r="72" spans="6:24" x14ac:dyDescent="0.3">
      <c r="J72" s="20">
        <v>42</v>
      </c>
      <c r="K72" s="21">
        <f>'Nr(V)'!E86</f>
        <v>36723.434898060201</v>
      </c>
      <c r="L72" s="21">
        <f t="shared" si="35"/>
        <v>874.36749757286191</v>
      </c>
      <c r="M72" s="18">
        <f t="shared" si="36"/>
        <v>-0.2487513456449196</v>
      </c>
      <c r="N72" s="18">
        <f t="shared" si="37"/>
        <v>-0.30151035201973492</v>
      </c>
      <c r="O72" s="18">
        <f t="shared" si="38"/>
        <v>-0.22101761152216465</v>
      </c>
      <c r="P72" s="14">
        <f t="shared" si="42"/>
        <v>-4.6154485464281914E-2</v>
      </c>
      <c r="Q72" s="56">
        <v>15</v>
      </c>
      <c r="R72" s="71">
        <f t="shared" si="43"/>
        <v>-1.4172588471410563E-3</v>
      </c>
      <c r="S72" s="71">
        <f t="shared" si="39"/>
        <v>-0.30151035201973492</v>
      </c>
      <c r="T72" s="71">
        <v>-5.2623483715915093E-3</v>
      </c>
      <c r="U72" s="72">
        <v>-4.3415300002703043E-3</v>
      </c>
      <c r="V72" s="72">
        <f t="shared" si="40"/>
        <v>-0.2487513456449196</v>
      </c>
      <c r="W72" s="72">
        <f t="shared" si="44"/>
        <v>1.0799517944803938E-5</v>
      </c>
      <c r="X72" s="14">
        <f t="shared" si="41"/>
        <v>15</v>
      </c>
    </row>
    <row r="73" spans="6:24" ht="15.6" thickBot="1" x14ac:dyDescent="0.35"/>
    <row r="74" spans="6:24" ht="16.2" thickBot="1" x14ac:dyDescent="0.35">
      <c r="J74" s="134" t="s">
        <v>103</v>
      </c>
      <c r="K74" s="135"/>
      <c r="L74" s="135"/>
      <c r="M74" s="135"/>
      <c r="N74" s="135"/>
      <c r="O74" s="136"/>
    </row>
    <row r="75" spans="6:24" ht="18.600000000000001" thickBot="1" x14ac:dyDescent="0.35">
      <c r="F75" s="66"/>
      <c r="J75" s="100" t="s">
        <v>76</v>
      </c>
      <c r="K75" s="100" t="s">
        <v>77</v>
      </c>
      <c r="L75" s="100" t="s">
        <v>78</v>
      </c>
      <c r="M75" s="100" t="s">
        <v>79</v>
      </c>
      <c r="N75" s="100" t="s">
        <v>85</v>
      </c>
      <c r="O75" s="100" t="s">
        <v>80</v>
      </c>
      <c r="P75" s="14" t="s">
        <v>143</v>
      </c>
      <c r="R75" s="67" t="s">
        <v>88</v>
      </c>
      <c r="S75" s="68" t="s">
        <v>90</v>
      </c>
      <c r="T75" s="68" t="s">
        <v>89</v>
      </c>
      <c r="U75" s="70" t="s">
        <v>89</v>
      </c>
      <c r="V75" s="70" t="s">
        <v>90</v>
      </c>
      <c r="W75" s="69" t="s">
        <v>91</v>
      </c>
    </row>
    <row r="76" spans="6:24" x14ac:dyDescent="0.3">
      <c r="F76" s="66"/>
      <c r="J76" s="103">
        <f>SQRT(2*(C$14+G83)*C$12/C$5/C$15/G80)</f>
        <v>22.534764048964448</v>
      </c>
      <c r="K76" s="102">
        <f>'Nr(V)'!F47</f>
        <v>24566.227102929901</v>
      </c>
      <c r="L76" s="102">
        <f t="shared" ref="L76:L90" si="46">K76/J76</f>
        <v>1090.1479620355203</v>
      </c>
      <c r="M76" s="104">
        <f t="shared" ref="M76:M90" si="47">V76</f>
        <v>10.596226995320524</v>
      </c>
      <c r="N76" s="104">
        <f t="shared" ref="N76:N90" si="48">S76</f>
        <v>1.5016455322859916</v>
      </c>
      <c r="O76" s="104">
        <f t="shared" ref="O76:O90" si="49">J76*SIN(RADIANS(N76))</f>
        <v>0.59053832905767445</v>
      </c>
      <c r="P76" s="14">
        <f>(K76/1000)/(O76*3600)</f>
        <v>1.1555476820488696E-2</v>
      </c>
      <c r="Q76" s="14">
        <v>1</v>
      </c>
      <c r="R76" s="71">
        <f>0.5*G$80*C$5*C$3*(U76-C$6)*J76^2+K76/J76*SIN(U76-C$1)-C$12*(C$14+G$83*(J$90-J76)/(J$90-J$76))*COS(T76)</f>
        <v>3.9644421212869929E-4</v>
      </c>
      <c r="S76" s="71">
        <f t="shared" ref="S76:S90" si="50">DEGREES(T76)</f>
        <v>1.5016455322859916</v>
      </c>
      <c r="T76" s="71">
        <v>2.6208658736253367E-2</v>
      </c>
      <c r="U76" s="72">
        <v>0.18493904935704891</v>
      </c>
      <c r="V76" s="72">
        <f t="shared" ref="V76:V90" si="51">DEGREES(U76)</f>
        <v>10.596226995320524</v>
      </c>
      <c r="W76" s="72">
        <f>-0.5*G$80*C$5*J76^2*(C$8+(C$3^2)*(U76-C$6)^2/(PI()*C$7))+K76/J76*COS(U76-C$1)-C$12*(C$14+G$83*(J$90-J76)/(J$90-J$76))*SIN(T76)</f>
        <v>8.5887457714761695E-5</v>
      </c>
      <c r="X76" s="14">
        <f t="shared" ref="X76:X90" si="52">Q76</f>
        <v>1</v>
      </c>
    </row>
    <row r="77" spans="6:24" x14ac:dyDescent="0.3">
      <c r="F77" s="66"/>
      <c r="J77" s="20">
        <f>J$76+Q76*G$85</f>
        <v>23.925138045466987</v>
      </c>
      <c r="K77" s="21">
        <f>'Nr(V)'!F50</f>
        <v>25564.606867995801</v>
      </c>
      <c r="L77" s="21">
        <f t="shared" si="46"/>
        <v>1068.5249472505943</v>
      </c>
      <c r="M77" s="18">
        <f t="shared" si="47"/>
        <v>8.9177360235626733</v>
      </c>
      <c r="N77" s="18">
        <f t="shared" si="48"/>
        <v>1.846317412220523</v>
      </c>
      <c r="O77" s="18">
        <f t="shared" si="49"/>
        <v>0.77083783035004327</v>
      </c>
      <c r="P77" s="14">
        <f t="shared" ref="P77:P90" si="53">(K77/1000)/(O77*3600)</f>
        <v>9.2124171984782378E-3</v>
      </c>
      <c r="Q77" s="14">
        <v>2</v>
      </c>
      <c r="R77" s="71">
        <f t="shared" ref="R77:R90" si="54">0.5*G$80*C$5*C$3*(U77-C$6)*J77^2+K77/J77*SIN(U77-C$1)-C$12*(C$14+G$83*(J$90-J77)/(J$90-J$76))*COS(T77)</f>
        <v>1.5907723445707234E-4</v>
      </c>
      <c r="S77" s="71">
        <f t="shared" si="50"/>
        <v>1.846317412220523</v>
      </c>
      <c r="T77" s="71">
        <v>3.2224317880149518E-2</v>
      </c>
      <c r="U77" s="72">
        <v>0.15564385543487527</v>
      </c>
      <c r="V77" s="72">
        <f t="shared" si="51"/>
        <v>8.9177360235626733</v>
      </c>
      <c r="W77" s="72">
        <f t="shared" ref="W77:W90" si="55">-0.5*G$80*C$5*J77^2*(C$8+(C$3^2)*(U77-C$6)^2/(PI()*C$7))+K77/J77*COS(U77-C$1)-C$12*(C$14+G$83*(J$90-J77)/(J$90-J$76))*SIN(T77)</f>
        <v>3.2132699345766014E-5</v>
      </c>
      <c r="X77" s="14">
        <f t="shared" si="52"/>
        <v>2</v>
      </c>
    </row>
    <row r="78" spans="6:24" x14ac:dyDescent="0.3">
      <c r="F78" s="66"/>
      <c r="J78" s="20">
        <f t="shared" ref="J78:J89" si="56">J$76+Q77*G$85</f>
        <v>25.315512041969527</v>
      </c>
      <c r="K78" s="21">
        <f>'Nr(V)'!F53</f>
        <v>26680.813717989098</v>
      </c>
      <c r="L78" s="21">
        <f t="shared" si="46"/>
        <v>1053.9314264612185</v>
      </c>
      <c r="M78" s="18">
        <f t="shared" si="47"/>
        <v>7.4997796348893937</v>
      </c>
      <c r="N78" s="18">
        <f t="shared" si="48"/>
        <v>2.124483050598565</v>
      </c>
      <c r="O78" s="18">
        <f t="shared" si="49"/>
        <v>0.93846446635505276</v>
      </c>
      <c r="P78" s="14">
        <f t="shared" si="53"/>
        <v>7.8973018261108054E-3</v>
      </c>
      <c r="Q78" s="56">
        <v>3</v>
      </c>
      <c r="R78" s="71">
        <f t="shared" si="54"/>
        <v>1.1483578327897703E-4</v>
      </c>
      <c r="S78" s="71">
        <f t="shared" si="50"/>
        <v>2.124483050598565</v>
      </c>
      <c r="T78" s="71">
        <v>3.7079224135758246E-2</v>
      </c>
      <c r="U78" s="72">
        <v>0.13089584780283811</v>
      </c>
      <c r="V78" s="72">
        <f t="shared" si="51"/>
        <v>7.4997796348893937</v>
      </c>
      <c r="W78" s="72">
        <f t="shared" si="55"/>
        <v>2.0708702464844464E-5</v>
      </c>
      <c r="X78" s="14">
        <f t="shared" si="52"/>
        <v>3</v>
      </c>
    </row>
    <row r="79" spans="6:24" x14ac:dyDescent="0.3">
      <c r="F79" s="12" t="s">
        <v>6</v>
      </c>
      <c r="G79" s="12">
        <v>2000</v>
      </c>
      <c r="H79" s="12" t="s">
        <v>3</v>
      </c>
      <c r="J79" s="20">
        <f t="shared" si="56"/>
        <v>26.705886038472066</v>
      </c>
      <c r="K79" s="21">
        <f>'Nr(V)'!F55</f>
        <v>27268.1488815878</v>
      </c>
      <c r="L79" s="21">
        <f t="shared" si="46"/>
        <v>1021.0538921010053</v>
      </c>
      <c r="M79" s="18">
        <f t="shared" si="47"/>
        <v>6.2977094079441489</v>
      </c>
      <c r="N79" s="18">
        <f t="shared" si="48"/>
        <v>2.139712142087197</v>
      </c>
      <c r="O79" s="18">
        <f t="shared" si="49"/>
        <v>0.99710009418107015</v>
      </c>
      <c r="P79" s="14">
        <f t="shared" si="53"/>
        <v>7.5965149784305939E-3</v>
      </c>
      <c r="Q79" s="56">
        <v>4</v>
      </c>
      <c r="R79" s="71">
        <f t="shared" si="54"/>
        <v>1.349828380625695E-6</v>
      </c>
      <c r="S79" s="71">
        <f t="shared" si="50"/>
        <v>2.139712142087197</v>
      </c>
      <c r="T79" s="71">
        <v>3.7345021924322319E-2</v>
      </c>
      <c r="U79" s="72">
        <v>0.10991576450244814</v>
      </c>
      <c r="V79" s="72">
        <f t="shared" si="51"/>
        <v>6.2977094079441489</v>
      </c>
      <c r="W79" s="72">
        <f t="shared" si="55"/>
        <v>3.003245865329518E-7</v>
      </c>
      <c r="X79" s="14">
        <f t="shared" si="52"/>
        <v>4</v>
      </c>
    </row>
    <row r="80" spans="6:24" ht="18.600000000000001" x14ac:dyDescent="0.3">
      <c r="F80" s="14" t="s">
        <v>72</v>
      </c>
      <c r="G80" s="14">
        <f>C$11*(1-G79/44300)^4.256</f>
        <v>1.0067546873840096</v>
      </c>
      <c r="H80" s="14" t="s">
        <v>73</v>
      </c>
      <c r="J80" s="20">
        <f t="shared" si="56"/>
        <v>28.096260034974605</v>
      </c>
      <c r="K80" s="21">
        <f>'Nr(V)'!F58</f>
        <v>28207.795130293802</v>
      </c>
      <c r="L80" s="21">
        <f t="shared" si="46"/>
        <v>1003.9697488270807</v>
      </c>
      <c r="M80" s="18">
        <f t="shared" si="47"/>
        <v>5.264564364117545</v>
      </c>
      <c r="N80" s="18">
        <f t="shared" si="48"/>
        <v>2.2002103474345089</v>
      </c>
      <c r="O80" s="18">
        <f t="shared" si="49"/>
        <v>1.0786569388032665</v>
      </c>
      <c r="P80" s="14">
        <f t="shared" si="53"/>
        <v>7.2641248254491884E-3</v>
      </c>
      <c r="Q80" s="56">
        <v>5</v>
      </c>
      <c r="R80" s="71">
        <f t="shared" si="54"/>
        <v>1.1238626029808074E-8</v>
      </c>
      <c r="S80" s="71">
        <f t="shared" si="50"/>
        <v>2.2002103474345089</v>
      </c>
      <c r="T80" s="71">
        <v>3.8400914799180556E-2</v>
      </c>
      <c r="U80" s="72">
        <v>9.1883981837012782E-2</v>
      </c>
      <c r="V80" s="72">
        <f t="shared" si="51"/>
        <v>5.264564364117545</v>
      </c>
      <c r="W80" s="72">
        <f t="shared" si="55"/>
        <v>-1.2784084901795723E-10</v>
      </c>
      <c r="X80" s="14">
        <f t="shared" si="52"/>
        <v>5</v>
      </c>
    </row>
    <row r="81" spans="6:24" ht="18.600000000000001" x14ac:dyDescent="0.3">
      <c r="F81" s="14" t="s">
        <v>74</v>
      </c>
      <c r="G81" s="14">
        <f>C$4*((G80/C$11)-C$10)/(1-C$10)</f>
        <v>46754.43013829815</v>
      </c>
      <c r="H81" s="14" t="s">
        <v>32</v>
      </c>
      <c r="J81" s="20">
        <f t="shared" si="56"/>
        <v>29.486634031477145</v>
      </c>
      <c r="K81" s="21">
        <f>'Nr(V)'!F61</f>
        <v>28971.285836446201</v>
      </c>
      <c r="L81" s="21">
        <f t="shared" si="46"/>
        <v>982.52265095836958</v>
      </c>
      <c r="M81" s="18">
        <f t="shared" si="47"/>
        <v>4.3738828498138513</v>
      </c>
      <c r="N81" s="18">
        <f t="shared" si="48"/>
        <v>2.1448814814083121</v>
      </c>
      <c r="O81" s="18">
        <f t="shared" si="49"/>
        <v>1.1035815356717973</v>
      </c>
      <c r="P81" s="14">
        <f t="shared" si="53"/>
        <v>7.2922381707971641E-3</v>
      </c>
      <c r="Q81" s="56">
        <v>6</v>
      </c>
      <c r="R81" s="71">
        <f t="shared" si="54"/>
        <v>4.9056689022108912E-7</v>
      </c>
      <c r="S81" s="71">
        <f t="shared" si="50"/>
        <v>2.1448814814083121</v>
      </c>
      <c r="T81" s="71">
        <v>3.7435243915628587E-2</v>
      </c>
      <c r="U81" s="72">
        <v>7.6338656825764351E-2</v>
      </c>
      <c r="V81" s="72">
        <f t="shared" si="51"/>
        <v>4.3738828498138513</v>
      </c>
      <c r="W81" s="72">
        <f t="shared" si="55"/>
        <v>2.574438440205995E-9</v>
      </c>
      <c r="X81" s="14">
        <f t="shared" si="52"/>
        <v>6</v>
      </c>
    </row>
    <row r="82" spans="6:24" ht="18.600000000000001" x14ac:dyDescent="0.3">
      <c r="F82" s="14" t="s">
        <v>75</v>
      </c>
      <c r="G82" s="14">
        <f>G81/G80/C$9^3/C$2^5</f>
        <v>4.9855198127323162E-2</v>
      </c>
      <c r="H82" s="14" t="s">
        <v>7</v>
      </c>
      <c r="J82" s="20">
        <f t="shared" si="56"/>
        <v>30.877008027979684</v>
      </c>
      <c r="K82" s="21">
        <f>'Nr(V)'!F64</f>
        <v>29793.150006750901</v>
      </c>
      <c r="L82" s="21">
        <f t="shared" si="46"/>
        <v>964.89756973063493</v>
      </c>
      <c r="M82" s="18">
        <f t="shared" si="47"/>
        <v>3.6001787140023089</v>
      </c>
      <c r="N82" s="18">
        <f t="shared" si="48"/>
        <v>2.0543560253907485</v>
      </c>
      <c r="O82" s="18">
        <f t="shared" si="49"/>
        <v>1.1068664646825954</v>
      </c>
      <c r="P82" s="14">
        <f t="shared" si="53"/>
        <v>7.4768504295126843E-3</v>
      </c>
      <c r="Q82" s="14">
        <v>7</v>
      </c>
      <c r="R82" s="71">
        <f t="shared" si="54"/>
        <v>2.9926195566076785E-7</v>
      </c>
      <c r="S82" s="71">
        <f t="shared" si="50"/>
        <v>2.0543560253907485</v>
      </c>
      <c r="T82" s="71">
        <v>3.5855276651252786E-2</v>
      </c>
      <c r="U82" s="72">
        <v>6.2834972219555571E-2</v>
      </c>
      <c r="V82" s="72">
        <f t="shared" si="51"/>
        <v>3.6001787140023089</v>
      </c>
      <c r="W82" s="72">
        <f t="shared" si="55"/>
        <v>1.81572090696136E-9</v>
      </c>
      <c r="X82" s="14">
        <f t="shared" si="52"/>
        <v>7</v>
      </c>
    </row>
    <row r="83" spans="6:24" x14ac:dyDescent="0.3">
      <c r="F83" s="14" t="s">
        <v>141</v>
      </c>
      <c r="G83" s="14">
        <f>G65-G66</f>
        <v>86.832394077234227</v>
      </c>
      <c r="H83" s="14" t="s">
        <v>0</v>
      </c>
      <c r="J83" s="20">
        <f t="shared" si="56"/>
        <v>32.267382024482224</v>
      </c>
      <c r="K83" s="21">
        <f>'Nr(V)'!F67</f>
        <v>30850.3082947027</v>
      </c>
      <c r="L83" s="21">
        <f t="shared" si="46"/>
        <v>956.08339936892469</v>
      </c>
      <c r="M83" s="18">
        <f t="shared" si="47"/>
        <v>2.9239758581381441</v>
      </c>
      <c r="N83" s="18">
        <f t="shared" si="48"/>
        <v>1.9809820026223246</v>
      </c>
      <c r="O83" s="18">
        <f t="shared" si="49"/>
        <v>1.1154114505030053</v>
      </c>
      <c r="P83" s="14">
        <f t="shared" si="53"/>
        <v>7.6828421278958099E-3</v>
      </c>
      <c r="Q83" s="14">
        <v>8</v>
      </c>
      <c r="R83" s="71">
        <f>0.5*G$80*C$5*C$3*(U83-C$6)*J83^2+K83/J83*SIN(U83-C$1)-C$12*(C$14+G$83*(J$90-J83)/(J$90-J$76))*COS(T83)</f>
        <v>1.9450699255685322E-6</v>
      </c>
      <c r="S83" s="71">
        <f t="shared" si="50"/>
        <v>1.9809820026223246</v>
      </c>
      <c r="T83" s="71">
        <v>3.4574658368510508E-2</v>
      </c>
      <c r="U83" s="72">
        <v>5.103300597333725E-2</v>
      </c>
      <c r="V83" s="72">
        <f t="shared" si="51"/>
        <v>2.9239758581381441</v>
      </c>
      <c r="W83" s="72">
        <f t="shared" si="55"/>
        <v>2.3695517370470043E-7</v>
      </c>
      <c r="X83" s="14">
        <f t="shared" si="52"/>
        <v>8</v>
      </c>
    </row>
    <row r="84" spans="6:24" x14ac:dyDescent="0.3">
      <c r="F84" s="14" t="s">
        <v>142</v>
      </c>
      <c r="G84" s="14" cm="1">
        <f t="array" ref="G84">C$16*(G97-G79)*MIN(IF(P76:P90&gt;0,P76:P90))</f>
        <v>1.1376345889135973</v>
      </c>
      <c r="H84" s="14" t="s">
        <v>0</v>
      </c>
      <c r="J84" s="20">
        <f t="shared" si="56"/>
        <v>33.657756020984763</v>
      </c>
      <c r="K84" s="21">
        <f>'Nr(V)'!F70</f>
        <v>31672.532517214899</v>
      </c>
      <c r="L84" s="21">
        <f t="shared" si="46"/>
        <v>941.01735414172811</v>
      </c>
      <c r="M84" s="18">
        <f t="shared" si="47"/>
        <v>2.3308840918214973</v>
      </c>
      <c r="N84" s="18">
        <f t="shared" si="48"/>
        <v>1.7979133672246383</v>
      </c>
      <c r="O84" s="18">
        <f t="shared" si="49"/>
        <v>1.0559905008632453</v>
      </c>
      <c r="P84" s="14">
        <f t="shared" si="53"/>
        <v>8.3314439779849161E-3</v>
      </c>
      <c r="Q84" s="56">
        <v>9</v>
      </c>
      <c r="R84" s="71">
        <f t="shared" si="54"/>
        <v>-6.4574123825877905E-11</v>
      </c>
      <c r="S84" s="71">
        <f t="shared" si="50"/>
        <v>1.7979133672246383</v>
      </c>
      <c r="T84" s="71">
        <v>3.1379507923687842E-2</v>
      </c>
      <c r="U84" s="72">
        <v>4.0681601884642961E-2</v>
      </c>
      <c r="V84" s="72">
        <f t="shared" si="51"/>
        <v>2.3308840918214973</v>
      </c>
      <c r="W84" s="72">
        <f>-0.5*G$80*C$5*J84^2*(C$8+(C$3^2)*(U84-C$6)^2/(PI()*C$7))+K84/J84*COS(U84-C$1)-C$12*(C$14+G$83*(J$90-J84)/(J$90-J$76))*SIN(T84)</f>
        <v>-2.5579538487363607E-13</v>
      </c>
      <c r="X84" s="14">
        <f t="shared" si="52"/>
        <v>9</v>
      </c>
    </row>
    <row r="85" spans="6:24" x14ac:dyDescent="0.3">
      <c r="F85" s="14" t="s">
        <v>144</v>
      </c>
      <c r="G85" s="14">
        <f>(J90-J76)/Q89</f>
        <v>1.3903739965025395</v>
      </c>
      <c r="H85" s="14" t="s">
        <v>145</v>
      </c>
      <c r="J85" s="20">
        <f t="shared" si="56"/>
        <v>35.048130017487303</v>
      </c>
      <c r="K85" s="21">
        <f>'Nr(V)'!F72</f>
        <v>32553.850308294601</v>
      </c>
      <c r="L85" s="21">
        <f t="shared" si="46"/>
        <v>928.83273064930484</v>
      </c>
      <c r="M85" s="18">
        <f t="shared" si="47"/>
        <v>1.8075185523551549</v>
      </c>
      <c r="N85" s="18">
        <f t="shared" si="48"/>
        <v>1.5906569112430813</v>
      </c>
      <c r="O85" s="18">
        <f t="shared" si="49"/>
        <v>0.97288822298785393</v>
      </c>
      <c r="P85" s="14">
        <f t="shared" si="53"/>
        <v>9.2947329231483512E-3</v>
      </c>
      <c r="Q85" s="56">
        <v>10</v>
      </c>
      <c r="R85" s="71">
        <f t="shared" si="54"/>
        <v>7.024791557341814E-7</v>
      </c>
      <c r="S85" s="71">
        <f t="shared" si="50"/>
        <v>1.5906569112430813</v>
      </c>
      <c r="T85" s="71">
        <v>2.7762200370794975E-2</v>
      </c>
      <c r="U85" s="72">
        <v>3.1547150029478957E-2</v>
      </c>
      <c r="V85" s="72">
        <f t="shared" si="51"/>
        <v>1.8075185523551549</v>
      </c>
      <c r="W85" s="72">
        <f t="shared" si="55"/>
        <v>7.6908548862775206E-8</v>
      </c>
      <c r="X85" s="14">
        <f t="shared" si="52"/>
        <v>10</v>
      </c>
    </row>
    <row r="86" spans="6:24" x14ac:dyDescent="0.3">
      <c r="J86" s="20">
        <f t="shared" si="56"/>
        <v>36.438504013989842</v>
      </c>
      <c r="K86" s="21">
        <f>'Nr(V)'!F75</f>
        <v>33434.673027589</v>
      </c>
      <c r="L86" s="21">
        <f t="shared" si="46"/>
        <v>917.56437132414715</v>
      </c>
      <c r="M86" s="18">
        <f t="shared" si="47"/>
        <v>1.3436500126082098</v>
      </c>
      <c r="N86" s="18">
        <f t="shared" si="48"/>
        <v>1.3456301319993598</v>
      </c>
      <c r="O86" s="18">
        <f t="shared" si="49"/>
        <v>0.8557042412397915</v>
      </c>
      <c r="P86" s="14">
        <f t="shared" si="53"/>
        <v>1.0853527102862278E-2</v>
      </c>
      <c r="Q86" s="56">
        <v>11</v>
      </c>
      <c r="R86" s="71">
        <f t="shared" si="54"/>
        <v>3.6413939596968703E-6</v>
      </c>
      <c r="S86" s="71">
        <f t="shared" si="50"/>
        <v>1.3456301319993598</v>
      </c>
      <c r="T86" s="71">
        <v>2.3485676317434735E-2</v>
      </c>
      <c r="U86" s="72">
        <v>2.3451116714476583E-2</v>
      </c>
      <c r="V86" s="72">
        <f t="shared" si="51"/>
        <v>1.3436500126082098</v>
      </c>
      <c r="W86" s="72">
        <f t="shared" si="55"/>
        <v>3.1328553973253292E-7</v>
      </c>
      <c r="X86" s="14">
        <f t="shared" si="52"/>
        <v>11</v>
      </c>
    </row>
    <row r="87" spans="6:24" x14ac:dyDescent="0.3">
      <c r="J87" s="20">
        <f t="shared" si="56"/>
        <v>37.828878010492382</v>
      </c>
      <c r="K87" s="21">
        <f>'Nr(V)'!F78</f>
        <v>34315.630766461101</v>
      </c>
      <c r="L87" s="21">
        <f t="shared" si="46"/>
        <v>907.1279025759942</v>
      </c>
      <c r="M87" s="18">
        <f t="shared" si="47"/>
        <v>0.93074217503736278</v>
      </c>
      <c r="N87" s="18">
        <f t="shared" si="48"/>
        <v>1.0651199878602198</v>
      </c>
      <c r="O87" s="18">
        <f t="shared" si="49"/>
        <v>0.70319269151836583</v>
      </c>
      <c r="P87" s="14">
        <f t="shared" si="53"/>
        <v>1.3555487382509787E-2</v>
      </c>
      <c r="Q87" s="56">
        <v>12</v>
      </c>
      <c r="R87" s="71">
        <f t="shared" si="54"/>
        <v>1.2890704965684563E-6</v>
      </c>
      <c r="S87" s="71">
        <f t="shared" si="50"/>
        <v>1.0651199878602198</v>
      </c>
      <c r="T87" s="71">
        <v>1.8589850716962866E-2</v>
      </c>
      <c r="U87" s="72">
        <v>1.6244515441575357E-2</v>
      </c>
      <c r="V87" s="72">
        <f t="shared" si="51"/>
        <v>0.93074217503736278</v>
      </c>
      <c r="W87" s="72">
        <f t="shared" si="55"/>
        <v>1.1047985992718168E-7</v>
      </c>
      <c r="X87" s="14">
        <f t="shared" si="52"/>
        <v>12</v>
      </c>
    </row>
    <row r="88" spans="6:24" x14ac:dyDescent="0.3">
      <c r="J88" s="20">
        <f t="shared" si="56"/>
        <v>39.219252006994921</v>
      </c>
      <c r="K88" s="21">
        <f>'Nr(V)'!F80</f>
        <v>34785.408884288197</v>
      </c>
      <c r="L88" s="21">
        <f t="shared" si="46"/>
        <v>886.94727982277868</v>
      </c>
      <c r="M88" s="18">
        <f t="shared" si="47"/>
        <v>0.56174829268537507</v>
      </c>
      <c r="N88" s="18">
        <f t="shared" si="48"/>
        <v>0.65384086684786313</v>
      </c>
      <c r="O88" s="18">
        <f t="shared" si="49"/>
        <v>0.44754767946205409</v>
      </c>
      <c r="P88" s="14">
        <f t="shared" si="53"/>
        <v>2.1590132230343069E-2</v>
      </c>
      <c r="Q88" s="14">
        <v>13</v>
      </c>
      <c r="R88" s="71">
        <f t="shared" si="54"/>
        <v>4.0927261579781771E-9</v>
      </c>
      <c r="S88" s="71">
        <f t="shared" si="50"/>
        <v>0.65384086684786313</v>
      </c>
      <c r="T88" s="71">
        <v>1.141167591058905E-2</v>
      </c>
      <c r="U88" s="72">
        <v>9.8043572748165737E-3</v>
      </c>
      <c r="V88" s="72">
        <f t="shared" si="51"/>
        <v>0.56174829268537507</v>
      </c>
      <c r="W88" s="72">
        <f t="shared" si="55"/>
        <v>-1.4145484783512075E-10</v>
      </c>
      <c r="X88" s="14">
        <f t="shared" si="52"/>
        <v>13</v>
      </c>
    </row>
    <row r="89" spans="6:24" x14ac:dyDescent="0.3">
      <c r="J89" s="20">
        <f t="shared" si="56"/>
        <v>40.609626003497461</v>
      </c>
      <c r="K89" s="21">
        <f>'Nr(V)'!F83</f>
        <v>35136.684819298702</v>
      </c>
      <c r="L89" s="21">
        <f t="shared" si="46"/>
        <v>865.23044600983496</v>
      </c>
      <c r="M89" s="18">
        <f t="shared" si="47"/>
        <v>0.23053224542587225</v>
      </c>
      <c r="N89" s="18">
        <f t="shared" si="48"/>
        <v>0.18757936096197511</v>
      </c>
      <c r="O89" s="18">
        <f t="shared" si="49"/>
        <v>0.13295070163270653</v>
      </c>
      <c r="P89" s="14">
        <f t="shared" si="53"/>
        <v>7.3412100182417672E-2</v>
      </c>
      <c r="Q89" s="14">
        <v>14</v>
      </c>
      <c r="R89" s="71">
        <f t="shared" si="54"/>
        <v>-8.1854523159563541E-12</v>
      </c>
      <c r="S89" s="71">
        <f t="shared" si="50"/>
        <v>0.18757936096197511</v>
      </c>
      <c r="T89" s="71">
        <v>3.2738774575733834E-3</v>
      </c>
      <c r="U89" s="72">
        <v>4.0235467146971082E-3</v>
      </c>
      <c r="V89" s="72">
        <f t="shared" si="51"/>
        <v>0.23053224542587225</v>
      </c>
      <c r="W89" s="72">
        <f t="shared" si="55"/>
        <v>-1.4900081168889301E-11</v>
      </c>
      <c r="X89" s="14">
        <f t="shared" si="52"/>
        <v>14</v>
      </c>
    </row>
    <row r="90" spans="6:24" x14ac:dyDescent="0.3">
      <c r="J90" s="20">
        <f t="shared" ref="J90" si="57">J72</f>
        <v>42</v>
      </c>
      <c r="K90" s="21">
        <f>'Nr(V)'!F86</f>
        <v>34605.967865340397</v>
      </c>
      <c r="L90" s="21">
        <f t="shared" si="46"/>
        <v>823.95161584143807</v>
      </c>
      <c r="M90" s="18">
        <f t="shared" si="47"/>
        <v>-6.8170766467888305E-2</v>
      </c>
      <c r="N90" s="18">
        <f t="shared" si="48"/>
        <v>-0.50241435780380272</v>
      </c>
      <c r="O90" s="18">
        <f t="shared" si="49"/>
        <v>-0.36828423992248144</v>
      </c>
      <c r="P90" s="14">
        <f t="shared" si="53"/>
        <v>-2.6101493926285829E-2</v>
      </c>
      <c r="Q90" s="56">
        <v>15</v>
      </c>
      <c r="R90" s="71">
        <f t="shared" si="54"/>
        <v>-1.146391887232312E-4</v>
      </c>
      <c r="S90" s="71">
        <f t="shared" si="50"/>
        <v>-0.50241435780380272</v>
      </c>
      <c r="T90" s="71">
        <v>-8.7687847529692251E-3</v>
      </c>
      <c r="U90" s="72">
        <v>-1.1898043284727961E-3</v>
      </c>
      <c r="V90" s="72">
        <f t="shared" si="51"/>
        <v>-6.8170766467888305E-2</v>
      </c>
      <c r="W90" s="72">
        <f t="shared" si="55"/>
        <v>4.9583858441337725E-7</v>
      </c>
      <c r="X90" s="14">
        <f t="shared" si="52"/>
        <v>15</v>
      </c>
    </row>
    <row r="91" spans="6:24" ht="15.6" thickBot="1" x14ac:dyDescent="0.35"/>
    <row r="92" spans="6:24" ht="16.2" thickBot="1" x14ac:dyDescent="0.35">
      <c r="J92" s="134" t="s">
        <v>104</v>
      </c>
      <c r="K92" s="135"/>
      <c r="L92" s="135"/>
      <c r="M92" s="135"/>
      <c r="N92" s="135"/>
      <c r="O92" s="136"/>
    </row>
    <row r="93" spans="6:24" ht="18.600000000000001" thickBot="1" x14ac:dyDescent="0.35">
      <c r="F93" s="66"/>
      <c r="J93" s="100" t="s">
        <v>76</v>
      </c>
      <c r="K93" s="100" t="s">
        <v>77</v>
      </c>
      <c r="L93" s="100" t="s">
        <v>78</v>
      </c>
      <c r="M93" s="100" t="s">
        <v>79</v>
      </c>
      <c r="N93" s="100" t="s">
        <v>85</v>
      </c>
      <c r="O93" s="100" t="s">
        <v>80</v>
      </c>
      <c r="P93" s="14" t="s">
        <v>143</v>
      </c>
      <c r="R93" s="67" t="s">
        <v>88</v>
      </c>
      <c r="S93" s="68" t="s">
        <v>90</v>
      </c>
      <c r="T93" s="68" t="s">
        <v>89</v>
      </c>
      <c r="U93" s="70" t="s">
        <v>89</v>
      </c>
      <c r="V93" s="70" t="s">
        <v>90</v>
      </c>
      <c r="W93" s="69" t="s">
        <v>91</v>
      </c>
    </row>
    <row r="94" spans="6:24" x14ac:dyDescent="0.3">
      <c r="F94" s="66"/>
      <c r="J94" s="103">
        <f>SQRT(2*(C$14+G101)*C$12/C$5/C$15/G98)</f>
        <v>23.093641145592002</v>
      </c>
      <c r="K94" s="102">
        <f>'Nr(V)'!G48</f>
        <v>23212.835861199801</v>
      </c>
      <c r="L94" s="102">
        <f t="shared" ref="L94:L108" si="58">K94/J94</f>
        <v>1005.1613651938361</v>
      </c>
      <c r="M94" s="104">
        <f t="shared" ref="M94:M108" si="59">V94</f>
        <v>10.62836606610756</v>
      </c>
      <c r="N94" s="104">
        <f t="shared" ref="N94:N108" si="60">S94</f>
        <v>0.79615456565744336</v>
      </c>
      <c r="O94" s="104">
        <f t="shared" ref="O94:O108" si="61">J94*SIN(RADIANS(N94))</f>
        <v>0.32088779166756509</v>
      </c>
      <c r="P94" s="14">
        <f>(K94/1000)/(O94*3600)</f>
        <v>2.0094282577519898E-2</v>
      </c>
      <c r="Q94" s="14">
        <v>1</v>
      </c>
      <c r="R94" s="71">
        <f>0.5*G$98*C$5*C$3*(U94-C$6)*J94^2+K94/J94*SIN(U94-C$1)-C$12*(C$14+G$101*(J$108-J94)/(J$108-J$94))*COS(T94)</f>
        <v>4.0849520701158326E-5</v>
      </c>
      <c r="S94" s="71">
        <f t="shared" ref="S94:S108" si="62">DEGREES(T94)</f>
        <v>0.79615456565744336</v>
      </c>
      <c r="T94" s="71">
        <v>1.389551852550776E-2</v>
      </c>
      <c r="U94" s="72">
        <v>0.18549998196081421</v>
      </c>
      <c r="V94" s="72">
        <f t="shared" ref="V94:V108" si="63">DEGREES(U94)</f>
        <v>10.62836606610756</v>
      </c>
      <c r="W94" s="72">
        <f>-0.5*G$98*C$5*J94^2*(C$8+(C$3^2)*(U94-C$6)^2/(PI()*C$7))+K94/J94*COS(U94-C$1)-C$12*(C$14+G$101*(J$108-J94)/(J$108-J$94))*SIN(T94)</f>
        <v>1.1916508952936056E-5</v>
      </c>
      <c r="X94" s="14">
        <f t="shared" ref="X94:X108" si="64">Q94</f>
        <v>1</v>
      </c>
    </row>
    <row r="95" spans="6:24" x14ac:dyDescent="0.3">
      <c r="F95" s="66"/>
      <c r="J95" s="20">
        <f>J$94+Q94*G$103</f>
        <v>24.444095349478289</v>
      </c>
      <c r="K95" s="21">
        <f>'Nr(V)'!G51</f>
        <v>24211.260632791698</v>
      </c>
      <c r="L95" s="21">
        <f t="shared" si="58"/>
        <v>990.47480737749777</v>
      </c>
      <c r="M95" s="18">
        <f t="shared" si="59"/>
        <v>9.0175547274467203</v>
      </c>
      <c r="N95" s="18">
        <f t="shared" si="60"/>
        <v>1.1761380690516532</v>
      </c>
      <c r="O95" s="18">
        <f t="shared" si="61"/>
        <v>0.50174048274141492</v>
      </c>
      <c r="P95" s="14">
        <f t="shared" ref="P95:P108" si="65">(K95/1000)/(O95*3600)</f>
        <v>1.340404134629407E-2</v>
      </c>
      <c r="Q95" s="14">
        <v>2</v>
      </c>
      <c r="R95" s="71">
        <f t="shared" ref="R95:R108" si="66">0.5*G$98*C$5*C$3*(U95-C$6)*J95^2+K95/J95*SIN(U95-C$1)-C$12*(C$14+G$101*(J$108-J95)/(J$108-J$94))*COS(T95)</f>
        <v>2.2044295292289462E-4</v>
      </c>
      <c r="S95" s="71">
        <f t="shared" si="62"/>
        <v>1.1761380690516532</v>
      </c>
      <c r="T95" s="71">
        <v>2.0527481762999768E-2</v>
      </c>
      <c r="U95" s="72">
        <v>0.15738602047272515</v>
      </c>
      <c r="V95" s="72">
        <f t="shared" si="63"/>
        <v>9.0175547274467203</v>
      </c>
      <c r="W95" s="72">
        <f t="shared" ref="W95:W108" si="67">-0.5*G$98*C$5*J95^2*(C$8+(C$3^2)*(U95-C$6)^2/(PI()*C$7))+K95/J95*COS(U95-C$1)-C$12*(C$14+G$101*(J$108-J95)/(J$108-J$94))*SIN(T95)</f>
        <v>4.389893791767463E-5</v>
      </c>
      <c r="X95" s="14">
        <f t="shared" si="64"/>
        <v>2</v>
      </c>
    </row>
    <row r="96" spans="6:24" x14ac:dyDescent="0.3">
      <c r="F96" s="66"/>
      <c r="J96" s="20">
        <f t="shared" ref="J96:J107" si="68">J$94+Q95*G$103</f>
        <v>25.794549553364572</v>
      </c>
      <c r="K96" s="21">
        <f>'Nr(V)'!G53</f>
        <v>24798.5957963904</v>
      </c>
      <c r="L96" s="21">
        <f t="shared" si="58"/>
        <v>961.38898433121653</v>
      </c>
      <c r="M96" s="18">
        <f t="shared" si="59"/>
        <v>7.6513387656185232</v>
      </c>
      <c r="N96" s="18">
        <f t="shared" si="60"/>
        <v>1.317591660638509</v>
      </c>
      <c r="O96" s="18">
        <f t="shared" si="61"/>
        <v>0.59312724632728553</v>
      </c>
      <c r="P96" s="14">
        <f t="shared" si="65"/>
        <v>1.1613863424728961E-2</v>
      </c>
      <c r="Q96" s="56">
        <v>3</v>
      </c>
      <c r="R96" s="71">
        <f t="shared" si="66"/>
        <v>-2.4174369173124433E-9</v>
      </c>
      <c r="S96" s="71">
        <f t="shared" si="62"/>
        <v>1.317591660638509</v>
      </c>
      <c r="T96" s="71">
        <v>2.2996312674961755E-2</v>
      </c>
      <c r="U96" s="72">
        <v>0.13354105364552193</v>
      </c>
      <c r="V96" s="72">
        <f t="shared" si="63"/>
        <v>7.6513387656185232</v>
      </c>
      <c r="W96" s="72">
        <f t="shared" si="67"/>
        <v>-1.1652900866465643E-12</v>
      </c>
      <c r="X96" s="14">
        <f t="shared" si="64"/>
        <v>3</v>
      </c>
    </row>
    <row r="97" spans="6:24" x14ac:dyDescent="0.3">
      <c r="F97" s="12" t="s">
        <v>6</v>
      </c>
      <c r="G97" s="12">
        <v>2500</v>
      </c>
      <c r="H97" s="12" t="s">
        <v>3</v>
      </c>
      <c r="J97" s="20">
        <f t="shared" si="68"/>
        <v>27.145003757250858</v>
      </c>
      <c r="K97" s="21">
        <f>'Nr(V)'!G56</f>
        <v>25914.712633331801</v>
      </c>
      <c r="L97" s="21">
        <f t="shared" si="58"/>
        <v>954.67706930818065</v>
      </c>
      <c r="M97" s="18">
        <f t="shared" si="59"/>
        <v>6.4760779415532044</v>
      </c>
      <c r="N97" s="18">
        <f t="shared" si="60"/>
        <v>1.5528916520446321</v>
      </c>
      <c r="O97" s="18">
        <f t="shared" si="61"/>
        <v>0.73562292858451994</v>
      </c>
      <c r="P97" s="14">
        <f t="shared" si="65"/>
        <v>9.7856265857400211E-3</v>
      </c>
      <c r="Q97" s="56">
        <v>4</v>
      </c>
      <c r="R97" s="71">
        <f t="shared" si="66"/>
        <v>8.0217432696372271E-9</v>
      </c>
      <c r="S97" s="71">
        <f t="shared" si="62"/>
        <v>1.5528916520446321</v>
      </c>
      <c r="T97" s="71">
        <v>2.7103072254912965E-2</v>
      </c>
      <c r="U97" s="72">
        <v>0.11302888269588031</v>
      </c>
      <c r="V97" s="72">
        <f t="shared" si="63"/>
        <v>6.4760779415532044</v>
      </c>
      <c r="W97" s="72">
        <f t="shared" si="67"/>
        <v>-4.446860657481011E-10</v>
      </c>
      <c r="X97" s="14">
        <f t="shared" si="64"/>
        <v>4</v>
      </c>
    </row>
    <row r="98" spans="6:24" ht="18.600000000000001" x14ac:dyDescent="0.3">
      <c r="F98" s="14" t="s">
        <v>72</v>
      </c>
      <c r="G98" s="14">
        <f>C$11*(1-G97/44300)^4.256</f>
        <v>0.95707354543209155</v>
      </c>
      <c r="H98" s="14" t="s">
        <v>73</v>
      </c>
      <c r="J98" s="20">
        <f t="shared" si="68"/>
        <v>28.495457961137145</v>
      </c>
      <c r="K98" s="21">
        <f>'Nr(V)'!G59</f>
        <v>26736.801836266201</v>
      </c>
      <c r="L98" s="21">
        <f t="shared" si="58"/>
        <v>938.28293171250505</v>
      </c>
      <c r="M98" s="18">
        <f t="shared" si="59"/>
        <v>5.464424545242073</v>
      </c>
      <c r="N98" s="18">
        <f t="shared" si="60"/>
        <v>1.6218374058966609</v>
      </c>
      <c r="O98" s="18">
        <f t="shared" si="61"/>
        <v>0.80649619592695254</v>
      </c>
      <c r="P98" s="14">
        <f t="shared" si="65"/>
        <v>9.2088337632227537E-3</v>
      </c>
      <c r="Q98" s="56">
        <v>5</v>
      </c>
      <c r="R98" s="71">
        <f t="shared" si="66"/>
        <v>6.7366363509790972E-6</v>
      </c>
      <c r="S98" s="71">
        <f t="shared" si="62"/>
        <v>1.6218374058966609</v>
      </c>
      <c r="T98" s="71">
        <v>2.8306402664900431E-2</v>
      </c>
      <c r="U98" s="72">
        <v>9.5372200041268021E-2</v>
      </c>
      <c r="V98" s="72">
        <f t="shared" si="63"/>
        <v>5.464424545242073</v>
      </c>
      <c r="W98" s="72">
        <f t="shared" si="67"/>
        <v>1.1610556214236567E-6</v>
      </c>
      <c r="X98" s="14">
        <f t="shared" si="64"/>
        <v>5</v>
      </c>
    </row>
    <row r="99" spans="6:24" ht="18.600000000000001" x14ac:dyDescent="0.3">
      <c r="F99" s="14" t="s">
        <v>74</v>
      </c>
      <c r="G99" s="14">
        <f>C$4*((G98/C$11)-C$10)/(1-C$10)</f>
        <v>43973.232738885315</v>
      </c>
      <c r="H99" s="14" t="s">
        <v>32</v>
      </c>
      <c r="J99" s="20">
        <f t="shared" si="68"/>
        <v>29.845912165023428</v>
      </c>
      <c r="K99" s="21">
        <f>'Nr(V)'!G62</f>
        <v>27676.4480849723</v>
      </c>
      <c r="L99" s="21">
        <f t="shared" si="58"/>
        <v>927.31118191141991</v>
      </c>
      <c r="M99" s="18">
        <f t="shared" si="59"/>
        <v>4.5858078352733678</v>
      </c>
      <c r="N99" s="18">
        <f t="shared" si="60"/>
        <v>1.6655522891535577</v>
      </c>
      <c r="O99" s="18">
        <f t="shared" si="61"/>
        <v>0.86747971660197609</v>
      </c>
      <c r="P99" s="14">
        <f t="shared" si="65"/>
        <v>8.8623423680038189E-3</v>
      </c>
      <c r="Q99" s="56">
        <v>6</v>
      </c>
      <c r="R99" s="71">
        <f t="shared" si="66"/>
        <v>8.7646412794128992E-6</v>
      </c>
      <c r="S99" s="71">
        <f t="shared" si="62"/>
        <v>1.6655522891535577</v>
      </c>
      <c r="T99" s="71">
        <v>2.9069371309858223E-2</v>
      </c>
      <c r="U99" s="72">
        <v>8.0037445589274017E-2</v>
      </c>
      <c r="V99" s="72">
        <f t="shared" si="63"/>
        <v>4.5858078352733678</v>
      </c>
      <c r="W99" s="72">
        <f t="shared" si="67"/>
        <v>1.2984083923583967E-6</v>
      </c>
      <c r="X99" s="14">
        <f t="shared" si="64"/>
        <v>6</v>
      </c>
    </row>
    <row r="100" spans="6:24" ht="18.600000000000001" x14ac:dyDescent="0.3">
      <c r="F100" s="14" t="s">
        <v>75</v>
      </c>
      <c r="G100" s="14">
        <f>G99/G98/C$9^3/C$2^5</f>
        <v>4.9323560718791577E-2</v>
      </c>
      <c r="H100" s="14" t="s">
        <v>7</v>
      </c>
      <c r="J100" s="20">
        <f t="shared" si="68"/>
        <v>31.196366368909715</v>
      </c>
      <c r="K100" s="21">
        <f>'Nr(V)'!G65</f>
        <v>28381.070255187002</v>
      </c>
      <c r="L100" s="21">
        <f t="shared" si="58"/>
        <v>909.75564011427832</v>
      </c>
      <c r="M100" s="18">
        <f t="shared" si="59"/>
        <v>3.819617619475689</v>
      </c>
      <c r="N100" s="18">
        <f t="shared" si="60"/>
        <v>1.588067796706891</v>
      </c>
      <c r="O100" s="18">
        <f t="shared" si="61"/>
        <v>0.86455934762847664</v>
      </c>
      <c r="P100" s="14">
        <f t="shared" si="65"/>
        <v>9.1186691209411714E-3</v>
      </c>
      <c r="Q100" s="14">
        <v>7</v>
      </c>
      <c r="R100" s="71">
        <f>0.5*G$98*C$5*C$3*(U100-C$6)*J100^2+K100/J100*SIN(U100-C$1)-C$12*(C$14+G$101*(J$108-J100)/(J$108-J$94))*COS(T100)</f>
        <v>-1.1007705325027928E-7</v>
      </c>
      <c r="S100" s="71">
        <f t="shared" si="62"/>
        <v>1.588067796706891</v>
      </c>
      <c r="T100" s="71">
        <v>2.7717011797427211E-2</v>
      </c>
      <c r="U100" s="72">
        <v>6.6664903627038655E-2</v>
      </c>
      <c r="V100" s="72">
        <f t="shared" si="63"/>
        <v>3.819617619475689</v>
      </c>
      <c r="W100" s="72">
        <f t="shared" si="67"/>
        <v>-7.5220896178507246E-10</v>
      </c>
      <c r="X100" s="14">
        <f t="shared" si="64"/>
        <v>7</v>
      </c>
    </row>
    <row r="101" spans="6:24" x14ac:dyDescent="0.3">
      <c r="F101" s="14" t="s">
        <v>141</v>
      </c>
      <c r="G101" s="14">
        <f>G83-G84</f>
        <v>85.694759488320628</v>
      </c>
      <c r="H101" s="14" t="s">
        <v>0</v>
      </c>
      <c r="J101" s="20">
        <f t="shared" si="68"/>
        <v>32.546820572796001</v>
      </c>
      <c r="K101" s="21">
        <f>'Nr(V)'!G67</f>
        <v>29203.294477699201</v>
      </c>
      <c r="L101" s="21">
        <f t="shared" si="58"/>
        <v>897.27026983731059</v>
      </c>
      <c r="M101" s="18">
        <f t="shared" si="59"/>
        <v>3.1467815829889094</v>
      </c>
      <c r="N101" s="18">
        <f t="shared" si="60"/>
        <v>1.4981743169689248</v>
      </c>
      <c r="O101" s="18">
        <f t="shared" si="61"/>
        <v>0.85093971691916936</v>
      </c>
      <c r="P101" s="14">
        <f t="shared" si="65"/>
        <v>9.5330210619090118E-3</v>
      </c>
      <c r="Q101" s="14">
        <v>8</v>
      </c>
      <c r="R101" s="71">
        <f t="shared" si="66"/>
        <v>1.1990323400823399E-7</v>
      </c>
      <c r="S101" s="71">
        <f t="shared" si="62"/>
        <v>1.4981743169689248</v>
      </c>
      <c r="T101" s="71">
        <v>2.6148074599924891E-2</v>
      </c>
      <c r="U101" s="72">
        <v>5.4921699464275657E-2</v>
      </c>
      <c r="V101" s="72">
        <f t="shared" si="63"/>
        <v>3.1467815829889094</v>
      </c>
      <c r="W101" s="72">
        <f>-0.5*G$98*C$5*J101^2*(C$8+(C$3^2)*(U101-C$6)^2/(PI()*C$7))+K101/J101*COS(U101-C$1)-C$12*(C$14+G$101*(J$108-J101)/(J$108-J$94))*SIN(T101)</f>
        <v>8.3502982306526974E-11</v>
      </c>
      <c r="X101" s="14">
        <f t="shared" si="64"/>
        <v>8</v>
      </c>
    </row>
    <row r="102" spans="6:24" x14ac:dyDescent="0.3">
      <c r="F102" s="14" t="s">
        <v>142</v>
      </c>
      <c r="G102" s="14" cm="1">
        <f t="array" ref="G102">C$16*(G115-G97)*MIN(IF(P94:P108&gt;0,P94:P108))</f>
        <v>1.3879314382530779</v>
      </c>
      <c r="H102" s="14" t="s">
        <v>0</v>
      </c>
      <c r="J102" s="20">
        <f t="shared" si="68"/>
        <v>33.897274776682288</v>
      </c>
      <c r="K102" s="21">
        <f>'Nr(V)'!G70</f>
        <v>30084.2522165714</v>
      </c>
      <c r="L102" s="21">
        <f t="shared" si="58"/>
        <v>887.51241551920157</v>
      </c>
      <c r="M102" s="18">
        <f t="shared" si="59"/>
        <v>2.5532705397734801</v>
      </c>
      <c r="N102" s="18">
        <f t="shared" si="60"/>
        <v>1.381375393951892</v>
      </c>
      <c r="O102" s="18">
        <f t="shared" si="61"/>
        <v>0.81716883007887098</v>
      </c>
      <c r="P102" s="14">
        <f t="shared" si="65"/>
        <v>1.0226450666282534E-2</v>
      </c>
      <c r="Q102" s="56">
        <v>9</v>
      </c>
      <c r="R102" s="71">
        <f t="shared" si="66"/>
        <v>6.4210325945168734E-10</v>
      </c>
      <c r="S102" s="71">
        <f t="shared" si="62"/>
        <v>1.381375393951892</v>
      </c>
      <c r="T102" s="71">
        <v>2.4109548830494279E-2</v>
      </c>
      <c r="U102" s="72">
        <v>4.4562977613220062E-2</v>
      </c>
      <c r="V102" s="72">
        <f t="shared" si="63"/>
        <v>2.5532705397734801</v>
      </c>
      <c r="W102" s="72">
        <f t="shared" si="67"/>
        <v>-2.6062707547680475E-11</v>
      </c>
      <c r="X102" s="14">
        <f t="shared" si="64"/>
        <v>9</v>
      </c>
    </row>
    <row r="103" spans="6:24" x14ac:dyDescent="0.3">
      <c r="F103" s="14" t="s">
        <v>144</v>
      </c>
      <c r="G103" s="14">
        <f>(J108-J94)/Q107</f>
        <v>1.3504542038862855</v>
      </c>
      <c r="H103" s="14" t="s">
        <v>145</v>
      </c>
      <c r="J103" s="20">
        <f t="shared" si="68"/>
        <v>35.247728980568567</v>
      </c>
      <c r="K103" s="21">
        <f>'Nr(V)'!G73</f>
        <v>30906.6114586615</v>
      </c>
      <c r="L103" s="21">
        <f t="shared" si="58"/>
        <v>876.83979514537668</v>
      </c>
      <c r="M103" s="18">
        <f t="shared" si="59"/>
        <v>2.02750333266644</v>
      </c>
      <c r="N103" s="18">
        <f t="shared" si="60"/>
        <v>1.2097605422004483</v>
      </c>
      <c r="O103" s="18">
        <f t="shared" si="61"/>
        <v>0.74417599006215318</v>
      </c>
      <c r="P103" s="14">
        <f t="shared" si="65"/>
        <v>1.1536477881947208E-2</v>
      </c>
      <c r="Q103" s="56">
        <v>10</v>
      </c>
      <c r="R103" s="71">
        <f t="shared" si="66"/>
        <v>4.9792106437962502E-8</v>
      </c>
      <c r="S103" s="71">
        <f t="shared" si="62"/>
        <v>1.2097605422004483</v>
      </c>
      <c r="T103" s="71">
        <v>2.1114304622109628E-2</v>
      </c>
      <c r="U103" s="72">
        <v>3.538660875018728E-2</v>
      </c>
      <c r="V103" s="72">
        <f t="shared" si="63"/>
        <v>2.02750333266644</v>
      </c>
      <c r="W103" s="72">
        <f t="shared" si="67"/>
        <v>-1.1795009413617663E-11</v>
      </c>
      <c r="X103" s="14">
        <f t="shared" si="64"/>
        <v>10</v>
      </c>
    </row>
    <row r="104" spans="6:24" x14ac:dyDescent="0.3">
      <c r="J104" s="20">
        <f t="shared" si="68"/>
        <v>36.598183184454854</v>
      </c>
      <c r="K104" s="21">
        <f>'Nr(V)'!G75</f>
        <v>31670.102164813801</v>
      </c>
      <c r="L104" s="21">
        <f t="shared" si="58"/>
        <v>865.34629342654739</v>
      </c>
      <c r="M104" s="18">
        <f t="shared" si="59"/>
        <v>1.5596863933428844</v>
      </c>
      <c r="N104" s="18">
        <f t="shared" si="60"/>
        <v>0.98740816117423658</v>
      </c>
      <c r="O104" s="18">
        <f t="shared" si="61"/>
        <v>0.63068442963357019</v>
      </c>
      <c r="P104" s="14">
        <f t="shared" si="65"/>
        <v>1.3948735989008639E-2</v>
      </c>
      <c r="Q104" s="56">
        <v>11</v>
      </c>
      <c r="R104" s="71">
        <f t="shared" si="66"/>
        <v>1.3901626516599208E-8</v>
      </c>
      <c r="S104" s="71">
        <f t="shared" si="62"/>
        <v>0.98740816117423658</v>
      </c>
      <c r="T104" s="71">
        <v>1.7233523473553267E-2</v>
      </c>
      <c r="U104" s="72">
        <v>2.7221662862388699E-2</v>
      </c>
      <c r="V104" s="72">
        <f t="shared" si="63"/>
        <v>1.5596863933428844</v>
      </c>
      <c r="W104" s="72">
        <f t="shared" si="67"/>
        <v>-1.6711965145077556E-11</v>
      </c>
      <c r="X104" s="14">
        <f t="shared" si="64"/>
        <v>11</v>
      </c>
    </row>
    <row r="105" spans="6:24" x14ac:dyDescent="0.3">
      <c r="J105" s="20">
        <f t="shared" si="68"/>
        <v>37.94863738834114</v>
      </c>
      <c r="K105" s="21">
        <f>'Nr(V)'!G78</f>
        <v>32550.789864530299</v>
      </c>
      <c r="L105" s="21">
        <f t="shared" si="58"/>
        <v>857.75912139946274</v>
      </c>
      <c r="M105" s="18">
        <f t="shared" si="59"/>
        <v>1.1416563298529856</v>
      </c>
      <c r="N105" s="18">
        <f t="shared" si="60"/>
        <v>0.76014222156656786</v>
      </c>
      <c r="O105" s="18">
        <f t="shared" si="61"/>
        <v>0.50344921668796916</v>
      </c>
      <c r="P105" s="14">
        <f t="shared" si="65"/>
        <v>1.7959877131132125E-2</v>
      </c>
      <c r="Q105" s="56">
        <v>12</v>
      </c>
      <c r="R105" s="71">
        <f t="shared" si="66"/>
        <v>4.9776645028032362E-8</v>
      </c>
      <c r="S105" s="71">
        <f t="shared" si="62"/>
        <v>0.76014222156656786</v>
      </c>
      <c r="T105" s="71">
        <v>1.3266984549760857E-2</v>
      </c>
      <c r="U105" s="72">
        <v>1.992566188216903E-2</v>
      </c>
      <c r="V105" s="72">
        <f t="shared" si="63"/>
        <v>1.1416563298529856</v>
      </c>
      <c r="W105" s="72">
        <f t="shared" si="67"/>
        <v>7.7885005111966166E-9</v>
      </c>
      <c r="X105" s="14">
        <f t="shared" si="64"/>
        <v>12</v>
      </c>
    </row>
    <row r="106" spans="6:24" x14ac:dyDescent="0.3">
      <c r="J106" s="20">
        <f t="shared" si="68"/>
        <v>39.299091592227427</v>
      </c>
      <c r="K106" s="21">
        <f>'Nr(V)'!G81</f>
        <v>33373.149106620403</v>
      </c>
      <c r="L106" s="21">
        <f t="shared" si="58"/>
        <v>849.20917391436456</v>
      </c>
      <c r="M106" s="18">
        <f t="shared" si="59"/>
        <v>0.76680131104547533</v>
      </c>
      <c r="N106" s="18">
        <f t="shared" si="60"/>
        <v>0.48604764695122737</v>
      </c>
      <c r="O106" s="18">
        <f t="shared" si="61"/>
        <v>0.3333753735479803</v>
      </c>
      <c r="P106" s="14">
        <f t="shared" si="65"/>
        <v>2.7807450495287517E-2</v>
      </c>
      <c r="Q106" s="14">
        <v>13</v>
      </c>
      <c r="R106" s="71">
        <f t="shared" si="66"/>
        <v>-1.9687317944772076E-5</v>
      </c>
      <c r="S106" s="71">
        <f t="shared" si="62"/>
        <v>0.48604764695122737</v>
      </c>
      <c r="T106" s="71">
        <v>8.4831317608698963E-3</v>
      </c>
      <c r="U106" s="72">
        <v>1.3383207586352707E-2</v>
      </c>
      <c r="V106" s="72">
        <f t="shared" si="63"/>
        <v>0.76680131104547533</v>
      </c>
      <c r="W106" s="72">
        <f t="shared" si="67"/>
        <v>5.2201624143322078E-6</v>
      </c>
      <c r="X106" s="14">
        <f t="shared" si="64"/>
        <v>13</v>
      </c>
    </row>
    <row r="107" spans="6:24" x14ac:dyDescent="0.3">
      <c r="J107" s="20">
        <f t="shared" si="68"/>
        <v>40.649545796113713</v>
      </c>
      <c r="K107" s="21">
        <f>'Nr(V)'!G83</f>
        <v>33666.186597056498</v>
      </c>
      <c r="L107" s="21">
        <f t="shared" si="58"/>
        <v>828.20572623163582</v>
      </c>
      <c r="M107" s="18">
        <f t="shared" si="59"/>
        <v>0.42937238614191875</v>
      </c>
      <c r="N107" s="18">
        <f t="shared" si="60"/>
        <v>5.9443021116943245E-2</v>
      </c>
      <c r="O107" s="18">
        <f t="shared" si="61"/>
        <v>4.2172938324856718E-2</v>
      </c>
      <c r="P107" s="14">
        <f t="shared" si="65"/>
        <v>0.22174690383549728</v>
      </c>
      <c r="Q107" s="14">
        <v>14</v>
      </c>
      <c r="R107" s="71">
        <f t="shared" si="66"/>
        <v>-2.5304688278993126E-5</v>
      </c>
      <c r="S107" s="71">
        <f t="shared" si="62"/>
        <v>5.9443021116943245E-2</v>
      </c>
      <c r="T107" s="71">
        <v>1.0374764358231769E-3</v>
      </c>
      <c r="U107" s="72">
        <v>7.4939618553209542E-3</v>
      </c>
      <c r="V107" s="72">
        <f t="shared" si="63"/>
        <v>0.42937238614191875</v>
      </c>
      <c r="W107" s="72">
        <f t="shared" si="67"/>
        <v>6.2760189543098477E-6</v>
      </c>
      <c r="X107" s="14">
        <f t="shared" si="64"/>
        <v>14</v>
      </c>
    </row>
    <row r="108" spans="6:24" x14ac:dyDescent="0.3">
      <c r="J108" s="20">
        <f t="shared" ref="J108" si="69">J90</f>
        <v>42</v>
      </c>
      <c r="K108" s="21">
        <f>'Nr(V)'!G86</f>
        <v>33076.421081056702</v>
      </c>
      <c r="L108" s="21">
        <f t="shared" si="58"/>
        <v>787.53383526325479</v>
      </c>
      <c r="M108" s="18">
        <f t="shared" si="59"/>
        <v>0.12417198309967513</v>
      </c>
      <c r="N108" s="18">
        <f t="shared" si="60"/>
        <v>-0.58942225025315886</v>
      </c>
      <c r="O108" s="18">
        <f t="shared" si="61"/>
        <v>-0.43206145503976945</v>
      </c>
      <c r="P108" s="14">
        <f t="shared" si="65"/>
        <v>-2.1265249740670029E-2</v>
      </c>
      <c r="Q108" s="56">
        <v>15</v>
      </c>
      <c r="R108" s="71">
        <f t="shared" si="66"/>
        <v>9.9991939350729808E-7</v>
      </c>
      <c r="S108" s="71">
        <f t="shared" si="62"/>
        <v>-0.58942225025315886</v>
      </c>
      <c r="T108" s="71">
        <v>-1.0287358951431604E-2</v>
      </c>
      <c r="U108" s="72">
        <v>2.1672099438200853E-3</v>
      </c>
      <c r="V108" s="72">
        <f t="shared" si="63"/>
        <v>0.12417198309967513</v>
      </c>
      <c r="W108" s="72">
        <f t="shared" si="67"/>
        <v>1.298992131637533E-7</v>
      </c>
      <c r="X108" s="14">
        <f t="shared" si="64"/>
        <v>15</v>
      </c>
    </row>
    <row r="109" spans="6:24" ht="15.6" thickBot="1" x14ac:dyDescent="0.35"/>
    <row r="110" spans="6:24" ht="16.2" thickBot="1" x14ac:dyDescent="0.35">
      <c r="J110" s="134" t="s">
        <v>105</v>
      </c>
      <c r="K110" s="135"/>
      <c r="L110" s="135"/>
      <c r="M110" s="135"/>
      <c r="N110" s="135"/>
      <c r="O110" s="136"/>
    </row>
    <row r="111" spans="6:24" ht="18.600000000000001" thickBot="1" x14ac:dyDescent="0.35">
      <c r="F111" s="66"/>
      <c r="J111" s="100" t="s">
        <v>76</v>
      </c>
      <c r="K111" s="100" t="s">
        <v>77</v>
      </c>
      <c r="L111" s="100" t="s">
        <v>78</v>
      </c>
      <c r="M111" s="100" t="s">
        <v>79</v>
      </c>
      <c r="N111" s="100" t="s">
        <v>85</v>
      </c>
      <c r="O111" s="100" t="s">
        <v>80</v>
      </c>
      <c r="P111" s="14" t="s">
        <v>143</v>
      </c>
      <c r="R111" s="67" t="s">
        <v>88</v>
      </c>
      <c r="S111" s="68" t="s">
        <v>90</v>
      </c>
      <c r="T111" s="68" t="s">
        <v>89</v>
      </c>
      <c r="U111" s="70" t="s">
        <v>89</v>
      </c>
      <c r="V111" s="70" t="s">
        <v>90</v>
      </c>
      <c r="W111" s="69" t="s">
        <v>91</v>
      </c>
    </row>
    <row r="112" spans="6:24" x14ac:dyDescent="0.3">
      <c r="F112" s="66"/>
      <c r="J112" s="103">
        <f>SQRT(2*(C$14+G119)*C$12/C$5/C$15/G116)</f>
        <v>23.669350122284712</v>
      </c>
      <c r="K112" s="102">
        <f>'Nr(V)'!H50</f>
        <v>22447.094828750101</v>
      </c>
      <c r="L112" s="102">
        <f t="shared" ref="L112:L126" si="70">K112/J112</f>
        <v>948.36126521345193</v>
      </c>
      <c r="M112" s="104">
        <f t="shared" ref="M112:M126" si="71">V112</f>
        <v>10.648493128997403</v>
      </c>
      <c r="N112" s="104">
        <f t="shared" ref="N112:N126" si="72">S112</f>
        <v>0.33153915236256326</v>
      </c>
      <c r="O112" s="104">
        <f t="shared" ref="O112:O126" si="73">J112*SIN(RADIANS(N112))</f>
        <v>0.13696074215808982</v>
      </c>
      <c r="P112" s="14">
        <f>(K112/1000)/(O112*3600)</f>
        <v>4.5526214452751866E-2</v>
      </c>
      <c r="Q112" s="14">
        <v>1</v>
      </c>
      <c r="R112" s="71">
        <f>0.5*G$116*C$5*C$3*(U112-C$6)*J112^2+K112/J112*SIN(U112-C$1)-C$12*(C$14+G$119*(J$126-J112)/(J$126-J$112))*COS(T112)</f>
        <v>3.2406961327069439E-4</v>
      </c>
      <c r="S112" s="71">
        <f t="shared" ref="S112:S126" si="74">DEGREES(T112)</f>
        <v>0.33153915236256326</v>
      </c>
      <c r="T112" s="71">
        <v>5.7864498079978656E-3</v>
      </c>
      <c r="U112" s="72">
        <v>0.18585126547699796</v>
      </c>
      <c r="V112" s="72">
        <f t="shared" ref="V112:V126" si="75">DEGREES(U112)</f>
        <v>10.648493128997403</v>
      </c>
      <c r="W112" s="72">
        <f>-0.5*G$116*C$5*J112^2*(C$8+(C$3^2)*(U112-C$6)^2/(PI()*C$7))+K112/J112*COS(U112-C$1)-C$12*(C$14+G$119*(J$126-J112)/(J$126-J$112))*SIN(T112)</f>
        <v>7.2363031364375274E-5</v>
      </c>
      <c r="X112" s="14">
        <f t="shared" ref="X112:X126" si="76">Q112</f>
        <v>1</v>
      </c>
    </row>
    <row r="113" spans="6:24" x14ac:dyDescent="0.3">
      <c r="F113" s="66"/>
      <c r="J113" s="20">
        <f>J$112+Q112*G$121</f>
        <v>24.907253684978659</v>
      </c>
      <c r="K113" s="21">
        <f>'Nr(V)'!H52</f>
        <v>23034.294972771</v>
      </c>
      <c r="L113" s="21">
        <f t="shared" si="70"/>
        <v>924.80268054051965</v>
      </c>
      <c r="M113" s="18">
        <f t="shared" si="71"/>
        <v>9.1844440375524101</v>
      </c>
      <c r="N113" s="18">
        <f t="shared" si="72"/>
        <v>0.59493062397220342</v>
      </c>
      <c r="O113" s="18">
        <f t="shared" si="73"/>
        <v>0.25861977670749603</v>
      </c>
      <c r="P113" s="14">
        <f t="shared" ref="P113:P126" si="77">(K113/1000)/(O113*3600)</f>
        <v>2.4740626380831261E-2</v>
      </c>
      <c r="Q113" s="14">
        <v>2</v>
      </c>
      <c r="R113" s="71">
        <f t="shared" ref="R113:R126" si="78">0.5*G$116*C$5*C$3*(U113-C$6)*J113^2+K113/J113*SIN(U113-C$1)-C$12*(C$14+G$119*(J$126-J113)/(J$126-J$112))*COS(T113)</f>
        <v>1.1877507222379791E-4</v>
      </c>
      <c r="S113" s="71">
        <f t="shared" si="74"/>
        <v>0.59493062397220342</v>
      </c>
      <c r="T113" s="71">
        <v>1.0383498209259255E-2</v>
      </c>
      <c r="U113" s="72">
        <v>0.16029878842045128</v>
      </c>
      <c r="V113" s="72">
        <f t="shared" si="75"/>
        <v>9.1844440375524101</v>
      </c>
      <c r="W113" s="72">
        <f t="shared" ref="W113:W126" si="79">-0.5*G$116*C$5*J113^2*(C$8+(C$3^2)*(U113-C$6)^2/(PI()*C$7))+K113/J113*COS(U113-C$1)-C$12*(C$14+G$119*(J$126-J113)/(J$126-J$112))*SIN(T113)</f>
        <v>2.4988047655938317E-5</v>
      </c>
      <c r="X113" s="14">
        <f t="shared" si="76"/>
        <v>2</v>
      </c>
    </row>
    <row r="114" spans="6:24" x14ac:dyDescent="0.3">
      <c r="F114" s="66"/>
      <c r="J114" s="20">
        <f t="shared" ref="J114:J125" si="80">J$112+Q113*G$121</f>
        <v>26.145157247672611</v>
      </c>
      <c r="K114" s="21">
        <f>'Nr(V)'!H54</f>
        <v>23680.3636527296</v>
      </c>
      <c r="L114" s="21">
        <f t="shared" si="70"/>
        <v>905.72657216806681</v>
      </c>
      <c r="M114" s="18">
        <f t="shared" si="71"/>
        <v>7.9178775819085114</v>
      </c>
      <c r="N114" s="18">
        <f t="shared" si="72"/>
        <v>0.80043611725568997</v>
      </c>
      <c r="O114" s="18">
        <f t="shared" si="73"/>
        <v>0.36524238970194139</v>
      </c>
      <c r="P114" s="14">
        <f t="shared" si="77"/>
        <v>1.8009625875552979E-2</v>
      </c>
      <c r="Q114" s="56">
        <v>3</v>
      </c>
      <c r="R114" s="71">
        <f t="shared" si="78"/>
        <v>1.3016185221204069E-5</v>
      </c>
      <c r="S114" s="71">
        <f t="shared" si="74"/>
        <v>0.80043611725568997</v>
      </c>
      <c r="T114" s="71">
        <v>1.3970245697991188E-2</v>
      </c>
      <c r="U114" s="72">
        <v>0.13819303357415053</v>
      </c>
      <c r="V114" s="72">
        <f t="shared" si="75"/>
        <v>7.9178775819085114</v>
      </c>
      <c r="W114" s="72">
        <f t="shared" si="79"/>
        <v>3.5468025600948749E-6</v>
      </c>
      <c r="X114" s="14">
        <f t="shared" si="76"/>
        <v>3</v>
      </c>
    </row>
    <row r="115" spans="6:24" x14ac:dyDescent="0.3">
      <c r="F115" s="12" t="s">
        <v>6</v>
      </c>
      <c r="G115" s="12">
        <v>3000</v>
      </c>
      <c r="H115" s="12" t="s">
        <v>3</v>
      </c>
      <c r="J115" s="20">
        <f t="shared" si="80"/>
        <v>27.383060810366558</v>
      </c>
      <c r="K115" s="21">
        <f>'Nr(V)'!H57</f>
        <v>24502.497862190001</v>
      </c>
      <c r="L115" s="21">
        <f t="shared" si="70"/>
        <v>894.80493184728107</v>
      </c>
      <c r="M115" s="18">
        <f t="shared" si="71"/>
        <v>6.8153160929476595</v>
      </c>
      <c r="N115" s="18">
        <f t="shared" si="72"/>
        <v>0.99384380370384728</v>
      </c>
      <c r="O115" s="18">
        <f t="shared" si="73"/>
        <v>0.47495855464713665</v>
      </c>
      <c r="P115" s="14">
        <f t="shared" si="77"/>
        <v>1.4330196476238838E-2</v>
      </c>
      <c r="Q115" s="56">
        <v>4</v>
      </c>
      <c r="R115" s="71">
        <f t="shared" si="78"/>
        <v>2.5792854103201535E-5</v>
      </c>
      <c r="S115" s="71">
        <f t="shared" si="74"/>
        <v>0.99384380370384728</v>
      </c>
      <c r="T115" s="71">
        <v>1.734584662517635E-2</v>
      </c>
      <c r="U115" s="72">
        <v>0.11894970538609255</v>
      </c>
      <c r="V115" s="72">
        <f t="shared" si="75"/>
        <v>6.8153160929476595</v>
      </c>
      <c r="W115" s="72">
        <f t="shared" si="79"/>
        <v>5.1286671691741503E-6</v>
      </c>
      <c r="X115" s="14">
        <f t="shared" si="76"/>
        <v>4</v>
      </c>
    </row>
    <row r="116" spans="6:24" ht="18.600000000000001" x14ac:dyDescent="0.3">
      <c r="F116" s="14" t="s">
        <v>72</v>
      </c>
      <c r="G116" s="14">
        <f>C$11*(1-G115/44300)^4.256</f>
        <v>0.90929012920776553</v>
      </c>
      <c r="H116" s="14" t="s">
        <v>73</v>
      </c>
      <c r="J116" s="20">
        <f t="shared" si="80"/>
        <v>28.620964373060509</v>
      </c>
      <c r="K116" s="21">
        <f>'Nr(V)'!H59</f>
        <v>25148.4315225707</v>
      </c>
      <c r="L116" s="21">
        <f t="shared" si="70"/>
        <v>878.67170353776294</v>
      </c>
      <c r="M116" s="18">
        <f t="shared" si="71"/>
        <v>5.8526960014469065</v>
      </c>
      <c r="N116" s="18">
        <f t="shared" si="72"/>
        <v>1.0713117152326124</v>
      </c>
      <c r="O116" s="18">
        <f t="shared" si="73"/>
        <v>0.53512122695729503</v>
      </c>
      <c r="P116" s="14">
        <f t="shared" si="77"/>
        <v>1.3054379215447928E-2</v>
      </c>
      <c r="Q116" s="56">
        <v>5</v>
      </c>
      <c r="R116" s="71">
        <f t="shared" si="78"/>
        <v>2.698675416468177E-6</v>
      </c>
      <c r="S116" s="71">
        <f t="shared" si="74"/>
        <v>1.0713117152326124</v>
      </c>
      <c r="T116" s="71">
        <v>1.8697916745996974E-2</v>
      </c>
      <c r="U116" s="72">
        <v>0.10214881534355533</v>
      </c>
      <c r="V116" s="72">
        <f t="shared" si="75"/>
        <v>5.8526960014469065</v>
      </c>
      <c r="W116" s="72">
        <f t="shared" si="79"/>
        <v>6.7867743780425371E-7</v>
      </c>
      <c r="X116" s="14">
        <f t="shared" si="76"/>
        <v>5</v>
      </c>
    </row>
    <row r="117" spans="6:24" ht="18.600000000000001" x14ac:dyDescent="0.3">
      <c r="F117" s="14" t="s">
        <v>74</v>
      </c>
      <c r="G117" s="14">
        <f>C$4*((G116/C$11)-C$10)/(1-C$10)</f>
        <v>41298.271823800591</v>
      </c>
      <c r="H117" s="14" t="s">
        <v>32</v>
      </c>
      <c r="J117" s="20">
        <f t="shared" si="80"/>
        <v>29.858867935754457</v>
      </c>
      <c r="K117" s="21">
        <f>'Nr(V)'!H62</f>
        <v>25735.271614384001</v>
      </c>
      <c r="L117" s="21">
        <f t="shared" si="70"/>
        <v>861.89709769831359</v>
      </c>
      <c r="M117" s="18">
        <f t="shared" si="71"/>
        <v>5.0070452583189926</v>
      </c>
      <c r="N117" s="18">
        <f t="shared" si="72"/>
        <v>1.0804507324956345</v>
      </c>
      <c r="O117" s="18">
        <f t="shared" si="73"/>
        <v>0.56302792324174966</v>
      </c>
      <c r="P117" s="14">
        <f t="shared" si="77"/>
        <v>1.2696859719480822E-2</v>
      </c>
      <c r="Q117" s="56">
        <v>6</v>
      </c>
      <c r="R117" s="71">
        <f t="shared" si="78"/>
        <v>-2.8465280684031313E-4</v>
      </c>
      <c r="S117" s="71">
        <f t="shared" si="74"/>
        <v>1.0804507324956345</v>
      </c>
      <c r="T117" s="71">
        <v>1.8857422687633314E-2</v>
      </c>
      <c r="U117" s="72">
        <v>8.7389425554036421E-2</v>
      </c>
      <c r="V117" s="72">
        <f t="shared" si="75"/>
        <v>5.0070452583189926</v>
      </c>
      <c r="W117" s="72">
        <f t="shared" si="79"/>
        <v>5.7826982157394013E-5</v>
      </c>
      <c r="X117" s="14">
        <f t="shared" si="76"/>
        <v>6</v>
      </c>
    </row>
    <row r="118" spans="6:24" ht="18.600000000000001" x14ac:dyDescent="0.3">
      <c r="F118" s="14" t="s">
        <v>75</v>
      </c>
      <c r="G118" s="14">
        <f>G117/G116/C$9^3/C$2^5</f>
        <v>4.875742267204209E-2</v>
      </c>
      <c r="H118" s="14" t="s">
        <v>7</v>
      </c>
      <c r="J118" s="20">
        <f t="shared" si="80"/>
        <v>31.096771498448405</v>
      </c>
      <c r="K118" s="21">
        <f>'Nr(V)'!H65</f>
        <v>26498.4022683289</v>
      </c>
      <c r="L118" s="21">
        <f t="shared" si="70"/>
        <v>852.12711775082687</v>
      </c>
      <c r="M118" s="18">
        <f t="shared" si="71"/>
        <v>4.2598201417247896</v>
      </c>
      <c r="N118" s="18">
        <f t="shared" si="72"/>
        <v>1.0953413240805925</v>
      </c>
      <c r="O118" s="18">
        <f t="shared" si="73"/>
        <v>0.59445048899347575</v>
      </c>
      <c r="P118" s="14">
        <f t="shared" si="77"/>
        <v>1.238230505827511E-2</v>
      </c>
      <c r="Q118" s="14">
        <v>7</v>
      </c>
      <c r="R118" s="71">
        <f t="shared" si="78"/>
        <v>-9.2481059255078435E-8</v>
      </c>
      <c r="S118" s="71">
        <f t="shared" si="74"/>
        <v>1.0953413240805925</v>
      </c>
      <c r="T118" s="71">
        <v>1.911731253836059E-2</v>
      </c>
      <c r="U118" s="72">
        <v>7.4347887015869057E-2</v>
      </c>
      <c r="V118" s="72">
        <f t="shared" si="75"/>
        <v>4.2598201417247896</v>
      </c>
      <c r="W118" s="72">
        <f t="shared" si="79"/>
        <v>-3.4731328923953697E-10</v>
      </c>
      <c r="X118" s="14">
        <f t="shared" si="76"/>
        <v>7</v>
      </c>
    </row>
    <row r="119" spans="6:24" x14ac:dyDescent="0.3">
      <c r="F119" s="14" t="s">
        <v>141</v>
      </c>
      <c r="G119" s="14">
        <f>G101-G102</f>
        <v>84.306828050067551</v>
      </c>
      <c r="H119" s="14" t="s">
        <v>0</v>
      </c>
      <c r="J119" s="20">
        <f t="shared" si="80"/>
        <v>32.334675061142356</v>
      </c>
      <c r="K119" s="21">
        <f>'Nr(V)'!H68</f>
        <v>27203.0244385435</v>
      </c>
      <c r="L119" s="21">
        <f t="shared" si="70"/>
        <v>841.2957417108629</v>
      </c>
      <c r="M119" s="18">
        <f t="shared" si="71"/>
        <v>3.5974544051553514</v>
      </c>
      <c r="N119" s="18">
        <f t="shared" si="72"/>
        <v>1.051398230513672</v>
      </c>
      <c r="O119" s="18">
        <f t="shared" si="73"/>
        <v>0.59331965609004866</v>
      </c>
      <c r="P119" s="14">
        <f t="shared" si="77"/>
        <v>1.2735791912186966E-2</v>
      </c>
      <c r="Q119" s="14">
        <v>8</v>
      </c>
      <c r="R119" s="71">
        <f>0.5*G$116*C$5*C$3*(U119-C$6)*J119^2+K119/J119*SIN(U119-C$1)-C$12*(C$14+G$119*(J$126-J119)/(J$126-J$112))*COS(T119)</f>
        <v>-1.3639692042488605E-8</v>
      </c>
      <c r="S119" s="71">
        <f t="shared" si="74"/>
        <v>1.051398230513672</v>
      </c>
      <c r="T119" s="71">
        <v>1.8350360872105887E-2</v>
      </c>
      <c r="U119" s="72">
        <v>6.2787424060334954E-2</v>
      </c>
      <c r="V119" s="72">
        <f t="shared" si="75"/>
        <v>3.5974544051553514</v>
      </c>
      <c r="W119" s="72">
        <f>-0.5*G$116*C$5*J119^2*(C$8+(C$3^2)*(U119-C$6)^2/(PI()*C$7))+K119/J119*COS(U119-C$1)-C$12*(C$14+G$119*(J$126-J119)/(J$126-J$112))*SIN(T119)</f>
        <v>-1.0132339411939029E-10</v>
      </c>
      <c r="X119" s="14">
        <f t="shared" si="76"/>
        <v>8</v>
      </c>
    </row>
    <row r="120" spans="6:24" x14ac:dyDescent="0.3">
      <c r="F120" s="14" t="s">
        <v>142</v>
      </c>
      <c r="G120" s="14" cm="1">
        <f t="array" ref="G120">C$16*(G133-G115)*MIN(IF(P112:P126&gt;0,P112:P126))</f>
        <v>1.9391927951764649</v>
      </c>
      <c r="H120" s="14" t="s">
        <v>0</v>
      </c>
      <c r="J120" s="20">
        <f t="shared" si="80"/>
        <v>33.572578623836307</v>
      </c>
      <c r="K120" s="21">
        <f>'Nr(V)'!H70</f>
        <v>27848.913092398299</v>
      </c>
      <c r="L120" s="21">
        <f t="shared" si="70"/>
        <v>829.51367556335867</v>
      </c>
      <c r="M120" s="18">
        <f t="shared" si="71"/>
        <v>3.0077771249964438</v>
      </c>
      <c r="N120" s="18">
        <f t="shared" si="72"/>
        <v>0.95392649862579704</v>
      </c>
      <c r="O120" s="18">
        <f t="shared" si="73"/>
        <v>0.55892935060784532</v>
      </c>
      <c r="P120" s="14">
        <f t="shared" si="77"/>
        <v>1.3840406097693804E-2</v>
      </c>
      <c r="Q120" s="56">
        <v>9</v>
      </c>
      <c r="R120" s="71">
        <f t="shared" si="78"/>
        <v>-4.429994078236632E-7</v>
      </c>
      <c r="S120" s="71">
        <f t="shared" si="74"/>
        <v>0.95392649862579704</v>
      </c>
      <c r="T120" s="71">
        <v>1.6649158223041322E-2</v>
      </c>
      <c r="U120" s="72">
        <v>5.2495613997356978E-2</v>
      </c>
      <c r="V120" s="72">
        <f t="shared" si="75"/>
        <v>3.0077771249964438</v>
      </c>
      <c r="W120" s="72">
        <f t="shared" si="79"/>
        <v>-1.3085923455946613E-9</v>
      </c>
      <c r="X120" s="14">
        <f t="shared" si="76"/>
        <v>9</v>
      </c>
    </row>
    <row r="121" spans="6:24" x14ac:dyDescent="0.3">
      <c r="F121" s="14" t="s">
        <v>144</v>
      </c>
      <c r="G121" s="14">
        <f>(J126-J112)/Q125</f>
        <v>1.2379035626939492</v>
      </c>
      <c r="H121" s="14" t="s">
        <v>145</v>
      </c>
      <c r="J121" s="20">
        <f t="shared" si="80"/>
        <v>34.810482186530251</v>
      </c>
      <c r="K121" s="21">
        <f>'Nr(V)'!H73</f>
        <v>28553.535262613001</v>
      </c>
      <c r="L121" s="21">
        <f t="shared" si="70"/>
        <v>820.25681545030864</v>
      </c>
      <c r="M121" s="18">
        <f t="shared" si="71"/>
        <v>2.4805611044561728</v>
      </c>
      <c r="N121" s="18">
        <f t="shared" si="72"/>
        <v>0.83772093149079174</v>
      </c>
      <c r="O121" s="18">
        <f t="shared" si="73"/>
        <v>0.50894552498017298</v>
      </c>
      <c r="P121" s="14">
        <f t="shared" si="77"/>
        <v>1.5584256435415255E-2</v>
      </c>
      <c r="Q121" s="56">
        <v>10</v>
      </c>
      <c r="R121" s="71">
        <f t="shared" si="78"/>
        <v>-1.1979864211753011E-8</v>
      </c>
      <c r="S121" s="71">
        <f t="shared" si="74"/>
        <v>0.83772093149079174</v>
      </c>
      <c r="T121" s="71">
        <v>1.4620988467388164E-2</v>
      </c>
      <c r="U121" s="72">
        <v>4.3293958569667203E-2</v>
      </c>
      <c r="V121" s="72">
        <f t="shared" si="75"/>
        <v>2.4805611044561728</v>
      </c>
      <c r="W121" s="72">
        <f t="shared" si="79"/>
        <v>-1.5756995708215982E-10</v>
      </c>
      <c r="X121" s="14">
        <f t="shared" si="76"/>
        <v>10</v>
      </c>
    </row>
    <row r="122" spans="6:24" x14ac:dyDescent="0.3">
      <c r="J122" s="20">
        <f t="shared" si="80"/>
        <v>36.048385749224202</v>
      </c>
      <c r="K122" s="21">
        <f>'Nr(V)'!H75</f>
        <v>29199.468922993801</v>
      </c>
      <c r="L122" s="21">
        <f t="shared" si="70"/>
        <v>810.00766930658483</v>
      </c>
      <c r="M122" s="18">
        <f t="shared" si="71"/>
        <v>2.0076084866140729</v>
      </c>
      <c r="N122" s="18">
        <f t="shared" si="72"/>
        <v>0.67434622751283457</v>
      </c>
      <c r="O122" s="18">
        <f t="shared" si="73"/>
        <v>0.42426391475900604</v>
      </c>
      <c r="P122" s="14">
        <f t="shared" si="77"/>
        <v>1.9117731458089614E-2</v>
      </c>
      <c r="Q122" s="56">
        <v>11</v>
      </c>
      <c r="R122" s="71">
        <f t="shared" si="78"/>
        <v>-8.5226929513737559E-8</v>
      </c>
      <c r="S122" s="71">
        <f t="shared" si="74"/>
        <v>0.67434622751283457</v>
      </c>
      <c r="T122" s="71">
        <v>1.1769561968501735E-2</v>
      </c>
      <c r="U122" s="72">
        <v>3.5039378182396073E-2</v>
      </c>
      <c r="V122" s="72">
        <f t="shared" si="75"/>
        <v>2.0076084866140729</v>
      </c>
      <c r="W122" s="72">
        <f t="shared" si="79"/>
        <v>-2.0288837276893901E-10</v>
      </c>
      <c r="X122" s="14">
        <f t="shared" si="76"/>
        <v>11</v>
      </c>
    </row>
    <row r="123" spans="6:24" x14ac:dyDescent="0.3">
      <c r="J123" s="20">
        <f t="shared" si="80"/>
        <v>37.286289311918154</v>
      </c>
      <c r="K123" s="21">
        <f>'Nr(V)'!H77</f>
        <v>30022.008191187699</v>
      </c>
      <c r="L123" s="21">
        <f t="shared" si="70"/>
        <v>805.17554160562429</v>
      </c>
      <c r="M123" s="18">
        <f t="shared" si="71"/>
        <v>1.5817211753719638</v>
      </c>
      <c r="N123" s="18">
        <f t="shared" si="72"/>
        <v>0.52473815251538569</v>
      </c>
      <c r="O123" s="18">
        <f t="shared" si="73"/>
        <v>0.34147829422114456</v>
      </c>
      <c r="P123" s="14">
        <f t="shared" si="77"/>
        <v>2.4421601199558694E-2</v>
      </c>
      <c r="Q123" s="56">
        <v>12</v>
      </c>
      <c r="R123" s="71">
        <f t="shared" si="78"/>
        <v>4.8475158109795302E-8</v>
      </c>
      <c r="S123" s="71">
        <f t="shared" si="74"/>
        <v>0.52473815251538569</v>
      </c>
      <c r="T123" s="71">
        <v>9.1584084722256456E-3</v>
      </c>
      <c r="U123" s="72">
        <v>2.7606242358755414E-2</v>
      </c>
      <c r="V123" s="72">
        <f t="shared" si="75"/>
        <v>1.5817211753719638</v>
      </c>
      <c r="W123" s="72">
        <f t="shared" si="79"/>
        <v>9.4524068572354736E-9</v>
      </c>
      <c r="X123" s="14">
        <f t="shared" si="76"/>
        <v>12</v>
      </c>
    </row>
    <row r="124" spans="6:24" x14ac:dyDescent="0.3">
      <c r="J124" s="20">
        <f t="shared" si="80"/>
        <v>38.524192874612098</v>
      </c>
      <c r="K124" s="21">
        <f>'Nr(V)'!H79</f>
        <v>30668.211890724098</v>
      </c>
      <c r="L124" s="21">
        <f t="shared" si="70"/>
        <v>796.0766884991591</v>
      </c>
      <c r="M124" s="18">
        <f t="shared" si="71"/>
        <v>1.1971565388131453</v>
      </c>
      <c r="N124" s="18">
        <f t="shared" si="72"/>
        <v>0.30259375596889992</v>
      </c>
      <c r="O124" s="18">
        <f t="shared" si="73"/>
        <v>0.20345523050771194</v>
      </c>
      <c r="P124" s="14">
        <f t="shared" si="77"/>
        <v>4.1871362688316094E-2</v>
      </c>
      <c r="Q124" s="14">
        <v>13</v>
      </c>
      <c r="R124" s="71">
        <f t="shared" si="78"/>
        <v>-3.763489075936377E-9</v>
      </c>
      <c r="S124" s="71">
        <f t="shared" si="74"/>
        <v>0.30259375596889992</v>
      </c>
      <c r="T124" s="71">
        <v>5.281257337633548E-3</v>
      </c>
      <c r="U124" s="72">
        <v>2.0894323264068673E-2</v>
      </c>
      <c r="V124" s="72">
        <f t="shared" si="75"/>
        <v>1.1971565388131453</v>
      </c>
      <c r="W124" s="72">
        <f t="shared" si="79"/>
        <v>-8.4831697222398361E-11</v>
      </c>
      <c r="X124" s="14">
        <f t="shared" si="76"/>
        <v>13</v>
      </c>
    </row>
    <row r="125" spans="6:24" x14ac:dyDescent="0.3">
      <c r="J125" s="20">
        <f t="shared" si="80"/>
        <v>39.762096437306056</v>
      </c>
      <c r="K125" s="21">
        <f>'Nr(V)'!H82</f>
        <v>31548.944596966499</v>
      </c>
      <c r="L125" s="21">
        <f t="shared" si="70"/>
        <v>793.44268596879817</v>
      </c>
      <c r="M125" s="18">
        <f t="shared" si="71"/>
        <v>0.84874010893870089</v>
      </c>
      <c r="N125" s="18">
        <f t="shared" si="72"/>
        <v>0.10856144814222132</v>
      </c>
      <c r="O125" s="18">
        <f t="shared" si="73"/>
        <v>7.533937445718375E-2</v>
      </c>
      <c r="P125" s="14">
        <f t="shared" si="77"/>
        <v>0.11632158860517269</v>
      </c>
      <c r="Q125" s="14">
        <v>14</v>
      </c>
      <c r="R125" s="71">
        <f t="shared" si="78"/>
        <v>-5.6923454394564033E-8</v>
      </c>
      <c r="S125" s="71">
        <f t="shared" si="74"/>
        <v>0.10856144814222132</v>
      </c>
      <c r="T125" s="71">
        <v>1.8947547108148434E-3</v>
      </c>
      <c r="U125" s="72">
        <v>1.4813309394715686E-2</v>
      </c>
      <c r="V125" s="72">
        <f t="shared" si="75"/>
        <v>0.84874010893870089</v>
      </c>
      <c r="W125" s="72">
        <f t="shared" si="79"/>
        <v>-4.5190517994342372E-12</v>
      </c>
      <c r="X125" s="14">
        <f t="shared" si="76"/>
        <v>14</v>
      </c>
    </row>
    <row r="126" spans="6:24" x14ac:dyDescent="0.3">
      <c r="J126" s="20">
        <v>41</v>
      </c>
      <c r="K126" s="21">
        <f>'Nr(V)'!H84</f>
        <v>31606.7779828075</v>
      </c>
      <c r="L126" s="21">
        <f t="shared" si="70"/>
        <v>770.89702397091469</v>
      </c>
      <c r="M126" s="18">
        <f t="shared" si="71"/>
        <v>0.53206843959433281</v>
      </c>
      <c r="N126" s="18">
        <f t="shared" si="72"/>
        <v>-0.30277434859633867</v>
      </c>
      <c r="O126" s="18">
        <f t="shared" si="73"/>
        <v>-0.21665977184377386</v>
      </c>
      <c r="P126" s="14">
        <f t="shared" si="77"/>
        <v>-4.0522799761418475E-2</v>
      </c>
      <c r="Q126" s="56">
        <v>15</v>
      </c>
      <c r="R126" s="71">
        <f t="shared" si="78"/>
        <v>3.4357681215624325E-6</v>
      </c>
      <c r="S126" s="71">
        <f t="shared" si="74"/>
        <v>-0.30277434859633867</v>
      </c>
      <c r="T126" s="71">
        <v>-5.2844092735871819E-3</v>
      </c>
      <c r="U126" s="72">
        <v>9.2863461168696693E-3</v>
      </c>
      <c r="V126" s="72">
        <f t="shared" si="75"/>
        <v>0.53206843959433281</v>
      </c>
      <c r="W126" s="72">
        <f t="shared" si="79"/>
        <v>-3.4610133234025398E-5</v>
      </c>
      <c r="X126" s="14">
        <f t="shared" si="76"/>
        <v>15</v>
      </c>
    </row>
    <row r="127" spans="6:24" ht="15.6" thickBot="1" x14ac:dyDescent="0.35"/>
    <row r="128" spans="6:24" ht="16.2" thickBot="1" x14ac:dyDescent="0.35">
      <c r="J128" s="134" t="s">
        <v>106</v>
      </c>
      <c r="K128" s="135"/>
      <c r="L128" s="135"/>
      <c r="M128" s="135"/>
      <c r="N128" s="135"/>
      <c r="O128" s="136"/>
    </row>
    <row r="129" spans="6:24" ht="18.600000000000001" thickBot="1" x14ac:dyDescent="0.35">
      <c r="F129" s="66"/>
      <c r="J129" s="100" t="s">
        <v>76</v>
      </c>
      <c r="K129" s="100" t="s">
        <v>77</v>
      </c>
      <c r="L129" s="100" t="s">
        <v>78</v>
      </c>
      <c r="M129" s="100" t="s">
        <v>79</v>
      </c>
      <c r="N129" s="100" t="s">
        <v>85</v>
      </c>
      <c r="O129" s="100" t="s">
        <v>80</v>
      </c>
      <c r="P129" s="14" t="s">
        <v>143</v>
      </c>
      <c r="R129" s="67" t="s">
        <v>88</v>
      </c>
      <c r="S129" s="68" t="s">
        <v>90</v>
      </c>
      <c r="T129" s="68" t="s">
        <v>89</v>
      </c>
      <c r="U129" s="70" t="s">
        <v>89</v>
      </c>
      <c r="V129" s="70" t="s">
        <v>90</v>
      </c>
      <c r="W129" s="69" t="s">
        <v>91</v>
      </c>
    </row>
    <row r="130" spans="6:24" x14ac:dyDescent="0.3">
      <c r="F130" s="66"/>
      <c r="J130" s="103">
        <f>SQRT(2*(C$14+G137)*C$12/C$5/C$15/G134)</f>
        <v>24.257414707295691</v>
      </c>
      <c r="K130" s="102">
        <f>'Nr(V)'!I51</f>
        <v>21270.0841622035</v>
      </c>
      <c r="L130" s="102">
        <f t="shared" ref="L130:L144" si="81">K130/J130</f>
        <v>876.84876640239338</v>
      </c>
      <c r="M130" s="104">
        <f t="shared" ref="M130:M144" si="82">V130</f>
        <v>10.672627548810702</v>
      </c>
      <c r="N130" s="104">
        <f t="shared" ref="N130:N144" si="83">S130</f>
        <v>-0.25292465474427284</v>
      </c>
      <c r="O130" s="104">
        <f t="shared" ref="O130:O144" si="84">J130*SIN(RADIANS(N130))</f>
        <v>-0.10708080710180636</v>
      </c>
      <c r="P130" s="14">
        <f>(K130/1000)/(O130*3600)</f>
        <v>-5.5176617282178909E-2</v>
      </c>
      <c r="Q130" s="14">
        <v>1</v>
      </c>
      <c r="R130" s="71">
        <f>0.5*G$134*C$5*C$3*(U130-C$6)*J130^2+K130/J130*SIN(U130-C$1)-C$12*(C$14+G$137*(J$144-J130)/(J$144-J$130))*COS(T130)</f>
        <v>2.5465851649641991E-11</v>
      </c>
      <c r="S130" s="71">
        <f t="shared" ref="S130:S144" si="85">DEGREES(T130)</f>
        <v>-0.25292465474427284</v>
      </c>
      <c r="T130" s="71">
        <v>-4.4143679847574576E-3</v>
      </c>
      <c r="U130" s="72">
        <v>0.18627249056579856</v>
      </c>
      <c r="V130" s="72">
        <f t="shared" ref="V130:V144" si="86">DEGREES(U130)</f>
        <v>10.672627548810702</v>
      </c>
      <c r="W130" s="72">
        <f>-0.5*G$134*C$5*J130^2*(C$8+(C$3^2)*(U130-C$6)^2/(PI()*C$7))+K130/J130*COS(U130-C$1)-C$12*(C$14+G$137*(J$144-J130)/(J$144-J$130))*SIN(T130)</f>
        <v>1.1723955140041653E-12</v>
      </c>
      <c r="X130" s="14">
        <f t="shared" ref="X130:X144" si="87">Q130</f>
        <v>1</v>
      </c>
    </row>
    <row r="131" spans="6:24" x14ac:dyDescent="0.3">
      <c r="F131" s="66"/>
      <c r="J131" s="20">
        <f>J$130+Q130*G$139</f>
        <v>25.310456513917426</v>
      </c>
      <c r="K131" s="21">
        <f>'Nr(V)'!I53</f>
        <v>21622.350240784901</v>
      </c>
      <c r="L131" s="21">
        <f t="shared" si="81"/>
        <v>854.28527252740184</v>
      </c>
      <c r="M131" s="18">
        <f t="shared" si="82"/>
        <v>9.4221467468177789</v>
      </c>
      <c r="N131" s="18">
        <f t="shared" si="83"/>
        <v>-4.2068832825369919E-2</v>
      </c>
      <c r="O131" s="18">
        <f t="shared" si="84"/>
        <v>-1.8583938942704655E-2</v>
      </c>
      <c r="P131" s="14">
        <f t="shared" ref="P131:P144" si="88">(K131/1000)/(O131*3600)</f>
        <v>-0.32319350697048199</v>
      </c>
      <c r="Q131" s="14">
        <v>2</v>
      </c>
      <c r="R131" s="71">
        <f t="shared" ref="R131:R144" si="89">0.5*G$134*C$5*C$3*(U131-C$6)*J131^2+K131/J131*SIN(U131-C$1)-C$12*(C$14+G$137*(J$144-J131)/(J$144-J$130))*COS(T131)</f>
        <v>0</v>
      </c>
      <c r="S131" s="71">
        <f t="shared" si="85"/>
        <v>-4.2068832825369919E-2</v>
      </c>
      <c r="T131" s="71">
        <v>-7.3423964527377379E-4</v>
      </c>
      <c r="U131" s="72">
        <v>0.16444748333804279</v>
      </c>
      <c r="V131" s="72">
        <f t="shared" si="86"/>
        <v>9.4221467468177789</v>
      </c>
      <c r="W131" s="72">
        <f t="shared" ref="W131:W144" si="90">-0.5*G$134*C$5*J131^2*(C$8+(C$3^2)*(U131-C$6)^2/(PI()*C$7))+K131/J131*COS(U131-C$1)-C$12*(C$14+G$137*(J$144-J131)/(J$144-J$130))*SIN(T131)</f>
        <v>1.5454304502782179E-13</v>
      </c>
      <c r="X131" s="14">
        <f t="shared" si="87"/>
        <v>2</v>
      </c>
    </row>
    <row r="132" spans="6:24" x14ac:dyDescent="0.3">
      <c r="F132" s="66"/>
      <c r="J132" s="20">
        <f t="shared" ref="J132:J143" si="91">J$130+Q131*G$139</f>
        <v>26.363498320539165</v>
      </c>
      <c r="K132" s="21">
        <f>'Nr(V)'!I55</f>
        <v>22444.4844502452</v>
      </c>
      <c r="L132" s="21">
        <f t="shared" si="81"/>
        <v>851.34697138274873</v>
      </c>
      <c r="M132" s="18">
        <f t="shared" si="82"/>
        <v>8.3111269790387485</v>
      </c>
      <c r="N132" s="18">
        <f t="shared" si="83"/>
        <v>0.26684245195847262</v>
      </c>
      <c r="O132" s="18">
        <f t="shared" si="84"/>
        <v>0.12278173300735302</v>
      </c>
      <c r="P132" s="14">
        <f t="shared" si="88"/>
        <v>5.0777740802726977E-2</v>
      </c>
      <c r="Q132" s="56">
        <v>3</v>
      </c>
      <c r="R132" s="71">
        <f t="shared" si="89"/>
        <v>1.546140993013978E-11</v>
      </c>
      <c r="S132" s="71">
        <f t="shared" si="85"/>
        <v>0.26684245195847262</v>
      </c>
      <c r="T132" s="71">
        <v>4.657279370770138E-3</v>
      </c>
      <c r="U132" s="72">
        <v>0.14505653033555591</v>
      </c>
      <c r="V132" s="72">
        <f t="shared" si="86"/>
        <v>8.3111269790387485</v>
      </c>
      <c r="W132" s="72">
        <f t="shared" si="90"/>
        <v>1.2043699371133698E-12</v>
      </c>
      <c r="X132" s="14">
        <f t="shared" si="87"/>
        <v>3</v>
      </c>
    </row>
    <row r="133" spans="6:24" x14ac:dyDescent="0.3">
      <c r="F133" s="12" t="s">
        <v>6</v>
      </c>
      <c r="G133" s="12">
        <v>3500</v>
      </c>
      <c r="H133" s="12" t="s">
        <v>3</v>
      </c>
      <c r="J133" s="20">
        <f t="shared" si="91"/>
        <v>27.4165401271609</v>
      </c>
      <c r="K133" s="21">
        <f>'Nr(V)'!I58</f>
        <v>23090.283091048099</v>
      </c>
      <c r="L133" s="21">
        <f t="shared" si="81"/>
        <v>842.20266247866618</v>
      </c>
      <c r="M133" s="18">
        <f t="shared" si="82"/>
        <v>7.3262444754040565</v>
      </c>
      <c r="N133" s="18">
        <f t="shared" si="83"/>
        <v>0.46234311252202043</v>
      </c>
      <c r="O133" s="18">
        <f t="shared" si="84"/>
        <v>0.22123289079434358</v>
      </c>
      <c r="P133" s="14">
        <f t="shared" si="88"/>
        <v>2.8991925668292763E-2</v>
      </c>
      <c r="Q133" s="56">
        <v>4</v>
      </c>
      <c r="R133" s="71">
        <f t="shared" si="89"/>
        <v>2.3646862246096134E-11</v>
      </c>
      <c r="S133" s="71">
        <f t="shared" si="85"/>
        <v>0.46234311252202043</v>
      </c>
      <c r="T133" s="71">
        <v>8.0694095874278803E-3</v>
      </c>
      <c r="U133" s="72">
        <v>0.12786708790184551</v>
      </c>
      <c r="V133" s="72">
        <f t="shared" si="86"/>
        <v>7.3262444754040565</v>
      </c>
      <c r="W133" s="72">
        <f t="shared" si="90"/>
        <v>1.4637180356658064E-12</v>
      </c>
      <c r="X133" s="14">
        <f t="shared" si="87"/>
        <v>4</v>
      </c>
    </row>
    <row r="134" spans="6:24" ht="18.600000000000001" x14ac:dyDescent="0.3">
      <c r="F134" s="14" t="s">
        <v>72</v>
      </c>
      <c r="G134" s="14">
        <f>C$11*(1-G133/44300)^4.256</f>
        <v>0.86335361318061621</v>
      </c>
      <c r="H134" s="14" t="s">
        <v>73</v>
      </c>
      <c r="J134" s="20">
        <f t="shared" si="91"/>
        <v>28.469581933782635</v>
      </c>
      <c r="K134" s="21">
        <f>'Nr(V)'!I60</f>
        <v>23677.393222017101</v>
      </c>
      <c r="L134" s="21">
        <f t="shared" si="81"/>
        <v>831.67337255209156</v>
      </c>
      <c r="M134" s="18">
        <f t="shared" si="82"/>
        <v>6.4485534742356405</v>
      </c>
      <c r="N134" s="18">
        <f t="shared" si="83"/>
        <v>0.59216241949424819</v>
      </c>
      <c r="O134" s="18">
        <f t="shared" si="84"/>
        <v>0.29423312740245494</v>
      </c>
      <c r="P134" s="14">
        <f t="shared" si="88"/>
        <v>2.2353205877414239E-2</v>
      </c>
      <c r="Q134" s="56">
        <v>5</v>
      </c>
      <c r="R134" s="71">
        <f t="shared" si="89"/>
        <v>2.2737367544323206E-11</v>
      </c>
      <c r="S134" s="71">
        <f t="shared" si="85"/>
        <v>0.59216241949424819</v>
      </c>
      <c r="T134" s="71">
        <v>1.0335183926750487E-2</v>
      </c>
      <c r="U134" s="72">
        <v>0.11254849011633125</v>
      </c>
      <c r="V134" s="72">
        <f t="shared" si="86"/>
        <v>6.4485534742356405</v>
      </c>
      <c r="W134" s="72">
        <f t="shared" si="90"/>
        <v>1.5205614545266144E-12</v>
      </c>
      <c r="X134" s="14">
        <f t="shared" si="87"/>
        <v>5</v>
      </c>
    </row>
    <row r="135" spans="6:24" ht="18.600000000000001" x14ac:dyDescent="0.3">
      <c r="F135" s="14" t="s">
        <v>74</v>
      </c>
      <c r="G135" s="14">
        <f>C$4*((G134/C$11)-C$10)/(1-C$10)</f>
        <v>38726.702131694088</v>
      </c>
      <c r="H135" s="14" t="s">
        <v>32</v>
      </c>
      <c r="J135" s="20">
        <f t="shared" si="91"/>
        <v>29.522623740404374</v>
      </c>
      <c r="K135" s="21">
        <f>'Nr(V)'!I62</f>
        <v>24205.904856204099</v>
      </c>
      <c r="L135" s="21">
        <f t="shared" si="81"/>
        <v>819.91035312610563</v>
      </c>
      <c r="M135" s="18">
        <f t="shared" si="82"/>
        <v>5.6633654862574616</v>
      </c>
      <c r="N135" s="18">
        <f t="shared" si="83"/>
        <v>0.6630573455298524</v>
      </c>
      <c r="O135" s="18">
        <f t="shared" si="84"/>
        <v>0.34164393555380079</v>
      </c>
      <c r="P135" s="14">
        <f t="shared" si="88"/>
        <v>1.9680906816500029E-2</v>
      </c>
      <c r="Q135" s="56">
        <v>6</v>
      </c>
      <c r="R135" s="71">
        <f t="shared" si="89"/>
        <v>2.0008883439004421E-11</v>
      </c>
      <c r="S135" s="71">
        <f t="shared" si="85"/>
        <v>0.6630573455298524</v>
      </c>
      <c r="T135" s="71">
        <v>1.1572533809029629E-2</v>
      </c>
      <c r="U135" s="72">
        <v>9.8844374479002378E-2</v>
      </c>
      <c r="V135" s="72">
        <f t="shared" si="86"/>
        <v>5.6633654862574616</v>
      </c>
      <c r="W135" s="72">
        <f t="shared" si="90"/>
        <v>1.2931877790833823E-12</v>
      </c>
      <c r="X135" s="14">
        <f t="shared" si="87"/>
        <v>6</v>
      </c>
    </row>
    <row r="136" spans="6:24" ht="18.600000000000001" x14ac:dyDescent="0.3">
      <c r="F136" s="14" t="s">
        <v>75</v>
      </c>
      <c r="G136" s="14">
        <f>G135/G134/C$9^3/C$2^5</f>
        <v>4.8154085891960859E-2</v>
      </c>
      <c r="H136" s="14" t="s">
        <v>7</v>
      </c>
      <c r="J136" s="20">
        <f t="shared" si="91"/>
        <v>30.575665547026109</v>
      </c>
      <c r="K136" s="21">
        <f>'Nr(V)'!I64</f>
        <v>24793.105000225001</v>
      </c>
      <c r="L136" s="21">
        <f t="shared" si="81"/>
        <v>810.87703429031205</v>
      </c>
      <c r="M136" s="18">
        <f t="shared" si="82"/>
        <v>4.9579689157716906</v>
      </c>
      <c r="N136" s="18">
        <f t="shared" si="83"/>
        <v>0.71447120361362648</v>
      </c>
      <c r="O136" s="18">
        <f t="shared" si="84"/>
        <v>0.38126484362382884</v>
      </c>
      <c r="P136" s="14">
        <f t="shared" si="88"/>
        <v>1.8063489792855318E-2</v>
      </c>
      <c r="Q136" s="14">
        <v>7</v>
      </c>
      <c r="R136" s="71">
        <f t="shared" si="89"/>
        <v>1.3642420526593924E-11</v>
      </c>
      <c r="S136" s="71">
        <f t="shared" si="85"/>
        <v>0.71447120361362648</v>
      </c>
      <c r="T136" s="71">
        <v>1.2469874913744591E-2</v>
      </c>
      <c r="U136" s="72">
        <v>8.6532881791749422E-2</v>
      </c>
      <c r="V136" s="72">
        <f t="shared" si="86"/>
        <v>4.9579689157716906</v>
      </c>
      <c r="W136" s="72">
        <f t="shared" si="90"/>
        <v>1.2931877790833823E-12</v>
      </c>
      <c r="X136" s="14">
        <f t="shared" si="87"/>
        <v>7</v>
      </c>
    </row>
    <row r="137" spans="6:24" x14ac:dyDescent="0.3">
      <c r="F137" s="14" t="s">
        <v>141</v>
      </c>
      <c r="G137" s="14">
        <f>G119-G120</f>
        <v>82.367635254891084</v>
      </c>
      <c r="H137" s="14" t="s">
        <v>0</v>
      </c>
      <c r="J137" s="20">
        <f t="shared" si="91"/>
        <v>31.628707353647847</v>
      </c>
      <c r="K137" s="21">
        <f>'Nr(V)'!I66</f>
        <v>25262.7030919483</v>
      </c>
      <c r="L137" s="21">
        <f t="shared" si="81"/>
        <v>798.7270174996471</v>
      </c>
      <c r="M137" s="18">
        <f t="shared" si="82"/>
        <v>4.3227710758758091</v>
      </c>
      <c r="N137" s="18">
        <f t="shared" si="83"/>
        <v>0.69889018974613337</v>
      </c>
      <c r="O137" s="18">
        <f t="shared" si="84"/>
        <v>0.38579534671080828</v>
      </c>
      <c r="P137" s="14">
        <f t="shared" si="88"/>
        <v>1.818948202815272E-2</v>
      </c>
      <c r="Q137" s="14">
        <v>8</v>
      </c>
      <c r="R137" s="71">
        <f>0.5*G$134*C$5*C$3*(U137-C$6)*J137^2+K137/J137*SIN(U137-C$1)-C$12*(C$14+G$137*(J$144-J137)/(J$144-J$130))*COS(T137)</f>
        <v>8.1854523159563541E-12</v>
      </c>
      <c r="S137" s="71">
        <f t="shared" si="85"/>
        <v>0.69889018974613337</v>
      </c>
      <c r="T137" s="71">
        <v>1.2197934920957941E-2</v>
      </c>
      <c r="U137" s="72">
        <v>7.5446588084010488E-2</v>
      </c>
      <c r="V137" s="72">
        <f t="shared" si="86"/>
        <v>4.3227710758758091</v>
      </c>
      <c r="W137" s="72">
        <f t="shared" si="90"/>
        <v>7.815970093361102E-13</v>
      </c>
      <c r="X137" s="14">
        <f t="shared" si="87"/>
        <v>8</v>
      </c>
    </row>
    <row r="138" spans="6:24" x14ac:dyDescent="0.3">
      <c r="F138" s="14" t="s">
        <v>142</v>
      </c>
      <c r="G138" s="14" cm="1">
        <f t="array" ref="G138">C$16*(G151-G133)*MIN(IF(P130:P144&gt;0,P130:P144))</f>
        <v>2.8289231364590712</v>
      </c>
      <c r="H138" s="14" t="s">
        <v>0</v>
      </c>
      <c r="J138" s="20">
        <f t="shared" si="91"/>
        <v>32.681749160269582</v>
      </c>
      <c r="K138" s="21">
        <f>'Nr(V)'!I68</f>
        <v>25791.1247130833</v>
      </c>
      <c r="L138" s="21">
        <f t="shared" si="81"/>
        <v>789.15986370879284</v>
      </c>
      <c r="M138" s="18">
        <f t="shared" si="82"/>
        <v>3.7484761288726967</v>
      </c>
      <c r="N138" s="18">
        <f t="shared" si="83"/>
        <v>0.67000717647397579</v>
      </c>
      <c r="O138" s="18">
        <f t="shared" si="84"/>
        <v>0.38216614928810749</v>
      </c>
      <c r="P138" s="14">
        <f t="shared" si="88"/>
        <v>1.874630006486748E-2</v>
      </c>
      <c r="Q138" s="56">
        <v>9</v>
      </c>
      <c r="R138" s="71">
        <f t="shared" si="89"/>
        <v>0</v>
      </c>
      <c r="S138" s="71">
        <f t="shared" si="85"/>
        <v>0.67000717647397579</v>
      </c>
      <c r="T138" s="71">
        <v>1.169383124146157E-2</v>
      </c>
      <c r="U138" s="72">
        <v>6.5423250381239834E-2</v>
      </c>
      <c r="V138" s="72">
        <f t="shared" si="86"/>
        <v>3.7484761288726967</v>
      </c>
      <c r="W138" s="72">
        <f t="shared" si="90"/>
        <v>4.8316906031686813E-13</v>
      </c>
      <c r="X138" s="14">
        <f t="shared" si="87"/>
        <v>9</v>
      </c>
    </row>
    <row r="139" spans="6:24" x14ac:dyDescent="0.3">
      <c r="F139" s="14" t="s">
        <v>144</v>
      </c>
      <c r="G139" s="14">
        <f>(J144-J130)/Q143</f>
        <v>1.0530418066217364</v>
      </c>
      <c r="H139" s="14" t="s">
        <v>145</v>
      </c>
      <c r="J139" s="20">
        <f t="shared" si="91"/>
        <v>33.734790966891318</v>
      </c>
      <c r="K139" s="21">
        <f>'Nr(V)'!I70</f>
        <v>26260.722804806599</v>
      </c>
      <c r="L139" s="21">
        <f t="shared" si="81"/>
        <v>778.44628800516148</v>
      </c>
      <c r="M139" s="18">
        <f t="shared" si="82"/>
        <v>3.2279922559384606</v>
      </c>
      <c r="N139" s="18">
        <f t="shared" si="83"/>
        <v>0.59740984170182387</v>
      </c>
      <c r="O139" s="18">
        <f t="shared" si="84"/>
        <v>0.35173848984436046</v>
      </c>
      <c r="P139" s="14">
        <f t="shared" si="88"/>
        <v>2.0738831359585274E-2</v>
      </c>
      <c r="Q139" s="56">
        <v>10</v>
      </c>
      <c r="R139" s="71">
        <f t="shared" si="89"/>
        <v>0</v>
      </c>
      <c r="S139" s="71">
        <f t="shared" si="85"/>
        <v>0.59740984170182387</v>
      </c>
      <c r="T139" s="71">
        <v>1.0426768721514951E-2</v>
      </c>
      <c r="U139" s="72">
        <v>5.6339093095005614E-2</v>
      </c>
      <c r="V139" s="72">
        <f t="shared" si="86"/>
        <v>3.2279922559384606</v>
      </c>
      <c r="W139" s="72">
        <f t="shared" si="90"/>
        <v>4.1211478674085811E-13</v>
      </c>
      <c r="X139" s="14">
        <f t="shared" si="87"/>
        <v>10</v>
      </c>
    </row>
    <row r="140" spans="6:24" x14ac:dyDescent="0.3">
      <c r="J140" s="20">
        <f t="shared" si="91"/>
        <v>34.78783277351306</v>
      </c>
      <c r="K140" s="21">
        <f>'Nr(V)'!I72</f>
        <v>26730.320896529902</v>
      </c>
      <c r="L140" s="21">
        <f t="shared" si="81"/>
        <v>768.38132086463202</v>
      </c>
      <c r="M140" s="18">
        <f t="shared" si="82"/>
        <v>2.7548430642834814</v>
      </c>
      <c r="N140" s="18">
        <f t="shared" si="83"/>
        <v>0.49946440749874998</v>
      </c>
      <c r="O140" s="18">
        <f t="shared" si="84"/>
        <v>0.30325207844570179</v>
      </c>
      <c r="P140" s="14">
        <f t="shared" si="88"/>
        <v>2.448487468241527E-2</v>
      </c>
      <c r="Q140" s="56">
        <v>11</v>
      </c>
      <c r="R140" s="71">
        <f t="shared" si="89"/>
        <v>0</v>
      </c>
      <c r="S140" s="71">
        <f t="shared" si="85"/>
        <v>0.49946440749874998</v>
      </c>
      <c r="T140" s="71">
        <v>8.7172984073758432E-3</v>
      </c>
      <c r="U140" s="72">
        <v>4.8081081847476552E-2</v>
      </c>
      <c r="V140" s="72">
        <f t="shared" si="86"/>
        <v>2.7548430642834814</v>
      </c>
      <c r="W140" s="72">
        <f>-0.5*G$134*C$5*J140^2*(C$8+(C$3^2)*(U140-C$6)^2/(PI()*C$7))+K140/J140*COS(U140-C$1)-C$12*(C$14+G$137*(J$144-J140)/(J$144-J$130))*SIN(T140)</f>
        <v>2.8421709430404007E-13</v>
      </c>
      <c r="X140" s="14">
        <f t="shared" si="87"/>
        <v>11</v>
      </c>
    </row>
    <row r="141" spans="6:24" x14ac:dyDescent="0.3">
      <c r="J141" s="20">
        <f t="shared" si="91"/>
        <v>35.840874580134795</v>
      </c>
      <c r="K141" s="21">
        <f>'Nr(V)'!I74</f>
        <v>27258.742517664999</v>
      </c>
      <c r="L141" s="21">
        <f t="shared" si="81"/>
        <v>760.54903338696602</v>
      </c>
      <c r="M141" s="18">
        <f t="shared" si="82"/>
        <v>2.3235508750653633</v>
      </c>
      <c r="N141" s="18">
        <f t="shared" si="83"/>
        <v>0.3927502009534653</v>
      </c>
      <c r="O141" s="18">
        <f t="shared" si="84"/>
        <v>0.24567953478561794</v>
      </c>
      <c r="P141" s="14">
        <f t="shared" si="88"/>
        <v>3.0820120724263385E-2</v>
      </c>
      <c r="Q141" s="56">
        <v>12</v>
      </c>
      <c r="R141" s="71">
        <f t="shared" si="89"/>
        <v>0</v>
      </c>
      <c r="S141" s="71">
        <f t="shared" si="85"/>
        <v>0.3927502009534653</v>
      </c>
      <c r="T141" s="71">
        <v>6.8547841445073419E-3</v>
      </c>
      <c r="U141" s="72">
        <v>4.0553613107486002E-2</v>
      </c>
      <c r="V141" s="72">
        <f t="shared" si="86"/>
        <v>2.3235508750653633</v>
      </c>
      <c r="W141" s="72">
        <f t="shared" si="90"/>
        <v>3.5527136788005009E-13</v>
      </c>
      <c r="X141" s="14">
        <f t="shared" si="87"/>
        <v>12</v>
      </c>
    </row>
    <row r="142" spans="6:24" x14ac:dyDescent="0.3">
      <c r="J142" s="20">
        <f t="shared" si="91"/>
        <v>36.89391638675653</v>
      </c>
      <c r="K142" s="21">
        <f>'Nr(V)'!I76</f>
        <v>27728.3856159143</v>
      </c>
      <c r="L142" s="21">
        <f t="shared" si="81"/>
        <v>751.57067428785365</v>
      </c>
      <c r="M142" s="18">
        <f t="shared" si="82"/>
        <v>1.9295403744453816</v>
      </c>
      <c r="N142" s="18">
        <f t="shared" si="83"/>
        <v>0.24807872101453746</v>
      </c>
      <c r="O142" s="18">
        <f t="shared" si="84"/>
        <v>0.15974242903816799</v>
      </c>
      <c r="P142" s="14">
        <f t="shared" si="88"/>
        <v>4.8217179268719011E-2</v>
      </c>
      <c r="Q142" s="14">
        <v>13</v>
      </c>
      <c r="R142" s="71">
        <f t="shared" si="89"/>
        <v>0</v>
      </c>
      <c r="S142" s="71">
        <f t="shared" si="85"/>
        <v>0.24807872101453746</v>
      </c>
      <c r="T142" s="71">
        <v>4.329790485840126E-3</v>
      </c>
      <c r="U142" s="72">
        <v>3.3676832584236163E-2</v>
      </c>
      <c r="V142" s="72">
        <f t="shared" si="86"/>
        <v>1.9295403744453816</v>
      </c>
      <c r="W142" s="72">
        <f t="shared" si="90"/>
        <v>6.0396132539608516E-14</v>
      </c>
      <c r="X142" s="14">
        <f t="shared" si="87"/>
        <v>13</v>
      </c>
    </row>
    <row r="143" spans="6:24" x14ac:dyDescent="0.3">
      <c r="J143" s="20">
        <f t="shared" si="91"/>
        <v>37.946958193378265</v>
      </c>
      <c r="K143" s="21">
        <f>'Nr(V)'!I78</f>
        <v>28197.983707637599</v>
      </c>
      <c r="L143" s="21">
        <f t="shared" si="81"/>
        <v>743.08943457181078</v>
      </c>
      <c r="M143" s="18">
        <f t="shared" si="82"/>
        <v>1.5686808426844663</v>
      </c>
      <c r="N143" s="18">
        <f t="shared" si="83"/>
        <v>8.183307530225542E-2</v>
      </c>
      <c r="O143" s="18">
        <f t="shared" si="84"/>
        <v>5.4197975103153898E-2</v>
      </c>
      <c r="P143" s="14">
        <f t="shared" si="88"/>
        <v>0.14452151094600116</v>
      </c>
      <c r="Q143" s="14">
        <v>14</v>
      </c>
      <c r="R143" s="71">
        <f t="shared" si="89"/>
        <v>0</v>
      </c>
      <c r="S143" s="71">
        <f t="shared" si="85"/>
        <v>8.183307530225542E-2</v>
      </c>
      <c r="T143" s="71">
        <v>1.428256601056811E-3</v>
      </c>
      <c r="U143" s="72">
        <v>2.7378645617803142E-2</v>
      </c>
      <c r="V143" s="72">
        <f t="shared" si="86"/>
        <v>1.5686808426844663</v>
      </c>
      <c r="W143" s="72">
        <f t="shared" si="90"/>
        <v>9.9475983006414026E-14</v>
      </c>
      <c r="X143" s="14">
        <f t="shared" si="87"/>
        <v>14</v>
      </c>
    </row>
    <row r="144" spans="6:24" x14ac:dyDescent="0.3">
      <c r="J144" s="20">
        <v>39</v>
      </c>
      <c r="K144" s="21">
        <f>'Nr(V)'!I80</f>
        <v>28608.893289526899</v>
      </c>
      <c r="L144" s="21">
        <f t="shared" si="81"/>
        <v>733.56136639812564</v>
      </c>
      <c r="M144" s="18">
        <f t="shared" si="82"/>
        <v>1.2374423810573068</v>
      </c>
      <c r="N144" s="18">
        <f t="shared" si="83"/>
        <v>-0.11933515678872444</v>
      </c>
      <c r="O144" s="18">
        <f t="shared" si="84"/>
        <v>-8.1228805845801999E-2</v>
      </c>
      <c r="P144" s="14">
        <f t="shared" si="88"/>
        <v>-9.7833702218054541E-2</v>
      </c>
      <c r="Q144" s="56">
        <v>15</v>
      </c>
      <c r="R144" s="71">
        <f t="shared" si="89"/>
        <v>3.8077630051702727E-5</v>
      </c>
      <c r="S144" s="71">
        <f t="shared" si="85"/>
        <v>-0.11933515678872444</v>
      </c>
      <c r="T144" s="71">
        <v>-2.0827913993469046E-3</v>
      </c>
      <c r="U144" s="72">
        <v>2.1597443853168311E-2</v>
      </c>
      <c r="V144" s="72">
        <f t="shared" si="86"/>
        <v>1.2374423810573068</v>
      </c>
      <c r="W144" s="72">
        <f t="shared" si="90"/>
        <v>-3.217194450169103E-4</v>
      </c>
      <c r="X144" s="14">
        <f t="shared" si="87"/>
        <v>15</v>
      </c>
    </row>
    <row r="145" spans="6:24" ht="15.6" thickBot="1" x14ac:dyDescent="0.35"/>
    <row r="146" spans="6:24" ht="16.2" thickBot="1" x14ac:dyDescent="0.35">
      <c r="J146" s="134" t="s">
        <v>107</v>
      </c>
      <c r="K146" s="135"/>
      <c r="L146" s="135"/>
      <c r="M146" s="135"/>
      <c r="N146" s="135"/>
      <c r="O146" s="136"/>
    </row>
    <row r="147" spans="6:24" ht="18.600000000000001" thickBot="1" x14ac:dyDescent="0.35">
      <c r="F147" s="66"/>
      <c r="J147" s="100" t="s">
        <v>76</v>
      </c>
      <c r="K147" s="100" t="s">
        <v>77</v>
      </c>
      <c r="L147" s="100" t="s">
        <v>78</v>
      </c>
      <c r="M147" s="100" t="s">
        <v>79</v>
      </c>
      <c r="N147" s="100" t="s">
        <v>85</v>
      </c>
      <c r="O147" s="100" t="s">
        <v>80</v>
      </c>
      <c r="P147" s="14" t="s">
        <v>143</v>
      </c>
      <c r="R147" s="67" t="s">
        <v>88</v>
      </c>
      <c r="S147" s="68" t="s">
        <v>90</v>
      </c>
      <c r="T147" s="68" t="s">
        <v>89</v>
      </c>
      <c r="U147" s="70" t="s">
        <v>89</v>
      </c>
      <c r="V147" s="70" t="s">
        <v>90</v>
      </c>
      <c r="W147" s="69" t="s">
        <v>91</v>
      </c>
    </row>
    <row r="148" spans="6:24" x14ac:dyDescent="0.3">
      <c r="F148" s="66"/>
      <c r="J148" s="103">
        <f>SQRT(2*(C$14+G155)*C$12/C$5/C$15/G152)</f>
        <v>24.852142365160667</v>
      </c>
      <c r="K148" s="102">
        <f>'Nr(V)'!J52</f>
        <v>19916.737926999402</v>
      </c>
      <c r="L148" s="102">
        <f t="shared" ref="L148:L162" si="92">K148/J148</f>
        <v>801.40929640415902</v>
      </c>
      <c r="M148" s="104">
        <f t="shared" ref="M148:M162" si="93">V148</f>
        <v>10.696445231218355</v>
      </c>
      <c r="N148" s="104">
        <f t="shared" ref="N148:N162" si="94">S148</f>
        <v>-0.86413935271900066</v>
      </c>
      <c r="O148" s="104">
        <f t="shared" ref="O148:O162" si="95">J148*SIN(RADIANS(N148))</f>
        <v>-0.37480771240351518</v>
      </c>
      <c r="P148" s="14">
        <f>(K148/1000)/(O148*3600)</f>
        <v>-1.4760708008025482E-2</v>
      </c>
      <c r="Q148" s="14">
        <v>1</v>
      </c>
      <c r="R148" s="71">
        <f>0.5*G$152*C$5*C$3*(U148-C$6)*J148^2+K148/J148*SIN(U148-C$1)-C$12*(C$14+G$155*(J$162-J148)/(J$162-J$148))*COS(T148)</f>
        <v>7.0031092036515474E-11</v>
      </c>
      <c r="S148" s="71">
        <f t="shared" ref="S148:S162" si="96">DEGREES(T148)</f>
        <v>-0.86413935271900066</v>
      </c>
      <c r="T148" s="71">
        <v>-1.5082076900999174E-2</v>
      </c>
      <c r="U148" s="72">
        <v>0.18668818754400646</v>
      </c>
      <c r="V148" s="72">
        <f t="shared" ref="V148:V162" si="97">DEGREES(U148)</f>
        <v>10.696445231218355</v>
      </c>
      <c r="W148" s="72">
        <f>-0.5*G$152*C$5*J148^2*(C$8+(C$3^2)*(U148-C$6)^2/(PI()*C$7))+K148/J148*COS(U148-C$1)-C$12*(C$14+G$155*(J$162-J148)/(J$162-J$148))*SIN(T148)</f>
        <v>5.0164317144663073E-12</v>
      </c>
      <c r="X148" s="14">
        <f t="shared" ref="X148:X162" si="98">Q148</f>
        <v>1</v>
      </c>
    </row>
    <row r="149" spans="6:24" x14ac:dyDescent="0.3">
      <c r="F149" s="66"/>
      <c r="J149" s="20">
        <f>J$148+Q148*G$157</f>
        <v>25.719846481934905</v>
      </c>
      <c r="K149" s="21">
        <f>'Nr(V)'!J54</f>
        <v>20562.761600432001</v>
      </c>
      <c r="L149" s="21">
        <f t="shared" si="92"/>
        <v>799.49005974335284</v>
      </c>
      <c r="M149" s="18">
        <f t="shared" si="93"/>
        <v>9.6520853449225363</v>
      </c>
      <c r="N149" s="18">
        <f t="shared" si="94"/>
        <v>-0.53935261409223312</v>
      </c>
      <c r="O149" s="18">
        <f t="shared" si="95"/>
        <v>-0.24210965759234063</v>
      </c>
      <c r="P149" s="14">
        <f t="shared" ref="P149:P162" si="99">(K149/1000)/(O149*3600)</f>
        <v>-2.3592112264929837E-2</v>
      </c>
      <c r="Q149" s="14">
        <v>2</v>
      </c>
      <c r="R149" s="71">
        <f t="shared" ref="R149:R162" si="100">0.5*G$152*C$5*C$3*(U149-C$6)*J149^2+K149/J149*SIN(U149-C$1)-C$12*(C$14+G$155*(J$162-J149)/(J$162-J$148))*COS(T149)</f>
        <v>3.7289282772690058E-11</v>
      </c>
      <c r="S149" s="71">
        <f t="shared" si="96"/>
        <v>-0.53935261409223312</v>
      </c>
      <c r="T149" s="71">
        <v>-9.4134789451478344E-3</v>
      </c>
      <c r="U149" s="72">
        <v>0.16846066895239081</v>
      </c>
      <c r="V149" s="72">
        <f t="shared" si="97"/>
        <v>9.6520853449225363</v>
      </c>
      <c r="W149" s="72">
        <f t="shared" ref="W149:W162" si="101">-0.5*G$152*C$5*J149^2*(C$8+(C$3^2)*(U149-C$6)^2/(PI()*C$7))+K149/J149*COS(U149-C$1)-C$12*(C$14+G$155*(J$162-J149)/(J$162-J$148))*SIN(T149)</f>
        <v>2.8848035071860068E-12</v>
      </c>
      <c r="X149" s="14">
        <f t="shared" si="98"/>
        <v>2</v>
      </c>
    </row>
    <row r="150" spans="6:24" x14ac:dyDescent="0.3">
      <c r="F150" s="66"/>
      <c r="J150" s="20">
        <f t="shared" ref="J150:J161" si="102">J$148+Q149*G$157</f>
        <v>26.587550598709143</v>
      </c>
      <c r="K150" s="21">
        <f>'Nr(V)'!J55</f>
        <v>20915.207705117198</v>
      </c>
      <c r="L150" s="21">
        <f t="shared" si="92"/>
        <v>786.65417588834441</v>
      </c>
      <c r="M150" s="18">
        <f t="shared" si="93"/>
        <v>8.7103782376940728</v>
      </c>
      <c r="N150" s="18">
        <f t="shared" si="94"/>
        <v>-0.35494481854017501</v>
      </c>
      <c r="O150" s="18">
        <f t="shared" si="95"/>
        <v>-0.16470764584934505</v>
      </c>
      <c r="P150" s="14">
        <f t="shared" si="99"/>
        <v>-3.5273286119347519E-2</v>
      </c>
      <c r="Q150" s="56">
        <v>3</v>
      </c>
      <c r="R150" s="71">
        <f t="shared" si="100"/>
        <v>1.8189894035458565E-11</v>
      </c>
      <c r="S150" s="71">
        <f t="shared" si="96"/>
        <v>-0.35494481854017501</v>
      </c>
      <c r="T150" s="71">
        <v>-6.1949557464198671E-3</v>
      </c>
      <c r="U150" s="72">
        <v>0.15202477934182282</v>
      </c>
      <c r="V150" s="72">
        <f t="shared" si="97"/>
        <v>8.7103782376940728</v>
      </c>
      <c r="W150" s="72">
        <f t="shared" si="101"/>
        <v>1.3500311979441904E-12</v>
      </c>
      <c r="X150" s="14">
        <f t="shared" si="98"/>
        <v>3</v>
      </c>
    </row>
    <row r="151" spans="6:24" x14ac:dyDescent="0.3">
      <c r="F151" s="12" t="s">
        <v>6</v>
      </c>
      <c r="G151" s="12">
        <v>4000</v>
      </c>
      <c r="H151" s="12" t="s">
        <v>3</v>
      </c>
      <c r="J151" s="20">
        <f t="shared" si="102"/>
        <v>27.455254715483381</v>
      </c>
      <c r="K151" s="21">
        <f>'Nr(V)'!J57</f>
        <v>21443.404293622501</v>
      </c>
      <c r="L151" s="21">
        <f t="shared" si="92"/>
        <v>781.03097260756795</v>
      </c>
      <c r="M151" s="18">
        <f t="shared" si="93"/>
        <v>7.8545701964070256</v>
      </c>
      <c r="N151" s="18">
        <f t="shared" si="94"/>
        <v>-0.15110675308382041</v>
      </c>
      <c r="O151" s="18">
        <f t="shared" si="95"/>
        <v>-7.2407943850638909E-2</v>
      </c>
      <c r="P151" s="14">
        <f t="shared" si="99"/>
        <v>-8.2263089875329445E-2</v>
      </c>
      <c r="Q151" s="56">
        <v>4</v>
      </c>
      <c r="R151" s="71">
        <f t="shared" si="100"/>
        <v>0</v>
      </c>
      <c r="S151" s="71">
        <f t="shared" si="96"/>
        <v>-0.15110675308382041</v>
      </c>
      <c r="T151" s="71">
        <v>-2.6373103633107612E-3</v>
      </c>
      <c r="U151" s="72">
        <v>0.13708811125632028</v>
      </c>
      <c r="V151" s="72">
        <f t="shared" si="97"/>
        <v>7.8545701964070256</v>
      </c>
      <c r="W151" s="72">
        <f t="shared" si="101"/>
        <v>4.6540549192286562E-13</v>
      </c>
      <c r="X151" s="14">
        <f t="shared" si="98"/>
        <v>4</v>
      </c>
    </row>
    <row r="152" spans="6:24" ht="18.600000000000001" x14ac:dyDescent="0.3">
      <c r="F152" s="14" t="s">
        <v>72</v>
      </c>
      <c r="G152" s="14">
        <f>C$11*(1-G151/44300)^4.256</f>
        <v>0.81921393881961735</v>
      </c>
      <c r="H152" s="14" t="s">
        <v>73</v>
      </c>
      <c r="J152" s="20">
        <f t="shared" si="102"/>
        <v>28.322958832257619</v>
      </c>
      <c r="K152" s="21">
        <f>'Nr(V)'!J59</f>
        <v>21854.4038885638</v>
      </c>
      <c r="L152" s="21">
        <f t="shared" si="92"/>
        <v>771.61443541249491</v>
      </c>
      <c r="M152" s="18">
        <f t="shared" si="93"/>
        <v>7.077052304196723</v>
      </c>
      <c r="N152" s="18">
        <f t="shared" si="94"/>
        <v>-1.8548205727177275E-2</v>
      </c>
      <c r="O152" s="18">
        <f t="shared" si="95"/>
        <v>-9.1689137055418601E-3</v>
      </c>
      <c r="P152" s="14">
        <f t="shared" si="99"/>
        <v>-0.66209236358654522</v>
      </c>
      <c r="Q152" s="56">
        <v>5</v>
      </c>
      <c r="R152" s="71">
        <f t="shared" si="100"/>
        <v>0</v>
      </c>
      <c r="S152" s="71">
        <f t="shared" si="96"/>
        <v>-1.8548205727177275E-2</v>
      </c>
      <c r="T152" s="71">
        <v>-3.2372726027651253E-4</v>
      </c>
      <c r="U152" s="72">
        <v>0.12351786404408413</v>
      </c>
      <c r="V152" s="72">
        <f t="shared" si="97"/>
        <v>7.077052304196723</v>
      </c>
      <c r="W152" s="72">
        <f t="shared" si="101"/>
        <v>-1.1102230246251565E-14</v>
      </c>
      <c r="X152" s="14">
        <f t="shared" si="98"/>
        <v>5</v>
      </c>
    </row>
    <row r="153" spans="6:24" ht="18.600000000000001" x14ac:dyDescent="0.3">
      <c r="F153" s="14" t="s">
        <v>74</v>
      </c>
      <c r="G153" s="14">
        <f>C$4*((G152/C$11)-C$10)/(1-C$10)</f>
        <v>36255.721338568423</v>
      </c>
      <c r="H153" s="14" t="s">
        <v>32</v>
      </c>
      <c r="J153" s="20">
        <f t="shared" si="102"/>
        <v>29.190662949031857</v>
      </c>
      <c r="K153" s="21">
        <f>'Nr(V)'!J61</f>
        <v>22265.313470453199</v>
      </c>
      <c r="L153" s="21">
        <f t="shared" si="92"/>
        <v>762.75463525201144</v>
      </c>
      <c r="M153" s="18">
        <f t="shared" si="93"/>
        <v>6.3680632438821174</v>
      </c>
      <c r="N153" s="18">
        <f t="shared" si="94"/>
        <v>8.3656321905758058E-2</v>
      </c>
      <c r="O153" s="18">
        <f t="shared" si="95"/>
        <v>4.2620637146595877E-2</v>
      </c>
      <c r="P153" s="14">
        <f t="shared" si="99"/>
        <v>0.14511301827973946</v>
      </c>
      <c r="Q153" s="56">
        <v>6</v>
      </c>
      <c r="R153" s="71">
        <f>0.5*G$152*C$5*C$3*(U153-C$6)*J153^2+K153/J153*SIN(U153-C$1)-C$12*(C$14+G$155*(J$162-J153)/(J$162-J$148))*COS(T153)</f>
        <v>0</v>
      </c>
      <c r="S153" s="71">
        <f t="shared" si="96"/>
        <v>8.3656321905758058E-2</v>
      </c>
      <c r="T153" s="71">
        <v>1.4600782573637354E-3</v>
      </c>
      <c r="U153" s="72">
        <v>0.11114367058097359</v>
      </c>
      <c r="V153" s="72">
        <f t="shared" si="97"/>
        <v>6.3680632438821174</v>
      </c>
      <c r="W153" s="72">
        <f t="shared" si="101"/>
        <v>2.3270274596143281E-13</v>
      </c>
      <c r="X153" s="14">
        <f t="shared" si="98"/>
        <v>6</v>
      </c>
    </row>
    <row r="154" spans="6:24" ht="18.600000000000001" x14ac:dyDescent="0.3">
      <c r="F154" s="14" t="s">
        <v>75</v>
      </c>
      <c r="G154" s="14">
        <f>G153/G152/C$9^3/C$2^5</f>
        <v>4.7510604465779593E-2</v>
      </c>
      <c r="H154" s="14" t="s">
        <v>7</v>
      </c>
      <c r="J154" s="20">
        <f t="shared" si="102"/>
        <v>30.058367065806095</v>
      </c>
      <c r="K154" s="21">
        <f>'Nr(V)'!J62</f>
        <v>22617.624555560498</v>
      </c>
      <c r="L154" s="21">
        <f t="shared" si="92"/>
        <v>752.45686187956414</v>
      </c>
      <c r="M154" s="18">
        <f t="shared" si="93"/>
        <v>5.720280158899353</v>
      </c>
      <c r="N154" s="18">
        <f t="shared" si="94"/>
        <v>0.14088605221560677</v>
      </c>
      <c r="O154" s="18">
        <f t="shared" si="95"/>
        <v>7.3911210222559129E-2</v>
      </c>
      <c r="P154" s="14">
        <f t="shared" si="99"/>
        <v>8.5002984915786173E-2</v>
      </c>
      <c r="Q154" s="14">
        <v>7</v>
      </c>
      <c r="R154" s="71">
        <f t="shared" si="100"/>
        <v>0</v>
      </c>
      <c r="S154" s="71">
        <f t="shared" si="96"/>
        <v>0.14088605221560677</v>
      </c>
      <c r="T154" s="71">
        <v>2.4589254812989901E-3</v>
      </c>
      <c r="U154" s="72">
        <v>9.9837722909298127E-2</v>
      </c>
      <c r="V154" s="72">
        <f t="shared" si="97"/>
        <v>5.720280158899353</v>
      </c>
      <c r="W154" s="72">
        <f t="shared" si="101"/>
        <v>1.1723955140041653E-13</v>
      </c>
      <c r="X154" s="14">
        <f t="shared" si="98"/>
        <v>7</v>
      </c>
    </row>
    <row r="155" spans="6:24" x14ac:dyDescent="0.3">
      <c r="F155" s="14" t="s">
        <v>141</v>
      </c>
      <c r="G155" s="14">
        <f>G137-G138</f>
        <v>79.538712118432016</v>
      </c>
      <c r="H155" s="14" t="s">
        <v>0</v>
      </c>
      <c r="J155" s="20">
        <f t="shared" si="102"/>
        <v>30.926071182580333</v>
      </c>
      <c r="K155" s="21">
        <f>'Nr(V)'!J64</f>
        <v>23028.5341374499</v>
      </c>
      <c r="L155" s="21">
        <f t="shared" si="92"/>
        <v>744.63173810519902</v>
      </c>
      <c r="M155" s="18">
        <f t="shared" si="93"/>
        <v>5.1266048168529661</v>
      </c>
      <c r="N155" s="18">
        <f t="shared" si="94"/>
        <v>0.19021688910899479</v>
      </c>
      <c r="O155" s="18">
        <f t="shared" si="95"/>
        <v>0.10267161554395725</v>
      </c>
      <c r="P155" s="14">
        <f t="shared" si="99"/>
        <v>6.230363673825539E-2</v>
      </c>
      <c r="Q155" s="14">
        <v>8</v>
      </c>
      <c r="R155" s="71">
        <f t="shared" si="100"/>
        <v>0</v>
      </c>
      <c r="S155" s="71">
        <f t="shared" si="96"/>
        <v>0.19021688910899479</v>
      </c>
      <c r="T155" s="71">
        <v>3.319911007852902E-3</v>
      </c>
      <c r="U155" s="72">
        <v>8.9476133502685143E-2</v>
      </c>
      <c r="V155" s="72">
        <f t="shared" si="97"/>
        <v>5.1266048168529661</v>
      </c>
      <c r="W155" s="72">
        <f t="shared" si="101"/>
        <v>2.5934809855243657E-13</v>
      </c>
      <c r="X155" s="14">
        <f t="shared" si="98"/>
        <v>8</v>
      </c>
    </row>
    <row r="156" spans="6:24" x14ac:dyDescent="0.3">
      <c r="F156" s="14" t="s">
        <v>142</v>
      </c>
      <c r="G156" s="14" cm="1">
        <f t="array" ref="G156">C$16*(G169-G151)*MIN(IF(P148:P162&gt;0,P148:P162))</f>
        <v>7.7359812987159753</v>
      </c>
      <c r="H156" s="14" t="s">
        <v>0</v>
      </c>
      <c r="J156" s="20">
        <f t="shared" si="102"/>
        <v>31.793775299354571</v>
      </c>
      <c r="K156" s="21">
        <f>'Nr(V)'!J66</f>
        <v>23439.308699761401</v>
      </c>
      <c r="L156" s="21">
        <f t="shared" si="92"/>
        <v>737.22948844760913</v>
      </c>
      <c r="M156" s="18">
        <f t="shared" si="93"/>
        <v>4.5815928991103565</v>
      </c>
      <c r="N156" s="18">
        <f t="shared" si="94"/>
        <v>0.21588924138939211</v>
      </c>
      <c r="O156" s="18">
        <f t="shared" si="95"/>
        <v>0.11979796499253757</v>
      </c>
      <c r="P156" s="14">
        <f t="shared" si="99"/>
        <v>5.4349162639554291E-2</v>
      </c>
      <c r="Q156" s="56">
        <v>9</v>
      </c>
      <c r="R156" s="71">
        <f t="shared" si="100"/>
        <v>0</v>
      </c>
      <c r="S156" s="71">
        <f t="shared" si="96"/>
        <v>0.21588924138939211</v>
      </c>
      <c r="T156" s="71">
        <v>3.7679780818777099E-3</v>
      </c>
      <c r="U156" s="72">
        <v>7.9963881075468105E-2</v>
      </c>
      <c r="V156" s="72">
        <f t="shared" si="97"/>
        <v>4.5815928991103565</v>
      </c>
      <c r="W156" s="72">
        <f>-0.5*G$152*C$5*J156^2*(C$8+(C$3^2)*(U156-C$6)^2/(PI()*C$7))+K156/J156*COS(U156-C$1)-C$12*(C$14+G$155*(J$162-J156)/(J$162-J$148))*SIN(T156)</f>
        <v>-9.2370555648813024E-14</v>
      </c>
      <c r="X156" s="14">
        <f t="shared" si="98"/>
        <v>9</v>
      </c>
    </row>
    <row r="157" spans="6:24" x14ac:dyDescent="0.3">
      <c r="F157" s="14" t="s">
        <v>144</v>
      </c>
      <c r="G157" s="14">
        <f>(J162-J148)/Q161</f>
        <v>0.86770411677423809</v>
      </c>
      <c r="H157" s="14" t="s">
        <v>145</v>
      </c>
      <c r="J157" s="20">
        <f t="shared" si="102"/>
        <v>32.661479416128813</v>
      </c>
      <c r="K157" s="21">
        <f>'Nr(V)'!J68</f>
        <v>23908.8167784328</v>
      </c>
      <c r="L157" s="21">
        <f t="shared" si="92"/>
        <v>732.01879418316264</v>
      </c>
      <c r="M157" s="18">
        <f t="shared" si="93"/>
        <v>4.0800980817120207</v>
      </c>
      <c r="N157" s="18">
        <f t="shared" si="94"/>
        <v>0.23585640143354891</v>
      </c>
      <c r="O157" s="18">
        <f t="shared" si="95"/>
        <v>0.13444964550449515</v>
      </c>
      <c r="P157" s="14">
        <f t="shared" si="99"/>
        <v>4.9396470842960068E-2</v>
      </c>
      <c r="Q157" s="56">
        <v>10</v>
      </c>
      <c r="R157" s="71">
        <f t="shared" si="100"/>
        <v>-3.2660864235367626E-8</v>
      </c>
      <c r="S157" s="71">
        <f t="shared" si="96"/>
        <v>0.23585640143354891</v>
      </c>
      <c r="T157" s="71">
        <v>4.1164707669209023E-3</v>
      </c>
      <c r="U157" s="72">
        <v>7.1211145330179401E-2</v>
      </c>
      <c r="V157" s="72">
        <f t="shared" si="97"/>
        <v>4.0800980817120207</v>
      </c>
      <c r="W157" s="72">
        <f t="shared" si="101"/>
        <v>-1.2008172234345693E-12</v>
      </c>
      <c r="X157" s="14">
        <f t="shared" si="98"/>
        <v>10</v>
      </c>
    </row>
    <row r="158" spans="6:24" x14ac:dyDescent="0.3">
      <c r="J158" s="20">
        <f t="shared" si="102"/>
        <v>33.529183532903048</v>
      </c>
      <c r="K158" s="21">
        <f>'Nr(V)'!J69</f>
        <v>24320.086412529799</v>
      </c>
      <c r="L158" s="21">
        <f t="shared" si="92"/>
        <v>725.34084788148436</v>
      </c>
      <c r="M158" s="18">
        <f t="shared" si="93"/>
        <v>3.6179988400515657</v>
      </c>
      <c r="N158" s="18">
        <f t="shared" si="94"/>
        <v>0.21880362444878063</v>
      </c>
      <c r="O158" s="18">
        <f t="shared" si="95"/>
        <v>0.12804239880458237</v>
      </c>
      <c r="P158" s="14">
        <f t="shared" si="99"/>
        <v>5.2760488885766545E-2</v>
      </c>
      <c r="Q158" s="56">
        <v>11</v>
      </c>
      <c r="R158" s="71">
        <f t="shared" si="100"/>
        <v>0</v>
      </c>
      <c r="S158" s="71">
        <f t="shared" si="96"/>
        <v>0.21880362444878063</v>
      </c>
      <c r="T158" s="71">
        <v>3.8188436619283847E-3</v>
      </c>
      <c r="U158" s="72">
        <v>6.3145992092235509E-2</v>
      </c>
      <c r="V158" s="72">
        <f t="shared" si="97"/>
        <v>3.6179988400515657</v>
      </c>
      <c r="W158" s="72">
        <f t="shared" si="101"/>
        <v>1.3500311979441904E-13</v>
      </c>
      <c r="X158" s="14">
        <f t="shared" si="98"/>
        <v>11</v>
      </c>
    </row>
    <row r="159" spans="6:24" x14ac:dyDescent="0.3">
      <c r="J159" s="20">
        <f t="shared" si="102"/>
        <v>34.396887649677282</v>
      </c>
      <c r="K159" s="21">
        <f>'Nr(V)'!J71</f>
        <v>24789.684504253099</v>
      </c>
      <c r="L159" s="21">
        <f t="shared" si="92"/>
        <v>720.69556864356821</v>
      </c>
      <c r="M159" s="18">
        <f t="shared" si="93"/>
        <v>3.1911864467933739</v>
      </c>
      <c r="N159" s="18">
        <f t="shared" si="94"/>
        <v>0.19798004299853975</v>
      </c>
      <c r="O159" s="18">
        <f t="shared" si="95"/>
        <v>0.11885489301821363</v>
      </c>
      <c r="P159" s="14">
        <f t="shared" si="99"/>
        <v>5.7936390320492796E-2</v>
      </c>
      <c r="Q159" s="56">
        <v>12</v>
      </c>
      <c r="R159" s="71">
        <f t="shared" si="100"/>
        <v>-1.4522356650559232E-7</v>
      </c>
      <c r="S159" s="71">
        <f t="shared" si="96"/>
        <v>0.19798004299853975</v>
      </c>
      <c r="T159" s="71">
        <v>3.4554036035644655E-3</v>
      </c>
      <c r="U159" s="72">
        <v>5.5696710541563214E-2</v>
      </c>
      <c r="V159" s="72">
        <f t="shared" si="97"/>
        <v>3.1911864467933739</v>
      </c>
      <c r="W159" s="72">
        <f t="shared" si="101"/>
        <v>-1.5990764268281055E-11</v>
      </c>
      <c r="X159" s="14">
        <f t="shared" si="98"/>
        <v>12</v>
      </c>
    </row>
    <row r="160" spans="6:24" x14ac:dyDescent="0.3">
      <c r="J160" s="20">
        <f t="shared" si="102"/>
        <v>35.264591766451524</v>
      </c>
      <c r="K160" s="21">
        <f>'Nr(V)'!J73</f>
        <v>25082.8120077411</v>
      </c>
      <c r="L160" s="21">
        <f t="shared" si="92"/>
        <v>711.27470222420902</v>
      </c>
      <c r="M160" s="18">
        <f t="shared" si="93"/>
        <v>2.7965389493170187</v>
      </c>
      <c r="N160" s="18">
        <f t="shared" si="94"/>
        <v>0.1118795230996958</v>
      </c>
      <c r="O160" s="18">
        <f t="shared" si="95"/>
        <v>6.8859927126146317E-2</v>
      </c>
      <c r="P160" s="14">
        <f t="shared" si="99"/>
        <v>0.10118290957764495</v>
      </c>
      <c r="Q160" s="14">
        <v>13</v>
      </c>
      <c r="R160" s="71">
        <f t="shared" si="100"/>
        <v>0</v>
      </c>
      <c r="S160" s="71">
        <f t="shared" si="96"/>
        <v>0.1118795230996958</v>
      </c>
      <c r="T160" s="71">
        <v>1.9526660436507439E-3</v>
      </c>
      <c r="U160" s="72">
        <v>4.8808812325844803E-2</v>
      </c>
      <c r="V160" s="72">
        <f t="shared" si="97"/>
        <v>2.7965389493170187</v>
      </c>
      <c r="W160" s="72">
        <f t="shared" si="101"/>
        <v>-7.1054273576010019E-14</v>
      </c>
      <c r="X160" s="14">
        <f t="shared" si="98"/>
        <v>13</v>
      </c>
    </row>
    <row r="161" spans="6:24" x14ac:dyDescent="0.3">
      <c r="J161" s="20">
        <f t="shared" si="102"/>
        <v>36.132295883225765</v>
      </c>
      <c r="K161" s="21">
        <v>25300</v>
      </c>
      <c r="L161" s="21">
        <f t="shared" si="92"/>
        <v>700.2046059227971</v>
      </c>
      <c r="M161" s="18">
        <f t="shared" si="93"/>
        <v>2.4307987402161575</v>
      </c>
      <c r="N161" s="18">
        <f t="shared" si="94"/>
        <v>-1.0354607273740896E-2</v>
      </c>
      <c r="O161" s="18">
        <f t="shared" si="95"/>
        <v>-6.5299003680962002E-3</v>
      </c>
      <c r="P161" s="14">
        <f t="shared" si="99"/>
        <v>-1.0762457896163482</v>
      </c>
      <c r="Q161" s="14">
        <v>14</v>
      </c>
      <c r="R161" s="71">
        <f t="shared" si="100"/>
        <v>-1.7912498151417822E-8</v>
      </c>
      <c r="S161" s="71">
        <f t="shared" si="96"/>
        <v>-1.0354607273740896E-2</v>
      </c>
      <c r="T161" s="71">
        <v>-1.8072198967773243E-4</v>
      </c>
      <c r="U161" s="72">
        <v>4.242544147010225E-2</v>
      </c>
      <c r="V161" s="72">
        <f t="shared" si="97"/>
        <v>2.4307987402161575</v>
      </c>
      <c r="W161" s="72">
        <f t="shared" si="101"/>
        <v>1.0020873020266663E-11</v>
      </c>
      <c r="X161" s="14">
        <f t="shared" si="98"/>
        <v>14</v>
      </c>
    </row>
    <row r="162" spans="6:24" x14ac:dyDescent="0.3">
      <c r="J162" s="20">
        <v>37</v>
      </c>
      <c r="K162" s="21">
        <f>'Nr(V)'!J76</f>
        <v>25669.652099554402</v>
      </c>
      <c r="L162" s="21">
        <f t="shared" si="92"/>
        <v>693.77438106903787</v>
      </c>
      <c r="M162" s="18">
        <f t="shared" si="93"/>
        <v>2.0911411576006906</v>
      </c>
      <c r="N162" s="18">
        <f t="shared" si="94"/>
        <v>-0.10888968021059033</v>
      </c>
      <c r="O162" s="18">
        <f t="shared" si="95"/>
        <v>-7.0317844991931153E-2</v>
      </c>
      <c r="P162" s="14">
        <f t="shared" si="99"/>
        <v>-0.10140326281843673</v>
      </c>
      <c r="Q162" s="56">
        <v>15</v>
      </c>
      <c r="R162" s="71">
        <f t="shared" si="100"/>
        <v>-1.3898152428737376E-4</v>
      </c>
      <c r="S162" s="71">
        <f t="shared" si="96"/>
        <v>-0.10888968021059033</v>
      </c>
      <c r="T162" s="71">
        <v>-1.9004834411185136E-3</v>
      </c>
      <c r="U162" s="72">
        <v>3.6497298324097698E-2</v>
      </c>
      <c r="V162" s="72">
        <f t="shared" si="97"/>
        <v>2.0911411576006906</v>
      </c>
      <c r="W162" s="72">
        <f t="shared" si="101"/>
        <v>-7.2970321370569025E-3</v>
      </c>
      <c r="X162" s="14">
        <f t="shared" si="98"/>
        <v>15</v>
      </c>
    </row>
    <row r="163" spans="6:24" ht="15.6" thickBot="1" x14ac:dyDescent="0.35"/>
    <row r="164" spans="6:24" ht="16.2" thickBot="1" x14ac:dyDescent="0.35">
      <c r="J164" s="134" t="s">
        <v>108</v>
      </c>
      <c r="K164" s="135"/>
      <c r="L164" s="135"/>
      <c r="M164" s="135"/>
      <c r="N164" s="135"/>
      <c r="O164" s="136"/>
    </row>
    <row r="165" spans="6:24" ht="18.600000000000001" thickBot="1" x14ac:dyDescent="0.35">
      <c r="F165" s="66"/>
      <c r="J165" s="100" t="s">
        <v>76</v>
      </c>
      <c r="K165" s="100" t="s">
        <v>77</v>
      </c>
      <c r="L165" s="100" t="s">
        <v>78</v>
      </c>
      <c r="M165" s="100" t="s">
        <v>79</v>
      </c>
      <c r="N165" s="100" t="s">
        <v>85</v>
      </c>
      <c r="O165" s="100" t="s">
        <v>80</v>
      </c>
      <c r="P165" s="14" t="s">
        <v>143</v>
      </c>
      <c r="R165" s="67" t="s">
        <v>88</v>
      </c>
      <c r="S165" s="68" t="s">
        <v>90</v>
      </c>
      <c r="T165" s="68" t="s">
        <v>89</v>
      </c>
      <c r="U165" s="70" t="s">
        <v>89</v>
      </c>
      <c r="V165" s="70" t="s">
        <v>90</v>
      </c>
      <c r="W165" s="69" t="s">
        <v>91</v>
      </c>
    </row>
    <row r="166" spans="6:24" x14ac:dyDescent="0.3">
      <c r="F166" s="66"/>
      <c r="J166" s="103">
        <f>SQRT(2*(C$14+G173)*C$12/C$5/C$15/G170)</f>
        <v>25.379733241956714</v>
      </c>
      <c r="K166" s="102">
        <f>'Nr(V)'!K53</f>
        <v>19092.7134434492</v>
      </c>
      <c r="L166" s="102">
        <f t="shared" ref="L166:L180" si="103">K166/J166</f>
        <v>752.28188024789495</v>
      </c>
      <c r="M166" s="104">
        <f t="shared" ref="M166:M180" si="104">V166</f>
        <v>10.709263187133667</v>
      </c>
      <c r="N166" s="104">
        <f t="shared" ref="N166:N180" si="105">S166</f>
        <v>-1.209691056542916</v>
      </c>
      <c r="O166" s="104">
        <f t="shared" ref="O166:O180" si="106">J166*SIN(RADIANS(N166))</f>
        <v>-0.53580483050441463</v>
      </c>
      <c r="P166" s="14">
        <f>(K166/1000)/(O166*3600)</f>
        <v>-9.8982525168285589E-3</v>
      </c>
      <c r="Q166" s="14">
        <v>1</v>
      </c>
      <c r="R166" s="71">
        <f>0.5*G$170*C$5*C$3*(U166-C$6)*J166^2+K166/J166*SIN(U166-C$1)-C$12*(C$14+G$173*(J$180-J166)/(J$180-J$166))*COS(T166)</f>
        <v>4.3267741784802638E-4</v>
      </c>
      <c r="S166" s="71">
        <f t="shared" ref="S166:S180" si="107">DEGREES(T166)</f>
        <v>-1.209691056542916</v>
      </c>
      <c r="T166" s="71">
        <v>-2.1113091868602777E-2</v>
      </c>
      <c r="U166" s="72">
        <v>0.18691190307810412</v>
      </c>
      <c r="V166" s="72">
        <f t="shared" ref="V166:V180" si="108">DEGREES(U166)</f>
        <v>10.709263187133667</v>
      </c>
      <c r="W166" s="72">
        <f>-0.5*G$170*C$5*J166^2*(C$8+(C$3^2)*(U166-C$6)^2/(PI()*C$7))+K166/J166*COS(U166-C$1)-C$12*(C$14+G$173*(J$180-J166)/(J$180-J$166))*SIN(T166)</f>
        <v>9.2865359675897707E-5</v>
      </c>
      <c r="X166" s="14">
        <f t="shared" ref="X166:X180" si="109">Q166</f>
        <v>1</v>
      </c>
    </row>
    <row r="167" spans="6:24" x14ac:dyDescent="0.3">
      <c r="F167" s="66"/>
      <c r="J167" s="20">
        <f>J$166+Q166*G$174</f>
        <v>26.209752296102664</v>
      </c>
      <c r="K167" s="21">
        <f>'Nr(V)'!K55</f>
        <v>19503.533012286702</v>
      </c>
      <c r="L167" s="21">
        <f t="shared" si="103"/>
        <v>744.13267214230166</v>
      </c>
      <c r="M167" s="18">
        <f t="shared" si="104"/>
        <v>9.7305530184913458</v>
      </c>
      <c r="N167" s="18">
        <f t="shared" si="105"/>
        <v>-0.96304381106443948</v>
      </c>
      <c r="O167" s="18">
        <f t="shared" si="106"/>
        <v>-0.44052025218857099</v>
      </c>
      <c r="P167" s="14">
        <f t="shared" ref="P167:P180" si="110">(K167/1000)/(O167*3600)</f>
        <v>-1.229829510006143E-2</v>
      </c>
      <c r="Q167" s="14">
        <v>2</v>
      </c>
      <c r="R167" s="71">
        <f t="shared" ref="R167:R180" si="111">0.5*G$170*C$5*C$3*(U167-C$6)*J167^2+K167/J167*SIN(U167-C$1)-C$12*(C$14+G$173*(J$180-J167)/(J$180-J$166))*COS(T167)</f>
        <v>2.3796584810042987E-4</v>
      </c>
      <c r="S167" s="71">
        <f t="shared" si="107"/>
        <v>-0.96304381106443948</v>
      </c>
      <c r="T167" s="71">
        <v>-1.6808285344028666E-2</v>
      </c>
      <c r="U167" s="72">
        <v>0.16983018821254667</v>
      </c>
      <c r="V167" s="72">
        <f t="shared" si="108"/>
        <v>9.7305530184913458</v>
      </c>
      <c r="W167" s="72">
        <f t="shared" ref="W167:W180" si="112">-0.5*G$170*C$5*J167^2*(C$8+(C$3^2)*(U167-C$6)^2/(PI()*C$7))+K167/J167*COS(U167-C$1)-C$12*(C$14+G$173*(J$180-J167)/(J$180-J$166))*SIN(T167)</f>
        <v>4.8619349882983443E-5</v>
      </c>
      <c r="X167" s="14">
        <f t="shared" si="109"/>
        <v>2</v>
      </c>
    </row>
    <row r="168" spans="6:24" x14ac:dyDescent="0.3">
      <c r="F168" s="66"/>
      <c r="J168" s="20">
        <f t="shared" ref="J168:J179" si="113">J$166+Q167*G$174</f>
        <v>27.039771350248611</v>
      </c>
      <c r="K168" s="21">
        <f>'Nr(V)'!K57</f>
        <v>19914.262568072299</v>
      </c>
      <c r="L168" s="21">
        <f t="shared" si="103"/>
        <v>736.48043506437432</v>
      </c>
      <c r="M168" s="18">
        <f t="shared" si="104"/>
        <v>8.8396903804232831</v>
      </c>
      <c r="N168" s="18">
        <f t="shared" si="105"/>
        <v>-0.75372776887420412</v>
      </c>
      <c r="O168" s="18">
        <f t="shared" si="106"/>
        <v>-0.35569877713985093</v>
      </c>
      <c r="P168" s="14">
        <f t="shared" si="110"/>
        <v>-1.5551753218615589E-2</v>
      </c>
      <c r="Q168" s="56">
        <v>3</v>
      </c>
      <c r="R168" s="71">
        <f t="shared" si="111"/>
        <v>2.504910844436381E-5</v>
      </c>
      <c r="S168" s="71">
        <f t="shared" si="107"/>
        <v>-0.75372776887420412</v>
      </c>
      <c r="T168" s="71">
        <v>-1.3155031230565696E-2</v>
      </c>
      <c r="U168" s="72">
        <v>0.1542817019952564</v>
      </c>
      <c r="V168" s="72">
        <f t="shared" si="108"/>
        <v>8.8396903804232831</v>
      </c>
      <c r="W168" s="72">
        <f t="shared" si="112"/>
        <v>6.1810670644035781E-6</v>
      </c>
      <c r="X168" s="14">
        <f t="shared" si="109"/>
        <v>3</v>
      </c>
    </row>
    <row r="169" spans="6:24" x14ac:dyDescent="0.3">
      <c r="F169" s="12" t="s">
        <v>6</v>
      </c>
      <c r="G169" s="12">
        <v>4500</v>
      </c>
      <c r="H169" s="12" t="s">
        <v>3</v>
      </c>
      <c r="J169" s="20">
        <f t="shared" si="113"/>
        <v>27.869790404394561</v>
      </c>
      <c r="K169" s="21">
        <f>'Nr(V)'!K58</f>
        <v>20149.106620459901</v>
      </c>
      <c r="L169" s="21">
        <f t="shared" si="103"/>
        <v>722.97302305089283</v>
      </c>
      <c r="M169" s="18">
        <f t="shared" si="104"/>
        <v>8.0280855217196461</v>
      </c>
      <c r="N169" s="18">
        <f t="shared" si="105"/>
        <v>-0.63323384960542328</v>
      </c>
      <c r="O169" s="18">
        <f t="shared" si="106"/>
        <v>-0.3080110880858446</v>
      </c>
      <c r="P169" s="14">
        <f t="shared" si="110"/>
        <v>-1.817133953203318E-2</v>
      </c>
      <c r="Q169" s="56">
        <v>4</v>
      </c>
      <c r="R169" s="71">
        <f t="shared" si="111"/>
        <v>2.2087879187893122E-6</v>
      </c>
      <c r="S169" s="71">
        <f t="shared" si="107"/>
        <v>-0.63323384960542328</v>
      </c>
      <c r="T169" s="71">
        <v>-1.1052015610693232E-2</v>
      </c>
      <c r="U169" s="72">
        <v>0.14011652498569457</v>
      </c>
      <c r="V169" s="72">
        <f t="shared" si="108"/>
        <v>8.0280855217196461</v>
      </c>
      <c r="W169" s="72">
        <f t="shared" si="112"/>
        <v>1.8329644717596238E-6</v>
      </c>
      <c r="X169" s="14">
        <f t="shared" si="109"/>
        <v>4</v>
      </c>
    </row>
    <row r="170" spans="6:24" ht="18.600000000000001" x14ac:dyDescent="0.3">
      <c r="F170" s="14" t="s">
        <v>72</v>
      </c>
      <c r="G170" s="14">
        <f>C$11*(1-G169/44300)^4.256</f>
        <v>0.77682181220511726</v>
      </c>
      <c r="H170" s="14" t="s">
        <v>73</v>
      </c>
      <c r="J170" s="20">
        <f t="shared" si="113"/>
        <v>28.699809458540511</v>
      </c>
      <c r="K170" s="21">
        <f>'Nr(V)'!K60</f>
        <v>20559.701156667699</v>
      </c>
      <c r="L170" s="21">
        <f t="shared" si="103"/>
        <v>716.3706499991946</v>
      </c>
      <c r="M170" s="18">
        <f t="shared" si="104"/>
        <v>7.2844956766816296</v>
      </c>
      <c r="N170" s="18">
        <f t="shared" si="105"/>
        <v>-0.48706800847770937</v>
      </c>
      <c r="O170" s="18">
        <f t="shared" si="106"/>
        <v>-0.24397243202305668</v>
      </c>
      <c r="P170" s="14">
        <f t="shared" si="110"/>
        <v>-2.3408497639334263E-2</v>
      </c>
      <c r="Q170" s="56">
        <v>5</v>
      </c>
      <c r="R170" s="71">
        <f t="shared" si="111"/>
        <v>2.7133492949360516E-5</v>
      </c>
      <c r="S170" s="71">
        <f t="shared" si="107"/>
        <v>-0.48706800847770937</v>
      </c>
      <c r="T170" s="71">
        <v>-8.5009404290676827E-3</v>
      </c>
      <c r="U170" s="72">
        <v>0.12713843390538676</v>
      </c>
      <c r="V170" s="72">
        <f t="shared" si="108"/>
        <v>7.2844956766816296</v>
      </c>
      <c r="W170" s="72">
        <f t="shared" si="112"/>
        <v>5.3587834614177154E-6</v>
      </c>
      <c r="X170" s="14">
        <f t="shared" si="109"/>
        <v>5</v>
      </c>
    </row>
    <row r="171" spans="6:24" ht="18.600000000000001" x14ac:dyDescent="0.3">
      <c r="F171" s="14" t="s">
        <v>74</v>
      </c>
      <c r="G171" s="14">
        <f>C$4*((G170/C$11)-C$10)/(1-C$10)</f>
        <v>33882.569924095449</v>
      </c>
      <c r="H171" s="14" t="s">
        <v>32</v>
      </c>
      <c r="J171" s="20">
        <f t="shared" si="113"/>
        <v>29.529828512686457</v>
      </c>
      <c r="K171" s="21">
        <f>'Nr(V)'!K61</f>
        <v>20853.368738467001</v>
      </c>
      <c r="L171" s="21">
        <f t="shared" si="103"/>
        <v>706.17981169474388</v>
      </c>
      <c r="M171" s="18">
        <f t="shared" si="104"/>
        <v>6.6035378621029057</v>
      </c>
      <c r="N171" s="18">
        <f t="shared" si="105"/>
        <v>-0.40396883617544321</v>
      </c>
      <c r="O171" s="18">
        <f t="shared" si="106"/>
        <v>-0.20820087838899348</v>
      </c>
      <c r="P171" s="14">
        <f t="shared" si="110"/>
        <v>-2.7822180541089255E-2</v>
      </c>
      <c r="Q171" s="56">
        <v>6</v>
      </c>
      <c r="R171" s="71">
        <f t="shared" si="111"/>
        <v>3.0793398764217272E-7</v>
      </c>
      <c r="S171" s="71">
        <f t="shared" si="107"/>
        <v>-0.40396883617544321</v>
      </c>
      <c r="T171" s="71">
        <v>-7.0505862667110614E-3</v>
      </c>
      <c r="U171" s="72">
        <v>0.11525347797380298</v>
      </c>
      <c r="V171" s="72">
        <f t="shared" si="108"/>
        <v>6.6035378621029057</v>
      </c>
      <c r="W171" s="72">
        <f t="shared" si="112"/>
        <v>3.6997585795006671E-7</v>
      </c>
      <c r="X171" s="14">
        <f t="shared" si="109"/>
        <v>6</v>
      </c>
    </row>
    <row r="172" spans="6:24" ht="18.600000000000001" x14ac:dyDescent="0.3">
      <c r="F172" s="14" t="s">
        <v>75</v>
      </c>
      <c r="G172" s="14">
        <f>G171/G170/C$9^3/C$2^5</f>
        <v>4.6823758433404715E-2</v>
      </c>
      <c r="H172" s="14" t="s">
        <v>7</v>
      </c>
      <c r="J172" s="20">
        <f t="shared" si="113"/>
        <v>30.359847566832407</v>
      </c>
      <c r="K172" s="21">
        <f>'Nr(V)'!K63</f>
        <v>21205.454790944601</v>
      </c>
      <c r="L172" s="21">
        <f t="shared" si="103"/>
        <v>698.47039726613059</v>
      </c>
      <c r="M172" s="18">
        <f t="shared" si="104"/>
        <v>5.9777084599399108</v>
      </c>
      <c r="N172" s="18">
        <f t="shared" si="105"/>
        <v>-0.32802614529908042</v>
      </c>
      <c r="O172" s="18">
        <f t="shared" si="106"/>
        <v>-0.17381331487651702</v>
      </c>
      <c r="P172" s="14">
        <f t="shared" si="110"/>
        <v>-3.3889257061695585E-2</v>
      </c>
      <c r="Q172" s="14">
        <v>7</v>
      </c>
      <c r="R172" s="71">
        <f>0.5*G$170*C$5*C$3*(U172-C$6)*J172^2+K172/J172*SIN(U172-C$1)-C$12*(C$14+G$173*(J$180-J172)/(J$180-J$166))*COS(T172)</f>
        <v>3.7503014027606696E-8</v>
      </c>
      <c r="S172" s="71">
        <f t="shared" si="107"/>
        <v>-0.32802614529908042</v>
      </c>
      <c r="T172" s="71">
        <v>-5.7251362680942729E-3</v>
      </c>
      <c r="U172" s="72">
        <v>0.10433069435027101</v>
      </c>
      <c r="V172" s="72">
        <f t="shared" si="108"/>
        <v>5.9777084599399108</v>
      </c>
      <c r="W172" s="72">
        <f t="shared" si="112"/>
        <v>9.7378858754382236E-8</v>
      </c>
      <c r="X172" s="14">
        <f t="shared" si="109"/>
        <v>7</v>
      </c>
    </row>
    <row r="173" spans="6:24" x14ac:dyDescent="0.3">
      <c r="F173" s="14" t="s">
        <v>141</v>
      </c>
      <c r="G173" s="14">
        <f>G155-G156</f>
        <v>71.802730819716047</v>
      </c>
      <c r="H173" s="14" t="s">
        <v>0</v>
      </c>
      <c r="J173" s="20">
        <f t="shared" si="113"/>
        <v>31.189866620978357</v>
      </c>
      <c r="K173" s="21">
        <f>'Nr(V)'!K65</f>
        <v>21674.917863090101</v>
      </c>
      <c r="L173" s="21">
        <f t="shared" si="103"/>
        <v>694.93461214455829</v>
      </c>
      <c r="M173" s="18">
        <f t="shared" si="104"/>
        <v>5.4012898057244589</v>
      </c>
      <c r="N173" s="18">
        <f t="shared" si="105"/>
        <v>-0.24146298933143859</v>
      </c>
      <c r="O173" s="18">
        <f t="shared" si="106"/>
        <v>-0.13144382015851563</v>
      </c>
      <c r="P173" s="14">
        <f t="shared" si="110"/>
        <v>-4.580520035300395E-2</v>
      </c>
      <c r="Q173" s="14">
        <v>8</v>
      </c>
      <c r="R173" s="71">
        <f t="shared" si="111"/>
        <v>1.0952689990517683E-6</v>
      </c>
      <c r="S173" s="71">
        <f t="shared" si="107"/>
        <v>-0.24146298933143859</v>
      </c>
      <c r="T173" s="71">
        <v>-4.214324185541545E-3</v>
      </c>
      <c r="U173" s="72">
        <v>9.4270290964296677E-2</v>
      </c>
      <c r="V173" s="72">
        <f t="shared" si="108"/>
        <v>5.4012898057244589</v>
      </c>
      <c r="W173" s="72">
        <f t="shared" si="112"/>
        <v>3.572822997455205E-7</v>
      </c>
      <c r="X173" s="14">
        <f t="shared" si="109"/>
        <v>8</v>
      </c>
    </row>
    <row r="174" spans="6:24" x14ac:dyDescent="0.3">
      <c r="F174" s="14" t="s">
        <v>144</v>
      </c>
      <c r="G174" s="14">
        <f>(J180-J166)/Q179</f>
        <v>0.83001905414594901</v>
      </c>
      <c r="H174" s="14" t="s">
        <v>145</v>
      </c>
      <c r="J174" s="20">
        <f t="shared" si="113"/>
        <v>32.019885675124307</v>
      </c>
      <c r="K174" s="21">
        <f>'Nr(V)'!K67</f>
        <v>21968.225392681899</v>
      </c>
      <c r="L174" s="21">
        <f t="shared" si="103"/>
        <v>686.08069421523987</v>
      </c>
      <c r="M174" s="18">
        <f t="shared" si="104"/>
        <v>4.87029711213955</v>
      </c>
      <c r="N174" s="18">
        <f t="shared" si="105"/>
        <v>-0.22726703976602503</v>
      </c>
      <c r="O174" s="18">
        <f t="shared" si="106"/>
        <v>-0.12700840464177063</v>
      </c>
      <c r="P174" s="14">
        <f t="shared" si="110"/>
        <v>-4.8046307238580992E-2</v>
      </c>
      <c r="Q174" s="56">
        <v>9</v>
      </c>
      <c r="R174" s="71">
        <f t="shared" si="111"/>
        <v>-1.7271304386667907E-8</v>
      </c>
      <c r="S174" s="71">
        <f t="shared" si="107"/>
        <v>-0.22726703976602503</v>
      </c>
      <c r="T174" s="71">
        <v>-3.9665581251780201E-3</v>
      </c>
      <c r="U174" s="72">
        <v>8.500272015720664E-2</v>
      </c>
      <c r="V174" s="72">
        <f t="shared" si="108"/>
        <v>4.87029711213955</v>
      </c>
      <c r="W174" s="72">
        <f>-0.5*G$170*C$5*J174^2*(C$8+(C$3^2)*(U174-C$6)^2/(PI()*C$7))+K174/J174*COS(U174-C$1)-C$12*(C$14+G$173*(J$180-J174)/(J$180-J$166))*SIN(T174)</f>
        <v>2.716049607442983E-11</v>
      </c>
      <c r="X174" s="14">
        <f t="shared" si="109"/>
        <v>9</v>
      </c>
    </row>
    <row r="175" spans="6:24" x14ac:dyDescent="0.3">
      <c r="J175" s="20">
        <f t="shared" si="113"/>
        <v>32.849904729270257</v>
      </c>
      <c r="K175" s="21">
        <f>'Nr(V)'!K68</f>
        <v>22379.360007201001</v>
      </c>
      <c r="L175" s="21">
        <f t="shared" si="103"/>
        <v>681.26103231161937</v>
      </c>
      <c r="M175" s="18">
        <f t="shared" si="104"/>
        <v>4.3793963041949997</v>
      </c>
      <c r="N175" s="18">
        <f t="shared" si="105"/>
        <v>-0.19980864826023917</v>
      </c>
      <c r="O175" s="18">
        <f t="shared" si="106"/>
        <v>-0.11455785768648849</v>
      </c>
      <c r="P175" s="14">
        <f t="shared" si="110"/>
        <v>-5.4265058865729555E-2</v>
      </c>
      <c r="Q175" s="56">
        <v>10</v>
      </c>
      <c r="R175" s="71">
        <f t="shared" si="111"/>
        <v>-2.4791916075628251E-8</v>
      </c>
      <c r="S175" s="71">
        <f t="shared" si="107"/>
        <v>-0.19980864826023917</v>
      </c>
      <c r="T175" s="71">
        <v>-3.4873187861004132E-3</v>
      </c>
      <c r="U175" s="72">
        <v>7.6434884757873897E-2</v>
      </c>
      <c r="V175" s="72">
        <f t="shared" si="108"/>
        <v>4.3793963041949997</v>
      </c>
      <c r="W175" s="72">
        <f t="shared" si="112"/>
        <v>1.3964651657261129E-10</v>
      </c>
      <c r="X175" s="14">
        <f t="shared" si="109"/>
        <v>10</v>
      </c>
    </row>
    <row r="176" spans="6:24" x14ac:dyDescent="0.3">
      <c r="J176" s="20">
        <f t="shared" si="113"/>
        <v>33.6799237834162</v>
      </c>
      <c r="K176" s="21">
        <f>'Nr(V)'!K70</f>
        <v>22848.9580989243</v>
      </c>
      <c r="L176" s="21">
        <f t="shared" si="103"/>
        <v>678.41478044481187</v>
      </c>
      <c r="M176" s="18">
        <f t="shared" si="104"/>
        <v>3.9249802139619101</v>
      </c>
      <c r="N176" s="18">
        <f t="shared" si="105"/>
        <v>-0.17574354741343781</v>
      </c>
      <c r="O176" s="18">
        <f t="shared" si="106"/>
        <v>-0.10330638750766036</v>
      </c>
      <c r="P176" s="14">
        <f t="shared" si="110"/>
        <v>-6.1437951305635514E-2</v>
      </c>
      <c r="Q176" s="56">
        <v>11</v>
      </c>
      <c r="R176" s="71">
        <f t="shared" si="111"/>
        <v>-1.8526407075114548E-8</v>
      </c>
      <c r="S176" s="71">
        <f t="shared" si="107"/>
        <v>-0.17574354741343781</v>
      </c>
      <c r="T176" s="71">
        <v>-3.0673035414992538E-3</v>
      </c>
      <c r="U176" s="72">
        <v>6.8503827809266837E-2</v>
      </c>
      <c r="V176" s="72">
        <f t="shared" si="108"/>
        <v>3.9249802139619101</v>
      </c>
      <c r="W176" s="72">
        <f t="shared" si="112"/>
        <v>8.340350632352056E-11</v>
      </c>
      <c r="X176" s="14">
        <f t="shared" si="109"/>
        <v>11</v>
      </c>
    </row>
    <row r="177" spans="10:24" x14ac:dyDescent="0.3">
      <c r="J177" s="20">
        <f t="shared" si="113"/>
        <v>34.50994283756215</v>
      </c>
      <c r="K177" s="21">
        <f>'Nr(V)'!K71</f>
        <v>23142.6256807237</v>
      </c>
      <c r="L177" s="21">
        <f t="shared" si="103"/>
        <v>670.60747650773396</v>
      </c>
      <c r="M177" s="18">
        <f t="shared" si="104"/>
        <v>3.5039863208678561</v>
      </c>
      <c r="N177" s="18">
        <f t="shared" si="105"/>
        <v>-0.21737318165785013</v>
      </c>
      <c r="O177" s="18">
        <f t="shared" si="106"/>
        <v>-0.13092618935678144</v>
      </c>
      <c r="P177" s="14">
        <f t="shared" si="110"/>
        <v>-4.9100238578061013E-2</v>
      </c>
      <c r="Q177" s="56">
        <v>12</v>
      </c>
      <c r="R177" s="71">
        <f t="shared" si="111"/>
        <v>-1.7614183889236301E-8</v>
      </c>
      <c r="S177" s="71">
        <f t="shared" si="107"/>
        <v>-0.21737318165785013</v>
      </c>
      <c r="T177" s="71">
        <v>-3.793877725465231E-3</v>
      </c>
      <c r="U177" s="72">
        <v>6.115609824398658E-2</v>
      </c>
      <c r="V177" s="72">
        <f t="shared" si="108"/>
        <v>3.5039863208678561</v>
      </c>
      <c r="W177" s="72">
        <f t="shared" si="112"/>
        <v>6.2527760746888816E-11</v>
      </c>
      <c r="X177" s="14">
        <f t="shared" si="109"/>
        <v>12</v>
      </c>
    </row>
    <row r="178" spans="10:24" x14ac:dyDescent="0.3">
      <c r="J178" s="20">
        <f t="shared" si="113"/>
        <v>35.3399618917081</v>
      </c>
      <c r="K178" s="21">
        <f>'Nr(V)'!K73</f>
        <v>23671.002295332801</v>
      </c>
      <c r="L178" s="21">
        <f t="shared" si="103"/>
        <v>669.80837070134999</v>
      </c>
      <c r="M178" s="18">
        <f t="shared" si="104"/>
        <v>3.1127531919436939</v>
      </c>
      <c r="N178" s="18">
        <f t="shared" si="105"/>
        <v>-0.2134371401308284</v>
      </c>
      <c r="O178" s="18">
        <f t="shared" si="106"/>
        <v>-0.13164744449360971</v>
      </c>
      <c r="P178" s="14">
        <f t="shared" si="110"/>
        <v>-4.9946115100543351E-2</v>
      </c>
      <c r="Q178" s="14">
        <v>13</v>
      </c>
      <c r="R178" s="71">
        <f t="shared" si="111"/>
        <v>7.9126039054244757E-9</v>
      </c>
      <c r="S178" s="71">
        <f t="shared" si="107"/>
        <v>-0.2134371401308284</v>
      </c>
      <c r="T178" s="71">
        <v>-3.7251808413234764E-3</v>
      </c>
      <c r="U178" s="72">
        <v>5.4327792001380486E-2</v>
      </c>
      <c r="V178" s="72">
        <f t="shared" si="108"/>
        <v>3.1127531919436939</v>
      </c>
      <c r="W178" s="72">
        <f t="shared" si="112"/>
        <v>4.276756726540043E-11</v>
      </c>
      <c r="X178" s="14">
        <f t="shared" si="109"/>
        <v>13</v>
      </c>
    </row>
    <row r="179" spans="10:24" x14ac:dyDescent="0.3">
      <c r="J179" s="20">
        <f t="shared" si="113"/>
        <v>36.16998094585405</v>
      </c>
      <c r="K179" s="21">
        <f>'Nr(V)'!K74</f>
        <v>23964.759890183999</v>
      </c>
      <c r="L179" s="21">
        <f t="shared" si="103"/>
        <v>662.55937281412741</v>
      </c>
      <c r="M179" s="18">
        <f t="shared" si="104"/>
        <v>2.7491262436353536</v>
      </c>
      <c r="N179" s="18">
        <f t="shared" si="105"/>
        <v>-0.28750869061511963</v>
      </c>
      <c r="O179" s="18">
        <f t="shared" si="106"/>
        <v>-0.18149923620450611</v>
      </c>
      <c r="P179" s="14">
        <f t="shared" si="110"/>
        <v>-3.6677166727978008E-2</v>
      </c>
      <c r="Q179" s="14">
        <v>14</v>
      </c>
      <c r="R179" s="71">
        <f t="shared" si="111"/>
        <v>-1.2187229003757238E-9</v>
      </c>
      <c r="S179" s="71">
        <f t="shared" si="107"/>
        <v>-0.28750869061511963</v>
      </c>
      <c r="T179" s="71">
        <v>-5.017973279331559E-3</v>
      </c>
      <c r="U179" s="72">
        <v>4.798130450442073E-2</v>
      </c>
      <c r="V179" s="72">
        <f t="shared" si="108"/>
        <v>2.7491262436353536</v>
      </c>
      <c r="W179" s="72">
        <f t="shared" si="112"/>
        <v>1.2377654456940945E-11</v>
      </c>
      <c r="X179" s="14">
        <f t="shared" si="109"/>
        <v>14</v>
      </c>
    </row>
    <row r="180" spans="10:24" x14ac:dyDescent="0.3">
      <c r="J180" s="20">
        <f t="shared" ref="J180" si="114">J162</f>
        <v>37</v>
      </c>
      <c r="K180" s="21">
        <f>'Nr(V)'!K76</f>
        <v>24316.7109230838</v>
      </c>
      <c r="L180" s="21">
        <f t="shared" si="103"/>
        <v>657.20840332658918</v>
      </c>
      <c r="M180" s="18">
        <f t="shared" si="104"/>
        <v>2.410345992953185</v>
      </c>
      <c r="N180" s="18">
        <f t="shared" si="105"/>
        <v>-0.3614094562316279</v>
      </c>
      <c r="O180" s="18">
        <f t="shared" si="106"/>
        <v>-0.23338649580940657</v>
      </c>
      <c r="P180" s="14">
        <f t="shared" si="110"/>
        <v>-2.894187129230889E-2</v>
      </c>
      <c r="Q180" s="56">
        <v>15</v>
      </c>
      <c r="R180" s="71">
        <f t="shared" si="111"/>
        <v>2.4498762741131941E-4</v>
      </c>
      <c r="S180" s="71">
        <f t="shared" si="107"/>
        <v>-0.3614094562316279</v>
      </c>
      <c r="T180" s="71">
        <v>-6.3077849590842446E-3</v>
      </c>
      <c r="U180" s="72">
        <v>4.2068473689285117E-2</v>
      </c>
      <c r="V180" s="72">
        <f t="shared" si="108"/>
        <v>2.410345992953185</v>
      </c>
      <c r="W180" s="72">
        <f t="shared" si="112"/>
        <v>2.900527467630809E-5</v>
      </c>
      <c r="X180" s="14">
        <f t="shared" si="109"/>
        <v>15</v>
      </c>
    </row>
  </sheetData>
  <mergeCells count="10">
    <mergeCell ref="J128:O128"/>
    <mergeCell ref="J146:O146"/>
    <mergeCell ref="J164:O164"/>
    <mergeCell ref="J56:O56"/>
    <mergeCell ref="J110:O110"/>
    <mergeCell ref="J2:O2"/>
    <mergeCell ref="J20:O20"/>
    <mergeCell ref="J38:O38"/>
    <mergeCell ref="J74:O74"/>
    <mergeCell ref="J92:O9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845D-D4CC-485E-AC5A-54DCDF43A5E6}">
  <dimension ref="A1:R114"/>
  <sheetViews>
    <sheetView tabSelected="1" topLeftCell="A30" zoomScale="115" zoomScaleNormal="115" workbookViewId="0">
      <pane xSplit="1" topLeftCell="B1" activePane="topRight" state="frozen"/>
      <selection pane="topRight" activeCell="U27" sqref="U27"/>
    </sheetView>
  </sheetViews>
  <sheetFormatPr defaultRowHeight="15" x14ac:dyDescent="0.3"/>
  <cols>
    <col min="1" max="1" width="6.109375" style="50" customWidth="1"/>
    <col min="2" max="11" width="8.44140625" style="54" customWidth="1"/>
    <col min="12" max="16384" width="8.88671875" style="14"/>
  </cols>
  <sheetData>
    <row r="1" spans="1:18" s="51" customFormat="1" ht="15.6" x14ac:dyDescent="0.3">
      <c r="A1" s="49" t="s">
        <v>6</v>
      </c>
      <c r="B1" s="52">
        <v>0</v>
      </c>
      <c r="C1" s="52">
        <v>500</v>
      </c>
      <c r="D1" s="52">
        <v>1000</v>
      </c>
      <c r="E1" s="52">
        <v>1500</v>
      </c>
      <c r="F1" s="52">
        <v>2000</v>
      </c>
      <c r="G1" s="52">
        <v>2500</v>
      </c>
      <c r="H1" s="52">
        <v>3000</v>
      </c>
      <c r="I1" s="52">
        <v>3500</v>
      </c>
      <c r="J1" s="52">
        <v>4000</v>
      </c>
      <c r="K1" s="52">
        <v>4500</v>
      </c>
    </row>
    <row r="2" spans="1:18" x14ac:dyDescent="0.3">
      <c r="A2" s="50">
        <v>0</v>
      </c>
      <c r="B2" s="54">
        <v>0</v>
      </c>
      <c r="C2" s="54">
        <v>0</v>
      </c>
      <c r="D2" s="54">
        <v>0</v>
      </c>
      <c r="E2" s="54">
        <v>0</v>
      </c>
      <c r="F2" s="54">
        <v>0</v>
      </c>
      <c r="G2" s="54">
        <v>0</v>
      </c>
      <c r="H2" s="54">
        <v>0</v>
      </c>
      <c r="I2" s="54">
        <v>0</v>
      </c>
      <c r="J2" s="54">
        <v>0</v>
      </c>
      <c r="K2" s="54">
        <v>0</v>
      </c>
    </row>
    <row r="3" spans="1:18" x14ac:dyDescent="0.3">
      <c r="A3" s="50">
        <v>0.5</v>
      </c>
      <c r="B3" s="54">
        <v>587.78522885818495</v>
      </c>
      <c r="C3" s="54">
        <v>822.98933345334797</v>
      </c>
      <c r="D3" s="54">
        <v>764.25581709347898</v>
      </c>
      <c r="E3" s="54">
        <v>646.60875826994697</v>
      </c>
      <c r="F3" s="54">
        <v>528.87168639453</v>
      </c>
      <c r="G3" s="54">
        <v>470.183176560596</v>
      </c>
      <c r="H3" s="54">
        <v>705.34227462982301</v>
      </c>
      <c r="I3" s="54">
        <v>587.78522885818495</v>
      </c>
      <c r="J3" s="54">
        <v>293.71258832530202</v>
      </c>
      <c r="K3" s="54">
        <v>705.29726810387297</v>
      </c>
      <c r="M3" s="14" t="s">
        <v>182</v>
      </c>
      <c r="N3" s="14" t="s">
        <v>177</v>
      </c>
      <c r="O3" s="14" t="s">
        <v>176</v>
      </c>
      <c r="P3" s="14" t="s">
        <v>183</v>
      </c>
      <c r="Q3" s="14" t="s">
        <v>184</v>
      </c>
      <c r="R3" s="14" t="s">
        <v>185</v>
      </c>
    </row>
    <row r="4" spans="1:18" x14ac:dyDescent="0.3">
      <c r="A4" s="50">
        <v>1</v>
      </c>
      <c r="B4" s="54">
        <v>1469.64309824923</v>
      </c>
      <c r="C4" s="54">
        <v>1646.0686799585801</v>
      </c>
      <c r="D4" s="54">
        <v>1351.9510328997601</v>
      </c>
      <c r="E4" s="54">
        <v>1410.8195688374601</v>
      </c>
      <c r="F4" s="54">
        <v>1057.87839236688</v>
      </c>
      <c r="G4" s="54">
        <v>1351.9510328997601</v>
      </c>
      <c r="H4" s="54">
        <v>1351.9510328997601</v>
      </c>
      <c r="I4" s="54">
        <v>1116.7019217786501</v>
      </c>
      <c r="J4" s="54">
        <v>940.18632701741399</v>
      </c>
      <c r="K4" s="54">
        <v>1116.7019217786501</v>
      </c>
      <c r="M4" s="14">
        <v>0</v>
      </c>
      <c r="N4" s="14">
        <v>100</v>
      </c>
      <c r="O4" s="14">
        <v>50</v>
      </c>
      <c r="P4" s="14">
        <v>100</v>
      </c>
      <c r="Q4" s="14">
        <v>90</v>
      </c>
      <c r="R4" s="14">
        <v>0</v>
      </c>
    </row>
    <row r="5" spans="1:18" x14ac:dyDescent="0.3">
      <c r="A5" s="50">
        <v>1.5</v>
      </c>
      <c r="B5" s="54">
        <v>2527.92654934965</v>
      </c>
      <c r="C5" s="54">
        <v>2410.18947747423</v>
      </c>
      <c r="D5" s="54">
        <v>2116.1618434673001</v>
      </c>
      <c r="E5" s="54">
        <v>2116.1618434673001</v>
      </c>
      <c r="F5" s="54">
        <v>1822.04419640848</v>
      </c>
      <c r="G5" s="54">
        <v>1998.55979116971</v>
      </c>
      <c r="H5" s="54">
        <v>1998.3347585399799</v>
      </c>
      <c r="I5" s="54">
        <v>1645.6186146991199</v>
      </c>
      <c r="J5" s="54">
        <v>1527.92654934964</v>
      </c>
      <c r="K5" s="54">
        <v>1469.2380395157199</v>
      </c>
      <c r="M5" s="14">
        <v>100</v>
      </c>
      <c r="N5" s="14">
        <v>100</v>
      </c>
      <c r="O5" s="14">
        <v>50</v>
      </c>
      <c r="P5" s="14">
        <v>0</v>
      </c>
      <c r="Q5" s="14">
        <v>0</v>
      </c>
      <c r="R5" s="14">
        <v>0</v>
      </c>
    </row>
    <row r="6" spans="1:18" x14ac:dyDescent="0.3">
      <c r="A6" s="50">
        <v>2</v>
      </c>
      <c r="B6" s="54">
        <v>3233.3588370313601</v>
      </c>
      <c r="C6" s="54">
        <v>3056.8432422701298</v>
      </c>
      <c r="D6" s="54">
        <v>2821.5941311490001</v>
      </c>
      <c r="E6" s="54">
        <v>2586.3000135019502</v>
      </c>
      <c r="F6" s="54">
        <v>2409.78441874071</v>
      </c>
      <c r="G6" s="54">
        <v>2527.4314775642401</v>
      </c>
      <c r="H6" s="54">
        <v>2409.7394122147598</v>
      </c>
      <c r="I6" s="54">
        <v>1998.01971285836</v>
      </c>
      <c r="J6" s="54">
        <v>1997.9747063324101</v>
      </c>
      <c r="K6" s="54">
        <v>2056.8432422701298</v>
      </c>
    </row>
    <row r="7" spans="1:18" x14ac:dyDescent="0.3">
      <c r="A7" s="50">
        <v>2.5</v>
      </c>
      <c r="B7" s="54">
        <v>4115.2167064224204</v>
      </c>
      <c r="C7" s="54">
        <v>3879.8325757234702</v>
      </c>
      <c r="D7" s="54">
        <v>3762.18551689994</v>
      </c>
      <c r="E7" s="54">
        <v>3291.5972816058202</v>
      </c>
      <c r="F7" s="54">
        <v>3291.5972816058202</v>
      </c>
      <c r="G7" s="54">
        <v>3173.9952293082401</v>
      </c>
      <c r="H7" s="54">
        <v>2821.0990593636002</v>
      </c>
      <c r="I7" s="54">
        <v>2468.0678698411198</v>
      </c>
      <c r="J7" s="54">
        <v>2350.4658175435402</v>
      </c>
      <c r="K7" s="54">
        <v>2526.98141230478</v>
      </c>
    </row>
    <row r="8" spans="1:18" x14ac:dyDescent="0.3">
      <c r="A8" s="50">
        <v>3</v>
      </c>
      <c r="B8" s="54">
        <v>4879.4275169899602</v>
      </c>
      <c r="C8" s="54">
        <v>4350.01575228407</v>
      </c>
      <c r="D8" s="54">
        <v>4408.74926864395</v>
      </c>
      <c r="E8" s="54">
        <v>3820.6039875781898</v>
      </c>
      <c r="F8" s="54">
        <v>3702.91192222871</v>
      </c>
      <c r="G8" s="54">
        <v>3761.6904451145301</v>
      </c>
      <c r="H8" s="54">
        <v>3291.1922228723101</v>
      </c>
      <c r="I8" s="54">
        <v>2997.0295692875402</v>
      </c>
      <c r="J8" s="54">
        <v>2702.9569287546601</v>
      </c>
      <c r="K8" s="54">
        <v>2938.1610333498302</v>
      </c>
    </row>
    <row r="9" spans="1:18" x14ac:dyDescent="0.3">
      <c r="A9" s="50">
        <v>3.5</v>
      </c>
      <c r="B9" s="54">
        <v>5702.3718439173599</v>
      </c>
      <c r="C9" s="54">
        <v>5290.6971510868998</v>
      </c>
      <c r="D9" s="54">
        <v>5290.6521445609496</v>
      </c>
      <c r="E9" s="54">
        <v>4408.3892164363697</v>
      </c>
      <c r="F9" s="54">
        <v>4408.2992033844803</v>
      </c>
      <c r="G9" s="54">
        <v>4290.6521445609496</v>
      </c>
      <c r="H9" s="54">
        <v>3878.8874386785901</v>
      </c>
      <c r="I9" s="54">
        <v>3643.6833340834301</v>
      </c>
      <c r="J9" s="54">
        <v>3173.0500922633701</v>
      </c>
      <c r="K9" s="54">
        <v>3290.7421576128399</v>
      </c>
    </row>
    <row r="10" spans="1:18" x14ac:dyDescent="0.3">
      <c r="A10" s="50">
        <v>4</v>
      </c>
      <c r="B10" s="54">
        <v>6407.8041315990704</v>
      </c>
      <c r="C10" s="54">
        <v>6231.2885368378402</v>
      </c>
      <c r="D10" s="54">
        <v>6113.6864845402497</v>
      </c>
      <c r="E10" s="54">
        <v>5466.5826544848896</v>
      </c>
      <c r="F10" s="54">
        <v>4878.3923668931902</v>
      </c>
      <c r="G10" s="54">
        <v>4878.4823799450896</v>
      </c>
      <c r="H10" s="54">
        <v>4290.2470858274301</v>
      </c>
      <c r="I10" s="54">
        <v>4113.77649759214</v>
      </c>
      <c r="J10" s="54">
        <v>3701.87677213195</v>
      </c>
      <c r="K10" s="54">
        <v>3819.6588505333202</v>
      </c>
    </row>
    <row r="11" spans="1:18" x14ac:dyDescent="0.3">
      <c r="A11" s="50">
        <v>4.5</v>
      </c>
      <c r="B11" s="54">
        <v>6995.6793735091496</v>
      </c>
      <c r="C11" s="54">
        <v>6936.7208245195498</v>
      </c>
      <c r="D11" s="54">
        <v>6819.07376569601</v>
      </c>
      <c r="E11" s="54">
        <v>6054.4128898690296</v>
      </c>
      <c r="F11" s="54">
        <v>5583.86966110085</v>
      </c>
      <c r="G11" s="54">
        <v>5466.1325892254299</v>
      </c>
      <c r="H11" s="54">
        <v>5054.3678833430804</v>
      </c>
      <c r="I11" s="54">
        <v>4642.60317746072</v>
      </c>
      <c r="J11" s="54">
        <v>4113.2814258067301</v>
      </c>
      <c r="K11" s="54">
        <v>4230.8834781043197</v>
      </c>
    </row>
    <row r="12" spans="1:18" x14ac:dyDescent="0.3">
      <c r="A12" s="50">
        <v>5</v>
      </c>
      <c r="B12" s="54">
        <v>7936.27075926009</v>
      </c>
      <c r="C12" s="54">
        <v>7524.5510599036797</v>
      </c>
      <c r="D12" s="54">
        <v>7406.90400108015</v>
      </c>
      <c r="E12" s="54">
        <v>6759.80017102479</v>
      </c>
      <c r="F12" s="54">
        <v>6348.0354651424404</v>
      </c>
      <c r="G12" s="54">
        <v>5936.3607723119703</v>
      </c>
      <c r="H12" s="54">
        <v>5465.6825239659702</v>
      </c>
      <c r="I12" s="54">
        <v>4995.1392951977996</v>
      </c>
      <c r="J12" s="54">
        <v>4700.9766416130296</v>
      </c>
      <c r="K12" s="54">
        <v>4583.3295827894999</v>
      </c>
    </row>
    <row r="13" spans="1:18" x14ac:dyDescent="0.3">
      <c r="A13" s="50">
        <v>5.5</v>
      </c>
      <c r="B13" s="54">
        <v>8759.2600927134408</v>
      </c>
      <c r="C13" s="54">
        <v>8347.4503803051302</v>
      </c>
      <c r="D13" s="54">
        <v>8112.2462757099702</v>
      </c>
      <c r="E13" s="54">
        <v>7465.1424456546201</v>
      </c>
      <c r="F13" s="54">
        <v>6876.99716458886</v>
      </c>
      <c r="G13" s="54">
        <v>6582.7895044781399</v>
      </c>
      <c r="H13" s="54">
        <v>5935.8206940006203</v>
      </c>
      <c r="I13" s="54">
        <v>5465.2324587065004</v>
      </c>
      <c r="J13" s="54">
        <v>5171.0698051217396</v>
      </c>
      <c r="K13" s="54">
        <v>4876.9071515369696</v>
      </c>
    </row>
    <row r="14" spans="1:18" x14ac:dyDescent="0.3">
      <c r="A14" s="50">
        <v>6</v>
      </c>
      <c r="B14" s="54">
        <v>9288.2667986857996</v>
      </c>
      <c r="C14" s="54">
        <v>9052.9726810387492</v>
      </c>
      <c r="D14" s="54">
        <v>8582.3844457446303</v>
      </c>
      <c r="E14" s="54">
        <v>7935.3256222152104</v>
      </c>
      <c r="F14" s="54">
        <v>7464.6923803951504</v>
      </c>
      <c r="G14" s="54">
        <v>7111.7061973986201</v>
      </c>
      <c r="H14" s="54">
        <v>6582.3394392186801</v>
      </c>
      <c r="I14" s="54">
        <v>5994.1041451010296</v>
      </c>
      <c r="J14" s="54">
        <v>5876.4120797515498</v>
      </c>
      <c r="K14" s="54">
        <v>5170.66474638822</v>
      </c>
    </row>
    <row r="15" spans="1:18" x14ac:dyDescent="0.3">
      <c r="A15" s="50">
        <v>6.5</v>
      </c>
      <c r="B15" s="54">
        <v>10052.4326027273</v>
      </c>
      <c r="C15" s="54">
        <v>9817.1384850803297</v>
      </c>
      <c r="D15" s="54">
        <v>9228.85818443674</v>
      </c>
      <c r="E15" s="54">
        <v>8640.6228903191004</v>
      </c>
      <c r="F15" s="54">
        <v>7993.6990863675101</v>
      </c>
      <c r="G15" s="54">
        <v>7699.4914262568</v>
      </c>
      <c r="H15" s="54">
        <v>7111.2111256132102</v>
      </c>
      <c r="I15" s="54">
        <v>6758.2699491426201</v>
      </c>
      <c r="J15" s="54">
        <v>6346.5052432602697</v>
      </c>
      <c r="K15" s="54">
        <v>5640.6228903190904</v>
      </c>
    </row>
    <row r="16" spans="1:18" x14ac:dyDescent="0.3">
      <c r="A16" s="50">
        <v>7</v>
      </c>
      <c r="B16" s="54">
        <v>11287.186642062999</v>
      </c>
      <c r="C16" s="54">
        <v>10404.878707412499</v>
      </c>
      <c r="D16" s="54">
        <v>10051.9825374679</v>
      </c>
      <c r="E16" s="54">
        <v>9228.4531257032195</v>
      </c>
      <c r="F16" s="54">
        <v>8816.5984067689806</v>
      </c>
      <c r="G16" s="54">
        <v>8404.8337008866292</v>
      </c>
      <c r="H16" s="54">
        <v>7581.3943021738096</v>
      </c>
      <c r="I16" s="54">
        <v>7287.2316485890397</v>
      </c>
      <c r="J16" s="54">
        <v>6934.2004590665601</v>
      </c>
      <c r="K16" s="54">
        <v>6404.9237139385205</v>
      </c>
    </row>
    <row r="17" spans="1:11" x14ac:dyDescent="0.3">
      <c r="A17" s="50">
        <v>7.5</v>
      </c>
      <c r="B17" s="54">
        <v>12169.134524506</v>
      </c>
      <c r="C17" s="54">
        <v>11110.3109950942</v>
      </c>
      <c r="D17" s="54">
        <v>10874.9268643953</v>
      </c>
      <c r="E17" s="54">
        <v>10227.8680408659</v>
      </c>
      <c r="F17" s="54">
        <v>9463.25217156486</v>
      </c>
      <c r="G17" s="54">
        <v>8933.8404068589807</v>
      </c>
      <c r="H17" s="54">
        <v>8345.6051127413302</v>
      </c>
      <c r="I17" s="54">
        <v>7933.7503938070904</v>
      </c>
      <c r="J17" s="54">
        <v>7404.4736486790498</v>
      </c>
      <c r="K17" s="54">
        <v>6816.2383545614002</v>
      </c>
    </row>
    <row r="18" spans="1:11" x14ac:dyDescent="0.3">
      <c r="A18" s="50">
        <v>8</v>
      </c>
      <c r="B18" s="54">
        <v>13168.5944461946</v>
      </c>
      <c r="C18" s="54">
        <v>12227.4179756064</v>
      </c>
      <c r="D18" s="54">
        <v>11403.9785768936</v>
      </c>
      <c r="E18" s="54">
        <v>10874.5218056618</v>
      </c>
      <c r="F18" s="54">
        <v>10168.5944461947</v>
      </c>
      <c r="G18" s="54">
        <v>9639.2726945406994</v>
      </c>
      <c r="H18" s="54">
        <v>8874.5218056618105</v>
      </c>
      <c r="I18" s="54">
        <v>8639.1376749628598</v>
      </c>
      <c r="J18" s="54">
        <v>7933.3453350735799</v>
      </c>
      <c r="K18" s="54">
        <v>7286.3315180701202</v>
      </c>
    </row>
    <row r="19" spans="1:11" x14ac:dyDescent="0.3">
      <c r="A19" s="50">
        <v>8.5</v>
      </c>
      <c r="B19" s="54">
        <v>14050.4523155857</v>
      </c>
      <c r="C19" s="54">
        <v>12932.850263288101</v>
      </c>
      <c r="D19" s="54">
        <v>12403.393492056301</v>
      </c>
      <c r="E19" s="54">
        <v>11462.307034519999</v>
      </c>
      <c r="F19" s="54">
        <v>10815.2032044646</v>
      </c>
      <c r="G19" s="54">
        <v>10462.262027994</v>
      </c>
      <c r="H19" s="54">
        <v>9462.3520410459405</v>
      </c>
      <c r="I19" s="54">
        <v>9109.2758449975208</v>
      </c>
      <c r="J19" s="54">
        <v>8344.7949952743002</v>
      </c>
      <c r="K19" s="54">
        <v>7815.1581979386901</v>
      </c>
    </row>
    <row r="20" spans="1:11" x14ac:dyDescent="0.3">
      <c r="A20" s="50">
        <v>9</v>
      </c>
      <c r="B20" s="54">
        <v>14638.2375444439</v>
      </c>
      <c r="C20" s="54">
        <v>13814.6631261532</v>
      </c>
      <c r="D20" s="54">
        <v>13108.7807732121</v>
      </c>
      <c r="E20" s="54">
        <v>12344.074890859099</v>
      </c>
      <c r="F20" s="54">
        <v>11344.209910437001</v>
      </c>
      <c r="G20" s="54">
        <v>10932.3551915027</v>
      </c>
      <c r="H20" s="54">
        <v>10167.6043026238</v>
      </c>
      <c r="I20" s="54">
        <v>9638.1925379179902</v>
      </c>
      <c r="J20" s="54">
        <v>9108.6907601602197</v>
      </c>
      <c r="K20" s="54">
        <v>8167.6493091498196</v>
      </c>
    </row>
    <row r="21" spans="1:11" x14ac:dyDescent="0.3">
      <c r="A21" s="50">
        <v>9.5</v>
      </c>
      <c r="B21" s="54">
        <v>15461.226877897199</v>
      </c>
      <c r="C21" s="54">
        <v>14696.520995544301</v>
      </c>
      <c r="D21" s="54">
        <v>13696.5660020703</v>
      </c>
      <c r="E21" s="54">
        <v>13225.887753724201</v>
      </c>
      <c r="F21" s="54">
        <v>12284.756289662</v>
      </c>
      <c r="G21" s="54">
        <v>11520.050407309</v>
      </c>
      <c r="H21" s="54">
        <v>10637.7424726585</v>
      </c>
      <c r="I21" s="54">
        <v>10225.887753724201</v>
      </c>
      <c r="J21" s="54">
        <v>9284.8463027138805</v>
      </c>
      <c r="K21" s="54">
        <v>8755.3445249561191</v>
      </c>
    </row>
    <row r="22" spans="1:11" x14ac:dyDescent="0.3">
      <c r="A22" s="50">
        <v>10</v>
      </c>
      <c r="B22" s="54">
        <v>16049.0571132814</v>
      </c>
      <c r="C22" s="54">
        <v>15460.821819163701</v>
      </c>
      <c r="D22" s="54">
        <v>14519.5103289976</v>
      </c>
      <c r="E22" s="54">
        <v>13990.053557765799</v>
      </c>
      <c r="F22" s="54">
        <v>12754.9394662225</v>
      </c>
      <c r="G22" s="54">
        <v>12048.9671002295</v>
      </c>
      <c r="H22" s="54">
        <v>11284.261217876499</v>
      </c>
      <c r="I22" s="54">
        <v>10637.292407399</v>
      </c>
      <c r="J22" s="54">
        <v>9990.0985642918204</v>
      </c>
      <c r="K22" s="54">
        <v>9107.8806426931806</v>
      </c>
    </row>
    <row r="23" spans="1:11" x14ac:dyDescent="0.3">
      <c r="A23" s="50">
        <v>10.5</v>
      </c>
      <c r="B23" s="54">
        <v>16872.046446734701</v>
      </c>
      <c r="C23" s="54">
        <v>16048.562041495999</v>
      </c>
      <c r="D23" s="54">
        <v>15048.51703497</v>
      </c>
      <c r="E23" s="54">
        <v>14695.3508258697</v>
      </c>
      <c r="F23" s="54">
        <v>13342.6346820288</v>
      </c>
      <c r="G23" s="54">
        <v>12636.797335613601</v>
      </c>
      <c r="H23" s="54">
        <v>11578.0188127278</v>
      </c>
      <c r="I23" s="54">
        <v>11283.856159143001</v>
      </c>
      <c r="J23" s="54">
        <v>10401.4582114406</v>
      </c>
      <c r="K23" s="54">
        <v>9577.9287996759504</v>
      </c>
    </row>
    <row r="24" spans="1:11" x14ac:dyDescent="0.3">
      <c r="A24" s="50">
        <v>11</v>
      </c>
      <c r="B24" s="54">
        <v>17577.4787344164</v>
      </c>
      <c r="C24" s="54">
        <v>16577.4787344164</v>
      </c>
      <c r="D24" s="54">
        <v>15636.347270354199</v>
      </c>
      <c r="E24" s="54">
        <v>15165.5790089563</v>
      </c>
      <c r="F24" s="54">
        <v>13871.596381475299</v>
      </c>
      <c r="G24" s="54">
        <v>13224.5375579459</v>
      </c>
      <c r="H24" s="54">
        <v>12283.406093883599</v>
      </c>
      <c r="I24" s="54">
        <v>11930.2848913092</v>
      </c>
      <c r="J24" s="54">
        <v>10695.1707997659</v>
      </c>
      <c r="K24" s="54">
        <v>9989.3334533507295</v>
      </c>
    </row>
    <row r="25" spans="1:11" x14ac:dyDescent="0.3">
      <c r="A25" s="50">
        <v>11.5</v>
      </c>
      <c r="B25" s="54">
        <v>18518.070120167398</v>
      </c>
      <c r="C25" s="54">
        <v>17282.866015572199</v>
      </c>
      <c r="D25" s="54">
        <v>16341.689544983999</v>
      </c>
      <c r="E25" s="54">
        <v>15635.8521985687</v>
      </c>
      <c r="F25" s="54">
        <v>14459.3366038075</v>
      </c>
      <c r="G25" s="54">
        <v>13753.3642378144</v>
      </c>
      <c r="H25" s="54">
        <v>12929.8348260497</v>
      </c>
      <c r="I25" s="54">
        <v>12223.9974796345</v>
      </c>
      <c r="J25" s="54">
        <v>11165.173950222699</v>
      </c>
      <c r="K25" s="54">
        <v>10576.9386561051</v>
      </c>
    </row>
    <row r="26" spans="1:11" x14ac:dyDescent="0.3">
      <c r="A26" s="50">
        <v>12</v>
      </c>
      <c r="B26" s="54">
        <v>19223.502407849101</v>
      </c>
      <c r="C26" s="54">
        <v>17929.3397542643</v>
      </c>
      <c r="D26" s="54">
        <v>17223.547414375</v>
      </c>
      <c r="E26" s="54">
        <v>16282.3709437868</v>
      </c>
      <c r="F26" s="54">
        <v>15105.8553490256</v>
      </c>
      <c r="G26" s="54">
        <v>14223.502407849101</v>
      </c>
      <c r="H26" s="54">
        <v>13399.9729960844</v>
      </c>
      <c r="I26" s="54">
        <v>12400.108015662199</v>
      </c>
      <c r="J26" s="54">
        <v>11576.443584319701</v>
      </c>
      <c r="K26" s="54">
        <v>10870.651244430401</v>
      </c>
    </row>
    <row r="27" spans="1:11" x14ac:dyDescent="0.3">
      <c r="A27" s="50">
        <v>12.5</v>
      </c>
      <c r="B27" s="54">
        <v>19928.934695530799</v>
      </c>
      <c r="C27" s="54">
        <v>18517.169989648399</v>
      </c>
      <c r="D27" s="54">
        <v>17752.419100769599</v>
      </c>
      <c r="E27" s="54">
        <v>16752.419100769599</v>
      </c>
      <c r="F27" s="54">
        <v>15575.993519060199</v>
      </c>
      <c r="G27" s="54">
        <v>14634.9070615239</v>
      </c>
      <c r="H27" s="54">
        <v>13811.1976236554</v>
      </c>
      <c r="I27" s="54">
        <v>12928.754669427</v>
      </c>
      <c r="J27" s="54">
        <v>11987.668211890699</v>
      </c>
      <c r="K27" s="54">
        <v>11164.183806651899</v>
      </c>
    </row>
    <row r="28" spans="1:11" x14ac:dyDescent="0.3">
      <c r="A28" s="50">
        <v>13</v>
      </c>
      <c r="B28" s="54">
        <v>20281.470813267901</v>
      </c>
      <c r="C28" s="54">
        <v>19222.467257752302</v>
      </c>
      <c r="D28" s="54">
        <v>18222.557270804198</v>
      </c>
      <c r="E28" s="54">
        <v>17163.7337413924</v>
      </c>
      <c r="F28" s="54">
        <v>15928.484630271299</v>
      </c>
      <c r="G28" s="54">
        <v>15163.5987218146</v>
      </c>
      <c r="H28" s="54">
        <v>14163.6887348665</v>
      </c>
      <c r="I28" s="54">
        <v>13222.512264278301</v>
      </c>
      <c r="J28" s="54">
        <v>12281.4258067419</v>
      </c>
      <c r="K28" s="54">
        <v>11398.9828525136</v>
      </c>
    </row>
    <row r="29" spans="1:11" x14ac:dyDescent="0.3">
      <c r="A29" s="50">
        <v>13.5</v>
      </c>
      <c r="B29" s="54">
        <v>20751.428957198699</v>
      </c>
      <c r="C29" s="54">
        <v>19692.515414735099</v>
      </c>
      <c r="D29" s="54">
        <v>18692.605427786999</v>
      </c>
      <c r="E29" s="54">
        <v>17575.048382015299</v>
      </c>
      <c r="F29" s="54">
        <v>16280.9757414825</v>
      </c>
      <c r="G29" s="54">
        <v>15398.577793779999</v>
      </c>
      <c r="H29" s="54">
        <v>14457.446329717801</v>
      </c>
      <c r="I29" s="54">
        <v>13574.913362437501</v>
      </c>
      <c r="J29" s="54">
        <v>12751.5189702506</v>
      </c>
      <c r="K29" s="54">
        <v>11751.3839506728</v>
      </c>
    </row>
    <row r="30" spans="1:11" x14ac:dyDescent="0.3">
      <c r="A30" s="50">
        <v>14</v>
      </c>
      <c r="B30" s="54">
        <v>21221.657140285301</v>
      </c>
      <c r="C30" s="54">
        <v>20103.830055358001</v>
      </c>
      <c r="D30" s="54">
        <v>19103.8750618839</v>
      </c>
      <c r="E30" s="54">
        <v>17927.4494801746</v>
      </c>
      <c r="F30" s="54">
        <v>16692.155362527501</v>
      </c>
      <c r="G30" s="54">
        <v>15633.421846167599</v>
      </c>
      <c r="H30" s="54">
        <v>14927.4944867005</v>
      </c>
      <c r="I30" s="54">
        <v>13868.5359377109</v>
      </c>
      <c r="J30" s="54">
        <v>13103.965074935801</v>
      </c>
      <c r="K30" s="54">
        <v>11986.3180161123</v>
      </c>
    </row>
    <row r="31" spans="1:11" x14ac:dyDescent="0.3">
      <c r="A31" s="50">
        <v>14.5</v>
      </c>
      <c r="B31" s="54">
        <v>21868.130878977401</v>
      </c>
      <c r="C31" s="54">
        <v>20573.923218866701</v>
      </c>
      <c r="D31" s="54">
        <v>19279.895584859802</v>
      </c>
      <c r="E31" s="54">
        <v>18397.5426436833</v>
      </c>
      <c r="F31" s="54">
        <v>17279.8955848597</v>
      </c>
      <c r="G31" s="54">
        <v>16103.4700031504</v>
      </c>
      <c r="H31" s="54">
        <v>15221.1170619739</v>
      </c>
      <c r="I31" s="54">
        <v>14162.338539088099</v>
      </c>
      <c r="J31" s="54">
        <v>13338.764120797499</v>
      </c>
      <c r="K31" s="54">
        <v>12279.8955848598</v>
      </c>
    </row>
    <row r="32" spans="1:11" x14ac:dyDescent="0.3">
      <c r="A32" s="50">
        <v>15</v>
      </c>
      <c r="B32" s="54">
        <v>22397.0475718979</v>
      </c>
      <c r="C32" s="54">
        <v>21044.151401953201</v>
      </c>
      <c r="D32" s="54">
        <v>19749.988748368502</v>
      </c>
      <c r="E32" s="54">
        <v>18808.812277780198</v>
      </c>
      <c r="F32" s="54">
        <v>17691.300238534499</v>
      </c>
      <c r="G32" s="54">
        <v>16749.898735316601</v>
      </c>
      <c r="H32" s="54">
        <v>15691.075205904801</v>
      </c>
      <c r="I32" s="54">
        <v>14573.518160133201</v>
      </c>
      <c r="J32" s="54">
        <v>13632.4767091228</v>
      </c>
      <c r="K32" s="54">
        <v>12749.9437418425</v>
      </c>
    </row>
    <row r="33" spans="1:11" x14ac:dyDescent="0.3">
      <c r="A33" s="50">
        <v>15.5</v>
      </c>
      <c r="B33" s="54">
        <v>22867.275754984399</v>
      </c>
      <c r="C33" s="54">
        <v>21867.1407354066</v>
      </c>
      <c r="D33" s="54">
        <v>20337.7739772266</v>
      </c>
      <c r="E33" s="54">
        <v>19396.597506638402</v>
      </c>
      <c r="F33" s="54">
        <v>18161.3483955173</v>
      </c>
      <c r="G33" s="54">
        <v>16926.099284396201</v>
      </c>
      <c r="H33" s="54">
        <v>16043.6563301678</v>
      </c>
      <c r="I33" s="54">
        <v>15043.476304063999</v>
      </c>
      <c r="J33" s="54">
        <v>14043.701336693801</v>
      </c>
      <c r="K33" s="54">
        <v>13102.3898465277</v>
      </c>
    </row>
    <row r="34" spans="1:11" x14ac:dyDescent="0.3">
      <c r="A34" s="50">
        <v>16</v>
      </c>
      <c r="B34" s="54">
        <v>23337.368918493099</v>
      </c>
      <c r="C34" s="54">
        <v>22572.483010036402</v>
      </c>
      <c r="D34" s="54">
        <v>21043.1162518565</v>
      </c>
      <c r="E34" s="54">
        <v>19925.469193032899</v>
      </c>
      <c r="F34" s="54">
        <v>18631.486565552001</v>
      </c>
      <c r="G34" s="54">
        <v>17572.483010036402</v>
      </c>
      <c r="H34" s="54">
        <v>16454.880957738798</v>
      </c>
      <c r="I34" s="54">
        <v>15337.2338989153</v>
      </c>
      <c r="J34" s="54">
        <v>14572.528016562301</v>
      </c>
      <c r="K34" s="54">
        <v>13572.4830100364</v>
      </c>
    </row>
    <row r="35" spans="1:11" x14ac:dyDescent="0.3">
      <c r="A35" s="50">
        <v>16.5</v>
      </c>
      <c r="B35" s="54">
        <v>24042.666186597002</v>
      </c>
      <c r="C35" s="54">
        <v>23160.313245420501</v>
      </c>
      <c r="D35" s="54">
        <v>21630.856474188698</v>
      </c>
      <c r="E35" s="54">
        <v>20513.164408839199</v>
      </c>
      <c r="F35" s="54">
        <v>19219.046761780399</v>
      </c>
      <c r="G35" s="54">
        <v>18042.621180071099</v>
      </c>
      <c r="H35" s="54">
        <v>17042.576173545101</v>
      </c>
      <c r="I35" s="54">
        <v>15689.770016652399</v>
      </c>
      <c r="J35" s="54">
        <v>14925.0641342994</v>
      </c>
      <c r="K35" s="54">
        <v>13866.195598361701</v>
      </c>
    </row>
    <row r="36" spans="1:11" x14ac:dyDescent="0.3">
      <c r="A36" s="50">
        <v>17</v>
      </c>
      <c r="B36" s="54">
        <v>24924.524055988099</v>
      </c>
      <c r="C36" s="54">
        <v>23571.5828795175</v>
      </c>
      <c r="D36" s="54">
        <v>22101.0846572753</v>
      </c>
      <c r="E36" s="54">
        <v>21218.641703046898</v>
      </c>
      <c r="F36" s="54">
        <v>19630.406408929201</v>
      </c>
      <c r="G36" s="54">
        <v>18571.447859939599</v>
      </c>
      <c r="H36" s="54">
        <v>17395.157297808099</v>
      </c>
      <c r="I36" s="54">
        <v>16218.6417030469</v>
      </c>
      <c r="J36" s="54">
        <v>15395.022278230301</v>
      </c>
      <c r="K36" s="54">
        <v>14336.288761870401</v>
      </c>
    </row>
    <row r="37" spans="1:11" x14ac:dyDescent="0.3">
      <c r="A37" s="50">
        <v>17.5</v>
      </c>
      <c r="B37" s="54">
        <v>25571.042801206098</v>
      </c>
      <c r="C37" s="54">
        <v>24394.572212970801</v>
      </c>
      <c r="D37" s="54">
        <v>22982.852513614402</v>
      </c>
      <c r="E37" s="54">
        <v>21629.956343669801</v>
      </c>
      <c r="F37" s="54">
        <v>20277.015167199199</v>
      </c>
      <c r="G37" s="54">
        <v>19041.6760430262</v>
      </c>
      <c r="H37" s="54">
        <v>17923.938971150801</v>
      </c>
      <c r="I37" s="54">
        <v>16747.4683829155</v>
      </c>
      <c r="J37" s="54">
        <v>15865.1604482649</v>
      </c>
      <c r="K37" s="54">
        <v>14688.779873081499</v>
      </c>
    </row>
    <row r="38" spans="1:11" x14ac:dyDescent="0.3">
      <c r="A38" s="50">
        <v>18</v>
      </c>
      <c r="B38" s="54">
        <v>26276.475088887801</v>
      </c>
      <c r="C38" s="54">
        <v>24982.402448354998</v>
      </c>
      <c r="D38" s="54">
        <v>23747.018317655999</v>
      </c>
      <c r="E38" s="54">
        <v>22158.963049642101</v>
      </c>
      <c r="F38" s="54">
        <v>20864.665376479501</v>
      </c>
      <c r="G38" s="54">
        <v>19746.928304604098</v>
      </c>
      <c r="H38" s="54">
        <v>18394.167154237301</v>
      </c>
      <c r="I38" s="54">
        <v>17041.180971240799</v>
      </c>
      <c r="J38" s="54">
        <v>16276.475088887801</v>
      </c>
      <c r="K38" s="54">
        <v>15158.8280300643</v>
      </c>
    </row>
    <row r="39" spans="1:11" x14ac:dyDescent="0.3">
      <c r="A39" s="50">
        <v>18.5</v>
      </c>
      <c r="B39" s="54">
        <v>27099.419415815199</v>
      </c>
      <c r="C39" s="54">
        <v>25805.391781808299</v>
      </c>
      <c r="D39" s="54">
        <v>24511.229128223498</v>
      </c>
      <c r="E39" s="54">
        <v>22805.3467752824</v>
      </c>
      <c r="F39" s="54">
        <v>21393.582069399999</v>
      </c>
      <c r="G39" s="54">
        <v>20158.287951752998</v>
      </c>
      <c r="H39" s="54">
        <v>19040.640892929401</v>
      </c>
      <c r="I39" s="54">
        <v>17687.609703406899</v>
      </c>
      <c r="J39" s="54">
        <v>16511.274134749499</v>
      </c>
      <c r="K39" s="54">
        <v>15570.0976641613</v>
      </c>
    </row>
    <row r="40" spans="1:11" x14ac:dyDescent="0.3">
      <c r="A40" s="50">
        <v>19</v>
      </c>
      <c r="B40" s="54">
        <v>27687.2496511994</v>
      </c>
      <c r="C40" s="54">
        <v>26334.3534812547</v>
      </c>
      <c r="D40" s="54">
        <v>25040.145821144</v>
      </c>
      <c r="E40" s="54">
        <v>23334.3534812547</v>
      </c>
      <c r="F40" s="54">
        <v>21981.322291732198</v>
      </c>
      <c r="G40" s="54">
        <v>20628.426121787601</v>
      </c>
      <c r="H40" s="54">
        <v>19569.602592375799</v>
      </c>
      <c r="I40" s="54">
        <v>18098.924344029801</v>
      </c>
      <c r="J40" s="54">
        <v>16922.543768846401</v>
      </c>
      <c r="K40" s="54">
        <v>15922.5887753724</v>
      </c>
    </row>
    <row r="41" spans="1:11" x14ac:dyDescent="0.3">
      <c r="A41" s="50">
        <v>19.5</v>
      </c>
      <c r="B41" s="54">
        <v>28275.034880057599</v>
      </c>
      <c r="C41" s="54">
        <v>27216.121337593901</v>
      </c>
      <c r="D41" s="54">
        <v>25745.398082721898</v>
      </c>
      <c r="E41" s="54">
        <v>23922.093703587001</v>
      </c>
      <c r="F41" s="54">
        <v>22333.903415995301</v>
      </c>
      <c r="G41" s="54">
        <v>20922.1387101129</v>
      </c>
      <c r="H41" s="54">
        <v>19922.093703587001</v>
      </c>
      <c r="I41" s="54">
        <v>18392.681938881102</v>
      </c>
      <c r="J41" s="54">
        <v>17216.211350645801</v>
      </c>
      <c r="K41" s="54">
        <v>16275.034880057599</v>
      </c>
    </row>
    <row r="42" spans="1:11" x14ac:dyDescent="0.3">
      <c r="A42" s="50">
        <v>20</v>
      </c>
      <c r="B42" s="54">
        <v>29215.581259282499</v>
      </c>
      <c r="C42" s="54">
        <v>27745.083037040298</v>
      </c>
      <c r="D42" s="54">
        <v>25980.467167739302</v>
      </c>
      <c r="E42" s="54">
        <v>24451.010396507401</v>
      </c>
      <c r="F42" s="54">
        <v>22745.2180566182</v>
      </c>
      <c r="G42" s="54">
        <v>21450.965389981498</v>
      </c>
      <c r="H42" s="54">
        <v>20274.584814798101</v>
      </c>
      <c r="I42" s="54">
        <v>18921.553625275599</v>
      </c>
      <c r="J42" s="54">
        <v>17627.480984742699</v>
      </c>
      <c r="K42" s="54">
        <v>16509.788919393301</v>
      </c>
    </row>
    <row r="43" spans="1:11" x14ac:dyDescent="0.3">
      <c r="A43" s="50">
        <v>20.5</v>
      </c>
      <c r="B43" s="54">
        <v>29979.747063324099</v>
      </c>
      <c r="C43" s="54">
        <v>28391.556775732399</v>
      </c>
      <c r="D43" s="54">
        <v>26744.497952203001</v>
      </c>
      <c r="E43" s="54">
        <v>24979.972095953901</v>
      </c>
      <c r="F43" s="54">
        <v>23274.0447364867</v>
      </c>
      <c r="G43" s="54">
        <v>21803.5015077186</v>
      </c>
      <c r="H43" s="54">
        <v>20568.2073900715</v>
      </c>
      <c r="I43" s="54">
        <v>19273.9097169089</v>
      </c>
      <c r="J43" s="54">
        <v>17921.103560016199</v>
      </c>
      <c r="K43" s="54">
        <v>16744.722984832799</v>
      </c>
    </row>
    <row r="44" spans="1:11" x14ac:dyDescent="0.3">
      <c r="A44" s="50">
        <v>21</v>
      </c>
      <c r="B44" s="54">
        <v>30332.373194113101</v>
      </c>
      <c r="C44" s="54">
        <v>28685.224357531799</v>
      </c>
      <c r="D44" s="54">
        <v>26861.739952292999</v>
      </c>
      <c r="E44" s="54">
        <v>25391.061703947002</v>
      </c>
      <c r="F44" s="54">
        <v>23626.535847697902</v>
      </c>
      <c r="G44" s="54">
        <v>22214.726135289598</v>
      </c>
      <c r="H44" s="54">
        <v>20979.432017642499</v>
      </c>
      <c r="I44" s="54">
        <v>19508.708762770599</v>
      </c>
      <c r="J44" s="54">
        <v>18273.5046581754</v>
      </c>
      <c r="K44" s="54">
        <v>17038.2105405283</v>
      </c>
    </row>
    <row r="45" spans="1:11" x14ac:dyDescent="0.3">
      <c r="A45" s="50">
        <v>21.5</v>
      </c>
      <c r="B45" s="54">
        <v>30508.483730140801</v>
      </c>
      <c r="C45" s="54">
        <v>29037.7604752689</v>
      </c>
      <c r="D45" s="54">
        <v>27331.7881092758</v>
      </c>
      <c r="E45" s="54">
        <v>25743.597821684099</v>
      </c>
      <c r="F45" s="54">
        <v>24037.8054817948</v>
      </c>
      <c r="G45" s="54">
        <v>22684.729285746402</v>
      </c>
      <c r="H45" s="54">
        <v>21273.054592915902</v>
      </c>
      <c r="I45" s="54">
        <v>19567.172239974701</v>
      </c>
      <c r="J45" s="54">
        <v>18508.1686844592</v>
      </c>
      <c r="K45" s="54">
        <v>17155.497547144299</v>
      </c>
    </row>
    <row r="46" spans="1:11" x14ac:dyDescent="0.3">
      <c r="A46" s="50">
        <v>22</v>
      </c>
      <c r="B46" s="54">
        <v>30919.618344659899</v>
      </c>
      <c r="C46" s="54">
        <v>29390.206579954</v>
      </c>
      <c r="D46" s="54">
        <v>27566.677168189301</v>
      </c>
      <c r="E46" s="54">
        <v>25978.441874071701</v>
      </c>
      <c r="F46" s="54">
        <v>24331.4730635942</v>
      </c>
      <c r="G46" s="54">
        <v>22801.926279310399</v>
      </c>
      <c r="H46" s="54">
        <v>21625.4556910752</v>
      </c>
      <c r="I46" s="54">
        <v>19919.528331607999</v>
      </c>
      <c r="J46" s="54">
        <v>18625.410684549199</v>
      </c>
      <c r="K46" s="54">
        <v>17213.8710112966</v>
      </c>
    </row>
    <row r="47" spans="1:11" x14ac:dyDescent="0.3">
      <c r="A47" s="50">
        <v>22.5</v>
      </c>
      <c r="B47" s="54">
        <v>31272.019442819201</v>
      </c>
      <c r="C47" s="54">
        <v>29624.915612763802</v>
      </c>
      <c r="D47" s="54">
        <v>27801.521220576898</v>
      </c>
      <c r="E47" s="54">
        <v>26271.9744362932</v>
      </c>
      <c r="F47" s="54">
        <v>24566.227102929901</v>
      </c>
      <c r="G47" s="54">
        <v>23095.6388676358</v>
      </c>
      <c r="H47" s="54">
        <v>21683.8741617534</v>
      </c>
      <c r="I47" s="54">
        <v>20095.5488545839</v>
      </c>
      <c r="J47" s="54">
        <v>18683.9641748053</v>
      </c>
      <c r="K47" s="54">
        <v>17566.1820964039</v>
      </c>
    </row>
    <row r="48" spans="1:11" x14ac:dyDescent="0.3">
      <c r="A48" s="50">
        <v>23</v>
      </c>
      <c r="B48" s="54">
        <v>31624.420540978401</v>
      </c>
      <c r="C48" s="54">
        <v>29859.984697781099</v>
      </c>
      <c r="D48" s="54">
        <v>28212.655835096</v>
      </c>
      <c r="E48" s="54">
        <v>26448.084972320899</v>
      </c>
      <c r="F48" s="54">
        <v>24801.071155317499</v>
      </c>
      <c r="G48" s="54">
        <v>23212.835861199801</v>
      </c>
      <c r="H48" s="54">
        <v>21918.718214141001</v>
      </c>
      <c r="I48" s="54">
        <v>20389.261442909199</v>
      </c>
      <c r="J48" s="54">
        <v>18801.026148791501</v>
      </c>
      <c r="K48" s="54">
        <v>17800.936135739601</v>
      </c>
    </row>
    <row r="49" spans="1:11" x14ac:dyDescent="0.3">
      <c r="A49" s="50">
        <v>23.5</v>
      </c>
      <c r="B49" s="54">
        <v>31918.088122777801</v>
      </c>
      <c r="C49" s="54">
        <v>30094.6487240649</v>
      </c>
      <c r="D49" s="54">
        <v>28506.3234168954</v>
      </c>
      <c r="E49" s="54">
        <v>26682.839011656601</v>
      </c>
      <c r="F49" s="54">
        <v>25035.8251946532</v>
      </c>
      <c r="G49" s="54">
        <v>23447.589900535499</v>
      </c>
      <c r="H49" s="54">
        <v>22271.029299248301</v>
      </c>
      <c r="I49" s="54">
        <v>20741.6175345425</v>
      </c>
      <c r="J49" s="54">
        <v>19094.603717539001</v>
      </c>
      <c r="K49" s="54">
        <v>18094.693730590901</v>
      </c>
    </row>
    <row r="50" spans="1:11" x14ac:dyDescent="0.3">
      <c r="A50" s="50">
        <v>24</v>
      </c>
      <c r="B50" s="54">
        <v>32329.312750348701</v>
      </c>
      <c r="C50" s="54">
        <v>30505.9183581619</v>
      </c>
      <c r="D50" s="54">
        <v>28858.859534632498</v>
      </c>
      <c r="E50" s="54">
        <v>27152.932175165301</v>
      </c>
      <c r="F50" s="54">
        <v>25564.606867995801</v>
      </c>
      <c r="G50" s="54">
        <v>23799.990998694801</v>
      </c>
      <c r="H50" s="54">
        <v>22447.094828750101</v>
      </c>
      <c r="I50" s="54">
        <v>20917.683064044199</v>
      </c>
      <c r="J50" s="54">
        <v>19270.669247040802</v>
      </c>
      <c r="K50" s="54">
        <v>18388.2262928124</v>
      </c>
    </row>
    <row r="51" spans="1:11" x14ac:dyDescent="0.3">
      <c r="A51" s="50">
        <v>24.5</v>
      </c>
      <c r="B51" s="54">
        <v>32564.2018092623</v>
      </c>
      <c r="C51" s="54">
        <v>30975.966515144599</v>
      </c>
      <c r="D51" s="54">
        <v>29328.8176785633</v>
      </c>
      <c r="E51" s="54">
        <v>27387.776227552898</v>
      </c>
      <c r="F51" s="54">
        <v>25917.097979206901</v>
      </c>
      <c r="G51" s="54">
        <v>24211.260632791698</v>
      </c>
      <c r="H51" s="54">
        <v>22740.7174040235</v>
      </c>
      <c r="I51" s="54">
        <v>21270.0841622035</v>
      </c>
      <c r="J51" s="54">
        <v>19623.160358251898</v>
      </c>
      <c r="K51" s="54">
        <v>18740.447364867901</v>
      </c>
    </row>
    <row r="52" spans="1:11" x14ac:dyDescent="0.3">
      <c r="A52" s="50">
        <v>25</v>
      </c>
      <c r="B52" s="54">
        <v>33151.987038120496</v>
      </c>
      <c r="C52" s="54">
        <v>31387.191142715601</v>
      </c>
      <c r="D52" s="54">
        <v>29622.5302668886</v>
      </c>
      <c r="E52" s="54">
        <v>27857.9143975876</v>
      </c>
      <c r="F52" s="54">
        <v>26328.4126198298</v>
      </c>
      <c r="G52" s="54">
        <v>24505.018227642999</v>
      </c>
      <c r="H52" s="54">
        <v>23034.294972771</v>
      </c>
      <c r="I52" s="54">
        <v>21504.838201539202</v>
      </c>
      <c r="J52" s="54">
        <v>19916.737926999402</v>
      </c>
      <c r="K52" s="54">
        <v>18799.045861649902</v>
      </c>
    </row>
    <row r="53" spans="1:11" x14ac:dyDescent="0.3">
      <c r="A53" s="50">
        <v>25.5</v>
      </c>
      <c r="B53" s="54">
        <v>33621.9901885773</v>
      </c>
      <c r="C53" s="54">
        <v>31857.284306224399</v>
      </c>
      <c r="D53" s="54">
        <v>30033.6648814078</v>
      </c>
      <c r="E53" s="54">
        <v>28269.094018632699</v>
      </c>
      <c r="F53" s="54">
        <v>26680.813717989098</v>
      </c>
      <c r="G53" s="54">
        <v>24798.5957963904</v>
      </c>
      <c r="H53" s="54">
        <v>23445.4745938161</v>
      </c>
      <c r="I53" s="54">
        <v>21622.350240784901</v>
      </c>
      <c r="J53" s="54">
        <v>20269.049012106701</v>
      </c>
      <c r="K53" s="54">
        <v>19092.7134434492</v>
      </c>
    </row>
    <row r="54" spans="1:11" x14ac:dyDescent="0.3">
      <c r="A54" s="50">
        <v>26</v>
      </c>
      <c r="B54" s="54">
        <v>34268.688959899097</v>
      </c>
      <c r="C54" s="54">
        <v>32209.7754174355</v>
      </c>
      <c r="D54" s="54">
        <v>30386.246005670801</v>
      </c>
      <c r="E54" s="54">
        <v>28680.4086592555</v>
      </c>
      <c r="F54" s="54">
        <v>26915.747783428498</v>
      </c>
      <c r="G54" s="54">
        <v>25445.024528556602</v>
      </c>
      <c r="H54" s="54">
        <v>23680.3636527296</v>
      </c>
      <c r="I54" s="54">
        <v>22151.041901075601</v>
      </c>
      <c r="J54" s="54">
        <v>20562.761600432001</v>
      </c>
      <c r="K54" s="54">
        <v>19445.024528556602</v>
      </c>
    </row>
    <row r="55" spans="1:11" x14ac:dyDescent="0.3">
      <c r="A55" s="50">
        <v>26.5</v>
      </c>
      <c r="B55" s="54">
        <v>34797.470633241799</v>
      </c>
      <c r="C55" s="54">
        <v>32679.823574418198</v>
      </c>
      <c r="D55" s="54">
        <v>30856.429182231401</v>
      </c>
      <c r="E55" s="54">
        <v>29032.944776992601</v>
      </c>
      <c r="F55" s="54">
        <v>27268.1488815878</v>
      </c>
      <c r="G55" s="54">
        <v>25679.9585939961</v>
      </c>
      <c r="H55" s="54">
        <v>24032.719744362901</v>
      </c>
      <c r="I55" s="54">
        <v>22444.4844502452</v>
      </c>
      <c r="J55" s="54">
        <v>20915.207705117198</v>
      </c>
      <c r="K55" s="54">
        <v>19503.533012286702</v>
      </c>
    </row>
    <row r="56" spans="1:11" x14ac:dyDescent="0.3">
      <c r="A56" s="50">
        <v>27</v>
      </c>
      <c r="B56" s="54">
        <v>35149.961744452899</v>
      </c>
      <c r="C56" s="54">
        <v>32797.110581034198</v>
      </c>
      <c r="D56" s="54">
        <v>31267.608803276398</v>
      </c>
      <c r="E56" s="54">
        <v>29326.612358792001</v>
      </c>
      <c r="F56" s="54">
        <v>27620.594986273001</v>
      </c>
      <c r="G56" s="54">
        <v>25914.712633331801</v>
      </c>
      <c r="H56" s="54">
        <v>24208.875286916598</v>
      </c>
      <c r="I56" s="54">
        <v>22679.418515684702</v>
      </c>
      <c r="J56" s="54">
        <v>21208.830280390601</v>
      </c>
      <c r="K56" s="54">
        <v>19561.726450335202</v>
      </c>
    </row>
    <row r="57" spans="1:11" x14ac:dyDescent="0.3">
      <c r="A57" s="50">
        <v>27.5</v>
      </c>
      <c r="B57" s="54">
        <v>35620.099914487597</v>
      </c>
      <c r="C57" s="54">
        <v>33384.850803366397</v>
      </c>
      <c r="D57" s="54">
        <v>31737.701966785098</v>
      </c>
      <c r="E57" s="54">
        <v>29620.0999144876</v>
      </c>
      <c r="F57" s="54">
        <v>27972.906071380301</v>
      </c>
      <c r="G57" s="54">
        <v>26031.999639947699</v>
      </c>
      <c r="H57" s="54">
        <v>24502.497862190001</v>
      </c>
      <c r="I57" s="54">
        <v>22737.791979836999</v>
      </c>
      <c r="J57" s="54">
        <v>21443.404293622501</v>
      </c>
      <c r="K57" s="54">
        <v>19914.262568072299</v>
      </c>
    </row>
    <row r="58" spans="1:11" x14ac:dyDescent="0.3">
      <c r="A58" s="50">
        <v>28</v>
      </c>
      <c r="B58" s="54">
        <v>35972.546019172703</v>
      </c>
      <c r="C58" s="54">
        <v>33913.722489760999</v>
      </c>
      <c r="D58" s="54">
        <v>32148.9265943561</v>
      </c>
      <c r="E58" s="54">
        <v>30031.369548584498</v>
      </c>
      <c r="F58" s="54">
        <v>28207.795130293802</v>
      </c>
      <c r="G58" s="54">
        <v>26619.739862279999</v>
      </c>
      <c r="H58" s="54">
        <v>24913.722489760999</v>
      </c>
      <c r="I58" s="54">
        <v>23090.283091048099</v>
      </c>
      <c r="J58" s="54">
        <v>21619.604842702101</v>
      </c>
      <c r="K58" s="54">
        <v>20149.106620459901</v>
      </c>
    </row>
    <row r="59" spans="1:11" x14ac:dyDescent="0.3">
      <c r="A59" s="50">
        <v>28.5</v>
      </c>
      <c r="B59" s="54">
        <v>36324.992123857897</v>
      </c>
      <c r="C59" s="54">
        <v>34383.815653269703</v>
      </c>
      <c r="D59" s="54">
        <v>32501.417705567299</v>
      </c>
      <c r="E59" s="54">
        <v>30442.684189207401</v>
      </c>
      <c r="F59" s="54">
        <v>28560.286241505</v>
      </c>
      <c r="G59" s="54">
        <v>26736.801836266201</v>
      </c>
      <c r="H59" s="54">
        <v>25148.4315225707</v>
      </c>
      <c r="I59" s="54">
        <v>23325.037130383898</v>
      </c>
      <c r="J59" s="54">
        <v>21854.4038885638</v>
      </c>
      <c r="K59" s="54">
        <v>20442.549169629499</v>
      </c>
    </row>
    <row r="60" spans="1:11" x14ac:dyDescent="0.3">
      <c r="A60" s="50">
        <v>29</v>
      </c>
      <c r="B60" s="54">
        <v>36677.393222017097</v>
      </c>
      <c r="C60" s="54">
        <v>34736.351771006797</v>
      </c>
      <c r="D60" s="54">
        <v>32795.040280840702</v>
      </c>
      <c r="E60" s="54">
        <v>30971.465862550001</v>
      </c>
      <c r="F60" s="54">
        <v>28853.9988298303</v>
      </c>
      <c r="G60" s="54">
        <v>26912.822359242</v>
      </c>
      <c r="H60" s="54">
        <v>25324.542058598399</v>
      </c>
      <c r="I60" s="54">
        <v>23677.393222017101</v>
      </c>
      <c r="J60" s="54">
        <v>22089.337954003298</v>
      </c>
      <c r="K60" s="54">
        <v>20559.701156667699</v>
      </c>
    </row>
    <row r="61" spans="1:11" x14ac:dyDescent="0.3">
      <c r="A61" s="50">
        <v>29.5</v>
      </c>
      <c r="B61" s="54">
        <v>37147.576398577701</v>
      </c>
      <c r="C61" s="54">
        <v>35147.576398577701</v>
      </c>
      <c r="D61" s="54">
        <v>33206.219901885699</v>
      </c>
      <c r="E61" s="54">
        <v>31382.735496647001</v>
      </c>
      <c r="F61" s="54">
        <v>28971.285836446201</v>
      </c>
      <c r="G61" s="54">
        <v>27500.4725685224</v>
      </c>
      <c r="H61" s="54">
        <v>25441.739052162498</v>
      </c>
      <c r="I61" s="54">
        <v>24029.929339754199</v>
      </c>
      <c r="J61" s="54">
        <v>22265.313470453199</v>
      </c>
      <c r="K61" s="54">
        <v>20853.368738467001</v>
      </c>
    </row>
    <row r="62" spans="1:11" x14ac:dyDescent="0.3">
      <c r="A62" s="50">
        <v>30</v>
      </c>
      <c r="B62" s="54">
        <v>37500.112516314803</v>
      </c>
      <c r="C62" s="54">
        <v>35441.153967325197</v>
      </c>
      <c r="D62" s="54">
        <v>33558.711013096799</v>
      </c>
      <c r="E62" s="54">
        <v>31558.846032674701</v>
      </c>
      <c r="F62" s="54">
        <v>29323.506908501698</v>
      </c>
      <c r="G62" s="54">
        <v>27676.4480849723</v>
      </c>
      <c r="H62" s="54">
        <v>25735.271614384001</v>
      </c>
      <c r="I62" s="54">
        <v>24205.904856204099</v>
      </c>
      <c r="J62" s="54">
        <v>22617.624555560498</v>
      </c>
      <c r="K62" s="54">
        <v>21029.479274494799</v>
      </c>
    </row>
    <row r="63" spans="1:11" x14ac:dyDescent="0.3">
      <c r="A63" s="50">
        <v>30.5</v>
      </c>
      <c r="B63" s="54">
        <v>37911.157117782001</v>
      </c>
      <c r="C63" s="54">
        <v>35676.043026238702</v>
      </c>
      <c r="D63" s="54">
        <v>33675.998019712802</v>
      </c>
      <c r="E63" s="54">
        <v>31734.8665556505</v>
      </c>
      <c r="F63" s="54">
        <v>29440.703902065699</v>
      </c>
      <c r="G63" s="54">
        <v>27734.821549124601</v>
      </c>
      <c r="H63" s="54">
        <v>25970.1606732976</v>
      </c>
      <c r="I63" s="54">
        <v>24440.703902065699</v>
      </c>
      <c r="J63" s="54">
        <v>22734.7765425986</v>
      </c>
      <c r="K63" s="54">
        <v>21205.454790944601</v>
      </c>
    </row>
    <row r="64" spans="1:11" x14ac:dyDescent="0.3">
      <c r="A64" s="50">
        <v>31</v>
      </c>
      <c r="B64" s="54">
        <v>38322.516764930901</v>
      </c>
      <c r="C64" s="54">
        <v>36087.222647283801</v>
      </c>
      <c r="D64" s="54">
        <v>34028.444124398004</v>
      </c>
      <c r="E64" s="54">
        <v>32146.0461766956</v>
      </c>
      <c r="F64" s="54">
        <v>29793.150006750901</v>
      </c>
      <c r="G64" s="54">
        <v>28146.091183221499</v>
      </c>
      <c r="H64" s="54">
        <v>26263.783248570999</v>
      </c>
      <c r="I64" s="54">
        <v>24793.105000225001</v>
      </c>
      <c r="J64" s="54">
        <v>23028.5341374499</v>
      </c>
      <c r="K64" s="54">
        <v>21498.9423466402</v>
      </c>
    </row>
    <row r="65" spans="1:11" x14ac:dyDescent="0.3">
      <c r="A65" s="50">
        <v>31.5</v>
      </c>
      <c r="B65" s="54">
        <v>38557.360817318498</v>
      </c>
      <c r="C65" s="54">
        <v>36380.890229083197</v>
      </c>
      <c r="D65" s="54">
        <v>34322.0216931455</v>
      </c>
      <c r="E65" s="54">
        <v>32322.0216931455</v>
      </c>
      <c r="F65" s="54">
        <v>30204.374634321899</v>
      </c>
      <c r="G65" s="54">
        <v>28381.070255187002</v>
      </c>
      <c r="H65" s="54">
        <v>26498.4022683289</v>
      </c>
      <c r="I65" s="54">
        <v>25027.949052612599</v>
      </c>
      <c r="J65" s="54">
        <v>23204.4196408479</v>
      </c>
      <c r="K65" s="54">
        <v>21674.917863090101</v>
      </c>
    </row>
    <row r="66" spans="1:11" x14ac:dyDescent="0.3">
      <c r="A66" s="50">
        <v>32</v>
      </c>
      <c r="B66" s="54">
        <v>38850.9383860659</v>
      </c>
      <c r="C66" s="54">
        <v>36674.6028174085</v>
      </c>
      <c r="D66" s="54">
        <v>34556.865745533098</v>
      </c>
      <c r="E66" s="54">
        <v>32615.734281470799</v>
      </c>
      <c r="F66" s="54">
        <v>30439.218686709501</v>
      </c>
      <c r="G66" s="54">
        <v>28733.3363337683</v>
      </c>
      <c r="H66" s="54">
        <v>26674.5128043566</v>
      </c>
      <c r="I66" s="54">
        <v>25262.7030919483</v>
      </c>
      <c r="J66" s="54">
        <v>23439.308699761401</v>
      </c>
      <c r="K66" s="54">
        <v>21792.2048697061</v>
      </c>
    </row>
    <row r="67" spans="1:11" x14ac:dyDescent="0.3">
      <c r="A67" s="50">
        <v>32.5</v>
      </c>
      <c r="B67" s="54">
        <v>39085.917458031399</v>
      </c>
      <c r="C67" s="54">
        <v>37027.048922093702</v>
      </c>
      <c r="D67" s="54">
        <v>35026.8238894639</v>
      </c>
      <c r="E67" s="54">
        <v>32968.180386155902</v>
      </c>
      <c r="F67" s="54">
        <v>30850.3082947027</v>
      </c>
      <c r="G67" s="54">
        <v>29203.294477699201</v>
      </c>
      <c r="H67" s="54">
        <v>27026.9139025158</v>
      </c>
      <c r="I67" s="54">
        <v>25438.813627976</v>
      </c>
      <c r="J67" s="54">
        <v>23732.751248930999</v>
      </c>
      <c r="K67" s="54">
        <v>21968.225392681899</v>
      </c>
    </row>
    <row r="68" spans="1:11" x14ac:dyDescent="0.3">
      <c r="A68" s="50">
        <v>33</v>
      </c>
      <c r="B68" s="54">
        <v>39673.612673837699</v>
      </c>
      <c r="C68" s="54">
        <v>37203.1144515954</v>
      </c>
      <c r="D68" s="54">
        <v>35320.491471263304</v>
      </c>
      <c r="E68" s="54">
        <v>33261.757954903398</v>
      </c>
      <c r="F68" s="54">
        <v>31085.242360142202</v>
      </c>
      <c r="G68" s="54">
        <v>29497.052072550501</v>
      </c>
      <c r="H68" s="54">
        <v>27203.0244385435</v>
      </c>
      <c r="I68" s="54">
        <v>25791.1247130833</v>
      </c>
      <c r="J68" s="54">
        <v>23908.8167784328</v>
      </c>
      <c r="K68" s="54">
        <v>22379.360007201001</v>
      </c>
    </row>
    <row r="69" spans="1:11" x14ac:dyDescent="0.3">
      <c r="A69" s="50">
        <v>33.5</v>
      </c>
      <c r="B69" s="54">
        <v>39967.235249111101</v>
      </c>
      <c r="C69" s="54">
        <v>37614.3840856924</v>
      </c>
      <c r="D69" s="54">
        <v>35496.602007291003</v>
      </c>
      <c r="E69" s="54">
        <v>33614.204059588599</v>
      </c>
      <c r="F69" s="54">
        <v>31261.352896169901</v>
      </c>
      <c r="G69" s="54">
        <v>29849.4981772356</v>
      </c>
      <c r="H69" s="54">
        <v>27379.0899680453</v>
      </c>
      <c r="I69" s="54">
        <v>25967.145236059201</v>
      </c>
      <c r="J69" s="54">
        <v>24320.086412529799</v>
      </c>
      <c r="K69" s="54">
        <v>22614.249066114498</v>
      </c>
    </row>
    <row r="70" spans="1:11" x14ac:dyDescent="0.3">
      <c r="A70" s="50">
        <v>34</v>
      </c>
      <c r="B70" s="54">
        <v>40437.238399567897</v>
      </c>
      <c r="C70" s="54">
        <v>38084.432242675102</v>
      </c>
      <c r="D70" s="54">
        <v>35907.871641387901</v>
      </c>
      <c r="E70" s="54">
        <v>34084.252216571404</v>
      </c>
      <c r="F70" s="54">
        <v>31672.532517214899</v>
      </c>
      <c r="G70" s="54">
        <v>30084.2522165714</v>
      </c>
      <c r="H70" s="54">
        <v>27848.913092398299</v>
      </c>
      <c r="I70" s="54">
        <v>26260.722804806599</v>
      </c>
      <c r="J70" s="54">
        <v>24437.373419145701</v>
      </c>
      <c r="K70" s="54">
        <v>22848.9580989243</v>
      </c>
    </row>
    <row r="71" spans="1:11" x14ac:dyDescent="0.3">
      <c r="A71" s="50">
        <v>34.5</v>
      </c>
      <c r="B71" s="54">
        <v>40789.729510778998</v>
      </c>
      <c r="C71" s="54">
        <v>38495.656870246101</v>
      </c>
      <c r="D71" s="54">
        <v>36377.919798370698</v>
      </c>
      <c r="E71" s="54">
        <v>34377.874791844799</v>
      </c>
      <c r="F71" s="54">
        <v>32025.113641478001</v>
      </c>
      <c r="G71" s="54">
        <v>30495.431837616401</v>
      </c>
      <c r="H71" s="54">
        <v>28083.847157837801</v>
      </c>
      <c r="I71" s="54">
        <v>26378.099824474499</v>
      </c>
      <c r="J71" s="54">
        <v>24789.684504253099</v>
      </c>
      <c r="K71" s="54">
        <v>23142.6256807237</v>
      </c>
    </row>
    <row r="72" spans="1:11" x14ac:dyDescent="0.3">
      <c r="A72" s="50">
        <v>35</v>
      </c>
      <c r="B72" s="54">
        <v>41318.5561906476</v>
      </c>
      <c r="C72" s="54">
        <v>38906.971510869</v>
      </c>
      <c r="D72" s="54">
        <v>36612.853863810204</v>
      </c>
      <c r="E72" s="54">
        <v>34789.324452045497</v>
      </c>
      <c r="F72" s="54">
        <v>32553.850308294601</v>
      </c>
      <c r="G72" s="54">
        <v>30730.4559161078</v>
      </c>
      <c r="H72" s="54">
        <v>28259.957693865599</v>
      </c>
      <c r="I72" s="54">
        <v>26730.320896529902</v>
      </c>
      <c r="J72" s="54">
        <v>24907.016517395001</v>
      </c>
      <c r="K72" s="54">
        <v>23318.5561906476</v>
      </c>
    </row>
    <row r="73" spans="1:11" x14ac:dyDescent="0.3">
      <c r="A73" s="50">
        <v>35.5</v>
      </c>
      <c r="B73" s="54">
        <v>41729.870831270498</v>
      </c>
      <c r="C73" s="54">
        <v>39318.016112336198</v>
      </c>
      <c r="D73" s="54">
        <v>37023.988478329302</v>
      </c>
      <c r="E73" s="54">
        <v>35259.192582924501</v>
      </c>
      <c r="F73" s="54">
        <v>32671.182321436601</v>
      </c>
      <c r="G73" s="54">
        <v>30906.6114586615</v>
      </c>
      <c r="H73" s="54">
        <v>28553.535262613001</v>
      </c>
      <c r="I73" s="54">
        <v>26847.607903145901</v>
      </c>
      <c r="J73" s="54">
        <v>25082.8120077411</v>
      </c>
      <c r="K73" s="54">
        <v>23671.002295332801</v>
      </c>
    </row>
    <row r="74" spans="1:11" x14ac:dyDescent="0.3">
      <c r="A74" s="50">
        <v>36</v>
      </c>
      <c r="B74" s="54">
        <v>42141.230478419297</v>
      </c>
      <c r="C74" s="54">
        <v>39788.154282370902</v>
      </c>
      <c r="D74" s="54">
        <v>37435.303118952201</v>
      </c>
      <c r="E74" s="54">
        <v>35376.524596066403</v>
      </c>
      <c r="F74" s="54">
        <v>32906.116386875998</v>
      </c>
      <c r="G74" s="54">
        <v>31259.0125568207</v>
      </c>
      <c r="H74" s="54">
        <v>28905.981367298202</v>
      </c>
      <c r="I74" s="54">
        <v>27258.742517664999</v>
      </c>
      <c r="J74" s="54">
        <v>25082.6319816373</v>
      </c>
      <c r="K74" s="54">
        <v>23964.759890183999</v>
      </c>
    </row>
    <row r="75" spans="1:11" x14ac:dyDescent="0.3">
      <c r="A75" s="50">
        <v>36.5</v>
      </c>
      <c r="B75" s="54">
        <v>42611.278635402101</v>
      </c>
      <c r="C75" s="54">
        <v>40199.468922993801</v>
      </c>
      <c r="D75" s="54">
        <v>37670.102164813899</v>
      </c>
      <c r="E75" s="54">
        <v>35787.749223637402</v>
      </c>
      <c r="F75" s="54">
        <v>33434.673027589</v>
      </c>
      <c r="G75" s="54">
        <v>31670.102164813801</v>
      </c>
      <c r="H75" s="54">
        <v>29199.468922993801</v>
      </c>
      <c r="I75" s="54">
        <v>27375.939511229099</v>
      </c>
      <c r="J75" s="54">
        <v>25669.922138710099</v>
      </c>
      <c r="K75" s="54">
        <v>24140.645393581999</v>
      </c>
    </row>
    <row r="76" spans="1:11" x14ac:dyDescent="0.3">
      <c r="A76" s="50">
        <v>37</v>
      </c>
      <c r="B76" s="54">
        <v>42963.814753139202</v>
      </c>
      <c r="C76" s="54">
        <v>40552.005040730903</v>
      </c>
      <c r="D76" s="54">
        <v>38140.195328322603</v>
      </c>
      <c r="E76" s="54">
        <v>36081.461811962698</v>
      </c>
      <c r="F76" s="54">
        <v>33552.095053782701</v>
      </c>
      <c r="G76" s="54">
        <v>31846.122687789699</v>
      </c>
      <c r="H76" s="54">
        <v>29610.738557090699</v>
      </c>
      <c r="I76" s="54">
        <v>27728.3856159143</v>
      </c>
      <c r="J76" s="54">
        <v>25669.652099554402</v>
      </c>
      <c r="K76" s="54">
        <v>24316.7109230838</v>
      </c>
    </row>
    <row r="77" spans="1:11" x14ac:dyDescent="0.3">
      <c r="A77" s="50">
        <v>37.5</v>
      </c>
      <c r="B77" s="54">
        <v>43316.305864350303</v>
      </c>
      <c r="C77" s="54">
        <v>41022.053197713598</v>
      </c>
      <c r="D77" s="54">
        <v>38551.554975471401</v>
      </c>
      <c r="E77" s="54">
        <v>36492.641433007702</v>
      </c>
      <c r="F77" s="54">
        <v>33904.586164993903</v>
      </c>
      <c r="G77" s="54">
        <v>32139.7002565371</v>
      </c>
      <c r="H77" s="54">
        <v>30022.008191187699</v>
      </c>
      <c r="I77" s="54">
        <v>27963.229668301901</v>
      </c>
      <c r="J77" s="54">
        <v>25963.1846617759</v>
      </c>
      <c r="K77" s="54">
        <v>24551.4199558935</v>
      </c>
    </row>
    <row r="78" spans="1:11" x14ac:dyDescent="0.3">
      <c r="A78" s="50">
        <v>38</v>
      </c>
      <c r="B78" s="54">
        <v>43786.264008281199</v>
      </c>
      <c r="C78" s="54">
        <v>41374.499302398799</v>
      </c>
      <c r="D78" s="54">
        <v>39021.468112876297</v>
      </c>
      <c r="E78" s="54">
        <v>36668.751969035497</v>
      </c>
      <c r="F78" s="54">
        <v>34315.630766461101</v>
      </c>
      <c r="G78" s="54">
        <v>32550.789864530299</v>
      </c>
      <c r="H78" s="54">
        <v>30315.720779513002</v>
      </c>
      <c r="I78" s="54">
        <v>28197.983707637599</v>
      </c>
      <c r="J78" s="54">
        <v>26197.983707637599</v>
      </c>
      <c r="K78" s="54">
        <v>24668.5719429317</v>
      </c>
    </row>
    <row r="79" spans="1:11" x14ac:dyDescent="0.3">
      <c r="A79" s="50">
        <v>38.5</v>
      </c>
      <c r="B79" s="54">
        <v>44079.796570502702</v>
      </c>
      <c r="C79" s="54">
        <v>41609.433367838297</v>
      </c>
      <c r="D79" s="54">
        <v>39197.443629326197</v>
      </c>
      <c r="E79" s="54">
        <v>37138.620099914398</v>
      </c>
      <c r="F79" s="54">
        <v>34726.8553940321</v>
      </c>
      <c r="G79" s="54">
        <v>32962.104505153198</v>
      </c>
      <c r="H79" s="54">
        <v>30668.211890724098</v>
      </c>
      <c r="I79" s="54">
        <v>28432.692740447299</v>
      </c>
      <c r="J79" s="54">
        <v>26432.692740447299</v>
      </c>
      <c r="K79" s="54">
        <v>24844.727485485299</v>
      </c>
    </row>
    <row r="80" spans="1:11" x14ac:dyDescent="0.3">
      <c r="A80" s="50">
        <v>39</v>
      </c>
      <c r="B80" s="54">
        <v>44197.038570592696</v>
      </c>
      <c r="C80" s="54">
        <v>41667.6718124127</v>
      </c>
      <c r="D80" s="54">
        <v>39255.772086952602</v>
      </c>
      <c r="E80" s="54">
        <v>37138.4400738107</v>
      </c>
      <c r="F80" s="54">
        <v>34785.408884288197</v>
      </c>
      <c r="G80" s="54">
        <v>33079.481524821</v>
      </c>
      <c r="H80" s="54">
        <v>31079.481524821</v>
      </c>
      <c r="I80" s="54">
        <v>28608.893289526899</v>
      </c>
      <c r="J80" s="54">
        <v>26785.2738647103</v>
      </c>
      <c r="K80" s="54">
        <v>24961.834465997501</v>
      </c>
    </row>
    <row r="81" spans="1:11" x14ac:dyDescent="0.3">
      <c r="A81" s="50">
        <v>39.5</v>
      </c>
      <c r="B81" s="54">
        <v>44255.412034745001</v>
      </c>
      <c r="C81" s="54">
        <v>41666.996714523601</v>
      </c>
      <c r="D81" s="54">
        <v>39373.014087042597</v>
      </c>
      <c r="E81" s="54">
        <v>37255.637067374701</v>
      </c>
      <c r="F81" s="54">
        <v>35020.117917097901</v>
      </c>
      <c r="G81" s="54">
        <v>33373.149106620403</v>
      </c>
      <c r="H81" s="54">
        <v>31314.235564156799</v>
      </c>
      <c r="I81" s="54">
        <v>28961.294387686201</v>
      </c>
      <c r="J81" s="54">
        <v>27020.072910571998</v>
      </c>
      <c r="K81" s="54">
        <v>25137.764975921498</v>
      </c>
    </row>
    <row r="82" spans="1:11" x14ac:dyDescent="0.3">
      <c r="A82" s="50">
        <v>40</v>
      </c>
      <c r="B82" s="54">
        <v>44078.491381250198</v>
      </c>
      <c r="C82" s="54">
        <v>41607.813132904201</v>
      </c>
      <c r="D82" s="54">
        <v>39372.519015257203</v>
      </c>
      <c r="E82" s="54">
        <v>37549.169629596203</v>
      </c>
      <c r="F82" s="54">
        <v>35019.577838786601</v>
      </c>
      <c r="G82" s="54">
        <v>33607.903145956101</v>
      </c>
      <c r="H82" s="54">
        <v>31548.944596966499</v>
      </c>
      <c r="I82" s="54">
        <v>29313.560466267601</v>
      </c>
      <c r="J82" s="54">
        <v>27137.179891084201</v>
      </c>
      <c r="K82" s="54">
        <v>25313.605472793501</v>
      </c>
    </row>
    <row r="83" spans="1:11" x14ac:dyDescent="0.3">
      <c r="A83" s="50">
        <v>40.5</v>
      </c>
      <c r="B83" s="54">
        <v>43842.657185291799</v>
      </c>
      <c r="C83" s="54">
        <v>41372.113956523601</v>
      </c>
      <c r="D83" s="54">
        <v>39313.245420585903</v>
      </c>
      <c r="E83" s="54">
        <v>37489.716008821197</v>
      </c>
      <c r="F83" s="54">
        <v>35136.684819298702</v>
      </c>
      <c r="G83" s="54">
        <v>33666.186597056498</v>
      </c>
      <c r="H83" s="54">
        <v>31607.4080741707</v>
      </c>
      <c r="I83" s="54">
        <v>29313.20041406</v>
      </c>
      <c r="J83" s="54">
        <v>27195.553355236501</v>
      </c>
      <c r="K83" s="54">
        <v>25372.023943471799</v>
      </c>
    </row>
    <row r="84" spans="1:11" x14ac:dyDescent="0.3">
      <c r="A84" s="50">
        <v>41</v>
      </c>
      <c r="B84" s="54">
        <v>43253.926819388798</v>
      </c>
      <c r="C84" s="54">
        <v>41077.456231153497</v>
      </c>
      <c r="D84" s="54">
        <v>39254.016832440699</v>
      </c>
      <c r="E84" s="54">
        <v>37312.705342274603</v>
      </c>
      <c r="F84" s="54">
        <v>35194.923263873199</v>
      </c>
      <c r="G84" s="54">
        <v>33606.822989333399</v>
      </c>
      <c r="H84" s="54">
        <v>31606.7779828075</v>
      </c>
      <c r="I84" s="54">
        <v>29312.750348800499</v>
      </c>
      <c r="J84" s="54">
        <v>27195.058283450999</v>
      </c>
      <c r="K84" s="54">
        <v>25489.3109500877</v>
      </c>
    </row>
    <row r="85" spans="1:11" x14ac:dyDescent="0.3">
      <c r="A85" s="50">
        <v>41.5</v>
      </c>
      <c r="B85" s="54">
        <v>42900.490571132803</v>
      </c>
      <c r="C85" s="54">
        <v>40724.109995949402</v>
      </c>
      <c r="D85" s="54">
        <v>38900.535577658702</v>
      </c>
      <c r="E85" s="54">
        <v>37135.739682253901</v>
      </c>
      <c r="F85" s="54">
        <v>34900.445564606802</v>
      </c>
      <c r="G85" s="54">
        <v>33253.431747603398</v>
      </c>
      <c r="H85" s="54">
        <v>31371.0788064269</v>
      </c>
      <c r="I85" s="54">
        <v>29312.300283541099</v>
      </c>
      <c r="J85" s="54">
        <v>27194.608218191599</v>
      </c>
      <c r="K85" s="54">
        <v>25488.7708717764</v>
      </c>
    </row>
    <row r="86" spans="1:11" x14ac:dyDescent="0.3">
      <c r="A86" s="50">
        <v>42</v>
      </c>
      <c r="B86" s="54">
        <v>42370.628741167398</v>
      </c>
      <c r="C86" s="54">
        <v>40370.538728115498</v>
      </c>
      <c r="D86" s="54">
        <v>38605.967865340397</v>
      </c>
      <c r="E86" s="54">
        <v>36723.434898060201</v>
      </c>
      <c r="F86" s="54">
        <v>34605.967865340397</v>
      </c>
      <c r="G86" s="54">
        <v>33076.421081056702</v>
      </c>
      <c r="H86" s="54">
        <v>31194.068139880201</v>
      </c>
      <c r="I86" s="54">
        <v>29311.805211755702</v>
      </c>
      <c r="J86" s="54">
        <v>27194.023133354302</v>
      </c>
      <c r="K86" s="54">
        <v>25547.099329402699</v>
      </c>
    </row>
    <row r="87" spans="1:11" x14ac:dyDescent="0.3">
      <c r="A87" s="50">
        <v>42.5</v>
      </c>
      <c r="B87" s="54">
        <v>41664.161303388901</v>
      </c>
      <c r="C87" s="54">
        <v>39899.455421036</v>
      </c>
      <c r="D87" s="54">
        <v>38193.618074620797</v>
      </c>
      <c r="E87" s="54">
        <v>36075.926009271301</v>
      </c>
      <c r="F87" s="54">
        <v>34252.441604032501</v>
      </c>
      <c r="G87" s="54">
        <v>32546.514244565398</v>
      </c>
      <c r="H87" s="54">
        <v>30840.766911202099</v>
      </c>
      <c r="I87" s="54">
        <v>29076.061028849101</v>
      </c>
      <c r="J87" s="54">
        <v>27134.839551734902</v>
      </c>
      <c r="K87" s="54">
        <v>25546.559251091399</v>
      </c>
    </row>
    <row r="88" spans="1:11" x14ac:dyDescent="0.3">
      <c r="A88" s="50">
        <v>43</v>
      </c>
      <c r="B88" s="54">
        <v>41193.123002835397</v>
      </c>
      <c r="C88" s="54">
        <v>39369.593591070698</v>
      </c>
      <c r="D88" s="54">
        <v>37604.887708717702</v>
      </c>
      <c r="E88" s="54">
        <v>35663.621225077601</v>
      </c>
      <c r="F88" s="54">
        <v>33604.797695665802</v>
      </c>
      <c r="G88" s="54">
        <v>32016.652414600099</v>
      </c>
      <c r="H88" s="54">
        <v>30487.2406498942</v>
      </c>
      <c r="I88" s="54">
        <v>28840.181826364798</v>
      </c>
      <c r="J88" s="54">
        <v>27016.742427652</v>
      </c>
      <c r="K88" s="54">
        <v>25545.974166254098</v>
      </c>
    </row>
    <row r="89" spans="1:11" x14ac:dyDescent="0.3">
      <c r="A89" s="50">
        <v>43.5</v>
      </c>
      <c r="B89" s="54">
        <v>40663.2161663441</v>
      </c>
      <c r="C89" s="54">
        <v>38898.465277465199</v>
      </c>
      <c r="D89" s="54">
        <v>37074.980872226399</v>
      </c>
      <c r="E89" s="54">
        <v>35192.582924524002</v>
      </c>
      <c r="F89" s="54">
        <v>33192.627931049901</v>
      </c>
      <c r="G89" s="54">
        <v>31427.967055223002</v>
      </c>
      <c r="H89" s="54">
        <v>30192.582924523998</v>
      </c>
      <c r="I89" s="54">
        <v>28604.392636932302</v>
      </c>
      <c r="J89" s="54">
        <v>26721.904676178001</v>
      </c>
      <c r="K89" s="54">
        <v>25486.745578108799</v>
      </c>
    </row>
    <row r="90" spans="1:11" x14ac:dyDescent="0.3">
      <c r="A90" s="50">
        <v>44</v>
      </c>
      <c r="B90" s="54">
        <v>40192.267878842402</v>
      </c>
      <c r="C90" s="54">
        <v>38368.648454025802</v>
      </c>
      <c r="D90" s="54">
        <v>36486.295512849298</v>
      </c>
      <c r="E90" s="54">
        <v>34780.413159908101</v>
      </c>
      <c r="F90" s="54">
        <v>32603.9425716728</v>
      </c>
      <c r="G90" s="54">
        <v>31074.485800441002</v>
      </c>
      <c r="H90" s="54">
        <v>29839.2366893199</v>
      </c>
      <c r="I90" s="54">
        <v>28368.693460551702</v>
      </c>
      <c r="J90" s="54">
        <v>26721.589630496401</v>
      </c>
      <c r="K90" s="54">
        <v>25427.471983437499</v>
      </c>
    </row>
    <row r="91" spans="1:11" x14ac:dyDescent="0.3">
      <c r="A91" s="50">
        <v>44.5</v>
      </c>
      <c r="B91" s="54">
        <v>39426.931905126199</v>
      </c>
      <c r="C91" s="54">
        <v>37544.578963949702</v>
      </c>
      <c r="D91" s="54">
        <v>35956.478689409902</v>
      </c>
      <c r="E91" s="54">
        <v>33838.696611008498</v>
      </c>
      <c r="F91" s="54">
        <v>32250.551329942798</v>
      </c>
      <c r="G91" s="54">
        <v>30485.755434538001</v>
      </c>
      <c r="H91" s="54">
        <v>29368.063369188501</v>
      </c>
      <c r="I91" s="54">
        <v>28074.1257482334</v>
      </c>
      <c r="J91" s="54">
        <v>26485.890454115801</v>
      </c>
      <c r="K91" s="54">
        <v>25250.461316890902</v>
      </c>
    </row>
    <row r="92" spans="1:11" x14ac:dyDescent="0.3">
      <c r="A92" s="50">
        <v>45</v>
      </c>
      <c r="B92" s="54">
        <v>38779.423016337299</v>
      </c>
      <c r="C92" s="54">
        <v>37014.717133984399</v>
      </c>
      <c r="D92" s="54">
        <v>35308.879787569102</v>
      </c>
      <c r="E92" s="54">
        <v>33191.142715693699</v>
      </c>
      <c r="F92" s="54">
        <v>31838.201539223101</v>
      </c>
      <c r="G92" s="54">
        <v>30191.1877222197</v>
      </c>
      <c r="H92" s="54">
        <v>29014.762140510298</v>
      </c>
      <c r="I92" s="54">
        <v>27485.1703497007</v>
      </c>
      <c r="J92" s="54">
        <v>26132.409199333899</v>
      </c>
      <c r="K92" s="54">
        <v>25073.540663396099</v>
      </c>
    </row>
    <row r="93" spans="1:11" x14ac:dyDescent="0.3">
      <c r="A93" s="50">
        <v>45.5</v>
      </c>
      <c r="B93" s="54">
        <v>38014.132049147098</v>
      </c>
      <c r="C93" s="54">
        <v>35955.3985327872</v>
      </c>
      <c r="D93" s="54">
        <v>34543.6788334308</v>
      </c>
      <c r="E93" s="54">
        <v>32543.543813853001</v>
      </c>
      <c r="F93" s="54">
        <v>31131.869121022501</v>
      </c>
      <c r="G93" s="54">
        <v>29543.7238399567</v>
      </c>
      <c r="H93" s="54">
        <v>28484.855304019002</v>
      </c>
      <c r="I93" s="54">
        <v>27131.9141275484</v>
      </c>
      <c r="J93" s="54">
        <v>25543.543813853001</v>
      </c>
      <c r="K93" s="54">
        <v>24543.633826904799</v>
      </c>
    </row>
    <row r="94" spans="1:11" x14ac:dyDescent="0.3">
      <c r="A94" s="50">
        <v>46</v>
      </c>
      <c r="B94" s="54">
        <v>37307.8896439983</v>
      </c>
      <c r="C94" s="54">
        <v>35602.007291057198</v>
      </c>
      <c r="D94" s="54">
        <v>33954.858454475798</v>
      </c>
      <c r="E94" s="54">
        <v>32013.636977361701</v>
      </c>
      <c r="F94" s="54">
        <v>30543.138755119398</v>
      </c>
      <c r="G94" s="54">
        <v>29072.550519825301</v>
      </c>
      <c r="H94" s="54">
        <v>28131.329042711099</v>
      </c>
      <c r="I94" s="54">
        <v>26837.2564021783</v>
      </c>
      <c r="J94" s="54">
        <v>24954.858454475801</v>
      </c>
      <c r="K94" s="54">
        <v>24131.509068814899</v>
      </c>
    </row>
    <row r="95" spans="1:11" x14ac:dyDescent="0.3">
      <c r="A95" s="50">
        <v>46.5</v>
      </c>
      <c r="B95" s="54">
        <v>36719.204284621199</v>
      </c>
      <c r="C95" s="54">
        <v>34836.806336918802</v>
      </c>
      <c r="D95" s="54">
        <v>33189.702506863403</v>
      </c>
      <c r="E95" s="54">
        <v>31366.1730950987</v>
      </c>
      <c r="F95" s="54">
        <v>29777.937800981101</v>
      </c>
      <c r="G95" s="54">
        <v>28425.086637562399</v>
      </c>
      <c r="H95" s="54">
        <v>27307.304559160999</v>
      </c>
      <c r="I95" s="54">
        <v>25954.363382690401</v>
      </c>
      <c r="J95" s="54">
        <v>24542.688689859999</v>
      </c>
      <c r="K95" s="54">
        <v>23601.5572257977</v>
      </c>
    </row>
    <row r="96" spans="1:11" x14ac:dyDescent="0.3">
      <c r="A96" s="50">
        <v>47</v>
      </c>
      <c r="B96" s="54">
        <v>35718.574193257999</v>
      </c>
      <c r="C96" s="54">
        <v>34012.736846842701</v>
      </c>
      <c r="D96" s="54">
        <v>32306.854493901599</v>
      </c>
      <c r="E96" s="54">
        <v>30659.7506638462</v>
      </c>
      <c r="F96" s="54">
        <v>29189.297448129899</v>
      </c>
      <c r="G96" s="54">
        <v>27777.5327422476</v>
      </c>
      <c r="H96" s="54">
        <v>26777.4427291957</v>
      </c>
      <c r="I96" s="54">
        <v>25483.280075610899</v>
      </c>
      <c r="J96" s="54">
        <v>24130.473918718199</v>
      </c>
      <c r="K96" s="54">
        <v>22718.574193257999</v>
      </c>
    </row>
    <row r="97" spans="1:11" x14ac:dyDescent="0.3">
      <c r="A97" s="50">
        <v>47.5</v>
      </c>
      <c r="B97" s="54">
        <v>35012.196768531401</v>
      </c>
      <c r="C97" s="54">
        <v>33424.1415005175</v>
      </c>
      <c r="D97" s="54">
        <v>31541.6535397632</v>
      </c>
      <c r="E97" s="54">
        <v>30071.0202979432</v>
      </c>
      <c r="F97" s="54">
        <v>28424.006480939701</v>
      </c>
      <c r="G97" s="54">
        <v>27188.757369818599</v>
      </c>
      <c r="H97" s="54">
        <v>25718.124127998501</v>
      </c>
      <c r="I97" s="54">
        <v>24659.255592060799</v>
      </c>
      <c r="J97" s="54">
        <v>23424.0514874656</v>
      </c>
      <c r="K97" s="54">
        <v>22129.888833880901</v>
      </c>
    </row>
    <row r="98" spans="1:11" x14ac:dyDescent="0.3">
      <c r="A98" s="50">
        <v>48</v>
      </c>
      <c r="B98" s="54">
        <v>34070.525226157697</v>
      </c>
      <c r="C98" s="54">
        <v>32247.130833970899</v>
      </c>
      <c r="D98" s="54">
        <v>30776.407579098901</v>
      </c>
      <c r="E98" s="54">
        <v>29482.379945092001</v>
      </c>
      <c r="F98" s="54">
        <v>27953.058193437999</v>
      </c>
      <c r="G98" s="54">
        <v>26423.556415680199</v>
      </c>
      <c r="H98" s="54">
        <v>24835.231108510699</v>
      </c>
      <c r="I98" s="54">
        <v>24011.701696746</v>
      </c>
      <c r="J98" s="54">
        <v>22599.9369908636</v>
      </c>
      <c r="K98" s="54">
        <v>21364.732886268499</v>
      </c>
    </row>
    <row r="99" spans="1:11" x14ac:dyDescent="0.3">
      <c r="A99" s="50">
        <v>48.5</v>
      </c>
      <c r="B99" s="54">
        <v>32893.604572662996</v>
      </c>
      <c r="C99" s="54">
        <v>31070.075160898301</v>
      </c>
      <c r="D99" s="54">
        <v>29599.441919078199</v>
      </c>
      <c r="E99" s="54">
        <v>28364.3278275349</v>
      </c>
      <c r="F99" s="54">
        <v>26893.604572663</v>
      </c>
      <c r="G99" s="54">
        <v>25364.237814483098</v>
      </c>
      <c r="H99" s="54">
        <v>24364.192807957101</v>
      </c>
      <c r="I99" s="54">
        <v>23128.943696835999</v>
      </c>
      <c r="J99" s="54">
        <v>21952.383095548801</v>
      </c>
      <c r="K99" s="54">
        <v>20540.618389666499</v>
      </c>
    </row>
    <row r="100" spans="1:11" x14ac:dyDescent="0.3">
      <c r="A100" s="50">
        <v>49</v>
      </c>
      <c r="B100" s="54">
        <v>31834.285971465801</v>
      </c>
      <c r="C100" s="54">
        <v>30246.050677348201</v>
      </c>
      <c r="D100" s="54">
        <v>28422.521265583498</v>
      </c>
      <c r="E100" s="54">
        <v>27246.050677348201</v>
      </c>
      <c r="F100" s="54">
        <v>25893.109500877599</v>
      </c>
      <c r="G100" s="54">
        <v>24540.258337458901</v>
      </c>
      <c r="H100" s="54">
        <v>23187.272154462298</v>
      </c>
      <c r="I100" s="54">
        <v>22422.566272109401</v>
      </c>
      <c r="J100" s="54">
        <v>21304.874206759901</v>
      </c>
      <c r="K100" s="54">
        <v>20069.625095638799</v>
      </c>
    </row>
    <row r="101" spans="1:11" x14ac:dyDescent="0.3">
      <c r="A101" s="50">
        <v>49.5</v>
      </c>
      <c r="B101" s="54">
        <v>30716.1888473828</v>
      </c>
      <c r="C101" s="54">
        <v>29069.085017327499</v>
      </c>
      <c r="D101" s="54">
        <v>27951.6629911337</v>
      </c>
      <c r="E101" s="54">
        <v>26480.894729735799</v>
      </c>
      <c r="F101" s="54">
        <v>25069.085017327499</v>
      </c>
      <c r="G101" s="54">
        <v>23539.6732526216</v>
      </c>
      <c r="H101" s="54">
        <v>22598.541788559301</v>
      </c>
      <c r="I101" s="54">
        <v>21657.320311445099</v>
      </c>
      <c r="J101" s="54">
        <v>20598.541788559301</v>
      </c>
      <c r="K101" s="54">
        <v>19186.732076150998</v>
      </c>
    </row>
    <row r="102" spans="1:11" x14ac:dyDescent="0.3">
      <c r="A102" s="50">
        <v>50</v>
      </c>
      <c r="B102" s="54">
        <v>29715.6937755974</v>
      </c>
      <c r="C102" s="54">
        <v>27715.603762545499</v>
      </c>
      <c r="D102" s="54">
        <v>26833.340834420898</v>
      </c>
      <c r="E102" s="54">
        <v>25362.707592600898</v>
      </c>
      <c r="F102" s="54">
        <v>23950.987893244499</v>
      </c>
      <c r="G102" s="54">
        <v>22539.178180836199</v>
      </c>
      <c r="H102" s="54">
        <v>21656.870246185601</v>
      </c>
      <c r="I102" s="54">
        <v>20598.0917232998</v>
      </c>
      <c r="J102" s="54">
        <v>19715.738782123401</v>
      </c>
      <c r="K102" s="54">
        <v>18598.0017102479</v>
      </c>
    </row>
    <row r="103" spans="1:11" x14ac:dyDescent="0.3">
      <c r="A103" s="50">
        <v>50.5</v>
      </c>
      <c r="B103" s="54">
        <v>28597.5516449885</v>
      </c>
      <c r="C103" s="54">
        <v>26715.198703811999</v>
      </c>
      <c r="D103" s="54">
        <v>25891.624285521299</v>
      </c>
      <c r="E103" s="54">
        <v>24126.918403168402</v>
      </c>
      <c r="F103" s="54">
        <v>22773.9772266978</v>
      </c>
      <c r="G103" s="54">
        <v>21774.022233223801</v>
      </c>
      <c r="H103" s="54">
        <v>20950.492821459098</v>
      </c>
      <c r="I103" s="54">
        <v>19597.4616319366</v>
      </c>
      <c r="J103" s="54">
        <v>18538.728115576701</v>
      </c>
      <c r="K103" s="54">
        <v>17656.330167874301</v>
      </c>
    </row>
    <row r="104" spans="1:11" x14ac:dyDescent="0.3">
      <c r="A104" s="50">
        <v>51</v>
      </c>
      <c r="B104" s="54">
        <v>27185.291867320699</v>
      </c>
      <c r="C104" s="54">
        <v>25655.880102614799</v>
      </c>
      <c r="D104" s="54">
        <v>24655.880102614799</v>
      </c>
      <c r="E104" s="54">
        <v>23008.821279085401</v>
      </c>
      <c r="F104" s="54">
        <v>21832.3506908501</v>
      </c>
      <c r="G104" s="54">
        <v>20714.748638552501</v>
      </c>
      <c r="H104" s="54">
        <v>20008.821279085401</v>
      </c>
      <c r="I104" s="54">
        <v>18773.572167964299</v>
      </c>
      <c r="J104" s="54">
        <v>17891.174220261899</v>
      </c>
      <c r="K104" s="54">
        <v>16891.219226787802</v>
      </c>
    </row>
    <row r="105" spans="1:11" x14ac:dyDescent="0.3">
      <c r="A105" s="50">
        <v>51.5</v>
      </c>
      <c r="B105" s="54">
        <v>26126.0182726495</v>
      </c>
      <c r="C105" s="54">
        <v>24537.692965479899</v>
      </c>
      <c r="D105" s="54">
        <v>23420.0459066564</v>
      </c>
      <c r="E105" s="54">
        <v>22126.0632791754</v>
      </c>
      <c r="F105" s="54">
        <v>20714.1185471893</v>
      </c>
      <c r="G105" s="54">
        <v>19655.4300373554</v>
      </c>
      <c r="H105" s="54">
        <v>19008.371213826002</v>
      </c>
      <c r="I105" s="54">
        <v>17831.765606012799</v>
      </c>
      <c r="J105" s="54">
        <v>17184.886808587202</v>
      </c>
      <c r="K105" s="54">
        <v>16184.841802061201</v>
      </c>
    </row>
    <row r="106" spans="1:11" x14ac:dyDescent="0.3">
      <c r="A106" s="50">
        <v>52</v>
      </c>
      <c r="B106" s="54">
        <v>24772.492011341601</v>
      </c>
      <c r="C106" s="54">
        <v>23184.2567172239</v>
      </c>
      <c r="D106" s="54">
        <v>22125.478194338099</v>
      </c>
      <c r="E106" s="54">
        <v>21360.817318511101</v>
      </c>
      <c r="F106" s="54">
        <v>20301.993789099401</v>
      </c>
      <c r="G106" s="54">
        <v>18772.582024393501</v>
      </c>
      <c r="H106" s="54">
        <v>17831.405553805202</v>
      </c>
      <c r="I106" s="54">
        <v>17125.478194338099</v>
      </c>
      <c r="J106" s="54">
        <v>16360.727305459201</v>
      </c>
      <c r="K106" s="54">
        <v>15478.4193708087</v>
      </c>
    </row>
    <row r="107" spans="1:11" x14ac:dyDescent="0.3">
      <c r="A107" s="50">
        <v>52.5</v>
      </c>
      <c r="B107" s="54">
        <v>23595.661370898699</v>
      </c>
      <c r="C107" s="54">
        <v>22066.159593141001</v>
      </c>
      <c r="D107" s="54">
        <v>21066.159593141001</v>
      </c>
      <c r="E107" s="54">
        <v>20066.2045996669</v>
      </c>
      <c r="F107" s="54">
        <v>19066.2045996669</v>
      </c>
      <c r="G107" s="54">
        <v>17830.865475493902</v>
      </c>
      <c r="H107" s="54">
        <v>17007.336063729199</v>
      </c>
      <c r="I107" s="54">
        <v>16360.367253251699</v>
      </c>
      <c r="J107" s="54">
        <v>15595.4813447949</v>
      </c>
      <c r="K107" s="54">
        <v>14536.7478284351</v>
      </c>
    </row>
    <row r="108" spans="1:11" x14ac:dyDescent="0.3">
      <c r="A108" s="50">
        <v>53</v>
      </c>
      <c r="B108" s="54">
        <v>22301.003645528599</v>
      </c>
      <c r="C108" s="54">
        <v>21242.1801161168</v>
      </c>
      <c r="D108" s="54">
        <v>20065.7095278815</v>
      </c>
      <c r="E108" s="54">
        <v>18889.193933120299</v>
      </c>
      <c r="F108" s="54">
        <v>18124.533057293302</v>
      </c>
      <c r="G108" s="54">
        <v>16947.9724560061</v>
      </c>
      <c r="H108" s="54">
        <v>16359.7821684144</v>
      </c>
      <c r="I108" s="54">
        <v>15359.7821684144</v>
      </c>
      <c r="J108" s="54">
        <v>14889.2389396462</v>
      </c>
      <c r="K108" s="54">
        <v>14006.8409919438</v>
      </c>
    </row>
    <row r="109" spans="1:11" x14ac:dyDescent="0.3">
      <c r="A109" s="50">
        <v>53.5</v>
      </c>
      <c r="B109" s="54">
        <v>21241.6850443314</v>
      </c>
      <c r="C109" s="54">
        <v>20065.259462622002</v>
      </c>
      <c r="D109" s="54">
        <v>19241.730050857299</v>
      </c>
      <c r="E109" s="54">
        <v>17829.920338448999</v>
      </c>
      <c r="F109" s="54">
        <v>17241.6850443314</v>
      </c>
      <c r="G109" s="54">
        <v>15888.653854808899</v>
      </c>
      <c r="H109" s="54">
        <v>15476.9341554525</v>
      </c>
      <c r="I109" s="54">
        <v>14535.7576848643</v>
      </c>
      <c r="J109" s="54">
        <v>14182.9515279715</v>
      </c>
      <c r="K109" s="54">
        <v>13123.9929789819</v>
      </c>
    </row>
    <row r="110" spans="1:11" x14ac:dyDescent="0.3">
      <c r="A110" s="50">
        <v>54</v>
      </c>
      <c r="B110" s="54">
        <v>19888.2037895494</v>
      </c>
      <c r="C110" s="54">
        <v>18947.117332013098</v>
      </c>
      <c r="D110" s="54">
        <v>18064.6743777847</v>
      </c>
      <c r="E110" s="54">
        <v>16711.733201314099</v>
      </c>
      <c r="F110" s="54">
        <v>16182.4114496601</v>
      </c>
      <c r="G110" s="54">
        <v>15182.321436608299</v>
      </c>
      <c r="H110" s="54">
        <v>14888.2938026013</v>
      </c>
      <c r="I110" s="54">
        <v>13947.0273189612</v>
      </c>
      <c r="J110" s="54">
        <v>13182.321436608299</v>
      </c>
      <c r="K110" s="54">
        <v>12417.615554255301</v>
      </c>
    </row>
    <row r="111" spans="1:11" x14ac:dyDescent="0.3">
      <c r="A111" s="50">
        <v>54.5</v>
      </c>
      <c r="B111" s="54">
        <v>18711.238129528701</v>
      </c>
      <c r="C111" s="54">
        <v>17711.283136054699</v>
      </c>
      <c r="D111" s="54">
        <v>16828.930194878201</v>
      </c>
      <c r="E111" s="54">
        <v>15946.5772537017</v>
      </c>
      <c r="F111" s="54">
        <v>14828.930194878199</v>
      </c>
      <c r="G111" s="54">
        <v>14123.092848463</v>
      </c>
      <c r="H111" s="54">
        <v>13593.6360772312</v>
      </c>
      <c r="I111" s="54">
        <v>13123.047841936999</v>
      </c>
      <c r="J111" s="54">
        <v>12358.38696611</v>
      </c>
      <c r="K111" s="54">
        <v>11770.106665466399</v>
      </c>
    </row>
    <row r="112" spans="1:11" x14ac:dyDescent="0.3">
      <c r="A112" s="50">
        <v>55</v>
      </c>
      <c r="B112" s="54">
        <v>17534.3624825599</v>
      </c>
      <c r="C112" s="54">
        <v>16769.656600206999</v>
      </c>
      <c r="D112" s="54">
        <v>15769.656600206999</v>
      </c>
      <c r="E112" s="54">
        <v>14887.258652504601</v>
      </c>
      <c r="F112" s="54">
        <v>13593.1860119717</v>
      </c>
      <c r="G112" s="54">
        <v>12828.3451100409</v>
      </c>
      <c r="H112" s="54">
        <v>12181.376299563401</v>
      </c>
      <c r="I112" s="54">
        <v>12004.9057113281</v>
      </c>
      <c r="J112" s="54">
        <v>11299.023358386899</v>
      </c>
      <c r="K112" s="54">
        <v>10828.4801296187</v>
      </c>
    </row>
    <row r="113" spans="1:11" x14ac:dyDescent="0.3">
      <c r="A113" s="50">
        <v>55.5</v>
      </c>
      <c r="B113" s="54">
        <v>16004.410639542701</v>
      </c>
      <c r="C113" s="54">
        <v>15122.0126918403</v>
      </c>
      <c r="D113" s="54">
        <v>14475.043881362701</v>
      </c>
      <c r="E113" s="54">
        <v>13651.514469598</v>
      </c>
      <c r="F113" s="54">
        <v>12651.469463072101</v>
      </c>
      <c r="G113" s="54">
        <v>11886.718574193201</v>
      </c>
      <c r="H113" s="54">
        <v>11357.3068094873</v>
      </c>
      <c r="I113" s="54">
        <v>11122.102704892201</v>
      </c>
      <c r="J113" s="54">
        <v>10357.2618029614</v>
      </c>
      <c r="K113" s="54">
        <v>9769.1165218956703</v>
      </c>
    </row>
    <row r="114" spans="1:11" x14ac:dyDescent="0.3">
      <c r="A114" s="50">
        <v>56</v>
      </c>
      <c r="B114" s="54">
        <v>14297.9882082901</v>
      </c>
      <c r="C114" s="54">
        <v>13533.2823259372</v>
      </c>
      <c r="D114" s="54">
        <v>12650.9743912867</v>
      </c>
      <c r="E114" s="54">
        <v>12180.386155992601</v>
      </c>
      <c r="F114" s="54">
        <v>11474.503803051401</v>
      </c>
      <c r="G114" s="54">
        <v>10827.444979522001</v>
      </c>
      <c r="H114" s="54">
        <v>10356.8567442279</v>
      </c>
      <c r="I114" s="54">
        <v>9945.0920383455596</v>
      </c>
      <c r="J114" s="54">
        <v>9180.3411494666707</v>
      </c>
      <c r="K114" s="54">
        <v>8650.9743912867307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B099-80E8-48F6-91E5-B49D65C90E71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44140625" style="13" bestFit="1" customWidth="1"/>
    <col min="13" max="13" width="9.77734375" style="13" bestFit="1" customWidth="1"/>
    <col min="14" max="14" width="9.218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0</v>
      </c>
      <c r="D1" s="12" t="s">
        <v>3</v>
      </c>
      <c r="G1" s="43"/>
      <c r="H1" s="44"/>
      <c r="I1" s="134" t="s">
        <v>166</v>
      </c>
      <c r="J1" s="135"/>
      <c r="K1" s="135"/>
      <c r="L1" s="135"/>
      <c r="M1" s="135"/>
      <c r="N1" s="136"/>
      <c r="P1" s="51" t="str">
        <f>'Nr(V)'!A1</f>
        <v>h</v>
      </c>
      <c r="Q1" s="53">
        <f>'Nr(V)'!B1</f>
        <v>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7">
        <f>'Nr(V)'!B2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SQRT(2*C$15/C$7/C$16/C17)</f>
        <v>19.885538967126294</v>
      </c>
      <c r="J3" s="102">
        <f>Q42</f>
        <v>29215.581259282499</v>
      </c>
      <c r="K3" s="102">
        <f>J3/I3</f>
        <v>1469.1872977433566</v>
      </c>
      <c r="L3" s="104">
        <f ca="1">OFFSET(D23,A23-2,0,1,1)</f>
        <v>10.38333320599871</v>
      </c>
      <c r="M3" s="104">
        <f t="shared" ref="M3:M17" ca="1" si="0">OFFSET(D22,A23-2,0,1,1)</f>
        <v>5.4301574510823851</v>
      </c>
      <c r="N3" s="104">
        <f ca="1">I3*SIN(RADIANS(M3))</f>
        <v>1.8818145104848438</v>
      </c>
      <c r="P3" s="56">
        <f>'Nr(V)'!A3</f>
        <v>0.5</v>
      </c>
      <c r="Q3" s="57">
        <f>'Nr(V)'!B3</f>
        <v>587.78522885818495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22</v>
      </c>
      <c r="J4" s="21">
        <f>Q46</f>
        <v>30919.618344659899</v>
      </c>
      <c r="K4" s="21">
        <f t="shared" ref="K4:K17" si="1">J4/I4</f>
        <v>1405.4371974845408</v>
      </c>
      <c r="L4" s="18">
        <f t="shared" ref="L4:L17" ca="1" si="2">OFFSET(D24,A24-2,0,1,1)</f>
        <v>7.9134634409256863</v>
      </c>
      <c r="M4" s="18">
        <f t="shared" ca="1" si="0"/>
        <v>5.4839101069983194</v>
      </c>
      <c r="N4" s="18">
        <f t="shared" ref="N4:N17" ca="1" si="3">I4*SIN(RADIANS(M4))</f>
        <v>2.102456839614399</v>
      </c>
      <c r="P4" s="56">
        <f>'Nr(V)'!A4</f>
        <v>1</v>
      </c>
      <c r="Q4" s="57">
        <f>'Nr(V)'!B4</f>
        <v>1469.64309824923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24</v>
      </c>
      <c r="J5" s="21">
        <f>Q50</f>
        <v>32329.312750348701</v>
      </c>
      <c r="K5" s="21">
        <f t="shared" si="1"/>
        <v>1347.054697931196</v>
      </c>
      <c r="L5" s="18">
        <f t="shared" ca="1" si="2"/>
        <v>6.118932432588343</v>
      </c>
      <c r="M5" s="18">
        <f t="shared" ca="1" si="0"/>
        <v>5.2932963917559439</v>
      </c>
      <c r="N5" s="18">
        <f t="shared" ca="1" si="3"/>
        <v>2.2140980877465259</v>
      </c>
      <c r="P5" s="56">
        <f>'Nr(V)'!A5</f>
        <v>1.5</v>
      </c>
      <c r="Q5" s="57">
        <f>'Nr(V)'!B5</f>
        <v>2527.92654934965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26</v>
      </c>
      <c r="J6" s="21">
        <f>Q54</f>
        <v>34268.688959899097</v>
      </c>
      <c r="K6" s="21">
        <f t="shared" si="1"/>
        <v>1318.0264984576575</v>
      </c>
      <c r="L6" s="18">
        <f t="shared" ca="1" si="2"/>
        <v>4.697269946499036</v>
      </c>
      <c r="M6" s="18">
        <f t="shared" ca="1" si="0"/>
        <v>5.1754178798587205</v>
      </c>
      <c r="N6" s="18">
        <f t="shared" ca="1" si="3"/>
        <v>2.3453377659130155</v>
      </c>
      <c r="P6" s="56">
        <f>'Nr(V)'!A6</f>
        <v>2</v>
      </c>
      <c r="Q6" s="57">
        <f>'Nr(V)'!B6</f>
        <v>3233.3588370313601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35972.546019172703</v>
      </c>
      <c r="K7" s="21">
        <f t="shared" si="1"/>
        <v>1284.7337863990251</v>
      </c>
      <c r="L7" s="18">
        <f t="shared" ca="1" si="2"/>
        <v>3.5593865678950105</v>
      </c>
      <c r="M7" s="18">
        <f t="shared" ca="1" si="0"/>
        <v>4.8705190498519402</v>
      </c>
      <c r="N7" s="18">
        <f t="shared" ca="1" si="3"/>
        <v>2.3773190754931992</v>
      </c>
      <c r="P7" s="56">
        <f>'Nr(V)'!A7</f>
        <v>2.5</v>
      </c>
      <c r="Q7" s="57">
        <f>'Nr(V)'!B7</f>
        <v>4115.2167064224204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37500.112516314803</v>
      </c>
      <c r="K8" s="21">
        <f t="shared" si="1"/>
        <v>1250.0037505438268</v>
      </c>
      <c r="L8" s="18">
        <f t="shared" ca="1" si="2"/>
        <v>2.6343040948531056</v>
      </c>
      <c r="M8" s="18">
        <f t="shared" ca="1" si="0"/>
        <v>4.4331578170290067</v>
      </c>
      <c r="N8" s="18">
        <f t="shared" ca="1" si="3"/>
        <v>2.3188806815029657</v>
      </c>
      <c r="P8" s="56">
        <f>'Nr(V)'!A8</f>
        <v>3</v>
      </c>
      <c r="Q8" s="57">
        <f>'Nr(V)'!B8</f>
        <v>4879.4275169899602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39673.612673837699</v>
      </c>
      <c r="K9" s="21">
        <f t="shared" si="1"/>
        <v>1202.2306870859909</v>
      </c>
      <c r="L9" s="18">
        <f t="shared" ca="1" si="2"/>
        <v>1.5399966629134336</v>
      </c>
      <c r="M9" s="18">
        <f t="shared" ca="1" si="0"/>
        <v>3.6339571361416989</v>
      </c>
      <c r="N9" s="18">
        <f t="shared" ca="1" si="3"/>
        <v>2.091606092750506</v>
      </c>
      <c r="P9" s="56">
        <f>'Nr(V)'!A9</f>
        <v>3.5</v>
      </c>
      <c r="Q9" s="57">
        <f>'Nr(V)'!B9</f>
        <v>5702.3718439173599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42141.230478419297</v>
      </c>
      <c r="K10" s="21">
        <f t="shared" si="1"/>
        <v>1170.5897355116472</v>
      </c>
      <c r="L10" s="18">
        <f t="shared" ca="1" si="2"/>
        <v>0.70021879787500774</v>
      </c>
      <c r="M10" s="18">
        <f t="shared" ca="1" si="0"/>
        <v>2.7981526160249071</v>
      </c>
      <c r="N10" s="18">
        <f t="shared" ca="1" si="3"/>
        <v>1.757432351914064</v>
      </c>
      <c r="P10" s="56">
        <f>'Nr(V)'!A10</f>
        <v>4</v>
      </c>
      <c r="Q10" s="57">
        <f>'Nr(V)'!B10</f>
        <v>6407.8041315990704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44197.038570592696</v>
      </c>
      <c r="K11" s="21">
        <f t="shared" si="1"/>
        <v>1133.2573992459666</v>
      </c>
      <c r="L11" s="18">
        <f t="shared" ca="1" si="2"/>
        <v>4.2409079721793239E-2</v>
      </c>
      <c r="M11" s="18">
        <f t="shared" ca="1" si="0"/>
        <v>1.7639010115844047</v>
      </c>
      <c r="N11" s="18">
        <f t="shared" ca="1" si="3"/>
        <v>1.2004596852568861</v>
      </c>
      <c r="P11" s="56">
        <f>'Nr(V)'!A11</f>
        <v>4.5</v>
      </c>
      <c r="Q11" s="57">
        <f>'Nr(V)'!B11</f>
        <v>6995.6793735091496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42370.628741167398</v>
      </c>
      <c r="K12" s="21">
        <f t="shared" si="1"/>
        <v>1008.824493837319</v>
      </c>
      <c r="L12" s="18">
        <f t="shared" ca="1" si="2"/>
        <v>-0.48391799773558231</v>
      </c>
      <c r="M12" s="18">
        <f t="shared" ca="1" si="0"/>
        <v>-0.15747115129075906</v>
      </c>
      <c r="N12" s="18">
        <f t="shared" ca="1" si="3"/>
        <v>-0.11543223748851203</v>
      </c>
      <c r="P12" s="56">
        <f>'Nr(V)'!A12</f>
        <v>5</v>
      </c>
      <c r="Q12" s="57">
        <f>'Nr(V)'!B12</f>
        <v>7936.27075926009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40192.267878842402</v>
      </c>
      <c r="K13" s="21">
        <f t="shared" si="1"/>
        <v>913.46063361005463</v>
      </c>
      <c r="L13" s="18">
        <f t="shared" ca="1" si="2"/>
        <v>-0.78009708517290499</v>
      </c>
      <c r="M13" s="18">
        <f t="shared" ca="1" si="0"/>
        <v>-1.6100224077273666</v>
      </c>
      <c r="N13" s="18">
        <f t="shared" ca="1" si="3"/>
        <v>-1.2362457407993475</v>
      </c>
      <c r="P13" s="56">
        <f>'Nr(V)'!A13</f>
        <v>5.5</v>
      </c>
      <c r="Q13" s="57">
        <f>'Nr(V)'!B13</f>
        <v>8759.2600927134408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37307.8896439983</v>
      </c>
      <c r="K14" s="21">
        <f t="shared" si="1"/>
        <v>811.04107921735431</v>
      </c>
      <c r="L14" s="18">
        <f t="shared" ca="1" si="2"/>
        <v>-1.0412816658520667</v>
      </c>
      <c r="M14" s="18">
        <f t="shared" ca="1" si="0"/>
        <v>-3.1725646058028953</v>
      </c>
      <c r="N14" s="18">
        <f t="shared" ca="1" si="3"/>
        <v>-2.5457967345520931</v>
      </c>
      <c r="P14" s="56">
        <f>'Nr(V)'!A14</f>
        <v>6</v>
      </c>
      <c r="Q14" s="57">
        <f>'Nr(V)'!B14</f>
        <v>9288.2667986857996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34070.525226157697</v>
      </c>
      <c r="K15" s="21">
        <f t="shared" si="1"/>
        <v>709.80260887828535</v>
      </c>
      <c r="L15" s="18">
        <f t="shared" ca="1" si="2"/>
        <v>-1.2728928199902036</v>
      </c>
      <c r="M15" s="18">
        <f t="shared" ca="1" si="0"/>
        <v>-4.7726776368369714</v>
      </c>
      <c r="N15" s="18">
        <f t="shared" ca="1" si="3"/>
        <v>-3.9937267714982605</v>
      </c>
      <c r="P15" s="56">
        <f>'Nr(V)'!A15</f>
        <v>6.5</v>
      </c>
      <c r="Q15" s="57">
        <f>'Nr(V)'!B15</f>
        <v>10052.4326027273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29715.6937755974</v>
      </c>
      <c r="K16" s="21">
        <f t="shared" si="1"/>
        <v>594.31387551194803</v>
      </c>
      <c r="L16" s="18">
        <f t="shared" ca="1" si="2"/>
        <v>-1.4802799192707132</v>
      </c>
      <c r="M16" s="18">
        <f t="shared" ca="1" si="0"/>
        <v>-6.5447488113646335</v>
      </c>
      <c r="N16" s="18">
        <f t="shared" ca="1" si="3"/>
        <v>-5.6989586393173335</v>
      </c>
      <c r="P16" s="56">
        <f>'Nr(V)'!A16</f>
        <v>7</v>
      </c>
      <c r="Q16" s="57">
        <f>'Nr(V)'!B16</f>
        <v>11287.186642062999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1.2255</v>
      </c>
      <c r="D17" s="14" t="s">
        <v>73</v>
      </c>
      <c r="G17" s="45"/>
      <c r="H17" s="47"/>
      <c r="I17" s="20">
        <v>52</v>
      </c>
      <c r="J17" s="21">
        <f>Q106</f>
        <v>24772.492011341601</v>
      </c>
      <c r="K17" s="21">
        <f t="shared" si="1"/>
        <v>476.39407714118465</v>
      </c>
      <c r="L17" s="18">
        <f t="shared" ca="1" si="2"/>
        <v>-1.6667115536406725</v>
      </c>
      <c r="M17" s="18">
        <f t="shared" ca="1" si="0"/>
        <v>-8.3869781156973744</v>
      </c>
      <c r="N17" s="18">
        <f t="shared" ca="1" si="3"/>
        <v>-7.5846257845013225</v>
      </c>
      <c r="P17" s="56">
        <f>'Nr(V)'!A17</f>
        <v>7.5</v>
      </c>
      <c r="Q17" s="57">
        <f>'Nr(V)'!B17</f>
        <v>12169.134524506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59000</v>
      </c>
      <c r="D18" s="14" t="s">
        <v>32</v>
      </c>
      <c r="P18" s="56">
        <f>'Nr(V)'!A18</f>
        <v>8</v>
      </c>
      <c r="Q18" s="57">
        <f>'Nr(V)'!B18</f>
        <v>13168.5944461946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5.1683276095044667E-2</v>
      </c>
      <c r="D19" s="14" t="s">
        <v>7</v>
      </c>
      <c r="P19" s="56">
        <f>'Nr(V)'!A19</f>
        <v>8.5</v>
      </c>
      <c r="Q19" s="57">
        <f>'Nr(V)'!B19</f>
        <v>14050.4523155857</v>
      </c>
    </row>
    <row r="20" spans="1:28" ht="18.600000000000001" thickBot="1" x14ac:dyDescent="0.3">
      <c r="F20" s="134" t="s">
        <v>156</v>
      </c>
      <c r="G20" s="135"/>
      <c r="H20" s="135"/>
      <c r="I20" s="135"/>
      <c r="J20" s="135"/>
      <c r="K20" s="135"/>
      <c r="L20" s="135"/>
      <c r="M20" s="135"/>
      <c r="N20" s="136"/>
      <c r="O20" s="22"/>
      <c r="P20" s="56">
        <f>'Nr(V)'!A20</f>
        <v>9</v>
      </c>
      <c r="Q20" s="57">
        <f>'Nr(V)'!B20</f>
        <v>14638.2375444439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7">
        <f>'Nr(V)'!B21</f>
        <v>15461.226877897199</v>
      </c>
      <c r="AB21" s="37"/>
    </row>
    <row r="22" spans="1:28" x14ac:dyDescent="0.25">
      <c r="A22" s="23">
        <v>1</v>
      </c>
      <c r="B22" s="24">
        <f>-K3*COS(C22+C23-C$3)+0.5*C$17*C$7*C$5*(C23-C$8)*I3^2*SIN(C22)+0.5*C$17*C$7*(C$11+1/PI()/C$10*C$5^2*(C23-C$8)^2)*I3^2*COS(C22)</f>
        <v>-1.3506075902114389E-6</v>
      </c>
      <c r="C22" s="25">
        <v>9.4774126423090535E-2</v>
      </c>
      <c r="D22" s="26">
        <f t="shared" ref="D22:D51" si="4">DEGREES(C22)</f>
        <v>5.4301574510823851</v>
      </c>
      <c r="F22" s="17">
        <v>1.5069999999999999</v>
      </c>
      <c r="G22" s="18">
        <v>80.83</v>
      </c>
      <c r="H22" s="20">
        <f>SQRT((2*C$15)/(C$7*C$17*F22))</f>
        <v>19.885538967126291</v>
      </c>
      <c r="I22" s="21">
        <f>C$15*SQRT((2*C$15)/(C$17*C$7*G22))</f>
        <v>17846.436588980021</v>
      </c>
      <c r="J22" s="102">
        <f>Q42</f>
        <v>29215.581259282499</v>
      </c>
      <c r="K22" s="21">
        <f>(J22-I22)</f>
        <v>11369.144670302478</v>
      </c>
      <c r="L22" s="18">
        <f t="shared" ref="L22:L33" si="5">K22/C$15</f>
        <v>1.729752562919725</v>
      </c>
      <c r="M22" s="18">
        <f t="shared" ref="M22:M33" si="6">DEGREES(ASIN(L22/H22))</f>
        <v>4.9902057684216974</v>
      </c>
      <c r="N22" s="18">
        <v>13.202</v>
      </c>
      <c r="P22" s="56">
        <f>'Nr(V)'!A22</f>
        <v>10</v>
      </c>
      <c r="Q22" s="57">
        <f>'Nr(V)'!B22</f>
        <v>16049.0571132814</v>
      </c>
    </row>
    <row r="23" spans="1:28" x14ac:dyDescent="0.25">
      <c r="A23" s="27">
        <v>2</v>
      </c>
      <c r="B23" s="28">
        <f>K3*SIN(C22+C23-C$3)+0.5*C$17*C$7*C$5*(C23-C$8)*I3^2*COS(C22)-0.5*C$17*C$7*(C$11+1/PI()/C$10*C$5^2*(C23-C$8)^2)*I3^2*SIN(C22)-C$15</f>
        <v>4.0317900129593909E-9</v>
      </c>
      <c r="C23" s="29">
        <v>0.18122335177633611</v>
      </c>
      <c r="D23" s="30">
        <f t="shared" si="4"/>
        <v>10.38333320599871</v>
      </c>
      <c r="F23" s="17">
        <v>1.4</v>
      </c>
      <c r="G23" s="18">
        <v>82.93</v>
      </c>
      <c r="H23" s="20">
        <f>SQRT((2*C$15)/(C$7*C$17*F23))</f>
        <v>20.631460592290651</v>
      </c>
      <c r="I23" s="21">
        <f t="shared" ref="I23:I33" si="7">C$15*SQRT((2*C$15)/(C$17*C$7*G23))</f>
        <v>17619.028980814204</v>
      </c>
      <c r="J23" s="21">
        <f>Q43</f>
        <v>29979.747063324099</v>
      </c>
      <c r="K23" s="21">
        <f t="shared" ref="K23:K36" si="8">(J23-I23)</f>
        <v>12360.718082509895</v>
      </c>
      <c r="L23" s="18">
        <f t="shared" si="5"/>
        <v>1.8806149805270123</v>
      </c>
      <c r="M23" s="18">
        <f t="shared" si="6"/>
        <v>5.2299291173129809</v>
      </c>
      <c r="N23" s="18">
        <v>11.19</v>
      </c>
      <c r="P23" s="56">
        <f>'Nr(V)'!A23</f>
        <v>10.5</v>
      </c>
      <c r="Q23" s="57">
        <f>'Nr(V)'!B23</f>
        <v>16872.046446734701</v>
      </c>
    </row>
    <row r="24" spans="1:28" x14ac:dyDescent="0.25">
      <c r="A24" s="31">
        <v>3</v>
      </c>
      <c r="B24" s="24">
        <f>-K4*COS(C24+C25-C$3)+0.5*C$17*C$7*C$5*(C25-C$8)*I4^2*SIN(C24)+0.5*C$17*C$7*(C$11+1/PI()/C$10*C$5^2*(C25-C$8)^2)*I4^2*COS(C24)</f>
        <v>1.1248789633100387E-7</v>
      </c>
      <c r="C24" s="32">
        <v>9.5712287250515199E-2</v>
      </c>
      <c r="D24" s="33">
        <f t="shared" si="4"/>
        <v>5.4839101069983194</v>
      </c>
      <c r="F24" s="17">
        <v>1.2976294821560448</v>
      </c>
      <c r="G24" s="18">
        <v>83.61</v>
      </c>
      <c r="H24" s="20">
        <f t="shared" ref="H24:H33" si="9">SQRT((2*C$15)/(C$7*C$17*F24))</f>
        <v>21.429825785748122</v>
      </c>
      <c r="I24" s="21">
        <f t="shared" si="7"/>
        <v>17547.234939938233</v>
      </c>
      <c r="J24" s="21">
        <f>Q44</f>
        <v>30332.373194113101</v>
      </c>
      <c r="K24" s="21">
        <f t="shared" si="8"/>
        <v>12785.138254174868</v>
      </c>
      <c r="L24" s="18">
        <f t="shared" si="5"/>
        <v>1.9451881653163641</v>
      </c>
      <c r="M24" s="18">
        <f t="shared" si="6"/>
        <v>5.2079138914151564</v>
      </c>
      <c r="N24" s="18">
        <v>9.6229999999999993</v>
      </c>
      <c r="P24" s="56">
        <f>'Nr(V)'!A24</f>
        <v>11</v>
      </c>
      <c r="Q24" s="57">
        <f>'Nr(V)'!B24</f>
        <v>17577.4787344164</v>
      </c>
    </row>
    <row r="25" spans="1:28" x14ac:dyDescent="0.25">
      <c r="A25" s="34">
        <v>4</v>
      </c>
      <c r="B25" s="28">
        <f>K4*SIN(C24+C25-C$3)+0.5*C$17*C$7*C$5*(C25-C$8)*I4^2*COS(C24)-0.5*C$17*C$7*(C$11+1/PI()/C$10*C$5^2*(C25-C$8)^2)*I4^2*SIN(C24)-C$15</f>
        <v>0</v>
      </c>
      <c r="C25" s="35">
        <v>0.13811599228035301</v>
      </c>
      <c r="D25" s="36">
        <f>DEGREES(C25)</f>
        <v>7.9134634409256863</v>
      </c>
      <c r="F25" s="17">
        <v>1.1970000000000001</v>
      </c>
      <c r="G25" s="18">
        <v>82.42</v>
      </c>
      <c r="H25" s="20">
        <f t="shared" si="9"/>
        <v>22.312432381898088</v>
      </c>
      <c r="I25" s="21">
        <f t="shared" si="7"/>
        <v>17673.456590277176</v>
      </c>
      <c r="J25" s="21">
        <f>Q46</f>
        <v>30919.618344659899</v>
      </c>
      <c r="K25" s="21">
        <f t="shared" si="8"/>
        <v>13246.161754382723</v>
      </c>
      <c r="L25" s="18">
        <f t="shared" si="5"/>
        <v>2.0153303443611792</v>
      </c>
      <c r="M25" s="18">
        <f t="shared" si="6"/>
        <v>5.182200950021115</v>
      </c>
      <c r="N25" s="18">
        <v>8.0570000000000004</v>
      </c>
      <c r="P25" s="56">
        <f>'Nr(V)'!A25</f>
        <v>11.5</v>
      </c>
      <c r="Q25" s="57">
        <f>'Nr(V)'!B25</f>
        <v>18518.070120167398</v>
      </c>
    </row>
    <row r="26" spans="1:28" x14ac:dyDescent="0.25">
      <c r="A26" s="23">
        <v>5</v>
      </c>
      <c r="B26" s="24">
        <f>-K5*COS(C26+C27-C$3)+0.5*C$17*C$7*C$5*(C27-C$8)*I5^2*SIN(C26)+0.5*C$17*C$7*(C$11+1/PI()/C$10*C$5^2*(C27-C$8)^2)*I5^2*COS(C26)</f>
        <v>1.5305772649298888E-7</v>
      </c>
      <c r="C26" s="25">
        <v>9.2385450320076848E-2</v>
      </c>
      <c r="D26" s="26">
        <f t="shared" si="4"/>
        <v>5.2932963917559439</v>
      </c>
      <c r="F26" s="17">
        <v>0.99199999999999999</v>
      </c>
      <c r="G26" s="18">
        <v>77.64</v>
      </c>
      <c r="H26" s="20">
        <f t="shared" si="9"/>
        <v>24.509709083434171</v>
      </c>
      <c r="I26" s="21">
        <f t="shared" si="7"/>
        <v>18209.374978157066</v>
      </c>
      <c r="J26" s="21">
        <f>Q51</f>
        <v>32564.2018092623</v>
      </c>
      <c r="K26" s="21">
        <f t="shared" si="8"/>
        <v>14354.826831105234</v>
      </c>
      <c r="L26" s="18">
        <f t="shared" si="5"/>
        <v>2.184007611956309</v>
      </c>
      <c r="M26" s="18">
        <f t="shared" si="6"/>
        <v>5.1122847521356833</v>
      </c>
      <c r="N26" s="18">
        <v>6.1870000000000003</v>
      </c>
      <c r="P26" s="56">
        <f>'Nr(V)'!A26</f>
        <v>12</v>
      </c>
      <c r="Q26" s="57">
        <f>'Nr(V)'!B26</f>
        <v>19223.502407849101</v>
      </c>
    </row>
    <row r="27" spans="1:28" x14ac:dyDescent="0.25">
      <c r="A27" s="27">
        <v>6</v>
      </c>
      <c r="B27" s="28">
        <f>K5*SIN(C26+C27-C$3)+0.5*C$17*C$7*C$5*(C27-C$8)*I5^2*COS(C26)-0.5*C$17*C$7*(C$11+1/PI()/C$10*C$5^2*(C27-C$8)^2)*I5^2*SIN(C26)-C$15</f>
        <v>0</v>
      </c>
      <c r="C27" s="29">
        <v>0.10679551765573256</v>
      </c>
      <c r="D27" s="30">
        <f t="shared" si="4"/>
        <v>6.118932432588343</v>
      </c>
      <c r="F27" s="17">
        <v>0.89051118930908912</v>
      </c>
      <c r="G27" s="18">
        <v>71.59</v>
      </c>
      <c r="H27" s="20">
        <f t="shared" si="9"/>
        <v>25.868682000759506</v>
      </c>
      <c r="I27" s="21">
        <f t="shared" si="7"/>
        <v>18963.199822486666</v>
      </c>
      <c r="J27" s="21">
        <f>Q53</f>
        <v>33621.9901885773</v>
      </c>
      <c r="K27" s="21">
        <f t="shared" si="8"/>
        <v>14658.790366090634</v>
      </c>
      <c r="L27" s="18">
        <f t="shared" si="5"/>
        <v>2.2302539848297704</v>
      </c>
      <c r="M27" s="18">
        <f t="shared" si="6"/>
        <v>4.9458636577148347</v>
      </c>
      <c r="N27" s="18">
        <v>5.3460000000000001</v>
      </c>
      <c r="P27" s="56">
        <f>'Nr(V)'!A27</f>
        <v>12.5</v>
      </c>
      <c r="Q27" s="57">
        <f>'Nr(V)'!B27</f>
        <v>19928.934695530799</v>
      </c>
    </row>
    <row r="28" spans="1:28" x14ac:dyDescent="0.25">
      <c r="A28" s="31">
        <v>7</v>
      </c>
      <c r="B28" s="24">
        <f>-K6*COS(C28+C29-C$3)+0.5*C$17*C$7*C$5*(C29-C$8)*I6^2*SIN(C28)+0.5*C$17*C$7*(C$11+1/PI()/C$10*C$5^2*(C29-C$8)^2)*I6^2*COS(C28)</f>
        <v>1.7766581095202127E-7</v>
      </c>
      <c r="C28" s="32">
        <v>9.0328082170118992E-2</v>
      </c>
      <c r="D28" s="33">
        <f t="shared" si="4"/>
        <v>5.1754178798587205</v>
      </c>
      <c r="F28" s="17">
        <v>0.78877734406717104</v>
      </c>
      <c r="G28" s="18">
        <v>62.64</v>
      </c>
      <c r="H28" s="20">
        <f t="shared" si="9"/>
        <v>27.486331407644101</v>
      </c>
      <c r="I28" s="21">
        <f t="shared" si="7"/>
        <v>20272.715611799951</v>
      </c>
      <c r="J28" s="21">
        <f>Q55</f>
        <v>34797.470633241799</v>
      </c>
      <c r="K28" s="21">
        <f t="shared" si="8"/>
        <v>14524.755021441848</v>
      </c>
      <c r="L28" s="18">
        <f t="shared" si="5"/>
        <v>2.2098612474997865</v>
      </c>
      <c r="M28" s="18">
        <f t="shared" si="6"/>
        <v>4.6114748825320815</v>
      </c>
      <c r="N28" s="18">
        <v>4.1539999999999999</v>
      </c>
      <c r="P28" s="56">
        <f>'Nr(V)'!A28</f>
        <v>13</v>
      </c>
      <c r="Q28" s="57">
        <f>'Nr(V)'!B28</f>
        <v>20281.470813267901</v>
      </c>
    </row>
    <row r="29" spans="1:28" x14ac:dyDescent="0.25">
      <c r="A29" s="34">
        <v>8</v>
      </c>
      <c r="B29" s="28">
        <f>K6*SIN(C28+C29-C$3)+0.5*C$17*C$7*C$5*(C29-C$8)*I6^2*COS(C28)-0.5*C$17*C$7*(C$11+1/PI()/C$10*C$5^2*(C29-C$8)^2)*I6^2*SIN(C28)-C$15</f>
        <v>0</v>
      </c>
      <c r="C29" s="35">
        <v>8.1982826421386074E-2</v>
      </c>
      <c r="D29" s="36">
        <f t="shared" si="4"/>
        <v>4.697269946499036</v>
      </c>
      <c r="F29" s="17">
        <v>0.68820194072740959</v>
      </c>
      <c r="G29" s="18">
        <v>51.95</v>
      </c>
      <c r="H29" s="20">
        <f t="shared" si="9"/>
        <v>29.426326272975654</v>
      </c>
      <c r="I29" s="21">
        <f t="shared" si="7"/>
        <v>22261.018299870786</v>
      </c>
      <c r="J29" s="21">
        <f>Q59</f>
        <v>36324.992123857897</v>
      </c>
      <c r="K29" s="21">
        <f t="shared" si="8"/>
        <v>14063.973823987111</v>
      </c>
      <c r="L29" s="18">
        <f t="shared" si="5"/>
        <v>2.1397559334804739</v>
      </c>
      <c r="M29" s="18">
        <f t="shared" si="6"/>
        <v>4.1699831224212431</v>
      </c>
      <c r="N29" s="18">
        <v>3.0790000000000002</v>
      </c>
      <c r="P29" s="56">
        <f>'Nr(V)'!A29</f>
        <v>13.5</v>
      </c>
      <c r="Q29" s="57">
        <f>'Nr(V)'!B29</f>
        <v>20751.428957198699</v>
      </c>
    </row>
    <row r="30" spans="1:28" x14ac:dyDescent="0.25">
      <c r="A30" s="23">
        <v>9</v>
      </c>
      <c r="B30" s="24">
        <f>-K7*COS(C30+C31-C$3)+0.5*C$17*C$7*C$5*(C31-C$8)*I7^2*SIN(C30)+0.5*C$17*C$7*(C$11+1/PI()/C$10*C$5^2*(C31-C$8)^2)*I7^2*COS(C30)</f>
        <v>1.7587683487363392E-7</v>
      </c>
      <c r="C30" s="25">
        <v>8.500659370102219E-2</v>
      </c>
      <c r="D30" s="26">
        <f t="shared" si="4"/>
        <v>4.8705190498519402</v>
      </c>
      <c r="F30" s="17">
        <v>0.58038845302154896</v>
      </c>
      <c r="G30" s="18">
        <v>39.369999999999997</v>
      </c>
      <c r="H30" s="20">
        <f t="shared" si="9"/>
        <v>32.043106320799382</v>
      </c>
      <c r="I30" s="21">
        <f t="shared" si="7"/>
        <v>25571.434709515721</v>
      </c>
      <c r="J30" s="21">
        <f>Q64</f>
        <v>38322.516764930901</v>
      </c>
      <c r="K30" s="21">
        <f t="shared" si="8"/>
        <v>12751.08205541518</v>
      </c>
      <c r="L30" s="18">
        <f t="shared" si="5"/>
        <v>1.9400067027880747</v>
      </c>
      <c r="M30" s="18">
        <f t="shared" si="6"/>
        <v>3.4710185092085251</v>
      </c>
      <c r="N30" s="18">
        <v>2.073</v>
      </c>
      <c r="P30" s="56">
        <f>'Nr(V)'!A30</f>
        <v>14</v>
      </c>
      <c r="Q30" s="57">
        <f>'Nr(V)'!B30</f>
        <v>21221.657140285301</v>
      </c>
    </row>
    <row r="31" spans="1:28" x14ac:dyDescent="0.25">
      <c r="A31" s="27">
        <v>10</v>
      </c>
      <c r="B31" s="28">
        <f>K7*SIN(C30+C31-C$3)+0.5*C$17*C$7*C$5*(C31-C$8)*I7^2*COS(C30)-0.5*C$17*C$7*(C$11+1/PI()/C$10*C$5^2*(C31-C$8)^2)*I7^2*SIN(C30)-C$15</f>
        <v>0</v>
      </c>
      <c r="C31" s="29">
        <v>6.2123014961028622E-2</v>
      </c>
      <c r="D31" s="30">
        <f t="shared" si="4"/>
        <v>3.5593865678950105</v>
      </c>
      <c r="F31" s="17">
        <v>0.483331925835703</v>
      </c>
      <c r="G31" s="18">
        <v>27.9</v>
      </c>
      <c r="H31" s="20">
        <f t="shared" si="9"/>
        <v>35.113267990460102</v>
      </c>
      <c r="I31" s="21">
        <f t="shared" si="7"/>
        <v>30376.357890834224</v>
      </c>
      <c r="J31" s="21">
        <f>Q70</f>
        <v>40437.238399567897</v>
      </c>
      <c r="K31" s="21">
        <f t="shared" si="8"/>
        <v>10060.880508733673</v>
      </c>
      <c r="L31" s="18">
        <f t="shared" si="5"/>
        <v>1.5307073970717775</v>
      </c>
      <c r="M31" s="18">
        <f t="shared" si="6"/>
        <v>2.4985106943686652</v>
      </c>
      <c r="N31" s="18">
        <v>1.2330000000000001</v>
      </c>
      <c r="P31" s="56">
        <f>'Nr(V)'!A31</f>
        <v>14.5</v>
      </c>
      <c r="Q31" s="57">
        <f>'Nr(V)'!B31</f>
        <v>21868.130878977401</v>
      </c>
    </row>
    <row r="32" spans="1:28" x14ac:dyDescent="0.25">
      <c r="A32" s="31">
        <v>11</v>
      </c>
      <c r="B32" s="24">
        <f>-K8*COS(C32+C33-C$3)+0.5*C$17*C$7*C$5*(C33-C$8)*I8^2*SIN(C32)+0.5*C$17*C$7*(C$11+1/PI()/C$10*C$5^2*(C33-C$8)^2)*I8^2*COS(C32)</f>
        <v>-4.7211869969032705E-9</v>
      </c>
      <c r="C32" s="32">
        <v>7.7373200167680511E-2</v>
      </c>
      <c r="D32" s="33">
        <f t="shared" si="4"/>
        <v>4.4331578170290067</v>
      </c>
      <c r="F32" s="17">
        <v>0.38026543690183146</v>
      </c>
      <c r="G32" s="18">
        <v>16.61</v>
      </c>
      <c r="H32" s="20">
        <f t="shared" si="9"/>
        <v>39.58681539671273</v>
      </c>
      <c r="I32" s="21">
        <f t="shared" si="7"/>
        <v>39368.873346402579</v>
      </c>
      <c r="J32" s="21">
        <f>Q78</f>
        <v>43786.264008281199</v>
      </c>
      <c r="K32" s="21">
        <f t="shared" si="8"/>
        <v>4417.3906618786204</v>
      </c>
      <c r="L32" s="18">
        <f t="shared" si="5"/>
        <v>0.67208158928273309</v>
      </c>
      <c r="M32" s="18">
        <f t="shared" si="6"/>
        <v>0.97278066591783852</v>
      </c>
      <c r="N32" s="18">
        <v>0.39200000000000002</v>
      </c>
      <c r="P32" s="56">
        <f>'Nr(V)'!A32</f>
        <v>15</v>
      </c>
      <c r="Q32" s="57">
        <f>'Nr(V)'!B32</f>
        <v>22397.0475718979</v>
      </c>
    </row>
    <row r="33" spans="1:17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4.5977279953955702E-2</v>
      </c>
      <c r="D33" s="36">
        <f t="shared" si="4"/>
        <v>2.6343040948531056</v>
      </c>
      <c r="F33" s="105">
        <v>0.33400000000000002</v>
      </c>
      <c r="G33" s="105">
        <v>12.24</v>
      </c>
      <c r="H33" s="20">
        <f t="shared" si="9"/>
        <v>42.239693588971924</v>
      </c>
      <c r="I33" s="21">
        <f t="shared" si="7"/>
        <v>45861.377349119612</v>
      </c>
      <c r="J33" s="21">
        <f>Q83</f>
        <v>43842.657185291799</v>
      </c>
      <c r="K33" s="21">
        <f t="shared" si="8"/>
        <v>-2018.7201638278129</v>
      </c>
      <c r="L33" s="18">
        <f t="shared" si="5"/>
        <v>-0.30713712231317614</v>
      </c>
      <c r="M33" s="18">
        <f t="shared" si="6"/>
        <v>-0.41661798224475632</v>
      </c>
      <c r="N33" s="18">
        <v>-0.13300000000000001</v>
      </c>
      <c r="P33" s="56">
        <f>'Nr(V)'!A33</f>
        <v>15.5</v>
      </c>
      <c r="Q33" s="57">
        <f>'Nr(V)'!B33</f>
        <v>22867.275754984399</v>
      </c>
    </row>
    <row r="34" spans="1:17" x14ac:dyDescent="0.25">
      <c r="A34" s="23">
        <v>13</v>
      </c>
      <c r="B34" s="24">
        <f>-K9*COS(C34+C35-C$3)+0.5*C$17*C$7*C$5*(C35-C$8)*I9^2*SIN(C34)+0.5*C$17*C$7*(C$11+1/PI()/C$10*C$5^2*(C35-C$8)^2)*I9^2*COS(C34)</f>
        <v>8.9920490609074477E-8</v>
      </c>
      <c r="C34" s="25">
        <v>6.3424516902016476E-2</v>
      </c>
      <c r="D34" s="26">
        <f t="shared" si="4"/>
        <v>3.6339571361416989</v>
      </c>
      <c r="F34" s="17">
        <v>0.27900000000000003</v>
      </c>
      <c r="G34" s="18">
        <v>7.83</v>
      </c>
      <c r="H34" s="20">
        <f>SQRT((2*C$15)/(C$7*C$17*F34))</f>
        <v>46.215950660815523</v>
      </c>
      <c r="I34" s="21">
        <f>C$15*SQRT((2*C$15)/(C$17*C$7*G34))</f>
        <v>57339.898728680528</v>
      </c>
      <c r="J34" s="21">
        <f>Q91</f>
        <v>39426.931905126199</v>
      </c>
      <c r="K34" s="21">
        <f t="shared" si="8"/>
        <v>-17912.966823554329</v>
      </c>
      <c r="L34" s="18">
        <f>K34/C$15</f>
        <v>-2.7253589580468187</v>
      </c>
      <c r="M34" s="18">
        <f>DEGREES(ASIN(L34/H34))</f>
        <v>-3.380698822672616</v>
      </c>
      <c r="N34" s="18">
        <v>-0.8</v>
      </c>
      <c r="P34" s="56">
        <f>'Nr(V)'!A34</f>
        <v>16</v>
      </c>
      <c r="Q34" s="57">
        <f>'Nr(V)'!B34</f>
        <v>23337.368918493099</v>
      </c>
    </row>
    <row r="35" spans="1:17" x14ac:dyDescent="0.25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2.6878012237564669E-2</v>
      </c>
      <c r="D35" s="30">
        <f t="shared" si="4"/>
        <v>1.5399966629134336</v>
      </c>
      <c r="F35" s="39">
        <v>0.22900000000000001</v>
      </c>
      <c r="G35" s="39">
        <v>4.72</v>
      </c>
      <c r="H35" s="40">
        <f>SQRT((2*C$15)/(C$7*C$17*F35))</f>
        <v>51.012458134162578</v>
      </c>
      <c r="I35" s="41">
        <f>C$15*SQRT((2*C$15)/(C$17*C$7*G35))</f>
        <v>73852.772419739267</v>
      </c>
      <c r="J35" s="21">
        <f>Q100</f>
        <v>31834.285971465801</v>
      </c>
      <c r="K35" s="21">
        <f t="shared" si="8"/>
        <v>-42018.48644827347</v>
      </c>
      <c r="L35" s="42">
        <f>K35/C$15</f>
        <v>-6.3928806195739138</v>
      </c>
      <c r="M35" s="42">
        <f t="shared" ref="M35" si="10">DEGREES(ASIN(L35/H35))</f>
        <v>-7.1992350293697003</v>
      </c>
      <c r="N35" s="42">
        <v>-1.3260000000000001</v>
      </c>
      <c r="P35" s="56">
        <f>'Nr(V)'!A35</f>
        <v>16.5</v>
      </c>
      <c r="Q35" s="57">
        <f>'Nr(V)'!B35</f>
        <v>24042.666186597002</v>
      </c>
    </row>
    <row r="36" spans="1:17" x14ac:dyDescent="0.25">
      <c r="A36" s="31">
        <v>15</v>
      </c>
      <c r="B36" s="24">
        <f>-K10*COS(C36+C37-C$3)+0.5*C$17*C$7*C$5*(C37-C$8)*I10^2*SIN(C36)+0.5*C$17*C$7*(C$11+1/PI()/C$10*C$5^2*(C37-C$8)^2)*I10^2*COS(C36)</f>
        <v>4.4865976178698475E-7</v>
      </c>
      <c r="C36" s="32">
        <v>4.8836976122927277E-2</v>
      </c>
      <c r="D36" s="33">
        <f t="shared" si="4"/>
        <v>2.7981526160249071</v>
      </c>
      <c r="F36" s="17">
        <v>0.17699999999999999</v>
      </c>
      <c r="G36" s="18">
        <v>2.3199999999999998</v>
      </c>
      <c r="H36" s="20">
        <f>SQRT((2*C$15)/(C$7*C$17*F36))</f>
        <v>58.023959236010896</v>
      </c>
      <c r="I36" s="21">
        <f>C$15*SQRT((2*C$15)/(C$17*C$7*G36))</f>
        <v>105340.12034109686</v>
      </c>
      <c r="J36" s="21">
        <f>Q114</f>
        <v>14297.9882082901</v>
      </c>
      <c r="K36" s="21">
        <f t="shared" si="8"/>
        <v>-91042.132132806757</v>
      </c>
      <c r="L36" s="18">
        <f>K36/C$15</f>
        <v>-13.851557523210666</v>
      </c>
      <c r="M36" s="18">
        <f>DEGREES(ASIN(L36/H36))</f>
        <v>-13.811085331218576</v>
      </c>
      <c r="N36" s="18">
        <v>-1.8520000000000001</v>
      </c>
      <c r="P36" s="56">
        <f>'Nr(V)'!A36</f>
        <v>17</v>
      </c>
      <c r="Q36" s="57">
        <f>'Nr(V)'!B36</f>
        <v>24924.524055988099</v>
      </c>
    </row>
    <row r="37" spans="1:17" ht="15.6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1.2221123507275559E-2</v>
      </c>
      <c r="D37" s="36">
        <f t="shared" si="4"/>
        <v>0.70021879787500774</v>
      </c>
      <c r="P37" s="56">
        <f>'Nr(V)'!A37</f>
        <v>17.5</v>
      </c>
      <c r="Q37" s="57">
        <f>'Nr(V)'!B37</f>
        <v>25571.042801206098</v>
      </c>
    </row>
    <row r="38" spans="1:17" ht="18.600000000000001" thickBot="1" x14ac:dyDescent="0.3">
      <c r="A38" s="23">
        <v>17</v>
      </c>
      <c r="B38" s="24">
        <f>-K11*COS(C38+C39-C$3)+0.5*C$17*C$7*C$5*(C39-C$8)*I11^2*SIN(C38)+0.5*C$17*C$7*(C$11+1/PI()/C$10*C$5^2*(C39-C$8)^2)*I11^2*COS(C38)</f>
        <v>-9.7463498605065979E-8</v>
      </c>
      <c r="C38" s="25">
        <v>3.0785880331406501E-2</v>
      </c>
      <c r="D38" s="26">
        <f t="shared" si="4"/>
        <v>1.7639010115844047</v>
      </c>
      <c r="F38" s="134" t="s">
        <v>186</v>
      </c>
      <c r="G38" s="135"/>
      <c r="H38" s="135"/>
      <c r="I38" s="135"/>
      <c r="J38" s="135"/>
      <c r="K38" s="135"/>
      <c r="L38" s="135"/>
      <c r="M38" s="135"/>
      <c r="N38" s="136"/>
      <c r="P38" s="56">
        <f>'Nr(V)'!A38</f>
        <v>18</v>
      </c>
      <c r="Q38" s="57">
        <f>'Nr(V)'!B38</f>
        <v>26276.475088887801</v>
      </c>
    </row>
    <row r="39" spans="1:17" ht="18.600000000000001" thickBot="1" x14ac:dyDescent="0.3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7.4017807388605285E-4</v>
      </c>
      <c r="D39" s="30">
        <f t="shared" si="4"/>
        <v>4.2409079721793239E-2</v>
      </c>
      <c r="F39" s="95" t="s">
        <v>1</v>
      </c>
      <c r="G39" s="95" t="s">
        <v>2</v>
      </c>
      <c r="H39" s="95" t="s">
        <v>76</v>
      </c>
      <c r="I39" s="95" t="s">
        <v>81</v>
      </c>
      <c r="J39" s="95" t="s">
        <v>77</v>
      </c>
      <c r="K39" s="95" t="s">
        <v>82</v>
      </c>
      <c r="L39" s="95" t="s">
        <v>80</v>
      </c>
      <c r="M39" s="95" t="s">
        <v>85</v>
      </c>
      <c r="N39" s="95" t="s">
        <v>79</v>
      </c>
      <c r="P39" s="56">
        <f>'Nr(V)'!A39</f>
        <v>18.5</v>
      </c>
      <c r="Q39" s="57">
        <f>'Nr(V)'!B39</f>
        <v>27099.419415815199</v>
      </c>
    </row>
    <row r="40" spans="1:17" x14ac:dyDescent="0.25">
      <c r="A40" s="31">
        <v>19</v>
      </c>
      <c r="B40" s="24">
        <f>-K12*COS(C40+C41-C$3)+0.5*C$17*C$7*C$5*(C41-C$8)*I12^2*SIN(C40)+0.5*C$17*C$7*(C$11+1/PI()/C$10*C$5^2*(C41-C$8)^2)*I12^2*COS(C40)</f>
        <v>-2.2121184883872047E-7</v>
      </c>
      <c r="C40" s="32">
        <v>-2.7483900669298639E-3</v>
      </c>
      <c r="D40" s="33">
        <f t="shared" si="4"/>
        <v>-0.15747115129075906</v>
      </c>
      <c r="F40" s="98">
        <f t="shared" ref="F40:N53" si="11">F22</f>
        <v>1.5069999999999999</v>
      </c>
      <c r="G40" s="96">
        <f t="shared" si="11"/>
        <v>80.83</v>
      </c>
      <c r="H40" s="103">
        <f>SQRT((2*C$2)/(C$7*C$17*F40))</f>
        <v>20.470532465396818</v>
      </c>
      <c r="I40" s="102">
        <f>C$2*SQRT((2*C$2)/(C$17*C$7*G40))</f>
        <v>19468.246309362588</v>
      </c>
      <c r="J40" s="102">
        <f>Q43</f>
        <v>29979.747063324099</v>
      </c>
      <c r="K40" s="102">
        <f>(J40-I40)</f>
        <v>10511.500753961511</v>
      </c>
      <c r="L40" s="104">
        <f>K40/C$2</f>
        <v>1.5091672415272588</v>
      </c>
      <c r="M40" s="104">
        <f>DEGREES(ASIN(L40/H40))</f>
        <v>4.2279034677526699</v>
      </c>
      <c r="N40" s="97">
        <f t="shared" si="11"/>
        <v>13.202</v>
      </c>
      <c r="P40" s="56">
        <f>'Nr(V)'!A40</f>
        <v>19</v>
      </c>
      <c r="Q40" s="57">
        <f>'Nr(V)'!B40</f>
        <v>27687.2496511994</v>
      </c>
    </row>
    <row r="41" spans="1:17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-8.4459623701443748E-3</v>
      </c>
      <c r="D41" s="36">
        <f t="shared" si="4"/>
        <v>-0.48391799773558231</v>
      </c>
      <c r="F41" s="99">
        <f t="shared" si="11"/>
        <v>1.4</v>
      </c>
      <c r="G41" s="38">
        <f t="shared" si="11"/>
        <v>82.93</v>
      </c>
      <c r="H41" s="20">
        <f t="shared" ref="H41:H53" si="12">SQRT((2*C$2)/(C$7*C$17*F41))</f>
        <v>21.238397639673021</v>
      </c>
      <c r="I41" s="21">
        <f t="shared" ref="I41:I53" si="13">C$2*SQRT((2*C$2)/(C$17*C$7*G41))</f>
        <v>19220.172846275349</v>
      </c>
      <c r="J41" s="21">
        <f>Q44</f>
        <v>30332.373194113101</v>
      </c>
      <c r="K41" s="21">
        <f t="shared" ref="K41:K53" si="14">(J41-I41)</f>
        <v>11112.200347837752</v>
      </c>
      <c r="L41" s="18">
        <f t="shared" ref="L41:L53" si="15">K41/C$2</f>
        <v>1.5954114582472256</v>
      </c>
      <c r="M41" s="18">
        <f t="shared" ref="M41:M53" si="16">DEGREES(ASIN(L41/H41))</f>
        <v>4.3080713316560217</v>
      </c>
      <c r="N41" s="19">
        <f t="shared" si="11"/>
        <v>11.19</v>
      </c>
      <c r="P41" s="56">
        <f>'Nr(V)'!A41</f>
        <v>19.5</v>
      </c>
      <c r="Q41" s="57">
        <f>'Nr(V)'!B41</f>
        <v>28275.034880057599</v>
      </c>
    </row>
    <row r="42" spans="1:17" x14ac:dyDescent="0.25">
      <c r="A42" s="23">
        <v>21</v>
      </c>
      <c r="B42" s="24">
        <f>-K13*COS(C42+C43-C$3)+0.5*C$17*C$7*C$5*(C43-C$8)*I13^2*SIN(C42)+0.5*C$17*C$7*(C$11+1/PI()/C$10*C$5^2*(C43-C$8)^2)*I13^2*COS(C42)</f>
        <v>-1.1368683772161603E-11</v>
      </c>
      <c r="C42" s="25">
        <v>-2.8100192045729142E-2</v>
      </c>
      <c r="D42" s="26">
        <f t="shared" si="4"/>
        <v>-1.6100224077273666</v>
      </c>
      <c r="F42" s="99">
        <f t="shared" si="11"/>
        <v>1.2976294821560448</v>
      </c>
      <c r="G42" s="38">
        <f t="shared" si="11"/>
        <v>83.61</v>
      </c>
      <c r="H42" s="20">
        <f t="shared" si="12"/>
        <v>22.060249169014579</v>
      </c>
      <c r="I42" s="21">
        <f t="shared" si="13"/>
        <v>19141.854462414849</v>
      </c>
      <c r="J42" s="21">
        <f>Q46</f>
        <v>30919.618344659899</v>
      </c>
      <c r="K42" s="21">
        <f t="shared" si="14"/>
        <v>11777.76388224505</v>
      </c>
      <c r="L42" s="18">
        <f t="shared" si="15"/>
        <v>1.6909683826858264</v>
      </c>
      <c r="M42" s="18">
        <f t="shared" si="16"/>
        <v>4.3961642840552893</v>
      </c>
      <c r="N42" s="19">
        <f t="shared" si="11"/>
        <v>9.6229999999999993</v>
      </c>
      <c r="P42" s="56">
        <f>'Nr(V)'!A42</f>
        <v>20</v>
      </c>
      <c r="Q42" s="57">
        <f>'Nr(V)'!B42</f>
        <v>29215.581259282499</v>
      </c>
    </row>
    <row r="43" spans="1:17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-1.3615262621477831E-2</v>
      </c>
      <c r="D43" s="30">
        <f t="shared" si="4"/>
        <v>-0.78009708517290499</v>
      </c>
      <c r="F43" s="99">
        <f t="shared" si="11"/>
        <v>1.1970000000000001</v>
      </c>
      <c r="G43" s="38">
        <f t="shared" si="11"/>
        <v>82.42</v>
      </c>
      <c r="H43" s="20">
        <f t="shared" si="12"/>
        <v>22.968820317653265</v>
      </c>
      <c r="I43" s="21">
        <f t="shared" si="13"/>
        <v>19279.54660987078</v>
      </c>
      <c r="J43" s="21">
        <f>Q48</f>
        <v>31624.420540978401</v>
      </c>
      <c r="K43" s="21">
        <f t="shared" si="14"/>
        <v>12344.873931107621</v>
      </c>
      <c r="L43" s="18">
        <f t="shared" si="15"/>
        <v>1.7723900491174025</v>
      </c>
      <c r="M43" s="18">
        <f t="shared" si="16"/>
        <v>4.4256308548744139</v>
      </c>
      <c r="N43" s="19">
        <f t="shared" si="11"/>
        <v>8.0570000000000004</v>
      </c>
      <c r="P43" s="56">
        <f>'Nr(V)'!A43</f>
        <v>20.5</v>
      </c>
      <c r="Q43" s="57">
        <f>'Nr(V)'!B43</f>
        <v>29979.747063324099</v>
      </c>
    </row>
    <row r="44" spans="1:17" x14ac:dyDescent="0.25">
      <c r="A44" s="31">
        <v>23</v>
      </c>
      <c r="B44" s="24">
        <f>-K14*COS(C44+C45-C$3)+0.5*C$17*C$7*C$5*(C45-C$8)*I14^2*SIN(C44)+0.5*C$17*C$7*(C$11+1/PI()/C$10*C$5^2*(C45-C$8)^2)*I14^2*COS(C44)</f>
        <v>-4.9340087571181357E-11</v>
      </c>
      <c r="C44" s="32">
        <v>-5.5371698103496521E-2</v>
      </c>
      <c r="D44" s="33">
        <f t="shared" si="4"/>
        <v>-3.1725646058028953</v>
      </c>
      <c r="F44" s="99">
        <f t="shared" si="11"/>
        <v>0.99199999999999999</v>
      </c>
      <c r="G44" s="38">
        <f t="shared" si="11"/>
        <v>77.64</v>
      </c>
      <c r="H44" s="20">
        <f t="shared" si="12"/>
        <v>25.230736583971822</v>
      </c>
      <c r="I44" s="21">
        <f t="shared" si="13"/>
        <v>19864.167025545514</v>
      </c>
      <c r="J44" s="21">
        <f>Q52</f>
        <v>33151.987038120496</v>
      </c>
      <c r="K44" s="21">
        <f t="shared" si="14"/>
        <v>13287.820012574983</v>
      </c>
      <c r="L44" s="18">
        <f t="shared" si="15"/>
        <v>1.9077716059460714</v>
      </c>
      <c r="M44" s="18">
        <f t="shared" si="16"/>
        <v>4.3364444534308149</v>
      </c>
      <c r="N44" s="19">
        <f t="shared" si="11"/>
        <v>6.1870000000000003</v>
      </c>
      <c r="P44" s="56">
        <f>'Nr(V)'!A44</f>
        <v>21</v>
      </c>
      <c r="Q44" s="57">
        <f>'Nr(V)'!B44</f>
        <v>30332.373194113101</v>
      </c>
    </row>
    <row r="45" spans="1:17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-1.817379350976997E-2</v>
      </c>
      <c r="D45" s="36">
        <f t="shared" si="4"/>
        <v>-1.0412816658520667</v>
      </c>
      <c r="F45" s="99">
        <f t="shared" si="11"/>
        <v>0.89051118930908912</v>
      </c>
      <c r="G45" s="38">
        <f t="shared" si="11"/>
        <v>71.59</v>
      </c>
      <c r="H45" s="20">
        <f t="shared" si="12"/>
        <v>26.62968781530088</v>
      </c>
      <c r="I45" s="21">
        <f t="shared" si="13"/>
        <v>20686.496327552366</v>
      </c>
      <c r="J45" s="21">
        <f>Q55</f>
        <v>34797.470633241799</v>
      </c>
      <c r="K45" s="21">
        <f t="shared" si="14"/>
        <v>14110.974305689433</v>
      </c>
      <c r="L45" s="18">
        <f t="shared" si="15"/>
        <v>2.0259543015447634</v>
      </c>
      <c r="M45" s="18">
        <f t="shared" si="16"/>
        <v>4.3632092596406942</v>
      </c>
      <c r="N45" s="19">
        <f t="shared" si="11"/>
        <v>5.3460000000000001</v>
      </c>
      <c r="P45" s="56">
        <f>'Nr(V)'!A45</f>
        <v>21.5</v>
      </c>
      <c r="Q45" s="57">
        <f>'Nr(V)'!B45</f>
        <v>30508.483730140801</v>
      </c>
    </row>
    <row r="46" spans="1:17" x14ac:dyDescent="0.25">
      <c r="A46" s="23">
        <v>25</v>
      </c>
      <c r="B46" s="24">
        <f>-K15*COS(C46+C47-C$3)+0.5*C$17*C$7*C$5*(C47-C$8)*I15^2*SIN(C46)+0.5*C$17*C$7*(C$11+1/PI()/C$10*C$5^2*(C47-C$8)^2)*I15^2*COS(C46)</f>
        <v>-2.2737367544323206E-12</v>
      </c>
      <c r="C46" s="25">
        <v>-8.3298938899107361E-2</v>
      </c>
      <c r="D46" s="26">
        <f t="shared" si="4"/>
        <v>-4.7726776368369714</v>
      </c>
      <c r="F46" s="99">
        <f t="shared" si="11"/>
        <v>0.78877734406717104</v>
      </c>
      <c r="G46" s="38">
        <f t="shared" si="11"/>
        <v>62.64</v>
      </c>
      <c r="H46" s="20">
        <f t="shared" si="12"/>
        <v>28.294925290433113</v>
      </c>
      <c r="I46" s="21">
        <f t="shared" si="13"/>
        <v>22115.015449856739</v>
      </c>
      <c r="J46" s="21">
        <f>Q59</f>
        <v>36324.992123857897</v>
      </c>
      <c r="K46" s="21">
        <f t="shared" si="14"/>
        <v>14209.976674001158</v>
      </c>
      <c r="L46" s="18">
        <f t="shared" si="15"/>
        <v>2.0401683642734718</v>
      </c>
      <c r="M46" s="18">
        <f t="shared" si="16"/>
        <v>4.1348248825362166</v>
      </c>
      <c r="N46" s="19">
        <f t="shared" si="11"/>
        <v>4.1539999999999999</v>
      </c>
      <c r="P46" s="56">
        <f>'Nr(V)'!A46</f>
        <v>22</v>
      </c>
      <c r="Q46" s="57">
        <f>'Nr(V)'!B46</f>
        <v>30919.618344659899</v>
      </c>
    </row>
    <row r="47" spans="1:17" x14ac:dyDescent="0.25">
      <c r="A47" s="27">
        <v>26</v>
      </c>
      <c r="B47" s="28">
        <f>K15*SIN(C46+C47-C$3)+0.5*C$17*C$7*C$5*(C47-C$8)*I15^2*COS(C46)-0.5*C$17*C$7*(C$11+1/PI()/C$10*C$5^2*(C47-C$8)^2)*I15^2*SIN(C46)-C$15</f>
        <v>0</v>
      </c>
      <c r="C47" s="29">
        <v>-2.221617073382455E-2</v>
      </c>
      <c r="D47" s="30">
        <f t="shared" si="4"/>
        <v>-1.2728928199902036</v>
      </c>
      <c r="F47" s="99">
        <f t="shared" si="11"/>
        <v>0.68820194072740959</v>
      </c>
      <c r="G47" s="38">
        <f t="shared" si="11"/>
        <v>51.95</v>
      </c>
      <c r="H47" s="20">
        <f t="shared" si="12"/>
        <v>30.291990994265614</v>
      </c>
      <c r="I47" s="21">
        <f t="shared" si="13"/>
        <v>24284.006793082815</v>
      </c>
      <c r="J47" s="21">
        <f>Q63</f>
        <v>37911.157117782001</v>
      </c>
      <c r="K47" s="21">
        <f t="shared" si="14"/>
        <v>13627.150324699185</v>
      </c>
      <c r="L47" s="18">
        <f t="shared" si="15"/>
        <v>1.9564902621210298</v>
      </c>
      <c r="M47" s="18">
        <f t="shared" si="16"/>
        <v>3.703180794224779</v>
      </c>
      <c r="N47" s="19">
        <f t="shared" si="11"/>
        <v>3.0790000000000002</v>
      </c>
      <c r="P47" s="56">
        <f>'Nr(V)'!A47</f>
        <v>22.5</v>
      </c>
      <c r="Q47" s="57">
        <f>'Nr(V)'!B47</f>
        <v>31272.019442819201</v>
      </c>
    </row>
    <row r="48" spans="1:17" x14ac:dyDescent="0.25">
      <c r="A48" s="31">
        <v>27</v>
      </c>
      <c r="B48" s="24">
        <f>-K16*COS(C48+C49-C$3)+0.5*C$17*C$7*C$5*(C49-C$8)*I16^2*SIN(C48)+0.5*C$17*C$7*(C$11+1/PI()/C$10*C$5^2*(C49-C$8)^2)*I16^2*COS(C48)</f>
        <v>4.7880348574835807E-9</v>
      </c>
      <c r="C48" s="32">
        <v>-0.11422741547429813</v>
      </c>
      <c r="D48" s="33">
        <f t="shared" si="4"/>
        <v>-6.5447488113646335</v>
      </c>
      <c r="F48" s="99">
        <f t="shared" si="11"/>
        <v>0.58038845302154896</v>
      </c>
      <c r="G48" s="38">
        <f t="shared" si="11"/>
        <v>39.369999999999997</v>
      </c>
      <c r="H48" s="20">
        <f t="shared" si="12"/>
        <v>32.985751571352921</v>
      </c>
      <c r="I48" s="21">
        <f t="shared" si="13"/>
        <v>27895.260038412434</v>
      </c>
      <c r="J48" s="21">
        <f>Q68</f>
        <v>39673.612673837699</v>
      </c>
      <c r="K48" s="21">
        <f t="shared" si="14"/>
        <v>11778.352635425264</v>
      </c>
      <c r="L48" s="18">
        <f t="shared" si="15"/>
        <v>1.6910529117206161</v>
      </c>
      <c r="M48" s="18">
        <f t="shared" si="16"/>
        <v>2.9386229471976262</v>
      </c>
      <c r="N48" s="19">
        <f t="shared" si="11"/>
        <v>2.073</v>
      </c>
      <c r="P48" s="56">
        <f>'Nr(V)'!A48</f>
        <v>23</v>
      </c>
      <c r="Q48" s="57">
        <f>'Nr(V)'!B48</f>
        <v>31624.420540978401</v>
      </c>
    </row>
    <row r="49" spans="1:17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-2.5835758442429805E-2</v>
      </c>
      <c r="D49" s="36">
        <f t="shared" si="4"/>
        <v>-1.4802799192707132</v>
      </c>
      <c r="F49" s="99">
        <f t="shared" si="11"/>
        <v>0.483331925835703</v>
      </c>
      <c r="G49" s="38">
        <f t="shared" si="11"/>
        <v>27.9</v>
      </c>
      <c r="H49" s="20">
        <f t="shared" si="12"/>
        <v>36.14623136708304</v>
      </c>
      <c r="I49" s="21">
        <f t="shared" si="13"/>
        <v>33136.834597293098</v>
      </c>
      <c r="J49" s="21">
        <f>Q74</f>
        <v>42141.230478419297</v>
      </c>
      <c r="K49" s="21">
        <f t="shared" si="14"/>
        <v>9004.3958811261982</v>
      </c>
      <c r="L49" s="18">
        <f t="shared" si="15"/>
        <v>1.2927877390311981</v>
      </c>
      <c r="M49" s="18">
        <f t="shared" si="16"/>
        <v>2.0496488618439046</v>
      </c>
      <c r="N49" s="19">
        <f t="shared" si="11"/>
        <v>1.2330000000000001</v>
      </c>
      <c r="P49" s="56">
        <f>'Nr(V)'!A49</f>
        <v>23.5</v>
      </c>
      <c r="Q49" s="57">
        <f>'Nr(V)'!B49</f>
        <v>31918.088122777801</v>
      </c>
    </row>
    <row r="50" spans="1:17" x14ac:dyDescent="0.25">
      <c r="A50" s="23">
        <v>29</v>
      </c>
      <c r="B50" s="24">
        <f>-K17*COS(C50+C51-C$3)+0.5*C$17*C$7*C$5*(C51-C$8)*I17^2*SIN(C50)+0.5*C$17*C$7*(C$11+1/PI()/C$10*C$5^2*(C51-C$8)^2)*I17^2*COS(C50)</f>
        <v>-3.6042592910234816E-7</v>
      </c>
      <c r="C50" s="25">
        <v>-0.1463803824116291</v>
      </c>
      <c r="D50" s="26">
        <f t="shared" si="4"/>
        <v>-8.3869781156973744</v>
      </c>
      <c r="F50" s="99">
        <f t="shared" si="11"/>
        <v>0.38026543690183146</v>
      </c>
      <c r="G50" s="38">
        <f t="shared" si="11"/>
        <v>16.61</v>
      </c>
      <c r="H50" s="20">
        <f t="shared" si="12"/>
        <v>40.75138175131827</v>
      </c>
      <c r="I50" s="21">
        <f t="shared" si="13"/>
        <v>42946.552350015663</v>
      </c>
      <c r="J50" s="21">
        <f>Q84</f>
        <v>43253.926819388798</v>
      </c>
      <c r="K50" s="21">
        <f t="shared" si="14"/>
        <v>307.37446937313507</v>
      </c>
      <c r="L50" s="18">
        <f t="shared" si="15"/>
        <v>4.4130661350610195E-2</v>
      </c>
      <c r="M50" s="18">
        <f t="shared" si="16"/>
        <v>6.2047003759216825E-2</v>
      </c>
      <c r="N50" s="19">
        <f t="shared" si="11"/>
        <v>0.39200000000000002</v>
      </c>
      <c r="P50" s="56">
        <f>'Nr(V)'!A50</f>
        <v>24</v>
      </c>
      <c r="Q50" s="57">
        <f>'Nr(V)'!B50</f>
        <v>32329.312750348701</v>
      </c>
    </row>
    <row r="51" spans="1:17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-2.9089604292059819E-2</v>
      </c>
      <c r="D51" s="30">
        <f t="shared" si="4"/>
        <v>-1.6667115536406725</v>
      </c>
      <c r="F51" s="99">
        <f t="shared" si="11"/>
        <v>0.33400000000000002</v>
      </c>
      <c r="G51" s="38">
        <f t="shared" si="11"/>
        <v>12.24</v>
      </c>
      <c r="H51" s="20">
        <f t="shared" si="12"/>
        <v>43.482302409348236</v>
      </c>
      <c r="I51" s="21">
        <f t="shared" si="13"/>
        <v>50029.068036506651</v>
      </c>
      <c r="J51" s="21">
        <f>Q89</f>
        <v>40663.2161663441</v>
      </c>
      <c r="K51" s="21">
        <f t="shared" si="14"/>
        <v>-9365.8518701625508</v>
      </c>
      <c r="L51" s="18">
        <f t="shared" si="15"/>
        <v>-1.3446830440571635</v>
      </c>
      <c r="M51" s="18">
        <f t="shared" si="16"/>
        <v>-1.7721450899377647</v>
      </c>
      <c r="N51" s="19">
        <f t="shared" si="11"/>
        <v>-0.13300000000000001</v>
      </c>
      <c r="P51" s="56">
        <f>'Nr(V)'!A51</f>
        <v>24.5</v>
      </c>
      <c r="Q51" s="57">
        <f>'Nr(V)'!B51</f>
        <v>32564.2018092623</v>
      </c>
    </row>
    <row r="52" spans="1:17" x14ac:dyDescent="0.25">
      <c r="F52" s="99">
        <f t="shared" si="11"/>
        <v>0.27900000000000003</v>
      </c>
      <c r="G52" s="38">
        <f t="shared" si="11"/>
        <v>7.83</v>
      </c>
      <c r="H52" s="20">
        <f t="shared" si="12"/>
        <v>47.575533154287946</v>
      </c>
      <c r="I52" s="21">
        <f t="shared" si="13"/>
        <v>62550.709562555872</v>
      </c>
      <c r="J52" s="21">
        <f>Q97</f>
        <v>35012.196768531401</v>
      </c>
      <c r="K52" s="21">
        <f t="shared" si="14"/>
        <v>-27538.512794024471</v>
      </c>
      <c r="L52" s="18">
        <f t="shared" si="15"/>
        <v>-3.9537857021470573</v>
      </c>
      <c r="M52" s="18">
        <f t="shared" si="16"/>
        <v>-4.7670891748265394</v>
      </c>
      <c r="N52" s="19">
        <f t="shared" si="11"/>
        <v>-0.8</v>
      </c>
      <c r="P52" s="56">
        <f>'Nr(V)'!A52</f>
        <v>25</v>
      </c>
      <c r="Q52" s="57">
        <f>'Nr(V)'!B52</f>
        <v>33151.987038120496</v>
      </c>
    </row>
    <row r="53" spans="1:17" x14ac:dyDescent="0.25">
      <c r="F53" s="99">
        <f t="shared" si="11"/>
        <v>0.22900000000000001</v>
      </c>
      <c r="G53" s="38">
        <f t="shared" si="11"/>
        <v>4.72</v>
      </c>
      <c r="H53" s="20">
        <f t="shared" si="12"/>
        <v>52.513144456450128</v>
      </c>
      <c r="I53" s="21">
        <f t="shared" si="13"/>
        <v>80564.20434007539</v>
      </c>
      <c r="J53" s="21">
        <f>Q107</f>
        <v>23595.661370898699</v>
      </c>
      <c r="K53" s="21">
        <f t="shared" si="14"/>
        <v>-56968.542969176691</v>
      </c>
      <c r="L53" s="18">
        <f t="shared" si="15"/>
        <v>-8.1791421471589327</v>
      </c>
      <c r="M53" s="18">
        <f t="shared" si="16"/>
        <v>-8.9605392627577771</v>
      </c>
      <c r="N53" s="19">
        <f t="shared" si="11"/>
        <v>-1.3260000000000001</v>
      </c>
      <c r="P53" s="56">
        <f>'Nr(V)'!A53</f>
        <v>25.5</v>
      </c>
      <c r="Q53" s="57">
        <f>'Nr(V)'!B53</f>
        <v>33621.9901885773</v>
      </c>
    </row>
    <row r="54" spans="1:17" ht="15.6" thickBot="1" x14ac:dyDescent="0.3">
      <c r="F54" s="106"/>
      <c r="G54" s="14"/>
      <c r="H54" s="64"/>
      <c r="I54" s="57"/>
      <c r="J54" s="57"/>
      <c r="K54" s="57"/>
      <c r="L54" s="63"/>
      <c r="M54" s="63"/>
      <c r="N54" s="66"/>
      <c r="P54" s="56">
        <f>'Nr(V)'!A54</f>
        <v>26</v>
      </c>
      <c r="Q54" s="57">
        <f>'Nr(V)'!B54</f>
        <v>34268.688959899097</v>
      </c>
    </row>
    <row r="55" spans="1:17" ht="18.600000000000001" thickBot="1" x14ac:dyDescent="0.3">
      <c r="I55" s="134" t="s">
        <v>188</v>
      </c>
      <c r="J55" s="135"/>
      <c r="K55" s="135"/>
      <c r="L55" s="135"/>
      <c r="M55" s="135"/>
      <c r="N55" s="136"/>
      <c r="P55" s="56">
        <f>'Nr(V)'!A55</f>
        <v>26.5</v>
      </c>
      <c r="Q55" s="57">
        <f>'Nr(V)'!B55</f>
        <v>34797.470633241799</v>
      </c>
    </row>
    <row r="56" spans="1:17" ht="18.600000000000001" thickBot="1" x14ac:dyDescent="0.3">
      <c r="D56" s="56" t="s">
        <v>149</v>
      </c>
      <c r="E56" s="56" t="s">
        <v>150</v>
      </c>
      <c r="F56" s="14" t="s">
        <v>151</v>
      </c>
      <c r="G56" s="14" t="s">
        <v>152</v>
      </c>
      <c r="I56" s="100" t="s">
        <v>76</v>
      </c>
      <c r="J56" s="100" t="s">
        <v>77</v>
      </c>
      <c r="K56" s="100" t="s">
        <v>78</v>
      </c>
      <c r="L56" s="100" t="s">
        <v>79</v>
      </c>
      <c r="M56" s="100" t="s">
        <v>85</v>
      </c>
      <c r="N56" s="100" t="s">
        <v>80</v>
      </c>
      <c r="P56" s="56">
        <f>'Nr(V)'!A56</f>
        <v>27</v>
      </c>
      <c r="Q56" s="57">
        <f>'Nr(V)'!B56</f>
        <v>35149.961744452899</v>
      </c>
    </row>
    <row r="57" spans="1:17" x14ac:dyDescent="0.25">
      <c r="D57" s="24">
        <f t="shared" ref="D57:D71" si="17">-K57*COS(E57+F57-C$3)+0.5*C$17*C$7*C$5*(F57-C$8)*I57^2*SIN(E57)+0.5*C$17*C$7*(C$11+1/PI()/C$10*C$5^2*(F57-C$8)^2)*I57^2*COS(E57)</f>
        <v>3.2045068110164721E-7</v>
      </c>
      <c r="E57" s="25">
        <v>8.0964745251145692E-2</v>
      </c>
      <c r="F57" s="29">
        <v>0.18205084433322308</v>
      </c>
      <c r="G57" s="28">
        <f t="shared" ref="G57:G71" si="18">K57*SIN(E57+F57-C$3)+0.5*C$17*C$7*C$5*(F57-C$8)*I57^2*COS(E57)-0.5*C$17*C$7*(C$11+1/PI()/C$10*C$5^2*(F57-C$8)^2)*I57^2*SIN(E57)-C$2</f>
        <v>-1.4774258488614578E-5</v>
      </c>
      <c r="I57" s="103">
        <f>SQRT(2*C$2/C$7/C$16/C17)</f>
        <v>20.470532465396822</v>
      </c>
      <c r="J57" s="102">
        <f>Q43</f>
        <v>29979.747063324099</v>
      </c>
      <c r="K57" s="102">
        <f>J57/I57</f>
        <v>1464.5318637412854</v>
      </c>
      <c r="L57" s="104">
        <f>DEGREES(F57)</f>
        <v>10.430745037086822</v>
      </c>
      <c r="M57" s="104">
        <f>DEGREES(E57)</f>
        <v>4.6389381922425228</v>
      </c>
      <c r="N57" s="104">
        <f>I57*SIN(RADIANS(M57))</f>
        <v>1.6555812593780708</v>
      </c>
      <c r="P57" s="56">
        <f>'Nr(V)'!A57</f>
        <v>27.5</v>
      </c>
      <c r="Q57" s="57">
        <f>'Nr(V)'!B57</f>
        <v>35620.099914487597</v>
      </c>
    </row>
    <row r="58" spans="1:17" x14ac:dyDescent="0.25">
      <c r="D58" s="24">
        <f t="shared" si="17"/>
        <v>-3.1348508855444379E-7</v>
      </c>
      <c r="E58" s="32">
        <v>8.0576679790821615E-2</v>
      </c>
      <c r="F58" s="35">
        <v>0.15040991477945634</v>
      </c>
      <c r="G58" s="28">
        <f t="shared" si="18"/>
        <v>0</v>
      </c>
      <c r="I58" s="20">
        <f t="shared" ref="I58:I71" si="19">I4</f>
        <v>22</v>
      </c>
      <c r="J58" s="21">
        <f>Q46</f>
        <v>30919.618344659899</v>
      </c>
      <c r="K58" s="21">
        <f t="shared" ref="K58:K71" si="20">J58/I58</f>
        <v>1405.4371974845408</v>
      </c>
      <c r="L58" s="18">
        <f t="shared" ref="L58:L71" si="21">DEGREES(F58)</f>
        <v>8.6178533137852327</v>
      </c>
      <c r="M58" s="18">
        <f t="shared" ref="M58:M71" si="22">DEGREES(E58)</f>
        <v>4.6167036791911515</v>
      </c>
      <c r="N58" s="18">
        <f t="shared" ref="N58:N71" si="23">I58*SIN(RADIANS(M58))</f>
        <v>1.7707693530690796</v>
      </c>
      <c r="P58" s="56">
        <f>'Nr(V)'!A58</f>
        <v>28</v>
      </c>
      <c r="Q58" s="57">
        <f>'Nr(V)'!B58</f>
        <v>35972.546019172703</v>
      </c>
    </row>
    <row r="59" spans="1:17" x14ac:dyDescent="0.25">
      <c r="D59" s="24">
        <f t="shared" si="17"/>
        <v>-3.3943251764867455E-7</v>
      </c>
      <c r="E59" s="25">
        <v>7.8963044496248552E-2</v>
      </c>
      <c r="F59" s="29">
        <v>0.11718126449221843</v>
      </c>
      <c r="G59" s="28">
        <f t="shared" si="18"/>
        <v>0</v>
      </c>
      <c r="I59" s="20">
        <f t="shared" si="19"/>
        <v>24</v>
      </c>
      <c r="J59" s="21">
        <f>Q50</f>
        <v>32329.312750348701</v>
      </c>
      <c r="K59" s="21">
        <f t="shared" si="20"/>
        <v>1347.054697931196</v>
      </c>
      <c r="L59" s="18">
        <f t="shared" si="21"/>
        <v>6.7139918934103298</v>
      </c>
      <c r="M59" s="18">
        <f t="shared" si="22"/>
        <v>4.524249187138766</v>
      </c>
      <c r="N59" s="18">
        <f t="shared" si="23"/>
        <v>1.8931442921691277</v>
      </c>
      <c r="P59" s="56">
        <f>'Nr(V)'!A59</f>
        <v>28.5</v>
      </c>
      <c r="Q59" s="57">
        <f>'Nr(V)'!B59</f>
        <v>36324.992123857897</v>
      </c>
    </row>
    <row r="60" spans="1:17" x14ac:dyDescent="0.25">
      <c r="D60" s="24">
        <f t="shared" si="17"/>
        <v>-3.312696890134248E-7</v>
      </c>
      <c r="E60" s="32">
        <v>7.8219042346513598E-2</v>
      </c>
      <c r="F60" s="35">
        <v>9.0864919563451885E-2</v>
      </c>
      <c r="G60" s="28">
        <f t="shared" si="18"/>
        <v>0</v>
      </c>
      <c r="I60" s="20">
        <f t="shared" si="19"/>
        <v>26</v>
      </c>
      <c r="J60" s="21">
        <f>Q54</f>
        <v>34268.688959899097</v>
      </c>
      <c r="K60" s="21">
        <f t="shared" si="20"/>
        <v>1318.0264984576575</v>
      </c>
      <c r="L60" s="18">
        <f t="shared" si="21"/>
        <v>5.2061763967814993</v>
      </c>
      <c r="M60" s="18">
        <f t="shared" si="22"/>
        <v>4.4816210040102922</v>
      </c>
      <c r="N60" s="18">
        <f t="shared" si="23"/>
        <v>2.0316219701103115</v>
      </c>
      <c r="P60" s="56">
        <f>'Nr(V)'!A60</f>
        <v>29</v>
      </c>
      <c r="Q60" s="57">
        <f>'Nr(V)'!B60</f>
        <v>36677.393222017097</v>
      </c>
    </row>
    <row r="61" spans="1:17" x14ac:dyDescent="0.25">
      <c r="D61" s="24">
        <f t="shared" si="17"/>
        <v>-2.9418833946692757E-7</v>
      </c>
      <c r="E61" s="25">
        <v>7.4156272735736509E-2</v>
      </c>
      <c r="F61" s="29">
        <v>6.9799786640107192E-2</v>
      </c>
      <c r="G61" s="28">
        <f t="shared" si="18"/>
        <v>0</v>
      </c>
      <c r="I61" s="20">
        <f t="shared" si="19"/>
        <v>28</v>
      </c>
      <c r="J61" s="21">
        <f>Q58</f>
        <v>35972.546019172703</v>
      </c>
      <c r="K61" s="21">
        <f t="shared" si="20"/>
        <v>1284.7337863990251</v>
      </c>
      <c r="L61" s="18">
        <f t="shared" si="21"/>
        <v>3.9992331853917711</v>
      </c>
      <c r="M61" s="18">
        <f t="shared" si="22"/>
        <v>4.2488414521787572</v>
      </c>
      <c r="N61" s="18">
        <f t="shared" si="23"/>
        <v>2.0744731086460808</v>
      </c>
      <c r="P61" s="56">
        <f>'Nr(V)'!A61</f>
        <v>29.5</v>
      </c>
      <c r="Q61" s="57">
        <f>'Nr(V)'!B61</f>
        <v>37147.576398577701</v>
      </c>
    </row>
    <row r="62" spans="1:17" x14ac:dyDescent="0.25">
      <c r="D62" s="24">
        <f t="shared" si="17"/>
        <v>-3.0885803425917402E-7</v>
      </c>
      <c r="E62" s="32">
        <v>6.7731373933060085E-2</v>
      </c>
      <c r="F62" s="35">
        <v>5.2674732162839147E-2</v>
      </c>
      <c r="G62" s="28">
        <f t="shared" si="18"/>
        <v>0</v>
      </c>
      <c r="I62" s="20">
        <f t="shared" si="19"/>
        <v>30</v>
      </c>
      <c r="J62" s="21">
        <f>Q62</f>
        <v>37500.112516314803</v>
      </c>
      <c r="K62" s="21">
        <f t="shared" si="20"/>
        <v>1250.0037505438268</v>
      </c>
      <c r="L62" s="18">
        <f t="shared" si="21"/>
        <v>3.0180398399126975</v>
      </c>
      <c r="M62" s="18">
        <f t="shared" si="22"/>
        <v>3.8807218669867423</v>
      </c>
      <c r="N62" s="18">
        <f t="shared" si="23"/>
        <v>2.030387972711039</v>
      </c>
      <c r="P62" s="56">
        <f>'Nr(V)'!A62</f>
        <v>30</v>
      </c>
      <c r="Q62" s="57">
        <f>'Nr(V)'!B62</f>
        <v>37500.112516314803</v>
      </c>
    </row>
    <row r="63" spans="1:17" x14ac:dyDescent="0.25">
      <c r="D63" s="24">
        <f t="shared" si="17"/>
        <v>4.7443563744309358E-8</v>
      </c>
      <c r="E63" s="25">
        <v>5.5485481190525515E-2</v>
      </c>
      <c r="F63" s="29">
        <v>3.2420342516364033E-2</v>
      </c>
      <c r="G63" s="28">
        <f t="shared" si="18"/>
        <v>0</v>
      </c>
      <c r="I63" s="20">
        <f t="shared" si="19"/>
        <v>33</v>
      </c>
      <c r="J63" s="21">
        <f>Q68</f>
        <v>39673.612673837699</v>
      </c>
      <c r="K63" s="21">
        <f t="shared" si="20"/>
        <v>1202.2306870859909</v>
      </c>
      <c r="L63" s="18">
        <f t="shared" si="21"/>
        <v>1.8575487965562021</v>
      </c>
      <c r="M63" s="18">
        <f t="shared" si="22"/>
        <v>3.1790838964696264</v>
      </c>
      <c r="N63" s="18">
        <f t="shared" si="23"/>
        <v>1.8300815152973828</v>
      </c>
      <c r="P63" s="56">
        <f>'Nr(V)'!A63</f>
        <v>30.5</v>
      </c>
      <c r="Q63" s="57">
        <f>'Nr(V)'!B63</f>
        <v>37911.157117782001</v>
      </c>
    </row>
    <row r="64" spans="1:17" x14ac:dyDescent="0.25">
      <c r="D64" s="24">
        <f t="shared" si="17"/>
        <v>5.1104859721817775E-7</v>
      </c>
      <c r="E64" s="32">
        <v>4.2418272001117474E-2</v>
      </c>
      <c r="F64" s="35">
        <v>1.6881600550679467E-2</v>
      </c>
      <c r="G64" s="28">
        <f t="shared" si="18"/>
        <v>0</v>
      </c>
      <c r="I64" s="20">
        <f t="shared" si="19"/>
        <v>36</v>
      </c>
      <c r="J64" s="21">
        <f>Q74</f>
        <v>42141.230478419297</v>
      </c>
      <c r="K64" s="21">
        <f t="shared" si="20"/>
        <v>1170.5897355116472</v>
      </c>
      <c r="L64" s="18">
        <f t="shared" si="21"/>
        <v>0.96724446297965994</v>
      </c>
      <c r="M64" s="18">
        <f t="shared" si="22"/>
        <v>2.4303879599019802</v>
      </c>
      <c r="N64" s="18">
        <f t="shared" si="23"/>
        <v>1.526599891562459</v>
      </c>
      <c r="P64" s="56">
        <f>'Nr(V)'!A64</f>
        <v>31</v>
      </c>
      <c r="Q64" s="57">
        <f>'Nr(V)'!B64</f>
        <v>38322.516764930901</v>
      </c>
    </row>
    <row r="65" spans="4:17" x14ac:dyDescent="0.25">
      <c r="D65" s="24">
        <f t="shared" si="17"/>
        <v>-7.2028228714771103E-8</v>
      </c>
      <c r="E65" s="25">
        <v>2.5927924798688665E-2</v>
      </c>
      <c r="F65" s="29">
        <v>4.7128304156459459E-3</v>
      </c>
      <c r="G65" s="28">
        <f t="shared" si="18"/>
        <v>0</v>
      </c>
      <c r="I65" s="20">
        <f t="shared" si="19"/>
        <v>39</v>
      </c>
      <c r="J65" s="21">
        <f>Q80</f>
        <v>44197.038570592696</v>
      </c>
      <c r="K65" s="21">
        <f t="shared" si="20"/>
        <v>1133.2573992459666</v>
      </c>
      <c r="L65" s="18">
        <f t="shared" si="21"/>
        <v>0.27002529237739825</v>
      </c>
      <c r="M65" s="18">
        <f t="shared" si="22"/>
        <v>1.4855606624974451</v>
      </c>
      <c r="N65" s="18">
        <f t="shared" si="23"/>
        <v>1.0110757744209742</v>
      </c>
      <c r="P65" s="56">
        <f>'Nr(V)'!A65</f>
        <v>31.5</v>
      </c>
      <c r="Q65" s="57">
        <f>'Nr(V)'!B65</f>
        <v>38557.360817318498</v>
      </c>
    </row>
    <row r="66" spans="4:17" x14ac:dyDescent="0.25">
      <c r="D66" s="24">
        <f t="shared" si="17"/>
        <v>5.4851011555001605E-7</v>
      </c>
      <c r="E66" s="32">
        <v>-5.287095640429648E-3</v>
      </c>
      <c r="F66" s="35">
        <v>-5.0188074515309898E-3</v>
      </c>
      <c r="G66" s="28">
        <f t="shared" si="18"/>
        <v>0</v>
      </c>
      <c r="I66" s="20">
        <f t="shared" si="19"/>
        <v>42</v>
      </c>
      <c r="J66" s="21">
        <f>Q86</f>
        <v>42370.628741167398</v>
      </c>
      <c r="K66" s="21">
        <f t="shared" si="20"/>
        <v>1008.824493837319</v>
      </c>
      <c r="L66" s="18">
        <f t="shared" si="21"/>
        <v>-0.2875564851615342</v>
      </c>
      <c r="M66" s="18">
        <f t="shared" si="22"/>
        <v>-0.30292826607863588</v>
      </c>
      <c r="N66" s="18">
        <f t="shared" si="23"/>
        <v>-0.22205698235412494</v>
      </c>
      <c r="P66" s="56">
        <f>'Nr(V)'!A66</f>
        <v>32</v>
      </c>
      <c r="Q66" s="57">
        <f>'Nr(V)'!B66</f>
        <v>38850.9383860659</v>
      </c>
    </row>
    <row r="67" spans="4:17" x14ac:dyDescent="0.25">
      <c r="D67" s="24">
        <f t="shared" si="17"/>
        <v>-1.7096817828132771E-7</v>
      </c>
      <c r="E67" s="25">
        <v>-2.8972859643478559E-2</v>
      </c>
      <c r="F67" s="29">
        <v>-1.0489801286298728E-2</v>
      </c>
      <c r="G67" s="28">
        <f t="shared" si="18"/>
        <v>0</v>
      </c>
      <c r="I67" s="20">
        <f t="shared" si="19"/>
        <v>44</v>
      </c>
      <c r="J67" s="21">
        <f>Q90</f>
        <v>40192.267878842402</v>
      </c>
      <c r="K67" s="21">
        <f t="shared" si="20"/>
        <v>913.46063361005463</v>
      </c>
      <c r="L67" s="18">
        <f t="shared" si="21"/>
        <v>-0.60102134163581922</v>
      </c>
      <c r="M67" s="18">
        <f t="shared" si="22"/>
        <v>-1.6600225779962283</v>
      </c>
      <c r="N67" s="18">
        <f t="shared" si="23"/>
        <v>-1.2746274808129412</v>
      </c>
      <c r="P67" s="56">
        <f>'Nr(V)'!A67</f>
        <v>32.5</v>
      </c>
      <c r="Q67" s="57">
        <f>'Nr(V)'!B67</f>
        <v>39085.917458031399</v>
      </c>
    </row>
    <row r="68" spans="4:17" x14ac:dyDescent="0.25">
      <c r="D68" s="24">
        <f t="shared" si="17"/>
        <v>-9.4675442596781068E-7</v>
      </c>
      <c r="E68" s="32">
        <v>-5.4499683016796342E-2</v>
      </c>
      <c r="F68" s="35">
        <v>-1.5309848176372483E-2</v>
      </c>
      <c r="G68" s="28">
        <f t="shared" si="18"/>
        <v>0</v>
      </c>
      <c r="I68" s="20">
        <f t="shared" si="19"/>
        <v>46</v>
      </c>
      <c r="J68" s="21">
        <f>Q94</f>
        <v>37307.8896439983</v>
      </c>
      <c r="K68" s="21">
        <f t="shared" si="20"/>
        <v>811.04107921735431</v>
      </c>
      <c r="L68" s="18">
        <f t="shared" si="21"/>
        <v>-0.87718968549220333</v>
      </c>
      <c r="M68" s="18">
        <f t="shared" si="22"/>
        <v>-3.1226018216632405</v>
      </c>
      <c r="N68" s="18">
        <f t="shared" si="23"/>
        <v>-2.5057445552650521</v>
      </c>
      <c r="P68" s="56">
        <f>'Nr(V)'!A68</f>
        <v>33</v>
      </c>
      <c r="Q68" s="57">
        <f>'Nr(V)'!B68</f>
        <v>39673.612673837699</v>
      </c>
    </row>
    <row r="69" spans="4:17" x14ac:dyDescent="0.25">
      <c r="D69" s="24">
        <f t="shared" si="17"/>
        <v>4.0522991184843704E-8</v>
      </c>
      <c r="E69" s="25">
        <v>-8.0667254470799643E-2</v>
      </c>
      <c r="F69" s="29">
        <v>-1.9580111880969333E-2</v>
      </c>
      <c r="G69" s="28">
        <f t="shared" si="18"/>
        <v>0</v>
      </c>
      <c r="I69" s="20">
        <f t="shared" si="19"/>
        <v>48</v>
      </c>
      <c r="J69" s="21">
        <f>Q98</f>
        <v>34070.525226157697</v>
      </c>
      <c r="K69" s="21">
        <f t="shared" si="20"/>
        <v>709.80260887828535</v>
      </c>
      <c r="L69" s="18">
        <f t="shared" si="21"/>
        <v>-1.1218577731735024</v>
      </c>
      <c r="M69" s="18">
        <f t="shared" si="22"/>
        <v>-4.6218932260846408</v>
      </c>
      <c r="N69" s="18">
        <f t="shared" si="23"/>
        <v>-3.8678302331855314</v>
      </c>
      <c r="P69" s="56">
        <f>'Nr(V)'!A69</f>
        <v>33.5</v>
      </c>
      <c r="Q69" s="57">
        <f>'Nr(V)'!B69</f>
        <v>39967.235249111101</v>
      </c>
    </row>
    <row r="70" spans="4:17" x14ac:dyDescent="0.25">
      <c r="D70" s="24">
        <f t="shared" si="17"/>
        <v>-7.5813500188814942E-7</v>
      </c>
      <c r="E70" s="32">
        <v>-0.10968108875052551</v>
      </c>
      <c r="F70" s="35">
        <v>-2.3398515686635174E-2</v>
      </c>
      <c r="G70" s="28">
        <f t="shared" si="18"/>
        <v>0</v>
      </c>
      <c r="I70" s="20">
        <f t="shared" si="19"/>
        <v>50</v>
      </c>
      <c r="J70" s="21">
        <f>Q102</f>
        <v>29715.6937755974</v>
      </c>
      <c r="K70" s="21">
        <f t="shared" si="20"/>
        <v>594.31387551194803</v>
      </c>
      <c r="L70" s="18">
        <f t="shared" si="21"/>
        <v>-1.3406361957148469</v>
      </c>
      <c r="M70" s="18">
        <f t="shared" si="22"/>
        <v>-6.2842634778049238</v>
      </c>
      <c r="N70" s="18">
        <f t="shared" si="23"/>
        <v>-5.4730655739479257</v>
      </c>
      <c r="P70" s="56">
        <f>'Nr(V)'!A70</f>
        <v>34</v>
      </c>
      <c r="Q70" s="57">
        <f>'Nr(V)'!B70</f>
        <v>40437.238399567897</v>
      </c>
    </row>
    <row r="71" spans="4:17" x14ac:dyDescent="0.25">
      <c r="D71" s="24">
        <f t="shared" si="17"/>
        <v>-5.113702172820922E-8</v>
      </c>
      <c r="E71" s="25">
        <v>-0.13985688045095443</v>
      </c>
      <c r="F71" s="29">
        <v>-2.6826612426514546E-2</v>
      </c>
      <c r="G71" s="28">
        <f t="shared" si="18"/>
        <v>0</v>
      </c>
      <c r="I71" s="20">
        <f t="shared" si="19"/>
        <v>52</v>
      </c>
      <c r="J71" s="21">
        <f>Q106</f>
        <v>24772.492011341601</v>
      </c>
      <c r="K71" s="21">
        <f t="shared" si="20"/>
        <v>476.39407714118465</v>
      </c>
      <c r="L71" s="18">
        <f t="shared" si="21"/>
        <v>-1.5370516706724917</v>
      </c>
      <c r="M71" s="18">
        <f t="shared" si="22"/>
        <v>-8.0132089857053987</v>
      </c>
      <c r="N71" s="18">
        <f t="shared" si="23"/>
        <v>-7.2488724853344531</v>
      </c>
      <c r="P71" s="56">
        <f>'Nr(V)'!A71</f>
        <v>34.5</v>
      </c>
      <c r="Q71" s="57">
        <f>'Nr(V)'!B71</f>
        <v>40789.729510778998</v>
      </c>
    </row>
    <row r="72" spans="4:17" x14ac:dyDescent="0.25">
      <c r="P72" s="56">
        <f>'Nr(V)'!A72</f>
        <v>35</v>
      </c>
      <c r="Q72" s="57">
        <f>'Nr(V)'!B72</f>
        <v>41318.5561906476</v>
      </c>
    </row>
    <row r="73" spans="4:17" x14ac:dyDescent="0.25">
      <c r="P73" s="56">
        <f>'Nr(V)'!A73</f>
        <v>35.5</v>
      </c>
      <c r="Q73" s="57">
        <f>'Nr(V)'!B73</f>
        <v>41729.870831270498</v>
      </c>
    </row>
    <row r="74" spans="4:17" x14ac:dyDescent="0.25">
      <c r="P74" s="56">
        <f>'Nr(V)'!A74</f>
        <v>36</v>
      </c>
      <c r="Q74" s="57">
        <f>'Nr(V)'!B74</f>
        <v>42141.230478419297</v>
      </c>
    </row>
    <row r="75" spans="4:17" x14ac:dyDescent="0.25">
      <c r="P75" s="56">
        <f>'Nr(V)'!A75</f>
        <v>36.5</v>
      </c>
      <c r="Q75" s="57">
        <f>'Nr(V)'!B75</f>
        <v>42611.278635402101</v>
      </c>
    </row>
    <row r="76" spans="4:17" x14ac:dyDescent="0.25">
      <c r="P76" s="56">
        <f>'Nr(V)'!A76</f>
        <v>37</v>
      </c>
      <c r="Q76" s="57">
        <f>'Nr(V)'!B76</f>
        <v>42963.814753139202</v>
      </c>
    </row>
    <row r="77" spans="4:17" x14ac:dyDescent="0.25">
      <c r="P77" s="56">
        <f>'Nr(V)'!A77</f>
        <v>37.5</v>
      </c>
      <c r="Q77" s="57">
        <f>'Nr(V)'!B77</f>
        <v>43316.305864350303</v>
      </c>
    </row>
    <row r="78" spans="4:17" x14ac:dyDescent="0.25">
      <c r="P78" s="56">
        <f>'Nr(V)'!A78</f>
        <v>38</v>
      </c>
      <c r="Q78" s="57">
        <f>'Nr(V)'!B78</f>
        <v>43786.264008281199</v>
      </c>
    </row>
    <row r="79" spans="4:17" x14ac:dyDescent="0.25">
      <c r="P79" s="56">
        <f>'Nr(V)'!A79</f>
        <v>38.5</v>
      </c>
      <c r="Q79" s="57">
        <f>'Nr(V)'!B79</f>
        <v>44079.796570502702</v>
      </c>
    </row>
    <row r="80" spans="4:17" x14ac:dyDescent="0.25">
      <c r="P80" s="56">
        <f>'Nr(V)'!A80</f>
        <v>39</v>
      </c>
      <c r="Q80" s="57">
        <f>'Nr(V)'!B80</f>
        <v>44197.038570592696</v>
      </c>
    </row>
    <row r="81" spans="4:17" x14ac:dyDescent="0.25">
      <c r="P81" s="56">
        <f>'Nr(V)'!A81</f>
        <v>39.5</v>
      </c>
      <c r="Q81" s="57">
        <f>'Nr(V)'!B81</f>
        <v>44255.412034745001</v>
      </c>
    </row>
    <row r="82" spans="4:17" x14ac:dyDescent="0.25">
      <c r="P82" s="56">
        <f>'Nr(V)'!A82</f>
        <v>40</v>
      </c>
      <c r="Q82" s="57">
        <f>'Nr(V)'!B82</f>
        <v>44078.491381250198</v>
      </c>
    </row>
    <row r="83" spans="4:17" x14ac:dyDescent="0.25">
      <c r="P83" s="56">
        <f>'Nr(V)'!A83</f>
        <v>40.5</v>
      </c>
      <c r="Q83" s="57">
        <f>'Nr(V)'!B83</f>
        <v>43842.657185291799</v>
      </c>
    </row>
    <row r="84" spans="4:17" x14ac:dyDescent="0.25">
      <c r="D84" s="30"/>
      <c r="P84" s="56">
        <f>'Nr(V)'!A84</f>
        <v>41</v>
      </c>
      <c r="Q84" s="57">
        <f>'Nr(V)'!B84</f>
        <v>43253.926819388798</v>
      </c>
    </row>
    <row r="85" spans="4:17" x14ac:dyDescent="0.25">
      <c r="P85" s="56">
        <f>'Nr(V)'!A85</f>
        <v>41.5</v>
      </c>
      <c r="Q85" s="57">
        <f>'Nr(V)'!B85</f>
        <v>42900.490571132803</v>
      </c>
    </row>
    <row r="86" spans="4:17" x14ac:dyDescent="0.25">
      <c r="P86" s="56">
        <f>'Nr(V)'!A86</f>
        <v>42</v>
      </c>
      <c r="Q86" s="57">
        <f>'Nr(V)'!B86</f>
        <v>42370.628741167398</v>
      </c>
    </row>
    <row r="87" spans="4:17" x14ac:dyDescent="0.25">
      <c r="P87" s="56">
        <f>'Nr(V)'!A87</f>
        <v>42.5</v>
      </c>
      <c r="Q87" s="57">
        <f>'Nr(V)'!B87</f>
        <v>41664.161303388901</v>
      </c>
    </row>
    <row r="88" spans="4:17" x14ac:dyDescent="0.25">
      <c r="P88" s="56">
        <f>'Nr(V)'!A88</f>
        <v>43</v>
      </c>
      <c r="Q88" s="57">
        <f>'Nr(V)'!B88</f>
        <v>41193.123002835397</v>
      </c>
    </row>
    <row r="89" spans="4:17" x14ac:dyDescent="0.25">
      <c r="P89" s="56">
        <f>'Nr(V)'!A89</f>
        <v>43.5</v>
      </c>
      <c r="Q89" s="57">
        <f>'Nr(V)'!B89</f>
        <v>40663.2161663441</v>
      </c>
    </row>
    <row r="90" spans="4:17" x14ac:dyDescent="0.25">
      <c r="P90" s="56">
        <f>'Nr(V)'!A90</f>
        <v>44</v>
      </c>
      <c r="Q90" s="57">
        <f>'Nr(V)'!B90</f>
        <v>40192.267878842402</v>
      </c>
    </row>
    <row r="91" spans="4:17" x14ac:dyDescent="0.25">
      <c r="P91" s="56">
        <f>'Nr(V)'!A91</f>
        <v>44.5</v>
      </c>
      <c r="Q91" s="57">
        <f>'Nr(V)'!B91</f>
        <v>39426.931905126199</v>
      </c>
    </row>
    <row r="92" spans="4:17" x14ac:dyDescent="0.25">
      <c r="P92" s="56">
        <f>'Nr(V)'!A92</f>
        <v>45</v>
      </c>
      <c r="Q92" s="57">
        <f>'Nr(V)'!B92</f>
        <v>38779.423016337299</v>
      </c>
    </row>
    <row r="93" spans="4:17" x14ac:dyDescent="0.25">
      <c r="P93" s="56">
        <f>'Nr(V)'!A93</f>
        <v>45.5</v>
      </c>
      <c r="Q93" s="57">
        <f>'Nr(V)'!B93</f>
        <v>38014.132049147098</v>
      </c>
    </row>
    <row r="94" spans="4:17" x14ac:dyDescent="0.25">
      <c r="P94" s="56">
        <f>'Nr(V)'!A94</f>
        <v>46</v>
      </c>
      <c r="Q94" s="57">
        <f>'Nr(V)'!B94</f>
        <v>37307.8896439983</v>
      </c>
    </row>
    <row r="95" spans="4:17" x14ac:dyDescent="0.25">
      <c r="P95" s="56">
        <f>'Nr(V)'!A95</f>
        <v>46.5</v>
      </c>
      <c r="Q95" s="57">
        <f>'Nr(V)'!B95</f>
        <v>36719.204284621199</v>
      </c>
    </row>
    <row r="96" spans="4:17" x14ac:dyDescent="0.25">
      <c r="P96" s="56">
        <f>'Nr(V)'!A96</f>
        <v>47</v>
      </c>
      <c r="Q96" s="57">
        <f>'Nr(V)'!B96</f>
        <v>35718.574193257999</v>
      </c>
    </row>
    <row r="97" spans="16:17" x14ac:dyDescent="0.25">
      <c r="P97" s="56">
        <f>'Nr(V)'!A97</f>
        <v>47.5</v>
      </c>
      <c r="Q97" s="57">
        <f>'Nr(V)'!B97</f>
        <v>35012.196768531401</v>
      </c>
    </row>
    <row r="98" spans="16:17" x14ac:dyDescent="0.25">
      <c r="P98" s="56">
        <f>'Nr(V)'!A98</f>
        <v>48</v>
      </c>
      <c r="Q98" s="57">
        <f>'Nr(V)'!B98</f>
        <v>34070.525226157697</v>
      </c>
    </row>
    <row r="99" spans="16:17" x14ac:dyDescent="0.25">
      <c r="P99" s="56">
        <f>'Nr(V)'!A99</f>
        <v>48.5</v>
      </c>
      <c r="Q99" s="57">
        <f>'Nr(V)'!B99</f>
        <v>32893.604572662996</v>
      </c>
    </row>
    <row r="100" spans="16:17" x14ac:dyDescent="0.25">
      <c r="P100" s="56">
        <f>'Nr(V)'!A100</f>
        <v>49</v>
      </c>
      <c r="Q100" s="57">
        <f>'Nr(V)'!B100</f>
        <v>31834.285971465801</v>
      </c>
    </row>
    <row r="101" spans="16:17" x14ac:dyDescent="0.25">
      <c r="P101" s="56">
        <f>'Nr(V)'!A101</f>
        <v>49.5</v>
      </c>
      <c r="Q101" s="57">
        <f>'Nr(V)'!B101</f>
        <v>30716.1888473828</v>
      </c>
    </row>
    <row r="102" spans="16:17" x14ac:dyDescent="0.25">
      <c r="P102" s="56">
        <f>'Nr(V)'!A102</f>
        <v>50</v>
      </c>
      <c r="Q102" s="57">
        <f>'Nr(V)'!B102</f>
        <v>29715.6937755974</v>
      </c>
    </row>
    <row r="103" spans="16:17" x14ac:dyDescent="0.25">
      <c r="P103" s="56">
        <f>'Nr(V)'!A103</f>
        <v>50.5</v>
      </c>
      <c r="Q103" s="57">
        <f>'Nr(V)'!B103</f>
        <v>28597.5516449885</v>
      </c>
    </row>
    <row r="104" spans="16:17" x14ac:dyDescent="0.25">
      <c r="P104" s="56">
        <f>'Nr(V)'!A104</f>
        <v>51</v>
      </c>
      <c r="Q104" s="57">
        <f>'Nr(V)'!B104</f>
        <v>27185.291867320699</v>
      </c>
    </row>
    <row r="105" spans="16:17" x14ac:dyDescent="0.25">
      <c r="P105" s="56">
        <f>'Nr(V)'!A105</f>
        <v>51.5</v>
      </c>
      <c r="Q105" s="57">
        <f>'Nr(V)'!B105</f>
        <v>26126.0182726495</v>
      </c>
    </row>
    <row r="106" spans="16:17" x14ac:dyDescent="0.25">
      <c r="P106" s="56">
        <f>'Nr(V)'!A106</f>
        <v>52</v>
      </c>
      <c r="Q106" s="57">
        <f>'Nr(V)'!B106</f>
        <v>24772.492011341601</v>
      </c>
    </row>
    <row r="107" spans="16:17" x14ac:dyDescent="0.25">
      <c r="P107" s="56">
        <f>'Nr(V)'!A107</f>
        <v>52.5</v>
      </c>
      <c r="Q107" s="57">
        <f>'Nr(V)'!B107</f>
        <v>23595.661370898699</v>
      </c>
    </row>
    <row r="108" spans="16:17" x14ac:dyDescent="0.25">
      <c r="P108" s="56">
        <f>'Nr(V)'!A108</f>
        <v>53</v>
      </c>
      <c r="Q108" s="57">
        <f>'Nr(V)'!B108</f>
        <v>22301.003645528599</v>
      </c>
    </row>
    <row r="109" spans="16:17" x14ac:dyDescent="0.25">
      <c r="P109" s="56">
        <f>'Nr(V)'!A109</f>
        <v>53.5</v>
      </c>
      <c r="Q109" s="57">
        <f>'Nr(V)'!B109</f>
        <v>21241.6850443314</v>
      </c>
    </row>
    <row r="110" spans="16:17" x14ac:dyDescent="0.25">
      <c r="P110" s="56">
        <f>'Nr(V)'!A110</f>
        <v>54</v>
      </c>
      <c r="Q110" s="57">
        <f>'Nr(V)'!B110</f>
        <v>19888.2037895494</v>
      </c>
    </row>
    <row r="111" spans="16:17" x14ac:dyDescent="0.25">
      <c r="P111" s="56">
        <f>'Nr(V)'!A111</f>
        <v>54.5</v>
      </c>
      <c r="Q111" s="57">
        <f>'Nr(V)'!B111</f>
        <v>18711.238129528701</v>
      </c>
    </row>
    <row r="112" spans="16:17" x14ac:dyDescent="0.25">
      <c r="P112" s="56">
        <f>'Nr(V)'!A112</f>
        <v>55</v>
      </c>
      <c r="Q112" s="57">
        <f>'Nr(V)'!B112</f>
        <v>17534.3624825599</v>
      </c>
    </row>
    <row r="113" spans="16:17" x14ac:dyDescent="0.25">
      <c r="P113" s="56">
        <f>'Nr(V)'!A113</f>
        <v>55.5</v>
      </c>
      <c r="Q113" s="57">
        <f>'Nr(V)'!B113</f>
        <v>16004.410639542701</v>
      </c>
    </row>
    <row r="114" spans="16:17" x14ac:dyDescent="0.25">
      <c r="P114" s="56">
        <f>'Nr(V)'!A114</f>
        <v>56</v>
      </c>
      <c r="Q114" s="57">
        <f>'Nr(V)'!B114</f>
        <v>14297.9882082901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F20:N20"/>
    <mergeCell ref="I1:N1"/>
    <mergeCell ref="F38:N38"/>
    <mergeCell ref="I55:N5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522B-354E-48D7-8D23-0A0B0DF28C8A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500</v>
      </c>
      <c r="D1" s="12" t="s">
        <v>3</v>
      </c>
      <c r="G1" s="43"/>
      <c r="H1" s="44"/>
      <c r="I1" s="134" t="s">
        <v>175</v>
      </c>
      <c r="J1" s="135"/>
      <c r="K1" s="135"/>
      <c r="L1" s="135"/>
      <c r="M1" s="135"/>
      <c r="N1" s="136"/>
      <c r="P1" s="51" t="str">
        <f>'Nr(V)'!A1</f>
        <v>h</v>
      </c>
      <c r="Q1" s="53">
        <f>'Nr(V)'!C1</f>
        <v>500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'Nr(V)'!C2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20.371714852065022</v>
      </c>
      <c r="J3" s="102">
        <f>Q43</f>
        <v>28391.556775732399</v>
      </c>
      <c r="K3" s="102">
        <f>J3/I3</f>
        <v>1393.6753475053883</v>
      </c>
      <c r="L3" s="104">
        <f ca="1">OFFSET(D23,A23-2,0,1,1)</f>
        <v>10.424547357369887</v>
      </c>
      <c r="M3" s="104">
        <f t="shared" ref="M3:M17" ca="1" si="0">OFFSET(D22,A23-2,0,1,1)</f>
        <v>4.7445366209597841</v>
      </c>
      <c r="N3" s="104">
        <f ca="1">I3*SIN(RADIANS(M3))</f>
        <v>1.6850093312441492</v>
      </c>
      <c r="P3" s="56">
        <f>'Nr(V)'!A3</f>
        <v>0.5</v>
      </c>
      <c r="Q3" s="53">
        <f>'Nr(V)'!C3</f>
        <v>822.98933345334797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22</v>
      </c>
      <c r="J4" s="21">
        <f>Q46</f>
        <v>29390.206579954</v>
      </c>
      <c r="K4" s="21">
        <f t="shared" ref="K4:K17" si="1">J4/I4</f>
        <v>1335.918480907</v>
      </c>
      <c r="L4" s="18">
        <f t="shared" ref="L4:L17" ca="1" si="2">OFFSET(D24,A24-2,0,1,1)</f>
        <v>8.4988730988815426</v>
      </c>
      <c r="M4" s="18">
        <f t="shared" ca="1" si="0"/>
        <v>4.7310175023747298</v>
      </c>
      <c r="N4" s="18">
        <f t="shared" ref="N4:N17" ca="1" si="3">I4*SIN(RADIANS(M4))</f>
        <v>1.8145167427879239</v>
      </c>
      <c r="P4" s="56">
        <f>'Nr(V)'!A4</f>
        <v>1</v>
      </c>
      <c r="Q4" s="53">
        <f>'Nr(V)'!C4</f>
        <v>1646.0686799585801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24</v>
      </c>
      <c r="J5" s="21">
        <f>Q50</f>
        <v>30505.9183581619</v>
      </c>
      <c r="K5" s="21">
        <f t="shared" si="1"/>
        <v>1271.0799315900792</v>
      </c>
      <c r="L5" s="18">
        <f t="shared" ca="1" si="2"/>
        <v>6.615868781075827</v>
      </c>
      <c r="M5" s="18">
        <f t="shared" ca="1" si="0"/>
        <v>4.5402004207947746</v>
      </c>
      <c r="N5" s="18">
        <f t="shared" ca="1" si="3"/>
        <v>1.8998050361209238</v>
      </c>
      <c r="P5" s="56">
        <f>'Nr(V)'!A5</f>
        <v>1.5</v>
      </c>
      <c r="Q5" s="53">
        <f>'Nr(V)'!C5</f>
        <v>2410.18947747423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26</v>
      </c>
      <c r="J6" s="21">
        <f>Q54</f>
        <v>32209.7754174355</v>
      </c>
      <c r="K6" s="21">
        <f t="shared" si="1"/>
        <v>1238.8375160552116</v>
      </c>
      <c r="L6" s="18">
        <f t="shared" ca="1" si="2"/>
        <v>5.1227236449763742</v>
      </c>
      <c r="M6" s="18">
        <f t="shared" ca="1" si="0"/>
        <v>4.4448788533836625</v>
      </c>
      <c r="N6" s="18">
        <f t="shared" ca="1" si="3"/>
        <v>2.0149994731587504</v>
      </c>
      <c r="P6" s="56">
        <f>'Nr(V)'!A6</f>
        <v>2</v>
      </c>
      <c r="Q6" s="53">
        <f>'Nr(V)'!C6</f>
        <v>3056.8432422701298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33913.722489760999</v>
      </c>
      <c r="K7" s="21">
        <f t="shared" si="1"/>
        <v>1211.2043746343213</v>
      </c>
      <c r="L7" s="18">
        <f t="shared" ca="1" si="2"/>
        <v>3.9259975520049237</v>
      </c>
      <c r="M7" s="18">
        <f t="shared" ca="1" si="0"/>
        <v>4.2369755579325634</v>
      </c>
      <c r="N7" s="18">
        <f t="shared" ca="1" si="3"/>
        <v>2.0686902312036919</v>
      </c>
      <c r="P7" s="56">
        <f>'Nr(V)'!A7</f>
        <v>2.5</v>
      </c>
      <c r="Q7" s="53">
        <f>'Nr(V)'!C7</f>
        <v>3879.8325757234702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35441.153967325197</v>
      </c>
      <c r="K8" s="21">
        <f t="shared" si="1"/>
        <v>1181.37179891084</v>
      </c>
      <c r="L8" s="18">
        <f t="shared" ca="1" si="2"/>
        <v>2.9534879992166694</v>
      </c>
      <c r="M8" s="18">
        <f t="shared" ca="1" si="0"/>
        <v>3.8865682866359248</v>
      </c>
      <c r="N8" s="18">
        <f t="shared" ca="1" si="3"/>
        <v>2.0334421213522544</v>
      </c>
      <c r="P8" s="56">
        <f>'Nr(V)'!A8</f>
        <v>3</v>
      </c>
      <c r="Q8" s="53">
        <f>'Nr(V)'!C8</f>
        <v>4350.01575228407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37203.1144515954</v>
      </c>
      <c r="K9" s="21">
        <f t="shared" si="1"/>
        <v>1127.3671045937999</v>
      </c>
      <c r="L9" s="18">
        <f t="shared" ca="1" si="2"/>
        <v>1.8043495805948084</v>
      </c>
      <c r="M9" s="18">
        <f t="shared" ca="1" si="0"/>
        <v>3.0947539180572039</v>
      </c>
      <c r="N9" s="18">
        <f t="shared" ca="1" si="3"/>
        <v>1.7815837162201587</v>
      </c>
      <c r="P9" s="56">
        <f>'Nr(V)'!A9</f>
        <v>3.5</v>
      </c>
      <c r="Q9" s="53">
        <f>'Nr(V)'!C9</f>
        <v>5290.6971510868998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39788.154282370902</v>
      </c>
      <c r="K10" s="21">
        <f t="shared" si="1"/>
        <v>1105.2265078436362</v>
      </c>
      <c r="L10" s="18">
        <f t="shared" ca="1" si="2"/>
        <v>0.9219046324854907</v>
      </c>
      <c r="M10" s="18">
        <f t="shared" ca="1" si="0"/>
        <v>2.4022921255495864</v>
      </c>
      <c r="N10" s="18">
        <f t="shared" ca="1" si="3"/>
        <v>1.5089624547151146</v>
      </c>
      <c r="P10" s="56">
        <f>'Nr(V)'!A10</f>
        <v>4</v>
      </c>
      <c r="Q10" s="53">
        <f>'Nr(V)'!C10</f>
        <v>6231.2885368378402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41667.6718124127</v>
      </c>
      <c r="K11" s="21">
        <f t="shared" si="1"/>
        <v>1068.4018413439153</v>
      </c>
      <c r="L11" s="18">
        <f t="shared" ca="1" si="2"/>
        <v>0.23120444527590975</v>
      </c>
      <c r="M11" s="18">
        <f t="shared" ca="1" si="0"/>
        <v>1.4320816188751708</v>
      </c>
      <c r="N11" s="18">
        <f t="shared" ca="1" si="3"/>
        <v>0.97468554406659225</v>
      </c>
      <c r="P11" s="56">
        <f>'Nr(V)'!A11</f>
        <v>4.5</v>
      </c>
      <c r="Q11" s="53">
        <f>'Nr(V)'!C11</f>
        <v>6936.7208245195498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40370.538728115498</v>
      </c>
      <c r="K12" s="21">
        <f t="shared" si="1"/>
        <v>961.20330305036896</v>
      </c>
      <c r="L12" s="18">
        <f t="shared" ca="1" si="2"/>
        <v>-0.32112457385970478</v>
      </c>
      <c r="M12" s="18">
        <f t="shared" ca="1" si="0"/>
        <v>-0.27897730844386393</v>
      </c>
      <c r="N12" s="18">
        <f t="shared" ca="1" si="3"/>
        <v>-0.2045002399229422</v>
      </c>
      <c r="P12" s="56">
        <f>'Nr(V)'!A12</f>
        <v>5</v>
      </c>
      <c r="Q12" s="53">
        <f>'Nr(V)'!C12</f>
        <v>7524.5510599036797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38368.648454025802</v>
      </c>
      <c r="K13" s="21">
        <f t="shared" si="1"/>
        <v>872.01473759149553</v>
      </c>
      <c r="L13" s="18">
        <f t="shared" ca="1" si="2"/>
        <v>-0.63158958535083576</v>
      </c>
      <c r="M13" s="18">
        <f t="shared" ca="1" si="0"/>
        <v>-1.6370878269833251</v>
      </c>
      <c r="N13" s="18">
        <f t="shared" ca="1" si="3"/>
        <v>-1.2570221464969258</v>
      </c>
      <c r="P13" s="56">
        <f>'Nr(V)'!A13</f>
        <v>5.5</v>
      </c>
      <c r="Q13" s="53">
        <f>'Nr(V)'!C13</f>
        <v>8347.4503803051302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35602.007291057198</v>
      </c>
      <c r="K14" s="21">
        <f t="shared" si="1"/>
        <v>773.95668024037388</v>
      </c>
      <c r="L14" s="18">
        <f t="shared" ca="1" si="2"/>
        <v>-0.90519571567071355</v>
      </c>
      <c r="M14" s="18">
        <f t="shared" ca="1" si="0"/>
        <v>-3.1200756752937129</v>
      </c>
      <c r="N14" s="18">
        <f t="shared" ca="1" si="3"/>
        <v>-2.5037194437712911</v>
      </c>
      <c r="P14" s="56">
        <f>'Nr(V)'!A14</f>
        <v>6</v>
      </c>
      <c r="Q14" s="53">
        <f>'Nr(V)'!C14</f>
        <v>9052.9726810387492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32247.130833970899</v>
      </c>
      <c r="K15" s="21">
        <f t="shared" si="1"/>
        <v>671.81522570772711</v>
      </c>
      <c r="L15" s="18">
        <f t="shared" ca="1" si="2"/>
        <v>-1.1478912284841813</v>
      </c>
      <c r="M15" s="18">
        <f t="shared" ca="1" si="0"/>
        <v>-4.6852242570844744</v>
      </c>
      <c r="N15" s="18">
        <f t="shared" ca="1" si="3"/>
        <v>-3.9207114102553517</v>
      </c>
      <c r="P15" s="56">
        <f>'Nr(V)'!A15</f>
        <v>6.5</v>
      </c>
      <c r="Q15" s="53">
        <f>'Nr(V)'!C15</f>
        <v>9817.1384850803297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27715.603762545499</v>
      </c>
      <c r="K16" s="21">
        <f t="shared" si="1"/>
        <v>554.31207525090997</v>
      </c>
      <c r="L16" s="18">
        <f t="shared" ca="1" si="2"/>
        <v>-1.365183196761468</v>
      </c>
      <c r="M16" s="18">
        <f t="shared" ca="1" si="0"/>
        <v>-6.4306163380111148</v>
      </c>
      <c r="N16" s="18">
        <f t="shared" ca="1" si="3"/>
        <v>-5.5999971010428489</v>
      </c>
      <c r="P16" s="56">
        <f>'Nr(V)'!A16</f>
        <v>7</v>
      </c>
      <c r="Q16" s="53">
        <f>'Nr(V)'!C16</f>
        <v>10404.878707412499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1.16770427745239</v>
      </c>
      <c r="D17" s="14" t="s">
        <v>73</v>
      </c>
      <c r="G17" s="45"/>
      <c r="H17" s="47"/>
      <c r="I17" s="20">
        <v>52</v>
      </c>
      <c r="J17" s="21">
        <f>Q106</f>
        <v>23184.2567172239</v>
      </c>
      <c r="K17" s="21">
        <f t="shared" si="1"/>
        <v>445.85109071584424</v>
      </c>
      <c r="L17" s="18">
        <f t="shared" ca="1" si="2"/>
        <v>-1.5597271294490578</v>
      </c>
      <c r="M17" s="18">
        <f t="shared" ca="1" si="0"/>
        <v>-8.1442663548191572</v>
      </c>
      <c r="N17" s="18">
        <f t="shared" ca="1" si="3"/>
        <v>-7.3666359410961251</v>
      </c>
      <c r="P17" s="56">
        <f>'Nr(V)'!A17</f>
        <v>7.5</v>
      </c>
      <c r="Q17" s="53">
        <f>'Nr(V)'!C17</f>
        <v>11110.3109950942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55764.540690265014</v>
      </c>
      <c r="D18" s="14" t="s">
        <v>32</v>
      </c>
      <c r="P18" s="56">
        <f>'Nr(V)'!A18</f>
        <v>8</v>
      </c>
      <c r="Q18" s="53">
        <f>'Nr(V)'!C18</f>
        <v>12227.4179756064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5.1266845676182116E-2</v>
      </c>
      <c r="D19" s="14" t="s">
        <v>7</v>
      </c>
      <c r="P19" s="56">
        <f>'Nr(V)'!A19</f>
        <v>8.5</v>
      </c>
      <c r="Q19" s="53">
        <f>'Nr(V)'!C19</f>
        <v>12932.850263288101</v>
      </c>
    </row>
    <row r="20" spans="1:28" ht="18.600000000000001" thickBot="1" x14ac:dyDescent="0.3">
      <c r="F20" s="134" t="s">
        <v>159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'Nr(V)'!C20</f>
        <v>13814.6631261532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'Nr(V)'!C21</f>
        <v>14696.520995544301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-2.4621158445370384E-9</v>
      </c>
      <c r="C22" s="25">
        <v>8.2807785517194435E-2</v>
      </c>
      <c r="D22" s="26">
        <f t="shared" ref="D22:D51" si="4">DEGREES(C22)</f>
        <v>4.7445366209597841</v>
      </c>
      <c r="F22" s="17">
        <v>1.5069999999999999</v>
      </c>
      <c r="G22" s="18">
        <v>80.83</v>
      </c>
      <c r="H22" s="20">
        <f>SQRT((2*C$15)/(C$7*C$17*F22))</f>
        <v>20.371714852065022</v>
      </c>
      <c r="I22" s="21">
        <f>C$15*SQRT((2*C$15)/(C$17*C$7*G22))</f>
        <v>18282.759039982921</v>
      </c>
      <c r="J22" s="102">
        <f>Q41</f>
        <v>27216.121337593901</v>
      </c>
      <c r="K22" s="21">
        <f>(J22-I22)</f>
        <v>8933.36229761098</v>
      </c>
      <c r="L22" s="18">
        <f t="shared" ref="L22:L33" si="5">K22/C$15</f>
        <v>1.3591617292149314</v>
      </c>
      <c r="M22" s="18">
        <f t="shared" ref="M22:M33" si="6">DEGREES(ASIN(L22/H22))</f>
        <v>3.8255061482825106</v>
      </c>
      <c r="N22" s="18">
        <v>13.202</v>
      </c>
      <c r="P22" s="56">
        <f>'Nr(V)'!A22</f>
        <v>10</v>
      </c>
      <c r="Q22" s="53">
        <f>'Nr(V)'!C22</f>
        <v>15460.821819163701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-2.5669760361779481E-7</v>
      </c>
      <c r="C23" s="29">
        <v>0.18194267441617851</v>
      </c>
      <c r="D23" s="30">
        <f t="shared" si="4"/>
        <v>10.424547357369887</v>
      </c>
      <c r="F23" s="17">
        <v>1.4</v>
      </c>
      <c r="G23" s="18">
        <v>82.93</v>
      </c>
      <c r="H23" s="20">
        <f t="shared" ref="H23:H33" si="7">SQRT((2*C$15)/(C$7*C$17*F23))</f>
        <v>21.135873302834597</v>
      </c>
      <c r="I23" s="21">
        <f t="shared" ref="I23:I33" si="8">C$15*SQRT((2*C$15)/(C$17*C$7*G23))</f>
        <v>18049.791607900614</v>
      </c>
      <c r="J23" s="21">
        <f>Q42</f>
        <v>27745.083037040298</v>
      </c>
      <c r="K23" s="21">
        <f t="shared" ref="K23:K35" si="9">(J23-I23)</f>
        <v>9695.2914291396846</v>
      </c>
      <c r="L23" s="18">
        <f t="shared" si="5"/>
        <v>1.475085037981299</v>
      </c>
      <c r="M23" s="18">
        <f t="shared" si="6"/>
        <v>4.0019594115454646</v>
      </c>
      <c r="N23" s="18">
        <v>11.19</v>
      </c>
      <c r="P23" s="56">
        <f>'Nr(V)'!A23</f>
        <v>10.5</v>
      </c>
      <c r="Q23" s="53">
        <f>'Nr(V)'!C23</f>
        <v>16048.562041495999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-1.3878911886422429E-7</v>
      </c>
      <c r="C24" s="32">
        <v>8.2571832385917684E-2</v>
      </c>
      <c r="D24" s="33">
        <f t="shared" si="4"/>
        <v>4.7310175023747298</v>
      </c>
      <c r="F24" s="17">
        <v>1.2976294821560448</v>
      </c>
      <c r="G24" s="18">
        <v>83.61</v>
      </c>
      <c r="H24" s="20">
        <f t="shared" si="7"/>
        <v>21.953757499778725</v>
      </c>
      <c r="I24" s="21">
        <f t="shared" si="8"/>
        <v>17976.242294944066</v>
      </c>
      <c r="J24" s="21">
        <f>Q44</f>
        <v>28685.224357531799</v>
      </c>
      <c r="K24" s="21">
        <f t="shared" si="9"/>
        <v>10708.982062587733</v>
      </c>
      <c r="L24" s="18">
        <f t="shared" si="5"/>
        <v>1.6293124686335496</v>
      </c>
      <c r="M24" s="18">
        <f t="shared" si="6"/>
        <v>4.2561569836723381</v>
      </c>
      <c r="N24" s="18">
        <v>9.6229999999999993</v>
      </c>
      <c r="P24" s="56">
        <f>'Nr(V)'!A24</f>
        <v>11</v>
      </c>
      <c r="Q24" s="53">
        <f>'Nr(V)'!C24</f>
        <v>16577.4787344164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0</v>
      </c>
      <c r="C25" s="35">
        <v>0.14833331828465651</v>
      </c>
      <c r="D25" s="36">
        <f>DEGREES(C25)</f>
        <v>8.4988730988815426</v>
      </c>
      <c r="F25" s="17">
        <v>1.1970000000000001</v>
      </c>
      <c r="G25" s="18">
        <v>82.42</v>
      </c>
      <c r="H25" s="20">
        <f t="shared" si="7"/>
        <v>22.857942693503812</v>
      </c>
      <c r="I25" s="21">
        <f t="shared" si="8"/>
        <v>18105.549902503149</v>
      </c>
      <c r="J25" s="21">
        <f>Q46</f>
        <v>29390.206579954</v>
      </c>
      <c r="K25" s="21">
        <f t="shared" si="9"/>
        <v>11284.65667745085</v>
      </c>
      <c r="L25" s="18">
        <f t="shared" si="5"/>
        <v>1.7168981814856679</v>
      </c>
      <c r="M25" s="18">
        <f t="shared" si="6"/>
        <v>4.3076384542829178</v>
      </c>
      <c r="N25" s="18">
        <v>8.0570000000000004</v>
      </c>
      <c r="P25" s="56">
        <f>'Nr(V)'!A25</f>
        <v>11.5</v>
      </c>
      <c r="Q25" s="53">
        <f>'Nr(V)'!C25</f>
        <v>17282.866015572199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-8.529804063073243E-7</v>
      </c>
      <c r="C26" s="25">
        <v>7.9241446043300842E-2</v>
      </c>
      <c r="D26" s="26">
        <f t="shared" si="4"/>
        <v>4.5402004207947746</v>
      </c>
      <c r="F26" s="17">
        <v>0.99199999999999999</v>
      </c>
      <c r="G26" s="18">
        <v>77.64</v>
      </c>
      <c r="H26" s="20">
        <f t="shared" si="7"/>
        <v>25.10893998800902</v>
      </c>
      <c r="I26" s="21">
        <f t="shared" si="8"/>
        <v>18654.570806584041</v>
      </c>
      <c r="J26" s="21">
        <f>Q51</f>
        <v>30975.966515144599</v>
      </c>
      <c r="K26" s="21">
        <f t="shared" si="9"/>
        <v>12321.395708560558</v>
      </c>
      <c r="L26" s="18">
        <f t="shared" si="5"/>
        <v>1.8746322985318904</v>
      </c>
      <c r="M26" s="18">
        <f t="shared" si="6"/>
        <v>4.2816843117951358</v>
      </c>
      <c r="N26" s="18">
        <v>6.1870000000000003</v>
      </c>
      <c r="P26" s="56">
        <f>'Nr(V)'!A26</f>
        <v>12</v>
      </c>
      <c r="Q26" s="53">
        <f>'Nr(V)'!C26</f>
        <v>17929.3397542643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0</v>
      </c>
      <c r="C27" s="29">
        <v>0.1154686931096771</v>
      </c>
      <c r="D27" s="30">
        <f t="shared" si="4"/>
        <v>6.615868781075827</v>
      </c>
      <c r="F27" s="17">
        <v>0.89051118930908912</v>
      </c>
      <c r="G27" s="18">
        <v>71.59</v>
      </c>
      <c r="H27" s="20">
        <f t="shared" si="7"/>
        <v>26.501138047573679</v>
      </c>
      <c r="I27" s="21">
        <f t="shared" si="8"/>
        <v>19426.825700075828</v>
      </c>
      <c r="J27" s="21">
        <f>Q54</f>
        <v>32209.7754174355</v>
      </c>
      <c r="K27" s="21">
        <f t="shared" si="9"/>
        <v>12782.949717359672</v>
      </c>
      <c r="L27" s="18">
        <f t="shared" si="5"/>
        <v>1.9448551915285455</v>
      </c>
      <c r="M27" s="18">
        <f t="shared" si="6"/>
        <v>4.2085838433827103</v>
      </c>
      <c r="N27" s="18">
        <v>5.3460000000000001</v>
      </c>
      <c r="P27" s="56">
        <f>'Nr(V)'!A27</f>
        <v>12.5</v>
      </c>
      <c r="Q27" s="53">
        <f>'Nr(V)'!C27</f>
        <v>18517.169989648399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1.1155577794852434E-7</v>
      </c>
      <c r="C28" s="32">
        <v>7.7577770843815202E-2</v>
      </c>
      <c r="D28" s="33">
        <f t="shared" si="4"/>
        <v>4.4448788533836625</v>
      </c>
      <c r="F28" s="17">
        <v>0.78877734406717104</v>
      </c>
      <c r="G28" s="18">
        <v>62.64</v>
      </c>
      <c r="H28" s="20">
        <f t="shared" si="7"/>
        <v>28.158336904599548</v>
      </c>
      <c r="I28" s="21">
        <f t="shared" si="8"/>
        <v>20768.357468375805</v>
      </c>
      <c r="J28" s="21">
        <f>Q57</f>
        <v>33384.850803366397</v>
      </c>
      <c r="K28" s="21">
        <f t="shared" si="9"/>
        <v>12616.493334990591</v>
      </c>
      <c r="L28" s="18">
        <f t="shared" si="5"/>
        <v>1.9195297723904317</v>
      </c>
      <c r="M28" s="18">
        <f t="shared" si="6"/>
        <v>3.9088357542509922</v>
      </c>
      <c r="N28" s="18">
        <v>4.1539999999999999</v>
      </c>
      <c r="P28" s="56">
        <f>'Nr(V)'!A28</f>
        <v>13</v>
      </c>
      <c r="Q28" s="53">
        <f>'Nr(V)'!C28</f>
        <v>19222.467257752302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0</v>
      </c>
      <c r="C29" s="35">
        <v>8.9408394274602801E-2</v>
      </c>
      <c r="D29" s="36">
        <f t="shared" si="4"/>
        <v>5.1227236449763742</v>
      </c>
      <c r="F29" s="17">
        <v>0.68820194072740959</v>
      </c>
      <c r="G29" s="18">
        <v>51.95</v>
      </c>
      <c r="H29" s="20">
        <f t="shared" si="7"/>
        <v>30.145762152481375</v>
      </c>
      <c r="I29" s="21">
        <f t="shared" si="8"/>
        <v>22805.271603211899</v>
      </c>
      <c r="J29" s="21">
        <f>Q60</f>
        <v>34736.351771006797</v>
      </c>
      <c r="K29" s="21">
        <f t="shared" si="9"/>
        <v>11931.080167794898</v>
      </c>
      <c r="L29" s="18">
        <f t="shared" si="5"/>
        <v>1.8152479449533521</v>
      </c>
      <c r="M29" s="18">
        <f t="shared" si="6"/>
        <v>3.4521934249711164</v>
      </c>
      <c r="N29" s="18">
        <v>3.0790000000000002</v>
      </c>
      <c r="P29" s="56">
        <f>'Nr(V)'!A29</f>
        <v>13.5</v>
      </c>
      <c r="Q29" s="53">
        <f>'Nr(V)'!C29</f>
        <v>19692.515414735099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1.2818077266274486E-7</v>
      </c>
      <c r="C30" s="25">
        <v>7.3949173812446978E-2</v>
      </c>
      <c r="D30" s="26">
        <f t="shared" si="4"/>
        <v>4.2369755579325634</v>
      </c>
      <c r="F30" s="17">
        <v>0.58038845302154896</v>
      </c>
      <c r="G30" s="18">
        <v>39.369999999999997</v>
      </c>
      <c r="H30" s="20">
        <f t="shared" si="7"/>
        <v>32.826519111242433</v>
      </c>
      <c r="I30" s="21">
        <f t="shared" si="8"/>
        <v>26196.623441870623</v>
      </c>
      <c r="J30" s="21">
        <f>Q65</f>
        <v>36380.890229083197</v>
      </c>
      <c r="K30" s="21">
        <f t="shared" si="9"/>
        <v>10184.266787212575</v>
      </c>
      <c r="L30" s="18">
        <f t="shared" si="5"/>
        <v>1.5494799378052511</v>
      </c>
      <c r="M30" s="18">
        <f t="shared" si="6"/>
        <v>2.7054851805884441</v>
      </c>
      <c r="N30" s="18">
        <v>2.073</v>
      </c>
      <c r="P30" s="56">
        <f>'Nr(V)'!A30</f>
        <v>14</v>
      </c>
      <c r="Q30" s="53">
        <f>'Nr(V)'!C30</f>
        <v>20103.830055358001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0</v>
      </c>
      <c r="C31" s="29">
        <v>6.8521583707723224E-2</v>
      </c>
      <c r="D31" s="30">
        <f t="shared" si="4"/>
        <v>3.9259975520049237</v>
      </c>
      <c r="F31" s="17">
        <v>0.483331925835703</v>
      </c>
      <c r="G31" s="18">
        <v>27.9</v>
      </c>
      <c r="H31" s="20">
        <f t="shared" si="7"/>
        <v>35.971742290129519</v>
      </c>
      <c r="I31" s="21">
        <f t="shared" si="8"/>
        <v>31119.020823088966</v>
      </c>
      <c r="J31" s="21">
        <f>Q71</f>
        <v>38495.656870246101</v>
      </c>
      <c r="K31" s="21">
        <f t="shared" si="9"/>
        <v>7376.6360471571352</v>
      </c>
      <c r="L31" s="18">
        <f t="shared" si="5"/>
        <v>1.122314428949615</v>
      </c>
      <c r="M31" s="18">
        <f t="shared" si="6"/>
        <v>1.7879122091930666</v>
      </c>
      <c r="N31" s="18">
        <v>1.2330000000000001</v>
      </c>
      <c r="P31" s="56">
        <f>'Nr(V)'!A31</f>
        <v>14.5</v>
      </c>
      <c r="Q31" s="53">
        <f>'Nr(V)'!C31</f>
        <v>20573.923218866701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5.8676505432231352E-8</v>
      </c>
      <c r="C32" s="32">
        <v>6.7833413205391616E-2</v>
      </c>
      <c r="D32" s="33">
        <f t="shared" si="4"/>
        <v>3.8865682866359248</v>
      </c>
      <c r="F32" s="17">
        <v>0.38026543690183146</v>
      </c>
      <c r="G32" s="18">
        <v>16.61</v>
      </c>
      <c r="H32" s="20">
        <f t="shared" si="7"/>
        <v>40.554662184231027</v>
      </c>
      <c r="I32" s="21">
        <f t="shared" si="8"/>
        <v>40331.391730735515</v>
      </c>
      <c r="J32" s="21">
        <f>Q80</f>
        <v>41667.6718124127</v>
      </c>
      <c r="K32" s="21">
        <f t="shared" si="9"/>
        <v>1336.2800816771851</v>
      </c>
      <c r="L32" s="18">
        <f t="shared" si="5"/>
        <v>0.20330763334355514</v>
      </c>
      <c r="M32" s="18">
        <f t="shared" si="6"/>
        <v>0.28723499343342568</v>
      </c>
      <c r="N32" s="18">
        <v>0.39200000000000002</v>
      </c>
      <c r="P32" s="56">
        <f>'Nr(V)'!A32</f>
        <v>15</v>
      </c>
      <c r="Q32" s="53">
        <f>'Nr(V)'!C32</f>
        <v>21044.151401953201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5.1548090004470581E-2</v>
      </c>
      <c r="D33" s="36">
        <f t="shared" si="4"/>
        <v>2.9534879992166694</v>
      </c>
      <c r="F33" s="105">
        <v>0.33400000000000002</v>
      </c>
      <c r="G33" s="105">
        <v>12.24</v>
      </c>
      <c r="H33" s="20">
        <f t="shared" si="7"/>
        <v>43.272399840691236</v>
      </c>
      <c r="I33" s="21">
        <f t="shared" si="8"/>
        <v>46982.629116752214</v>
      </c>
      <c r="J33" s="21">
        <f>Q85</f>
        <v>40724.109995949402</v>
      </c>
      <c r="K33" s="21">
        <f t="shared" si="9"/>
        <v>-6258.5191208028118</v>
      </c>
      <c r="L33" s="18">
        <f t="shared" si="5"/>
        <v>-0.9521991146412907</v>
      </c>
      <c r="M33" s="18">
        <f t="shared" si="6"/>
        <v>-1.2608820986096374</v>
      </c>
      <c r="N33" s="18">
        <v>-0.13300000000000001</v>
      </c>
      <c r="P33" s="56">
        <f>'Nr(V)'!A33</f>
        <v>15.5</v>
      </c>
      <c r="Q33" s="53">
        <f>'Nr(V)'!C33</f>
        <v>21867.1407354066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0</v>
      </c>
      <c r="C34" s="25">
        <v>5.4013645409093002E-2</v>
      </c>
      <c r="D34" s="26">
        <f t="shared" si="4"/>
        <v>3.0947539180572039</v>
      </c>
      <c r="F34" s="17">
        <v>0.27900000000000003</v>
      </c>
      <c r="G34" s="18">
        <v>7.83</v>
      </c>
      <c r="H34" s="20">
        <f>SQRT((2*C$15)/(C$7*C$17*F34))</f>
        <v>47.345871290472651</v>
      </c>
      <c r="I34" s="21">
        <f>C$15*SQRT((2*C$15)/(C$17*C$7*G34))</f>
        <v>58741.785599979237</v>
      </c>
      <c r="J34" s="21">
        <f>Q93</f>
        <v>35955.3985327872</v>
      </c>
      <c r="K34" s="21">
        <f t="shared" si="9"/>
        <v>-22786.387067192038</v>
      </c>
      <c r="L34" s="18">
        <f>K34/C$15</f>
        <v>-3.4668229292668209</v>
      </c>
      <c r="M34" s="18">
        <f>DEGREES(ASIN(L34/H34))</f>
        <v>-4.1991465766674141</v>
      </c>
      <c r="N34" s="18">
        <v>-0.8</v>
      </c>
      <c r="P34" s="56">
        <f>'Nr(V)'!A34</f>
        <v>16</v>
      </c>
      <c r="Q34" s="53">
        <f>'Nr(V)'!C34</f>
        <v>22572.483010036402</v>
      </c>
    </row>
    <row r="35" spans="1:17" ht="15.6" x14ac:dyDescent="0.25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3.1491841038358191E-2</v>
      </c>
      <c r="D35" s="30">
        <f t="shared" si="4"/>
        <v>1.8043495805948084</v>
      </c>
      <c r="F35" s="39">
        <v>0.22900000000000001</v>
      </c>
      <c r="G35" s="39">
        <v>4.72</v>
      </c>
      <c r="H35" s="40">
        <f>SQRT((2*C$15)/(C$7*C$17*F35))</f>
        <v>52.259647210469538</v>
      </c>
      <c r="I35" s="41">
        <f>C$15*SQRT((2*C$15)/(C$17*C$7*G35))</f>
        <v>75658.377842137052</v>
      </c>
      <c r="J35" s="41">
        <f>Q103</f>
        <v>26715.198703811999</v>
      </c>
      <c r="K35" s="41">
        <f t="shared" si="9"/>
        <v>-48943.179138325053</v>
      </c>
      <c r="L35" s="42">
        <f>K35/C$15</f>
        <v>-7.4464343630966034</v>
      </c>
      <c r="M35" s="42">
        <f t="shared" ref="M35" si="10">DEGREES(ASIN(L35/H35))</f>
        <v>-8.1919101685430409</v>
      </c>
      <c r="N35" s="42">
        <v>-1.3260000000000001</v>
      </c>
      <c r="P35" s="56">
        <f>'Nr(V)'!A35</f>
        <v>16.5</v>
      </c>
      <c r="Q35" s="53">
        <f>'Nr(V)'!C35</f>
        <v>23160.313245420501</v>
      </c>
    </row>
    <row r="36" spans="1:17" ht="16.2" thickBot="1" x14ac:dyDescent="0.3">
      <c r="A36" s="31">
        <v>15</v>
      </c>
      <c r="B36" s="24">
        <f>-K10*COS(C36+C37-C$3)+0.5*C$17*C$7*C$5*(C37-C$8)*I10^2*SIN(C36)+0.5*C$17*C$7*(C$11+1/PI()/C$10*C$5^2*(C37-C$8)^2)*I10^2*COS(C36)</f>
        <v>-6.7933729042124469E-7</v>
      </c>
      <c r="C36" s="32">
        <v>4.1927907185573272E-2</v>
      </c>
      <c r="D36" s="33">
        <f t="shared" si="4"/>
        <v>2.4022921255495864</v>
      </c>
      <c r="F36" s="58"/>
      <c r="G36" s="59"/>
      <c r="H36" s="60"/>
      <c r="I36" s="61"/>
      <c r="J36" s="61"/>
      <c r="K36" s="61"/>
      <c r="L36" s="59"/>
      <c r="M36" s="59"/>
      <c r="N36" s="59"/>
      <c r="P36" s="56">
        <f>'Nr(V)'!A36</f>
        <v>17</v>
      </c>
      <c r="Q36" s="53">
        <f>'Nr(V)'!C36</f>
        <v>23571.5828795175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1.6090271226260087E-2</v>
      </c>
      <c r="D37" s="36">
        <f t="shared" si="4"/>
        <v>0.9219046324854907</v>
      </c>
      <c r="F37" s="134" t="s">
        <v>187</v>
      </c>
      <c r="G37" s="135"/>
      <c r="H37" s="135"/>
      <c r="I37" s="135"/>
      <c r="J37" s="135"/>
      <c r="K37" s="135"/>
      <c r="L37" s="135"/>
      <c r="M37" s="135"/>
      <c r="N37" s="136"/>
      <c r="P37" s="56">
        <f>'Nr(V)'!A37</f>
        <v>17.5</v>
      </c>
      <c r="Q37" s="53">
        <f>'Nr(V)'!C37</f>
        <v>24394.572212970801</v>
      </c>
    </row>
    <row r="38" spans="1:17" ht="18.600000000000001" thickBot="1" x14ac:dyDescent="0.3">
      <c r="A38" s="23">
        <v>17</v>
      </c>
      <c r="B38" s="24">
        <f>-K11*COS(C38+C39-C$3)+0.5*C$17*C$7*C$5*(C39-C$8)*I11^2*SIN(C38)+0.5*C$17*C$7*(C$11+1/PI()/C$10*C$5^2*(C39-C$8)^2)*I11^2*COS(C38)</f>
        <v>-1.7383717931807041E-7</v>
      </c>
      <c r="C38" s="25">
        <v>2.4994539406662304E-2</v>
      </c>
      <c r="D38" s="26">
        <f t="shared" si="4"/>
        <v>1.4320816188751708</v>
      </c>
      <c r="F38" s="95" t="s">
        <v>1</v>
      </c>
      <c r="G38" s="95" t="s">
        <v>2</v>
      </c>
      <c r="H38" s="95" t="s">
        <v>76</v>
      </c>
      <c r="I38" s="95" t="s">
        <v>81</v>
      </c>
      <c r="J38" s="95" t="s">
        <v>77</v>
      </c>
      <c r="K38" s="95" t="s">
        <v>82</v>
      </c>
      <c r="L38" s="95" t="s">
        <v>80</v>
      </c>
      <c r="M38" s="95" t="s">
        <v>85</v>
      </c>
      <c r="N38" s="95" t="s">
        <v>79</v>
      </c>
      <c r="P38" s="56">
        <f>'Nr(V)'!A38</f>
        <v>18</v>
      </c>
      <c r="Q38" s="53">
        <f>'Nr(V)'!C38</f>
        <v>24982.402448354998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4.0352788153116747E-3</v>
      </c>
      <c r="D39" s="30">
        <f t="shared" si="4"/>
        <v>0.23120444527590975</v>
      </c>
      <c r="F39" s="98">
        <f t="shared" ref="F39:G52" si="11">F22</f>
        <v>1.5069999999999999</v>
      </c>
      <c r="G39" s="96">
        <f t="shared" si="11"/>
        <v>80.83</v>
      </c>
      <c r="H39" s="103">
        <f t="shared" ref="H39:H52" si="12">SQRT((2*C$2)/(C$7*C$17*F39))</f>
        <v>20.971010689949036</v>
      </c>
      <c r="I39" s="102">
        <f t="shared" ref="I39:I52" si="13">C$2*SQRT((2*C$2)/(C$17*C$7*G39))</f>
        <v>19944.219924827907</v>
      </c>
      <c r="J39" s="102">
        <f>Q44</f>
        <v>28685.224357531799</v>
      </c>
      <c r="K39" s="102">
        <f>(J39-I39)</f>
        <v>8741.0044327038922</v>
      </c>
      <c r="L39" s="104">
        <f t="shared" ref="L39:L52" si="14">K39/C$2</f>
        <v>1.2549718500386056</v>
      </c>
      <c r="M39" s="104">
        <f>DEGREES(ASIN(L39/H39))</f>
        <v>3.4308111473137686</v>
      </c>
      <c r="N39" s="97">
        <f t="shared" ref="N39:N52" si="15">N22</f>
        <v>13.202</v>
      </c>
      <c r="P39" s="56">
        <f>'Nr(V)'!A39</f>
        <v>18.5</v>
      </c>
      <c r="Q39" s="53">
        <f>'Nr(V)'!C39</f>
        <v>25805.391781808299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-3.1068600492289988E-7</v>
      </c>
      <c r="C40" s="32">
        <v>-4.8690725706972034E-3</v>
      </c>
      <c r="D40" s="33">
        <f t="shared" si="4"/>
        <v>-0.27897730844386393</v>
      </c>
      <c r="F40" s="99">
        <f t="shared" si="11"/>
        <v>1.4</v>
      </c>
      <c r="G40" s="38">
        <f t="shared" si="11"/>
        <v>82.93</v>
      </c>
      <c r="H40" s="20">
        <f t="shared" si="12"/>
        <v>21.757649181419932</v>
      </c>
      <c r="I40" s="21">
        <f t="shared" si="13"/>
        <v>19690.081384216457</v>
      </c>
      <c r="J40" s="21">
        <f>Q45</f>
        <v>29037.7604752689</v>
      </c>
      <c r="K40" s="21">
        <f t="shared" ref="K40:K52" si="16">(J40-I40)</f>
        <v>9347.6790910524433</v>
      </c>
      <c r="L40" s="18">
        <f t="shared" si="14"/>
        <v>1.3420739244307249</v>
      </c>
      <c r="M40" s="18">
        <f t="shared" ref="M40:M52" si="17">DEGREES(ASIN(L40/H40))</f>
        <v>3.5364122367114494</v>
      </c>
      <c r="N40" s="19">
        <f t="shared" si="15"/>
        <v>11.19</v>
      </c>
      <c r="P40" s="56">
        <f>'Nr(V)'!A40</f>
        <v>19</v>
      </c>
      <c r="Q40" s="53">
        <f>'Nr(V)'!C40</f>
        <v>26334.3534812547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-5.6046811229155634E-3</v>
      </c>
      <c r="D41" s="36">
        <f t="shared" si="4"/>
        <v>-0.32112457385970478</v>
      </c>
      <c r="F41" s="99">
        <f t="shared" si="11"/>
        <v>1.2976294821560448</v>
      </c>
      <c r="G41" s="38">
        <f t="shared" si="11"/>
        <v>83.61</v>
      </c>
      <c r="H41" s="20">
        <f t="shared" si="12"/>
        <v>22.599593924992519</v>
      </c>
      <c r="I41" s="21">
        <f t="shared" si="13"/>
        <v>19609.848216469873</v>
      </c>
      <c r="J41" s="21">
        <f>Q47</f>
        <v>29624.915612763802</v>
      </c>
      <c r="K41" s="21">
        <f t="shared" si="16"/>
        <v>10015.067396293929</v>
      </c>
      <c r="L41" s="18">
        <f t="shared" si="14"/>
        <v>1.4378928366131036</v>
      </c>
      <c r="M41" s="18">
        <f t="shared" si="17"/>
        <v>3.6478919349883294</v>
      </c>
      <c r="N41" s="19">
        <f t="shared" si="15"/>
        <v>9.6229999999999993</v>
      </c>
      <c r="P41" s="56">
        <f>'Nr(V)'!A41</f>
        <v>19.5</v>
      </c>
      <c r="Q41" s="53">
        <f>'Nr(V)'!C41</f>
        <v>27216.121337593901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-7.7164804679341614E-7</v>
      </c>
      <c r="C42" s="25">
        <v>-2.8572572725178293E-2</v>
      </c>
      <c r="D42" s="26">
        <f t="shared" si="4"/>
        <v>-1.6370878269833251</v>
      </c>
      <c r="F42" s="99">
        <f t="shared" si="11"/>
        <v>1.1970000000000001</v>
      </c>
      <c r="G42" s="38">
        <f t="shared" si="11"/>
        <v>82.42</v>
      </c>
      <c r="H42" s="20">
        <f t="shared" si="12"/>
        <v>23.530378471163424</v>
      </c>
      <c r="I42" s="21">
        <f t="shared" si="13"/>
        <v>19750.9067600667</v>
      </c>
      <c r="J42" s="21">
        <f>Q49</f>
        <v>30094.6487240649</v>
      </c>
      <c r="K42" s="21">
        <f t="shared" si="16"/>
        <v>10343.7419639982</v>
      </c>
      <c r="L42" s="18">
        <f t="shared" si="14"/>
        <v>1.4850816160569409</v>
      </c>
      <c r="M42" s="18">
        <f t="shared" si="17"/>
        <v>3.6185350573993786</v>
      </c>
      <c r="N42" s="19">
        <f t="shared" si="15"/>
        <v>8.0570000000000004</v>
      </c>
      <c r="P42" s="56">
        <f>'Nr(V)'!A42</f>
        <v>20</v>
      </c>
      <c r="Q42" s="53">
        <f>'Nr(V)'!C42</f>
        <v>27745.083037040298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-1.102331778567783E-2</v>
      </c>
      <c r="D43" s="30">
        <f t="shared" si="4"/>
        <v>-0.63158958535083576</v>
      </c>
      <c r="F43" s="99">
        <f t="shared" si="11"/>
        <v>0.99199999999999999</v>
      </c>
      <c r="G43" s="38">
        <f t="shared" si="11"/>
        <v>77.64</v>
      </c>
      <c r="H43" s="20">
        <f t="shared" si="12"/>
        <v>25.847595684781055</v>
      </c>
      <c r="I43" s="21">
        <f t="shared" si="13"/>
        <v>20349.820393964674</v>
      </c>
      <c r="J43" s="21">
        <f>Q54</f>
        <v>32209.7754174355</v>
      </c>
      <c r="K43" s="21">
        <f t="shared" si="16"/>
        <v>11859.955023470826</v>
      </c>
      <c r="L43" s="18">
        <f t="shared" si="14"/>
        <v>1.7027688078377661</v>
      </c>
      <c r="M43" s="18">
        <f t="shared" si="17"/>
        <v>3.7772244645873898</v>
      </c>
      <c r="N43" s="19">
        <f t="shared" si="15"/>
        <v>6.1870000000000003</v>
      </c>
      <c r="P43" s="56">
        <f>'Nr(V)'!A43</f>
        <v>20.5</v>
      </c>
      <c r="Q43" s="53">
        <f>'Nr(V)'!C43</f>
        <v>28391.556775732399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8.6734871729277074E-8</v>
      </c>
      <c r="C44" s="32">
        <v>-5.4455593445260783E-2</v>
      </c>
      <c r="D44" s="33">
        <f t="shared" si="4"/>
        <v>-3.1200756752937129</v>
      </c>
      <c r="F44" s="99">
        <f t="shared" si="11"/>
        <v>0.89051118930908912</v>
      </c>
      <c r="G44" s="38">
        <f t="shared" si="11"/>
        <v>71.59</v>
      </c>
      <c r="H44" s="20">
        <f t="shared" si="12"/>
        <v>27.280749476775021</v>
      </c>
      <c r="I44" s="21">
        <f t="shared" si="13"/>
        <v>21192.254591130524</v>
      </c>
      <c r="J44" s="21">
        <f>Q57</f>
        <v>33384.850803366397</v>
      </c>
      <c r="K44" s="21">
        <f t="shared" si="16"/>
        <v>12192.596212235872</v>
      </c>
      <c r="L44" s="18">
        <f t="shared" si="14"/>
        <v>1.7505270867950025</v>
      </c>
      <c r="M44" s="18">
        <f t="shared" si="17"/>
        <v>3.679032716656458</v>
      </c>
      <c r="N44" s="19">
        <f t="shared" si="15"/>
        <v>5.3460000000000001</v>
      </c>
      <c r="P44" s="56">
        <f>'Nr(V)'!A44</f>
        <v>21</v>
      </c>
      <c r="Q44" s="53">
        <f>'Nr(V)'!C44</f>
        <v>28685.224357531799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-1.5798645613400383E-2</v>
      </c>
      <c r="D45" s="36">
        <f t="shared" si="4"/>
        <v>-0.90519571567071355</v>
      </c>
      <c r="F45" s="99">
        <f t="shared" si="11"/>
        <v>0.78877734406717104</v>
      </c>
      <c r="G45" s="38">
        <f t="shared" si="11"/>
        <v>62.64</v>
      </c>
      <c r="H45" s="20">
        <f t="shared" si="12"/>
        <v>28.986699869190709</v>
      </c>
      <c r="I45" s="21">
        <f t="shared" si="13"/>
        <v>22655.699171054443</v>
      </c>
      <c r="J45" s="21">
        <f>Q60</f>
        <v>34736.351771006797</v>
      </c>
      <c r="K45" s="21">
        <f t="shared" si="16"/>
        <v>12080.652599952355</v>
      </c>
      <c r="L45" s="18">
        <f t="shared" si="14"/>
        <v>1.7344550114072095</v>
      </c>
      <c r="M45" s="18">
        <f t="shared" si="17"/>
        <v>3.4304128870732358</v>
      </c>
      <c r="N45" s="19">
        <f t="shared" si="15"/>
        <v>4.1539999999999999</v>
      </c>
      <c r="P45" s="56">
        <f>'Nr(V)'!A45</f>
        <v>21.5</v>
      </c>
      <c r="Q45" s="53">
        <f>'Nr(V)'!C45</f>
        <v>29037.7604752689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2.1154960450076032E-7</v>
      </c>
      <c r="C46" s="25">
        <v>-8.1772589480429342E-2</v>
      </c>
      <c r="D46" s="26">
        <f t="shared" si="4"/>
        <v>-4.6852242570844744</v>
      </c>
      <c r="F46" s="99">
        <f t="shared" si="11"/>
        <v>0.68820194072740959</v>
      </c>
      <c r="G46" s="38">
        <f t="shared" si="11"/>
        <v>51.95</v>
      </c>
      <c r="H46" s="20">
        <f t="shared" si="12"/>
        <v>31.032591264267822</v>
      </c>
      <c r="I46" s="21">
        <f t="shared" si="13"/>
        <v>24877.719566571264</v>
      </c>
      <c r="J46" s="21">
        <f>Q64</f>
        <v>36087.222647283801</v>
      </c>
      <c r="K46" s="21">
        <f t="shared" si="16"/>
        <v>11209.503080712537</v>
      </c>
      <c r="L46" s="18">
        <f t="shared" si="14"/>
        <v>1.6093814992911137</v>
      </c>
      <c r="M46" s="18">
        <f t="shared" si="17"/>
        <v>2.9727505293381826</v>
      </c>
      <c r="N46" s="19">
        <f t="shared" si="15"/>
        <v>3.0790000000000002</v>
      </c>
      <c r="P46" s="56">
        <f>'Nr(V)'!A46</f>
        <v>22</v>
      </c>
      <c r="Q46" s="53">
        <f>'Nr(V)'!C46</f>
        <v>29390.206579954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0</v>
      </c>
      <c r="C47" s="29">
        <v>-2.0034481391811482E-2</v>
      </c>
      <c r="D47" s="30">
        <f t="shared" si="4"/>
        <v>-1.1478912284841813</v>
      </c>
      <c r="F47" s="99">
        <f t="shared" si="11"/>
        <v>0.58038845302154896</v>
      </c>
      <c r="G47" s="38">
        <f t="shared" si="11"/>
        <v>39.369999999999997</v>
      </c>
      <c r="H47" s="20">
        <f t="shared" si="12"/>
        <v>33.792210827352115</v>
      </c>
      <c r="I47" s="21">
        <f t="shared" si="13"/>
        <v>28577.263315124776</v>
      </c>
      <c r="J47" s="21">
        <f>Q70</f>
        <v>38084.432242675102</v>
      </c>
      <c r="K47" s="21">
        <f t="shared" si="16"/>
        <v>9507.1689275503268</v>
      </c>
      <c r="L47" s="18">
        <f t="shared" si="14"/>
        <v>1.3649723518040411</v>
      </c>
      <c r="M47" s="18">
        <f t="shared" si="17"/>
        <v>2.3149843054546428</v>
      </c>
      <c r="N47" s="19">
        <f t="shared" si="15"/>
        <v>2.073</v>
      </c>
      <c r="P47" s="56">
        <f>'Nr(V)'!A47</f>
        <v>22.5</v>
      </c>
      <c r="Q47" s="53">
        <f>'Nr(V)'!C47</f>
        <v>29624.915612763802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2.3318989406106994E-7</v>
      </c>
      <c r="C48" s="32">
        <v>-0.11223542803083453</v>
      </c>
      <c r="D48" s="33">
        <f t="shared" si="4"/>
        <v>-6.4306163380111148</v>
      </c>
      <c r="F48" s="99">
        <f t="shared" si="11"/>
        <v>0.483331925835703</v>
      </c>
      <c r="G48" s="38">
        <f t="shared" si="11"/>
        <v>27.9</v>
      </c>
      <c r="H48" s="20">
        <f t="shared" si="12"/>
        <v>37.029960294478123</v>
      </c>
      <c r="I48" s="21">
        <f t="shared" si="13"/>
        <v>33946.987639211657</v>
      </c>
      <c r="J48" s="21">
        <f>Q76</f>
        <v>40552.005040730903</v>
      </c>
      <c r="K48" s="21">
        <f t="shared" si="16"/>
        <v>6605.0174015192461</v>
      </c>
      <c r="L48" s="18">
        <f t="shared" si="14"/>
        <v>0.94830187671666533</v>
      </c>
      <c r="M48" s="18">
        <f t="shared" si="17"/>
        <v>1.4674505574338546</v>
      </c>
      <c r="N48" s="19">
        <f t="shared" si="15"/>
        <v>1.2330000000000001</v>
      </c>
      <c r="P48" s="56">
        <f>'Nr(V)'!A48</f>
        <v>23</v>
      </c>
      <c r="Q48" s="53">
        <f>'Nr(V)'!C48</f>
        <v>29859.984697781099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-2.3826941676389206E-2</v>
      </c>
      <c r="D49" s="36">
        <f t="shared" si="4"/>
        <v>-1.365183196761468</v>
      </c>
      <c r="F49" s="99">
        <f t="shared" si="11"/>
        <v>0.38026543690183146</v>
      </c>
      <c r="G49" s="38">
        <f t="shared" si="11"/>
        <v>16.61</v>
      </c>
      <c r="H49" s="20">
        <f t="shared" si="12"/>
        <v>41.74770069033098</v>
      </c>
      <c r="I49" s="21">
        <f t="shared" si="13"/>
        <v>43996.54039048835</v>
      </c>
      <c r="J49" s="21">
        <f>Q85</f>
        <v>40724.109995949402</v>
      </c>
      <c r="K49" s="21">
        <f t="shared" si="16"/>
        <v>-3272.4303945389474</v>
      </c>
      <c r="L49" s="18">
        <f t="shared" si="14"/>
        <v>-0.46983250700477341</v>
      </c>
      <c r="M49" s="18">
        <f t="shared" si="17"/>
        <v>-0.64482564456094815</v>
      </c>
      <c r="N49" s="19">
        <f t="shared" si="15"/>
        <v>0.39200000000000002</v>
      </c>
      <c r="P49" s="56">
        <f>'Nr(V)'!A49</f>
        <v>23.5</v>
      </c>
      <c r="Q49" s="53">
        <f>'Nr(V)'!C49</f>
        <v>30094.6487240649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-8.3633494796231389E-8</v>
      </c>
      <c r="C50" s="25">
        <v>-0.14214426305099104</v>
      </c>
      <c r="D50" s="26">
        <f t="shared" si="4"/>
        <v>-8.1442663548191572</v>
      </c>
      <c r="F50" s="99">
        <f t="shared" si="11"/>
        <v>0.33400000000000002</v>
      </c>
      <c r="G50" s="38">
        <f t="shared" si="11"/>
        <v>12.24</v>
      </c>
      <c r="H50" s="20">
        <f t="shared" si="12"/>
        <v>44.545388850605171</v>
      </c>
      <c r="I50" s="21">
        <f t="shared" si="13"/>
        <v>51252.214488082238</v>
      </c>
      <c r="J50" s="21">
        <f>Q91</f>
        <v>37544.578963949702</v>
      </c>
      <c r="K50" s="21">
        <f t="shared" si="16"/>
        <v>-13707.635524132536</v>
      </c>
      <c r="L50" s="18">
        <f t="shared" si="14"/>
        <v>-1.9680457601660473</v>
      </c>
      <c r="M50" s="18">
        <f t="shared" si="17"/>
        <v>-2.5321909780936926</v>
      </c>
      <c r="N50" s="19">
        <f t="shared" si="15"/>
        <v>-0.13300000000000001</v>
      </c>
      <c r="P50" s="56">
        <f>'Nr(V)'!A50</f>
        <v>24</v>
      </c>
      <c r="Q50" s="53">
        <f>'Nr(V)'!C50</f>
        <v>30505.9183581619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-2.7222373841565867E-2</v>
      </c>
      <c r="D51" s="30">
        <f t="shared" si="4"/>
        <v>-1.5597271294490578</v>
      </c>
      <c r="F51" s="99">
        <f t="shared" si="11"/>
        <v>0.27900000000000003</v>
      </c>
      <c r="G51" s="38">
        <f t="shared" si="11"/>
        <v>7.83</v>
      </c>
      <c r="H51" s="20">
        <f t="shared" si="12"/>
        <v>48.7386938295382</v>
      </c>
      <c r="I51" s="21">
        <f t="shared" si="13"/>
        <v>64079.994065500163</v>
      </c>
      <c r="J51" s="21">
        <f>Q99</f>
        <v>31070.075160898301</v>
      </c>
      <c r="K51" s="21">
        <f t="shared" si="16"/>
        <v>-33009.918904601858</v>
      </c>
      <c r="L51" s="18">
        <f t="shared" si="14"/>
        <v>-4.7393316541904431</v>
      </c>
      <c r="M51" s="18">
        <f t="shared" si="17"/>
        <v>-5.5802370445220673</v>
      </c>
      <c r="N51" s="19">
        <f t="shared" si="15"/>
        <v>-0.8</v>
      </c>
      <c r="P51" s="56">
        <f>'Nr(V)'!A51</f>
        <v>24.5</v>
      </c>
      <c r="Q51" s="53">
        <f>'Nr(V)'!C51</f>
        <v>30975.966515144599</v>
      </c>
    </row>
    <row r="52" spans="1:17" ht="15.6" x14ac:dyDescent="0.25">
      <c r="F52" s="99">
        <f t="shared" si="11"/>
        <v>0.22900000000000001</v>
      </c>
      <c r="G52" s="38">
        <f t="shared" si="11"/>
        <v>4.72</v>
      </c>
      <c r="H52" s="20">
        <f t="shared" si="12"/>
        <v>53.79702338571807</v>
      </c>
      <c r="I52" s="21">
        <f t="shared" si="13"/>
        <v>82533.895652147548</v>
      </c>
      <c r="J52" s="21">
        <f>Q110</f>
        <v>18947.117332013098</v>
      </c>
      <c r="K52" s="21">
        <f t="shared" si="16"/>
        <v>-63586.77832013445</v>
      </c>
      <c r="L52" s="18">
        <f t="shared" si="14"/>
        <v>-9.1293417639566474</v>
      </c>
      <c r="M52" s="18">
        <f t="shared" si="17"/>
        <v>-9.7703627245033395</v>
      </c>
      <c r="N52" s="19">
        <f t="shared" si="15"/>
        <v>-1.3260000000000001</v>
      </c>
      <c r="P52" s="56">
        <f>'Nr(V)'!A52</f>
        <v>25</v>
      </c>
      <c r="Q52" s="53">
        <f>'Nr(V)'!C52</f>
        <v>31387.191142715601</v>
      </c>
    </row>
    <row r="53" spans="1:17" ht="16.2" thickBot="1" x14ac:dyDescent="0.3">
      <c r="F53" s="106"/>
      <c r="G53" s="14"/>
      <c r="H53" s="64"/>
      <c r="I53" s="57"/>
      <c r="J53" s="57"/>
      <c r="K53" s="57"/>
      <c r="L53" s="63"/>
      <c r="M53" s="63"/>
      <c r="N53" s="66"/>
      <c r="P53" s="56">
        <f>'Nr(V)'!A53</f>
        <v>25.5</v>
      </c>
      <c r="Q53" s="53">
        <f>'Nr(V)'!C53</f>
        <v>31857.284306224399</v>
      </c>
    </row>
    <row r="54" spans="1:17" ht="18.600000000000001" thickBot="1" x14ac:dyDescent="0.3">
      <c r="I54" s="134" t="s">
        <v>189</v>
      </c>
      <c r="J54" s="135"/>
      <c r="K54" s="135"/>
      <c r="L54" s="135"/>
      <c r="M54" s="135"/>
      <c r="N54" s="136"/>
      <c r="P54" s="56">
        <f>'Nr(V)'!A54</f>
        <v>26</v>
      </c>
      <c r="Q54" s="53">
        <f>'Nr(V)'!C54</f>
        <v>32209.7754174355</v>
      </c>
    </row>
    <row r="55" spans="1:17" ht="18.600000000000001" thickBot="1" x14ac:dyDescent="0.3">
      <c r="D55" s="56" t="s">
        <v>149</v>
      </c>
      <c r="E55" s="56" t="s">
        <v>150</v>
      </c>
      <c r="F55" s="14" t="s">
        <v>151</v>
      </c>
      <c r="G55" s="14" t="s">
        <v>152</v>
      </c>
      <c r="I55" s="100" t="s">
        <v>76</v>
      </c>
      <c r="J55" s="100" t="s">
        <v>77</v>
      </c>
      <c r="K55" s="100" t="s">
        <v>78</v>
      </c>
      <c r="L55" s="100" t="s">
        <v>79</v>
      </c>
      <c r="M55" s="100" t="s">
        <v>85</v>
      </c>
      <c r="N55" s="100" t="s">
        <v>80</v>
      </c>
      <c r="P55" s="56">
        <f>'Nr(V)'!A55</f>
        <v>26.5</v>
      </c>
      <c r="Q55" s="53">
        <f>'Nr(V)'!C55</f>
        <v>32679.823574418198</v>
      </c>
    </row>
    <row r="56" spans="1:17" ht="15.6" x14ac:dyDescent="0.25">
      <c r="D56" s="24">
        <f t="shared" ref="D56:D70" si="18">-K56*COS(E56+F56-C$3)+0.5*C$17*C$7*C$5*(F56-C$8)*I56^2*SIN(E56)+0.5*C$17*C$7*(C$11+1/PI()/C$10*C$5^2*(F56-C$8)^2)*I56^2*COS(E56)</f>
        <v>2.2433960111811757E-7</v>
      </c>
      <c r="E56" s="25">
        <v>6.6565491489924897E-2</v>
      </c>
      <c r="F56" s="29">
        <v>0.18287168590120742</v>
      </c>
      <c r="G56" s="28">
        <f t="shared" ref="G56:G70" si="19">K56*SIN(E56+F56-C$3)+0.5*C$17*C$7*C$5*(F56-C$8)*I56^2*COS(E56)-0.5*C$17*C$7*(C$11+1/PI()/C$10*C$5^2*(F56-C$8)^2)*I56^2*SIN(E56)-C$2</f>
        <v>-8.2009846664732322E-6</v>
      </c>
      <c r="I56" s="103">
        <f>SQRT(2*C$2/C$7/C$16/C17)</f>
        <v>20.97101068994904</v>
      </c>
      <c r="J56" s="102">
        <f>Q44</f>
        <v>28685.224357531799</v>
      </c>
      <c r="K56" s="102">
        <f>J56/I56</f>
        <v>1367.8513058638619</v>
      </c>
      <c r="L56" s="104">
        <f>DEGREES(F56)</f>
        <v>10.477775794581225</v>
      </c>
      <c r="M56" s="104">
        <f>DEGREES(E56)</f>
        <v>3.8139217235866947</v>
      </c>
      <c r="N56" s="104">
        <f>I56*SIN(RADIANS(M56))</f>
        <v>1.3949149643587035</v>
      </c>
      <c r="P56" s="56">
        <f>'Nr(V)'!A56</f>
        <v>27</v>
      </c>
      <c r="Q56" s="53">
        <f>'Nr(V)'!C56</f>
        <v>32797.110581034198</v>
      </c>
    </row>
    <row r="57" spans="1:17" ht="15.6" x14ac:dyDescent="0.25">
      <c r="D57" s="24">
        <f t="shared" si="18"/>
        <v>1.972693326024455E-6</v>
      </c>
      <c r="E57" s="32">
        <v>6.7723418847326605E-2</v>
      </c>
      <c r="F57" s="35">
        <v>0.16120373703680693</v>
      </c>
      <c r="G57" s="28">
        <f t="shared" si="19"/>
        <v>0</v>
      </c>
      <c r="I57" s="20">
        <f t="shared" ref="I57:I70" si="20">I4</f>
        <v>22</v>
      </c>
      <c r="J57" s="21">
        <f>Q46</f>
        <v>29390.206579954</v>
      </c>
      <c r="K57" s="21">
        <f t="shared" ref="K57:K70" si="21">J57/I57</f>
        <v>1335.918480907</v>
      </c>
      <c r="L57" s="18">
        <f t="shared" ref="L57:L70" si="22">DEGREES(F57)</f>
        <v>9.2362937739457927</v>
      </c>
      <c r="M57" s="18">
        <f t="shared" ref="M57:M70" si="23">DEGREES(E57)</f>
        <v>3.8802660741485488</v>
      </c>
      <c r="N57" s="18">
        <f t="shared" ref="N57:N70" si="24">I57*SIN(RADIANS(M57))</f>
        <v>1.4887765693383315</v>
      </c>
      <c r="P57" s="56">
        <f>'Nr(V)'!A57</f>
        <v>27.5</v>
      </c>
      <c r="Q57" s="53">
        <f>'Nr(V)'!C57</f>
        <v>33384.850803366397</v>
      </c>
    </row>
    <row r="58" spans="1:17" ht="15.6" x14ac:dyDescent="0.25">
      <c r="D58" s="24">
        <f t="shared" si="18"/>
        <v>3.2057689622888574E-6</v>
      </c>
      <c r="E58" s="25">
        <v>6.6174084224176796E-2</v>
      </c>
      <c r="F58" s="29">
        <v>0.12634664233418519</v>
      </c>
      <c r="G58" s="28">
        <f t="shared" si="19"/>
        <v>0</v>
      </c>
      <c r="I58" s="20">
        <f t="shared" si="20"/>
        <v>24</v>
      </c>
      <c r="J58" s="21">
        <f>Q50</f>
        <v>30505.9183581619</v>
      </c>
      <c r="K58" s="21">
        <f t="shared" si="21"/>
        <v>1271.0799315900792</v>
      </c>
      <c r="L58" s="18">
        <f t="shared" si="22"/>
        <v>7.2391293613977474</v>
      </c>
      <c r="M58" s="18">
        <f t="shared" si="23"/>
        <v>3.7914957391885729</v>
      </c>
      <c r="N58" s="18">
        <f t="shared" si="24"/>
        <v>1.5870191673874929</v>
      </c>
      <c r="P58" s="56">
        <f>'Nr(V)'!A58</f>
        <v>28</v>
      </c>
      <c r="Q58" s="53">
        <f>'Nr(V)'!C58</f>
        <v>33913.722489760999</v>
      </c>
    </row>
    <row r="59" spans="1:17" ht="15.6" x14ac:dyDescent="0.25">
      <c r="D59" s="24">
        <f t="shared" si="18"/>
        <v>4.1441600160396774E-6</v>
      </c>
      <c r="E59" s="32">
        <v>6.5855782759952575E-2</v>
      </c>
      <c r="F59" s="35">
        <v>9.8714530513030127E-2</v>
      </c>
      <c r="G59" s="28">
        <f t="shared" si="19"/>
        <v>0</v>
      </c>
      <c r="I59" s="20">
        <f t="shared" si="20"/>
        <v>26</v>
      </c>
      <c r="J59" s="21">
        <f>Q54</f>
        <v>32209.7754174355</v>
      </c>
      <c r="K59" s="21">
        <f t="shared" si="21"/>
        <v>1238.8375160552116</v>
      </c>
      <c r="L59" s="18">
        <f t="shared" si="22"/>
        <v>5.6559259750120114</v>
      </c>
      <c r="M59" s="18">
        <f t="shared" si="23"/>
        <v>3.7732584086756908</v>
      </c>
      <c r="N59" s="18">
        <f t="shared" si="24"/>
        <v>1.7110129530198401</v>
      </c>
      <c r="P59" s="56">
        <f>'Nr(V)'!A59</f>
        <v>28.5</v>
      </c>
      <c r="Q59" s="53">
        <f>'Nr(V)'!C59</f>
        <v>34383.815653269703</v>
      </c>
    </row>
    <row r="60" spans="1:17" ht="15.6" x14ac:dyDescent="0.25">
      <c r="D60" s="24">
        <f t="shared" si="18"/>
        <v>3.2023148150983616E-6</v>
      </c>
      <c r="E60" s="25">
        <v>6.3433164795996089E-2</v>
      </c>
      <c r="F60" s="29">
        <v>7.656758748451431E-2</v>
      </c>
      <c r="G60" s="28">
        <f t="shared" si="19"/>
        <v>0</v>
      </c>
      <c r="I60" s="20">
        <f t="shared" si="20"/>
        <v>28</v>
      </c>
      <c r="J60" s="21">
        <f>Q58</f>
        <v>33913.722489760999</v>
      </c>
      <c r="K60" s="21">
        <f t="shared" si="21"/>
        <v>1211.2043746343213</v>
      </c>
      <c r="L60" s="18">
        <f t="shared" si="22"/>
        <v>4.3869996103613733</v>
      </c>
      <c r="M60" s="18">
        <f t="shared" si="23"/>
        <v>3.6344526239684076</v>
      </c>
      <c r="N60" s="18">
        <f t="shared" si="24"/>
        <v>1.7749377327990521</v>
      </c>
      <c r="P60" s="56">
        <f>'Nr(V)'!A60</f>
        <v>29</v>
      </c>
      <c r="Q60" s="53">
        <f>'Nr(V)'!C60</f>
        <v>34736.351771006797</v>
      </c>
    </row>
    <row r="61" spans="1:17" ht="15.6" x14ac:dyDescent="0.25">
      <c r="D61" s="24">
        <f t="shared" si="18"/>
        <v>2.2728379462932935E-6</v>
      </c>
      <c r="E61" s="32">
        <v>5.8475271456535645E-2</v>
      </c>
      <c r="F61" s="35">
        <v>5.8569700559682893E-2</v>
      </c>
      <c r="G61" s="28">
        <f t="shared" si="19"/>
        <v>8.1854523159563541E-12</v>
      </c>
      <c r="I61" s="20">
        <f t="shared" si="20"/>
        <v>30</v>
      </c>
      <c r="J61" s="21">
        <f>Q62</f>
        <v>35441.153967325197</v>
      </c>
      <c r="K61" s="21">
        <f t="shared" si="21"/>
        <v>1181.37179891084</v>
      </c>
      <c r="L61" s="18">
        <f t="shared" si="22"/>
        <v>3.3557966494148452</v>
      </c>
      <c r="M61" s="18">
        <f t="shared" si="23"/>
        <v>3.3503862603413026</v>
      </c>
      <c r="N61" s="18">
        <f t="shared" si="24"/>
        <v>1.7532585753527954</v>
      </c>
      <c r="P61" s="56">
        <f>'Nr(V)'!A61</f>
        <v>29.5</v>
      </c>
      <c r="Q61" s="53">
        <f>'Nr(V)'!C61</f>
        <v>35147.576398577701</v>
      </c>
    </row>
    <row r="62" spans="1:17" ht="15.6" x14ac:dyDescent="0.25">
      <c r="D62" s="24">
        <f t="shared" si="18"/>
        <v>1.2983970236746245E-6</v>
      </c>
      <c r="E62" s="25">
        <v>4.6393246612186113E-2</v>
      </c>
      <c r="F62" s="29">
        <v>3.7304079384184625E-2</v>
      </c>
      <c r="G62" s="28">
        <f t="shared" si="19"/>
        <v>0</v>
      </c>
      <c r="I62" s="20">
        <f t="shared" si="20"/>
        <v>33</v>
      </c>
      <c r="J62" s="21">
        <f>Q68</f>
        <v>37203.1144515954</v>
      </c>
      <c r="K62" s="21">
        <f t="shared" si="21"/>
        <v>1127.3671045937999</v>
      </c>
      <c r="L62" s="18">
        <f t="shared" si="22"/>
        <v>2.1373663073347622</v>
      </c>
      <c r="M62" s="18">
        <f>DEGREES(E62)</f>
        <v>2.6581372287878691</v>
      </c>
      <c r="N62" s="18">
        <f t="shared" si="24"/>
        <v>1.5304280017810563</v>
      </c>
      <c r="P62" s="56">
        <f>'Nr(V)'!A62</f>
        <v>30</v>
      </c>
      <c r="Q62" s="53">
        <f>'Nr(V)'!C62</f>
        <v>35441.153967325197</v>
      </c>
    </row>
    <row r="63" spans="1:17" ht="15.6" x14ac:dyDescent="0.25">
      <c r="D63" s="24">
        <f t="shared" si="18"/>
        <v>1.0666801699699135E-6</v>
      </c>
      <c r="E63" s="32">
        <v>3.5718926412791077E-2</v>
      </c>
      <c r="F63" s="35">
        <v>2.097908551189848E-2</v>
      </c>
      <c r="G63" s="28">
        <f t="shared" si="19"/>
        <v>0</v>
      </c>
      <c r="I63" s="20">
        <f t="shared" si="20"/>
        <v>36</v>
      </c>
      <c r="J63" s="21">
        <f>Q74</f>
        <v>39788.154282370902</v>
      </c>
      <c r="K63" s="21">
        <f t="shared" si="21"/>
        <v>1105.2265078436362</v>
      </c>
      <c r="L63" s="18">
        <f t="shared" si="22"/>
        <v>1.202013057875835</v>
      </c>
      <c r="M63" s="18">
        <f t="shared" si="23"/>
        <v>2.04654373219129</v>
      </c>
      <c r="N63" s="18">
        <f t="shared" si="24"/>
        <v>1.2856079381269749</v>
      </c>
      <c r="P63" s="56">
        <f>'Nr(V)'!A63</f>
        <v>30.5</v>
      </c>
      <c r="Q63" s="53">
        <f>'Nr(V)'!C63</f>
        <v>35676.043026238702</v>
      </c>
    </row>
    <row r="64" spans="1:17" ht="15.6" x14ac:dyDescent="0.25">
      <c r="D64" s="24">
        <f t="shared" si="18"/>
        <v>-3.2579412163613597E-6</v>
      </c>
      <c r="E64" s="25">
        <v>2.030887686774677E-2</v>
      </c>
      <c r="F64" s="29">
        <v>8.2033978534354866E-3</v>
      </c>
      <c r="G64" s="28">
        <f t="shared" si="19"/>
        <v>0</v>
      </c>
      <c r="I64" s="20">
        <f t="shared" si="20"/>
        <v>39</v>
      </c>
      <c r="J64" s="21">
        <f>Q80</f>
        <v>41667.6718124127</v>
      </c>
      <c r="K64" s="21">
        <f t="shared" si="21"/>
        <v>1068.4018413439153</v>
      </c>
      <c r="L64" s="18">
        <f t="shared" si="22"/>
        <v>0.47002007466853246</v>
      </c>
      <c r="M64" s="18">
        <f t="shared" si="23"/>
        <v>1.163612931172757</v>
      </c>
      <c r="N64" s="18">
        <f t="shared" si="24"/>
        <v>0.7919917523259089</v>
      </c>
      <c r="P64" s="56">
        <f>'Nr(V)'!A64</f>
        <v>31</v>
      </c>
      <c r="Q64" s="53">
        <f>'Nr(V)'!C64</f>
        <v>36087.222647283801</v>
      </c>
    </row>
    <row r="65" spans="4:17" ht="15.6" x14ac:dyDescent="0.25">
      <c r="D65" s="24">
        <f t="shared" si="18"/>
        <v>4.8781885197968222E-9</v>
      </c>
      <c r="E65" s="32">
        <v>-7.4217086151028297E-3</v>
      </c>
      <c r="F65" s="35">
        <v>-2.0082786666595518E-3</v>
      </c>
      <c r="G65" s="28">
        <f t="shared" si="19"/>
        <v>0</v>
      </c>
      <c r="I65" s="20">
        <f t="shared" si="20"/>
        <v>42</v>
      </c>
      <c r="J65" s="21">
        <f>Q86</f>
        <v>40370.538728115498</v>
      </c>
      <c r="K65" s="21">
        <f t="shared" si="21"/>
        <v>961.20330305036896</v>
      </c>
      <c r="L65" s="18">
        <f t="shared" si="22"/>
        <v>-0.11506589168575264</v>
      </c>
      <c r="M65" s="18">
        <f t="shared" si="23"/>
        <v>-0.42523258042127526</v>
      </c>
      <c r="N65" s="18">
        <f t="shared" si="24"/>
        <v>-0.31170890023685488</v>
      </c>
      <c r="P65" s="56">
        <f>'Nr(V)'!A65</f>
        <v>31.5</v>
      </c>
      <c r="Q65" s="53">
        <f>'Nr(V)'!C65</f>
        <v>36380.890229083197</v>
      </c>
    </row>
    <row r="66" spans="4:17" ht="15.6" x14ac:dyDescent="0.25">
      <c r="D66" s="24">
        <f t="shared" si="18"/>
        <v>1.3632577520183986E-6</v>
      </c>
      <c r="E66" s="25">
        <v>-2.9540273550520246E-2</v>
      </c>
      <c r="F66" s="29">
        <v>-7.7434390662136209E-3</v>
      </c>
      <c r="G66" s="28">
        <f t="shared" si="19"/>
        <v>0</v>
      </c>
      <c r="I66" s="20">
        <f t="shared" si="20"/>
        <v>44</v>
      </c>
      <c r="J66" s="21">
        <f>Q90</f>
        <v>38368.648454025802</v>
      </c>
      <c r="K66" s="21">
        <f t="shared" si="21"/>
        <v>872.01473759149553</v>
      </c>
      <c r="L66" s="18">
        <f t="shared" si="22"/>
        <v>-0.4436663774107637</v>
      </c>
      <c r="M66" s="18">
        <f t="shared" si="23"/>
        <v>-1.6925330001067456</v>
      </c>
      <c r="N66" s="18">
        <f t="shared" si="24"/>
        <v>-1.2995830082769058</v>
      </c>
      <c r="P66" s="56">
        <f>'Nr(V)'!A66</f>
        <v>32</v>
      </c>
      <c r="Q66" s="53">
        <f>'Nr(V)'!C66</f>
        <v>36674.6028174085</v>
      </c>
    </row>
    <row r="67" spans="4:17" ht="15.6" x14ac:dyDescent="0.25">
      <c r="D67" s="24">
        <f t="shared" si="18"/>
        <v>-2.5830286176642403E-7</v>
      </c>
      <c r="E67" s="32">
        <v>-5.3746681458433601E-2</v>
      </c>
      <c r="F67" s="35">
        <v>-1.2793335502540021E-2</v>
      </c>
      <c r="G67" s="28">
        <f t="shared" si="19"/>
        <v>0</v>
      </c>
      <c r="I67" s="20">
        <f t="shared" si="20"/>
        <v>46</v>
      </c>
      <c r="J67" s="21">
        <f>Q94</f>
        <v>35602.007291057198</v>
      </c>
      <c r="K67" s="21">
        <f t="shared" si="21"/>
        <v>773.95668024037388</v>
      </c>
      <c r="L67" s="18">
        <f t="shared" si="22"/>
        <v>-0.73300413019042132</v>
      </c>
      <c r="M67" s="18">
        <f t="shared" si="23"/>
        <v>-3.0794580104022815</v>
      </c>
      <c r="N67" s="18">
        <f t="shared" si="24"/>
        <v>-2.4711572049925477</v>
      </c>
      <c r="P67" s="56">
        <f>'Nr(V)'!A67</f>
        <v>32.5</v>
      </c>
      <c r="Q67" s="53">
        <f>'Nr(V)'!C67</f>
        <v>37027.048922093702</v>
      </c>
    </row>
    <row r="68" spans="4:17" ht="15.6" x14ac:dyDescent="0.25">
      <c r="D68" s="24">
        <f t="shared" si="18"/>
        <v>-4.70502754978952E-7</v>
      </c>
      <c r="E68" s="25">
        <v>-7.9329800364201078E-2</v>
      </c>
      <c r="F68" s="29">
        <v>-1.7268446022608252E-2</v>
      </c>
      <c r="G68" s="28">
        <f t="shared" si="19"/>
        <v>0</v>
      </c>
      <c r="I68" s="20">
        <f t="shared" si="20"/>
        <v>48</v>
      </c>
      <c r="J68" s="21">
        <f>Q98</f>
        <v>32247.130833970899</v>
      </c>
      <c r="K68" s="21">
        <f t="shared" si="21"/>
        <v>671.81522570772711</v>
      </c>
      <c r="L68" s="18">
        <f t="shared" si="22"/>
        <v>-0.98940907584492577</v>
      </c>
      <c r="M68" s="18">
        <f t="shared" si="23"/>
        <v>-4.5452627504841026</v>
      </c>
      <c r="N68" s="18">
        <f t="shared" si="24"/>
        <v>-3.8038377566934432</v>
      </c>
      <c r="P68" s="56">
        <f>'Nr(V)'!A68</f>
        <v>33</v>
      </c>
      <c r="Q68" s="53">
        <f>'Nr(V)'!C68</f>
        <v>37203.1144515954</v>
      </c>
    </row>
    <row r="69" spans="4:17" ht="15.6" x14ac:dyDescent="0.25">
      <c r="D69" s="24">
        <f t="shared" si="18"/>
        <v>8.5323304119810928E-6</v>
      </c>
      <c r="E69" s="32">
        <v>-0.10789714172002449</v>
      </c>
      <c r="F69" s="35">
        <v>-2.1269716054618866E-2</v>
      </c>
      <c r="G69" s="28">
        <f t="shared" si="19"/>
        <v>2.4556356947869062E-11</v>
      </c>
      <c r="I69" s="20">
        <f t="shared" si="20"/>
        <v>50</v>
      </c>
      <c r="J69" s="21">
        <f>Q102</f>
        <v>27715.603762545499</v>
      </c>
      <c r="K69" s="21">
        <f t="shared" si="21"/>
        <v>554.31207525090997</v>
      </c>
      <c r="L69" s="18">
        <f t="shared" si="22"/>
        <v>-1.2186649613713099</v>
      </c>
      <c r="M69" s="18">
        <f t="shared" si="23"/>
        <v>-6.1820508420823188</v>
      </c>
      <c r="N69" s="18">
        <f t="shared" si="24"/>
        <v>-5.3843955423326992</v>
      </c>
      <c r="P69" s="56">
        <f>'Nr(V)'!A69</f>
        <v>33.5</v>
      </c>
      <c r="Q69" s="53">
        <f>'Nr(V)'!C69</f>
        <v>37614.3840856924</v>
      </c>
    </row>
    <row r="70" spans="4:17" ht="15.6" x14ac:dyDescent="0.25">
      <c r="D70" s="24">
        <f t="shared" si="18"/>
        <v>-9.4488427748729009E-7</v>
      </c>
      <c r="E70" s="25">
        <v>-0.13595107151211888</v>
      </c>
      <c r="F70" s="29">
        <v>-2.4848842911527117E-2</v>
      </c>
      <c r="G70" s="28">
        <f t="shared" si="19"/>
        <v>0</v>
      </c>
      <c r="I70" s="20">
        <f t="shared" si="20"/>
        <v>52</v>
      </c>
      <c r="J70" s="21">
        <f>Q106</f>
        <v>23184.2567172239</v>
      </c>
      <c r="K70" s="21">
        <f t="shared" si="21"/>
        <v>445.85109071584424</v>
      </c>
      <c r="L70" s="18">
        <f t="shared" si="22"/>
        <v>-1.4237338246140763</v>
      </c>
      <c r="M70" s="18">
        <f t="shared" si="23"/>
        <v>-7.7894226179256512</v>
      </c>
      <c r="N70" s="18">
        <f t="shared" si="24"/>
        <v>-7.0476987371308653</v>
      </c>
      <c r="P70" s="56">
        <f>'Nr(V)'!A70</f>
        <v>34</v>
      </c>
      <c r="Q70" s="53">
        <f>'Nr(V)'!C70</f>
        <v>38084.432242675102</v>
      </c>
    </row>
    <row r="71" spans="4:17" ht="15.6" x14ac:dyDescent="0.25">
      <c r="P71" s="56">
        <f>'Nr(V)'!A71</f>
        <v>34.5</v>
      </c>
      <c r="Q71" s="53">
        <f>'Nr(V)'!C71</f>
        <v>38495.656870246101</v>
      </c>
    </row>
    <row r="72" spans="4:17" ht="15.6" x14ac:dyDescent="0.25">
      <c r="P72" s="56">
        <f>'Nr(V)'!A72</f>
        <v>35</v>
      </c>
      <c r="Q72" s="53">
        <f>'Nr(V)'!C72</f>
        <v>38906.971510869</v>
      </c>
    </row>
    <row r="73" spans="4:17" ht="15.6" x14ac:dyDescent="0.25">
      <c r="P73" s="56">
        <f>'Nr(V)'!A73</f>
        <v>35.5</v>
      </c>
      <c r="Q73" s="53">
        <f>'Nr(V)'!C73</f>
        <v>39318.016112336198</v>
      </c>
    </row>
    <row r="74" spans="4:17" ht="15.6" x14ac:dyDescent="0.25">
      <c r="P74" s="56">
        <f>'Nr(V)'!A74</f>
        <v>36</v>
      </c>
      <c r="Q74" s="53">
        <f>'Nr(V)'!C74</f>
        <v>39788.154282370902</v>
      </c>
    </row>
    <row r="75" spans="4:17" ht="15.6" x14ac:dyDescent="0.25">
      <c r="P75" s="56">
        <f>'Nr(V)'!A75</f>
        <v>36.5</v>
      </c>
      <c r="Q75" s="53">
        <f>'Nr(V)'!C75</f>
        <v>40199.468922993801</v>
      </c>
    </row>
    <row r="76" spans="4:17" ht="15.6" x14ac:dyDescent="0.25">
      <c r="P76" s="56">
        <f>'Nr(V)'!A76</f>
        <v>37</v>
      </c>
      <c r="Q76" s="53">
        <f>'Nr(V)'!C76</f>
        <v>40552.005040730903</v>
      </c>
    </row>
    <row r="77" spans="4:17" ht="15.6" x14ac:dyDescent="0.25">
      <c r="P77" s="56">
        <f>'Nr(V)'!A77</f>
        <v>37.5</v>
      </c>
      <c r="Q77" s="53">
        <f>'Nr(V)'!C77</f>
        <v>41022.053197713598</v>
      </c>
    </row>
    <row r="78" spans="4:17" ht="15.6" x14ac:dyDescent="0.25">
      <c r="P78" s="56">
        <f>'Nr(V)'!A78</f>
        <v>38</v>
      </c>
      <c r="Q78" s="53">
        <f>'Nr(V)'!C78</f>
        <v>41374.499302398799</v>
      </c>
    </row>
    <row r="79" spans="4:17" ht="15.6" x14ac:dyDescent="0.25">
      <c r="P79" s="56">
        <f>'Nr(V)'!A79</f>
        <v>38.5</v>
      </c>
      <c r="Q79" s="53">
        <f>'Nr(V)'!C79</f>
        <v>41609.433367838297</v>
      </c>
    </row>
    <row r="80" spans="4:17" ht="15.6" x14ac:dyDescent="0.25">
      <c r="P80" s="56">
        <f>'Nr(V)'!A80</f>
        <v>39</v>
      </c>
      <c r="Q80" s="53">
        <f>'Nr(V)'!C80</f>
        <v>41667.6718124127</v>
      </c>
    </row>
    <row r="81" spans="16:17" ht="15.6" x14ac:dyDescent="0.25">
      <c r="P81" s="56">
        <f>'Nr(V)'!A81</f>
        <v>39.5</v>
      </c>
      <c r="Q81" s="53">
        <f>'Nr(V)'!C81</f>
        <v>41666.996714523601</v>
      </c>
    </row>
    <row r="82" spans="16:17" ht="15.6" x14ac:dyDescent="0.25">
      <c r="P82" s="56">
        <f>'Nr(V)'!A82</f>
        <v>40</v>
      </c>
      <c r="Q82" s="53">
        <f>'Nr(V)'!C82</f>
        <v>41607.813132904201</v>
      </c>
    </row>
    <row r="83" spans="16:17" ht="15.6" x14ac:dyDescent="0.25">
      <c r="P83" s="56">
        <f>'Nr(V)'!A83</f>
        <v>40.5</v>
      </c>
      <c r="Q83" s="53">
        <f>'Nr(V)'!C83</f>
        <v>41372.113956523601</v>
      </c>
    </row>
    <row r="84" spans="16:17" ht="15.6" x14ac:dyDescent="0.25">
      <c r="P84" s="56">
        <f>'Nr(V)'!A84</f>
        <v>41</v>
      </c>
      <c r="Q84" s="53">
        <f>'Nr(V)'!C84</f>
        <v>41077.456231153497</v>
      </c>
    </row>
    <row r="85" spans="16:17" ht="15.6" x14ac:dyDescent="0.25">
      <c r="P85" s="56">
        <f>'Nr(V)'!A85</f>
        <v>41.5</v>
      </c>
      <c r="Q85" s="53">
        <f>'Nr(V)'!C85</f>
        <v>40724.109995949402</v>
      </c>
    </row>
    <row r="86" spans="16:17" ht="15.6" x14ac:dyDescent="0.25">
      <c r="P86" s="56">
        <f>'Nr(V)'!A86</f>
        <v>42</v>
      </c>
      <c r="Q86" s="53">
        <f>'Nr(V)'!C86</f>
        <v>40370.538728115498</v>
      </c>
    </row>
    <row r="87" spans="16:17" ht="15.6" x14ac:dyDescent="0.25">
      <c r="P87" s="56">
        <f>'Nr(V)'!A87</f>
        <v>42.5</v>
      </c>
      <c r="Q87" s="53">
        <f>'Nr(V)'!C87</f>
        <v>39899.455421036</v>
      </c>
    </row>
    <row r="88" spans="16:17" ht="15.6" x14ac:dyDescent="0.25">
      <c r="P88" s="56">
        <f>'Nr(V)'!A88</f>
        <v>43</v>
      </c>
      <c r="Q88" s="53">
        <f>'Nr(V)'!C88</f>
        <v>39369.593591070698</v>
      </c>
    </row>
    <row r="89" spans="16:17" ht="15.6" x14ac:dyDescent="0.25">
      <c r="P89" s="56">
        <f>'Nr(V)'!A89</f>
        <v>43.5</v>
      </c>
      <c r="Q89" s="53">
        <f>'Nr(V)'!C89</f>
        <v>38898.465277465199</v>
      </c>
    </row>
    <row r="90" spans="16:17" ht="15.6" x14ac:dyDescent="0.25">
      <c r="P90" s="56">
        <f>'Nr(V)'!A90</f>
        <v>44</v>
      </c>
      <c r="Q90" s="53">
        <f>'Nr(V)'!C90</f>
        <v>38368.648454025802</v>
      </c>
    </row>
    <row r="91" spans="16:17" ht="15.6" x14ac:dyDescent="0.25">
      <c r="P91" s="56">
        <f>'Nr(V)'!A91</f>
        <v>44.5</v>
      </c>
      <c r="Q91" s="53">
        <f>'Nr(V)'!C91</f>
        <v>37544.578963949702</v>
      </c>
    </row>
    <row r="92" spans="16:17" ht="15.6" x14ac:dyDescent="0.25">
      <c r="P92" s="56">
        <f>'Nr(V)'!A92</f>
        <v>45</v>
      </c>
      <c r="Q92" s="53">
        <f>'Nr(V)'!C92</f>
        <v>37014.717133984399</v>
      </c>
    </row>
    <row r="93" spans="16:17" ht="15.6" x14ac:dyDescent="0.25">
      <c r="P93" s="56">
        <f>'Nr(V)'!A93</f>
        <v>45.5</v>
      </c>
      <c r="Q93" s="53">
        <f>'Nr(V)'!C93</f>
        <v>35955.3985327872</v>
      </c>
    </row>
    <row r="94" spans="16:17" ht="15.6" x14ac:dyDescent="0.25">
      <c r="P94" s="56">
        <f>'Nr(V)'!A94</f>
        <v>46</v>
      </c>
      <c r="Q94" s="53">
        <f>'Nr(V)'!C94</f>
        <v>35602.007291057198</v>
      </c>
    </row>
    <row r="95" spans="16:17" ht="15.6" x14ac:dyDescent="0.25">
      <c r="P95" s="56">
        <f>'Nr(V)'!A95</f>
        <v>46.5</v>
      </c>
      <c r="Q95" s="53">
        <f>'Nr(V)'!C95</f>
        <v>34836.806336918802</v>
      </c>
    </row>
    <row r="96" spans="16:17" ht="15.6" x14ac:dyDescent="0.25">
      <c r="P96" s="56">
        <f>'Nr(V)'!A96</f>
        <v>47</v>
      </c>
      <c r="Q96" s="53">
        <f>'Nr(V)'!C96</f>
        <v>34012.736846842701</v>
      </c>
    </row>
    <row r="97" spans="16:17" ht="15.6" x14ac:dyDescent="0.25">
      <c r="P97" s="56">
        <f>'Nr(V)'!A97</f>
        <v>47.5</v>
      </c>
      <c r="Q97" s="53">
        <f>'Nr(V)'!C97</f>
        <v>33424.1415005175</v>
      </c>
    </row>
    <row r="98" spans="16:17" ht="15.6" x14ac:dyDescent="0.25">
      <c r="P98" s="56">
        <f>'Nr(V)'!A98</f>
        <v>48</v>
      </c>
      <c r="Q98" s="53">
        <f>'Nr(V)'!C98</f>
        <v>32247.130833970899</v>
      </c>
    </row>
    <row r="99" spans="16:17" ht="15.6" x14ac:dyDescent="0.25">
      <c r="P99" s="56">
        <f>'Nr(V)'!A99</f>
        <v>48.5</v>
      </c>
      <c r="Q99" s="53">
        <f>'Nr(V)'!C99</f>
        <v>31070.075160898301</v>
      </c>
    </row>
    <row r="100" spans="16:17" ht="15.6" x14ac:dyDescent="0.25">
      <c r="P100" s="56">
        <f>'Nr(V)'!A100</f>
        <v>49</v>
      </c>
      <c r="Q100" s="53">
        <f>'Nr(V)'!C100</f>
        <v>30246.050677348201</v>
      </c>
    </row>
    <row r="101" spans="16:17" ht="15.6" x14ac:dyDescent="0.25">
      <c r="P101" s="56">
        <f>'Nr(V)'!A101</f>
        <v>49.5</v>
      </c>
      <c r="Q101" s="53">
        <f>'Nr(V)'!C101</f>
        <v>29069.085017327499</v>
      </c>
    </row>
    <row r="102" spans="16:17" ht="15.6" x14ac:dyDescent="0.25">
      <c r="P102" s="56">
        <f>'Nr(V)'!A102</f>
        <v>50</v>
      </c>
      <c r="Q102" s="53">
        <f>'Nr(V)'!C102</f>
        <v>27715.603762545499</v>
      </c>
    </row>
    <row r="103" spans="16:17" ht="15.6" x14ac:dyDescent="0.25">
      <c r="P103" s="56">
        <f>'Nr(V)'!A103</f>
        <v>50.5</v>
      </c>
      <c r="Q103" s="53">
        <f>'Nr(V)'!C103</f>
        <v>26715.198703811999</v>
      </c>
    </row>
    <row r="104" spans="16:17" ht="15.6" x14ac:dyDescent="0.25">
      <c r="P104" s="56">
        <f>'Nr(V)'!A104</f>
        <v>51</v>
      </c>
      <c r="Q104" s="53">
        <f>'Nr(V)'!C104</f>
        <v>25655.880102614799</v>
      </c>
    </row>
    <row r="105" spans="16:17" ht="15.6" x14ac:dyDescent="0.25">
      <c r="P105" s="56">
        <f>'Nr(V)'!A105</f>
        <v>51.5</v>
      </c>
      <c r="Q105" s="53">
        <f>'Nr(V)'!C105</f>
        <v>24537.692965479899</v>
      </c>
    </row>
    <row r="106" spans="16:17" ht="15.6" x14ac:dyDescent="0.25">
      <c r="P106" s="56">
        <f>'Nr(V)'!A106</f>
        <v>52</v>
      </c>
      <c r="Q106" s="53">
        <f>'Nr(V)'!C106</f>
        <v>23184.2567172239</v>
      </c>
    </row>
    <row r="107" spans="16:17" ht="15.6" x14ac:dyDescent="0.25">
      <c r="P107" s="56">
        <f>'Nr(V)'!A107</f>
        <v>52.5</v>
      </c>
      <c r="Q107" s="53">
        <f>'Nr(V)'!C107</f>
        <v>22066.159593141001</v>
      </c>
    </row>
    <row r="108" spans="16:17" ht="15.6" x14ac:dyDescent="0.25">
      <c r="P108" s="56">
        <f>'Nr(V)'!A108</f>
        <v>53</v>
      </c>
      <c r="Q108" s="53">
        <f>'Nr(V)'!C108</f>
        <v>21242.1801161168</v>
      </c>
    </row>
    <row r="109" spans="16:17" ht="15.6" x14ac:dyDescent="0.25">
      <c r="P109" s="56">
        <f>'Nr(V)'!A109</f>
        <v>53.5</v>
      </c>
      <c r="Q109" s="53">
        <f>'Nr(V)'!C109</f>
        <v>20065.259462622002</v>
      </c>
    </row>
    <row r="110" spans="16:17" ht="15.6" x14ac:dyDescent="0.25">
      <c r="P110" s="56">
        <f>'Nr(V)'!A110</f>
        <v>54</v>
      </c>
      <c r="Q110" s="53">
        <f>'Nr(V)'!C110</f>
        <v>18947.117332013098</v>
      </c>
    </row>
    <row r="111" spans="16:17" ht="15.6" x14ac:dyDescent="0.25">
      <c r="P111" s="56">
        <f>'Nr(V)'!A111</f>
        <v>54.5</v>
      </c>
      <c r="Q111" s="53">
        <f>'Nr(V)'!C111</f>
        <v>17711.283136054699</v>
      </c>
    </row>
    <row r="112" spans="16:17" ht="15.6" x14ac:dyDescent="0.25">
      <c r="P112" s="56">
        <f>'Nr(V)'!A112</f>
        <v>55</v>
      </c>
      <c r="Q112" s="53">
        <f>'Nr(V)'!C112</f>
        <v>16769.656600206999</v>
      </c>
    </row>
    <row r="113" spans="16:17" ht="15.6" x14ac:dyDescent="0.25">
      <c r="P113" s="56">
        <f>'Nr(V)'!A113</f>
        <v>55.5</v>
      </c>
      <c r="Q113" s="53">
        <f>'Nr(V)'!C113</f>
        <v>15122.0126918403</v>
      </c>
    </row>
    <row r="114" spans="16:17" ht="15.6" x14ac:dyDescent="0.25">
      <c r="P114" s="56">
        <f>'Nr(V)'!A114</f>
        <v>56</v>
      </c>
      <c r="Q114" s="53">
        <f>'Nr(V)'!C114</f>
        <v>13533.2823259372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7:N37"/>
    <mergeCell ref="I54:N5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83A0-AE58-4235-983E-61FAEFDC566E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1000</v>
      </c>
      <c r="D1" s="12" t="s">
        <v>3</v>
      </c>
      <c r="G1" s="43"/>
      <c r="H1" s="44"/>
      <c r="I1" s="134" t="s">
        <v>174</v>
      </c>
      <c r="J1" s="135"/>
      <c r="K1" s="135"/>
      <c r="L1" s="135"/>
      <c r="M1" s="135"/>
      <c r="N1" s="136"/>
      <c r="P1" s="51" t="str">
        <f>'Nr(V)'!A1</f>
        <v>h</v>
      </c>
      <c r="Q1" s="53">
        <f>'Nr(V)'!D1</f>
        <v>1000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'Nr(V)'!D2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20.875565662291493</v>
      </c>
      <c r="J3" s="102">
        <f>Q44</f>
        <v>26861.739952292999</v>
      </c>
      <c r="K3" s="102">
        <f>J3/I3</f>
        <v>1286.7550698669024</v>
      </c>
      <c r="L3" s="104">
        <f ca="1">OFFSET(D23,A23-2,0,1,1)</f>
        <v>10.479794260719899</v>
      </c>
      <c r="M3" s="104">
        <f t="shared" ref="M3:M17" ca="1" si="0">OFFSET(D22,A23-2,0,1,1)</f>
        <v>3.7775123982340482</v>
      </c>
      <c r="N3" s="104">
        <f ca="1">I3*SIN(RADIANS(M3))</f>
        <v>1.3753297681709875</v>
      </c>
      <c r="P3" s="56">
        <f>'Nr(V)'!A3</f>
        <v>0.5</v>
      </c>
      <c r="Q3" s="53">
        <f>'Nr(V)'!D3</f>
        <v>764.25581709347898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22</v>
      </c>
      <c r="J4" s="21">
        <f>Q46</f>
        <v>27566.677168189301</v>
      </c>
      <c r="K4" s="21">
        <f t="shared" ref="K4:K17" si="1">J4/I4</f>
        <v>1253.030780372241</v>
      </c>
      <c r="L4" s="18">
        <f t="shared" ref="L4:L17" ca="1" si="2">OFFSET(D24,A24-2,0,1,1)</f>
        <v>9.1254556887193559</v>
      </c>
      <c r="M4" s="18">
        <f t="shared" ca="1" si="0"/>
        <v>3.8407256601146642</v>
      </c>
      <c r="N4" s="18">
        <f t="shared" ref="N4:N17" ca="1" si="3">I4*SIN(RADIANS(M4))</f>
        <v>1.4736285904569371</v>
      </c>
      <c r="P4" s="56">
        <f>'Nr(V)'!A4</f>
        <v>1</v>
      </c>
      <c r="Q4" s="53">
        <f>'Nr(V)'!D4</f>
        <v>1351.9510328997601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24</v>
      </c>
      <c r="J5" s="21">
        <f>Q50</f>
        <v>28858.859534632498</v>
      </c>
      <c r="K5" s="21">
        <f t="shared" si="1"/>
        <v>1202.4524806096874</v>
      </c>
      <c r="L5" s="18">
        <f t="shared" ca="1" si="2"/>
        <v>7.1410730572868495</v>
      </c>
      <c r="M5" s="18">
        <f t="shared" ca="1" si="0"/>
        <v>3.8368221188188567</v>
      </c>
      <c r="N5" s="18">
        <f t="shared" ca="1" si="3"/>
        <v>1.6059633829513507</v>
      </c>
      <c r="P5" s="56">
        <f>'Nr(V)'!A5</f>
        <v>1.5</v>
      </c>
      <c r="Q5" s="53">
        <f>'Nr(V)'!D5</f>
        <v>2116.1618434673001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26</v>
      </c>
      <c r="J6" s="21">
        <f>Q54</f>
        <v>30386.246005670801</v>
      </c>
      <c r="K6" s="21">
        <f t="shared" si="1"/>
        <v>1168.701769448877</v>
      </c>
      <c r="L6" s="18">
        <f t="shared" ca="1" si="2"/>
        <v>5.5723395991966225</v>
      </c>
      <c r="M6" s="18">
        <f t="shared" ca="1" si="0"/>
        <v>3.7798073959210252</v>
      </c>
      <c r="N6" s="18">
        <f t="shared" ca="1" si="3"/>
        <v>1.7139783359046987</v>
      </c>
      <c r="P6" s="56">
        <f>'Nr(V)'!A6</f>
        <v>2</v>
      </c>
      <c r="Q6" s="53">
        <f>'Nr(V)'!D6</f>
        <v>2821.5941311490001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32148.9265943561</v>
      </c>
      <c r="K7" s="21">
        <f t="shared" si="1"/>
        <v>1148.1759497984322</v>
      </c>
      <c r="L7" s="18">
        <f t="shared" ca="1" si="2"/>
        <v>4.313522732211883</v>
      </c>
      <c r="M7" s="18">
        <f t="shared" ca="1" si="0"/>
        <v>3.681768952637853</v>
      </c>
      <c r="N7" s="18">
        <f t="shared" ca="1" si="3"/>
        <v>1.7980137398193319</v>
      </c>
      <c r="P7" s="56">
        <f>'Nr(V)'!A7</f>
        <v>2.5</v>
      </c>
      <c r="Q7" s="53">
        <f>'Nr(V)'!D7</f>
        <v>3762.18551689994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33558.711013096799</v>
      </c>
      <c r="K8" s="21">
        <f t="shared" si="1"/>
        <v>1118.6237004365601</v>
      </c>
      <c r="L8" s="18">
        <f t="shared" ca="1" si="2"/>
        <v>3.2916587364737828</v>
      </c>
      <c r="M8" s="18">
        <f t="shared" ca="1" si="0"/>
        <v>3.3774428244179497</v>
      </c>
      <c r="N8" s="18">
        <f t="shared" ca="1" si="3"/>
        <v>1.7674009494159004</v>
      </c>
      <c r="P8" s="56">
        <f>'Nr(V)'!A8</f>
        <v>3</v>
      </c>
      <c r="Q8" s="53">
        <f>'Nr(V)'!D8</f>
        <v>4408.74926864395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35320.491471263304</v>
      </c>
      <c r="K9" s="21">
        <f t="shared" si="1"/>
        <v>1070.3179233716153</v>
      </c>
      <c r="L9" s="18">
        <f t="shared" ca="1" si="2"/>
        <v>2.0838938049152818</v>
      </c>
      <c r="M9" s="18">
        <f t="shared" ca="1" si="0"/>
        <v>2.6973594756125019</v>
      </c>
      <c r="N9" s="18">
        <f t="shared" ca="1" si="3"/>
        <v>1.5529937272127197</v>
      </c>
      <c r="P9" s="56">
        <f>'Nr(V)'!A9</f>
        <v>3.5</v>
      </c>
      <c r="Q9" s="53">
        <f>'Nr(V)'!D9</f>
        <v>5290.6521445609496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37435.303118952201</v>
      </c>
      <c r="K10" s="21">
        <f t="shared" si="1"/>
        <v>1039.8695310820056</v>
      </c>
      <c r="L10" s="18">
        <f t="shared" ca="1" si="2"/>
        <v>1.157232873675158</v>
      </c>
      <c r="M10" s="18">
        <f t="shared" ca="1" si="0"/>
        <v>1.9913872450301064</v>
      </c>
      <c r="N10" s="18">
        <f t="shared" ca="1" si="3"/>
        <v>1.2509736101396489</v>
      </c>
      <c r="P10" s="56">
        <f>'Nr(V)'!A10</f>
        <v>4</v>
      </c>
      <c r="Q10" s="53">
        <f>'Nr(V)'!D10</f>
        <v>6113.6864845402497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39255.772086952602</v>
      </c>
      <c r="K11" s="21">
        <f t="shared" si="1"/>
        <v>1006.5582586398103</v>
      </c>
      <c r="L11" s="18">
        <f t="shared" ca="1" si="2"/>
        <v>0.4315987753633429</v>
      </c>
      <c r="M11" s="18">
        <f t="shared" ca="1" si="0"/>
        <v>1.110544438986468</v>
      </c>
      <c r="N11" s="18">
        <f t="shared" ca="1" si="3"/>
        <v>0.75587629011138824</v>
      </c>
      <c r="P11" s="56">
        <f>'Nr(V)'!A11</f>
        <v>4.5</v>
      </c>
      <c r="Q11" s="53">
        <f>'Nr(V)'!D11</f>
        <v>6819.07376569601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38605.967865340397</v>
      </c>
      <c r="K12" s="21">
        <f t="shared" si="1"/>
        <v>919.18971107953325</v>
      </c>
      <c r="L12" s="18">
        <f t="shared" ca="1" si="2"/>
        <v>-0.14822486337060414</v>
      </c>
      <c r="M12" s="18">
        <f t="shared" ca="1" si="0"/>
        <v>-0.36884303237785659</v>
      </c>
      <c r="N12" s="18">
        <f t="shared" ca="1" si="3"/>
        <v>-0.2703741967258626</v>
      </c>
      <c r="P12" s="56">
        <f>'Nr(V)'!A12</f>
        <v>5</v>
      </c>
      <c r="Q12" s="53">
        <f>'Nr(V)'!D12</f>
        <v>7406.90400108015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36486.295512849298</v>
      </c>
      <c r="K13" s="21">
        <f t="shared" si="1"/>
        <v>829.23398892839316</v>
      </c>
      <c r="L13" s="18">
        <f t="shared" ca="1" si="2"/>
        <v>-0.47399209762257682</v>
      </c>
      <c r="M13" s="18">
        <f t="shared" ca="1" si="0"/>
        <v>-1.6938281020385542</v>
      </c>
      <c r="N13" s="18">
        <f t="shared" ca="1" si="3"/>
        <v>-1.3005771409188356</v>
      </c>
      <c r="P13" s="56">
        <f>'Nr(V)'!A13</f>
        <v>5.5</v>
      </c>
      <c r="Q13" s="53">
        <f>'Nr(V)'!D13</f>
        <v>8112.2462757099702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33954.858454475798</v>
      </c>
      <c r="K14" s="21">
        <f t="shared" si="1"/>
        <v>738.14909683643043</v>
      </c>
      <c r="L14" s="18">
        <f t="shared" ca="1" si="2"/>
        <v>-0.76071743817569148</v>
      </c>
      <c r="M14" s="18">
        <f t="shared" ca="1" si="0"/>
        <v>-3.0755780034776521</v>
      </c>
      <c r="N14" s="18">
        <f t="shared" ca="1" si="3"/>
        <v>-2.4680466282965527</v>
      </c>
      <c r="P14" s="56">
        <f>'Nr(V)'!A14</f>
        <v>6</v>
      </c>
      <c r="Q14" s="53">
        <f>'Nr(V)'!D14</f>
        <v>8582.3844457446303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30776.407579098901</v>
      </c>
      <c r="K15" s="21">
        <f t="shared" si="1"/>
        <v>641.17515789789377</v>
      </c>
      <c r="L15" s="18">
        <f t="shared" ca="1" si="2"/>
        <v>-1.0148859638741863</v>
      </c>
      <c r="M15" s="18">
        <f t="shared" ca="1" si="0"/>
        <v>-4.5540886434859855</v>
      </c>
      <c r="N15" s="18">
        <f t="shared" ca="1" si="3"/>
        <v>-3.8112084206571479</v>
      </c>
      <c r="P15" s="56">
        <f>'Nr(V)'!A15</f>
        <v>6.5</v>
      </c>
      <c r="Q15" s="53">
        <f>'Nr(V)'!D15</f>
        <v>9228.85818443674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26833.340834420898</v>
      </c>
      <c r="K16" s="21">
        <f t="shared" si="1"/>
        <v>536.66681668841795</v>
      </c>
      <c r="L16" s="18">
        <f t="shared" ca="1" si="2"/>
        <v>-1.2417740422985384</v>
      </c>
      <c r="M16" s="18">
        <f t="shared" ca="1" si="0"/>
        <v>-6.1431452900180039</v>
      </c>
      <c r="N16" s="18">
        <f t="shared" ca="1" si="3"/>
        <v>-5.3506402410727825</v>
      </c>
      <c r="P16" s="56">
        <f>'Nr(V)'!A16</f>
        <v>7</v>
      </c>
      <c r="Q16" s="53">
        <f>'Nr(V)'!D16</f>
        <v>10051.9825374679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1.1120172997678104</v>
      </c>
      <c r="D17" s="14" t="s">
        <v>73</v>
      </c>
      <c r="G17" s="45"/>
      <c r="H17" s="47"/>
      <c r="I17" s="20">
        <v>52</v>
      </c>
      <c r="J17" s="21">
        <f>Q106</f>
        <v>22125.478194338099</v>
      </c>
      <c r="K17" s="21">
        <f t="shared" si="1"/>
        <v>425.48996527573269</v>
      </c>
      <c r="L17" s="18">
        <f t="shared" ca="1" si="2"/>
        <v>-1.4455894172119743</v>
      </c>
      <c r="M17" s="18">
        <f t="shared" ca="1" si="0"/>
        <v>-7.8355784229605074</v>
      </c>
      <c r="N17" s="18">
        <f t="shared" ca="1" si="3"/>
        <v>-7.0891996045479555</v>
      </c>
      <c r="P17" s="56">
        <f>'Nr(V)'!A17</f>
        <v>7.5</v>
      </c>
      <c r="Q17" s="53">
        <f>'Nr(V)'!D17</f>
        <v>10874.9268643953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52647.130916000875</v>
      </c>
      <c r="D18" s="14" t="s">
        <v>32</v>
      </c>
      <c r="P18" s="56">
        <f>'Nr(V)'!A18</f>
        <v>8</v>
      </c>
      <c r="Q18" s="53">
        <f>'Nr(V)'!D18</f>
        <v>11403.9785768936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5.0824662547639295E-2</v>
      </c>
      <c r="D19" s="14" t="s">
        <v>7</v>
      </c>
      <c r="P19" s="56">
        <f>'Nr(V)'!A19</f>
        <v>8.5</v>
      </c>
      <c r="Q19" s="53">
        <f>'Nr(V)'!D19</f>
        <v>12403.393492056301</v>
      </c>
    </row>
    <row r="20" spans="1:28" ht="18.600000000000001" thickBot="1" x14ac:dyDescent="0.3">
      <c r="F20" s="134" t="s">
        <v>160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'Nr(V)'!D20</f>
        <v>13108.7807732121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'Nr(V)'!D21</f>
        <v>13696.5660020703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-5.6629687605891377E-9</v>
      </c>
      <c r="C22" s="25">
        <v>6.5930028884091371E-2</v>
      </c>
      <c r="D22" s="26">
        <f t="shared" ref="D22:D51" si="4">DEGREES(C22)</f>
        <v>3.7775123982340482</v>
      </c>
      <c r="F22" s="17">
        <v>1.5069999999999999</v>
      </c>
      <c r="G22" s="18">
        <v>80.83</v>
      </c>
      <c r="H22" s="20">
        <f>SQRT((2*C$15)/(C$7*C$17*F22))</f>
        <v>20.875565662291496</v>
      </c>
      <c r="I22" s="21">
        <f>C$15*SQRT((2*C$15)/(C$17*C$7*G22))</f>
        <v>18734.943994581234</v>
      </c>
      <c r="J22" s="102">
        <f>Q42</f>
        <v>25980.467167739302</v>
      </c>
      <c r="K22" s="21">
        <f>(J22-I22)</f>
        <v>7245.5231731580679</v>
      </c>
      <c r="L22" s="18">
        <f t="shared" ref="L22:L33" si="5">K22/C$15</f>
        <v>1.1023663293864114</v>
      </c>
      <c r="M22" s="18">
        <f t="shared" ref="M22:M33" si="6">DEGREES(ASIN(L22/H22))</f>
        <v>3.0269996241105366</v>
      </c>
      <c r="N22" s="18">
        <v>13.202</v>
      </c>
      <c r="P22" s="56">
        <f>'Nr(V)'!A22</f>
        <v>10</v>
      </c>
      <c r="Q22" s="53">
        <f>'Nr(V)'!D22</f>
        <v>14519.5103289976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-5.3862459026277065E-7</v>
      </c>
      <c r="C23" s="29">
        <v>0.1829069147811673</v>
      </c>
      <c r="D23" s="30">
        <f t="shared" si="4"/>
        <v>10.479794260719899</v>
      </c>
      <c r="F23" s="17">
        <v>1.4</v>
      </c>
      <c r="G23" s="18">
        <v>82.93</v>
      </c>
      <c r="H23" s="20">
        <f t="shared" ref="H23:H33" si="7">SQRT((2*C$15)/(C$7*C$17*F23))</f>
        <v>21.65862393849833</v>
      </c>
      <c r="I23" s="21">
        <f t="shared" ref="I23:I33" si="8">C$15*SQRT((2*C$15)/(C$17*C$7*G23))</f>
        <v>18496.214611172614</v>
      </c>
      <c r="J23" s="21">
        <f>Q44</f>
        <v>26861.739952292999</v>
      </c>
      <c r="K23" s="21">
        <f t="shared" ref="K23:K35" si="9">(J23-I23)</f>
        <v>8365.5253411203848</v>
      </c>
      <c r="L23" s="18">
        <f t="shared" si="5"/>
        <v>1.2727684727920616</v>
      </c>
      <c r="M23" s="18">
        <f t="shared" si="6"/>
        <v>3.3689258921627538</v>
      </c>
      <c r="N23" s="18">
        <v>11.19</v>
      </c>
      <c r="P23" s="56">
        <f>'Nr(V)'!A23</f>
        <v>10.5</v>
      </c>
      <c r="Q23" s="53">
        <f>'Nr(V)'!D23</f>
        <v>15048.51703497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1.6714523098926293E-7</v>
      </c>
      <c r="C24" s="32">
        <v>6.7033308434833544E-2</v>
      </c>
      <c r="D24" s="33">
        <f t="shared" si="4"/>
        <v>3.8407256601146642</v>
      </c>
      <c r="F24" s="17">
        <v>1.2976294821560448</v>
      </c>
      <c r="G24" s="18">
        <v>83.61</v>
      </c>
      <c r="H24" s="20">
        <f t="shared" si="7"/>
        <v>22.496736752340656</v>
      </c>
      <c r="I24" s="21">
        <f t="shared" si="8"/>
        <v>18420.846213215424</v>
      </c>
      <c r="J24" s="21">
        <f>Q45</f>
        <v>27331.7881092758</v>
      </c>
      <c r="K24" s="21">
        <f t="shared" si="9"/>
        <v>8910.9418960603762</v>
      </c>
      <c r="L24" s="18">
        <f t="shared" si="5"/>
        <v>1.355750588960454</v>
      </c>
      <c r="M24" s="18">
        <f t="shared" si="6"/>
        <v>3.4549847609471733</v>
      </c>
      <c r="N24" s="18">
        <v>9.6229999999999993</v>
      </c>
      <c r="P24" s="56">
        <f>'Nr(V)'!A24</f>
        <v>11</v>
      </c>
      <c r="Q24" s="53">
        <f>'Nr(V)'!D24</f>
        <v>15636.347270354199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0</v>
      </c>
      <c r="C25" s="35">
        <v>0.15926924751299953</v>
      </c>
      <c r="D25" s="36">
        <f>DEGREES(C25)</f>
        <v>9.1254556887193559</v>
      </c>
      <c r="F25" s="17">
        <v>1.1970000000000001</v>
      </c>
      <c r="G25" s="18">
        <v>82.42</v>
      </c>
      <c r="H25" s="20">
        <f t="shared" si="7"/>
        <v>23.423285033599683</v>
      </c>
      <c r="I25" s="21">
        <f t="shared" si="8"/>
        <v>18553.351967975676</v>
      </c>
      <c r="J25" s="21">
        <f>Q48</f>
        <v>28212.655835096</v>
      </c>
      <c r="K25" s="21">
        <f t="shared" si="9"/>
        <v>9659.3038671203249</v>
      </c>
      <c r="L25" s="18">
        <f t="shared" si="5"/>
        <v>1.4696097292011385</v>
      </c>
      <c r="M25" s="18">
        <f t="shared" si="6"/>
        <v>3.5971801805394414</v>
      </c>
      <c r="N25" s="18">
        <v>8.0570000000000004</v>
      </c>
      <c r="P25" s="56">
        <f>'Nr(V)'!A25</f>
        <v>11.5</v>
      </c>
      <c r="Q25" s="53">
        <f>'Nr(V)'!D25</f>
        <v>16341.689544983999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2.3874235921539366E-12</v>
      </c>
      <c r="C26" s="25">
        <v>6.6965178786734136E-2</v>
      </c>
      <c r="D26" s="26">
        <f t="shared" si="4"/>
        <v>3.8368221188188567</v>
      </c>
      <c r="F26" s="17">
        <v>0.99199999999999999</v>
      </c>
      <c r="G26" s="18">
        <v>77.64</v>
      </c>
      <c r="H26" s="20">
        <f t="shared" si="7"/>
        <v>25.729955933340875</v>
      </c>
      <c r="I26" s="21">
        <f t="shared" si="8"/>
        <v>19115.95173026076</v>
      </c>
      <c r="J26" s="21">
        <f>Q52</f>
        <v>29622.5302668886</v>
      </c>
      <c r="K26" s="21">
        <f t="shared" si="9"/>
        <v>10506.57853662784</v>
      </c>
      <c r="L26" s="18">
        <f t="shared" si="5"/>
        <v>1.5985178901559236</v>
      </c>
      <c r="M26" s="18">
        <f t="shared" si="6"/>
        <v>3.5618929581648331</v>
      </c>
      <c r="N26" s="18">
        <v>6.1870000000000003</v>
      </c>
      <c r="P26" s="56">
        <f>'Nr(V)'!A26</f>
        <v>12</v>
      </c>
      <c r="Q26" s="53">
        <f>'Nr(V)'!D26</f>
        <v>17223.547414375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0</v>
      </c>
      <c r="C27" s="29">
        <v>0.12463523697511317</v>
      </c>
      <c r="D27" s="30">
        <f t="shared" si="4"/>
        <v>7.1410730572868495</v>
      </c>
      <c r="F27" s="17">
        <v>0.89051118930908912</v>
      </c>
      <c r="G27" s="18">
        <v>71.59</v>
      </c>
      <c r="H27" s="20">
        <f t="shared" si="7"/>
        <v>27.156587035258685</v>
      </c>
      <c r="I27" s="21">
        <f t="shared" si="8"/>
        <v>19907.306697389587</v>
      </c>
      <c r="J27" s="21">
        <f>Q55</f>
        <v>30856.429182231401</v>
      </c>
      <c r="K27" s="21">
        <f t="shared" si="9"/>
        <v>10949.122484841813</v>
      </c>
      <c r="L27" s="18">
        <f t="shared" si="5"/>
        <v>1.6658485074386191</v>
      </c>
      <c r="M27" s="18">
        <f t="shared" si="6"/>
        <v>3.5168649499042299</v>
      </c>
      <c r="N27" s="18">
        <v>5.3460000000000001</v>
      </c>
      <c r="P27" s="56">
        <f>'Nr(V)'!A27</f>
        <v>12.5</v>
      </c>
      <c r="Q27" s="53">
        <f>'Nr(V)'!D27</f>
        <v>17752.419100769599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1.3642420526593924E-12</v>
      </c>
      <c r="C28" s="32">
        <v>6.5970084150054772E-2</v>
      </c>
      <c r="D28" s="33">
        <f t="shared" si="4"/>
        <v>3.7798073959210252</v>
      </c>
      <c r="F28" s="17">
        <v>0.78877734406717104</v>
      </c>
      <c r="G28" s="18">
        <v>62.64</v>
      </c>
      <c r="H28" s="20">
        <f t="shared" si="7"/>
        <v>28.85477316276631</v>
      </c>
      <c r="I28" s="21">
        <f t="shared" si="8"/>
        <v>21282.018385657564</v>
      </c>
      <c r="J28" s="21">
        <f>Q58</f>
        <v>32148.9265943561</v>
      </c>
      <c r="K28" s="21">
        <f t="shared" si="9"/>
        <v>10866.908208698536</v>
      </c>
      <c r="L28" s="18">
        <f t="shared" si="5"/>
        <v>1.653340059442624</v>
      </c>
      <c r="M28" s="18">
        <f t="shared" si="6"/>
        <v>3.2847708989109479</v>
      </c>
      <c r="N28" s="18">
        <v>4.1539999999999999</v>
      </c>
      <c r="P28" s="56">
        <f>'Nr(V)'!A28</f>
        <v>13</v>
      </c>
      <c r="Q28" s="53">
        <f>'Nr(V)'!D28</f>
        <v>18222.557270804198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0</v>
      </c>
      <c r="C29" s="35">
        <v>9.7255673045242227E-2</v>
      </c>
      <c r="D29" s="36">
        <f t="shared" si="4"/>
        <v>5.5723395991966225</v>
      </c>
      <c r="F29" s="17">
        <v>0.68820194072740959</v>
      </c>
      <c r="G29" s="18">
        <v>51.95</v>
      </c>
      <c r="H29" s="20">
        <f t="shared" si="7"/>
        <v>30.891353124852685</v>
      </c>
      <c r="I29" s="21">
        <f t="shared" si="8"/>
        <v>23369.311236505135</v>
      </c>
      <c r="J29" s="21">
        <f>Q62</f>
        <v>33558.711013096799</v>
      </c>
      <c r="K29" s="21">
        <f t="shared" si="9"/>
        <v>10189.399776591665</v>
      </c>
      <c r="L29" s="18">
        <f t="shared" si="5"/>
        <v>1.5502608937866726</v>
      </c>
      <c r="M29" s="18">
        <f t="shared" si="6"/>
        <v>2.8765567958523652</v>
      </c>
      <c r="N29" s="18">
        <v>3.0790000000000002</v>
      </c>
      <c r="P29" s="56">
        <f>'Nr(V)'!A29</f>
        <v>13.5</v>
      </c>
      <c r="Q29" s="53">
        <f>'Nr(V)'!D29</f>
        <v>18692.605427786999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-8.5884960299154045E-7</v>
      </c>
      <c r="C30" s="25">
        <v>6.4258990521233697E-2</v>
      </c>
      <c r="D30" s="26">
        <f t="shared" si="4"/>
        <v>3.681768952637853</v>
      </c>
      <c r="F30" s="17">
        <v>0.58038845302154896</v>
      </c>
      <c r="G30" s="18">
        <v>39.369999999999997</v>
      </c>
      <c r="H30" s="20">
        <f t="shared" si="7"/>
        <v>33.63841287527859</v>
      </c>
      <c r="I30" s="21">
        <f t="shared" si="8"/>
        <v>26844.540911864391</v>
      </c>
      <c r="J30" s="21">
        <f>Q67</f>
        <v>35026.8238894639</v>
      </c>
      <c r="K30" s="21">
        <f t="shared" si="9"/>
        <v>8182.2829775995087</v>
      </c>
      <c r="L30" s="18">
        <f t="shared" si="5"/>
        <v>1.2448891593408353</v>
      </c>
      <c r="M30" s="18">
        <f t="shared" si="6"/>
        <v>2.12088443426769</v>
      </c>
      <c r="N30" s="18">
        <v>2.073</v>
      </c>
      <c r="P30" s="56">
        <f>'Nr(V)'!A30</f>
        <v>14</v>
      </c>
      <c r="Q30" s="53">
        <f>'Nr(V)'!D30</f>
        <v>19103.8750618839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0</v>
      </c>
      <c r="C31" s="29">
        <v>7.5285174036719027E-2</v>
      </c>
      <c r="D31" s="30">
        <f t="shared" si="4"/>
        <v>4.313522732211883</v>
      </c>
      <c r="F31" s="17">
        <v>0.483331925835703</v>
      </c>
      <c r="G31" s="18">
        <v>27.9</v>
      </c>
      <c r="H31" s="20">
        <f t="shared" si="7"/>
        <v>36.861426424712938</v>
      </c>
      <c r="I31" s="21">
        <f t="shared" si="8"/>
        <v>31888.68326775933</v>
      </c>
      <c r="J31" s="21">
        <f>Q73</f>
        <v>37023.988478329302</v>
      </c>
      <c r="K31" s="21">
        <f t="shared" si="9"/>
        <v>5135.3052105699717</v>
      </c>
      <c r="L31" s="18">
        <f t="shared" si="5"/>
        <v>0.7813083223895767</v>
      </c>
      <c r="M31" s="18">
        <f t="shared" si="6"/>
        <v>1.2145222341551514</v>
      </c>
      <c r="N31" s="18">
        <v>1.2330000000000001</v>
      </c>
      <c r="P31" s="56">
        <f>'Nr(V)'!A31</f>
        <v>14.5</v>
      </c>
      <c r="Q31" s="53">
        <f>'Nr(V)'!D31</f>
        <v>19279.895584859802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1.4137356174614979E-7</v>
      </c>
      <c r="C32" s="32">
        <v>5.8947497583949959E-2</v>
      </c>
      <c r="D32" s="33">
        <f t="shared" si="4"/>
        <v>3.3774428244179497</v>
      </c>
      <c r="F32" s="17">
        <v>0.38026543690183146</v>
      </c>
      <c r="G32" s="18">
        <v>16.61</v>
      </c>
      <c r="H32" s="20">
        <f t="shared" si="7"/>
        <v>41.557695043681953</v>
      </c>
      <c r="I32" s="21">
        <f t="shared" si="8"/>
        <v>41328.902472892427</v>
      </c>
      <c r="J32" s="21">
        <f>Q82</f>
        <v>39372.519015257203</v>
      </c>
      <c r="K32" s="21">
        <f t="shared" si="9"/>
        <v>-1956.3834576352237</v>
      </c>
      <c r="L32" s="18">
        <f t="shared" si="5"/>
        <v>-0.29765293678932914</v>
      </c>
      <c r="M32" s="18">
        <f t="shared" si="6"/>
        <v>-0.41037894033982714</v>
      </c>
      <c r="N32" s="18">
        <v>0.39200000000000002</v>
      </c>
      <c r="P32" s="56">
        <f>'Nr(V)'!A32</f>
        <v>15</v>
      </c>
      <c r="Q32" s="53">
        <f>'Nr(V)'!D32</f>
        <v>19749.988748368502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5.7450282803503873E-2</v>
      </c>
      <c r="D33" s="36">
        <f t="shared" si="4"/>
        <v>3.2916587364737828</v>
      </c>
      <c r="F33" s="105">
        <v>0.33400000000000002</v>
      </c>
      <c r="G33" s="105">
        <v>12.24</v>
      </c>
      <c r="H33" s="20">
        <f t="shared" si="7"/>
        <v>44.342650130296391</v>
      </c>
      <c r="I33" s="21">
        <f t="shared" si="8"/>
        <v>48144.643994682134</v>
      </c>
      <c r="J33" s="21">
        <f>Q87</f>
        <v>38193.618074620797</v>
      </c>
      <c r="K33" s="21">
        <f t="shared" si="9"/>
        <v>-9951.0259200613364</v>
      </c>
      <c r="L33" s="18">
        <f t="shared" si="5"/>
        <v>-1.5139936281986603</v>
      </c>
      <c r="M33" s="18">
        <f t="shared" si="6"/>
        <v>-1.956633344896445</v>
      </c>
      <c r="N33" s="18">
        <v>-0.13300000000000001</v>
      </c>
      <c r="P33" s="56">
        <f>'Nr(V)'!A33</f>
        <v>15.5</v>
      </c>
      <c r="Q33" s="53">
        <f>'Nr(V)'!D33</f>
        <v>20337.7739772266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-9.0434696176089346E-8</v>
      </c>
      <c r="C34" s="25">
        <v>4.7077803959305844E-2</v>
      </c>
      <c r="D34" s="26">
        <f t="shared" si="4"/>
        <v>2.6973594756125019</v>
      </c>
      <c r="F34" s="17">
        <v>0.27900000000000003</v>
      </c>
      <c r="G34" s="18">
        <v>7.83</v>
      </c>
      <c r="H34" s="20">
        <f>SQRT((2*C$15)/(C$7*C$17*F34))</f>
        <v>48.516870186923668</v>
      </c>
      <c r="I34" s="21">
        <f>C$15*SQRT((2*C$15)/(C$17*C$7*G34))</f>
        <v>60194.638071340982</v>
      </c>
      <c r="J34" s="21">
        <f>Q95</f>
        <v>33189.702506863403</v>
      </c>
      <c r="K34" s="21">
        <f t="shared" si="9"/>
        <v>-27004.935564477579</v>
      </c>
      <c r="L34" s="18">
        <f>K34/C$15</f>
        <v>-4.1086517815323349</v>
      </c>
      <c r="M34" s="18">
        <f>DEGREES(ASIN(L34/H34))</f>
        <v>-4.8579121349511825</v>
      </c>
      <c r="N34" s="18">
        <v>-0.8</v>
      </c>
      <c r="P34" s="56">
        <f>'Nr(V)'!A34</f>
        <v>16</v>
      </c>
      <c r="Q34" s="53">
        <f>'Nr(V)'!D34</f>
        <v>21043.1162518565</v>
      </c>
    </row>
    <row r="35" spans="1:17" ht="15.6" x14ac:dyDescent="0.25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3.6370808157684058E-2</v>
      </c>
      <c r="D35" s="30">
        <f t="shared" si="4"/>
        <v>2.0838938049152818</v>
      </c>
      <c r="F35" s="39">
        <v>0.22900000000000001</v>
      </c>
      <c r="G35" s="39">
        <v>4.72</v>
      </c>
      <c r="H35" s="40">
        <f>SQRT((2*C$15)/(C$7*C$17*F35))</f>
        <v>53.552177848187334</v>
      </c>
      <c r="I35" s="41">
        <f>C$15*SQRT((2*C$15)/(C$17*C$7*G35))</f>
        <v>77529.626053345797</v>
      </c>
      <c r="J35" s="41">
        <f>Q105</f>
        <v>23420.0459066564</v>
      </c>
      <c r="K35" s="41">
        <f t="shared" si="9"/>
        <v>-54109.580146689397</v>
      </c>
      <c r="L35" s="42">
        <f>K35/C$15</f>
        <v>-8.2324737393596834</v>
      </c>
      <c r="M35" s="42">
        <f t="shared" ref="M35" si="10">DEGREES(ASIN(L35/H35))</f>
        <v>-8.8430367988547616</v>
      </c>
      <c r="N35" s="42">
        <v>-1.3260000000000001</v>
      </c>
      <c r="P35" s="56">
        <f>'Nr(V)'!A35</f>
        <v>16.5</v>
      </c>
      <c r="Q35" s="53">
        <f>'Nr(V)'!D35</f>
        <v>21630.856474188698</v>
      </c>
    </row>
    <row r="36" spans="1:17" ht="16.2" thickBot="1" x14ac:dyDescent="0.3">
      <c r="A36" s="31">
        <v>15</v>
      </c>
      <c r="B36" s="24">
        <f>-K10*COS(C36+C37-C$3)+0.5*C$17*C$7*C$5*(C37-C$8)*I10^2*SIN(C36)+0.5*C$17*C$7*(C$11+1/PI()/C$10*C$5^2*(C37-C$8)^2)*I10^2*COS(C36)</f>
        <v>3.7098629945830908E-7</v>
      </c>
      <c r="C36" s="32">
        <v>3.4756264107994442E-2</v>
      </c>
      <c r="D36" s="33">
        <f t="shared" si="4"/>
        <v>1.9913872450301064</v>
      </c>
      <c r="F36" s="58"/>
      <c r="G36" s="59"/>
      <c r="H36" s="60"/>
      <c r="I36" s="61"/>
      <c r="J36" s="61"/>
      <c r="K36" s="61"/>
      <c r="L36" s="59"/>
      <c r="M36" s="59"/>
      <c r="N36" s="59"/>
      <c r="P36" s="56">
        <f>'Nr(V)'!A36</f>
        <v>17</v>
      </c>
      <c r="Q36" s="53">
        <f>'Nr(V)'!D36</f>
        <v>22101.0846572753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2.0197523857947122E-2</v>
      </c>
      <c r="D37" s="36">
        <f t="shared" si="4"/>
        <v>1.157232873675158</v>
      </c>
      <c r="F37" s="134" t="s">
        <v>190</v>
      </c>
      <c r="G37" s="135"/>
      <c r="H37" s="135"/>
      <c r="I37" s="135"/>
      <c r="J37" s="135"/>
      <c r="K37" s="135"/>
      <c r="L37" s="135"/>
      <c r="M37" s="135"/>
      <c r="N37" s="136"/>
      <c r="P37" s="56">
        <f>'Nr(V)'!A37</f>
        <v>17.5</v>
      </c>
      <c r="Q37" s="53">
        <f>'Nr(V)'!D37</f>
        <v>22982.852513614402</v>
      </c>
    </row>
    <row r="38" spans="1:17" ht="18.600000000000001" thickBot="1" x14ac:dyDescent="0.3">
      <c r="A38" s="23">
        <v>17</v>
      </c>
      <c r="B38" s="24">
        <f>-K11*COS(C38+C39-C$3)+0.5*C$17*C$7*C$5*(C39-C$8)*I11^2*SIN(C38)+0.5*C$17*C$7*(C$11+1/PI()/C$10*C$5^2*(C39-C$8)^2)*I11^2*COS(C38)</f>
        <v>4.4337866711430252E-12</v>
      </c>
      <c r="C38" s="25">
        <v>1.9382656950027145E-2</v>
      </c>
      <c r="D38" s="26">
        <f t="shared" si="4"/>
        <v>1.110544438986468</v>
      </c>
      <c r="F38" s="95" t="s">
        <v>1</v>
      </c>
      <c r="G38" s="95" t="s">
        <v>2</v>
      </c>
      <c r="H38" s="95" t="s">
        <v>76</v>
      </c>
      <c r="I38" s="95" t="s">
        <v>81</v>
      </c>
      <c r="J38" s="95" t="s">
        <v>77</v>
      </c>
      <c r="K38" s="95" t="s">
        <v>82</v>
      </c>
      <c r="L38" s="95" t="s">
        <v>80</v>
      </c>
      <c r="M38" s="95" t="s">
        <v>85</v>
      </c>
      <c r="N38" s="95" t="s">
        <v>79</v>
      </c>
      <c r="P38" s="56">
        <f>'Nr(V)'!A38</f>
        <v>18</v>
      </c>
      <c r="Q38" s="53">
        <f>'Nr(V)'!D38</f>
        <v>23747.018317655999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7.5328196776657192E-3</v>
      </c>
      <c r="D39" s="30">
        <f t="shared" si="4"/>
        <v>0.4315987753633429</v>
      </c>
      <c r="F39" s="98">
        <f t="shared" ref="F39:G52" si="11">F22</f>
        <v>1.5069999999999999</v>
      </c>
      <c r="G39" s="96">
        <f t="shared" si="11"/>
        <v>80.83</v>
      </c>
      <c r="H39" s="103">
        <f t="shared" ref="H39:H52" si="12">SQRT((2*C$2)/(C$7*C$17*F39))</f>
        <v>21.489683801374792</v>
      </c>
      <c r="I39" s="102">
        <f t="shared" ref="I39:I52" si="13">C$2*SQRT((2*C$2)/(C$17*C$7*G39))</f>
        <v>20437.497562053468</v>
      </c>
      <c r="J39" s="102">
        <f>Q45</f>
        <v>27331.7881092758</v>
      </c>
      <c r="K39" s="102">
        <f>(J39-I39)</f>
        <v>6894.290547222332</v>
      </c>
      <c r="L39" s="104">
        <f t="shared" ref="L39:L52" si="14">K39/C$2</f>
        <v>0.98983367750963114</v>
      </c>
      <c r="M39" s="104">
        <f>DEGREES(ASIN(L39/H39))</f>
        <v>2.6400279174448258</v>
      </c>
      <c r="N39" s="97">
        <f t="shared" ref="N39:N52" si="15">N22</f>
        <v>13.202</v>
      </c>
      <c r="P39" s="56">
        <f>'Nr(V)'!A39</f>
        <v>18.5</v>
      </c>
      <c r="Q39" s="53">
        <f>'Nr(V)'!D39</f>
        <v>24511.229128223498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-3.0092667202552548E-7</v>
      </c>
      <c r="C40" s="32">
        <v>-6.4375253380336474E-3</v>
      </c>
      <c r="D40" s="33">
        <f t="shared" si="4"/>
        <v>-0.36884303237785659</v>
      </c>
      <c r="F40" s="99">
        <f t="shared" si="11"/>
        <v>1.4</v>
      </c>
      <c r="G40" s="38">
        <f t="shared" si="11"/>
        <v>82.93</v>
      </c>
      <c r="H40" s="20">
        <f t="shared" si="12"/>
        <v>22.295778114025257</v>
      </c>
      <c r="I40" s="21">
        <f t="shared" si="13"/>
        <v>20177.073448012063</v>
      </c>
      <c r="J40" s="21">
        <f>Q47</f>
        <v>27801.521220576898</v>
      </c>
      <c r="K40" s="21">
        <f t="shared" ref="K40:K52" si="16">(J40-I40)</f>
        <v>7624.4477725648358</v>
      </c>
      <c r="L40" s="18">
        <f t="shared" si="14"/>
        <v>1.09466450913337</v>
      </c>
      <c r="M40" s="18">
        <f t="shared" ref="M40:M52" si="17">DEGREES(ASIN(L40/H40))</f>
        <v>2.8142046261556319</v>
      </c>
      <c r="N40" s="19">
        <f t="shared" si="15"/>
        <v>11.19</v>
      </c>
      <c r="P40" s="56">
        <f>'Nr(V)'!A40</f>
        <v>19</v>
      </c>
      <c r="Q40" s="53">
        <f>'Nr(V)'!D40</f>
        <v>25040.145821144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-2.5870118991357821E-3</v>
      </c>
      <c r="D41" s="36">
        <f t="shared" si="4"/>
        <v>-0.14822486337060414</v>
      </c>
      <c r="F41" s="99">
        <f t="shared" si="11"/>
        <v>1.2976294821560448</v>
      </c>
      <c r="G41" s="38">
        <f t="shared" si="11"/>
        <v>83.61</v>
      </c>
      <c r="H41" s="20">
        <f t="shared" si="12"/>
        <v>23.158546560673187</v>
      </c>
      <c r="I41" s="21">
        <f t="shared" si="13"/>
        <v>20094.855884407309</v>
      </c>
      <c r="J41" s="21">
        <f>Q48</f>
        <v>28212.655835096</v>
      </c>
      <c r="K41" s="21">
        <f t="shared" si="16"/>
        <v>8117.7999506886918</v>
      </c>
      <c r="L41" s="18">
        <f t="shared" si="14"/>
        <v>1.1654965399906234</v>
      </c>
      <c r="M41" s="18">
        <f t="shared" si="17"/>
        <v>2.8847343211179082</v>
      </c>
      <c r="N41" s="19">
        <f t="shared" si="15"/>
        <v>9.6229999999999993</v>
      </c>
      <c r="P41" s="56">
        <f>'Nr(V)'!A41</f>
        <v>19.5</v>
      </c>
      <c r="Q41" s="53">
        <f>'Nr(V)'!D41</f>
        <v>25745.398082721898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-6.9429495397343999E-7</v>
      </c>
      <c r="C42" s="25">
        <v>-2.9562877343379246E-2</v>
      </c>
      <c r="D42" s="26">
        <f t="shared" si="4"/>
        <v>-1.6938281020385542</v>
      </c>
      <c r="F42" s="99">
        <f t="shared" si="11"/>
        <v>1.1970000000000001</v>
      </c>
      <c r="G42" s="38">
        <f t="shared" si="11"/>
        <v>82.42</v>
      </c>
      <c r="H42" s="20">
        <f t="shared" si="12"/>
        <v>24.112352072488864</v>
      </c>
      <c r="I42" s="21">
        <f t="shared" si="13"/>
        <v>20239.403209483593</v>
      </c>
      <c r="J42" s="21">
        <f>Q50</f>
        <v>28858.859534632498</v>
      </c>
      <c r="K42" s="21">
        <f t="shared" si="16"/>
        <v>8619.4563251489053</v>
      </c>
      <c r="L42" s="18">
        <f t="shared" si="14"/>
        <v>1.2375208288680573</v>
      </c>
      <c r="M42" s="18">
        <f t="shared" si="17"/>
        <v>2.941889915682022</v>
      </c>
      <c r="N42" s="19">
        <f t="shared" si="15"/>
        <v>8.0570000000000004</v>
      </c>
      <c r="P42" s="56">
        <f>'Nr(V)'!A42</f>
        <v>20</v>
      </c>
      <c r="Q42" s="53">
        <f>'Nr(V)'!D42</f>
        <v>25980.467167739302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-8.2727227319483523E-3</v>
      </c>
      <c r="D43" s="30">
        <f t="shared" si="4"/>
        <v>-0.47399209762257682</v>
      </c>
      <c r="F43" s="99">
        <f t="shared" si="11"/>
        <v>0.99199999999999999</v>
      </c>
      <c r="G43" s="38">
        <f t="shared" si="11"/>
        <v>77.64</v>
      </c>
      <c r="H43" s="20">
        <f t="shared" si="12"/>
        <v>26.486880699457327</v>
      </c>
      <c r="I43" s="21">
        <f t="shared" si="13"/>
        <v>20853.129691582439</v>
      </c>
      <c r="J43" s="21">
        <f>Q55</f>
        <v>30856.429182231401</v>
      </c>
      <c r="K43" s="21">
        <f t="shared" si="16"/>
        <v>10003.299490648962</v>
      </c>
      <c r="L43" s="18">
        <f t="shared" si="14"/>
        <v>1.4362032836066907</v>
      </c>
      <c r="M43" s="18">
        <f t="shared" si="17"/>
        <v>3.1082846064331773</v>
      </c>
      <c r="N43" s="19">
        <f t="shared" si="15"/>
        <v>6.1870000000000003</v>
      </c>
      <c r="P43" s="56">
        <f>'Nr(V)'!A43</f>
        <v>20.5</v>
      </c>
      <c r="Q43" s="53">
        <f>'Nr(V)'!D43</f>
        <v>26744.497952203001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1.2035343388561159E-8</v>
      </c>
      <c r="C44" s="32">
        <v>-5.3678962562598638E-2</v>
      </c>
      <c r="D44" s="33">
        <f t="shared" si="4"/>
        <v>-3.0755780034776521</v>
      </c>
      <c r="F44" s="99">
        <f t="shared" si="11"/>
        <v>0.89051118930908912</v>
      </c>
      <c r="G44" s="38">
        <f t="shared" si="11"/>
        <v>71.59</v>
      </c>
      <c r="H44" s="20">
        <f t="shared" si="12"/>
        <v>27.955480486278876</v>
      </c>
      <c r="I44" s="21">
        <f t="shared" si="13"/>
        <v>21716.399697411769</v>
      </c>
      <c r="J44" s="21">
        <f>Q58</f>
        <v>32148.9265943561</v>
      </c>
      <c r="K44" s="21">
        <f t="shared" si="16"/>
        <v>10432.526896944331</v>
      </c>
      <c r="L44" s="18">
        <f t="shared" si="14"/>
        <v>1.497828731381363</v>
      </c>
      <c r="M44" s="18">
        <f t="shared" si="17"/>
        <v>3.071325437914096</v>
      </c>
      <c r="N44" s="19">
        <f t="shared" si="15"/>
        <v>5.3460000000000001</v>
      </c>
      <c r="P44" s="56">
        <f>'Nr(V)'!A44</f>
        <v>21</v>
      </c>
      <c r="Q44" s="53">
        <f>'Nr(V)'!D44</f>
        <v>26861.739952292999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-1.3277023973502222E-2</v>
      </c>
      <c r="D45" s="36">
        <f t="shared" si="4"/>
        <v>-0.76071743817569148</v>
      </c>
      <c r="F45" s="99">
        <f t="shared" si="11"/>
        <v>0.78877734406717104</v>
      </c>
      <c r="G45" s="38">
        <f t="shared" si="11"/>
        <v>62.64</v>
      </c>
      <c r="H45" s="20">
        <f t="shared" si="12"/>
        <v>29.70362391416883</v>
      </c>
      <c r="I45" s="21">
        <f t="shared" si="13"/>
        <v>23216.03945003817</v>
      </c>
      <c r="J45" s="21">
        <f>Q61</f>
        <v>33206.219901885699</v>
      </c>
      <c r="K45" s="21">
        <f t="shared" si="16"/>
        <v>9990.1804518475292</v>
      </c>
      <c r="L45" s="18">
        <f t="shared" si="14"/>
        <v>1.4343197444182465</v>
      </c>
      <c r="M45" s="18">
        <f t="shared" si="17"/>
        <v>2.7677578450035236</v>
      </c>
      <c r="N45" s="19">
        <f t="shared" si="15"/>
        <v>4.1539999999999999</v>
      </c>
      <c r="P45" s="56">
        <f>'Nr(V)'!A45</f>
        <v>21.5</v>
      </c>
      <c r="Q45" s="53">
        <f>'Nr(V)'!D45</f>
        <v>27331.7881092758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-4.6248032958828844E-8</v>
      </c>
      <c r="C46" s="25">
        <v>-7.9483841256512658E-2</v>
      </c>
      <c r="D46" s="26">
        <f t="shared" si="4"/>
        <v>-4.5540886434859855</v>
      </c>
      <c r="F46" s="99">
        <f t="shared" si="11"/>
        <v>0.68820194072740959</v>
      </c>
      <c r="G46" s="38">
        <f t="shared" si="11"/>
        <v>51.95</v>
      </c>
      <c r="H46" s="20">
        <f t="shared" si="12"/>
        <v>31.800116058595254</v>
      </c>
      <c r="I46" s="21">
        <f t="shared" si="13"/>
        <v>25493.016769149832</v>
      </c>
      <c r="J46" s="21">
        <f>Q66</f>
        <v>34556.865745533098</v>
      </c>
      <c r="K46" s="21">
        <f t="shared" si="16"/>
        <v>9063.8489763832658</v>
      </c>
      <c r="L46" s="18">
        <f t="shared" si="14"/>
        <v>1.3013235956961515</v>
      </c>
      <c r="M46" s="18">
        <f t="shared" si="17"/>
        <v>2.3453114217895452</v>
      </c>
      <c r="N46" s="19">
        <f t="shared" si="15"/>
        <v>3.0790000000000002</v>
      </c>
      <c r="P46" s="56">
        <f>'Nr(V)'!A46</f>
        <v>22</v>
      </c>
      <c r="Q46" s="53">
        <f>'Nr(V)'!D46</f>
        <v>27566.677168189301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0</v>
      </c>
      <c r="C47" s="29">
        <v>-1.7713101601880776E-2</v>
      </c>
      <c r="D47" s="30">
        <f t="shared" si="4"/>
        <v>-1.0148859638741863</v>
      </c>
      <c r="F47" s="99">
        <f t="shared" si="11"/>
        <v>0.58038845302154896</v>
      </c>
      <c r="G47" s="38">
        <f t="shared" si="11"/>
        <v>39.369999999999997</v>
      </c>
      <c r="H47" s="20">
        <f t="shared" si="12"/>
        <v>34.627988911246668</v>
      </c>
      <c r="I47" s="21">
        <f t="shared" si="13"/>
        <v>29284.060822351883</v>
      </c>
      <c r="J47" s="21">
        <f>Q71</f>
        <v>36377.919798370698</v>
      </c>
      <c r="K47" s="21">
        <f t="shared" si="16"/>
        <v>7093.8589760188152</v>
      </c>
      <c r="L47" s="18">
        <f t="shared" si="14"/>
        <v>1.0184863068755388</v>
      </c>
      <c r="M47" s="18">
        <f t="shared" si="17"/>
        <v>1.6854395995491744</v>
      </c>
      <c r="N47" s="19">
        <f t="shared" si="15"/>
        <v>2.073</v>
      </c>
      <c r="P47" s="56">
        <f>'Nr(V)'!A47</f>
        <v>22.5</v>
      </c>
      <c r="Q47" s="53">
        <f>'Nr(V)'!D47</f>
        <v>27801.521220576898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7.2884881774371024E-7</v>
      </c>
      <c r="C48" s="32">
        <v>-0.10721811173919611</v>
      </c>
      <c r="D48" s="33">
        <f t="shared" si="4"/>
        <v>-6.1431452900180039</v>
      </c>
      <c r="F48" s="99">
        <f t="shared" si="11"/>
        <v>0.483331925835703</v>
      </c>
      <c r="G48" s="38">
        <f t="shared" si="11"/>
        <v>27.9</v>
      </c>
      <c r="H48" s="20">
        <f t="shared" si="12"/>
        <v>37.945817188829643</v>
      </c>
      <c r="I48" s="21">
        <f t="shared" si="13"/>
        <v>34786.593796620196</v>
      </c>
      <c r="J48" s="21">
        <f>Q78</f>
        <v>39021.468112876297</v>
      </c>
      <c r="K48" s="21">
        <f t="shared" si="16"/>
        <v>4234.8743162561004</v>
      </c>
      <c r="L48" s="18">
        <f t="shared" si="14"/>
        <v>0.60801342640537825</v>
      </c>
      <c r="M48" s="18">
        <f t="shared" si="17"/>
        <v>0.91810103586792946</v>
      </c>
      <c r="N48" s="19">
        <f t="shared" si="15"/>
        <v>1.2330000000000001</v>
      </c>
      <c r="P48" s="56">
        <f>'Nr(V)'!A48</f>
        <v>23</v>
      </c>
      <c r="Q48" s="53">
        <f>'Nr(V)'!D48</f>
        <v>28212.655835096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-2.1673045603908828E-2</v>
      </c>
      <c r="D49" s="36">
        <f t="shared" si="4"/>
        <v>-1.2417740422985384</v>
      </c>
      <c r="F49" s="99">
        <f t="shared" si="11"/>
        <v>0.38026543690183146</v>
      </c>
      <c r="G49" s="38">
        <f t="shared" si="11"/>
        <v>16.61</v>
      </c>
      <c r="H49" s="20">
        <f t="shared" si="12"/>
        <v>42.780240806401928</v>
      </c>
      <c r="I49" s="21">
        <f t="shared" si="13"/>
        <v>45084.700748312243</v>
      </c>
      <c r="J49" s="21">
        <f>Q88</f>
        <v>37604.887708717702</v>
      </c>
      <c r="K49" s="21">
        <f t="shared" si="16"/>
        <v>-7479.8130395945409</v>
      </c>
      <c r="L49" s="18">
        <f t="shared" si="14"/>
        <v>-1.0738988728940777</v>
      </c>
      <c r="M49" s="18">
        <f t="shared" si="17"/>
        <v>-1.4384289530621786</v>
      </c>
      <c r="N49" s="19">
        <f t="shared" si="15"/>
        <v>0.39200000000000002</v>
      </c>
      <c r="P49" s="56">
        <f>'Nr(V)'!A49</f>
        <v>23.5</v>
      </c>
      <c r="Q49" s="53">
        <f>'Nr(V)'!D49</f>
        <v>28506.3234168954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4.5493379730032757E-8</v>
      </c>
      <c r="C50" s="25">
        <v>-0.1367566422788857</v>
      </c>
      <c r="D50" s="26">
        <f t="shared" si="4"/>
        <v>-7.8355784229605074</v>
      </c>
      <c r="F50" s="99">
        <f t="shared" si="11"/>
        <v>0.33400000000000002</v>
      </c>
      <c r="G50" s="38">
        <f t="shared" si="11"/>
        <v>12.24</v>
      </c>
      <c r="H50" s="20">
        <f t="shared" si="12"/>
        <v>45.6471238016005</v>
      </c>
      <c r="I50" s="21">
        <f t="shared" si="13"/>
        <v>52519.828431397546</v>
      </c>
      <c r="J50" s="21">
        <f>Q93</f>
        <v>34543.6788334308</v>
      </c>
      <c r="K50" s="21">
        <f t="shared" si="16"/>
        <v>-17976.149597966745</v>
      </c>
      <c r="L50" s="18">
        <f t="shared" si="14"/>
        <v>-2.580888946026151</v>
      </c>
      <c r="M50" s="18">
        <f t="shared" si="17"/>
        <v>-3.2412325653215261</v>
      </c>
      <c r="N50" s="19">
        <f t="shared" si="15"/>
        <v>-0.13300000000000001</v>
      </c>
      <c r="P50" s="56">
        <f>'Nr(V)'!A50</f>
        <v>24</v>
      </c>
      <c r="Q50" s="53">
        <f>'Nr(V)'!D50</f>
        <v>28858.859534632498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-2.5230294962334938E-2</v>
      </c>
      <c r="D51" s="30">
        <f t="shared" si="4"/>
        <v>-1.4455894172119743</v>
      </c>
      <c r="F51" s="99">
        <f t="shared" si="11"/>
        <v>0.27900000000000003</v>
      </c>
      <c r="G51" s="38">
        <f t="shared" si="11"/>
        <v>7.83</v>
      </c>
      <c r="H51" s="20">
        <f t="shared" si="12"/>
        <v>49.944141213507628</v>
      </c>
      <c r="I51" s="21">
        <f t="shared" si="13"/>
        <v>65664.875709665575</v>
      </c>
      <c r="J51" s="21">
        <f>Q102</f>
        <v>26833.340834420898</v>
      </c>
      <c r="K51" s="21">
        <f t="shared" si="16"/>
        <v>-38831.534875244673</v>
      </c>
      <c r="L51" s="18">
        <f t="shared" si="14"/>
        <v>-5.5751582712731578</v>
      </c>
      <c r="M51" s="18">
        <f t="shared" si="17"/>
        <v>-6.4091638498140924</v>
      </c>
      <c r="N51" s="19">
        <f t="shared" si="15"/>
        <v>-0.8</v>
      </c>
      <c r="P51" s="56">
        <f>'Nr(V)'!A51</f>
        <v>24.5</v>
      </c>
      <c r="Q51" s="53">
        <f>'Nr(V)'!D51</f>
        <v>29328.8176785633</v>
      </c>
    </row>
    <row r="52" spans="1:17" ht="15.6" x14ac:dyDescent="0.25">
      <c r="F52" s="99">
        <f t="shared" si="11"/>
        <v>0.22900000000000001</v>
      </c>
      <c r="G52" s="38">
        <f t="shared" si="11"/>
        <v>4.72</v>
      </c>
      <c r="H52" s="20">
        <f t="shared" si="12"/>
        <v>55.127577736076013</v>
      </c>
      <c r="I52" s="21">
        <f t="shared" si="13"/>
        <v>84575.195095884177</v>
      </c>
      <c r="J52" s="21">
        <f>Q112</f>
        <v>15769.656600206999</v>
      </c>
      <c r="K52" s="21">
        <f t="shared" si="16"/>
        <v>-68805.538495677174</v>
      </c>
      <c r="L52" s="18">
        <f t="shared" si="14"/>
        <v>-9.8786145921346673</v>
      </c>
      <c r="M52" s="18">
        <f t="shared" si="17"/>
        <v>-10.322904249123175</v>
      </c>
      <c r="N52" s="19">
        <f t="shared" si="15"/>
        <v>-1.3260000000000001</v>
      </c>
      <c r="P52" s="56">
        <f>'Nr(V)'!A52</f>
        <v>25</v>
      </c>
      <c r="Q52" s="53">
        <f>'Nr(V)'!D52</f>
        <v>29622.5302668886</v>
      </c>
    </row>
    <row r="53" spans="1:17" ht="16.2" thickBot="1" x14ac:dyDescent="0.3">
      <c r="P53" s="56">
        <f>'Nr(V)'!A53</f>
        <v>25.5</v>
      </c>
      <c r="Q53" s="53">
        <f>'Nr(V)'!D53</f>
        <v>30033.6648814078</v>
      </c>
    </row>
    <row r="54" spans="1:17" ht="18.600000000000001" thickBot="1" x14ac:dyDescent="0.3">
      <c r="I54" s="134" t="s">
        <v>191</v>
      </c>
      <c r="J54" s="135"/>
      <c r="K54" s="135"/>
      <c r="L54" s="135"/>
      <c r="M54" s="135"/>
      <c r="N54" s="136"/>
      <c r="P54" s="56">
        <f>'Nr(V)'!A54</f>
        <v>26</v>
      </c>
      <c r="Q54" s="53">
        <f>'Nr(V)'!D54</f>
        <v>30386.246005670801</v>
      </c>
    </row>
    <row r="55" spans="1:17" ht="18.600000000000001" thickBot="1" x14ac:dyDescent="0.3">
      <c r="D55" s="56" t="s">
        <v>149</v>
      </c>
      <c r="E55" s="56" t="s">
        <v>150</v>
      </c>
      <c r="F55" s="14" t="s">
        <v>151</v>
      </c>
      <c r="G55" s="14" t="s">
        <v>152</v>
      </c>
      <c r="I55" s="100" t="s">
        <v>76</v>
      </c>
      <c r="J55" s="100" t="s">
        <v>77</v>
      </c>
      <c r="K55" s="100" t="s">
        <v>78</v>
      </c>
      <c r="L55" s="100" t="s">
        <v>79</v>
      </c>
      <c r="M55" s="100" t="s">
        <v>85</v>
      </c>
      <c r="N55" s="100" t="s">
        <v>80</v>
      </c>
      <c r="P55" s="56">
        <f>'Nr(V)'!A55</f>
        <v>26.5</v>
      </c>
      <c r="Q55" s="53">
        <f>'Nr(V)'!D55</f>
        <v>30856.429182231401</v>
      </c>
    </row>
    <row r="56" spans="1:17" ht="15.6" x14ac:dyDescent="0.25">
      <c r="D56" s="24">
        <f t="shared" ref="D56:D70" si="18">-K56*COS(E56+F56-C$3)+0.5*C$17*C$7*C$5*(F56-C$8)*I56^2*SIN(E56)+0.5*C$17*C$7*(C$11+1/PI()/C$10*C$5^2*(F56-C$8)^2)*I56^2*COS(E56)</f>
        <v>-3.8220211990847019E-6</v>
      </c>
      <c r="E56" s="25">
        <v>5.2320769414429986E-2</v>
      </c>
      <c r="F56" s="29">
        <v>0.1836409890426538</v>
      </c>
      <c r="G56" s="28">
        <f t="shared" ref="G56:G70" si="19">K56*SIN(E56+F56-C$3)+0.5*C$17*C$7*C$5*(F56-C$8)*I56^2*COS(E56)-0.5*C$17*C$7*(C$11+1/PI()/C$10*C$5^2*(F56-C$8)^2)*I56^2*SIN(E56)-C$2</f>
        <v>-2.5293775252066553E-7</v>
      </c>
      <c r="I56" s="103">
        <f>SQRT(2*C$2/C$7/C$16/C17)</f>
        <v>21.489683801374795</v>
      </c>
      <c r="J56" s="102">
        <f>Q45</f>
        <v>27331.7881092758</v>
      </c>
      <c r="K56" s="102">
        <f>J56/I56</f>
        <v>1271.8562246842951</v>
      </c>
      <c r="L56" s="104">
        <f>DEGREES(F56)</f>
        <v>10.521853617752258</v>
      </c>
      <c r="M56" s="104">
        <f>DEGREES(E56)</f>
        <v>2.997759268324002</v>
      </c>
      <c r="N56" s="104">
        <f>I56*SIN(RADIANS(M56))</f>
        <v>1.1238438803335926</v>
      </c>
      <c r="P56" s="56">
        <f>'Nr(V)'!A56</f>
        <v>27</v>
      </c>
      <c r="Q56" s="53">
        <f>'Nr(V)'!D56</f>
        <v>31267.608803276398</v>
      </c>
    </row>
    <row r="57" spans="1:17" ht="15.6" x14ac:dyDescent="0.25">
      <c r="D57" s="24">
        <f t="shared" si="18"/>
        <v>-1.9882083392985805E-5</v>
      </c>
      <c r="E57" s="32">
        <v>5.2580226406111562E-2</v>
      </c>
      <c r="F57" s="35">
        <v>0.17275000350966524</v>
      </c>
      <c r="G57" s="28">
        <f t="shared" si="19"/>
        <v>-1.2732925824820995E-11</v>
      </c>
      <c r="I57" s="20">
        <f t="shared" ref="I57:I70" si="20">I4</f>
        <v>22</v>
      </c>
      <c r="J57" s="21">
        <f>Q46</f>
        <v>27566.677168189301</v>
      </c>
      <c r="K57" s="21">
        <f t="shared" ref="K57:K70" si="21">J57/I57</f>
        <v>1253.030780372241</v>
      </c>
      <c r="L57" s="18">
        <f t="shared" ref="L57:L70" si="22">DEGREES(F57)</f>
        <v>9.8978461119739762</v>
      </c>
      <c r="M57" s="18">
        <f t="shared" ref="M57:M70" si="23">DEGREES(E57)</f>
        <v>3.012625058912517</v>
      </c>
      <c r="N57" s="18">
        <f t="shared" ref="N57:N70" si="24">I57*SIN(RADIANS(M57))</f>
        <v>1.1562320404021029</v>
      </c>
      <c r="P57" s="56">
        <f>'Nr(V)'!A57</f>
        <v>27.5</v>
      </c>
      <c r="Q57" s="53">
        <f>'Nr(V)'!D57</f>
        <v>31737.701966785098</v>
      </c>
    </row>
    <row r="58" spans="1:17" ht="15.6" x14ac:dyDescent="0.25">
      <c r="D58" s="24">
        <f t="shared" si="18"/>
        <v>2.8076200351279113E-6</v>
      </c>
      <c r="E58" s="25">
        <v>5.4178091398453233E-2</v>
      </c>
      <c r="F58" s="29">
        <v>0.1360359971838267</v>
      </c>
      <c r="G58" s="28">
        <f t="shared" si="19"/>
        <v>0</v>
      </c>
      <c r="I58" s="20">
        <f t="shared" si="20"/>
        <v>24</v>
      </c>
      <c r="J58" s="21">
        <f>Q50</f>
        <v>28858.859534632498</v>
      </c>
      <c r="K58" s="21">
        <f t="shared" si="21"/>
        <v>1202.4524806096874</v>
      </c>
      <c r="L58" s="18">
        <f t="shared" si="22"/>
        <v>7.7942885004868225</v>
      </c>
      <c r="M58" s="18">
        <f t="shared" si="23"/>
        <v>3.1041759792053982</v>
      </c>
      <c r="N58" s="18">
        <f t="shared" si="24"/>
        <v>1.2996381785645703</v>
      </c>
      <c r="P58" s="56">
        <f>'Nr(V)'!A58</f>
        <v>28</v>
      </c>
      <c r="Q58" s="53">
        <f>'Nr(V)'!D58</f>
        <v>32148.9265943561</v>
      </c>
    </row>
    <row r="59" spans="1:17" ht="15.6" x14ac:dyDescent="0.25">
      <c r="D59" s="24">
        <f t="shared" si="18"/>
        <v>3.7241123891362804E-6</v>
      </c>
      <c r="E59" s="32">
        <v>5.4548020327862455E-2</v>
      </c>
      <c r="F59" s="35">
        <v>0.10701263712491645</v>
      </c>
      <c r="G59" s="28">
        <f t="shared" si="19"/>
        <v>0</v>
      </c>
      <c r="I59" s="20">
        <f t="shared" si="20"/>
        <v>26</v>
      </c>
      <c r="J59" s="21">
        <f>Q54</f>
        <v>30386.246005670801</v>
      </c>
      <c r="K59" s="21">
        <f t="shared" si="21"/>
        <v>1168.701769448877</v>
      </c>
      <c r="L59" s="18">
        <f t="shared" si="22"/>
        <v>6.1313724618227008</v>
      </c>
      <c r="M59" s="18">
        <f t="shared" si="23"/>
        <v>3.1253713455803398</v>
      </c>
      <c r="N59" s="18">
        <f t="shared" si="24"/>
        <v>1.4175453032576044</v>
      </c>
      <c r="P59" s="56">
        <f>'Nr(V)'!A59</f>
        <v>28.5</v>
      </c>
      <c r="Q59" s="53">
        <f>'Nr(V)'!D59</f>
        <v>32501.417705567299</v>
      </c>
    </row>
    <row r="60" spans="1:17" ht="15.6" x14ac:dyDescent="0.25">
      <c r="D60" s="24">
        <f t="shared" si="18"/>
        <v>2.3195337917059078E-6</v>
      </c>
      <c r="E60" s="25">
        <v>5.3980584375665379E-2</v>
      </c>
      <c r="F60" s="29">
        <v>8.3723730154802833E-2</v>
      </c>
      <c r="G60" s="28">
        <f t="shared" si="19"/>
        <v>0</v>
      </c>
      <c r="I60" s="20">
        <f t="shared" si="20"/>
        <v>28</v>
      </c>
      <c r="J60" s="21">
        <f>Q58</f>
        <v>32148.9265943561</v>
      </c>
      <c r="K60" s="21">
        <f t="shared" si="21"/>
        <v>1148.1759497984322</v>
      </c>
      <c r="L60" s="18">
        <f t="shared" si="22"/>
        <v>4.7970163829623846</v>
      </c>
      <c r="M60" s="18">
        <f t="shared" si="23"/>
        <v>3.0928596603754603</v>
      </c>
      <c r="N60" s="18">
        <f t="shared" si="24"/>
        <v>1.5107224297957431</v>
      </c>
      <c r="P60" s="56">
        <f>'Nr(V)'!A60</f>
        <v>29</v>
      </c>
      <c r="Q60" s="53">
        <f>'Nr(V)'!D60</f>
        <v>32795.040280840702</v>
      </c>
    </row>
    <row r="61" spans="1:17" ht="15.6" x14ac:dyDescent="0.25">
      <c r="D61" s="24">
        <f t="shared" si="18"/>
        <v>1.7584917486601626E-6</v>
      </c>
      <c r="E61" s="32">
        <v>4.9819469168720078E-2</v>
      </c>
      <c r="F61" s="35">
        <v>6.4816291450643909E-2</v>
      </c>
      <c r="G61" s="28">
        <f t="shared" si="19"/>
        <v>0</v>
      </c>
      <c r="I61" s="20">
        <f t="shared" si="20"/>
        <v>30</v>
      </c>
      <c r="J61" s="21">
        <f>Q62</f>
        <v>33558.711013096799</v>
      </c>
      <c r="K61" s="21">
        <f t="shared" si="21"/>
        <v>1118.6237004365601</v>
      </c>
      <c r="L61" s="18">
        <f t="shared" si="22"/>
        <v>3.7136999438117764</v>
      </c>
      <c r="M61" s="18">
        <f t="shared" si="23"/>
        <v>2.8544453209497882</v>
      </c>
      <c r="N61" s="18">
        <f t="shared" si="24"/>
        <v>1.4939658972738754</v>
      </c>
      <c r="P61" s="56">
        <f>'Nr(V)'!A61</f>
        <v>29.5</v>
      </c>
      <c r="Q61" s="53">
        <f>'Nr(V)'!D61</f>
        <v>33206.219901885699</v>
      </c>
    </row>
    <row r="62" spans="1:17" ht="15.6" x14ac:dyDescent="0.25">
      <c r="D62" s="24">
        <f t="shared" si="18"/>
        <v>-6.3402876548934728E-6</v>
      </c>
      <c r="E62" s="25">
        <v>3.9622268411819858E-2</v>
      </c>
      <c r="F62" s="29">
        <v>4.2470164322329022E-2</v>
      </c>
      <c r="G62" s="28">
        <f t="shared" si="19"/>
        <v>0</v>
      </c>
      <c r="I62" s="20">
        <f t="shared" si="20"/>
        <v>33</v>
      </c>
      <c r="J62" s="21">
        <f>Q68</f>
        <v>35320.491471263304</v>
      </c>
      <c r="K62" s="21">
        <f t="shared" si="21"/>
        <v>1070.3179233716153</v>
      </c>
      <c r="L62" s="18">
        <f t="shared" si="22"/>
        <v>2.4333611708965388</v>
      </c>
      <c r="M62" s="18">
        <f t="shared" si="23"/>
        <v>2.2701887547317972</v>
      </c>
      <c r="N62" s="18">
        <f t="shared" si="24"/>
        <v>1.307192762685103</v>
      </c>
      <c r="P62" s="56">
        <f>'Nr(V)'!A62</f>
        <v>30</v>
      </c>
      <c r="Q62" s="53">
        <f>'Nr(V)'!D62</f>
        <v>33558.711013096799</v>
      </c>
    </row>
    <row r="63" spans="1:17" ht="15.6" x14ac:dyDescent="0.25">
      <c r="D63" s="24">
        <f t="shared" si="18"/>
        <v>6.0348075976435211E-6</v>
      </c>
      <c r="E63" s="32">
        <v>2.876046762886713E-2</v>
      </c>
      <c r="F63" s="35">
        <v>2.5328815251641539E-2</v>
      </c>
      <c r="G63" s="28">
        <f t="shared" si="19"/>
        <v>1.2732925824820995E-11</v>
      </c>
      <c r="I63" s="20">
        <f t="shared" si="20"/>
        <v>36</v>
      </c>
      <c r="J63" s="21">
        <f>Q74</f>
        <v>37435.303118952201</v>
      </c>
      <c r="K63" s="21">
        <f t="shared" si="21"/>
        <v>1039.8695310820056</v>
      </c>
      <c r="L63" s="18">
        <f t="shared" si="22"/>
        <v>1.4512342139856504</v>
      </c>
      <c r="M63" s="18">
        <f t="shared" si="23"/>
        <v>1.6478534119567125</v>
      </c>
      <c r="N63" s="18">
        <f t="shared" si="24"/>
        <v>1.0352341027158329</v>
      </c>
      <c r="P63" s="56">
        <f>'Nr(V)'!A63</f>
        <v>30.5</v>
      </c>
      <c r="Q63" s="53">
        <f>'Nr(V)'!D63</f>
        <v>33675.998019712802</v>
      </c>
    </row>
    <row r="64" spans="1:17" ht="15.6" x14ac:dyDescent="0.25">
      <c r="D64" s="24">
        <f t="shared" si="18"/>
        <v>5.9580328297670349E-6</v>
      </c>
      <c r="E64" s="25">
        <v>1.4849542504504607E-2</v>
      </c>
      <c r="F64" s="29">
        <v>1.1908526559408952E-2</v>
      </c>
      <c r="G64" s="28">
        <f t="shared" si="19"/>
        <v>0</v>
      </c>
      <c r="I64" s="20">
        <f t="shared" si="20"/>
        <v>39</v>
      </c>
      <c r="J64" s="21">
        <f>Q80</f>
        <v>39255.772086952602</v>
      </c>
      <c r="K64" s="21">
        <f t="shared" si="21"/>
        <v>1006.5582586398103</v>
      </c>
      <c r="L64" s="18">
        <f t="shared" si="22"/>
        <v>0.68230831207358023</v>
      </c>
      <c r="M64" s="18">
        <f t="shared" si="23"/>
        <v>0.85081611320824024</v>
      </c>
      <c r="N64" s="18">
        <f t="shared" si="24"/>
        <v>0.57911087394328753</v>
      </c>
      <c r="P64" s="56">
        <f>'Nr(V)'!A64</f>
        <v>31</v>
      </c>
      <c r="Q64" s="53">
        <f>'Nr(V)'!D64</f>
        <v>34028.444124398004</v>
      </c>
    </row>
    <row r="65" spans="4:17" ht="15.6" x14ac:dyDescent="0.25">
      <c r="D65" s="24">
        <f t="shared" si="18"/>
        <v>-3.5617563298728783E-7</v>
      </c>
      <c r="E65" s="32">
        <v>-9.0433737951398484E-3</v>
      </c>
      <c r="F65" s="35">
        <v>1.1890139866168957E-3</v>
      </c>
      <c r="G65" s="28">
        <f t="shared" si="19"/>
        <v>0</v>
      </c>
      <c r="I65" s="20">
        <f t="shared" si="20"/>
        <v>42</v>
      </c>
      <c r="J65" s="21">
        <f>Q86</f>
        <v>38605.967865340397</v>
      </c>
      <c r="K65" s="21">
        <f t="shared" si="21"/>
        <v>919.18971107953325</v>
      </c>
      <c r="L65" s="18">
        <f t="shared" si="22"/>
        <v>6.8125483215172672E-2</v>
      </c>
      <c r="M65" s="18">
        <f t="shared" si="23"/>
        <v>-0.51814715102071929</v>
      </c>
      <c r="N65" s="18">
        <f t="shared" si="24"/>
        <v>-0.37981652228208379</v>
      </c>
      <c r="P65" s="56">
        <f>'Nr(V)'!A65</f>
        <v>31.5</v>
      </c>
      <c r="Q65" s="53">
        <f>'Nr(V)'!D65</f>
        <v>34322.0216931455</v>
      </c>
    </row>
    <row r="66" spans="4:17" ht="15.6" x14ac:dyDescent="0.25">
      <c r="D66" s="24">
        <f t="shared" si="18"/>
        <v>4.250728125043679E-8</v>
      </c>
      <c r="E66" s="25">
        <v>-3.0603954266592081E-2</v>
      </c>
      <c r="F66" s="29">
        <v>-4.8288568025990552E-3</v>
      </c>
      <c r="G66" s="28">
        <f t="shared" si="19"/>
        <v>0</v>
      </c>
      <c r="I66" s="20">
        <f t="shared" si="20"/>
        <v>44</v>
      </c>
      <c r="J66" s="21">
        <f>Q90</f>
        <v>36486.295512849298</v>
      </c>
      <c r="K66" s="21">
        <f t="shared" si="21"/>
        <v>829.23398892839316</v>
      </c>
      <c r="L66" s="18">
        <f t="shared" si="22"/>
        <v>-0.27667311466196315</v>
      </c>
      <c r="M66" s="18">
        <f t="shared" si="23"/>
        <v>-1.7534774158871149</v>
      </c>
      <c r="N66" s="18">
        <f t="shared" si="24"/>
        <v>-1.3463637969214475</v>
      </c>
      <c r="P66" s="56">
        <f>'Nr(V)'!A66</f>
        <v>32</v>
      </c>
      <c r="Q66" s="53">
        <f>'Nr(V)'!D66</f>
        <v>34556.865745533098</v>
      </c>
    </row>
    <row r="67" spans="4:17" ht="15.6" x14ac:dyDescent="0.25">
      <c r="D67" s="24">
        <f t="shared" si="18"/>
        <v>-9.2189111455809325E-8</v>
      </c>
      <c r="E67" s="32">
        <v>-5.313214183015616E-2</v>
      </c>
      <c r="F67" s="35">
        <v>-1.0121625192842505E-2</v>
      </c>
      <c r="G67" s="28">
        <f t="shared" si="19"/>
        <v>0</v>
      </c>
      <c r="I67" s="20">
        <f t="shared" si="20"/>
        <v>46</v>
      </c>
      <c r="J67" s="21">
        <f>Q94</f>
        <v>33954.858454475798</v>
      </c>
      <c r="K67" s="21">
        <f t="shared" si="21"/>
        <v>738.14909683643043</v>
      </c>
      <c r="L67" s="18">
        <f t="shared" si="22"/>
        <v>-0.57992640536316353</v>
      </c>
      <c r="M67" s="18">
        <f t="shared" si="23"/>
        <v>-3.0442474833584456</v>
      </c>
      <c r="N67" s="18">
        <f t="shared" si="24"/>
        <v>-2.4429287375692046</v>
      </c>
      <c r="P67" s="56">
        <f>'Nr(V)'!A67</f>
        <v>32.5</v>
      </c>
      <c r="Q67" s="53">
        <f>'Nr(V)'!D67</f>
        <v>35026.8238894639</v>
      </c>
    </row>
    <row r="68" spans="4:17" ht="15.6" x14ac:dyDescent="0.25">
      <c r="D68" s="24">
        <f t="shared" si="18"/>
        <v>8.172355592250824E-8</v>
      </c>
      <c r="E68" s="25">
        <v>-7.7279272913242714E-2</v>
      </c>
      <c r="F68" s="29">
        <v>-1.4809279978084797E-2</v>
      </c>
      <c r="G68" s="28">
        <f t="shared" si="19"/>
        <v>0</v>
      </c>
      <c r="I68" s="20">
        <f t="shared" si="20"/>
        <v>48</v>
      </c>
      <c r="J68" s="21">
        <f>Q98</f>
        <v>30776.407579098901</v>
      </c>
      <c r="K68" s="21">
        <f t="shared" si="21"/>
        <v>641.17515789789377</v>
      </c>
      <c r="L68" s="18">
        <f t="shared" si="22"/>
        <v>-0.84850924037185116</v>
      </c>
      <c r="M68" s="18">
        <f t="shared" si="23"/>
        <v>-4.4277761817684693</v>
      </c>
      <c r="N68" s="18">
        <f t="shared" si="24"/>
        <v>-3.7057140544456439</v>
      </c>
      <c r="P68" s="56">
        <f>'Nr(V)'!A68</f>
        <v>33</v>
      </c>
      <c r="Q68" s="53">
        <f>'Nr(V)'!D68</f>
        <v>35320.491471263304</v>
      </c>
    </row>
    <row r="69" spans="4:17" ht="15.6" x14ac:dyDescent="0.25">
      <c r="D69" s="24">
        <f t="shared" si="18"/>
        <v>-2.7600685825746041E-7</v>
      </c>
      <c r="E69" s="32">
        <v>-0.1032651989189908</v>
      </c>
      <c r="F69" s="35">
        <v>-1.8989365358568853E-2</v>
      </c>
      <c r="G69" s="28">
        <f t="shared" si="19"/>
        <v>0</v>
      </c>
      <c r="I69" s="20">
        <f t="shared" si="20"/>
        <v>50</v>
      </c>
      <c r="J69" s="21">
        <f>Q102</f>
        <v>26833.340834420898</v>
      </c>
      <c r="K69" s="21">
        <f t="shared" si="21"/>
        <v>536.66681668841795</v>
      </c>
      <c r="L69" s="18">
        <f t="shared" si="22"/>
        <v>-1.0880104906779244</v>
      </c>
      <c r="M69" s="18">
        <f t="shared" si="23"/>
        <v>-5.9166600686370838</v>
      </c>
      <c r="N69" s="18">
        <f t="shared" si="24"/>
        <v>-5.1540882605482397</v>
      </c>
      <c r="P69" s="56">
        <f>'Nr(V)'!A69</f>
        <v>33.5</v>
      </c>
      <c r="Q69" s="53">
        <f>'Nr(V)'!D69</f>
        <v>35496.602007291003</v>
      </c>
    </row>
    <row r="70" spans="4:17" ht="15.6" x14ac:dyDescent="0.25">
      <c r="D70" s="24">
        <f t="shared" si="18"/>
        <v>4.1153134588967077E-7</v>
      </c>
      <c r="E70" s="25">
        <v>-0.13096453378006737</v>
      </c>
      <c r="F70" s="29">
        <v>-2.2739818252960654E-2</v>
      </c>
      <c r="G70" s="28">
        <f t="shared" si="19"/>
        <v>0</v>
      </c>
      <c r="I70" s="20">
        <f t="shared" si="20"/>
        <v>52</v>
      </c>
      <c r="J70" s="21">
        <f>Q106</f>
        <v>22125.478194338099</v>
      </c>
      <c r="K70" s="21">
        <f t="shared" si="21"/>
        <v>425.48996527573269</v>
      </c>
      <c r="L70" s="18">
        <f t="shared" si="22"/>
        <v>-1.3028956127891984</v>
      </c>
      <c r="M70" s="18">
        <f t="shared" si="23"/>
        <v>-7.5037150514963615</v>
      </c>
      <c r="N70" s="18">
        <f t="shared" si="24"/>
        <v>-6.7907048098215723</v>
      </c>
      <c r="P70" s="56">
        <f>'Nr(V)'!A70</f>
        <v>34</v>
      </c>
      <c r="Q70" s="53">
        <f>'Nr(V)'!D70</f>
        <v>35907.871641387901</v>
      </c>
    </row>
    <row r="71" spans="4:17" ht="15.6" x14ac:dyDescent="0.25">
      <c r="P71" s="56">
        <f>'Nr(V)'!A71</f>
        <v>34.5</v>
      </c>
      <c r="Q71" s="53">
        <f>'Nr(V)'!D71</f>
        <v>36377.919798370698</v>
      </c>
    </row>
    <row r="72" spans="4:17" ht="15.6" x14ac:dyDescent="0.25">
      <c r="P72" s="56">
        <f>'Nr(V)'!A72</f>
        <v>35</v>
      </c>
      <c r="Q72" s="53">
        <f>'Nr(V)'!D72</f>
        <v>36612.853863810204</v>
      </c>
    </row>
    <row r="73" spans="4:17" ht="15.6" x14ac:dyDescent="0.25">
      <c r="P73" s="56">
        <f>'Nr(V)'!A73</f>
        <v>35.5</v>
      </c>
      <c r="Q73" s="53">
        <f>'Nr(V)'!D73</f>
        <v>37023.988478329302</v>
      </c>
    </row>
    <row r="74" spans="4:17" ht="15.6" x14ac:dyDescent="0.25">
      <c r="P74" s="56">
        <f>'Nr(V)'!A74</f>
        <v>36</v>
      </c>
      <c r="Q74" s="53">
        <f>'Nr(V)'!D74</f>
        <v>37435.303118952201</v>
      </c>
    </row>
    <row r="75" spans="4:17" ht="15.6" x14ac:dyDescent="0.25">
      <c r="P75" s="56">
        <f>'Nr(V)'!A75</f>
        <v>36.5</v>
      </c>
      <c r="Q75" s="53">
        <f>'Nr(V)'!D75</f>
        <v>37670.102164813899</v>
      </c>
    </row>
    <row r="76" spans="4:17" ht="15.6" x14ac:dyDescent="0.25">
      <c r="P76" s="56">
        <f>'Nr(V)'!A76</f>
        <v>37</v>
      </c>
      <c r="Q76" s="53">
        <f>'Nr(V)'!D76</f>
        <v>38140.195328322603</v>
      </c>
    </row>
    <row r="77" spans="4:17" ht="15.6" x14ac:dyDescent="0.25">
      <c r="P77" s="56">
        <f>'Nr(V)'!A77</f>
        <v>37.5</v>
      </c>
      <c r="Q77" s="53">
        <f>'Nr(V)'!D77</f>
        <v>38551.554975471401</v>
      </c>
    </row>
    <row r="78" spans="4:17" ht="15.6" x14ac:dyDescent="0.25">
      <c r="P78" s="56">
        <f>'Nr(V)'!A78</f>
        <v>38</v>
      </c>
      <c r="Q78" s="53">
        <f>'Nr(V)'!D78</f>
        <v>39021.468112876297</v>
      </c>
    </row>
    <row r="79" spans="4:17" ht="15.6" x14ac:dyDescent="0.25">
      <c r="P79" s="56">
        <f>'Nr(V)'!A79</f>
        <v>38.5</v>
      </c>
      <c r="Q79" s="53">
        <f>'Nr(V)'!D79</f>
        <v>39197.443629326197</v>
      </c>
    </row>
    <row r="80" spans="4:17" ht="15.6" x14ac:dyDescent="0.25">
      <c r="P80" s="56">
        <f>'Nr(V)'!A80</f>
        <v>39</v>
      </c>
      <c r="Q80" s="53">
        <f>'Nr(V)'!D80</f>
        <v>39255.772086952602</v>
      </c>
    </row>
    <row r="81" spans="16:17" ht="15.6" x14ac:dyDescent="0.25">
      <c r="P81" s="56">
        <f>'Nr(V)'!A81</f>
        <v>39.5</v>
      </c>
      <c r="Q81" s="53">
        <f>'Nr(V)'!D81</f>
        <v>39373.014087042597</v>
      </c>
    </row>
    <row r="82" spans="16:17" ht="15.6" x14ac:dyDescent="0.25">
      <c r="P82" s="56">
        <f>'Nr(V)'!A82</f>
        <v>40</v>
      </c>
      <c r="Q82" s="53">
        <f>'Nr(V)'!D82</f>
        <v>39372.519015257203</v>
      </c>
    </row>
    <row r="83" spans="16:17" ht="15.6" x14ac:dyDescent="0.25">
      <c r="P83" s="56">
        <f>'Nr(V)'!A83</f>
        <v>40.5</v>
      </c>
      <c r="Q83" s="53">
        <f>'Nr(V)'!D83</f>
        <v>39313.245420585903</v>
      </c>
    </row>
    <row r="84" spans="16:17" ht="15.6" x14ac:dyDescent="0.25">
      <c r="P84" s="56">
        <f>'Nr(V)'!A84</f>
        <v>41</v>
      </c>
      <c r="Q84" s="53">
        <f>'Nr(V)'!D84</f>
        <v>39254.016832440699</v>
      </c>
    </row>
    <row r="85" spans="16:17" ht="15.6" x14ac:dyDescent="0.25">
      <c r="P85" s="56">
        <f>'Nr(V)'!A85</f>
        <v>41.5</v>
      </c>
      <c r="Q85" s="53">
        <f>'Nr(V)'!D85</f>
        <v>38900.535577658702</v>
      </c>
    </row>
    <row r="86" spans="16:17" ht="15.6" x14ac:dyDescent="0.25">
      <c r="P86" s="56">
        <f>'Nr(V)'!A86</f>
        <v>42</v>
      </c>
      <c r="Q86" s="53">
        <f>'Nr(V)'!D86</f>
        <v>38605.967865340397</v>
      </c>
    </row>
    <row r="87" spans="16:17" ht="15.6" x14ac:dyDescent="0.25">
      <c r="P87" s="56">
        <f>'Nr(V)'!A87</f>
        <v>42.5</v>
      </c>
      <c r="Q87" s="53">
        <f>'Nr(V)'!D87</f>
        <v>38193.618074620797</v>
      </c>
    </row>
    <row r="88" spans="16:17" ht="15.6" x14ac:dyDescent="0.25">
      <c r="P88" s="56">
        <f>'Nr(V)'!A88</f>
        <v>43</v>
      </c>
      <c r="Q88" s="53">
        <f>'Nr(V)'!D88</f>
        <v>37604.887708717702</v>
      </c>
    </row>
    <row r="89" spans="16:17" ht="15.6" x14ac:dyDescent="0.25">
      <c r="P89" s="56">
        <f>'Nr(V)'!A89</f>
        <v>43.5</v>
      </c>
      <c r="Q89" s="53">
        <f>'Nr(V)'!D89</f>
        <v>37074.980872226399</v>
      </c>
    </row>
    <row r="90" spans="16:17" ht="15.6" x14ac:dyDescent="0.25">
      <c r="P90" s="56">
        <f>'Nr(V)'!A90</f>
        <v>44</v>
      </c>
      <c r="Q90" s="53">
        <f>'Nr(V)'!D90</f>
        <v>36486.295512849298</v>
      </c>
    </row>
    <row r="91" spans="16:17" ht="15.6" x14ac:dyDescent="0.25">
      <c r="P91" s="56">
        <f>'Nr(V)'!A91</f>
        <v>44.5</v>
      </c>
      <c r="Q91" s="53">
        <f>'Nr(V)'!D91</f>
        <v>35956.478689409902</v>
      </c>
    </row>
    <row r="92" spans="16:17" ht="15.6" x14ac:dyDescent="0.25">
      <c r="P92" s="56">
        <f>'Nr(V)'!A92</f>
        <v>45</v>
      </c>
      <c r="Q92" s="53">
        <f>'Nr(V)'!D92</f>
        <v>35308.879787569102</v>
      </c>
    </row>
    <row r="93" spans="16:17" ht="15.6" x14ac:dyDescent="0.25">
      <c r="P93" s="56">
        <f>'Nr(V)'!A93</f>
        <v>45.5</v>
      </c>
      <c r="Q93" s="53">
        <f>'Nr(V)'!D93</f>
        <v>34543.6788334308</v>
      </c>
    </row>
    <row r="94" spans="16:17" ht="15.6" x14ac:dyDescent="0.25">
      <c r="P94" s="56">
        <f>'Nr(V)'!A94</f>
        <v>46</v>
      </c>
      <c r="Q94" s="53">
        <f>'Nr(V)'!D94</f>
        <v>33954.858454475798</v>
      </c>
    </row>
    <row r="95" spans="16:17" ht="15.6" x14ac:dyDescent="0.25">
      <c r="P95" s="56">
        <f>'Nr(V)'!A95</f>
        <v>46.5</v>
      </c>
      <c r="Q95" s="53">
        <f>'Nr(V)'!D95</f>
        <v>33189.702506863403</v>
      </c>
    </row>
    <row r="96" spans="16:17" ht="15.6" x14ac:dyDescent="0.25">
      <c r="P96" s="56">
        <f>'Nr(V)'!A96</f>
        <v>47</v>
      </c>
      <c r="Q96" s="53">
        <f>'Nr(V)'!D96</f>
        <v>32306.854493901599</v>
      </c>
    </row>
    <row r="97" spans="16:17" ht="15.6" x14ac:dyDescent="0.25">
      <c r="P97" s="56">
        <f>'Nr(V)'!A97</f>
        <v>47.5</v>
      </c>
      <c r="Q97" s="53">
        <f>'Nr(V)'!D97</f>
        <v>31541.6535397632</v>
      </c>
    </row>
    <row r="98" spans="16:17" ht="15.6" x14ac:dyDescent="0.25">
      <c r="P98" s="56">
        <f>'Nr(V)'!A98</f>
        <v>48</v>
      </c>
      <c r="Q98" s="53">
        <f>'Nr(V)'!D98</f>
        <v>30776.407579098901</v>
      </c>
    </row>
    <row r="99" spans="16:17" ht="15.6" x14ac:dyDescent="0.25">
      <c r="P99" s="56">
        <f>'Nr(V)'!A99</f>
        <v>48.5</v>
      </c>
      <c r="Q99" s="53">
        <f>'Nr(V)'!D99</f>
        <v>29599.441919078199</v>
      </c>
    </row>
    <row r="100" spans="16:17" ht="15.6" x14ac:dyDescent="0.25">
      <c r="P100" s="56">
        <f>'Nr(V)'!A100</f>
        <v>49</v>
      </c>
      <c r="Q100" s="53">
        <f>'Nr(V)'!D100</f>
        <v>28422.521265583498</v>
      </c>
    </row>
    <row r="101" spans="16:17" ht="15.6" x14ac:dyDescent="0.25">
      <c r="P101" s="56">
        <f>'Nr(V)'!A101</f>
        <v>49.5</v>
      </c>
      <c r="Q101" s="53">
        <f>'Nr(V)'!D101</f>
        <v>27951.6629911337</v>
      </c>
    </row>
    <row r="102" spans="16:17" ht="15.6" x14ac:dyDescent="0.25">
      <c r="P102" s="56">
        <f>'Nr(V)'!A102</f>
        <v>50</v>
      </c>
      <c r="Q102" s="53">
        <f>'Nr(V)'!D102</f>
        <v>26833.340834420898</v>
      </c>
    </row>
    <row r="103" spans="16:17" ht="15.6" x14ac:dyDescent="0.25">
      <c r="P103" s="56">
        <f>'Nr(V)'!A103</f>
        <v>50.5</v>
      </c>
      <c r="Q103" s="53">
        <f>'Nr(V)'!D103</f>
        <v>25891.624285521299</v>
      </c>
    </row>
    <row r="104" spans="16:17" ht="15.6" x14ac:dyDescent="0.25">
      <c r="P104" s="56">
        <f>'Nr(V)'!A104</f>
        <v>51</v>
      </c>
      <c r="Q104" s="53">
        <f>'Nr(V)'!D104</f>
        <v>24655.880102614799</v>
      </c>
    </row>
    <row r="105" spans="16:17" ht="15.6" x14ac:dyDescent="0.25">
      <c r="P105" s="56">
        <f>'Nr(V)'!A105</f>
        <v>51.5</v>
      </c>
      <c r="Q105" s="53">
        <f>'Nr(V)'!D105</f>
        <v>23420.0459066564</v>
      </c>
    </row>
    <row r="106" spans="16:17" ht="15.6" x14ac:dyDescent="0.25">
      <c r="P106" s="56">
        <f>'Nr(V)'!A106</f>
        <v>52</v>
      </c>
      <c r="Q106" s="53">
        <f>'Nr(V)'!D106</f>
        <v>22125.478194338099</v>
      </c>
    </row>
    <row r="107" spans="16:17" ht="15.6" x14ac:dyDescent="0.25">
      <c r="P107" s="56">
        <f>'Nr(V)'!A107</f>
        <v>52.5</v>
      </c>
      <c r="Q107" s="53">
        <f>'Nr(V)'!D107</f>
        <v>21066.159593141001</v>
      </c>
    </row>
    <row r="108" spans="16:17" ht="15.6" x14ac:dyDescent="0.25">
      <c r="P108" s="56">
        <f>'Nr(V)'!A108</f>
        <v>53</v>
      </c>
      <c r="Q108" s="53">
        <f>'Nr(V)'!D108</f>
        <v>20065.7095278815</v>
      </c>
    </row>
    <row r="109" spans="16:17" ht="15.6" x14ac:dyDescent="0.25">
      <c r="P109" s="56">
        <f>'Nr(V)'!A109</f>
        <v>53.5</v>
      </c>
      <c r="Q109" s="53">
        <f>'Nr(V)'!D109</f>
        <v>19241.730050857299</v>
      </c>
    </row>
    <row r="110" spans="16:17" ht="15.6" x14ac:dyDescent="0.25">
      <c r="P110" s="56">
        <f>'Nr(V)'!A110</f>
        <v>54</v>
      </c>
      <c r="Q110" s="53">
        <f>'Nr(V)'!D110</f>
        <v>18064.6743777847</v>
      </c>
    </row>
    <row r="111" spans="16:17" ht="15.6" x14ac:dyDescent="0.25">
      <c r="P111" s="56">
        <f>'Nr(V)'!A111</f>
        <v>54.5</v>
      </c>
      <c r="Q111" s="53">
        <f>'Nr(V)'!D111</f>
        <v>16828.930194878201</v>
      </c>
    </row>
    <row r="112" spans="16:17" ht="15.6" x14ac:dyDescent="0.25">
      <c r="P112" s="56">
        <f>'Nr(V)'!A112</f>
        <v>55</v>
      </c>
      <c r="Q112" s="53">
        <f>'Nr(V)'!D112</f>
        <v>15769.656600206999</v>
      </c>
    </row>
    <row r="113" spans="16:17" ht="15.6" x14ac:dyDescent="0.25">
      <c r="P113" s="56">
        <f>'Nr(V)'!A113</f>
        <v>55.5</v>
      </c>
      <c r="Q113" s="53">
        <f>'Nr(V)'!D113</f>
        <v>14475.043881362701</v>
      </c>
    </row>
    <row r="114" spans="16:17" ht="15.6" x14ac:dyDescent="0.25">
      <c r="P114" s="56">
        <f>'Nr(V)'!A114</f>
        <v>56</v>
      </c>
      <c r="Q114" s="53">
        <f>'Nr(V)'!D114</f>
        <v>12650.9743912867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7:N37"/>
    <mergeCell ref="I54:N5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1383-7084-4197-BE72-DEEADF719706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1500</v>
      </c>
      <c r="D1" s="12" t="s">
        <v>3</v>
      </c>
      <c r="G1" s="43"/>
      <c r="H1" s="44"/>
      <c r="I1" s="134" t="s">
        <v>173</v>
      </c>
      <c r="J1" s="135"/>
      <c r="K1" s="135"/>
      <c r="L1" s="135"/>
      <c r="M1" s="135"/>
      <c r="N1" s="136"/>
      <c r="P1" s="51" t="str">
        <f>'Nr(V)'!A1</f>
        <v>h</v>
      </c>
      <c r="Q1" s="53">
        <f>'Nr(V)'!E1</f>
        <v>1500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'Nr(V)'!E2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21.397949356116786</v>
      </c>
      <c r="J3" s="102">
        <f>Q45</f>
        <v>25743.597821684099</v>
      </c>
      <c r="K3" s="102">
        <f>J3/I3</f>
        <v>1203.087146027153</v>
      </c>
      <c r="L3" s="104">
        <f ca="1">OFFSET(D23,A23-2,0,1,1)</f>
        <v>10.520490118973738</v>
      </c>
      <c r="M3" s="104">
        <f t="shared" ref="M3:M17" ca="1" si="0">OFFSET(D22,A23-2,0,1,1)</f>
        <v>3.0237060869583794</v>
      </c>
      <c r="N3" s="104">
        <f ca="1">I3*SIN(RADIANS(M3))</f>
        <v>1.1287232977546438</v>
      </c>
      <c r="P3" s="56">
        <f>'Nr(V)'!A3</f>
        <v>0.5</v>
      </c>
      <c r="Q3" s="53">
        <f>'Nr(V)'!E3</f>
        <v>646.60875826994697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22</v>
      </c>
      <c r="J4" s="21">
        <f>Q46</f>
        <v>25978.441874071701</v>
      </c>
      <c r="K4" s="21">
        <f t="shared" ref="K4:K17" si="1">J4/I4</f>
        <v>1180.838267003259</v>
      </c>
      <c r="L4" s="18">
        <f t="shared" ref="L4:L17" ca="1" si="2">OFFSET(D24,A24-2,0,1,1)</f>
        <v>9.7861824149472429</v>
      </c>
      <c r="M4" s="18">
        <f t="shared" ca="1" si="0"/>
        <v>3.0284651904907034</v>
      </c>
      <c r="N4" s="18">
        <f t="shared" ref="N4:N17" ca="1" si="3">I4*SIN(RADIANS(M4))</f>
        <v>1.1623057643421641</v>
      </c>
      <c r="P4" s="56">
        <f>'Nr(V)'!A4</f>
        <v>1</v>
      </c>
      <c r="Q4" s="53">
        <f>'Nr(V)'!E4</f>
        <v>1410.8195688374601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24</v>
      </c>
      <c r="J5" s="21">
        <f>Q50</f>
        <v>27152.932175165301</v>
      </c>
      <c r="K5" s="21">
        <f t="shared" si="1"/>
        <v>1131.3721739652208</v>
      </c>
      <c r="L5" s="18">
        <f t="shared" ca="1" si="2"/>
        <v>7.6995151747777504</v>
      </c>
      <c r="M5" s="18">
        <f t="shared" ca="1" si="0"/>
        <v>3.0948285417901098</v>
      </c>
      <c r="N5" s="18">
        <f t="shared" ca="1" si="3"/>
        <v>1.2957284608885846</v>
      </c>
      <c r="P5" s="56">
        <f>'Nr(V)'!A5</f>
        <v>1.5</v>
      </c>
      <c r="Q5" s="53">
        <f>'Nr(V)'!E5</f>
        <v>2116.1618434673001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26</v>
      </c>
      <c r="J6" s="21">
        <f>Q54</f>
        <v>28680.4086592555</v>
      </c>
      <c r="K6" s="21">
        <f t="shared" si="1"/>
        <v>1103.0926407405962</v>
      </c>
      <c r="L6" s="18">
        <f t="shared" ca="1" si="2"/>
        <v>6.0488775473732117</v>
      </c>
      <c r="M6" s="18">
        <f t="shared" ca="1" si="0"/>
        <v>3.1391708254455422</v>
      </c>
      <c r="N6" s="18">
        <f t="shared" ca="1" si="3"/>
        <v>1.4237979534634531</v>
      </c>
      <c r="P6" s="56">
        <f>'Nr(V)'!A6</f>
        <v>2</v>
      </c>
      <c r="Q6" s="53">
        <f>'Nr(V)'!E6</f>
        <v>2586.3000135019502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30031.369548584498</v>
      </c>
      <c r="K7" s="21">
        <f t="shared" si="1"/>
        <v>1072.5489124494463</v>
      </c>
      <c r="L7" s="18">
        <f t="shared" ca="1" si="2"/>
        <v>4.727055906675969</v>
      </c>
      <c r="M7" s="18">
        <f t="shared" ca="1" si="0"/>
        <v>3.0000726631139019</v>
      </c>
      <c r="N7" s="18">
        <f t="shared" ca="1" si="3"/>
        <v>1.4654422360324755</v>
      </c>
      <c r="P7" s="56">
        <f>'Nr(V)'!A7</f>
        <v>2.5</v>
      </c>
      <c r="Q7" s="53">
        <f>'Nr(V)'!E7</f>
        <v>3291.5972816058202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31558.846032674701</v>
      </c>
      <c r="K8" s="21">
        <f t="shared" si="1"/>
        <v>1051.9615344224901</v>
      </c>
      <c r="L8" s="18">
        <f t="shared" ca="1" si="2"/>
        <v>3.6512919646692157</v>
      </c>
      <c r="M8" s="18">
        <f t="shared" ca="1" si="0"/>
        <v>2.818989948289766</v>
      </c>
      <c r="N8" s="18">
        <f t="shared" ca="1" si="3"/>
        <v>1.4754242561550224</v>
      </c>
      <c r="P8" s="56">
        <f>'Nr(V)'!A8</f>
        <v>3</v>
      </c>
      <c r="Q8" s="53">
        <f>'Nr(V)'!E8</f>
        <v>3820.6039875781898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33261.757954903398</v>
      </c>
      <c r="K9" s="21">
        <f t="shared" si="1"/>
        <v>1007.9320592394969</v>
      </c>
      <c r="L9" s="18">
        <f t="shared" ca="1" si="2"/>
        <v>2.3811759000575332</v>
      </c>
      <c r="M9" s="18">
        <f t="shared" ca="1" si="0"/>
        <v>2.2382797267065455</v>
      </c>
      <c r="N9" s="18">
        <f t="shared" ca="1" si="3"/>
        <v>1.2888287044779756</v>
      </c>
      <c r="P9" s="56">
        <f>'Nr(V)'!A9</f>
        <v>3.5</v>
      </c>
      <c r="Q9" s="53">
        <f>'Nr(V)'!E9</f>
        <v>4408.3892164363697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35376.524596066403</v>
      </c>
      <c r="K10" s="21">
        <f t="shared" si="1"/>
        <v>982.68123877962228</v>
      </c>
      <c r="L10" s="18">
        <f t="shared" ca="1" si="2"/>
        <v>1.4069855374865303</v>
      </c>
      <c r="M10" s="18">
        <f t="shared" ca="1" si="0"/>
        <v>1.6366389094287905</v>
      </c>
      <c r="N10" s="18">
        <f t="shared" ca="1" si="3"/>
        <v>1.0281907171950548</v>
      </c>
      <c r="P10" s="56">
        <f>'Nr(V)'!A10</f>
        <v>4</v>
      </c>
      <c r="Q10" s="53">
        <f>'Nr(V)'!E10</f>
        <v>5466.5826544848896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37138.4400738107</v>
      </c>
      <c r="K11" s="21">
        <f t="shared" si="1"/>
        <v>952.26769420027438</v>
      </c>
      <c r="L11" s="18">
        <f t="shared" ca="1" si="2"/>
        <v>0.6444354864379348</v>
      </c>
      <c r="M11" s="18">
        <f t="shared" ca="1" si="0"/>
        <v>0.83882528345776797</v>
      </c>
      <c r="N11" s="18">
        <f t="shared" ca="1" si="3"/>
        <v>0.57094986228165145</v>
      </c>
      <c r="P11" s="56">
        <f>'Nr(V)'!A11</f>
        <v>4.5</v>
      </c>
      <c r="Q11" s="53">
        <f>'Nr(V)'!E11</f>
        <v>6054.4128898690296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36723.434898060201</v>
      </c>
      <c r="K12" s="21">
        <f t="shared" si="1"/>
        <v>874.36749757286191</v>
      </c>
      <c r="L12" s="18">
        <f t="shared" ca="1" si="2"/>
        <v>3.5404189260700547E-2</v>
      </c>
      <c r="M12" s="18">
        <f t="shared" ca="1" si="0"/>
        <v>-0.50028599833083809</v>
      </c>
      <c r="N12" s="18">
        <f t="shared" ca="1" si="3"/>
        <v>-0.36672413067058529</v>
      </c>
      <c r="P12" s="56">
        <f>'Nr(V)'!A12</f>
        <v>5</v>
      </c>
      <c r="Q12" s="53">
        <f>'Nr(V)'!E12</f>
        <v>6759.80017102479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34780.413159908101</v>
      </c>
      <c r="K13" s="21">
        <f t="shared" si="1"/>
        <v>790.46393545245689</v>
      </c>
      <c r="L13" s="18">
        <f t="shared" ca="1" si="2"/>
        <v>-0.30647559246446532</v>
      </c>
      <c r="M13" s="18">
        <f t="shared" ca="1" si="0"/>
        <v>-1.7336697544886548</v>
      </c>
      <c r="N13" s="18">
        <f t="shared" ca="1" si="3"/>
        <v>-1.3311596476547496</v>
      </c>
      <c r="P13" s="56">
        <f>'Nr(V)'!A13</f>
        <v>5.5</v>
      </c>
      <c r="Q13" s="53">
        <f>'Nr(V)'!E13</f>
        <v>7465.1424456546201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32013.636977361701</v>
      </c>
      <c r="K14" s="21">
        <f t="shared" si="1"/>
        <v>695.94862994264565</v>
      </c>
      <c r="L14" s="18">
        <f t="shared" ca="1" si="2"/>
        <v>-0.60752448402156189</v>
      </c>
      <c r="M14" s="18">
        <f t="shared" ca="1" si="0"/>
        <v>-3.1056050037697034</v>
      </c>
      <c r="N14" s="18">
        <f t="shared" ca="1" si="3"/>
        <v>-2.4921187858640641</v>
      </c>
      <c r="P14" s="56">
        <f>'Nr(V)'!A14</f>
        <v>6</v>
      </c>
      <c r="Q14" s="53">
        <f>'Nr(V)'!E14</f>
        <v>7935.3256222152104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29482.379945092001</v>
      </c>
      <c r="K15" s="21">
        <f t="shared" si="1"/>
        <v>614.21624885608333</v>
      </c>
      <c r="L15" s="18">
        <f t="shared" ca="1" si="2"/>
        <v>-0.87347168286806487</v>
      </c>
      <c r="M15" s="18">
        <f t="shared" ca="1" si="0"/>
        <v>-4.4109740457689472</v>
      </c>
      <c r="N15" s="18">
        <f t="shared" ca="1" si="3"/>
        <v>-3.6916797817669158</v>
      </c>
      <c r="P15" s="56">
        <f>'Nr(V)'!A15</f>
        <v>6.5</v>
      </c>
      <c r="Q15" s="53">
        <f>'Nr(V)'!E15</f>
        <v>8640.6228903191004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25362.707592600898</v>
      </c>
      <c r="K16" s="21">
        <f t="shared" si="1"/>
        <v>507.25415185201797</v>
      </c>
      <c r="L16" s="18">
        <f t="shared" ca="1" si="2"/>
        <v>-1.1114615383711837</v>
      </c>
      <c r="M16" s="18">
        <f t="shared" ca="1" si="0"/>
        <v>-5.9795458358463041</v>
      </c>
      <c r="N16" s="18">
        <f t="shared" ca="1" si="3"/>
        <v>-5.2086709873274266</v>
      </c>
      <c r="P16" s="56">
        <f>'Nr(V)'!A16</f>
        <v>7</v>
      </c>
      <c r="Q16" s="53">
        <f>'Nr(V)'!E16</f>
        <v>9228.4531257032195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1.0583851499599146</v>
      </c>
      <c r="D17" s="14" t="s">
        <v>73</v>
      </c>
      <c r="G17" s="45"/>
      <c r="H17" s="47"/>
      <c r="I17" s="20">
        <v>52</v>
      </c>
      <c r="J17" s="21">
        <f>Q106</f>
        <v>21360.817318511101</v>
      </c>
      <c r="K17" s="21">
        <f t="shared" si="1"/>
        <v>410.78494843290576</v>
      </c>
      <c r="L17" s="18">
        <f t="shared" ca="1" si="2"/>
        <v>-1.3240858112445506</v>
      </c>
      <c r="M17" s="18">
        <f t="shared" ca="1" si="0"/>
        <v>-7.50024948986841</v>
      </c>
      <c r="N17" s="18">
        <f t="shared" ca="1" si="3"/>
        <v>-6.787586488061832</v>
      </c>
      <c r="P17" s="56">
        <f>'Nr(V)'!A17</f>
        <v>7.5</v>
      </c>
      <c r="Q17" s="53">
        <f>'Nr(V)'!E17</f>
        <v>10227.8680408659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49644.752353225507</v>
      </c>
      <c r="D18" s="14" t="s">
        <v>32</v>
      </c>
      <c r="P18" s="56">
        <f>'Nr(V)'!A18</f>
        <v>8</v>
      </c>
      <c r="Q18" s="53">
        <f>'Nr(V)'!E18</f>
        <v>10874.5218056618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5.0354808622540742E-2</v>
      </c>
      <c r="D19" s="14" t="s">
        <v>7</v>
      </c>
      <c r="P19" s="56">
        <f>'Nr(V)'!A19</f>
        <v>8.5</v>
      </c>
      <c r="Q19" s="53">
        <f>'Nr(V)'!E19</f>
        <v>11462.307034519999</v>
      </c>
    </row>
    <row r="20" spans="1:28" ht="18.600000000000001" thickBot="1" x14ac:dyDescent="0.3">
      <c r="F20" s="134" t="s">
        <v>161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'Nr(V)'!E20</f>
        <v>12344.074890859099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'Nr(V)'!E21</f>
        <v>13225.887753724201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-2.3577399588248227E-8</v>
      </c>
      <c r="C22" s="25">
        <v>5.2773626830017691E-2</v>
      </c>
      <c r="D22" s="26">
        <f t="shared" ref="D22:D51" si="4">DEGREES(C22)</f>
        <v>3.0237060869583794</v>
      </c>
      <c r="F22" s="17">
        <v>1.5069999999999999</v>
      </c>
      <c r="G22" s="18">
        <v>80.83</v>
      </c>
      <c r="H22" s="20">
        <f>SQRT((2*C$15)/(C$7*C$17*F22))</f>
        <v>21.397949356116786</v>
      </c>
      <c r="I22" s="21">
        <f>C$15*SQRT((2*C$15)/(C$17*C$7*G22))</f>
        <v>19203.761434348995</v>
      </c>
      <c r="J22" s="102">
        <f>Q43</f>
        <v>24979.972095953901</v>
      </c>
      <c r="K22" s="21">
        <f>(J22-I22)</f>
        <v>5776.2106616049059</v>
      </c>
      <c r="L22" s="18">
        <f t="shared" ref="L22:L33" si="5">K22/C$15</f>
        <v>0.87881854665585002</v>
      </c>
      <c r="M22" s="18">
        <f t="shared" ref="M22:M33" si="6">DEGREES(ASIN(L22/H22))</f>
        <v>2.3538124650194172</v>
      </c>
      <c r="N22" s="18">
        <v>13.202</v>
      </c>
      <c r="P22" s="56">
        <f>'Nr(V)'!A22</f>
        <v>10</v>
      </c>
      <c r="Q22" s="53">
        <f>'Nr(V)'!E22</f>
        <v>13990.053557765799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-1.8751234165392816E-6</v>
      </c>
      <c r="C23" s="29">
        <v>0.18361719149962169</v>
      </c>
      <c r="D23" s="30">
        <f t="shared" si="4"/>
        <v>10.520490118973738</v>
      </c>
      <c r="F23" s="17">
        <v>1.4</v>
      </c>
      <c r="G23" s="18">
        <v>82.93</v>
      </c>
      <c r="H23" s="20">
        <f t="shared" ref="H23:H33" si="7">SQRT((2*C$15)/(C$7*C$17*F23))</f>
        <v>22.200602640258872</v>
      </c>
      <c r="I23" s="21">
        <f t="shared" ref="I23:I33" si="8">C$15*SQRT((2*C$15)/(C$17*C$7*G23))</f>
        <v>18959.058160740366</v>
      </c>
      <c r="J23" s="21">
        <f>Q45</f>
        <v>25743.597821684099</v>
      </c>
      <c r="K23" s="21">
        <f t="shared" ref="K23:K35" si="9">(J23-I23)</f>
        <v>6784.5396609437339</v>
      </c>
      <c r="L23" s="18">
        <f t="shared" si="5"/>
        <v>1.0322302342939329</v>
      </c>
      <c r="M23" s="18">
        <f t="shared" si="6"/>
        <v>2.66496216541077</v>
      </c>
      <c r="N23" s="18">
        <v>11.19</v>
      </c>
      <c r="P23" s="56">
        <f>'Nr(V)'!A23</f>
        <v>10.5</v>
      </c>
      <c r="Q23" s="53">
        <f>'Nr(V)'!E23</f>
        <v>14695.3508258697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2.1516757442441303E-7</v>
      </c>
      <c r="C24" s="32">
        <v>5.2856688856100037E-2</v>
      </c>
      <c r="D24" s="33">
        <f t="shared" si="4"/>
        <v>3.0284651904907034</v>
      </c>
      <c r="F24" s="17">
        <v>1.2976294821560448</v>
      </c>
      <c r="G24" s="18">
        <v>83.61</v>
      </c>
      <c r="H24" s="20">
        <f t="shared" si="7"/>
        <v>23.059688129746011</v>
      </c>
      <c r="I24" s="21">
        <f t="shared" si="8"/>
        <v>18881.803767320373</v>
      </c>
      <c r="J24" s="21">
        <f>Q47</f>
        <v>26271.9744362932</v>
      </c>
      <c r="K24" s="21">
        <f t="shared" si="9"/>
        <v>7390.1706689728271</v>
      </c>
      <c r="L24" s="18">
        <f t="shared" si="5"/>
        <v>1.1243736468989649</v>
      </c>
      <c r="M24" s="18">
        <f t="shared" si="6"/>
        <v>2.7948087743598475</v>
      </c>
      <c r="N24" s="18">
        <v>9.6229999999999993</v>
      </c>
      <c r="P24" s="56">
        <f>'Nr(V)'!A24</f>
        <v>11</v>
      </c>
      <c r="Q24" s="53">
        <f>'Nr(V)'!E24</f>
        <v>15165.5790089563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0</v>
      </c>
      <c r="C25" s="35">
        <v>0.17080110434159931</v>
      </c>
      <c r="D25" s="36">
        <f>DEGREES(C25)</f>
        <v>9.7861824149472429</v>
      </c>
      <c r="F25" s="17">
        <v>1.1970000000000001</v>
      </c>
      <c r="G25" s="18">
        <v>82.42</v>
      </c>
      <c r="H25" s="20">
        <f t="shared" si="7"/>
        <v>24.009422068414352</v>
      </c>
      <c r="I25" s="21">
        <f t="shared" si="8"/>
        <v>19017.62530507518</v>
      </c>
      <c r="J25" s="21">
        <f>Q49</f>
        <v>26682.839011656601</v>
      </c>
      <c r="K25" s="21">
        <f t="shared" si="9"/>
        <v>7665.2137065814204</v>
      </c>
      <c r="L25" s="18">
        <f t="shared" si="5"/>
        <v>1.1662199258419552</v>
      </c>
      <c r="M25" s="18">
        <f t="shared" si="6"/>
        <v>2.7841479432961243</v>
      </c>
      <c r="N25" s="18">
        <v>8.0570000000000004</v>
      </c>
      <c r="P25" s="56">
        <f>'Nr(V)'!A25</f>
        <v>11.5</v>
      </c>
      <c r="Q25" s="53">
        <f>'Nr(V)'!E25</f>
        <v>15635.8521985687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0</v>
      </c>
      <c r="C26" s="25">
        <v>5.4014947838932341E-2</v>
      </c>
      <c r="D26" s="26">
        <f t="shared" si="4"/>
        <v>3.0948285417901098</v>
      </c>
      <c r="F26" s="17">
        <v>0.99199999999999999</v>
      </c>
      <c r="G26" s="18">
        <v>77.64</v>
      </c>
      <c r="H26" s="20">
        <f t="shared" si="7"/>
        <v>26.373814386800632</v>
      </c>
      <c r="I26" s="21">
        <f t="shared" si="8"/>
        <v>19594.303389678429</v>
      </c>
      <c r="J26" s="21">
        <f>Q53</f>
        <v>28269.094018632699</v>
      </c>
      <c r="K26" s="21">
        <f t="shared" si="9"/>
        <v>8674.7906289542698</v>
      </c>
      <c r="L26" s="18">
        <f t="shared" si="5"/>
        <v>1.3198214780766304</v>
      </c>
      <c r="M26" s="18">
        <f t="shared" si="6"/>
        <v>2.8684435778936512</v>
      </c>
      <c r="N26" s="18">
        <v>6.1870000000000003</v>
      </c>
      <c r="P26" s="56">
        <f>'Nr(V)'!A26</f>
        <v>12</v>
      </c>
      <c r="Q26" s="53">
        <f>'Nr(V)'!E26</f>
        <v>16282.3709437868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0</v>
      </c>
      <c r="C27" s="29">
        <v>0.1343818906071384</v>
      </c>
      <c r="D27" s="30">
        <f t="shared" si="4"/>
        <v>7.6995151747777504</v>
      </c>
      <c r="F27" s="17">
        <v>0.89051118930908912</v>
      </c>
      <c r="G27" s="18">
        <v>71.59</v>
      </c>
      <c r="H27" s="20">
        <f t="shared" si="7"/>
        <v>27.836145063848615</v>
      </c>
      <c r="I27" s="21">
        <f t="shared" si="8"/>
        <v>20405.460978568182</v>
      </c>
      <c r="J27" s="21">
        <f>Q56</f>
        <v>29326.612358792001</v>
      </c>
      <c r="K27" s="21">
        <f t="shared" si="9"/>
        <v>8921.1513802238187</v>
      </c>
      <c r="L27" s="18">
        <f t="shared" si="5"/>
        <v>1.3573039055827616</v>
      </c>
      <c r="M27" s="18">
        <f t="shared" si="6"/>
        <v>2.7948781963126605</v>
      </c>
      <c r="N27" s="18">
        <v>5.3460000000000001</v>
      </c>
      <c r="P27" s="56">
        <f>'Nr(V)'!A27</f>
        <v>12.5</v>
      </c>
      <c r="Q27" s="53">
        <f>'Nr(V)'!E27</f>
        <v>16752.419100769599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0</v>
      </c>
      <c r="C28" s="32">
        <v>5.4788866686572901E-2</v>
      </c>
      <c r="D28" s="33">
        <f t="shared" si="4"/>
        <v>3.1391708254455422</v>
      </c>
      <c r="F28" s="17">
        <v>0.78877734406717104</v>
      </c>
      <c r="G28" s="18">
        <v>62.64</v>
      </c>
      <c r="H28" s="20">
        <f t="shared" si="7"/>
        <v>29.57682607539633</v>
      </c>
      <c r="I28" s="21">
        <f t="shared" si="8"/>
        <v>21814.573026629019</v>
      </c>
      <c r="J28" s="21">
        <f>Q59</f>
        <v>30442.684189207401</v>
      </c>
      <c r="K28" s="21">
        <f t="shared" si="9"/>
        <v>8628.1111625783815</v>
      </c>
      <c r="L28" s="18">
        <f t="shared" si="5"/>
        <v>1.3127194551064829</v>
      </c>
      <c r="M28" s="18">
        <f t="shared" si="6"/>
        <v>2.5438158835310869</v>
      </c>
      <c r="N28" s="18">
        <v>4.1539999999999999</v>
      </c>
      <c r="P28" s="56">
        <f>'Nr(V)'!A28</f>
        <v>13</v>
      </c>
      <c r="Q28" s="53">
        <f>'Nr(V)'!E28</f>
        <v>17163.7337413924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0</v>
      </c>
      <c r="C29" s="35">
        <v>0.10557282925162181</v>
      </c>
      <c r="D29" s="36">
        <f t="shared" si="4"/>
        <v>6.0488775473732117</v>
      </c>
      <c r="F29" s="17">
        <v>0.68820194072740959</v>
      </c>
      <c r="G29" s="18">
        <v>51.95</v>
      </c>
      <c r="H29" s="20">
        <f t="shared" si="7"/>
        <v>31.66436878410121</v>
      </c>
      <c r="I29" s="21">
        <f t="shared" si="8"/>
        <v>23954.097647727027</v>
      </c>
      <c r="J29" s="21">
        <f>Q63</f>
        <v>31734.8665556505</v>
      </c>
      <c r="K29" s="21">
        <f t="shared" si="9"/>
        <v>7780.7689079234733</v>
      </c>
      <c r="L29" s="18">
        <f t="shared" si="5"/>
        <v>1.1838010114448358</v>
      </c>
      <c r="M29" s="18">
        <f t="shared" si="6"/>
        <v>2.1425537475895222</v>
      </c>
      <c r="N29" s="18">
        <v>3.0790000000000002</v>
      </c>
      <c r="P29" s="56">
        <f>'Nr(V)'!A29</f>
        <v>13.5</v>
      </c>
      <c r="Q29" s="53">
        <f>'Nr(V)'!E29</f>
        <v>17575.048382015299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0</v>
      </c>
      <c r="C30" s="25">
        <v>5.2361145770412225E-2</v>
      </c>
      <c r="D30" s="26">
        <f t="shared" si="4"/>
        <v>3.0000726631139019</v>
      </c>
      <c r="F30" s="17">
        <v>0.58038845302154896</v>
      </c>
      <c r="G30" s="18">
        <v>39.369999999999997</v>
      </c>
      <c r="H30" s="20">
        <f t="shared" si="7"/>
        <v>34.480170107464623</v>
      </c>
      <c r="I30" s="21">
        <f t="shared" si="8"/>
        <v>27516.290394845561</v>
      </c>
      <c r="J30" s="21">
        <f>Q68</f>
        <v>33261.757954903398</v>
      </c>
      <c r="K30" s="21">
        <f t="shared" si="9"/>
        <v>5745.4675600578375</v>
      </c>
      <c r="L30" s="18">
        <f t="shared" si="5"/>
        <v>0.87414115356821964</v>
      </c>
      <c r="M30" s="18">
        <f t="shared" si="6"/>
        <v>1.4527180488874611</v>
      </c>
      <c r="N30" s="18">
        <v>2.073</v>
      </c>
      <c r="P30" s="56">
        <f>'Nr(V)'!A30</f>
        <v>14</v>
      </c>
      <c r="Q30" s="53">
        <f>'Nr(V)'!E30</f>
        <v>17927.4494801746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0</v>
      </c>
      <c r="C31" s="29">
        <v>8.2502689497341464E-2</v>
      </c>
      <c r="D31" s="30">
        <f t="shared" si="4"/>
        <v>4.727055906675969</v>
      </c>
      <c r="F31" s="17">
        <v>0.483331925835703</v>
      </c>
      <c r="G31" s="18">
        <v>27.9</v>
      </c>
      <c r="H31" s="20">
        <f t="shared" si="7"/>
        <v>37.783835350387868</v>
      </c>
      <c r="I31" s="21">
        <f t="shared" si="8"/>
        <v>32686.655807814965</v>
      </c>
      <c r="J31" s="21">
        <f>Q75</f>
        <v>35787.749223637402</v>
      </c>
      <c r="K31" s="21">
        <f t="shared" si="9"/>
        <v>3101.0934158224372</v>
      </c>
      <c r="L31" s="18">
        <f t="shared" si="5"/>
        <v>0.47181423400161837</v>
      </c>
      <c r="M31" s="18">
        <f t="shared" si="6"/>
        <v>0.71548233955866147</v>
      </c>
      <c r="N31" s="18">
        <v>1.2330000000000001</v>
      </c>
      <c r="P31" s="56">
        <f>'Nr(V)'!A31</f>
        <v>14.5</v>
      </c>
      <c r="Q31" s="53">
        <f>'Nr(V)'!E31</f>
        <v>18397.5426436833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9.7078498129121726E-7</v>
      </c>
      <c r="C32" s="32">
        <v>4.9200656178281107E-2</v>
      </c>
      <c r="D32" s="33">
        <f t="shared" si="4"/>
        <v>2.818989948289766</v>
      </c>
      <c r="F32" s="17">
        <v>0.38026543690183146</v>
      </c>
      <c r="G32" s="18">
        <v>16.61</v>
      </c>
      <c r="H32" s="20">
        <f t="shared" si="7"/>
        <v>42.597621941710763</v>
      </c>
      <c r="I32" s="21">
        <f t="shared" si="8"/>
        <v>42363.104136444621</v>
      </c>
      <c r="J32" s="21">
        <f>Q84</f>
        <v>37312.705342274603</v>
      </c>
      <c r="K32" s="21">
        <f t="shared" si="9"/>
        <v>-5050.3987941700179</v>
      </c>
      <c r="L32" s="18">
        <f t="shared" si="5"/>
        <v>-0.76839028012384825</v>
      </c>
      <c r="M32" s="18">
        <f t="shared" si="6"/>
        <v>-1.0335766629344059</v>
      </c>
      <c r="N32" s="18">
        <v>0.39200000000000002</v>
      </c>
      <c r="P32" s="56">
        <f>'Nr(V)'!A32</f>
        <v>15</v>
      </c>
      <c r="Q32" s="53">
        <f>'Nr(V)'!E32</f>
        <v>18808.812277780198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6.3727066735090279E-2</v>
      </c>
      <c r="D33" s="36">
        <f t="shared" si="4"/>
        <v>3.6512919646692157</v>
      </c>
      <c r="F33" s="105">
        <v>0.33400000000000002</v>
      </c>
      <c r="G33" s="105">
        <v>12.24</v>
      </c>
      <c r="H33" s="20">
        <f t="shared" si="7"/>
        <v>45.452266882426308</v>
      </c>
      <c r="I33" s="21">
        <f t="shared" si="8"/>
        <v>49349.400664499008</v>
      </c>
      <c r="J33" s="21">
        <f>Q89</f>
        <v>35192.582924524002</v>
      </c>
      <c r="K33" s="21">
        <f t="shared" si="9"/>
        <v>-14156.817739975006</v>
      </c>
      <c r="L33" s="18">
        <f t="shared" si="5"/>
        <v>-2.1538816224648931</v>
      </c>
      <c r="M33" s="18">
        <f t="shared" si="6"/>
        <v>-2.7161364962071048</v>
      </c>
      <c r="N33" s="18">
        <v>-0.13300000000000001</v>
      </c>
      <c r="P33" s="56">
        <f>'Nr(V)'!A33</f>
        <v>15.5</v>
      </c>
      <c r="Q33" s="53">
        <f>'Nr(V)'!E33</f>
        <v>19396.597506638402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-8.1909888649533968E-8</v>
      </c>
      <c r="C34" s="25">
        <v>3.9065350811668072E-2</v>
      </c>
      <c r="D34" s="26">
        <f t="shared" si="4"/>
        <v>2.2382797267065455</v>
      </c>
      <c r="F34" s="17">
        <v>0.27900000000000003</v>
      </c>
      <c r="G34" s="18">
        <v>7.83</v>
      </c>
      <c r="H34" s="20">
        <f>SQRT((2*C$15)/(C$7*C$17*F34))</f>
        <v>49.730941329765479</v>
      </c>
      <c r="I34" s="21">
        <f>C$15*SQRT((2*C$15)/(C$17*C$7*G34))</f>
        <v>61700.9300632741</v>
      </c>
      <c r="J34" s="21">
        <f>Q98</f>
        <v>29482.379945092001</v>
      </c>
      <c r="K34" s="21">
        <f t="shared" si="9"/>
        <v>-32218.550118182098</v>
      </c>
      <c r="L34" s="18">
        <f>K34/C$15</f>
        <v>-4.901874437929937</v>
      </c>
      <c r="M34" s="18">
        <f>DEGREES(ASIN(L34/H34))</f>
        <v>-5.6567097413036027</v>
      </c>
      <c r="N34" s="18">
        <v>-0.8</v>
      </c>
      <c r="P34" s="56">
        <f>'Nr(V)'!A34</f>
        <v>16</v>
      </c>
      <c r="Q34" s="53">
        <f>'Nr(V)'!E34</f>
        <v>19925.469193032899</v>
      </c>
    </row>
    <row r="35" spans="1:17" ht="15.6" x14ac:dyDescent="0.25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4.1559359525143391E-2</v>
      </c>
      <c r="D35" s="30">
        <f t="shared" si="4"/>
        <v>2.3811759000575332</v>
      </c>
      <c r="F35" s="39">
        <v>0.22900000000000001</v>
      </c>
      <c r="G35" s="39">
        <v>4.72</v>
      </c>
      <c r="H35" s="40">
        <f>SQRT((2*C$15)/(C$7*C$17*F35))</f>
        <v>54.892250971439623</v>
      </c>
      <c r="I35" s="41">
        <f>C$15*SQRT((2*C$15)/(C$17*C$7*G35))</f>
        <v>79469.703419095837</v>
      </c>
      <c r="J35" s="41">
        <f>Q108</f>
        <v>18889.193933120299</v>
      </c>
      <c r="K35" s="41">
        <f t="shared" si="9"/>
        <v>-60580.509485975534</v>
      </c>
      <c r="L35" s="42">
        <f>K35/C$15</f>
        <v>-9.2169898954730218</v>
      </c>
      <c r="M35" s="42">
        <f t="shared" ref="M35" si="10">DEGREES(ASIN(L35/H35))</f>
        <v>-9.6663581339548887</v>
      </c>
      <c r="N35" s="42">
        <v>-1.3260000000000001</v>
      </c>
      <c r="P35" s="56">
        <f>'Nr(V)'!A35</f>
        <v>16.5</v>
      </c>
      <c r="Q35" s="53">
        <f>'Nr(V)'!E35</f>
        <v>20513.164408839199</v>
      </c>
    </row>
    <row r="36" spans="1:17" ht="16.2" thickBot="1" x14ac:dyDescent="0.3">
      <c r="A36" s="31">
        <v>15</v>
      </c>
      <c r="B36" s="24">
        <f>-K10*COS(C36+C37-C$3)+0.5*C$17*C$7*C$5*(C37-C$8)*I10^2*SIN(C36)+0.5*C$17*C$7*(C$11+1/PI()/C$10*C$5^2*(C37-C$8)^2)*I10^2*COS(C36)</f>
        <v>1.0118128557223827E-11</v>
      </c>
      <c r="C36" s="32">
        <v>2.8564737635781663E-2</v>
      </c>
      <c r="D36" s="33">
        <f t="shared" si="4"/>
        <v>1.6366389094287905</v>
      </c>
      <c r="F36" s="58"/>
      <c r="G36" s="59"/>
      <c r="H36" s="60"/>
      <c r="I36" s="61"/>
      <c r="J36" s="61"/>
      <c r="K36" s="61"/>
      <c r="L36" s="59"/>
      <c r="M36" s="59"/>
      <c r="N36" s="59"/>
      <c r="P36" s="56">
        <f>'Nr(V)'!A36</f>
        <v>17</v>
      </c>
      <c r="Q36" s="53">
        <f>'Nr(V)'!E36</f>
        <v>21218.641703046898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2.4556530157082056E-2</v>
      </c>
      <c r="D37" s="36">
        <f t="shared" si="4"/>
        <v>1.4069855374865303</v>
      </c>
      <c r="F37" s="134" t="s">
        <v>192</v>
      </c>
      <c r="G37" s="135"/>
      <c r="H37" s="135"/>
      <c r="I37" s="135"/>
      <c r="J37" s="135"/>
      <c r="K37" s="135"/>
      <c r="L37" s="135"/>
      <c r="M37" s="135"/>
      <c r="N37" s="136"/>
      <c r="P37" s="56">
        <f>'Nr(V)'!A37</f>
        <v>17.5</v>
      </c>
      <c r="Q37" s="53">
        <f>'Nr(V)'!E37</f>
        <v>21629.956343669801</v>
      </c>
    </row>
    <row r="38" spans="1:17" ht="18.600000000000001" thickBot="1" x14ac:dyDescent="0.3">
      <c r="A38" s="23">
        <v>17</v>
      </c>
      <c r="B38" s="24">
        <f>-K11*COS(C38+C39-C$3)+0.5*C$17*C$7*C$5*(C39-C$8)*I11^2*SIN(C38)+0.5*C$17*C$7*(C$11+1/PI()/C$10*C$5^2*(C39-C$8)^2)*I11^2*COS(C38)</f>
        <v>-6.4462824411748443E-8</v>
      </c>
      <c r="C38" s="25">
        <v>1.4640263045312777E-2</v>
      </c>
      <c r="D38" s="26">
        <f t="shared" si="4"/>
        <v>0.83882528345776797</v>
      </c>
      <c r="F38" s="95" t="s">
        <v>1</v>
      </c>
      <c r="G38" s="95" t="s">
        <v>2</v>
      </c>
      <c r="H38" s="95" t="s">
        <v>76</v>
      </c>
      <c r="I38" s="95" t="s">
        <v>81</v>
      </c>
      <c r="J38" s="95" t="s">
        <v>77</v>
      </c>
      <c r="K38" s="95" t="s">
        <v>82</v>
      </c>
      <c r="L38" s="95" t="s">
        <v>80</v>
      </c>
      <c r="M38" s="95" t="s">
        <v>85</v>
      </c>
      <c r="N38" s="95" t="s">
        <v>79</v>
      </c>
      <c r="P38" s="56">
        <f>'Nr(V)'!A38</f>
        <v>18</v>
      </c>
      <c r="Q38" s="53">
        <f>'Nr(V)'!E38</f>
        <v>22158.963049642101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1.1247521055033226E-2</v>
      </c>
      <c r="D39" s="30">
        <f t="shared" si="4"/>
        <v>0.6444354864379348</v>
      </c>
      <c r="F39" s="98">
        <f t="shared" ref="F39:G52" si="11">F22</f>
        <v>1.5069999999999999</v>
      </c>
      <c r="G39" s="96">
        <f t="shared" si="11"/>
        <v>80.83</v>
      </c>
      <c r="H39" s="103">
        <f t="shared" ref="H39:H52" si="12">SQRT((2*C$2)/(C$7*C$17*F39))</f>
        <v>22.02743499743352</v>
      </c>
      <c r="I39" s="102">
        <f t="shared" ref="I39:I52" si="13">C$2*SQRT((2*C$2)/(C$17*C$7*G39))</f>
        <v>20948.919175327203</v>
      </c>
      <c r="J39" s="102">
        <f>Q46</f>
        <v>25978.441874071701</v>
      </c>
      <c r="K39" s="102">
        <f>(J39-I39)</f>
        <v>5029.5226987444985</v>
      </c>
      <c r="L39" s="104">
        <f t="shared" ref="L39:L52" si="14">K39/C$2</f>
        <v>0.72210344413497263</v>
      </c>
      <c r="M39" s="104">
        <f>DEGREES(ASIN(L39/H39))</f>
        <v>1.8786070059299127</v>
      </c>
      <c r="N39" s="97">
        <f t="shared" ref="N39:N52" si="15">N22</f>
        <v>13.202</v>
      </c>
      <c r="P39" s="56">
        <f>'Nr(V)'!A39</f>
        <v>18.5</v>
      </c>
      <c r="Q39" s="53">
        <f>'Nr(V)'!E39</f>
        <v>22805.3467752824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-5.0066887524735648E-8</v>
      </c>
      <c r="C40" s="32">
        <v>-8.7316378724999807E-3</v>
      </c>
      <c r="D40" s="33">
        <f t="shared" si="4"/>
        <v>-0.50028599833083809</v>
      </c>
      <c r="F40" s="99">
        <f t="shared" si="11"/>
        <v>1.4</v>
      </c>
      <c r="G40" s="38">
        <f t="shared" si="11"/>
        <v>82.93</v>
      </c>
      <c r="H40" s="20">
        <f t="shared" si="12"/>
        <v>22.853700764665192</v>
      </c>
      <c r="I40" s="21">
        <f t="shared" si="13"/>
        <v>20681.978288861283</v>
      </c>
      <c r="J40" s="21">
        <f>Q48</f>
        <v>26448.084972320899</v>
      </c>
      <c r="K40" s="21">
        <f t="shared" ref="K40:K52" si="16">(J40-I40)</f>
        <v>5766.1066834596168</v>
      </c>
      <c r="L40" s="18">
        <f t="shared" si="14"/>
        <v>0.82785698460318102</v>
      </c>
      <c r="M40" s="18">
        <f t="shared" ref="M40:M52" si="17">DEGREES(ASIN(L40/H40))</f>
        <v>2.0759478454636739</v>
      </c>
      <c r="N40" s="19">
        <f t="shared" si="15"/>
        <v>11.19</v>
      </c>
      <c r="P40" s="56">
        <f>'Nr(V)'!A40</f>
        <v>19</v>
      </c>
      <c r="Q40" s="53">
        <f>'Nr(V)'!E40</f>
        <v>23334.3534812547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6.1791967159844155E-4</v>
      </c>
      <c r="D41" s="36">
        <f t="shared" si="4"/>
        <v>3.5404189260700547E-2</v>
      </c>
      <c r="F41" s="99">
        <f t="shared" si="11"/>
        <v>1.2976294821560448</v>
      </c>
      <c r="G41" s="38">
        <f t="shared" si="11"/>
        <v>83.61</v>
      </c>
      <c r="H41" s="20">
        <f t="shared" si="12"/>
        <v>23.738058861881967</v>
      </c>
      <c r="I41" s="21">
        <f t="shared" si="13"/>
        <v>20597.703338392483</v>
      </c>
      <c r="J41" s="21">
        <f>Q49</f>
        <v>26682.839011656601</v>
      </c>
      <c r="K41" s="21">
        <f t="shared" si="16"/>
        <v>6085.1356732641179</v>
      </c>
      <c r="L41" s="18">
        <f t="shared" si="14"/>
        <v>0.87366091990985306</v>
      </c>
      <c r="M41" s="18">
        <f t="shared" si="17"/>
        <v>2.1092032602610598</v>
      </c>
      <c r="N41" s="19">
        <f t="shared" si="15"/>
        <v>9.6229999999999993</v>
      </c>
      <c r="P41" s="56">
        <f>'Nr(V)'!A41</f>
        <v>19.5</v>
      </c>
      <c r="Q41" s="53">
        <f>'Nr(V)'!E41</f>
        <v>23922.093703587001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-3.0857336241751909E-8</v>
      </c>
      <c r="C42" s="25">
        <v>-3.0258245358068769E-2</v>
      </c>
      <c r="D42" s="26">
        <f t="shared" si="4"/>
        <v>-1.7336697544886548</v>
      </c>
      <c r="F42" s="99">
        <f t="shared" si="11"/>
        <v>1.1970000000000001</v>
      </c>
      <c r="G42" s="38">
        <f t="shared" si="11"/>
        <v>82.42</v>
      </c>
      <c r="H42" s="20">
        <f t="shared" si="12"/>
        <v>24.715732107607877</v>
      </c>
      <c r="I42" s="21">
        <f t="shared" si="13"/>
        <v>20745.867770991863</v>
      </c>
      <c r="J42" s="21">
        <f>Q51</f>
        <v>27387.776227552898</v>
      </c>
      <c r="K42" s="21">
        <f t="shared" si="16"/>
        <v>6641.9084565610356</v>
      </c>
      <c r="L42" s="18">
        <f t="shared" si="14"/>
        <v>0.95359843456103077</v>
      </c>
      <c r="M42" s="18">
        <f t="shared" si="17"/>
        <v>2.2111718225524806</v>
      </c>
      <c r="N42" s="19">
        <f t="shared" si="15"/>
        <v>8.0570000000000004</v>
      </c>
      <c r="P42" s="56">
        <f>'Nr(V)'!A42</f>
        <v>20</v>
      </c>
      <c r="Q42" s="53">
        <f>'Nr(V)'!E42</f>
        <v>24451.010396507401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-5.349008165505242E-3</v>
      </c>
      <c r="D43" s="30">
        <f t="shared" si="4"/>
        <v>-0.30647559246446532</v>
      </c>
      <c r="F43" s="99">
        <f t="shared" si="11"/>
        <v>0.99199999999999999</v>
      </c>
      <c r="G43" s="38">
        <f t="shared" si="11"/>
        <v>77.64</v>
      </c>
      <c r="H43" s="20">
        <f t="shared" si="12"/>
        <v>27.149680203984552</v>
      </c>
      <c r="I43" s="21">
        <f t="shared" si="13"/>
        <v>21374.951954620989</v>
      </c>
      <c r="J43" s="21">
        <f>Q56</f>
        <v>29326.612358792001</v>
      </c>
      <c r="K43" s="21">
        <f t="shared" si="16"/>
        <v>7951.6604041710125</v>
      </c>
      <c r="L43" s="18">
        <f t="shared" si="14"/>
        <v>1.1416433940892468</v>
      </c>
      <c r="M43" s="18">
        <f t="shared" si="17"/>
        <v>2.4099967212320461</v>
      </c>
      <c r="N43" s="19">
        <f t="shared" si="15"/>
        <v>6.1870000000000003</v>
      </c>
      <c r="P43" s="56">
        <f>'Nr(V)'!A43</f>
        <v>20.5</v>
      </c>
      <c r="Q43" s="53">
        <f>'Nr(V)'!E43</f>
        <v>24979.972095953901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9.2467871581902727E-8</v>
      </c>
      <c r="C44" s="32">
        <v>-5.420303258219223E-2</v>
      </c>
      <c r="D44" s="33">
        <f t="shared" si="4"/>
        <v>-3.1056050037697034</v>
      </c>
      <c r="F44" s="99">
        <f t="shared" si="11"/>
        <v>0.89051118930908912</v>
      </c>
      <c r="G44" s="38">
        <f t="shared" si="11"/>
        <v>71.59</v>
      </c>
      <c r="H44" s="20">
        <f t="shared" si="12"/>
        <v>28.65502977731736</v>
      </c>
      <c r="I44" s="21">
        <f t="shared" si="13"/>
        <v>22259.824161880875</v>
      </c>
      <c r="J44" s="21">
        <f>Q59</f>
        <v>30442.684189207401</v>
      </c>
      <c r="K44" s="21">
        <f t="shared" si="16"/>
        <v>8182.8600273265256</v>
      </c>
      <c r="L44" s="18">
        <f t="shared" si="14"/>
        <v>1.174837407550003</v>
      </c>
      <c r="M44" s="18">
        <f t="shared" si="17"/>
        <v>2.3497479565391717</v>
      </c>
      <c r="N44" s="19">
        <f t="shared" si="15"/>
        <v>5.3460000000000001</v>
      </c>
      <c r="P44" s="56">
        <f>'Nr(V)'!A44</f>
        <v>21</v>
      </c>
      <c r="Q44" s="53">
        <f>'Nr(V)'!E44</f>
        <v>25391.061703947002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-1.0603302532655937E-2</v>
      </c>
      <c r="D45" s="36">
        <f t="shared" si="4"/>
        <v>-0.60752448402156189</v>
      </c>
      <c r="F45" s="99">
        <f t="shared" si="11"/>
        <v>0.78877734406717104</v>
      </c>
      <c r="G45" s="38">
        <f t="shared" si="11"/>
        <v>62.64</v>
      </c>
      <c r="H45" s="20">
        <f t="shared" si="12"/>
        <v>30.446918205269611</v>
      </c>
      <c r="I45" s="21">
        <f t="shared" si="13"/>
        <v>23796.990435515483</v>
      </c>
      <c r="J45" s="21">
        <f>Q63</f>
        <v>31734.8665556505</v>
      </c>
      <c r="K45" s="21">
        <f t="shared" si="16"/>
        <v>7937.8761201350171</v>
      </c>
      <c r="L45" s="18">
        <f t="shared" si="14"/>
        <v>1.1396643436756138</v>
      </c>
      <c r="M45" s="18">
        <f t="shared" si="17"/>
        <v>2.1451502654706323</v>
      </c>
      <c r="N45" s="19">
        <f t="shared" si="15"/>
        <v>4.1539999999999999</v>
      </c>
      <c r="P45" s="56">
        <f>'Nr(V)'!A45</f>
        <v>21.5</v>
      </c>
      <c r="Q45" s="53">
        <f>'Nr(V)'!E45</f>
        <v>25743.597821684099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-7.3000524025701452E-7</v>
      </c>
      <c r="C46" s="25">
        <v>-7.6986020318683179E-2</v>
      </c>
      <c r="D46" s="26">
        <f t="shared" si="4"/>
        <v>-4.4109740457689472</v>
      </c>
      <c r="F46" s="99">
        <f t="shared" si="11"/>
        <v>0.68820194072740959</v>
      </c>
      <c r="G46" s="38">
        <f t="shared" si="11"/>
        <v>51.95</v>
      </c>
      <c r="H46" s="20">
        <f t="shared" si="12"/>
        <v>32.595872320221673</v>
      </c>
      <c r="I46" s="21">
        <f t="shared" si="13"/>
        <v>26130.946130301181</v>
      </c>
      <c r="J46" s="21">
        <f>Q67</f>
        <v>32968.180386155902</v>
      </c>
      <c r="K46" s="21">
        <f t="shared" si="16"/>
        <v>6837.2342558547207</v>
      </c>
      <c r="L46" s="18">
        <f t="shared" si="14"/>
        <v>0.9816419370654722</v>
      </c>
      <c r="M46" s="18">
        <f t="shared" si="17"/>
        <v>1.7257536353087999</v>
      </c>
      <c r="N46" s="19">
        <f t="shared" si="15"/>
        <v>3.0790000000000002</v>
      </c>
      <c r="P46" s="56">
        <f>'Nr(V)'!A46</f>
        <v>22</v>
      </c>
      <c r="Q46" s="53">
        <f>'Nr(V)'!E46</f>
        <v>25978.441874071701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1.3642420526593924E-11</v>
      </c>
      <c r="C47" s="29">
        <v>-1.5244956788983478E-2</v>
      </c>
      <c r="D47" s="30">
        <f t="shared" si="4"/>
        <v>-0.87347168286806487</v>
      </c>
      <c r="F47" s="99">
        <f t="shared" si="11"/>
        <v>0.58038845302154896</v>
      </c>
      <c r="G47" s="38">
        <f t="shared" si="11"/>
        <v>39.369999999999997</v>
      </c>
      <c r="H47" s="20">
        <f t="shared" si="12"/>
        <v>35.494508987867796</v>
      </c>
      <c r="I47" s="21">
        <f t="shared" si="13"/>
        <v>30016.856096504252</v>
      </c>
      <c r="J47" s="21">
        <f>Q73</f>
        <v>35259.192582924501</v>
      </c>
      <c r="K47" s="21">
        <f t="shared" si="16"/>
        <v>5242.3364864202485</v>
      </c>
      <c r="L47" s="18">
        <f t="shared" si="14"/>
        <v>0.75265774883637682</v>
      </c>
      <c r="M47" s="18">
        <f t="shared" si="17"/>
        <v>1.2150427231979182</v>
      </c>
      <c r="N47" s="19">
        <f t="shared" si="15"/>
        <v>2.073</v>
      </c>
      <c r="P47" s="56">
        <f>'Nr(V)'!A47</f>
        <v>22.5</v>
      </c>
      <c r="Q47" s="53">
        <f>'Nr(V)'!E47</f>
        <v>26271.9744362932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4.3984096009808127E-7</v>
      </c>
      <c r="C48" s="32">
        <v>-0.10436276260943438</v>
      </c>
      <c r="D48" s="33">
        <f t="shared" si="4"/>
        <v>-5.9795458358463041</v>
      </c>
      <c r="F48" s="99">
        <f t="shared" si="11"/>
        <v>0.483331925835703</v>
      </c>
      <c r="G48" s="38">
        <f t="shared" si="11"/>
        <v>27.9</v>
      </c>
      <c r="H48" s="20">
        <f t="shared" si="12"/>
        <v>38.895361573350243</v>
      </c>
      <c r="I48" s="21">
        <f t="shared" si="13"/>
        <v>35657.082752802271</v>
      </c>
      <c r="J48" s="21">
        <f>Q80</f>
        <v>37138.4400738107</v>
      </c>
      <c r="K48" s="21">
        <f t="shared" si="16"/>
        <v>1481.3573210084287</v>
      </c>
      <c r="L48" s="18">
        <f t="shared" si="14"/>
        <v>0.21268285035511747</v>
      </c>
      <c r="M48" s="18">
        <f t="shared" si="17"/>
        <v>0.31329932243429598</v>
      </c>
      <c r="N48" s="19">
        <f t="shared" si="15"/>
        <v>1.2330000000000001</v>
      </c>
      <c r="P48" s="56">
        <f>'Nr(V)'!A48</f>
        <v>23</v>
      </c>
      <c r="Q48" s="53">
        <f>'Nr(V)'!E48</f>
        <v>26448.084972320899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-1.939866335385845E-2</v>
      </c>
      <c r="D49" s="36">
        <f t="shared" si="4"/>
        <v>-1.1114615383711837</v>
      </c>
      <c r="F49" s="99">
        <f t="shared" si="11"/>
        <v>0.38026543690183146</v>
      </c>
      <c r="G49" s="38">
        <f t="shared" si="11"/>
        <v>16.61</v>
      </c>
      <c r="H49" s="20">
        <f t="shared" si="12"/>
        <v>43.850760311200375</v>
      </c>
      <c r="I49" s="21">
        <f t="shared" si="13"/>
        <v>46212.88634543134</v>
      </c>
      <c r="J49" s="21">
        <f>Q90</f>
        <v>34780.413159908101</v>
      </c>
      <c r="K49" s="21">
        <f t="shared" si="16"/>
        <v>-11432.473185523238</v>
      </c>
      <c r="L49" s="18">
        <f t="shared" si="14"/>
        <v>-1.6413939764717287</v>
      </c>
      <c r="M49" s="18">
        <f t="shared" si="17"/>
        <v>-2.1451605796230981</v>
      </c>
      <c r="N49" s="19">
        <f t="shared" si="15"/>
        <v>0.39200000000000002</v>
      </c>
      <c r="P49" s="56">
        <f>'Nr(V)'!A49</f>
        <v>23.5</v>
      </c>
      <c r="Q49" s="53">
        <f>'Nr(V)'!E49</f>
        <v>26682.839011656601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5.4071460908744484E-7</v>
      </c>
      <c r="C50" s="25">
        <v>-0.13090404831922883</v>
      </c>
      <c r="D50" s="26">
        <f t="shared" si="4"/>
        <v>-7.50024948986841</v>
      </c>
      <c r="F50" s="99">
        <f t="shared" si="11"/>
        <v>0.33400000000000002</v>
      </c>
      <c r="G50" s="38">
        <f t="shared" si="11"/>
        <v>12.24</v>
      </c>
      <c r="H50" s="20">
        <f t="shared" si="12"/>
        <v>46.789383299126513</v>
      </c>
      <c r="I50" s="21">
        <f t="shared" si="13"/>
        <v>53834.068362372069</v>
      </c>
      <c r="J50" s="21">
        <f>Q96</f>
        <v>30659.7506638462</v>
      </c>
      <c r="K50" s="21">
        <f t="shared" si="16"/>
        <v>-23174.317698525869</v>
      </c>
      <c r="L50" s="18">
        <f t="shared" si="14"/>
        <v>-3.3272053091162896</v>
      </c>
      <c r="M50" s="18">
        <f t="shared" si="17"/>
        <v>-4.0777594809566464</v>
      </c>
      <c r="N50" s="19">
        <f t="shared" si="15"/>
        <v>-0.13300000000000001</v>
      </c>
      <c r="P50" s="56">
        <f>'Nr(V)'!A50</f>
        <v>24</v>
      </c>
      <c r="Q50" s="53">
        <f>'Nr(V)'!E50</f>
        <v>27152.932175165301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7.2759576141834259E-12</v>
      </c>
      <c r="C51" s="29">
        <v>-2.3109656985157566E-2</v>
      </c>
      <c r="D51" s="30">
        <f t="shared" si="4"/>
        <v>-1.3240858112445506</v>
      </c>
      <c r="F51" s="99">
        <f t="shared" si="11"/>
        <v>0.27900000000000003</v>
      </c>
      <c r="G51" s="38">
        <f t="shared" si="11"/>
        <v>7.83</v>
      </c>
      <c r="H51" s="20">
        <f t="shared" si="12"/>
        <v>51.193927944756389</v>
      </c>
      <c r="I51" s="21">
        <f t="shared" si="13"/>
        <v>67308.053235137646</v>
      </c>
      <c r="J51" s="21">
        <f>Q104</f>
        <v>23008.821279085401</v>
      </c>
      <c r="K51" s="21">
        <f t="shared" si="16"/>
        <v>-44299.231956052245</v>
      </c>
      <c r="L51" s="18">
        <f t="shared" si="14"/>
        <v>-6.3601717069463817</v>
      </c>
      <c r="M51" s="18">
        <f t="shared" si="17"/>
        <v>-7.136686256546116</v>
      </c>
      <c r="N51" s="19">
        <f t="shared" si="15"/>
        <v>-0.8</v>
      </c>
      <c r="P51" s="56">
        <f>'Nr(V)'!A51</f>
        <v>24.5</v>
      </c>
      <c r="Q51" s="53">
        <f>'Nr(V)'!E51</f>
        <v>27387.776227552898</v>
      </c>
    </row>
    <row r="52" spans="1:17" ht="15.6" x14ac:dyDescent="0.25">
      <c r="F52" s="99">
        <f t="shared" si="11"/>
        <v>0.22900000000000001</v>
      </c>
      <c r="G52" s="38">
        <f t="shared" si="11"/>
        <v>4.72</v>
      </c>
      <c r="H52" s="20">
        <f t="shared" si="12"/>
        <v>56.507073178512385</v>
      </c>
      <c r="I52" s="21">
        <f t="shared" si="13"/>
        <v>86691.57860064297</v>
      </c>
      <c r="J52" s="21">
        <f>Q114</f>
        <v>12180.386155992601</v>
      </c>
      <c r="K52" s="21">
        <f t="shared" si="16"/>
        <v>-74511.192444650369</v>
      </c>
      <c r="L52" s="18">
        <f t="shared" si="14"/>
        <v>-10.697792198913206</v>
      </c>
      <c r="M52" s="18">
        <f t="shared" si="17"/>
        <v>-10.912971808438334</v>
      </c>
      <c r="N52" s="19">
        <f t="shared" si="15"/>
        <v>-1.3260000000000001</v>
      </c>
      <c r="P52" s="56">
        <f>'Nr(V)'!A52</f>
        <v>25</v>
      </c>
      <c r="Q52" s="53">
        <f>'Nr(V)'!E52</f>
        <v>27857.9143975876</v>
      </c>
    </row>
    <row r="53" spans="1:17" ht="16.2" thickBot="1" x14ac:dyDescent="0.3">
      <c r="P53" s="56">
        <f>'Nr(V)'!A53</f>
        <v>25.5</v>
      </c>
      <c r="Q53" s="53">
        <f>'Nr(V)'!E53</f>
        <v>28269.094018632699</v>
      </c>
    </row>
    <row r="54" spans="1:17" ht="18.600000000000001" thickBot="1" x14ac:dyDescent="0.3">
      <c r="I54" s="134" t="s">
        <v>193</v>
      </c>
      <c r="J54" s="135"/>
      <c r="K54" s="135"/>
      <c r="L54" s="135"/>
      <c r="M54" s="135"/>
      <c r="N54" s="136"/>
      <c r="P54" s="56">
        <f>'Nr(V)'!A54</f>
        <v>26</v>
      </c>
      <c r="Q54" s="53">
        <f>'Nr(V)'!E54</f>
        <v>28680.4086592555</v>
      </c>
    </row>
    <row r="55" spans="1:17" ht="18.600000000000001" thickBot="1" x14ac:dyDescent="0.3">
      <c r="D55" s="56" t="s">
        <v>149</v>
      </c>
      <c r="E55" s="56" t="s">
        <v>150</v>
      </c>
      <c r="F55" s="14" t="s">
        <v>151</v>
      </c>
      <c r="G55" s="14" t="s">
        <v>152</v>
      </c>
      <c r="I55" s="100" t="s">
        <v>76</v>
      </c>
      <c r="J55" s="100" t="s">
        <v>77</v>
      </c>
      <c r="K55" s="100" t="s">
        <v>78</v>
      </c>
      <c r="L55" s="100" t="s">
        <v>79</v>
      </c>
      <c r="M55" s="100" t="s">
        <v>85</v>
      </c>
      <c r="N55" s="100" t="s">
        <v>80</v>
      </c>
      <c r="P55" s="56">
        <f>'Nr(V)'!A55</f>
        <v>26.5</v>
      </c>
      <c r="Q55" s="53">
        <f>'Nr(V)'!E55</f>
        <v>29032.944776992601</v>
      </c>
    </row>
    <row r="56" spans="1:17" ht="15.6" x14ac:dyDescent="0.25">
      <c r="D56" s="24">
        <f t="shared" ref="D56:D70" si="18">-K56*COS(E56+F56-C$3)+0.5*C$17*C$7*C$5*(F56-C$8)*I56^2*SIN(E56)+0.5*C$17*C$7*(C$11+1/PI()/C$10*C$5^2*(F56-C$8)^2)*I56^2*COS(E56)</f>
        <v>-5.8441898431738082E-5</v>
      </c>
      <c r="E56" s="25">
        <v>3.8642951581375692E-2</v>
      </c>
      <c r="F56" s="29">
        <v>0.18433917276114617</v>
      </c>
      <c r="G56" s="28">
        <f t="shared" ref="G56:G70" si="19">K56*SIN(E56+F56-C$3)+0.5*C$17*C$7*C$5*(F56-C$8)*I56^2*COS(E56)-0.5*C$17*C$7*(C$11+1/PI()/C$10*C$5^2*(F56-C$8)^2)*I56^2*SIN(E56)-C$2</f>
        <v>-4.6463128455798142E-6</v>
      </c>
      <c r="I56" s="103">
        <f>SQRT(2*C$2/C$7/C$16/C17)</f>
        <v>22.02743499743352</v>
      </c>
      <c r="J56" s="102">
        <f>Q46</f>
        <v>25978.441874071701</v>
      </c>
      <c r="K56" s="102">
        <f>J56/I56</f>
        <v>1179.367542208093</v>
      </c>
      <c r="L56" s="104">
        <f>DEGREES(F56)</f>
        <v>10.561856598146621</v>
      </c>
      <c r="M56" s="104">
        <f>DEGREES(E56)</f>
        <v>2.2140780335412176</v>
      </c>
      <c r="N56" s="104">
        <f>I56*SIN(RADIANS(M56))</f>
        <v>0.85099327228353971</v>
      </c>
      <c r="P56" s="56">
        <f>'Nr(V)'!A56</f>
        <v>27</v>
      </c>
      <c r="Q56" s="53">
        <f>'Nr(V)'!E56</f>
        <v>29326.612358792001</v>
      </c>
    </row>
    <row r="57" spans="1:17" ht="15.6" x14ac:dyDescent="0.25">
      <c r="D57" s="24">
        <f t="shared" si="18"/>
        <v>1.0549782814450737E-5</v>
      </c>
      <c r="E57" s="32">
        <v>3.9741742181564663E-2</v>
      </c>
      <c r="F57" s="35">
        <v>0.16448900464417043</v>
      </c>
      <c r="G57" s="28">
        <f t="shared" si="19"/>
        <v>-3.0015344054845627E-4</v>
      </c>
      <c r="I57" s="20">
        <v>23</v>
      </c>
      <c r="J57" s="21">
        <f>Q48</f>
        <v>26448.084972320899</v>
      </c>
      <c r="K57" s="21">
        <f t="shared" ref="K57:K70" si="20">J57/I57</f>
        <v>1149.9167379269957</v>
      </c>
      <c r="L57" s="18">
        <f t="shared" ref="L57:L70" si="21">DEGREES(F57)</f>
        <v>9.4245257424187638</v>
      </c>
      <c r="M57" s="18">
        <f t="shared" ref="M57:M70" si="22">DEGREES(E57)</f>
        <v>2.277034097500692</v>
      </c>
      <c r="N57" s="18">
        <f t="shared" ref="N57:N70" si="23">I57*SIN(RADIANS(M57))</f>
        <v>0.91381947717236467</v>
      </c>
      <c r="P57" s="56">
        <f>'Nr(V)'!A57</f>
        <v>27.5</v>
      </c>
      <c r="Q57" s="53">
        <f>'Nr(V)'!E57</f>
        <v>29620.0999144876</v>
      </c>
    </row>
    <row r="58" spans="1:17" ht="15.6" x14ac:dyDescent="0.25">
      <c r="D58" s="24">
        <f t="shared" si="18"/>
        <v>1.694277773367503E-5</v>
      </c>
      <c r="E58" s="25">
        <v>4.1520033869120405E-2</v>
      </c>
      <c r="F58" s="29">
        <v>0.14633751501711412</v>
      </c>
      <c r="G58" s="28">
        <f t="shared" si="19"/>
        <v>-2.7721398510038853E-9</v>
      </c>
      <c r="I58" s="20">
        <f t="shared" ref="I58:I70" si="24">I5</f>
        <v>24</v>
      </c>
      <c r="J58" s="21">
        <f>Q50</f>
        <v>27152.932175165301</v>
      </c>
      <c r="K58" s="21">
        <f t="shared" si="20"/>
        <v>1131.3721739652208</v>
      </c>
      <c r="L58" s="18">
        <f t="shared" si="21"/>
        <v>8.3845219949129444</v>
      </c>
      <c r="M58" s="18">
        <f t="shared" si="22"/>
        <v>2.3789227059408331</v>
      </c>
      <c r="N58" s="18">
        <f t="shared" si="23"/>
        <v>0.99619452979648104</v>
      </c>
      <c r="P58" s="56">
        <f>'Nr(V)'!A58</f>
        <v>28</v>
      </c>
      <c r="Q58" s="53">
        <f>'Nr(V)'!E58</f>
        <v>30031.369548584498</v>
      </c>
    </row>
    <row r="59" spans="1:17" ht="15.6" x14ac:dyDescent="0.25">
      <c r="D59" s="24">
        <f t="shared" si="18"/>
        <v>3.5936192261942779E-6</v>
      </c>
      <c r="E59" s="32">
        <v>4.361948200292598E-2</v>
      </c>
      <c r="F59" s="35">
        <v>0.11580876933040794</v>
      </c>
      <c r="G59" s="28">
        <f t="shared" si="19"/>
        <v>-3.7471181713044643E-10</v>
      </c>
      <c r="I59" s="20">
        <f t="shared" si="24"/>
        <v>26</v>
      </c>
      <c r="J59" s="21">
        <f>Q54</f>
        <v>28680.4086592555</v>
      </c>
      <c r="K59" s="21">
        <f t="shared" si="20"/>
        <v>1103.0926407405962</v>
      </c>
      <c r="L59" s="18">
        <f t="shared" si="21"/>
        <v>6.6353537132364639</v>
      </c>
      <c r="M59" s="18">
        <f t="shared" si="22"/>
        <v>2.4992122233145095</v>
      </c>
      <c r="N59" s="18">
        <f t="shared" si="23"/>
        <v>1.1337469299146974</v>
      </c>
      <c r="P59" s="56">
        <f>'Nr(V)'!A59</f>
        <v>28.5</v>
      </c>
      <c r="Q59" s="53">
        <f>'Nr(V)'!E59</f>
        <v>30442.684189207401</v>
      </c>
    </row>
    <row r="60" spans="1:17" ht="15.6" x14ac:dyDescent="0.25">
      <c r="D60" s="24">
        <f t="shared" si="18"/>
        <v>8.4155536796970409E-6</v>
      </c>
      <c r="E60" s="25">
        <v>4.2425708016145945E-2</v>
      </c>
      <c r="F60" s="29">
        <v>9.1357752349112267E-2</v>
      </c>
      <c r="G60" s="28">
        <f t="shared" si="19"/>
        <v>0</v>
      </c>
      <c r="I60" s="20">
        <f t="shared" si="24"/>
        <v>28</v>
      </c>
      <c r="J60" s="21">
        <f>Q58</f>
        <v>30031.369548584498</v>
      </c>
      <c r="K60" s="21">
        <f t="shared" si="20"/>
        <v>1072.5489124494463</v>
      </c>
      <c r="L60" s="18">
        <f t="shared" si="21"/>
        <v>5.2344136354055149</v>
      </c>
      <c r="M60" s="18">
        <f t="shared" si="22"/>
        <v>2.4308140121795074</v>
      </c>
      <c r="N60" s="18">
        <f t="shared" si="23"/>
        <v>1.1875634923155731</v>
      </c>
      <c r="P60" s="56">
        <f>'Nr(V)'!A60</f>
        <v>29</v>
      </c>
      <c r="Q60" s="53">
        <f>'Nr(V)'!E60</f>
        <v>30971.465862550001</v>
      </c>
    </row>
    <row r="61" spans="1:17" ht="15.6" x14ac:dyDescent="0.25">
      <c r="D61" s="24">
        <f t="shared" si="18"/>
        <v>2.0122672026445798E-5</v>
      </c>
      <c r="E61" s="32">
        <v>4.0334097316838805E-2</v>
      </c>
      <c r="F61" s="35">
        <v>7.1458802241840383E-2</v>
      </c>
      <c r="G61" s="28">
        <f t="shared" si="19"/>
        <v>9.0949470177292824E-12</v>
      </c>
      <c r="I61" s="20">
        <f t="shared" si="24"/>
        <v>30</v>
      </c>
      <c r="J61" s="21">
        <f>Q62</f>
        <v>31558.846032674701</v>
      </c>
      <c r="K61" s="21">
        <f t="shared" si="20"/>
        <v>1051.9615344224901</v>
      </c>
      <c r="L61" s="18">
        <f t="shared" si="21"/>
        <v>4.0942877775174393</v>
      </c>
      <c r="M61" s="18">
        <f t="shared" si="22"/>
        <v>2.3109735467248016</v>
      </c>
      <c r="N61" s="18">
        <f t="shared" si="23"/>
        <v>1.2096948606965752</v>
      </c>
      <c r="P61" s="56">
        <f>'Nr(V)'!A61</f>
        <v>29.5</v>
      </c>
      <c r="Q61" s="53">
        <f>'Nr(V)'!E61</f>
        <v>31382.735496647001</v>
      </c>
    </row>
    <row r="62" spans="1:17" ht="15.6" x14ac:dyDescent="0.25">
      <c r="D62" s="24">
        <f t="shared" si="18"/>
        <v>2.197342723775364E-5</v>
      </c>
      <c r="E62" s="25">
        <v>3.182118952562403E-2</v>
      </c>
      <c r="F62" s="29">
        <v>4.7963609397363639E-2</v>
      </c>
      <c r="G62" s="28">
        <f t="shared" si="19"/>
        <v>-1.0095391189679503E-10</v>
      </c>
      <c r="I62" s="20">
        <f t="shared" si="24"/>
        <v>33</v>
      </c>
      <c r="J62" s="21">
        <f>Q68</f>
        <v>33261.757954903398</v>
      </c>
      <c r="K62" s="21">
        <f t="shared" si="20"/>
        <v>1007.9320592394969</v>
      </c>
      <c r="L62" s="18">
        <f t="shared" si="21"/>
        <v>2.7481123886829506</v>
      </c>
      <c r="M62" s="18">
        <f t="shared" si="22"/>
        <v>1.8232198589041591</v>
      </c>
      <c r="N62" s="18">
        <f t="shared" si="23"/>
        <v>1.0499220436492804</v>
      </c>
      <c r="P62" s="56">
        <f>'Nr(V)'!A62</f>
        <v>30</v>
      </c>
      <c r="Q62" s="53">
        <f>'Nr(V)'!E62</f>
        <v>31558.846032674701</v>
      </c>
    </row>
    <row r="63" spans="1:17" ht="15.6" x14ac:dyDescent="0.25">
      <c r="D63" s="24">
        <f t="shared" si="18"/>
        <v>9.1849572072533192E-6</v>
      </c>
      <c r="E63" s="32">
        <v>2.2714660014225684E-2</v>
      </c>
      <c r="F63" s="35">
        <v>2.9945562023493726E-2</v>
      </c>
      <c r="G63" s="28">
        <f t="shared" si="19"/>
        <v>0</v>
      </c>
      <c r="I63" s="20">
        <f t="shared" si="24"/>
        <v>36</v>
      </c>
      <c r="J63" s="21">
        <f>Q74</f>
        <v>35376.524596066403</v>
      </c>
      <c r="K63" s="21">
        <f t="shared" si="20"/>
        <v>982.68123877962228</v>
      </c>
      <c r="L63" s="18">
        <f t="shared" si="21"/>
        <v>1.7157543190934279</v>
      </c>
      <c r="M63" s="18">
        <f t="shared" si="22"/>
        <v>1.3014541518897023</v>
      </c>
      <c r="N63" s="18">
        <f t="shared" si="23"/>
        <v>0.81765744376547511</v>
      </c>
      <c r="P63" s="56">
        <f>'Nr(V)'!A63</f>
        <v>30.5</v>
      </c>
      <c r="Q63" s="53">
        <f>'Nr(V)'!E63</f>
        <v>31734.8665556505</v>
      </c>
    </row>
    <row r="64" spans="1:17" ht="15.6" x14ac:dyDescent="0.25">
      <c r="D64" s="24">
        <f t="shared" si="18"/>
        <v>-7.1620639801039943E-6</v>
      </c>
      <c r="E64" s="25">
        <v>1.0200406674524707E-2</v>
      </c>
      <c r="F64" s="29">
        <v>1.584380966768606E-2</v>
      </c>
      <c r="G64" s="28">
        <f t="shared" si="19"/>
        <v>0</v>
      </c>
      <c r="I64" s="20">
        <f t="shared" si="24"/>
        <v>39</v>
      </c>
      <c r="J64" s="21">
        <f>Q80</f>
        <v>37138.4400738107</v>
      </c>
      <c r="K64" s="21">
        <f t="shared" si="20"/>
        <v>952.26769420027438</v>
      </c>
      <c r="L64" s="18">
        <f t="shared" si="21"/>
        <v>0.90778342536698253</v>
      </c>
      <c r="M64" s="18">
        <f t="shared" si="22"/>
        <v>0.58444025176734093</v>
      </c>
      <c r="N64" s="18">
        <f t="shared" si="23"/>
        <v>0.39780896166526725</v>
      </c>
      <c r="P64" s="56">
        <f>'Nr(V)'!A64</f>
        <v>31</v>
      </c>
      <c r="Q64" s="53">
        <f>'Nr(V)'!E64</f>
        <v>32146.0461766956</v>
      </c>
    </row>
    <row r="65" spans="4:17" ht="15.6" x14ac:dyDescent="0.25">
      <c r="D65" s="24">
        <f t="shared" si="18"/>
        <v>-7.0795636020193342E-8</v>
      </c>
      <c r="E65" s="32">
        <v>-1.1358672987600628E-2</v>
      </c>
      <c r="F65" s="35">
        <v>4.5848008847541111E-3</v>
      </c>
      <c r="G65" s="28">
        <f t="shared" si="19"/>
        <v>0</v>
      </c>
      <c r="I65" s="20">
        <f t="shared" si="24"/>
        <v>42</v>
      </c>
      <c r="J65" s="21">
        <f>Q86</f>
        <v>36723.434898060201</v>
      </c>
      <c r="K65" s="21">
        <f t="shared" si="20"/>
        <v>874.36749757286191</v>
      </c>
      <c r="L65" s="18">
        <f t="shared" si="21"/>
        <v>0.26268974060425632</v>
      </c>
      <c r="M65" s="18">
        <f t="shared" si="22"/>
        <v>-0.65080402305876961</v>
      </c>
      <c r="N65" s="18">
        <f t="shared" si="23"/>
        <v>-0.47705400711704976</v>
      </c>
      <c r="P65" s="56">
        <f>'Nr(V)'!A65</f>
        <v>31.5</v>
      </c>
      <c r="Q65" s="53">
        <f>'Nr(V)'!E65</f>
        <v>32322.0216931455</v>
      </c>
    </row>
    <row r="66" spans="4:17" ht="15.6" x14ac:dyDescent="0.25">
      <c r="D66" s="24">
        <f t="shared" si="18"/>
        <v>-1.6927970136748627E-8</v>
      </c>
      <c r="E66" s="25">
        <v>-3.1397329429611195E-2</v>
      </c>
      <c r="F66" s="29">
        <v>-1.7309912363705426E-3</v>
      </c>
      <c r="G66" s="28">
        <f t="shared" si="19"/>
        <v>0</v>
      </c>
      <c r="I66" s="20">
        <f t="shared" si="24"/>
        <v>44</v>
      </c>
      <c r="J66" s="21">
        <f>Q90</f>
        <v>34780.413159908101</v>
      </c>
      <c r="K66" s="21">
        <f t="shared" si="20"/>
        <v>790.46393545245689</v>
      </c>
      <c r="L66" s="18">
        <f t="shared" si="21"/>
        <v>-9.9178492218164369E-2</v>
      </c>
      <c r="M66" s="18">
        <f t="shared" si="22"/>
        <v>-1.7989344642986138</v>
      </c>
      <c r="N66" s="18">
        <f t="shared" si="23"/>
        <v>-1.3812555302902492</v>
      </c>
      <c r="P66" s="56">
        <f>'Nr(V)'!A66</f>
        <v>32</v>
      </c>
      <c r="Q66" s="53">
        <f>'Nr(V)'!E66</f>
        <v>32615.734281470799</v>
      </c>
    </row>
    <row r="67" spans="4:17" ht="15.6" x14ac:dyDescent="0.25">
      <c r="D67" s="24">
        <f t="shared" si="18"/>
        <v>8.7267949311353732E-7</v>
      </c>
      <c r="E67" s="32">
        <v>-5.3752404836225016E-2</v>
      </c>
      <c r="F67" s="35">
        <v>-7.2882060315004014E-3</v>
      </c>
      <c r="G67" s="28">
        <f t="shared" si="19"/>
        <v>0</v>
      </c>
      <c r="I67" s="20">
        <f t="shared" si="24"/>
        <v>46</v>
      </c>
      <c r="J67" s="21">
        <f>Q94</f>
        <v>32013.636977361701</v>
      </c>
      <c r="K67" s="21">
        <f t="shared" si="20"/>
        <v>695.94862994264565</v>
      </c>
      <c r="L67" s="18">
        <f t="shared" si="21"/>
        <v>-0.41758344582676371</v>
      </c>
      <c r="M67" s="18">
        <f t="shared" si="22"/>
        <v>-3.0797859357942885</v>
      </c>
      <c r="N67" s="18">
        <f t="shared" si="23"/>
        <v>-2.4714201001594556</v>
      </c>
      <c r="P67" s="56">
        <f>'Nr(V)'!A67</f>
        <v>32.5</v>
      </c>
      <c r="Q67" s="53">
        <f>'Nr(V)'!E67</f>
        <v>32968.180386155902</v>
      </c>
    </row>
    <row r="68" spans="4:17" ht="15.6" x14ac:dyDescent="0.25">
      <c r="D68" s="24">
        <f t="shared" si="18"/>
        <v>7.2545572038507089E-7</v>
      </c>
      <c r="E68" s="25">
        <v>-7.5038180769700646E-2</v>
      </c>
      <c r="F68" s="29">
        <v>-1.2194825640401247E-2</v>
      </c>
      <c r="G68" s="28">
        <f t="shared" si="19"/>
        <v>0</v>
      </c>
      <c r="I68" s="20">
        <f t="shared" si="24"/>
        <v>48</v>
      </c>
      <c r="J68" s="21">
        <f>Q98</f>
        <v>29482.379945092001</v>
      </c>
      <c r="K68" s="21">
        <f t="shared" si="20"/>
        <v>614.21624885608333</v>
      </c>
      <c r="L68" s="18">
        <f t="shared" si="21"/>
        <v>-0.69871204109291274</v>
      </c>
      <c r="M68" s="18">
        <f t="shared" si="22"/>
        <v>-4.2993710604435824</v>
      </c>
      <c r="N68" s="18">
        <f t="shared" si="23"/>
        <v>-3.5984534714270549</v>
      </c>
      <c r="P68" s="56">
        <f>'Nr(V)'!A68</f>
        <v>33</v>
      </c>
      <c r="Q68" s="53">
        <f>'Nr(V)'!E68</f>
        <v>33261.757954903398</v>
      </c>
    </row>
    <row r="69" spans="4:17" ht="15.6" x14ac:dyDescent="0.25">
      <c r="D69" s="24">
        <f t="shared" si="18"/>
        <v>4.4901958062837366E-6</v>
      </c>
      <c r="E69" s="32">
        <v>-0.10067867553643421</v>
      </c>
      <c r="F69" s="35">
        <v>-1.6579981506994128E-2</v>
      </c>
      <c r="G69" s="28">
        <f t="shared" si="19"/>
        <v>1.3642420526593924E-11</v>
      </c>
      <c r="I69" s="20">
        <f t="shared" si="24"/>
        <v>50</v>
      </c>
      <c r="J69" s="21">
        <f>Q102</f>
        <v>25362.707592600898</v>
      </c>
      <c r="K69" s="21">
        <f t="shared" si="20"/>
        <v>507.25415185201797</v>
      </c>
      <c r="L69" s="18">
        <f t="shared" si="21"/>
        <v>-0.94996296475571795</v>
      </c>
      <c r="M69" s="18">
        <f t="shared" si="22"/>
        <v>-5.7684631952046894</v>
      </c>
      <c r="N69" s="18">
        <f t="shared" si="23"/>
        <v>-5.0254339294476971</v>
      </c>
      <c r="P69" s="56">
        <f>'Nr(V)'!A69</f>
        <v>33.5</v>
      </c>
      <c r="Q69" s="53">
        <f>'Nr(V)'!E69</f>
        <v>33614.204059588599</v>
      </c>
    </row>
    <row r="70" spans="4:17" ht="15.6" x14ac:dyDescent="0.25">
      <c r="D70" s="24">
        <f t="shared" si="18"/>
        <v>5.0326207201578654E-8</v>
      </c>
      <c r="E70" s="25">
        <v>-0.12554482539617445</v>
      </c>
      <c r="F70" s="29">
        <v>-2.049510239146949E-2</v>
      </c>
      <c r="G70" s="28">
        <f t="shared" si="19"/>
        <v>0</v>
      </c>
      <c r="I70" s="20">
        <f t="shared" si="24"/>
        <v>52</v>
      </c>
      <c r="J70" s="21">
        <f>Q106</f>
        <v>21360.817318511101</v>
      </c>
      <c r="K70" s="21">
        <f t="shared" si="20"/>
        <v>410.78494843290576</v>
      </c>
      <c r="L70" s="18">
        <f t="shared" si="21"/>
        <v>-1.1742828677196822</v>
      </c>
      <c r="M70" s="18">
        <f t="shared" si="22"/>
        <v>-7.1931886349076297</v>
      </c>
      <c r="N70" s="18">
        <f t="shared" si="23"/>
        <v>-6.5111950457695382</v>
      </c>
      <c r="P70" s="56">
        <f>'Nr(V)'!A70</f>
        <v>34</v>
      </c>
      <c r="Q70" s="53">
        <f>'Nr(V)'!E70</f>
        <v>34084.252216571404</v>
      </c>
    </row>
    <row r="71" spans="4:17" ht="15.6" x14ac:dyDescent="0.25">
      <c r="J71" s="108"/>
      <c r="P71" s="56">
        <f>'Nr(V)'!A71</f>
        <v>34.5</v>
      </c>
      <c r="Q71" s="53">
        <f>'Nr(V)'!E71</f>
        <v>34377.874791844799</v>
      </c>
    </row>
    <row r="72" spans="4:17" ht="15.6" x14ac:dyDescent="0.25">
      <c r="P72" s="56">
        <f>'Nr(V)'!A72</f>
        <v>35</v>
      </c>
      <c r="Q72" s="53">
        <f>'Nr(V)'!E72</f>
        <v>34789.324452045497</v>
      </c>
    </row>
    <row r="73" spans="4:17" ht="15.6" x14ac:dyDescent="0.25">
      <c r="P73" s="56">
        <f>'Nr(V)'!A73</f>
        <v>35.5</v>
      </c>
      <c r="Q73" s="53">
        <f>'Nr(V)'!E73</f>
        <v>35259.192582924501</v>
      </c>
    </row>
    <row r="74" spans="4:17" ht="15.6" x14ac:dyDescent="0.25">
      <c r="P74" s="56">
        <f>'Nr(V)'!A74</f>
        <v>36</v>
      </c>
      <c r="Q74" s="53">
        <f>'Nr(V)'!E74</f>
        <v>35376.524596066403</v>
      </c>
    </row>
    <row r="75" spans="4:17" ht="15.6" x14ac:dyDescent="0.25">
      <c r="P75" s="56">
        <f>'Nr(V)'!A75</f>
        <v>36.5</v>
      </c>
      <c r="Q75" s="53">
        <f>'Nr(V)'!E75</f>
        <v>35787.749223637402</v>
      </c>
    </row>
    <row r="76" spans="4:17" ht="15.6" x14ac:dyDescent="0.25">
      <c r="P76" s="56">
        <f>'Nr(V)'!A76</f>
        <v>37</v>
      </c>
      <c r="Q76" s="53">
        <f>'Nr(V)'!E76</f>
        <v>36081.461811962698</v>
      </c>
    </row>
    <row r="77" spans="4:17" ht="15.6" x14ac:dyDescent="0.25">
      <c r="P77" s="56">
        <f>'Nr(V)'!A77</f>
        <v>37.5</v>
      </c>
      <c r="Q77" s="53">
        <f>'Nr(V)'!E77</f>
        <v>36492.641433007702</v>
      </c>
    </row>
    <row r="78" spans="4:17" ht="15.6" x14ac:dyDescent="0.25">
      <c r="P78" s="56">
        <f>'Nr(V)'!A78</f>
        <v>38</v>
      </c>
      <c r="Q78" s="53">
        <f>'Nr(V)'!E78</f>
        <v>36668.751969035497</v>
      </c>
    </row>
    <row r="79" spans="4:17" ht="15.6" x14ac:dyDescent="0.25">
      <c r="P79" s="56">
        <f>'Nr(V)'!A79</f>
        <v>38.5</v>
      </c>
      <c r="Q79" s="53">
        <f>'Nr(V)'!E79</f>
        <v>37138.620099914398</v>
      </c>
    </row>
    <row r="80" spans="4:17" ht="15.6" x14ac:dyDescent="0.25">
      <c r="P80" s="56">
        <f>'Nr(V)'!A80</f>
        <v>39</v>
      </c>
      <c r="Q80" s="53">
        <f>'Nr(V)'!E80</f>
        <v>37138.4400738107</v>
      </c>
    </row>
    <row r="81" spans="16:17" ht="15.6" x14ac:dyDescent="0.25">
      <c r="P81" s="56">
        <f>'Nr(V)'!A81</f>
        <v>39.5</v>
      </c>
      <c r="Q81" s="53">
        <f>'Nr(V)'!E81</f>
        <v>37255.637067374701</v>
      </c>
    </row>
    <row r="82" spans="16:17" ht="15.6" x14ac:dyDescent="0.25">
      <c r="P82" s="56">
        <f>'Nr(V)'!A82</f>
        <v>40</v>
      </c>
      <c r="Q82" s="53">
        <f>'Nr(V)'!E82</f>
        <v>37549.169629596203</v>
      </c>
    </row>
    <row r="83" spans="16:17" ht="15.6" x14ac:dyDescent="0.25">
      <c r="P83" s="56">
        <f>'Nr(V)'!A83</f>
        <v>40.5</v>
      </c>
      <c r="Q83" s="53">
        <f>'Nr(V)'!E83</f>
        <v>37489.716008821197</v>
      </c>
    </row>
    <row r="84" spans="16:17" ht="15.6" x14ac:dyDescent="0.25">
      <c r="P84" s="56">
        <f>'Nr(V)'!A84</f>
        <v>41</v>
      </c>
      <c r="Q84" s="53">
        <f>'Nr(V)'!E84</f>
        <v>37312.705342274603</v>
      </c>
    </row>
    <row r="85" spans="16:17" ht="15.6" x14ac:dyDescent="0.25">
      <c r="P85" s="56">
        <f>'Nr(V)'!A85</f>
        <v>41.5</v>
      </c>
      <c r="Q85" s="53">
        <f>'Nr(V)'!E85</f>
        <v>37135.739682253901</v>
      </c>
    </row>
    <row r="86" spans="16:17" ht="15.6" x14ac:dyDescent="0.25">
      <c r="P86" s="56">
        <f>'Nr(V)'!A86</f>
        <v>42</v>
      </c>
      <c r="Q86" s="53">
        <f>'Nr(V)'!E86</f>
        <v>36723.434898060201</v>
      </c>
    </row>
    <row r="87" spans="16:17" ht="15.6" x14ac:dyDescent="0.25">
      <c r="P87" s="56">
        <f>'Nr(V)'!A87</f>
        <v>42.5</v>
      </c>
      <c r="Q87" s="53">
        <f>'Nr(V)'!E87</f>
        <v>36075.926009271301</v>
      </c>
    </row>
    <row r="88" spans="16:17" ht="15.6" x14ac:dyDescent="0.25">
      <c r="P88" s="56">
        <f>'Nr(V)'!A88</f>
        <v>43</v>
      </c>
      <c r="Q88" s="53">
        <f>'Nr(V)'!E88</f>
        <v>35663.621225077601</v>
      </c>
    </row>
    <row r="89" spans="16:17" ht="15.6" x14ac:dyDescent="0.25">
      <c r="P89" s="56">
        <f>'Nr(V)'!A89</f>
        <v>43.5</v>
      </c>
      <c r="Q89" s="53">
        <f>'Nr(V)'!E89</f>
        <v>35192.582924524002</v>
      </c>
    </row>
    <row r="90" spans="16:17" ht="15.6" x14ac:dyDescent="0.25">
      <c r="P90" s="56">
        <f>'Nr(V)'!A90</f>
        <v>44</v>
      </c>
      <c r="Q90" s="53">
        <f>'Nr(V)'!E90</f>
        <v>34780.413159908101</v>
      </c>
    </row>
    <row r="91" spans="16:17" ht="15.6" x14ac:dyDescent="0.25">
      <c r="P91" s="56">
        <f>'Nr(V)'!A91</f>
        <v>44.5</v>
      </c>
      <c r="Q91" s="53">
        <f>'Nr(V)'!E91</f>
        <v>33838.696611008498</v>
      </c>
    </row>
    <row r="92" spans="16:17" ht="15.6" x14ac:dyDescent="0.25">
      <c r="P92" s="56">
        <f>'Nr(V)'!A92</f>
        <v>45</v>
      </c>
      <c r="Q92" s="53">
        <f>'Nr(V)'!E92</f>
        <v>33191.142715693699</v>
      </c>
    </row>
    <row r="93" spans="16:17" ht="15.6" x14ac:dyDescent="0.25">
      <c r="P93" s="56">
        <f>'Nr(V)'!A93</f>
        <v>45.5</v>
      </c>
      <c r="Q93" s="53">
        <f>'Nr(V)'!E93</f>
        <v>32543.543813853001</v>
      </c>
    </row>
    <row r="94" spans="16:17" ht="15.6" x14ac:dyDescent="0.25">
      <c r="P94" s="56">
        <f>'Nr(V)'!A94</f>
        <v>46</v>
      </c>
      <c r="Q94" s="53">
        <f>'Nr(V)'!E94</f>
        <v>32013.636977361701</v>
      </c>
    </row>
    <row r="95" spans="16:17" ht="15.6" x14ac:dyDescent="0.25">
      <c r="P95" s="56">
        <f>'Nr(V)'!A95</f>
        <v>46.5</v>
      </c>
      <c r="Q95" s="53">
        <f>'Nr(V)'!E95</f>
        <v>31366.1730950987</v>
      </c>
    </row>
    <row r="96" spans="16:17" ht="15.6" x14ac:dyDescent="0.25">
      <c r="P96" s="56">
        <f>'Nr(V)'!A96</f>
        <v>47</v>
      </c>
      <c r="Q96" s="53">
        <f>'Nr(V)'!E96</f>
        <v>30659.7506638462</v>
      </c>
    </row>
    <row r="97" spans="16:17" ht="15.6" x14ac:dyDescent="0.25">
      <c r="P97" s="56">
        <f>'Nr(V)'!A97</f>
        <v>47.5</v>
      </c>
      <c r="Q97" s="53">
        <f>'Nr(V)'!E97</f>
        <v>30071.0202979432</v>
      </c>
    </row>
    <row r="98" spans="16:17" ht="15.6" x14ac:dyDescent="0.25">
      <c r="P98" s="56">
        <f>'Nr(V)'!A98</f>
        <v>48</v>
      </c>
      <c r="Q98" s="53">
        <f>'Nr(V)'!E98</f>
        <v>29482.379945092001</v>
      </c>
    </row>
    <row r="99" spans="16:17" ht="15.6" x14ac:dyDescent="0.25">
      <c r="P99" s="56">
        <f>'Nr(V)'!A99</f>
        <v>48.5</v>
      </c>
      <c r="Q99" s="53">
        <f>'Nr(V)'!E99</f>
        <v>28364.3278275349</v>
      </c>
    </row>
    <row r="100" spans="16:17" ht="15.6" x14ac:dyDescent="0.25">
      <c r="P100" s="56">
        <f>'Nr(V)'!A100</f>
        <v>49</v>
      </c>
      <c r="Q100" s="53">
        <f>'Nr(V)'!E100</f>
        <v>27246.050677348201</v>
      </c>
    </row>
    <row r="101" spans="16:17" ht="15.6" x14ac:dyDescent="0.25">
      <c r="P101" s="56">
        <f>'Nr(V)'!A101</f>
        <v>49.5</v>
      </c>
      <c r="Q101" s="53">
        <f>'Nr(V)'!E101</f>
        <v>26480.894729735799</v>
      </c>
    </row>
    <row r="102" spans="16:17" ht="15.6" x14ac:dyDescent="0.25">
      <c r="P102" s="56">
        <f>'Nr(V)'!A102</f>
        <v>50</v>
      </c>
      <c r="Q102" s="53">
        <f>'Nr(V)'!E102</f>
        <v>25362.707592600898</v>
      </c>
    </row>
    <row r="103" spans="16:17" ht="15.6" x14ac:dyDescent="0.25">
      <c r="P103" s="56">
        <f>'Nr(V)'!A103</f>
        <v>50.5</v>
      </c>
      <c r="Q103" s="53">
        <f>'Nr(V)'!E103</f>
        <v>24126.918403168402</v>
      </c>
    </row>
    <row r="104" spans="16:17" ht="15.6" x14ac:dyDescent="0.25">
      <c r="P104" s="56">
        <f>'Nr(V)'!A104</f>
        <v>51</v>
      </c>
      <c r="Q104" s="53">
        <f>'Nr(V)'!E104</f>
        <v>23008.821279085401</v>
      </c>
    </row>
    <row r="105" spans="16:17" ht="15.6" x14ac:dyDescent="0.25">
      <c r="P105" s="56">
        <f>'Nr(V)'!A105</f>
        <v>51.5</v>
      </c>
      <c r="Q105" s="53">
        <f>'Nr(V)'!E105</f>
        <v>22126.0632791754</v>
      </c>
    </row>
    <row r="106" spans="16:17" ht="15.6" x14ac:dyDescent="0.25">
      <c r="P106" s="56">
        <f>'Nr(V)'!A106</f>
        <v>52</v>
      </c>
      <c r="Q106" s="53">
        <f>'Nr(V)'!E106</f>
        <v>21360.817318511101</v>
      </c>
    </row>
    <row r="107" spans="16:17" ht="15.6" x14ac:dyDescent="0.25">
      <c r="P107" s="56">
        <f>'Nr(V)'!A107</f>
        <v>52.5</v>
      </c>
      <c r="Q107" s="53">
        <f>'Nr(V)'!E107</f>
        <v>20066.2045996669</v>
      </c>
    </row>
    <row r="108" spans="16:17" ht="15.6" x14ac:dyDescent="0.25">
      <c r="P108" s="56">
        <f>'Nr(V)'!A108</f>
        <v>53</v>
      </c>
      <c r="Q108" s="53">
        <f>'Nr(V)'!E108</f>
        <v>18889.193933120299</v>
      </c>
    </row>
    <row r="109" spans="16:17" ht="15.6" x14ac:dyDescent="0.25">
      <c r="P109" s="56">
        <f>'Nr(V)'!A109</f>
        <v>53.5</v>
      </c>
      <c r="Q109" s="53">
        <f>'Nr(V)'!E109</f>
        <v>17829.920338448999</v>
      </c>
    </row>
    <row r="110" spans="16:17" ht="15.6" x14ac:dyDescent="0.25">
      <c r="P110" s="56">
        <f>'Nr(V)'!A110</f>
        <v>54</v>
      </c>
      <c r="Q110" s="53">
        <f>'Nr(V)'!E110</f>
        <v>16711.733201314099</v>
      </c>
    </row>
    <row r="111" spans="16:17" ht="15.6" x14ac:dyDescent="0.25">
      <c r="P111" s="56">
        <f>'Nr(V)'!A111</f>
        <v>54.5</v>
      </c>
      <c r="Q111" s="53">
        <f>'Nr(V)'!E111</f>
        <v>15946.5772537017</v>
      </c>
    </row>
    <row r="112" spans="16:17" ht="15.6" x14ac:dyDescent="0.25">
      <c r="P112" s="56">
        <f>'Nr(V)'!A112</f>
        <v>55</v>
      </c>
      <c r="Q112" s="53">
        <f>'Nr(V)'!E112</f>
        <v>14887.258652504601</v>
      </c>
    </row>
    <row r="113" spans="16:17" ht="15.6" x14ac:dyDescent="0.25">
      <c r="P113" s="56">
        <f>'Nr(V)'!A113</f>
        <v>55.5</v>
      </c>
      <c r="Q113" s="53">
        <f>'Nr(V)'!E113</f>
        <v>13651.514469598</v>
      </c>
    </row>
    <row r="114" spans="16:17" ht="15.6" x14ac:dyDescent="0.25">
      <c r="P114" s="56">
        <f>'Nr(V)'!A114</f>
        <v>56</v>
      </c>
      <c r="Q114" s="53">
        <f>'Nr(V)'!E114</f>
        <v>12180.386155992601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7:N37"/>
    <mergeCell ref="I54:N5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73CB-2759-4C78-9FD9-8D24C0BC13AC}">
  <dimension ref="A1:AB118"/>
  <sheetViews>
    <sheetView zoomScaleNormal="100"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2000</v>
      </c>
      <c r="D1" s="12" t="s">
        <v>3</v>
      </c>
      <c r="G1" s="43"/>
      <c r="H1" s="44"/>
      <c r="I1" s="134" t="s">
        <v>172</v>
      </c>
      <c r="J1" s="135"/>
      <c r="K1" s="135"/>
      <c r="L1" s="135"/>
      <c r="M1" s="135"/>
      <c r="N1" s="136"/>
      <c r="P1" s="51" t="str">
        <f>'Nr(V)'!A1</f>
        <v>h</v>
      </c>
      <c r="Q1" s="53">
        <f>'Nr(V)'!F1</f>
        <v>2000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'Nr(V)'!F2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21.939776241582344</v>
      </c>
      <c r="J3" s="102">
        <f>Q46</f>
        <v>24331.4730635942</v>
      </c>
      <c r="K3" s="102">
        <f>J3/I3</f>
        <v>1109.0119058497455</v>
      </c>
      <c r="L3" s="104">
        <f ca="1">OFFSET(D23,A23-2,0,1,1)</f>
        <v>10.563593203655763</v>
      </c>
      <c r="M3" s="104">
        <f t="shared" ref="M3:M17" ca="1" si="0">OFFSET(D22,A23-2,0,1,1)</f>
        <v>2.179007503454172</v>
      </c>
      <c r="N3" s="104">
        <f ca="1">I3*SIN(RADIANS(M3))</f>
        <v>0.83418733571115367</v>
      </c>
      <c r="P3" s="56">
        <f>'Nr(V)'!A3</f>
        <v>0.5</v>
      </c>
      <c r="Q3" s="53">
        <f>'Nr(V)'!F3</f>
        <v>528.87168639453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23</v>
      </c>
      <c r="J4" s="21">
        <f>Q48</f>
        <v>24801.071155317499</v>
      </c>
      <c r="K4" s="21">
        <f t="shared" ref="K4:K17" si="1">J4/I4</f>
        <v>1078.3074415355434</v>
      </c>
      <c r="L4" s="18">
        <f t="shared" ref="L4:L17" ca="1" si="2">OFFSET(D24,A24-2,0,1,1)</f>
        <v>9.3255045100133973</v>
      </c>
      <c r="M4" s="18">
        <f t="shared" ca="1" si="0"/>
        <v>2.2423006171711815</v>
      </c>
      <c r="N4" s="18">
        <f t="shared" ref="N4:N17" ca="1" si="3">I4*SIN(RADIANS(M4))</f>
        <v>0.89988740679916635</v>
      </c>
      <c r="P4" s="56">
        <f>'Nr(V)'!A4</f>
        <v>1</v>
      </c>
      <c r="Q4" s="53">
        <f>'Nr(V)'!F4</f>
        <v>1057.87839236688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24</v>
      </c>
      <c r="J5" s="21">
        <f>Q50</f>
        <v>25564.606867995801</v>
      </c>
      <c r="K5" s="21">
        <f t="shared" si="1"/>
        <v>1065.1919528331584</v>
      </c>
      <c r="L5" s="18">
        <f t="shared" ca="1" si="2"/>
        <v>8.2914324354494795</v>
      </c>
      <c r="M5" s="18">
        <f t="shared" ca="1" si="0"/>
        <v>2.3789063064175195</v>
      </c>
      <c r="N5" s="18">
        <f t="shared" ca="1" si="3"/>
        <v>0.99618766630046651</v>
      </c>
      <c r="P5" s="56">
        <f>'Nr(V)'!A5</f>
        <v>1.5</v>
      </c>
      <c r="Q5" s="53">
        <f>'Nr(V)'!F5</f>
        <v>1822.04419640848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26</v>
      </c>
      <c r="J6" s="21">
        <f>Q54</f>
        <v>26915.747783428498</v>
      </c>
      <c r="K6" s="21">
        <f t="shared" si="1"/>
        <v>1035.2210685934037</v>
      </c>
      <c r="L6" s="18">
        <f t="shared" ca="1" si="2"/>
        <v>6.5558281774451297</v>
      </c>
      <c r="M6" s="18">
        <f t="shared" ca="1" si="0"/>
        <v>2.4620001509201823</v>
      </c>
      <c r="N6" s="18">
        <f t="shared" ca="1" si="3"/>
        <v>1.1168764510735445</v>
      </c>
      <c r="P6" s="56">
        <f>'Nr(V)'!A6</f>
        <v>2</v>
      </c>
      <c r="Q6" s="53">
        <f>'Nr(V)'!F6</f>
        <v>2409.78441874071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28207.795130293802</v>
      </c>
      <c r="K7" s="21">
        <f t="shared" si="1"/>
        <v>1007.42125465335</v>
      </c>
      <c r="L7" s="18">
        <f t="shared" ca="1" si="2"/>
        <v>5.164925718391693</v>
      </c>
      <c r="M7" s="18">
        <f t="shared" ca="1" si="0"/>
        <v>2.3954733812170077</v>
      </c>
      <c r="N7" s="18">
        <f t="shared" ca="1" si="3"/>
        <v>1.1703081179196859</v>
      </c>
      <c r="P7" s="56">
        <f>'Nr(V)'!A7</f>
        <v>2.5</v>
      </c>
      <c r="Q7" s="53">
        <f>'Nr(V)'!F7</f>
        <v>3291.5972816058202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29323.506908501698</v>
      </c>
      <c r="K8" s="21">
        <f t="shared" si="1"/>
        <v>977.45023028338994</v>
      </c>
      <c r="L8" s="18">
        <f t="shared" ca="1" si="2"/>
        <v>4.0344043607037001</v>
      </c>
      <c r="M8" s="18">
        <f t="shared" ca="1" si="0"/>
        <v>2.1761870920818187</v>
      </c>
      <c r="N8" s="18">
        <f t="shared" ca="1" si="3"/>
        <v>1.1391749543512684</v>
      </c>
      <c r="P8" s="56">
        <f>'Nr(V)'!A8</f>
        <v>3</v>
      </c>
      <c r="Q8" s="53">
        <f>'Nr(V)'!F8</f>
        <v>3702.91192222871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31085.242360142202</v>
      </c>
      <c r="K9" s="21">
        <f t="shared" si="1"/>
        <v>941.97704121643039</v>
      </c>
      <c r="L9" s="18">
        <f t="shared" ca="1" si="2"/>
        <v>2.6974011052016955</v>
      </c>
      <c r="M9" s="18">
        <f t="shared" ca="1" si="0"/>
        <v>1.732745141086486</v>
      </c>
      <c r="N9" s="18">
        <f t="shared" ca="1" si="3"/>
        <v>0.99783744028880328</v>
      </c>
      <c r="P9" s="56">
        <f>'Nr(V)'!A9</f>
        <v>3.5</v>
      </c>
      <c r="Q9" s="53">
        <f>'Nr(V)'!F9</f>
        <v>4408.2992033844803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32906.116386875998</v>
      </c>
      <c r="K10" s="21">
        <f t="shared" si="1"/>
        <v>914.05878852433329</v>
      </c>
      <c r="L10" s="18">
        <f t="shared" ca="1" si="2"/>
        <v>1.6728052152893969</v>
      </c>
      <c r="M10" s="18">
        <f t="shared" ca="1" si="0"/>
        <v>1.166448012800348</v>
      </c>
      <c r="N10" s="18">
        <f t="shared" ca="1" si="3"/>
        <v>0.73285027592283325</v>
      </c>
      <c r="P10" s="56">
        <f>'Nr(V)'!A10</f>
        <v>4</v>
      </c>
      <c r="Q10" s="53">
        <f>'Nr(V)'!F10</f>
        <v>4878.3923668931902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34785.408884288197</v>
      </c>
      <c r="K11" s="21">
        <f t="shared" si="1"/>
        <v>891.9335611355948</v>
      </c>
      <c r="L11" s="18">
        <f t="shared" ca="1" si="2"/>
        <v>0.87073151273854654</v>
      </c>
      <c r="M11" s="18">
        <f t="shared" ca="1" si="0"/>
        <v>0.49822508982636193</v>
      </c>
      <c r="N11" s="18">
        <f t="shared" ca="1" si="3"/>
        <v>0.33912678724403417</v>
      </c>
      <c r="P11" s="56">
        <f>'Nr(V)'!A11</f>
        <v>4.5</v>
      </c>
      <c r="Q11" s="53">
        <f>'Nr(V)'!F11</f>
        <v>5583.86966110085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34605.967865340397</v>
      </c>
      <c r="K12" s="21">
        <f t="shared" si="1"/>
        <v>823.95161584143807</v>
      </c>
      <c r="L12" s="18">
        <f t="shared" ca="1" si="2"/>
        <v>0.23052816211913635</v>
      </c>
      <c r="M12" s="18">
        <f t="shared" ca="1" si="0"/>
        <v>-0.69755312889024712</v>
      </c>
      <c r="N12" s="18">
        <f t="shared" ca="1" si="3"/>
        <v>-0.51132051826978275</v>
      </c>
      <c r="P12" s="56">
        <f>'Nr(V)'!A12</f>
        <v>5</v>
      </c>
      <c r="Q12" s="53">
        <f>'Nr(V)'!F12</f>
        <v>6348.0354651424404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32603.9425716728</v>
      </c>
      <c r="K13" s="21">
        <f t="shared" si="1"/>
        <v>740.99869481074541</v>
      </c>
      <c r="L13" s="18">
        <f t="shared" ca="1" si="2"/>
        <v>-0.12871762922944482</v>
      </c>
      <c r="M13" s="18">
        <f t="shared" ca="1" si="0"/>
        <v>-1.884439779368124</v>
      </c>
      <c r="N13" s="18">
        <f t="shared" ca="1" si="3"/>
        <v>-1.446884973405735</v>
      </c>
      <c r="P13" s="56">
        <f>'Nr(V)'!A13</f>
        <v>5.5</v>
      </c>
      <c r="Q13" s="53">
        <f>'Nr(V)'!F13</f>
        <v>6876.99716458886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30543.138755119398</v>
      </c>
      <c r="K14" s="21">
        <f t="shared" si="1"/>
        <v>663.98127728520433</v>
      </c>
      <c r="L14" s="18">
        <f t="shared" ca="1" si="2"/>
        <v>-0.44428244646117399</v>
      </c>
      <c r="M14" s="18">
        <f t="shared" ca="1" si="0"/>
        <v>-3.0654822173830154</v>
      </c>
      <c r="N14" s="18">
        <f t="shared" ca="1" si="3"/>
        <v>-2.4599528482552677</v>
      </c>
      <c r="P14" s="56">
        <f>'Nr(V)'!A14</f>
        <v>6</v>
      </c>
      <c r="Q14" s="53">
        <f>'Nr(V)'!F14</f>
        <v>7464.6923803951504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27953.058193437999</v>
      </c>
      <c r="K15" s="21">
        <f t="shared" si="1"/>
        <v>582.35537902995827</v>
      </c>
      <c r="L15" s="18">
        <f t="shared" ca="1" si="2"/>
        <v>-0.72344270011394962</v>
      </c>
      <c r="M15" s="18">
        <f t="shared" ca="1" si="0"/>
        <v>-4.3303607687404506</v>
      </c>
      <c r="N15" s="18">
        <f t="shared" ca="1" si="3"/>
        <v>-3.6243417632744346</v>
      </c>
      <c r="P15" s="56">
        <f>'Nr(V)'!A15</f>
        <v>6.5</v>
      </c>
      <c r="Q15" s="53">
        <f>'Nr(V)'!F15</f>
        <v>7993.6990863675101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23950.987893244499</v>
      </c>
      <c r="K16" s="21">
        <f t="shared" si="1"/>
        <v>479.01975786488998</v>
      </c>
      <c r="L16" s="18">
        <f t="shared" ca="1" si="2"/>
        <v>-0.97293294339655256</v>
      </c>
      <c r="M16" s="18">
        <f t="shared" ca="1" si="0"/>
        <v>-5.8267099028820715</v>
      </c>
      <c r="N16" s="18">
        <f t="shared" ca="1" si="3"/>
        <v>-5.0760037722083862</v>
      </c>
      <c r="P16" s="56">
        <f>'Nr(V)'!A16</f>
        <v>7</v>
      </c>
      <c r="Q16" s="53">
        <f>'Nr(V)'!F16</f>
        <v>8816.5984067689806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1.0067546873840096</v>
      </c>
      <c r="D17" s="14" t="s">
        <v>73</v>
      </c>
      <c r="G17" s="45"/>
      <c r="H17" s="47"/>
      <c r="I17" s="20">
        <v>52</v>
      </c>
      <c r="J17" s="21">
        <f>Q106</f>
        <v>20301.993789099401</v>
      </c>
      <c r="K17" s="21">
        <f t="shared" si="1"/>
        <v>390.42295748268077</v>
      </c>
      <c r="L17" s="18">
        <f t="shared" ca="1" si="2"/>
        <v>-1.1954183015044391</v>
      </c>
      <c r="M17" s="18">
        <f t="shared" ca="1" si="0"/>
        <v>-7.2367596163515806</v>
      </c>
      <c r="N17" s="18">
        <f t="shared" ca="1" si="3"/>
        <v>-6.5504257021762102</v>
      </c>
      <c r="P17" s="56">
        <f>'Nr(V)'!A17</f>
        <v>7.5</v>
      </c>
      <c r="Q17" s="53">
        <f>'Nr(V)'!F17</f>
        <v>9463.25217156486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46754.43013829815</v>
      </c>
      <c r="D18" s="14" t="s">
        <v>32</v>
      </c>
      <c r="P18" s="56">
        <f>'Nr(V)'!A18</f>
        <v>8</v>
      </c>
      <c r="Q18" s="53">
        <f>'Nr(V)'!F18</f>
        <v>10168.5944461947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4.9855198127323162E-2</v>
      </c>
      <c r="D19" s="14" t="s">
        <v>7</v>
      </c>
      <c r="P19" s="56">
        <f>'Nr(V)'!A19</f>
        <v>8.5</v>
      </c>
      <c r="Q19" s="53">
        <f>'Nr(V)'!F19</f>
        <v>10815.2032044646</v>
      </c>
    </row>
    <row r="20" spans="1:28" ht="18.600000000000001" thickBot="1" x14ac:dyDescent="0.3">
      <c r="F20" s="134" t="s">
        <v>162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'Nr(V)'!F20</f>
        <v>11344.209910437001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'Nr(V)'!F21</f>
        <v>12284.756289662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-3.6749611354025546E-8</v>
      </c>
      <c r="C22" s="25">
        <v>3.8030855360937019E-2</v>
      </c>
      <c r="D22" s="26">
        <f t="shared" ref="D22:D51" si="4">DEGREES(C22)</f>
        <v>2.179007503454172</v>
      </c>
      <c r="F22" s="17">
        <v>1.5069999999999999</v>
      </c>
      <c r="G22" s="18">
        <v>80.83</v>
      </c>
      <c r="H22" s="20">
        <f>SQRT((2*C$15)/(C$7*C$17*F22))</f>
        <v>21.939776241582344</v>
      </c>
      <c r="I22" s="21">
        <f>C$15*SQRT((2*C$15)/(C$17*C$7*G22))</f>
        <v>19690.028322546041</v>
      </c>
      <c r="J22" s="102">
        <f>Q44</f>
        <v>23626.535847697902</v>
      </c>
      <c r="K22" s="21">
        <f>(J22-I22)</f>
        <v>3936.507525151861</v>
      </c>
      <c r="L22" s="18">
        <f t="shared" ref="L22:L33" si="5">K22/C$15</f>
        <v>0.59891787623835879</v>
      </c>
      <c r="M22" s="18">
        <f t="shared" ref="M22:M33" si="6">DEGREES(ASIN(L22/H22))</f>
        <v>1.5642698261801602</v>
      </c>
      <c r="N22" s="18">
        <v>13.202</v>
      </c>
      <c r="P22" s="56">
        <f>'Nr(V)'!A22</f>
        <v>10</v>
      </c>
      <c r="Q22" s="53">
        <f>'Nr(V)'!F22</f>
        <v>12754.9394662225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-2.5459439711994492E-6</v>
      </c>
      <c r="C23" s="29">
        <v>0.18436948224508895</v>
      </c>
      <c r="D23" s="30">
        <f t="shared" si="4"/>
        <v>10.563593203655763</v>
      </c>
      <c r="F23" s="17">
        <v>1.4</v>
      </c>
      <c r="G23" s="18">
        <v>82.93</v>
      </c>
      <c r="H23" s="20">
        <f t="shared" ref="H23:H33" si="7">SQRT((2*C$15)/(C$7*C$17*F23))</f>
        <v>22.76275386250164</v>
      </c>
      <c r="I23" s="21">
        <f t="shared" ref="I23:I33" si="8">C$15*SQRT((2*C$15)/(C$17*C$7*G23))</f>
        <v>19439.128809737293</v>
      </c>
      <c r="J23" s="21">
        <f>Q46</f>
        <v>24331.4730635942</v>
      </c>
      <c r="K23" s="21">
        <f t="shared" ref="K23:K35" si="9">(J23-I23)</f>
        <v>4892.344253856907</v>
      </c>
      <c r="L23" s="18">
        <f t="shared" si="5"/>
        <v>0.74434315484609159</v>
      </c>
      <c r="M23" s="18">
        <f t="shared" si="6"/>
        <v>1.8739088286735428</v>
      </c>
      <c r="N23" s="18">
        <v>11.19</v>
      </c>
      <c r="P23" s="56">
        <f>'Nr(V)'!A23</f>
        <v>10.5</v>
      </c>
      <c r="Q23" s="53">
        <f>'Nr(V)'!F23</f>
        <v>13342.6346820288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-5.9969355561406701E-6</v>
      </c>
      <c r="C24" s="32">
        <v>3.9135528589138012E-2</v>
      </c>
      <c r="D24" s="33">
        <f t="shared" si="4"/>
        <v>2.2423006171711815</v>
      </c>
      <c r="F24" s="17">
        <v>1.2976294821560448</v>
      </c>
      <c r="G24" s="18">
        <v>83.61</v>
      </c>
      <c r="H24" s="20">
        <f t="shared" si="7"/>
        <v>23.643592633453782</v>
      </c>
      <c r="I24" s="21">
        <f t="shared" si="8"/>
        <v>19359.918223848632</v>
      </c>
      <c r="J24" s="21">
        <f>Q48</f>
        <v>24801.071155317499</v>
      </c>
      <c r="K24" s="21">
        <f t="shared" si="9"/>
        <v>5441.1529314688669</v>
      </c>
      <c r="L24" s="18">
        <f t="shared" si="5"/>
        <v>0.82784136374227735</v>
      </c>
      <c r="M24" s="18">
        <f t="shared" si="6"/>
        <v>2.0065272532344154</v>
      </c>
      <c r="N24" s="18">
        <v>9.6229999999999993</v>
      </c>
      <c r="P24" s="56">
        <f>'Nr(V)'!A24</f>
        <v>11</v>
      </c>
      <c r="Q24" s="53">
        <f>'Nr(V)'!F24</f>
        <v>13871.596381475299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7.7642653195653111E-8</v>
      </c>
      <c r="C25" s="35">
        <v>0.16276075810931429</v>
      </c>
      <c r="D25" s="36">
        <f>DEGREES(C25)</f>
        <v>9.3255045100133973</v>
      </c>
      <c r="F25" s="17">
        <v>1.1970000000000001</v>
      </c>
      <c r="G25" s="18">
        <v>82.42</v>
      </c>
      <c r="H25" s="20">
        <f t="shared" si="7"/>
        <v>24.617375202831795</v>
      </c>
      <c r="I25" s="21">
        <f t="shared" si="8"/>
        <v>19499.178958488905</v>
      </c>
      <c r="J25" s="21">
        <f>Q50</f>
        <v>25564.606867995801</v>
      </c>
      <c r="K25" s="21">
        <f t="shared" si="9"/>
        <v>6065.427909506896</v>
      </c>
      <c r="L25" s="18">
        <f t="shared" si="5"/>
        <v>0.92282135340223881</v>
      </c>
      <c r="M25" s="18">
        <f t="shared" si="6"/>
        <v>2.1483265222894738</v>
      </c>
      <c r="N25" s="18">
        <v>8.0570000000000004</v>
      </c>
      <c r="P25" s="56">
        <f>'Nr(V)'!A25</f>
        <v>11.5</v>
      </c>
      <c r="Q25" s="53">
        <f>'Nr(V)'!F25</f>
        <v>14459.3366038075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5.7980287238024175E-12</v>
      </c>
      <c r="C26" s="25">
        <v>4.1519747643442823E-2</v>
      </c>
      <c r="D26" s="26">
        <f t="shared" si="4"/>
        <v>2.3789063064175195</v>
      </c>
      <c r="F26" s="17">
        <v>0.99199999999999999</v>
      </c>
      <c r="G26" s="18">
        <v>77.64</v>
      </c>
      <c r="H26" s="20">
        <f t="shared" si="7"/>
        <v>27.041637338861314</v>
      </c>
      <c r="I26" s="21">
        <f t="shared" si="8"/>
        <v>20090.459362468493</v>
      </c>
      <c r="J26" s="21">
        <f>Q54</f>
        <v>26915.747783428498</v>
      </c>
      <c r="K26" s="21">
        <f t="shared" si="9"/>
        <v>6825.2884209600052</v>
      </c>
      <c r="L26" s="18">
        <f t="shared" si="5"/>
        <v>1.0384299330503453</v>
      </c>
      <c r="M26" s="18">
        <f t="shared" si="6"/>
        <v>2.2007648600610707</v>
      </c>
      <c r="N26" s="18">
        <v>6.1870000000000003</v>
      </c>
      <c r="P26" s="56">
        <f>'Nr(V)'!A26</f>
        <v>12</v>
      </c>
      <c r="Q26" s="53">
        <f>'Nr(V)'!F26</f>
        <v>15105.8553490256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0</v>
      </c>
      <c r="C27" s="29">
        <v>0.14471279570524562</v>
      </c>
      <c r="D27" s="30">
        <f t="shared" si="4"/>
        <v>8.2914324354494795</v>
      </c>
      <c r="F27" s="17">
        <v>0.89051118930908912</v>
      </c>
      <c r="G27" s="18">
        <v>71.59</v>
      </c>
      <c r="H27" s="20">
        <f t="shared" si="7"/>
        <v>28.540996334047602</v>
      </c>
      <c r="I27" s="21">
        <f t="shared" si="8"/>
        <v>20922.156629375768</v>
      </c>
      <c r="J27" s="21">
        <f>Q57</f>
        <v>27972.906071380301</v>
      </c>
      <c r="K27" s="21">
        <f t="shared" si="9"/>
        <v>7050.7494420045332</v>
      </c>
      <c r="L27" s="18">
        <f t="shared" si="5"/>
        <v>1.0727325820445985</v>
      </c>
      <c r="M27" s="18">
        <f t="shared" si="6"/>
        <v>2.1540078448812148</v>
      </c>
      <c r="N27" s="18">
        <v>5.3460000000000001</v>
      </c>
      <c r="P27" s="56">
        <f>'Nr(V)'!A27</f>
        <v>12.5</v>
      </c>
      <c r="Q27" s="53">
        <f>'Nr(V)'!F27</f>
        <v>15575.993519060199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1.6144122128025629E-7</v>
      </c>
      <c r="C28" s="32">
        <v>4.2970008818154486E-2</v>
      </c>
      <c r="D28" s="33">
        <f t="shared" si="4"/>
        <v>2.4620001509201823</v>
      </c>
      <c r="F28" s="17">
        <v>0.78877734406717104</v>
      </c>
      <c r="G28" s="18">
        <v>62.64</v>
      </c>
      <c r="H28" s="20">
        <f t="shared" si="7"/>
        <v>30.325753894958975</v>
      </c>
      <c r="I28" s="21">
        <f t="shared" si="8"/>
        <v>22366.949423267259</v>
      </c>
      <c r="J28" s="21">
        <f>Q60</f>
        <v>28853.9988298303</v>
      </c>
      <c r="K28" s="21">
        <f t="shared" si="9"/>
        <v>6487.049406563041</v>
      </c>
      <c r="L28" s="18">
        <f t="shared" si="5"/>
        <v>0.98696873530863116</v>
      </c>
      <c r="M28" s="18">
        <f t="shared" si="6"/>
        <v>1.8650527515121729</v>
      </c>
      <c r="N28" s="18">
        <v>4.1539999999999999</v>
      </c>
      <c r="P28" s="56">
        <f>'Nr(V)'!A28</f>
        <v>13</v>
      </c>
      <c r="Q28" s="53">
        <f>'Nr(V)'!F28</f>
        <v>15928.484630271299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0</v>
      </c>
      <c r="C29" s="35">
        <v>0.11442078689143656</v>
      </c>
      <c r="D29" s="36">
        <f t="shared" si="4"/>
        <v>6.5558281774451297</v>
      </c>
      <c r="F29" s="17">
        <v>0.68820194072740959</v>
      </c>
      <c r="G29" s="18">
        <v>51.95</v>
      </c>
      <c r="H29" s="20">
        <f t="shared" si="7"/>
        <v>32.466156190594809</v>
      </c>
      <c r="I29" s="21">
        <f t="shared" si="8"/>
        <v>24560.649888159154</v>
      </c>
      <c r="J29" s="21">
        <f>Q64</f>
        <v>29793.150006750901</v>
      </c>
      <c r="K29" s="21">
        <f t="shared" si="9"/>
        <v>5232.5001185917463</v>
      </c>
      <c r="L29" s="18">
        <f t="shared" si="5"/>
        <v>0.7960959907787889</v>
      </c>
      <c r="M29" s="18">
        <f t="shared" si="6"/>
        <v>1.4050789466047533</v>
      </c>
      <c r="N29" s="18">
        <v>3.0790000000000002</v>
      </c>
      <c r="P29" s="56">
        <f>'Nr(V)'!A29</f>
        <v>13.5</v>
      </c>
      <c r="Q29" s="53">
        <f>'Nr(V)'!F29</f>
        <v>16280.9757414825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1.3035651136306114E-7</v>
      </c>
      <c r="C30" s="25">
        <v>4.1808897646118073E-2</v>
      </c>
      <c r="D30" s="26">
        <f t="shared" si="4"/>
        <v>2.3954733812170077</v>
      </c>
      <c r="F30" s="17">
        <v>0.58038845302154896</v>
      </c>
      <c r="G30" s="18">
        <v>39.369999999999997</v>
      </c>
      <c r="H30" s="20">
        <f t="shared" si="7"/>
        <v>35.353257657525099</v>
      </c>
      <c r="I30" s="21">
        <f t="shared" si="8"/>
        <v>28213.042484313566</v>
      </c>
      <c r="J30" s="21">
        <f>Q70</f>
        <v>31672.532517214899</v>
      </c>
      <c r="K30" s="21">
        <f t="shared" si="9"/>
        <v>3459.4900329013326</v>
      </c>
      <c r="L30" s="18">
        <f t="shared" si="5"/>
        <v>0.5263422996487489</v>
      </c>
      <c r="M30" s="18">
        <f t="shared" si="6"/>
        <v>0.85305594281592434</v>
      </c>
      <c r="N30" s="18">
        <v>2.073</v>
      </c>
      <c r="P30" s="56">
        <f>'Nr(V)'!A30</f>
        <v>14</v>
      </c>
      <c r="Q30" s="53">
        <f>'Nr(V)'!F30</f>
        <v>16692.155362527501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0</v>
      </c>
      <c r="C31" s="29">
        <v>9.014495940686848E-2</v>
      </c>
      <c r="D31" s="30">
        <f t="shared" si="4"/>
        <v>5.164925718391693</v>
      </c>
      <c r="F31" s="17">
        <v>0.483331925835703</v>
      </c>
      <c r="G31" s="18">
        <v>27.9</v>
      </c>
      <c r="H31" s="20">
        <f t="shared" si="7"/>
        <v>38.740576460862172</v>
      </c>
      <c r="I31" s="21">
        <f t="shared" si="8"/>
        <v>33514.328993590134</v>
      </c>
      <c r="J31" s="21">
        <f>Q77</f>
        <v>33904.586164993903</v>
      </c>
      <c r="K31" s="21">
        <f t="shared" si="9"/>
        <v>390.25717140376946</v>
      </c>
      <c r="L31" s="18">
        <f t="shared" si="5"/>
        <v>5.9375473002536157E-2</v>
      </c>
      <c r="M31" s="18">
        <f t="shared" si="6"/>
        <v>8.7814009297005557E-2</v>
      </c>
      <c r="N31" s="18">
        <v>1.2330000000000001</v>
      </c>
      <c r="P31" s="56">
        <f>'Nr(V)'!A31</f>
        <v>14.5</v>
      </c>
      <c r="Q31" s="53">
        <f>'Nr(V)'!F31</f>
        <v>17279.8955848597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1.0745827694336185E-7</v>
      </c>
      <c r="C32" s="32">
        <v>3.7981629896228761E-2</v>
      </c>
      <c r="D32" s="33">
        <f t="shared" si="4"/>
        <v>2.1761870920818187</v>
      </c>
      <c r="F32" s="17">
        <v>0.38026543690183146</v>
      </c>
      <c r="G32" s="18">
        <v>16.61</v>
      </c>
      <c r="H32" s="20">
        <f t="shared" si="7"/>
        <v>43.676255059342601</v>
      </c>
      <c r="I32" s="21">
        <f t="shared" si="8"/>
        <v>43435.798925599331</v>
      </c>
      <c r="J32" s="21">
        <f>Q86</f>
        <v>34605.967865340397</v>
      </c>
      <c r="K32" s="21">
        <f t="shared" si="9"/>
        <v>-8829.8310602589336</v>
      </c>
      <c r="L32" s="18">
        <f t="shared" si="5"/>
        <v>-1.3434100233175001</v>
      </c>
      <c r="M32" s="18">
        <f t="shared" si="6"/>
        <v>-1.76260227478785</v>
      </c>
      <c r="N32" s="18">
        <v>0.39200000000000002</v>
      </c>
      <c r="P32" s="56">
        <f>'Nr(V)'!A32</f>
        <v>15</v>
      </c>
      <c r="Q32" s="53">
        <f>'Nr(V)'!F32</f>
        <v>17691.300238534499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7.0413639451096507E-2</v>
      </c>
      <c r="D33" s="36">
        <f t="shared" si="4"/>
        <v>4.0344043607037001</v>
      </c>
      <c r="F33" s="105">
        <v>0.33400000000000002</v>
      </c>
      <c r="G33" s="105">
        <v>12.24</v>
      </c>
      <c r="H33" s="20">
        <f t="shared" si="7"/>
        <v>46.603183719941597</v>
      </c>
      <c r="I33" s="21">
        <f t="shared" si="8"/>
        <v>50598.998540287692</v>
      </c>
      <c r="J33" s="21">
        <f>Q92</f>
        <v>31838.201539223101</v>
      </c>
      <c r="K33" s="21">
        <f t="shared" si="9"/>
        <v>-18760.797001064591</v>
      </c>
      <c r="L33" s="18">
        <f t="shared" si="5"/>
        <v>-2.854351636475815</v>
      </c>
      <c r="M33" s="18">
        <f t="shared" si="6"/>
        <v>-3.5114494716051015</v>
      </c>
      <c r="N33" s="18">
        <v>-0.13300000000000001</v>
      </c>
      <c r="P33" s="56">
        <f>'Nr(V)'!A33</f>
        <v>15.5</v>
      </c>
      <c r="Q33" s="53">
        <f>'Nr(V)'!F33</f>
        <v>18161.3483955173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9.2901814241486136E-8</v>
      </c>
      <c r="C34" s="25">
        <v>3.0242107809892855E-2</v>
      </c>
      <c r="D34" s="26">
        <f t="shared" si="4"/>
        <v>1.732745141086486</v>
      </c>
      <c r="F34" s="17">
        <v>0.27900000000000003</v>
      </c>
      <c r="G34" s="18">
        <v>7.83</v>
      </c>
      <c r="H34" s="20">
        <f>SQRT((2*C$15)/(C$7*C$17*F34))</f>
        <v>50.990200364523147</v>
      </c>
      <c r="I34" s="21">
        <f>C$15*SQRT((2*C$15)/(C$17*C$7*G34))</f>
        <v>63263.286446595259</v>
      </c>
      <c r="J34" s="21">
        <f>Q100</f>
        <v>25893.109500877599</v>
      </c>
      <c r="K34" s="21">
        <f t="shared" si="9"/>
        <v>-37370.176945717656</v>
      </c>
      <c r="L34" s="18">
        <f>K34/C$15</f>
        <v>-5.6856660041866585</v>
      </c>
      <c r="M34" s="18">
        <f>DEGREES(ASIN(L34/H34))</f>
        <v>-6.4020836939698871</v>
      </c>
      <c r="N34" s="18">
        <v>-0.8</v>
      </c>
      <c r="P34" s="56">
        <f>'Nr(V)'!A34</f>
        <v>16</v>
      </c>
      <c r="Q34" s="53">
        <f>'Nr(V)'!F34</f>
        <v>18631.486565552001</v>
      </c>
    </row>
    <row r="35" spans="1:17" ht="15.6" x14ac:dyDescent="0.25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4.7078530532703528E-2</v>
      </c>
      <c r="D35" s="30">
        <f t="shared" si="4"/>
        <v>2.6974011052016955</v>
      </c>
      <c r="F35" s="39">
        <v>0.22900000000000001</v>
      </c>
      <c r="G35" s="39">
        <v>4.72</v>
      </c>
      <c r="H35" s="40">
        <f>SQRT((2*C$15)/(C$7*C$17*F35))</f>
        <v>56.282201797337187</v>
      </c>
      <c r="I35" s="41">
        <f>C$15*SQRT((2*C$15)/(C$17*C$7*G35))</f>
        <v>81481.990726436867</v>
      </c>
      <c r="J35" s="41">
        <f>Q110</f>
        <v>16182.4114496601</v>
      </c>
      <c r="K35" s="41">
        <f t="shared" si="9"/>
        <v>-65299.579276776771</v>
      </c>
      <c r="L35" s="42">
        <f>K35/C$15</f>
        <v>-9.9349702978649201</v>
      </c>
      <c r="M35" s="42">
        <f t="shared" ref="M35" si="10">DEGREES(ASIN(L35/H35))</f>
        <v>-10.167162130813097</v>
      </c>
      <c r="N35" s="42">
        <v>-1.3260000000000001</v>
      </c>
      <c r="P35" s="56">
        <f>'Nr(V)'!A35</f>
        <v>16.5</v>
      </c>
      <c r="Q35" s="53">
        <f>'Nr(V)'!F35</f>
        <v>19219.046761780399</v>
      </c>
    </row>
    <row r="36" spans="1:17" ht="16.2" thickBot="1" x14ac:dyDescent="0.3">
      <c r="A36" s="31">
        <v>15</v>
      </c>
      <c r="B36" s="24">
        <f>-K10*COS(C36+C37-C$3)+0.5*C$17*C$7*C$5*(C37-C$8)*I10^2*SIN(C36)+0.5*C$17*C$7*(C$11+1/PI()/C$10*C$5^2*(C37-C$8)^2)*I10^2*COS(C36)</f>
        <v>6.3664629124104977E-12</v>
      </c>
      <c r="C36" s="32">
        <v>2.0358358376711037E-2</v>
      </c>
      <c r="D36" s="33">
        <f t="shared" si="4"/>
        <v>1.166448012800348</v>
      </c>
      <c r="F36" s="62"/>
      <c r="G36" s="63"/>
      <c r="H36" s="64"/>
      <c r="I36" s="57"/>
      <c r="J36" s="57"/>
      <c r="K36" s="57"/>
      <c r="L36" s="63"/>
      <c r="M36" s="63"/>
      <c r="N36" s="63"/>
      <c r="P36" s="56">
        <f>'Nr(V)'!A36</f>
        <v>17</v>
      </c>
      <c r="Q36" s="53">
        <f>'Nr(V)'!F36</f>
        <v>19630.406408929201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2.9195958751332563E-2</v>
      </c>
      <c r="D37" s="36">
        <f t="shared" si="4"/>
        <v>1.6728052152893969</v>
      </c>
      <c r="F37" s="134" t="s">
        <v>194</v>
      </c>
      <c r="G37" s="135"/>
      <c r="H37" s="135"/>
      <c r="I37" s="135"/>
      <c r="J37" s="135"/>
      <c r="K37" s="135"/>
      <c r="L37" s="135"/>
      <c r="M37" s="135"/>
      <c r="N37" s="136"/>
      <c r="P37" s="56">
        <f>'Nr(V)'!A37</f>
        <v>17.5</v>
      </c>
      <c r="Q37" s="53">
        <f>'Nr(V)'!F37</f>
        <v>20277.015167199199</v>
      </c>
    </row>
    <row r="38" spans="1:17" ht="18.600000000000001" thickBot="1" x14ac:dyDescent="0.3">
      <c r="A38" s="23">
        <v>17</v>
      </c>
      <c r="B38" s="24">
        <f>-K11*COS(C38+C39-C$3)+0.5*C$17*C$7*C$5*(C39-C$8)*I11^2*SIN(C38)+0.5*C$17*C$7*(C$11+1/PI()/C$10*C$5^2*(C39-C$8)^2)*I11^2*COS(C38)</f>
        <v>0</v>
      </c>
      <c r="C38" s="25">
        <v>8.6956682335145186E-3</v>
      </c>
      <c r="D38" s="26">
        <f t="shared" si="4"/>
        <v>0.49822508982636193</v>
      </c>
      <c r="F38" s="95" t="s">
        <v>1</v>
      </c>
      <c r="G38" s="95" t="s">
        <v>2</v>
      </c>
      <c r="H38" s="95" t="s">
        <v>76</v>
      </c>
      <c r="I38" s="95" t="s">
        <v>81</v>
      </c>
      <c r="J38" s="95" t="s">
        <v>77</v>
      </c>
      <c r="K38" s="95" t="s">
        <v>82</v>
      </c>
      <c r="L38" s="95" t="s">
        <v>80</v>
      </c>
      <c r="M38" s="95" t="s">
        <v>85</v>
      </c>
      <c r="N38" s="95" t="s">
        <v>79</v>
      </c>
      <c r="P38" s="56">
        <f>'Nr(V)'!A38</f>
        <v>18</v>
      </c>
      <c r="Q38" s="53">
        <f>'Nr(V)'!F38</f>
        <v>20864.665376479501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1.5197131798158584E-2</v>
      </c>
      <c r="D39" s="30">
        <f t="shared" si="4"/>
        <v>0.87073151273854654</v>
      </c>
      <c r="F39" s="98">
        <f t="shared" ref="F39:G51" si="11">F22</f>
        <v>1.5069999999999999</v>
      </c>
      <c r="G39" s="96">
        <f t="shared" si="11"/>
        <v>80.83</v>
      </c>
      <c r="H39" s="103">
        <f t="shared" ref="H39:H51" si="12">SQRT((2*C$2)/(C$7*C$17*F39))</f>
        <v>22.585201365641257</v>
      </c>
      <c r="I39" s="102">
        <f t="shared" ref="I39:I51" si="13">C$2*SQRT((2*C$2)/(C$17*C$7*G39))</f>
        <v>21479.375970122474</v>
      </c>
      <c r="J39" s="102">
        <f>Q47</f>
        <v>24566.227102929901</v>
      </c>
      <c r="K39" s="102">
        <f t="shared" ref="K39:K51" si="14">(J39-I39)</f>
        <v>3086.8511328074273</v>
      </c>
      <c r="L39" s="104">
        <f t="shared" ref="L39:L51" si="15">K39/C$2</f>
        <v>0.44318834371472443</v>
      </c>
      <c r="M39" s="104">
        <f t="shared" ref="M39:M51" si="16">DEGREES(ASIN(L39/H39))</f>
        <v>1.1243845526728682</v>
      </c>
      <c r="N39" s="97">
        <f t="shared" ref="N39:N51" si="17">N22</f>
        <v>13.202</v>
      </c>
      <c r="P39" s="56">
        <f>'Nr(V)'!A39</f>
        <v>18.5</v>
      </c>
      <c r="Q39" s="53">
        <f>'Nr(V)'!F39</f>
        <v>21393.582069399999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-4.5994397623871919E-8</v>
      </c>
      <c r="C40" s="32">
        <v>-1.2174598806723192E-2</v>
      </c>
      <c r="D40" s="33">
        <f t="shared" si="4"/>
        <v>-0.69755312889024712</v>
      </c>
      <c r="F40" s="99">
        <f t="shared" si="11"/>
        <v>1.4</v>
      </c>
      <c r="G40" s="38">
        <f t="shared" si="11"/>
        <v>82.93</v>
      </c>
      <c r="H40" s="20">
        <f t="shared" si="12"/>
        <v>23.43238937171812</v>
      </c>
      <c r="I40" s="21">
        <f t="shared" si="13"/>
        <v>21205.675756082208</v>
      </c>
      <c r="J40" s="21">
        <f>Q49</f>
        <v>25035.8251946532</v>
      </c>
      <c r="K40" s="21">
        <f t="shared" si="14"/>
        <v>3830.1494385709921</v>
      </c>
      <c r="L40" s="18">
        <f t="shared" si="15"/>
        <v>0.54990587910740574</v>
      </c>
      <c r="M40" s="18">
        <f t="shared" si="16"/>
        <v>1.3447275159566705</v>
      </c>
      <c r="N40" s="19">
        <f t="shared" si="17"/>
        <v>11.19</v>
      </c>
      <c r="P40" s="56">
        <f>'Nr(V)'!A40</f>
        <v>19</v>
      </c>
      <c r="Q40" s="53">
        <f>'Nr(V)'!F40</f>
        <v>21981.322291732198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4.0234754475501977E-3</v>
      </c>
      <c r="D41" s="36">
        <f t="shared" si="4"/>
        <v>0.23052816211913635</v>
      </c>
      <c r="F41" s="99">
        <f t="shared" si="11"/>
        <v>1.2976294821560448</v>
      </c>
      <c r="G41" s="38">
        <f t="shared" si="11"/>
        <v>83.61</v>
      </c>
      <c r="H41" s="20">
        <f t="shared" si="12"/>
        <v>24.339140689213931</v>
      </c>
      <c r="I41" s="21">
        <f t="shared" si="13"/>
        <v>21119.266842532401</v>
      </c>
      <c r="J41" s="21">
        <f>Q51</f>
        <v>25917.097979206901</v>
      </c>
      <c r="K41" s="21">
        <f t="shared" si="14"/>
        <v>4797.8311366745002</v>
      </c>
      <c r="L41" s="18">
        <f t="shared" si="15"/>
        <v>0.68883880154979826</v>
      </c>
      <c r="M41" s="18">
        <f t="shared" si="16"/>
        <v>1.621783912665218</v>
      </c>
      <c r="N41" s="19">
        <f t="shared" si="17"/>
        <v>9.6229999999999993</v>
      </c>
      <c r="P41" s="56">
        <f>'Nr(V)'!A41</f>
        <v>19.5</v>
      </c>
      <c r="Q41" s="53">
        <f>'Nr(V)'!F41</f>
        <v>22333.903415995301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-8.2529390965646598E-7</v>
      </c>
      <c r="C42" s="25">
        <v>-3.2889678705529272E-2</v>
      </c>
      <c r="D42" s="26">
        <f t="shared" si="4"/>
        <v>-1.884439779368124</v>
      </c>
      <c r="F42" s="99">
        <f t="shared" si="11"/>
        <v>1.1970000000000001</v>
      </c>
      <c r="G42" s="38">
        <f t="shared" si="11"/>
        <v>82.42</v>
      </c>
      <c r="H42" s="20">
        <f t="shared" si="12"/>
        <v>25.341570029129926</v>
      </c>
      <c r="I42" s="21">
        <f t="shared" si="13"/>
        <v>21271.183011885423</v>
      </c>
      <c r="J42" s="21">
        <f>Q53</f>
        <v>26680.813717989098</v>
      </c>
      <c r="K42" s="21">
        <f t="shared" si="14"/>
        <v>5409.630706103675</v>
      </c>
      <c r="L42" s="18">
        <f t="shared" si="15"/>
        <v>0.77667667457806422</v>
      </c>
      <c r="M42" s="18">
        <f t="shared" si="16"/>
        <v>1.7562946993078434</v>
      </c>
      <c r="N42" s="19">
        <f t="shared" si="17"/>
        <v>8.0570000000000004</v>
      </c>
      <c r="P42" s="56">
        <f>'Nr(V)'!A42</f>
        <v>20</v>
      </c>
      <c r="Q42" s="53">
        <f>'Nr(V)'!F42</f>
        <v>22745.2180566182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-2.2465464354151036E-3</v>
      </c>
      <c r="D43" s="30">
        <f t="shared" si="4"/>
        <v>-0.12871762922944482</v>
      </c>
      <c r="F43" s="99">
        <f t="shared" si="11"/>
        <v>0.99199999999999999</v>
      </c>
      <c r="G43" s="38">
        <f t="shared" si="11"/>
        <v>77.64</v>
      </c>
      <c r="H43" s="20">
        <f t="shared" si="12"/>
        <v>27.837149195591717</v>
      </c>
      <c r="I43" s="21">
        <f t="shared" si="13"/>
        <v>21916.196512770086</v>
      </c>
      <c r="J43" s="21">
        <f>Q58</f>
        <v>28207.795130293802</v>
      </c>
      <c r="K43" s="21">
        <f t="shared" si="14"/>
        <v>6291.5986175237158</v>
      </c>
      <c r="L43" s="18">
        <f t="shared" si="15"/>
        <v>0.90330341524510993</v>
      </c>
      <c r="M43" s="18">
        <f t="shared" si="16"/>
        <v>1.8595496298981486</v>
      </c>
      <c r="N43" s="19">
        <f t="shared" si="17"/>
        <v>6.1870000000000003</v>
      </c>
      <c r="P43" s="56">
        <f>'Nr(V)'!A43</f>
        <v>20.5</v>
      </c>
      <c r="Q43" s="53">
        <f>'Nr(V)'!F43</f>
        <v>23274.0447364867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8.2446638316469034E-7</v>
      </c>
      <c r="C44" s="32">
        <v>-5.3502757854670166E-2</v>
      </c>
      <c r="D44" s="33">
        <f t="shared" si="4"/>
        <v>-3.0654822173830154</v>
      </c>
      <c r="F44" s="99">
        <f t="shared" si="11"/>
        <v>0.89051118930908912</v>
      </c>
      <c r="G44" s="38">
        <f t="shared" si="11"/>
        <v>71.59</v>
      </c>
      <c r="H44" s="20">
        <f t="shared" si="12"/>
        <v>29.380616387453362</v>
      </c>
      <c r="I44" s="21">
        <f t="shared" si="13"/>
        <v>22823.474958315492</v>
      </c>
      <c r="J44" s="21">
        <f>Q61</f>
        <v>28971.285836446201</v>
      </c>
      <c r="K44" s="21">
        <f t="shared" si="14"/>
        <v>6147.8108781307092</v>
      </c>
      <c r="L44" s="18">
        <f t="shared" si="15"/>
        <v>0.88265938437792835</v>
      </c>
      <c r="M44" s="18">
        <f t="shared" si="16"/>
        <v>1.7215523040700271</v>
      </c>
      <c r="N44" s="19">
        <f t="shared" si="17"/>
        <v>5.3460000000000001</v>
      </c>
      <c r="P44" s="56">
        <f>'Nr(V)'!A44</f>
        <v>21</v>
      </c>
      <c r="Q44" s="53">
        <f>'Nr(V)'!F44</f>
        <v>23626.535847697902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-7.7541914995629159E-3</v>
      </c>
      <c r="D45" s="36">
        <f t="shared" si="4"/>
        <v>-0.44428244646117399</v>
      </c>
      <c r="F45" s="99">
        <f t="shared" si="11"/>
        <v>0.78877734406717104</v>
      </c>
      <c r="G45" s="38">
        <f t="shared" si="11"/>
        <v>62.64</v>
      </c>
      <c r="H45" s="20">
        <f t="shared" si="12"/>
        <v>31.217878010278685</v>
      </c>
      <c r="I45" s="21">
        <f t="shared" si="13"/>
        <v>24399.56449513878</v>
      </c>
      <c r="J45" s="21">
        <f>Q64</f>
        <v>29793.150006750901</v>
      </c>
      <c r="K45" s="21">
        <f t="shared" si="14"/>
        <v>5393.5855116121202</v>
      </c>
      <c r="L45" s="18">
        <f t="shared" si="15"/>
        <v>0.77437301856572338</v>
      </c>
      <c r="M45" s="18">
        <f t="shared" si="16"/>
        <v>1.4213924796175172</v>
      </c>
      <c r="N45" s="19">
        <f t="shared" si="17"/>
        <v>4.1539999999999999</v>
      </c>
      <c r="P45" s="56">
        <f>'Nr(V)'!A45</f>
        <v>21.5</v>
      </c>
      <c r="Q45" s="53">
        <f>'Nr(V)'!F45</f>
        <v>24037.8054817948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2.7004261937690899E-8</v>
      </c>
      <c r="C46" s="25">
        <v>-7.557905321371361E-2</v>
      </c>
      <c r="D46" s="26">
        <f t="shared" si="4"/>
        <v>-4.3303607687404506</v>
      </c>
      <c r="F46" s="99">
        <f t="shared" si="11"/>
        <v>0.68820194072740959</v>
      </c>
      <c r="G46" s="38">
        <f t="shared" si="11"/>
        <v>51.95</v>
      </c>
      <c r="H46" s="20">
        <f t="shared" si="12"/>
        <v>33.421246737385161</v>
      </c>
      <c r="I46" s="21">
        <f t="shared" si="13"/>
        <v>26792.619308436919</v>
      </c>
      <c r="J46" s="21">
        <f>Q69</f>
        <v>31261.352896169901</v>
      </c>
      <c r="K46" s="21">
        <f t="shared" si="14"/>
        <v>4468.7335877329824</v>
      </c>
      <c r="L46" s="18">
        <f t="shared" si="15"/>
        <v>0.64158929343914406</v>
      </c>
      <c r="M46" s="18">
        <f t="shared" si="16"/>
        <v>1.0999774251489902</v>
      </c>
      <c r="N46" s="19">
        <f t="shared" si="17"/>
        <v>3.0790000000000002</v>
      </c>
      <c r="P46" s="56">
        <f>'Nr(V)'!A46</f>
        <v>22</v>
      </c>
      <c r="Q46" s="53">
        <f>'Nr(V)'!F46</f>
        <v>24331.4730635942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0</v>
      </c>
      <c r="C47" s="29">
        <v>-1.2626457066506377E-2</v>
      </c>
      <c r="D47" s="30">
        <f t="shared" si="4"/>
        <v>-0.72344270011394962</v>
      </c>
      <c r="F47" s="99">
        <f t="shared" si="11"/>
        <v>0.58038845302154896</v>
      </c>
      <c r="G47" s="38">
        <f t="shared" si="11"/>
        <v>39.369999999999997</v>
      </c>
      <c r="H47" s="20">
        <f t="shared" si="12"/>
        <v>36.393281058777859</v>
      </c>
      <c r="I47" s="21">
        <f t="shared" si="13"/>
        <v>30776.926109736036</v>
      </c>
      <c r="J47" s="21">
        <f>Q75</f>
        <v>33434.673027589</v>
      </c>
      <c r="K47" s="21">
        <f t="shared" si="14"/>
        <v>2657.7469178529645</v>
      </c>
      <c r="L47" s="18">
        <f t="shared" si="15"/>
        <v>0.38158058288509344</v>
      </c>
      <c r="M47" s="18">
        <f t="shared" si="16"/>
        <v>0.60075258140587851</v>
      </c>
      <c r="N47" s="19">
        <f t="shared" si="17"/>
        <v>2.073</v>
      </c>
      <c r="P47" s="56">
        <f>'Nr(V)'!A47</f>
        <v>22.5</v>
      </c>
      <c r="Q47" s="53">
        <f>'Nr(V)'!F47</f>
        <v>24566.227102929901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-7.7612867244170047E-8</v>
      </c>
      <c r="C48" s="32">
        <v>-0.10169527236385119</v>
      </c>
      <c r="D48" s="33">
        <f t="shared" si="4"/>
        <v>-5.8267099028820715</v>
      </c>
      <c r="F48" s="99">
        <f t="shared" si="11"/>
        <v>0.483331925835703</v>
      </c>
      <c r="G48" s="38">
        <f t="shared" si="11"/>
        <v>27.9</v>
      </c>
      <c r="H48" s="20">
        <f t="shared" si="12"/>
        <v>39.880248128113529</v>
      </c>
      <c r="I48" s="21">
        <f t="shared" si="13"/>
        <v>36559.971425506592</v>
      </c>
      <c r="J48" s="21">
        <f>Q82</f>
        <v>35019.577838786601</v>
      </c>
      <c r="K48" s="21">
        <f t="shared" si="14"/>
        <v>-1540.3935867199907</v>
      </c>
      <c r="L48" s="18">
        <f t="shared" si="15"/>
        <v>-0.22115886156982537</v>
      </c>
      <c r="M48" s="18">
        <f t="shared" si="16"/>
        <v>-0.31773960579432275</v>
      </c>
      <c r="N48" s="19">
        <f t="shared" si="17"/>
        <v>1.2330000000000001</v>
      </c>
      <c r="P48" s="56">
        <f>'Nr(V)'!A48</f>
        <v>23</v>
      </c>
      <c r="Q48" s="53">
        <f>'Nr(V)'!F48</f>
        <v>24801.071155317499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7.2759576141834259E-12</v>
      </c>
      <c r="C49" s="35">
        <v>-1.6980883263389465E-2</v>
      </c>
      <c r="D49" s="36">
        <f t="shared" si="4"/>
        <v>-0.97293294339655256</v>
      </c>
      <c r="F49" s="99">
        <f t="shared" si="11"/>
        <v>0.38026543690183146</v>
      </c>
      <c r="G49" s="38">
        <f t="shared" si="11"/>
        <v>16.61</v>
      </c>
      <c r="H49" s="20">
        <f t="shared" si="12"/>
        <v>44.961124696557825</v>
      </c>
      <c r="I49" s="21">
        <f t="shared" si="13"/>
        <v>47383.06316285432</v>
      </c>
      <c r="J49" s="21">
        <f>Q92</f>
        <v>31838.201539223101</v>
      </c>
      <c r="K49" s="21">
        <f t="shared" si="14"/>
        <v>-15544.861623631219</v>
      </c>
      <c r="L49" s="18">
        <f t="shared" si="15"/>
        <v>-2.2318217432098919</v>
      </c>
      <c r="M49" s="18">
        <f t="shared" si="16"/>
        <v>-2.8452699914509294</v>
      </c>
      <c r="N49" s="19">
        <f t="shared" si="17"/>
        <v>0.39200000000000002</v>
      </c>
      <c r="P49" s="56">
        <f>'Nr(V)'!A49</f>
        <v>23.5</v>
      </c>
      <c r="Q49" s="53">
        <f>'Nr(V)'!F49</f>
        <v>25035.8251946532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8.1086318459711038E-7</v>
      </c>
      <c r="C50" s="25">
        <v>-0.12630528248069675</v>
      </c>
      <c r="D50" s="26">
        <f t="shared" si="4"/>
        <v>-7.2367596163515806</v>
      </c>
      <c r="F50" s="99">
        <f t="shared" si="11"/>
        <v>0.33400000000000002</v>
      </c>
      <c r="G50" s="38">
        <f t="shared" si="11"/>
        <v>12.24</v>
      </c>
      <c r="H50" s="20">
        <f t="shared" si="12"/>
        <v>47.974157849430462</v>
      </c>
      <c r="I50" s="21">
        <f t="shared" si="13"/>
        <v>55197.224481086116</v>
      </c>
      <c r="J50" s="21">
        <f>Q98</f>
        <v>27953.058193437999</v>
      </c>
      <c r="K50" s="21">
        <f t="shared" si="14"/>
        <v>-27244.166287648117</v>
      </c>
      <c r="L50" s="18">
        <f t="shared" si="15"/>
        <v>-3.9115255039623431</v>
      </c>
      <c r="M50" s="18">
        <f t="shared" si="16"/>
        <v>-4.6767461736092466</v>
      </c>
      <c r="N50" s="19">
        <f t="shared" si="17"/>
        <v>-0.13300000000000001</v>
      </c>
      <c r="P50" s="56">
        <f>'Nr(V)'!A50</f>
        <v>24</v>
      </c>
      <c r="Q50" s="53">
        <f>'Nr(V)'!F50</f>
        <v>25564.606867995801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-2.0863985299850746E-2</v>
      </c>
      <c r="D51" s="30">
        <f t="shared" si="4"/>
        <v>-1.1954183015044391</v>
      </c>
      <c r="F51" s="99">
        <f t="shared" si="11"/>
        <v>0.27900000000000003</v>
      </c>
      <c r="G51" s="38">
        <f t="shared" si="11"/>
        <v>7.83</v>
      </c>
      <c r="H51" s="20">
        <f t="shared" si="12"/>
        <v>52.490231906945468</v>
      </c>
      <c r="I51" s="21">
        <f t="shared" si="13"/>
        <v>69012.390050044603</v>
      </c>
      <c r="J51" s="21">
        <f>Q107</f>
        <v>19066.2045996669</v>
      </c>
      <c r="K51" s="21">
        <f t="shared" si="14"/>
        <v>-49946.185450377699</v>
      </c>
      <c r="L51" s="18">
        <f t="shared" si="15"/>
        <v>-7.1709215158975024</v>
      </c>
      <c r="M51" s="18">
        <f t="shared" si="16"/>
        <v>-7.8519831660838477</v>
      </c>
      <c r="N51" s="19">
        <f t="shared" si="17"/>
        <v>-0.8</v>
      </c>
      <c r="P51" s="56">
        <f>'Nr(V)'!A51</f>
        <v>24.5</v>
      </c>
      <c r="Q51" s="53">
        <f>'Nr(V)'!F51</f>
        <v>25917.097979206901</v>
      </c>
    </row>
    <row r="52" spans="1:17" ht="16.2" thickBot="1" x14ac:dyDescent="0.3">
      <c r="P52" s="56">
        <f>'Nr(V)'!A52</f>
        <v>25</v>
      </c>
      <c r="Q52" s="53">
        <f>'Nr(V)'!F52</f>
        <v>26328.4126198298</v>
      </c>
    </row>
    <row r="53" spans="1:17" ht="18.600000000000001" thickBot="1" x14ac:dyDescent="0.3">
      <c r="I53" s="134" t="s">
        <v>195</v>
      </c>
      <c r="J53" s="135"/>
      <c r="K53" s="135"/>
      <c r="L53" s="135"/>
      <c r="M53" s="135"/>
      <c r="N53" s="136"/>
      <c r="P53" s="56">
        <f>'Nr(V)'!A53</f>
        <v>25.5</v>
      </c>
      <c r="Q53" s="53">
        <f>'Nr(V)'!F53</f>
        <v>26680.813717989098</v>
      </c>
    </row>
    <row r="54" spans="1:17" ht="18.600000000000001" thickBot="1" x14ac:dyDescent="0.3">
      <c r="D54" s="56" t="s">
        <v>149</v>
      </c>
      <c r="E54" s="56" t="s">
        <v>150</v>
      </c>
      <c r="F54" s="14" t="s">
        <v>151</v>
      </c>
      <c r="G54" s="14" t="s">
        <v>152</v>
      </c>
      <c r="I54" s="100" t="s">
        <v>76</v>
      </c>
      <c r="J54" s="100" t="s">
        <v>77</v>
      </c>
      <c r="K54" s="100" t="s">
        <v>78</v>
      </c>
      <c r="L54" s="100" t="s">
        <v>79</v>
      </c>
      <c r="M54" s="100" t="s">
        <v>85</v>
      </c>
      <c r="N54" s="100" t="s">
        <v>80</v>
      </c>
      <c r="P54" s="56">
        <f>'Nr(V)'!A54</f>
        <v>26</v>
      </c>
      <c r="Q54" s="53">
        <f>'Nr(V)'!F54</f>
        <v>26915.747783428498</v>
      </c>
    </row>
    <row r="55" spans="1:17" ht="15.6" x14ac:dyDescent="0.25">
      <c r="D55" s="24">
        <f t="shared" ref="D55:D69" si="18">-K55*COS(E55+F55-C$3)+0.5*C$17*C$7*C$5*(F55-C$8)*I55^2*SIN(E55)+0.5*C$17*C$7*(C$11+1/PI()/C$10*C$5^2*(F55-C$8)^2)*I55^2*COS(E55)</f>
        <v>-1.2653694818709482E-4</v>
      </c>
      <c r="E55" s="25">
        <v>2.5131035725009646E-2</v>
      </c>
      <c r="F55" s="29">
        <v>0.18498944687417798</v>
      </c>
      <c r="G55" s="28">
        <f t="shared" ref="G55:G69" si="19">K55*SIN(E55+F55-C$3)+0.5*C$17*C$7*C$5*(F55-C$8)*I55^2*COS(E55)-0.5*C$17*C$7*(C$11+1/PI()/C$10*C$5^2*(F55-C$8)^2)*I55^2*SIN(E55)-C$2</f>
        <v>-1.5994238310668152E-5</v>
      </c>
      <c r="I55" s="103">
        <f>SQRT(2*C$2/C$7/C$16/C17)</f>
        <v>22.585201365641261</v>
      </c>
      <c r="J55" s="102">
        <f>Q47</f>
        <v>24566.227102929901</v>
      </c>
      <c r="K55" s="102">
        <f>J55/I55</f>
        <v>1087.7134414352561</v>
      </c>
      <c r="L55" s="104">
        <f>DEGREES(F55)</f>
        <v>10.599114560349957</v>
      </c>
      <c r="M55" s="104">
        <f>DEGREES(E55)</f>
        <v>1.4399022818355476</v>
      </c>
      <c r="N55" s="104">
        <f>I55*SIN(RADIANS(M55))</f>
        <v>0.56752975894480329</v>
      </c>
      <c r="P55" s="56">
        <f>'Nr(V)'!A55</f>
        <v>26.5</v>
      </c>
      <c r="Q55" s="53">
        <f>'Nr(V)'!F55</f>
        <v>27268.1488815878</v>
      </c>
    </row>
    <row r="56" spans="1:17" ht="15.6" x14ac:dyDescent="0.25">
      <c r="D56" s="24">
        <f t="shared" si="18"/>
        <v>1.4776538671412709E-4</v>
      </c>
      <c r="E56" s="32">
        <v>2.6160991947887367E-2</v>
      </c>
      <c r="F56" s="35">
        <v>0.17637397287562878</v>
      </c>
      <c r="G56" s="28">
        <f t="shared" si="19"/>
        <v>4.2746250983327627E-11</v>
      </c>
      <c r="I56" s="20">
        <f t="shared" ref="I56:I69" si="20">I4</f>
        <v>23</v>
      </c>
      <c r="J56" s="21">
        <f>Q48</f>
        <v>24801.071155317499</v>
      </c>
      <c r="K56" s="21">
        <f t="shared" ref="K56:K69" si="21">J56/I56</f>
        <v>1078.3074415355434</v>
      </c>
      <c r="L56" s="18">
        <f t="shared" ref="L56:L69" si="22">DEGREES(F56)</f>
        <v>10.105484261728389</v>
      </c>
      <c r="M56" s="18">
        <f t="shared" ref="M56:M69" si="23">DEGREES(E56)</f>
        <v>1.4989144264896765</v>
      </c>
      <c r="N56" s="18">
        <f t="shared" ref="N56:N69" si="24">I56*SIN(RADIANS(M56))</f>
        <v>0.60163418316634909</v>
      </c>
      <c r="P56" s="56">
        <f>'Nr(V)'!A56</f>
        <v>27</v>
      </c>
      <c r="Q56" s="53">
        <f>'Nr(V)'!F56</f>
        <v>27620.594986273001</v>
      </c>
    </row>
    <row r="57" spans="1:17" ht="15.6" x14ac:dyDescent="0.25">
      <c r="D57" s="24">
        <f t="shared" si="18"/>
        <v>-1.7422247879039787E-5</v>
      </c>
      <c r="E57" s="25">
        <v>2.9263047784003359E-2</v>
      </c>
      <c r="F57" s="29">
        <v>0.15725788301451638</v>
      </c>
      <c r="G57" s="28">
        <f t="shared" si="19"/>
        <v>0</v>
      </c>
      <c r="I57" s="20">
        <f t="shared" si="20"/>
        <v>24</v>
      </c>
      <c r="J57" s="21">
        <f>Q50</f>
        <v>25564.606867995801</v>
      </c>
      <c r="K57" s="21">
        <f t="shared" si="21"/>
        <v>1065.1919528331584</v>
      </c>
      <c r="L57" s="18">
        <f t="shared" si="22"/>
        <v>9.0102129918938232</v>
      </c>
      <c r="M57" s="18">
        <f t="shared" si="23"/>
        <v>1.6766491337130487</v>
      </c>
      <c r="N57" s="18">
        <f t="shared" si="24"/>
        <v>0.70221291627707627</v>
      </c>
      <c r="P57" s="56">
        <f>'Nr(V)'!A57</f>
        <v>27.5</v>
      </c>
      <c r="Q57" s="53">
        <f>'Nr(V)'!F57</f>
        <v>27972.906071380301</v>
      </c>
    </row>
    <row r="58" spans="1:17" ht="15.6" x14ac:dyDescent="0.25">
      <c r="D58" s="24">
        <f t="shared" si="18"/>
        <v>6.3723314269736875E-6</v>
      </c>
      <c r="E58" s="32">
        <v>3.2065122259930724E-2</v>
      </c>
      <c r="F58" s="35">
        <v>0.12516560655634282</v>
      </c>
      <c r="G58" s="28">
        <f t="shared" si="19"/>
        <v>8.1854523159563541E-12</v>
      </c>
      <c r="I58" s="20">
        <f t="shared" si="20"/>
        <v>26</v>
      </c>
      <c r="J58" s="21">
        <f>Q54</f>
        <v>26915.747783428498</v>
      </c>
      <c r="K58" s="21">
        <f t="shared" si="21"/>
        <v>1035.2210685934037</v>
      </c>
      <c r="L58" s="18">
        <f t="shared" si="22"/>
        <v>7.1714609958734297</v>
      </c>
      <c r="M58" s="18">
        <f t="shared" si="23"/>
        <v>1.8371961750650188</v>
      </c>
      <c r="N58" s="18">
        <f t="shared" si="24"/>
        <v>0.83355032276281804</v>
      </c>
      <c r="P58" s="56">
        <f>'Nr(V)'!A58</f>
        <v>28</v>
      </c>
      <c r="Q58" s="53">
        <f>'Nr(V)'!F58</f>
        <v>28207.795130293802</v>
      </c>
    </row>
    <row r="59" spans="1:17" ht="15.6" x14ac:dyDescent="0.25">
      <c r="D59" s="24">
        <f t="shared" si="18"/>
        <v>-2.9995795216564147E-5</v>
      </c>
      <c r="E59" s="25">
        <v>3.2118648204801988E-2</v>
      </c>
      <c r="F59" s="29">
        <v>9.9443187863436325E-2</v>
      </c>
      <c r="G59" s="28">
        <f t="shared" si="19"/>
        <v>2.0008883439004421E-11</v>
      </c>
      <c r="I59" s="20">
        <f t="shared" si="20"/>
        <v>28</v>
      </c>
      <c r="J59" s="21">
        <f>Q58</f>
        <v>28207.795130293802</v>
      </c>
      <c r="K59" s="21">
        <f t="shared" si="21"/>
        <v>1007.42125465335</v>
      </c>
      <c r="L59" s="18">
        <f t="shared" si="22"/>
        <v>5.6976749659014718</v>
      </c>
      <c r="M59" s="18">
        <f t="shared" si="23"/>
        <v>1.8402629858005921</v>
      </c>
      <c r="N59" s="18">
        <f t="shared" si="24"/>
        <v>0.89916753312138908</v>
      </c>
      <c r="P59" s="56">
        <f>'Nr(V)'!A59</f>
        <v>28.5</v>
      </c>
      <c r="Q59" s="53">
        <f>'Nr(V)'!F59</f>
        <v>28560.286241505</v>
      </c>
    </row>
    <row r="60" spans="1:17" ht="15.6" x14ac:dyDescent="0.25">
      <c r="D60" s="24">
        <f t="shared" si="18"/>
        <v>4.4149271616333863E-5</v>
      </c>
      <c r="E60" s="32">
        <v>2.9441068659270649E-2</v>
      </c>
      <c r="F60" s="35">
        <v>7.8534148409140289E-2</v>
      </c>
      <c r="G60" s="28">
        <f t="shared" si="19"/>
        <v>-4.4929038267582655E-10</v>
      </c>
      <c r="I60" s="20">
        <f t="shared" si="20"/>
        <v>30</v>
      </c>
      <c r="J60" s="21">
        <f>Q62</f>
        <v>29323.506908501698</v>
      </c>
      <c r="K60" s="21">
        <f t="shared" si="21"/>
        <v>977.45023028338994</v>
      </c>
      <c r="L60" s="18">
        <f t="shared" si="22"/>
        <v>4.4996752514977869</v>
      </c>
      <c r="M60" s="18">
        <f t="shared" si="23"/>
        <v>1.6868489785310894</v>
      </c>
      <c r="N60" s="18">
        <f t="shared" si="24"/>
        <v>0.88310447117203839</v>
      </c>
      <c r="P60" s="56">
        <f>'Nr(V)'!A60</f>
        <v>29</v>
      </c>
      <c r="Q60" s="53">
        <f>'Nr(V)'!F60</f>
        <v>28853.9988298303</v>
      </c>
    </row>
    <row r="61" spans="1:17" ht="15.6" x14ac:dyDescent="0.25">
      <c r="D61" s="24">
        <f t="shared" si="18"/>
        <v>1.0548061595727631E-5</v>
      </c>
      <c r="E61" s="25">
        <v>2.3239620826065701E-2</v>
      </c>
      <c r="F61" s="29">
        <v>5.3806944063356475E-2</v>
      </c>
      <c r="G61" s="28">
        <f t="shared" si="19"/>
        <v>-5.3660187404602766E-11</v>
      </c>
      <c r="I61" s="20">
        <f t="shared" si="20"/>
        <v>33</v>
      </c>
      <c r="J61" s="21">
        <f>Q68</f>
        <v>31085.242360142202</v>
      </c>
      <c r="K61" s="21">
        <f t="shared" si="21"/>
        <v>941.97704121643039</v>
      </c>
      <c r="L61" s="18">
        <f t="shared" si="22"/>
        <v>3.0829108033268264</v>
      </c>
      <c r="M61" s="18">
        <f t="shared" si="23"/>
        <v>1.3315321908178965</v>
      </c>
      <c r="N61" s="18">
        <f t="shared" si="24"/>
        <v>0.76683845722804467</v>
      </c>
      <c r="P61" s="56">
        <f>'Nr(V)'!A61</f>
        <v>29.5</v>
      </c>
      <c r="Q61" s="53">
        <f>'Nr(V)'!F61</f>
        <v>28971.285836446201</v>
      </c>
    </row>
    <row r="62" spans="1:17" ht="15.6" x14ac:dyDescent="0.25">
      <c r="D62" s="24">
        <f t="shared" si="18"/>
        <v>2.5547135464876192E-6</v>
      </c>
      <c r="E62" s="32">
        <v>1.4754635312919123E-2</v>
      </c>
      <c r="F62" s="35">
        <v>3.4859010962519373E-2</v>
      </c>
      <c r="G62" s="28">
        <f t="shared" si="19"/>
        <v>7.0031092036515474E-11</v>
      </c>
      <c r="I62" s="20">
        <f t="shared" si="20"/>
        <v>36</v>
      </c>
      <c r="J62" s="21">
        <f>Q74</f>
        <v>32906.116386875998</v>
      </c>
      <c r="K62" s="21">
        <f t="shared" si="21"/>
        <v>914.05878852433329</v>
      </c>
      <c r="L62" s="18">
        <f t="shared" si="22"/>
        <v>1.9972742061526296</v>
      </c>
      <c r="M62" s="18">
        <f t="shared" si="23"/>
        <v>0.84537833168495247</v>
      </c>
      <c r="N62" s="18">
        <f t="shared" si="24"/>
        <v>0.53114759903544717</v>
      </c>
      <c r="P62" s="56">
        <f>'Nr(V)'!A62</f>
        <v>30</v>
      </c>
      <c r="Q62" s="53">
        <f>'Nr(V)'!F62</f>
        <v>29323.506908501698</v>
      </c>
    </row>
    <row r="63" spans="1:17" ht="15.6" x14ac:dyDescent="0.25">
      <c r="D63" s="24">
        <f t="shared" si="18"/>
        <v>2.1996258396939083E-5</v>
      </c>
      <c r="E63" s="25">
        <v>4.4057611944981617E-3</v>
      </c>
      <c r="F63" s="29">
        <v>2.0027978895922127E-2</v>
      </c>
      <c r="G63" s="28">
        <f t="shared" si="19"/>
        <v>1.0913936421275139E-11</v>
      </c>
      <c r="I63" s="20">
        <f t="shared" si="20"/>
        <v>39</v>
      </c>
      <c r="J63" s="21">
        <f>Q80</f>
        <v>34785.408884288197</v>
      </c>
      <c r="K63" s="21">
        <f t="shared" si="21"/>
        <v>891.9335611355948</v>
      </c>
      <c r="L63" s="18">
        <f t="shared" si="22"/>
        <v>1.1475186629134202</v>
      </c>
      <c r="M63" s="18">
        <f t="shared" si="23"/>
        <v>0.25243152198726088</v>
      </c>
      <c r="N63" s="18">
        <f t="shared" si="24"/>
        <v>0.17182413071215261</v>
      </c>
      <c r="P63" s="56">
        <f>'Nr(V)'!A63</f>
        <v>30.5</v>
      </c>
      <c r="Q63" s="53">
        <f>'Nr(V)'!F63</f>
        <v>29440.703902065699</v>
      </c>
    </row>
    <row r="64" spans="1:17" ht="15.6" x14ac:dyDescent="0.25">
      <c r="D64" s="24">
        <f t="shared" si="18"/>
        <v>4.5697709083469817E-7</v>
      </c>
      <c r="E64" s="32">
        <v>-1.4767659767187623E-2</v>
      </c>
      <c r="F64" s="35">
        <v>8.193354089665799E-3</v>
      </c>
      <c r="G64" s="28">
        <f t="shared" si="19"/>
        <v>0</v>
      </c>
      <c r="I64" s="20">
        <f t="shared" si="20"/>
        <v>42</v>
      </c>
      <c r="J64" s="21">
        <f>Q86</f>
        <v>34605.967865340397</v>
      </c>
      <c r="K64" s="21">
        <f t="shared" si="21"/>
        <v>823.95161584143807</v>
      </c>
      <c r="L64" s="18">
        <f t="shared" si="22"/>
        <v>0.46944460939410293</v>
      </c>
      <c r="M64" s="18">
        <f t="shared" si="23"/>
        <v>-0.84612457794499873</v>
      </c>
      <c r="N64" s="18">
        <f t="shared" si="24"/>
        <v>-0.62021916635877461</v>
      </c>
      <c r="P64" s="56">
        <f>'Nr(V)'!A64</f>
        <v>31</v>
      </c>
      <c r="Q64" s="53">
        <f>'Nr(V)'!F64</f>
        <v>29793.150006750901</v>
      </c>
    </row>
    <row r="65" spans="4:17" ht="15.6" x14ac:dyDescent="0.25">
      <c r="D65" s="24">
        <f t="shared" si="18"/>
        <v>1.6482102864756598E-6</v>
      </c>
      <c r="E65" s="25">
        <v>-3.4026493464179068E-2</v>
      </c>
      <c r="F65" s="29">
        <v>1.5569041758411615E-3</v>
      </c>
      <c r="G65" s="28">
        <f t="shared" si="19"/>
        <v>0</v>
      </c>
      <c r="I65" s="20">
        <f t="shared" si="20"/>
        <v>44</v>
      </c>
      <c r="J65" s="21">
        <f>Q90</f>
        <v>32603.9425716728</v>
      </c>
      <c r="K65" s="21">
        <f t="shared" si="21"/>
        <v>740.99869481074541</v>
      </c>
      <c r="L65" s="18">
        <f t="shared" si="22"/>
        <v>8.920403838199234E-2</v>
      </c>
      <c r="M65" s="18">
        <f t="shared" si="23"/>
        <v>-1.9495744671269406</v>
      </c>
      <c r="N65" s="18">
        <f t="shared" si="24"/>
        <v>-1.4968768255078075</v>
      </c>
      <c r="P65" s="56">
        <f>'Nr(V)'!A65</f>
        <v>31.5</v>
      </c>
      <c r="Q65" s="53">
        <f>'Nr(V)'!F65</f>
        <v>30204.374634321899</v>
      </c>
    </row>
    <row r="66" spans="4:17" ht="15.6" x14ac:dyDescent="0.25">
      <c r="D66" s="24">
        <f t="shared" si="18"/>
        <v>5.6240992307721172E-7</v>
      </c>
      <c r="E66" s="32">
        <v>-5.3225186821798248E-2</v>
      </c>
      <c r="F66" s="35">
        <v>-4.2696035160030227E-3</v>
      </c>
      <c r="G66" s="28">
        <f t="shared" si="19"/>
        <v>0</v>
      </c>
      <c r="I66" s="20">
        <f t="shared" si="20"/>
        <v>46</v>
      </c>
      <c r="J66" s="21">
        <f>Q94</f>
        <v>30543.138755119398</v>
      </c>
      <c r="K66" s="21">
        <f t="shared" si="21"/>
        <v>663.98127728520433</v>
      </c>
      <c r="L66" s="18">
        <f t="shared" si="22"/>
        <v>-0.24463026166119023</v>
      </c>
      <c r="M66" s="18">
        <f t="shared" si="23"/>
        <v>-3.0495785686843675</v>
      </c>
      <c r="N66" s="18">
        <f t="shared" si="24"/>
        <v>-2.447202756654332</v>
      </c>
      <c r="P66" s="56">
        <f>'Nr(V)'!A66</f>
        <v>32</v>
      </c>
      <c r="Q66" s="53">
        <f>'Nr(V)'!F66</f>
        <v>30439.218686709501</v>
      </c>
    </row>
    <row r="67" spans="4:17" ht="15.6" x14ac:dyDescent="0.25">
      <c r="D67" s="24">
        <f t="shared" si="18"/>
        <v>6.431491783587262E-9</v>
      </c>
      <c r="E67" s="25">
        <v>-7.3833604778970482E-2</v>
      </c>
      <c r="F67" s="29">
        <v>-9.4205148613978936E-3</v>
      </c>
      <c r="G67" s="28">
        <f t="shared" si="19"/>
        <v>0</v>
      </c>
      <c r="I67" s="20">
        <f t="shared" si="20"/>
        <v>48</v>
      </c>
      <c r="J67" s="21">
        <f>Q98</f>
        <v>27953.058193437999</v>
      </c>
      <c r="K67" s="21">
        <f t="shared" si="21"/>
        <v>582.35537902995827</v>
      </c>
      <c r="L67" s="18">
        <f t="shared" si="22"/>
        <v>-0.53975574239836899</v>
      </c>
      <c r="M67" s="18">
        <f t="shared" si="23"/>
        <v>-4.2303539400719536</v>
      </c>
      <c r="N67" s="18">
        <f t="shared" si="24"/>
        <v>-3.5407939341344727</v>
      </c>
      <c r="P67" s="56">
        <f>'Nr(V)'!A67</f>
        <v>32.5</v>
      </c>
      <c r="Q67" s="53">
        <f>'Nr(V)'!F67</f>
        <v>30850.3082947027</v>
      </c>
    </row>
    <row r="68" spans="4:17" ht="15.6" x14ac:dyDescent="0.25">
      <c r="D68" s="24">
        <f t="shared" si="18"/>
        <v>1.8556502254796214E-6</v>
      </c>
      <c r="E68" s="32">
        <v>-9.8275978024154637E-2</v>
      </c>
      <c r="F68" s="35">
        <v>-1.4018635644785508E-2</v>
      </c>
      <c r="G68" s="28">
        <f t="shared" si="19"/>
        <v>0</v>
      </c>
      <c r="I68" s="20">
        <f t="shared" si="20"/>
        <v>50</v>
      </c>
      <c r="J68" s="21">
        <f>Q102</f>
        <v>23950.987893244499</v>
      </c>
      <c r="K68" s="21">
        <f t="shared" si="21"/>
        <v>479.01975786488998</v>
      </c>
      <c r="L68" s="18">
        <f t="shared" si="22"/>
        <v>-0.80320865697786714</v>
      </c>
      <c r="M68" s="18">
        <f t="shared" si="23"/>
        <v>-5.630798768304488</v>
      </c>
      <c r="N68" s="18">
        <f t="shared" si="24"/>
        <v>-4.9058930042307107</v>
      </c>
      <c r="P68" s="56">
        <f>'Nr(V)'!A68</f>
        <v>33</v>
      </c>
      <c r="Q68" s="53">
        <f>'Nr(V)'!F68</f>
        <v>31085.242360142202</v>
      </c>
    </row>
    <row r="69" spans="4:17" ht="15.6" x14ac:dyDescent="0.25">
      <c r="D69" s="24">
        <f t="shared" si="18"/>
        <v>-4.4551643441081978E-7</v>
      </c>
      <c r="E69" s="25">
        <v>-0.12131332050192034</v>
      </c>
      <c r="F69" s="29">
        <v>-1.8117070852445596E-2</v>
      </c>
      <c r="G69" s="28">
        <f t="shared" si="19"/>
        <v>0</v>
      </c>
      <c r="I69" s="20">
        <f t="shared" si="20"/>
        <v>52</v>
      </c>
      <c r="J69" s="21">
        <f>Q106</f>
        <v>20301.993789099401</v>
      </c>
      <c r="K69" s="21">
        <f t="shared" si="21"/>
        <v>390.42295748268077</v>
      </c>
      <c r="L69" s="18">
        <f t="shared" si="22"/>
        <v>-1.0380316969846133</v>
      </c>
      <c r="M69" s="18">
        <f t="shared" si="23"/>
        <v>-6.9507412634779175</v>
      </c>
      <c r="N69" s="18">
        <f t="shared" si="24"/>
        <v>-6.2928309396997735</v>
      </c>
      <c r="P69" s="56">
        <f>'Nr(V)'!A69</f>
        <v>33.5</v>
      </c>
      <c r="Q69" s="53">
        <f>'Nr(V)'!F69</f>
        <v>31261.352896169901</v>
      </c>
    </row>
    <row r="70" spans="4:17" ht="15.6" x14ac:dyDescent="0.25">
      <c r="P70" s="56">
        <f>'Nr(V)'!A70</f>
        <v>34</v>
      </c>
      <c r="Q70" s="53">
        <f>'Nr(V)'!F70</f>
        <v>31672.532517214899</v>
      </c>
    </row>
    <row r="71" spans="4:17" ht="15.6" x14ac:dyDescent="0.25">
      <c r="P71" s="56">
        <f>'Nr(V)'!A71</f>
        <v>34.5</v>
      </c>
      <c r="Q71" s="53">
        <f>'Nr(V)'!F71</f>
        <v>32025.113641478001</v>
      </c>
    </row>
    <row r="72" spans="4:17" ht="15.6" x14ac:dyDescent="0.25">
      <c r="P72" s="56">
        <f>'Nr(V)'!A72</f>
        <v>35</v>
      </c>
      <c r="Q72" s="53">
        <f>'Nr(V)'!F72</f>
        <v>32553.850308294601</v>
      </c>
    </row>
    <row r="73" spans="4:17" ht="15.6" x14ac:dyDescent="0.25">
      <c r="P73" s="56">
        <f>'Nr(V)'!A73</f>
        <v>35.5</v>
      </c>
      <c r="Q73" s="53">
        <f>'Nr(V)'!F73</f>
        <v>32671.182321436601</v>
      </c>
    </row>
    <row r="74" spans="4:17" ht="15.6" x14ac:dyDescent="0.25">
      <c r="P74" s="56">
        <f>'Nr(V)'!A74</f>
        <v>36</v>
      </c>
      <c r="Q74" s="53">
        <f>'Nr(V)'!F74</f>
        <v>32906.116386875998</v>
      </c>
    </row>
    <row r="75" spans="4:17" ht="15.6" x14ac:dyDescent="0.25">
      <c r="P75" s="56">
        <f>'Nr(V)'!A75</f>
        <v>36.5</v>
      </c>
      <c r="Q75" s="53">
        <f>'Nr(V)'!F75</f>
        <v>33434.673027589</v>
      </c>
    </row>
    <row r="76" spans="4:17" ht="15.6" x14ac:dyDescent="0.25">
      <c r="P76" s="56">
        <f>'Nr(V)'!A76</f>
        <v>37</v>
      </c>
      <c r="Q76" s="53">
        <f>'Nr(V)'!F76</f>
        <v>33552.095053782701</v>
      </c>
    </row>
    <row r="77" spans="4:17" ht="15.6" x14ac:dyDescent="0.25">
      <c r="P77" s="56">
        <f>'Nr(V)'!A77</f>
        <v>37.5</v>
      </c>
      <c r="Q77" s="53">
        <f>'Nr(V)'!F77</f>
        <v>33904.586164993903</v>
      </c>
    </row>
    <row r="78" spans="4:17" ht="15.6" x14ac:dyDescent="0.25">
      <c r="P78" s="56">
        <f>'Nr(V)'!A78</f>
        <v>38</v>
      </c>
      <c r="Q78" s="53">
        <f>'Nr(V)'!F78</f>
        <v>34315.630766461101</v>
      </c>
    </row>
    <row r="79" spans="4:17" ht="15.6" x14ac:dyDescent="0.25">
      <c r="P79" s="56">
        <f>'Nr(V)'!A79</f>
        <v>38.5</v>
      </c>
      <c r="Q79" s="53">
        <f>'Nr(V)'!F79</f>
        <v>34726.8553940321</v>
      </c>
    </row>
    <row r="80" spans="4:17" ht="15.6" x14ac:dyDescent="0.25">
      <c r="P80" s="56">
        <f>'Nr(V)'!A80</f>
        <v>39</v>
      </c>
      <c r="Q80" s="53">
        <f>'Nr(V)'!F80</f>
        <v>34785.408884288197</v>
      </c>
    </row>
    <row r="81" spans="16:17" ht="15.6" x14ac:dyDescent="0.25">
      <c r="P81" s="56">
        <f>'Nr(V)'!A81</f>
        <v>39.5</v>
      </c>
      <c r="Q81" s="53">
        <f>'Nr(V)'!F81</f>
        <v>35020.117917097901</v>
      </c>
    </row>
    <row r="82" spans="16:17" ht="15.6" x14ac:dyDescent="0.25">
      <c r="P82" s="56">
        <f>'Nr(V)'!A82</f>
        <v>40</v>
      </c>
      <c r="Q82" s="53">
        <f>'Nr(V)'!F82</f>
        <v>35019.577838786601</v>
      </c>
    </row>
    <row r="83" spans="16:17" ht="15.6" x14ac:dyDescent="0.25">
      <c r="P83" s="56">
        <f>'Nr(V)'!A83</f>
        <v>40.5</v>
      </c>
      <c r="Q83" s="53">
        <f>'Nr(V)'!F83</f>
        <v>35136.684819298702</v>
      </c>
    </row>
    <row r="84" spans="16:17" ht="15.6" x14ac:dyDescent="0.25">
      <c r="P84" s="56">
        <f>'Nr(V)'!A84</f>
        <v>41</v>
      </c>
      <c r="Q84" s="53">
        <f>'Nr(V)'!F84</f>
        <v>35194.923263873199</v>
      </c>
    </row>
    <row r="85" spans="16:17" ht="15.6" x14ac:dyDescent="0.25">
      <c r="P85" s="56">
        <f>'Nr(V)'!A85</f>
        <v>41.5</v>
      </c>
      <c r="Q85" s="53">
        <f>'Nr(V)'!F85</f>
        <v>34900.445564606802</v>
      </c>
    </row>
    <row r="86" spans="16:17" ht="15.6" x14ac:dyDescent="0.25">
      <c r="P86" s="56">
        <f>'Nr(V)'!A86</f>
        <v>42</v>
      </c>
      <c r="Q86" s="53">
        <f>'Nr(V)'!F86</f>
        <v>34605.967865340397</v>
      </c>
    </row>
    <row r="87" spans="16:17" ht="15.6" x14ac:dyDescent="0.25">
      <c r="P87" s="56">
        <f>'Nr(V)'!A87</f>
        <v>42.5</v>
      </c>
      <c r="Q87" s="53">
        <f>'Nr(V)'!F87</f>
        <v>34252.441604032501</v>
      </c>
    </row>
    <row r="88" spans="16:17" ht="15.6" x14ac:dyDescent="0.25">
      <c r="P88" s="56">
        <f>'Nr(V)'!A88</f>
        <v>43</v>
      </c>
      <c r="Q88" s="53">
        <f>'Nr(V)'!F88</f>
        <v>33604.797695665802</v>
      </c>
    </row>
    <row r="89" spans="16:17" ht="15.6" x14ac:dyDescent="0.25">
      <c r="P89" s="56">
        <f>'Nr(V)'!A89</f>
        <v>43.5</v>
      </c>
      <c r="Q89" s="53">
        <f>'Nr(V)'!F89</f>
        <v>33192.627931049901</v>
      </c>
    </row>
    <row r="90" spans="16:17" ht="15.6" x14ac:dyDescent="0.25">
      <c r="P90" s="56">
        <f>'Nr(V)'!A90</f>
        <v>44</v>
      </c>
      <c r="Q90" s="53">
        <f>'Nr(V)'!F90</f>
        <v>32603.9425716728</v>
      </c>
    </row>
    <row r="91" spans="16:17" ht="15.6" x14ac:dyDescent="0.25">
      <c r="P91" s="56">
        <f>'Nr(V)'!A91</f>
        <v>44.5</v>
      </c>
      <c r="Q91" s="53">
        <f>'Nr(V)'!F91</f>
        <v>32250.551329942798</v>
      </c>
    </row>
    <row r="92" spans="16:17" ht="15.6" x14ac:dyDescent="0.25">
      <c r="P92" s="56">
        <f>'Nr(V)'!A92</f>
        <v>45</v>
      </c>
      <c r="Q92" s="53">
        <f>'Nr(V)'!F92</f>
        <v>31838.201539223101</v>
      </c>
    </row>
    <row r="93" spans="16:17" ht="15.6" x14ac:dyDescent="0.25">
      <c r="P93" s="56">
        <f>'Nr(V)'!A93</f>
        <v>45.5</v>
      </c>
      <c r="Q93" s="53">
        <f>'Nr(V)'!F93</f>
        <v>31131.869121022501</v>
      </c>
    </row>
    <row r="94" spans="16:17" ht="15.6" x14ac:dyDescent="0.25">
      <c r="P94" s="56">
        <f>'Nr(V)'!A94</f>
        <v>46</v>
      </c>
      <c r="Q94" s="53">
        <f>'Nr(V)'!F94</f>
        <v>30543.138755119398</v>
      </c>
    </row>
    <row r="95" spans="16:17" ht="15.6" x14ac:dyDescent="0.25">
      <c r="P95" s="56">
        <f>'Nr(V)'!A95</f>
        <v>46.5</v>
      </c>
      <c r="Q95" s="53">
        <f>'Nr(V)'!F95</f>
        <v>29777.937800981101</v>
      </c>
    </row>
    <row r="96" spans="16:17" ht="15.6" x14ac:dyDescent="0.25">
      <c r="P96" s="56">
        <f>'Nr(V)'!A96</f>
        <v>47</v>
      </c>
      <c r="Q96" s="53">
        <f>'Nr(V)'!F96</f>
        <v>29189.297448129899</v>
      </c>
    </row>
    <row r="97" spans="16:17" ht="15.6" x14ac:dyDescent="0.25">
      <c r="P97" s="56">
        <f>'Nr(V)'!A97</f>
        <v>47.5</v>
      </c>
      <c r="Q97" s="53">
        <f>'Nr(V)'!F97</f>
        <v>28424.006480939701</v>
      </c>
    </row>
    <row r="98" spans="16:17" ht="15.6" x14ac:dyDescent="0.25">
      <c r="P98" s="56">
        <f>'Nr(V)'!A98</f>
        <v>48</v>
      </c>
      <c r="Q98" s="53">
        <f>'Nr(V)'!F98</f>
        <v>27953.058193437999</v>
      </c>
    </row>
    <row r="99" spans="16:17" ht="15.6" x14ac:dyDescent="0.25">
      <c r="P99" s="56">
        <f>'Nr(V)'!A99</f>
        <v>48.5</v>
      </c>
      <c r="Q99" s="53">
        <f>'Nr(V)'!F99</f>
        <v>26893.604572663</v>
      </c>
    </row>
    <row r="100" spans="16:17" ht="15.6" x14ac:dyDescent="0.25">
      <c r="P100" s="56">
        <f>'Nr(V)'!A100</f>
        <v>49</v>
      </c>
      <c r="Q100" s="53">
        <f>'Nr(V)'!F100</f>
        <v>25893.109500877599</v>
      </c>
    </row>
    <row r="101" spans="16:17" ht="15.6" x14ac:dyDescent="0.25">
      <c r="P101" s="56">
        <f>'Nr(V)'!A101</f>
        <v>49.5</v>
      </c>
      <c r="Q101" s="53">
        <f>'Nr(V)'!F101</f>
        <v>25069.085017327499</v>
      </c>
    </row>
    <row r="102" spans="16:17" ht="15.6" x14ac:dyDescent="0.25">
      <c r="P102" s="56">
        <f>'Nr(V)'!A102</f>
        <v>50</v>
      </c>
      <c r="Q102" s="53">
        <f>'Nr(V)'!F102</f>
        <v>23950.987893244499</v>
      </c>
    </row>
    <row r="103" spans="16:17" ht="15.6" x14ac:dyDescent="0.25">
      <c r="P103" s="56">
        <f>'Nr(V)'!A103</f>
        <v>50.5</v>
      </c>
      <c r="Q103" s="53">
        <f>'Nr(V)'!F103</f>
        <v>22773.9772266978</v>
      </c>
    </row>
    <row r="104" spans="16:17" ht="15.6" x14ac:dyDescent="0.25">
      <c r="P104" s="56">
        <f>'Nr(V)'!A104</f>
        <v>51</v>
      </c>
      <c r="Q104" s="53">
        <f>'Nr(V)'!F104</f>
        <v>21832.3506908501</v>
      </c>
    </row>
    <row r="105" spans="16:17" ht="15.6" x14ac:dyDescent="0.25">
      <c r="P105" s="56">
        <f>'Nr(V)'!A105</f>
        <v>51.5</v>
      </c>
      <c r="Q105" s="53">
        <f>'Nr(V)'!F105</f>
        <v>20714.1185471893</v>
      </c>
    </row>
    <row r="106" spans="16:17" ht="15.6" x14ac:dyDescent="0.25">
      <c r="P106" s="56">
        <f>'Nr(V)'!A106</f>
        <v>52</v>
      </c>
      <c r="Q106" s="53">
        <f>'Nr(V)'!F106</f>
        <v>20301.993789099401</v>
      </c>
    </row>
    <row r="107" spans="16:17" ht="15.6" x14ac:dyDescent="0.25">
      <c r="P107" s="56">
        <f>'Nr(V)'!A107</f>
        <v>52.5</v>
      </c>
      <c r="Q107" s="53">
        <f>'Nr(V)'!F107</f>
        <v>19066.2045996669</v>
      </c>
    </row>
    <row r="108" spans="16:17" ht="15.6" x14ac:dyDescent="0.25">
      <c r="P108" s="56">
        <f>'Nr(V)'!A108</f>
        <v>53</v>
      </c>
      <c r="Q108" s="53">
        <f>'Nr(V)'!F108</f>
        <v>18124.533057293302</v>
      </c>
    </row>
    <row r="109" spans="16:17" ht="15.6" x14ac:dyDescent="0.25">
      <c r="P109" s="56">
        <f>'Nr(V)'!A109</f>
        <v>53.5</v>
      </c>
      <c r="Q109" s="53">
        <f>'Nr(V)'!F109</f>
        <v>17241.6850443314</v>
      </c>
    </row>
    <row r="110" spans="16:17" ht="15.6" x14ac:dyDescent="0.25">
      <c r="P110" s="56">
        <f>'Nr(V)'!A110</f>
        <v>54</v>
      </c>
      <c r="Q110" s="53">
        <f>'Nr(V)'!F110</f>
        <v>16182.4114496601</v>
      </c>
    </row>
    <row r="111" spans="16:17" ht="15.6" x14ac:dyDescent="0.25">
      <c r="P111" s="56">
        <f>'Nr(V)'!A111</f>
        <v>54.5</v>
      </c>
      <c r="Q111" s="53">
        <f>'Nr(V)'!F111</f>
        <v>14828.930194878199</v>
      </c>
    </row>
    <row r="112" spans="16:17" ht="15.6" x14ac:dyDescent="0.25">
      <c r="P112" s="56">
        <f>'Nr(V)'!A112</f>
        <v>55</v>
      </c>
      <c r="Q112" s="53">
        <f>'Nr(V)'!F112</f>
        <v>13593.1860119717</v>
      </c>
    </row>
    <row r="113" spans="16:17" ht="15.6" x14ac:dyDescent="0.25">
      <c r="P113" s="56">
        <f>'Nr(V)'!A113</f>
        <v>55.5</v>
      </c>
      <c r="Q113" s="53">
        <f>'Nr(V)'!F113</f>
        <v>12651.469463072101</v>
      </c>
    </row>
    <row r="114" spans="16:17" ht="15.6" x14ac:dyDescent="0.25">
      <c r="P114" s="56">
        <f>'Nr(V)'!A114</f>
        <v>56</v>
      </c>
      <c r="Q114" s="53">
        <f>'Nr(V)'!F114</f>
        <v>11474.503803051401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7:N37"/>
    <mergeCell ref="I53:N5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AC9C-8DB7-4388-97DB-A7857BD1DD62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2500</v>
      </c>
      <c r="D1" s="12" t="s">
        <v>3</v>
      </c>
      <c r="G1" s="43"/>
      <c r="H1" s="44"/>
      <c r="I1" s="134" t="s">
        <v>171</v>
      </c>
      <c r="J1" s="135"/>
      <c r="K1" s="135"/>
      <c r="L1" s="135"/>
      <c r="M1" s="135"/>
      <c r="N1" s="136"/>
      <c r="P1" s="51" t="str">
        <f>'Nr(V)'!A1</f>
        <v>h</v>
      </c>
      <c r="Q1" s="53">
        <f>'Nr(V)'!G1</f>
        <v>2500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'Nr(V)'!G2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22.502012839472162</v>
      </c>
      <c r="J3" s="102">
        <f>Q47</f>
        <v>23095.6388676358</v>
      </c>
      <c r="K3" s="102">
        <f>J3/I3</f>
        <v>1026.3810189958795</v>
      </c>
      <c r="L3" s="104">
        <f ca="1">OFFSET(D23,A23-2,0,1,1)</f>
        <v>10.59913660626809</v>
      </c>
      <c r="M3" s="104">
        <f t="shared" ref="M3:M17" ca="1" si="0">OFFSET(D22,A23-2,0,1,1)</f>
        <v>1.4394314663193724</v>
      </c>
      <c r="N3" s="104">
        <f ca="1">I3*SIN(RADIANS(M3))</f>
        <v>0.56525451818308226</v>
      </c>
      <c r="P3" s="56">
        <f>'Nr(V)'!A3</f>
        <v>0.5</v>
      </c>
      <c r="Q3" s="53">
        <f>'Nr(V)'!G3</f>
        <v>470.183176560596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23</v>
      </c>
      <c r="J4" s="21">
        <f>Q48</f>
        <v>23212.835861199801</v>
      </c>
      <c r="K4" s="21">
        <f t="shared" ref="K4:K17" si="1">J4/I4</f>
        <v>1009.2537330956435</v>
      </c>
      <c r="L4" s="18">
        <f t="shared" ref="L4:L17" ca="1" si="2">OFFSET(D24,A24-2,0,1,1)</f>
        <v>10.009839425575734</v>
      </c>
      <c r="M4" s="18">
        <f t="shared" ca="1" si="0"/>
        <v>1.4517475552957535</v>
      </c>
      <c r="N4" s="18">
        <f t="shared" ref="N4:N17" ca="1" si="3">I4*SIN(RADIANS(M4))</f>
        <v>0.5827064646600324</v>
      </c>
      <c r="P4" s="56">
        <f>'Nr(V)'!A4</f>
        <v>1</v>
      </c>
      <c r="Q4" s="53">
        <f>'Nr(V)'!G4</f>
        <v>1351.9510328997601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24</v>
      </c>
      <c r="J5" s="21">
        <f>Q50</f>
        <v>23799.990998694801</v>
      </c>
      <c r="K5" s="21">
        <f t="shared" si="1"/>
        <v>991.66629161228332</v>
      </c>
      <c r="L5" s="18">
        <f t="shared" ca="1" si="2"/>
        <v>8.9232126064814778</v>
      </c>
      <c r="M5" s="18">
        <f t="shared" ca="1" si="0"/>
        <v>1.5790731298672915</v>
      </c>
      <c r="N5" s="18">
        <f t="shared" ca="1" si="3"/>
        <v>0.6613568756639272</v>
      </c>
      <c r="P5" s="56">
        <f>'Nr(V)'!A5</f>
        <v>1.5</v>
      </c>
      <c r="Q5" s="53">
        <f>'Nr(V)'!G5</f>
        <v>1998.55979116971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26</v>
      </c>
      <c r="J6" s="21">
        <f>Q54</f>
        <v>25445.024528556602</v>
      </c>
      <c r="K6" s="21">
        <f t="shared" si="1"/>
        <v>978.6547895598693</v>
      </c>
      <c r="L6" s="18">
        <f t="shared" ca="1" si="2"/>
        <v>7.0924245157980073</v>
      </c>
      <c r="M6" s="18">
        <f t="shared" ca="1" si="0"/>
        <v>1.8677349936591714</v>
      </c>
      <c r="N6" s="18">
        <f t="shared" ca="1" si="3"/>
        <v>0.84740115635895297</v>
      </c>
      <c r="P6" s="56">
        <f>'Nr(V)'!A6</f>
        <v>2</v>
      </c>
      <c r="Q6" s="53">
        <f>'Nr(V)'!G6</f>
        <v>2527.4314775642401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26619.739862279999</v>
      </c>
      <c r="K7" s="21">
        <f t="shared" si="1"/>
        <v>950.70499508142859</v>
      </c>
      <c r="L7" s="18">
        <f t="shared" ca="1" si="2"/>
        <v>5.6293147405358592</v>
      </c>
      <c r="M7" s="18">
        <f t="shared" ca="1" si="0"/>
        <v>1.8487205649619027</v>
      </c>
      <c r="N7" s="18">
        <f t="shared" ca="1" si="3"/>
        <v>0.90329854448473157</v>
      </c>
      <c r="P7" s="56">
        <f>'Nr(V)'!A7</f>
        <v>2.5</v>
      </c>
      <c r="Q7" s="53">
        <f>'Nr(V)'!G7</f>
        <v>3173.9952293082401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27676.4480849723</v>
      </c>
      <c r="K8" s="21">
        <f t="shared" si="1"/>
        <v>922.5482694990767</v>
      </c>
      <c r="L8" s="18">
        <f t="shared" ca="1" si="2"/>
        <v>4.4397237582292517</v>
      </c>
      <c r="M8" s="18">
        <f t="shared" ca="1" si="0"/>
        <v>1.6901143227990452</v>
      </c>
      <c r="N8" s="18">
        <f t="shared" ca="1" si="3"/>
        <v>0.88481345907406539</v>
      </c>
      <c r="P8" s="56">
        <f>'Nr(V)'!A8</f>
        <v>3</v>
      </c>
      <c r="Q8" s="53">
        <f>'Nr(V)'!G8</f>
        <v>3761.6904451145301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29497.052072550501</v>
      </c>
      <c r="K9" s="21">
        <f t="shared" si="1"/>
        <v>893.85006280456059</v>
      </c>
      <c r="L9" s="18">
        <f t="shared" ca="1" si="2"/>
        <v>3.0327112071884721</v>
      </c>
      <c r="M9" s="18">
        <f t="shared" ca="1" si="0"/>
        <v>1.3679141353868816</v>
      </c>
      <c r="N9" s="18">
        <f t="shared" ca="1" si="3"/>
        <v>0.78778713871959027</v>
      </c>
      <c r="P9" s="56">
        <f>'Nr(V)'!A9</f>
        <v>3.5</v>
      </c>
      <c r="Q9" s="53">
        <f>'Nr(V)'!G9</f>
        <v>4290.6521445609496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31259.0125568207</v>
      </c>
      <c r="K10" s="21">
        <f t="shared" si="1"/>
        <v>868.30590435613055</v>
      </c>
      <c r="L10" s="18">
        <f t="shared" ca="1" si="2"/>
        <v>1.9549519154761223</v>
      </c>
      <c r="M10" s="18">
        <f t="shared" ca="1" si="0"/>
        <v>0.88041024083984887</v>
      </c>
      <c r="N10" s="18">
        <f t="shared" ca="1" si="3"/>
        <v>0.55315630020399409</v>
      </c>
      <c r="P10" s="56">
        <f>'Nr(V)'!A10</f>
        <v>4</v>
      </c>
      <c r="Q10" s="53">
        <f>'Nr(V)'!G10</f>
        <v>4878.4823799450896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33079.481524821</v>
      </c>
      <c r="K11" s="21">
        <f t="shared" si="1"/>
        <v>848.19183396976928</v>
      </c>
      <c r="L11" s="18">
        <f t="shared" ca="1" si="2"/>
        <v>1.1113963895071846</v>
      </c>
      <c r="M11" s="18">
        <f t="shared" ca="1" si="0"/>
        <v>0.28603124055070206</v>
      </c>
      <c r="N11" s="18">
        <f t="shared" ca="1" si="3"/>
        <v>0.19469448083971289</v>
      </c>
      <c r="P11" s="56">
        <f>'Nr(V)'!A11</f>
        <v>4.5</v>
      </c>
      <c r="Q11" s="53">
        <f>'Nr(V)'!G11</f>
        <v>5466.1325892254299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33076.421081056702</v>
      </c>
      <c r="K12" s="21">
        <f t="shared" si="1"/>
        <v>787.53383526325479</v>
      </c>
      <c r="L12" s="18">
        <f t="shared" ca="1" si="2"/>
        <v>0.43832911704172084</v>
      </c>
      <c r="M12" s="18">
        <f t="shared" ca="1" si="0"/>
        <v>-0.79013661004294033</v>
      </c>
      <c r="N12" s="18">
        <f t="shared" ca="1" si="3"/>
        <v>-0.57918202789898809</v>
      </c>
      <c r="P12" s="56">
        <f>'Nr(V)'!A12</f>
        <v>5</v>
      </c>
      <c r="Q12" s="53">
        <f>'Nr(V)'!G12</f>
        <v>5936.3607723119703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31074.485800441002</v>
      </c>
      <c r="K13" s="21">
        <f t="shared" si="1"/>
        <v>706.23831364638636</v>
      </c>
      <c r="L13" s="18">
        <f t="shared" ca="1" si="2"/>
        <v>6.0815983393000018E-2</v>
      </c>
      <c r="M13" s="18">
        <f t="shared" ca="1" si="0"/>
        <v>-1.9252154415399172</v>
      </c>
      <c r="N13" s="18">
        <f t="shared" ca="1" si="3"/>
        <v>-1.4781811301375773</v>
      </c>
      <c r="P13" s="56">
        <f>'Nr(V)'!A13</f>
        <v>5.5</v>
      </c>
      <c r="Q13" s="53">
        <f>'Nr(V)'!G13</f>
        <v>6582.7895044781399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29072.550519825301</v>
      </c>
      <c r="K14" s="21">
        <f t="shared" si="1"/>
        <v>632.01196782228919</v>
      </c>
      <c r="L14" s="18">
        <f t="shared" ca="1" si="2"/>
        <v>-0.27065445010841976</v>
      </c>
      <c r="M14" s="18">
        <f t="shared" ca="1" si="0"/>
        <v>-3.0441046550258171</v>
      </c>
      <c r="N14" s="18">
        <f t="shared" ca="1" si="3"/>
        <v>-2.442814229446761</v>
      </c>
      <c r="P14" s="56">
        <f>'Nr(V)'!A14</f>
        <v>6</v>
      </c>
      <c r="Q14" s="53">
        <f>'Nr(V)'!G14</f>
        <v>7111.7061973986201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26423.556415680199</v>
      </c>
      <c r="K15" s="21">
        <f t="shared" si="1"/>
        <v>550.49075866000419</v>
      </c>
      <c r="L15" s="18">
        <f t="shared" ca="1" si="2"/>
        <v>-0.56388358215400702</v>
      </c>
      <c r="M15" s="18">
        <f t="shared" ca="1" si="0"/>
        <v>-4.2694780802358201</v>
      </c>
      <c r="N15" s="18">
        <f t="shared" ca="1" si="3"/>
        <v>-3.5734803705965441</v>
      </c>
      <c r="P15" s="56">
        <f>'Nr(V)'!A15</f>
        <v>6.5</v>
      </c>
      <c r="Q15" s="53">
        <f>'Nr(V)'!G15</f>
        <v>7699.4914262568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22539.178180836199</v>
      </c>
      <c r="K16" s="21">
        <f t="shared" si="1"/>
        <v>450.783563616724</v>
      </c>
      <c r="L16" s="18">
        <f t="shared" ca="1" si="2"/>
        <v>-0.82562939965982141</v>
      </c>
      <c r="M16" s="18">
        <f t="shared" ca="1" si="0"/>
        <v>-5.6946957095241126</v>
      </c>
      <c r="N16" s="18">
        <f t="shared" ca="1" si="3"/>
        <v>-4.9613814863509367</v>
      </c>
      <c r="P16" s="56">
        <f>'Nr(V)'!A16</f>
        <v>7</v>
      </c>
      <c r="Q16" s="53">
        <f>'Nr(V)'!G16</f>
        <v>8404.8337008866292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0.95707354543209155</v>
      </c>
      <c r="D17" s="14" t="s">
        <v>73</v>
      </c>
      <c r="G17" s="45"/>
      <c r="H17" s="47"/>
      <c r="I17" s="20">
        <v>52</v>
      </c>
      <c r="J17" s="21">
        <f>Q106</f>
        <v>18772.582024393501</v>
      </c>
      <c r="K17" s="21">
        <f t="shared" si="1"/>
        <v>361.01119277679811</v>
      </c>
      <c r="L17" s="18">
        <f t="shared" ca="1" si="2"/>
        <v>-1.0592432064234609</v>
      </c>
      <c r="M17" s="18">
        <f t="shared" ca="1" si="0"/>
        <v>-7.074313905460067</v>
      </c>
      <c r="N17" s="18">
        <f t="shared" ca="1" si="3"/>
        <v>-6.4041429430346968</v>
      </c>
      <c r="P17" s="56">
        <f>'Nr(V)'!A17</f>
        <v>7.5</v>
      </c>
      <c r="Q17" s="53">
        <f>'Nr(V)'!G17</f>
        <v>8933.8404068589807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43973.232738885315</v>
      </c>
      <c r="D18" s="14" t="s">
        <v>32</v>
      </c>
      <c r="P18" s="56">
        <f>'Nr(V)'!A18</f>
        <v>8</v>
      </c>
      <c r="Q18" s="53">
        <f>'Nr(V)'!G18</f>
        <v>9639.2726945406994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4.9323560718791577E-2</v>
      </c>
      <c r="D19" s="14" t="s">
        <v>7</v>
      </c>
      <c r="P19" s="56">
        <f>'Nr(V)'!A19</f>
        <v>8.5</v>
      </c>
      <c r="Q19" s="53">
        <f>'Nr(V)'!G19</f>
        <v>10462.262027994</v>
      </c>
    </row>
    <row r="20" spans="1:28" ht="18.600000000000001" thickBot="1" x14ac:dyDescent="0.3">
      <c r="F20" s="134" t="s">
        <v>163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'Nr(V)'!G20</f>
        <v>10932.3551915027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'Nr(V)'!G21</f>
        <v>11520.050407309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-2.8253225536900572E-8</v>
      </c>
      <c r="C22" s="25">
        <v>2.5122818444082911E-2</v>
      </c>
      <c r="D22" s="26">
        <f t="shared" ref="D22:D51" si="4">DEGREES(C22)</f>
        <v>1.4394314663193724</v>
      </c>
      <c r="F22" s="17">
        <v>1.5069999999999999</v>
      </c>
      <c r="G22" s="18">
        <v>80.83</v>
      </c>
      <c r="H22" s="20">
        <f>SQRT((2*C$15)/(C$7*C$17*F22))</f>
        <v>22.502012839472162</v>
      </c>
      <c r="I22" s="21">
        <f>C$15*SQRT((2*C$15)/(C$17*C$7*G22))</f>
        <v>20194.612071009284</v>
      </c>
      <c r="J22" s="102">
        <f>Q45</f>
        <v>22684.729285746402</v>
      </c>
      <c r="K22" s="21">
        <f>(J22-I22)</f>
        <v>2490.117214737118</v>
      </c>
      <c r="L22" s="18">
        <f t="shared" ref="L22:L33" si="5">K22/C$15</f>
        <v>0.37885757979781792</v>
      </c>
      <c r="M22" s="18">
        <f t="shared" ref="M22:M33" si="6">DEGREES(ASIN(L22/H22))</f>
        <v>0.96471218793040803</v>
      </c>
      <c r="N22" s="18">
        <v>13.202</v>
      </c>
      <c r="P22" s="56">
        <f>'Nr(V)'!A22</f>
        <v>10</v>
      </c>
      <c r="Q22" s="53">
        <f>'Nr(V)'!G22</f>
        <v>12048.9671002295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-1.798740413505584E-6</v>
      </c>
      <c r="C23" s="29">
        <v>0.18498983164803601</v>
      </c>
      <c r="D23" s="30">
        <f t="shared" si="4"/>
        <v>10.59913660626809</v>
      </c>
      <c r="F23" s="17">
        <v>1.4</v>
      </c>
      <c r="G23" s="18">
        <v>82.93</v>
      </c>
      <c r="H23" s="20">
        <f t="shared" ref="H23:H33" si="7">SQRT((2*C$15)/(C$7*C$17*F23))</f>
        <v>23.346080380937142</v>
      </c>
      <c r="I23" s="21">
        <f t="shared" ref="I23:I33" si="8">C$15*SQRT((2*C$15)/(C$17*C$7*G23))</f>
        <v>19937.282917034619</v>
      </c>
      <c r="J23" s="21">
        <f>Q47</f>
        <v>23095.6388676358</v>
      </c>
      <c r="K23" s="21">
        <f t="shared" ref="K23:K35" si="9">(J23-I23)</f>
        <v>3158.3559506011807</v>
      </c>
      <c r="L23" s="18">
        <f t="shared" si="5"/>
        <v>0.48052641237256838</v>
      </c>
      <c r="M23" s="18">
        <f t="shared" si="6"/>
        <v>1.1793876869386577</v>
      </c>
      <c r="N23" s="18">
        <v>11.19</v>
      </c>
      <c r="P23" s="56">
        <f>'Nr(V)'!A23</f>
        <v>10.5</v>
      </c>
      <c r="Q23" s="53">
        <f>'Nr(V)'!G23</f>
        <v>12636.797335613601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-8.3061669329254073E-6</v>
      </c>
      <c r="C24" s="32">
        <v>2.5337774747689341E-2</v>
      </c>
      <c r="D24" s="33">
        <f t="shared" si="4"/>
        <v>1.4517475552957535</v>
      </c>
      <c r="F24" s="17">
        <v>1.2976294821560448</v>
      </c>
      <c r="G24" s="18">
        <v>83.61</v>
      </c>
      <c r="H24" s="20">
        <f t="shared" si="7"/>
        <v>24.249491843078857</v>
      </c>
      <c r="I24" s="21">
        <f t="shared" si="8"/>
        <v>19856.042452179263</v>
      </c>
      <c r="J24" s="21">
        <f>Q49</f>
        <v>23447.589900535499</v>
      </c>
      <c r="K24" s="21">
        <f t="shared" si="9"/>
        <v>3591.5474483562357</v>
      </c>
      <c r="L24" s="18">
        <f t="shared" si="5"/>
        <v>0.54643410597718367</v>
      </c>
      <c r="M24" s="18">
        <f t="shared" si="6"/>
        <v>1.291203067581987</v>
      </c>
      <c r="N24" s="18">
        <v>9.6229999999999993</v>
      </c>
      <c r="P24" s="56">
        <f>'Nr(V)'!A24</f>
        <v>11</v>
      </c>
      <c r="Q24" s="53">
        <f>'Nr(V)'!G24</f>
        <v>13224.5375579459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5.4243173508439213E-8</v>
      </c>
      <c r="C25" s="35">
        <v>0.17470465557223444</v>
      </c>
      <c r="D25" s="36">
        <f>DEGREES(C25)</f>
        <v>10.009839425575734</v>
      </c>
      <c r="F25" s="17">
        <v>1.1970000000000001</v>
      </c>
      <c r="G25" s="18">
        <v>82.42</v>
      </c>
      <c r="H25" s="20">
        <f t="shared" si="7"/>
        <v>25.248228914857581</v>
      </c>
      <c r="I25" s="21">
        <f t="shared" si="8"/>
        <v>19998.871932498685</v>
      </c>
      <c r="J25" s="21">
        <f>Q51</f>
        <v>24211.260632791698</v>
      </c>
      <c r="K25" s="21">
        <f t="shared" si="9"/>
        <v>4212.3887002930132</v>
      </c>
      <c r="L25" s="18">
        <f t="shared" si="5"/>
        <v>0.64089167317738716</v>
      </c>
      <c r="M25" s="18">
        <f t="shared" si="6"/>
        <v>1.454531032595646</v>
      </c>
      <c r="N25" s="18">
        <v>8.0570000000000004</v>
      </c>
      <c r="P25" s="56">
        <f>'Nr(V)'!A25</f>
        <v>11.5</v>
      </c>
      <c r="Q25" s="53">
        <f>'Nr(V)'!G25</f>
        <v>13753.3642378144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-6.2527760746888816E-12</v>
      </c>
      <c r="C26" s="25">
        <v>2.7560025245956247E-2</v>
      </c>
      <c r="D26" s="26">
        <f t="shared" si="4"/>
        <v>1.5790731298672915</v>
      </c>
      <c r="F26" s="17">
        <v>0.99199999999999999</v>
      </c>
      <c r="G26" s="18">
        <v>77.64</v>
      </c>
      <c r="H26" s="20">
        <f t="shared" si="7"/>
        <v>27.734616064412577</v>
      </c>
      <c r="I26" s="21">
        <f t="shared" si="8"/>
        <v>20605.304700799217</v>
      </c>
      <c r="J26" s="21">
        <f>Q55</f>
        <v>25679.9585939961</v>
      </c>
      <c r="K26" s="21">
        <f t="shared" si="9"/>
        <v>5074.6538931968826</v>
      </c>
      <c r="L26" s="18">
        <f t="shared" si="5"/>
        <v>0.77208055946519416</v>
      </c>
      <c r="M26" s="18">
        <f t="shared" si="6"/>
        <v>1.5952149133437765</v>
      </c>
      <c r="N26" s="18">
        <v>6.1870000000000003</v>
      </c>
      <c r="P26" s="56">
        <f>'Nr(V)'!A26</f>
        <v>12</v>
      </c>
      <c r="Q26" s="53">
        <f>'Nr(V)'!G26</f>
        <v>14223.502407849101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0</v>
      </c>
      <c r="C27" s="29">
        <v>0.15573943983856689</v>
      </c>
      <c r="D27" s="30">
        <f t="shared" si="4"/>
        <v>8.9232126064814778</v>
      </c>
      <c r="F27" s="17">
        <v>0.89051118930908912</v>
      </c>
      <c r="G27" s="18">
        <v>71.59</v>
      </c>
      <c r="H27" s="20">
        <f t="shared" si="7"/>
        <v>29.272398172541617</v>
      </c>
      <c r="I27" s="21">
        <f t="shared" si="8"/>
        <v>21458.3153410368</v>
      </c>
      <c r="J27" s="21">
        <f>Q58</f>
        <v>26619.739862279999</v>
      </c>
      <c r="K27" s="21">
        <f t="shared" si="9"/>
        <v>5161.4245212431997</v>
      </c>
      <c r="L27" s="18">
        <f t="shared" si="5"/>
        <v>0.7852822312357477</v>
      </c>
      <c r="M27" s="18">
        <f t="shared" si="6"/>
        <v>1.5372418688427005</v>
      </c>
      <c r="N27" s="18">
        <v>5.3460000000000001</v>
      </c>
      <c r="P27" s="56">
        <f>'Nr(V)'!A27</f>
        <v>12.5</v>
      </c>
      <c r="Q27" s="53">
        <f>'Nr(V)'!G27</f>
        <v>14634.9070615239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0</v>
      </c>
      <c r="C28" s="32">
        <v>3.2598125194067955E-2</v>
      </c>
      <c r="D28" s="33">
        <f t="shared" si="4"/>
        <v>1.8677349936591714</v>
      </c>
      <c r="F28" s="17">
        <v>0.78877734406717104</v>
      </c>
      <c r="G28" s="18">
        <v>62.64</v>
      </c>
      <c r="H28" s="20">
        <f t="shared" si="7"/>
        <v>31.10289257270129</v>
      </c>
      <c r="I28" s="21">
        <f t="shared" si="8"/>
        <v>22940.132914768736</v>
      </c>
      <c r="J28" s="21">
        <f>Q62</f>
        <v>27676.4480849723</v>
      </c>
      <c r="K28" s="21">
        <f t="shared" si="9"/>
        <v>4736.3151702035648</v>
      </c>
      <c r="L28" s="18">
        <f t="shared" si="5"/>
        <v>0.72060419161129585</v>
      </c>
      <c r="M28" s="18">
        <f t="shared" si="6"/>
        <v>1.3275702046823772</v>
      </c>
      <c r="N28" s="18">
        <v>4.1539999999999999</v>
      </c>
      <c r="P28" s="56">
        <f>'Nr(V)'!A28</f>
        <v>13</v>
      </c>
      <c r="Q28" s="53">
        <f>'Nr(V)'!G28</f>
        <v>15163.5987218146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0</v>
      </c>
      <c r="C29" s="35">
        <v>0.12378615974983981</v>
      </c>
      <c r="D29" s="36">
        <f t="shared" si="4"/>
        <v>7.0924245157980073</v>
      </c>
      <c r="F29" s="17">
        <v>0.68820194072740959</v>
      </c>
      <c r="G29" s="18">
        <v>51.95</v>
      </c>
      <c r="H29" s="20">
        <f t="shared" si="7"/>
        <v>33.298145587485891</v>
      </c>
      <c r="I29" s="21">
        <f t="shared" si="8"/>
        <v>25190.049936866555</v>
      </c>
      <c r="J29" s="21">
        <f>Q66</f>
        <v>28733.3363337683</v>
      </c>
      <c r="K29" s="21">
        <f t="shared" si="9"/>
        <v>3543.2863969017453</v>
      </c>
      <c r="L29" s="18">
        <f t="shared" si="5"/>
        <v>0.53909145357337851</v>
      </c>
      <c r="M29" s="18">
        <f t="shared" si="6"/>
        <v>0.92764969360679783</v>
      </c>
      <c r="N29" s="18">
        <v>3.0790000000000002</v>
      </c>
      <c r="P29" s="56">
        <f>'Nr(V)'!A29</f>
        <v>13.5</v>
      </c>
      <c r="Q29" s="53">
        <f>'Nr(V)'!G29</f>
        <v>15398.577793779999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4.6611603465862572E-12</v>
      </c>
      <c r="C30" s="25">
        <v>3.226626080791492E-2</v>
      </c>
      <c r="D30" s="26">
        <f t="shared" si="4"/>
        <v>1.8487205649619027</v>
      </c>
      <c r="F30" s="17">
        <v>0.58038845302154896</v>
      </c>
      <c r="G30" s="18">
        <v>39.369999999999997</v>
      </c>
      <c r="H30" s="20">
        <f t="shared" si="7"/>
        <v>36.259232955122549</v>
      </c>
      <c r="I30" s="21">
        <f t="shared" si="8"/>
        <v>28936.040059486528</v>
      </c>
      <c r="J30" s="21">
        <f>Q72</f>
        <v>30730.4559161078</v>
      </c>
      <c r="K30" s="21">
        <f t="shared" si="9"/>
        <v>1794.4158566212718</v>
      </c>
      <c r="L30" s="18">
        <f t="shared" si="5"/>
        <v>0.27301046094014203</v>
      </c>
      <c r="M30" s="18">
        <f t="shared" si="6"/>
        <v>0.43140722246114394</v>
      </c>
      <c r="N30" s="18">
        <v>2.073</v>
      </c>
      <c r="P30" s="56">
        <f>'Nr(V)'!A30</f>
        <v>14</v>
      </c>
      <c r="Q30" s="53">
        <f>'Nr(V)'!G30</f>
        <v>15633.421846167599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0</v>
      </c>
      <c r="C31" s="29">
        <v>9.825007685340105E-2</v>
      </c>
      <c r="D31" s="30">
        <f t="shared" si="4"/>
        <v>5.6293147405358592</v>
      </c>
      <c r="F31" s="17">
        <v>0.483331925835703</v>
      </c>
      <c r="G31" s="18">
        <v>27.9</v>
      </c>
      <c r="H31" s="20">
        <f t="shared" si="7"/>
        <v>39.73335640856115</v>
      </c>
      <c r="I31" s="21">
        <f t="shared" si="8"/>
        <v>34373.179243767401</v>
      </c>
      <c r="J31" s="21">
        <f>Q78</f>
        <v>32550.789864530299</v>
      </c>
      <c r="K31" s="21">
        <f t="shared" si="9"/>
        <v>-1822.3893792371018</v>
      </c>
      <c r="L31" s="18">
        <f t="shared" si="5"/>
        <v>-0.27726647789144515</v>
      </c>
      <c r="M31" s="18">
        <f t="shared" si="6"/>
        <v>-0.39982345696674587</v>
      </c>
      <c r="N31" s="18">
        <v>1.2330000000000001</v>
      </c>
      <c r="P31" s="56">
        <f>'Nr(V)'!A31</f>
        <v>14.5</v>
      </c>
      <c r="Q31" s="53">
        <f>'Nr(V)'!G31</f>
        <v>16103.4700031504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1.2031250662403181E-7</v>
      </c>
      <c r="C32" s="32">
        <v>2.9498059667957603E-2</v>
      </c>
      <c r="D32" s="33">
        <f t="shared" si="4"/>
        <v>1.6901143227990452</v>
      </c>
      <c r="F32" s="17">
        <v>0.38026543690183146</v>
      </c>
      <c r="G32" s="18">
        <v>16.61</v>
      </c>
      <c r="H32" s="20">
        <f t="shared" si="7"/>
        <v>44.79551848221157</v>
      </c>
      <c r="I32" s="21">
        <f t="shared" si="8"/>
        <v>44548.900333090882</v>
      </c>
      <c r="J32" s="21">
        <f>Q88</f>
        <v>32016.652414600099</v>
      </c>
      <c r="K32" s="21">
        <f t="shared" si="9"/>
        <v>-12532.247918490782</v>
      </c>
      <c r="L32" s="18">
        <f t="shared" si="5"/>
        <v>-1.9067122976084077</v>
      </c>
      <c r="M32" s="18">
        <f t="shared" si="6"/>
        <v>-2.4395204288136205</v>
      </c>
      <c r="N32" s="18">
        <v>0.39200000000000002</v>
      </c>
      <c r="P32" s="56">
        <f>'Nr(V)'!A32</f>
        <v>15</v>
      </c>
      <c r="Q32" s="53">
        <f>'Nr(V)'!G32</f>
        <v>16749.898735316601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7.7487797460117136E-2</v>
      </c>
      <c r="D33" s="36">
        <f t="shared" si="4"/>
        <v>4.4397237582292517</v>
      </c>
      <c r="F33" s="105">
        <v>0.33400000000000002</v>
      </c>
      <c r="G33" s="105">
        <v>12.24</v>
      </c>
      <c r="H33" s="20">
        <f t="shared" si="7"/>
        <v>47.797453669508066</v>
      </c>
      <c r="I33" s="21">
        <f t="shared" si="8"/>
        <v>51895.666677768721</v>
      </c>
      <c r="J33" s="21">
        <f>Q94</f>
        <v>29072.550519825301</v>
      </c>
      <c r="K33" s="21">
        <f t="shared" si="9"/>
        <v>-22823.116157943419</v>
      </c>
      <c r="L33" s="18">
        <f t="shared" si="5"/>
        <v>-3.4724110575476468</v>
      </c>
      <c r="M33" s="18">
        <f t="shared" si="6"/>
        <v>-4.166119885686201</v>
      </c>
      <c r="N33" s="18">
        <v>-0.13300000000000001</v>
      </c>
      <c r="P33" s="56">
        <f>'Nr(V)'!A33</f>
        <v>15.5</v>
      </c>
      <c r="Q33" s="53">
        <f>'Nr(V)'!G33</f>
        <v>16926.099284396201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3.0695446184836328E-12</v>
      </c>
      <c r="C34" s="25">
        <v>2.3874605547072561E-2</v>
      </c>
      <c r="D34" s="26">
        <f t="shared" si="4"/>
        <v>1.3679141353868816</v>
      </c>
      <c r="F34" s="17">
        <v>0.27900000000000003</v>
      </c>
      <c r="G34" s="18">
        <v>7.83</v>
      </c>
      <c r="H34" s="20">
        <f>SQRT((2*C$15)/(C$7*C$17*F34))</f>
        <v>52.296893580670641</v>
      </c>
      <c r="I34" s="21">
        <f>C$15*SQRT((2*C$15)/(C$17*C$7*G34))</f>
        <v>64884.494181414775</v>
      </c>
      <c r="J34" s="21">
        <f>Q103</f>
        <v>21774.022233223801</v>
      </c>
      <c r="K34" s="21">
        <f t="shared" si="9"/>
        <v>-43110.471948190971</v>
      </c>
      <c r="L34" s="18">
        <f>K34/C$15</f>
        <v>-6.5590201816895588</v>
      </c>
      <c r="M34" s="18">
        <f>DEGREES(ASIN(L34/H34))</f>
        <v>-7.2049488160143662</v>
      </c>
      <c r="N34" s="18">
        <v>-0.8</v>
      </c>
      <c r="P34" s="56">
        <f>'Nr(V)'!A34</f>
        <v>16</v>
      </c>
      <c r="Q34" s="53">
        <f>'Nr(V)'!G34</f>
        <v>17572.483010036402</v>
      </c>
    </row>
    <row r="35" spans="1:17" ht="15.6" x14ac:dyDescent="0.25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5.2930795827570765E-2</v>
      </c>
      <c r="D35" s="30">
        <f t="shared" si="4"/>
        <v>3.0327112071884721</v>
      </c>
      <c r="F35" s="39">
        <v>0.22900000000000001</v>
      </c>
      <c r="G35" s="39">
        <v>4.72</v>
      </c>
      <c r="H35" s="40">
        <f>SQRT((2*C$15)/(C$7*C$17*F35))</f>
        <v>57.724509745779635</v>
      </c>
      <c r="I35" s="41">
        <f>C$15*SQRT((2*C$15)/(C$17*C$7*G35))</f>
        <v>83570.077530553579</v>
      </c>
      <c r="J35" s="41">
        <f>Q113</f>
        <v>11886.718574193201</v>
      </c>
      <c r="K35" s="41">
        <f t="shared" si="9"/>
        <v>-71683.358956360375</v>
      </c>
      <c r="L35" s="42">
        <f>K35/C$15</f>
        <v>-10.906227114634833</v>
      </c>
      <c r="M35" s="42">
        <f t="shared" ref="M35" si="10">DEGREES(ASIN(L35/H35))</f>
        <v>-10.890685916623209</v>
      </c>
      <c r="N35" s="42">
        <v>-1.3260000000000001</v>
      </c>
      <c r="P35" s="56">
        <f>'Nr(V)'!A35</f>
        <v>16.5</v>
      </c>
      <c r="Q35" s="53">
        <f>'Nr(V)'!G35</f>
        <v>18042.621180071099</v>
      </c>
    </row>
    <row r="36" spans="1:17" ht="16.2" thickBot="1" x14ac:dyDescent="0.3">
      <c r="A36" s="31">
        <v>15</v>
      </c>
      <c r="B36" s="24">
        <f>-K10*COS(C36+C37-C$3)+0.5*C$17*C$7*C$5*(C37-C$8)*I10^2*SIN(C36)+0.5*C$17*C$7*(C$11+1/PI()/C$10*C$5^2*(C37-C$8)^2)*I10^2*COS(C36)</f>
        <v>-6.5773770074883942E-7</v>
      </c>
      <c r="C36" s="32">
        <v>1.5366057470931609E-2</v>
      </c>
      <c r="D36" s="33">
        <f t="shared" si="4"/>
        <v>0.88041024083984887</v>
      </c>
      <c r="F36" s="58"/>
      <c r="G36" s="59"/>
      <c r="H36" s="60"/>
      <c r="I36" s="61"/>
      <c r="J36" s="61"/>
      <c r="K36" s="61"/>
      <c r="L36" s="59"/>
      <c r="M36" s="59"/>
      <c r="N36" s="59"/>
      <c r="P36" s="56">
        <f>'Nr(V)'!A36</f>
        <v>17</v>
      </c>
      <c r="Q36" s="53">
        <f>'Nr(V)'!G36</f>
        <v>18571.447859939599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3.4120347643228223E-2</v>
      </c>
      <c r="D37" s="36">
        <f t="shared" si="4"/>
        <v>1.9549519154761223</v>
      </c>
      <c r="F37" s="134" t="s">
        <v>197</v>
      </c>
      <c r="G37" s="135"/>
      <c r="H37" s="135"/>
      <c r="I37" s="135"/>
      <c r="J37" s="135"/>
      <c r="K37" s="135"/>
      <c r="L37" s="135"/>
      <c r="M37" s="135"/>
      <c r="N37" s="136"/>
      <c r="P37" s="56">
        <f>'Nr(V)'!A37</f>
        <v>17.5</v>
      </c>
      <c r="Q37" s="53">
        <f>'Nr(V)'!G37</f>
        <v>19041.6760430262</v>
      </c>
    </row>
    <row r="38" spans="1:17" ht="18.600000000000001" thickBot="1" x14ac:dyDescent="0.3">
      <c r="A38" s="23">
        <v>17</v>
      </c>
      <c r="B38" s="24">
        <f>-K11*COS(C38+C39-C$3)+0.5*C$17*C$7*C$5*(C39-C$8)*I11^2*SIN(C38)+0.5*C$17*C$7*(C$11+1/PI()/C$10*C$5^2*(C39-C$8)^2)*I11^2*COS(C38)</f>
        <v>-6.6546772359288298E-7</v>
      </c>
      <c r="C38" s="25">
        <v>4.9921869111736695E-3</v>
      </c>
      <c r="D38" s="26">
        <f t="shared" si="4"/>
        <v>0.28603124055070206</v>
      </c>
      <c r="F38" s="95" t="s">
        <v>1</v>
      </c>
      <c r="G38" s="95" t="s">
        <v>2</v>
      </c>
      <c r="H38" s="95" t="s">
        <v>76</v>
      </c>
      <c r="I38" s="95" t="s">
        <v>81</v>
      </c>
      <c r="J38" s="95" t="s">
        <v>77</v>
      </c>
      <c r="K38" s="95" t="s">
        <v>82</v>
      </c>
      <c r="L38" s="95" t="s">
        <v>80</v>
      </c>
      <c r="M38" s="95" t="s">
        <v>85</v>
      </c>
      <c r="N38" s="95" t="s">
        <v>79</v>
      </c>
      <c r="P38" s="56">
        <f>'Nr(V)'!A38</f>
        <v>18</v>
      </c>
      <c r="Q38" s="53">
        <f>'Nr(V)'!G38</f>
        <v>19746.928304604098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1.9397526291677729E-2</v>
      </c>
      <c r="D39" s="30">
        <f t="shared" si="4"/>
        <v>1.1113963895071846</v>
      </c>
      <c r="F39" s="98">
        <f t="shared" ref="F39:G51" si="11">F22</f>
        <v>1.5069999999999999</v>
      </c>
      <c r="G39" s="96">
        <f t="shared" si="11"/>
        <v>80.83</v>
      </c>
      <c r="H39" s="103">
        <f t="shared" ref="H39:H51" si="12">SQRT((2*C$2)/(C$7*C$17*F39))</f>
        <v>23.163977859925083</v>
      </c>
      <c r="I39" s="102">
        <f t="shared" ref="I39:I51" si="13">C$2*SQRT((2*C$2)/(C$17*C$7*G39))</f>
        <v>22029.814185045987</v>
      </c>
      <c r="J39" s="102">
        <f>Q48</f>
        <v>23212.835861199801</v>
      </c>
      <c r="K39" s="102">
        <f t="shared" ref="K39:K51" si="14">(J39-I39)</f>
        <v>1183.021676153814</v>
      </c>
      <c r="L39" s="104">
        <f t="shared" ref="L39:L51" si="15">K39/C$2</f>
        <v>0.16984991976480079</v>
      </c>
      <c r="M39" s="104">
        <f t="shared" ref="M39:M51" si="16">DEGREES(ASIN(L39/H39))</f>
        <v>0.42012519693585393</v>
      </c>
      <c r="N39" s="97">
        <f t="shared" ref="N39:N51" si="17">N22</f>
        <v>13.202</v>
      </c>
      <c r="P39" s="56">
        <f>'Nr(V)'!A39</f>
        <v>18.5</v>
      </c>
      <c r="Q39" s="53">
        <f>'Nr(V)'!G39</f>
        <v>20158.287951752998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-9.2711388788302429E-8</v>
      </c>
      <c r="C40" s="32">
        <v>-1.3790485385795803E-2</v>
      </c>
      <c r="D40" s="33">
        <f t="shared" si="4"/>
        <v>-0.79013661004294033</v>
      </c>
      <c r="F40" s="99">
        <f t="shared" si="11"/>
        <v>1.4</v>
      </c>
      <c r="G40" s="38">
        <f t="shared" si="11"/>
        <v>82.93</v>
      </c>
      <c r="H40" s="20">
        <f t="shared" si="12"/>
        <v>24.032876210586359</v>
      </c>
      <c r="I40" s="21">
        <f t="shared" si="13"/>
        <v>21749.100030868445</v>
      </c>
      <c r="J40" s="21">
        <f>Q50</f>
        <v>23799.990998694801</v>
      </c>
      <c r="K40" s="21">
        <f t="shared" si="14"/>
        <v>2050.8909678263553</v>
      </c>
      <c r="L40" s="18">
        <f t="shared" si="15"/>
        <v>0.29445247991074863</v>
      </c>
      <c r="M40" s="18">
        <f t="shared" si="16"/>
        <v>0.70200946142209064</v>
      </c>
      <c r="N40" s="19">
        <f t="shared" si="17"/>
        <v>11.19</v>
      </c>
      <c r="P40" s="56">
        <f>'Nr(V)'!A40</f>
        <v>19</v>
      </c>
      <c r="Q40" s="53">
        <f>'Nr(V)'!G40</f>
        <v>20628.426121787601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7.650286299737615E-3</v>
      </c>
      <c r="D41" s="36">
        <f t="shared" si="4"/>
        <v>0.43832911704172084</v>
      </c>
      <c r="F41" s="99">
        <f t="shared" si="11"/>
        <v>1.2976294821560448</v>
      </c>
      <c r="G41" s="38">
        <f t="shared" si="11"/>
        <v>83.61</v>
      </c>
      <c r="H41" s="20">
        <f t="shared" si="12"/>
        <v>24.962864263510433</v>
      </c>
      <c r="I41" s="21">
        <f t="shared" si="13"/>
        <v>21660.476771417991</v>
      </c>
      <c r="J41" s="21">
        <f>Q52</f>
        <v>24505.018227642999</v>
      </c>
      <c r="K41" s="21">
        <f t="shared" si="14"/>
        <v>2844.541456225008</v>
      </c>
      <c r="L41" s="18">
        <f t="shared" si="15"/>
        <v>0.40839922703550674</v>
      </c>
      <c r="M41" s="18">
        <f t="shared" si="16"/>
        <v>0.93741630737251191</v>
      </c>
      <c r="N41" s="19">
        <f t="shared" si="17"/>
        <v>9.6229999999999993</v>
      </c>
      <c r="P41" s="56">
        <f>'Nr(V)'!A41</f>
        <v>19.5</v>
      </c>
      <c r="Q41" s="53">
        <f>'Nr(V)'!G41</f>
        <v>20922.1387101129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-9.8183056707057403E-7</v>
      </c>
      <c r="C42" s="25">
        <v>-3.3601348265107966E-2</v>
      </c>
      <c r="D42" s="26">
        <f t="shared" si="4"/>
        <v>-1.9252154415399172</v>
      </c>
      <c r="F42" s="99">
        <f t="shared" si="11"/>
        <v>1.1970000000000001</v>
      </c>
      <c r="G42" s="38">
        <f t="shared" si="11"/>
        <v>82.42</v>
      </c>
      <c r="H42" s="20">
        <f t="shared" si="12"/>
        <v>25.990982218273427</v>
      </c>
      <c r="I42" s="21">
        <f t="shared" si="13"/>
        <v>21816.285999172389</v>
      </c>
      <c r="J42" s="21">
        <f>Q54</f>
        <v>25445.024528556602</v>
      </c>
      <c r="K42" s="21">
        <f t="shared" si="14"/>
        <v>3628.7385293842126</v>
      </c>
      <c r="L42" s="18">
        <f t="shared" si="15"/>
        <v>0.52098871938438962</v>
      </c>
      <c r="M42" s="18">
        <f t="shared" si="16"/>
        <v>1.148569680707739</v>
      </c>
      <c r="N42" s="19">
        <f t="shared" si="17"/>
        <v>8.0570000000000004</v>
      </c>
      <c r="P42" s="56">
        <f>'Nr(V)'!A42</f>
        <v>20</v>
      </c>
      <c r="Q42" s="53">
        <f>'Nr(V)'!G42</f>
        <v>21450.965389981498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1.0614391480460428E-3</v>
      </c>
      <c r="D43" s="30">
        <f t="shared" si="4"/>
        <v>6.0815983393000018E-2</v>
      </c>
      <c r="F43" s="99">
        <f t="shared" si="11"/>
        <v>0.99199999999999999</v>
      </c>
      <c r="G43" s="38">
        <f t="shared" si="11"/>
        <v>77.64</v>
      </c>
      <c r="H43" s="20">
        <f t="shared" si="12"/>
        <v>28.550513994135894</v>
      </c>
      <c r="I43" s="21">
        <f t="shared" si="13"/>
        <v>22477.828848047528</v>
      </c>
      <c r="J43" s="21">
        <f>Q59</f>
        <v>26736.801836266201</v>
      </c>
      <c r="K43" s="21">
        <f t="shared" si="14"/>
        <v>4258.972988218673</v>
      </c>
      <c r="L43" s="18">
        <f t="shared" si="15"/>
        <v>0.61147334398912767</v>
      </c>
      <c r="M43" s="18">
        <f t="shared" si="16"/>
        <v>1.2272115612237349</v>
      </c>
      <c r="N43" s="19">
        <f t="shared" si="17"/>
        <v>6.1870000000000003</v>
      </c>
      <c r="P43" s="56">
        <f>'Nr(V)'!A43</f>
        <v>20.5</v>
      </c>
      <c r="Q43" s="53">
        <f>'Nr(V)'!G43</f>
        <v>21803.5015077186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-2.7515784495335538E-7</v>
      </c>
      <c r="C44" s="32">
        <v>-5.3129649005486661E-2</v>
      </c>
      <c r="D44" s="33">
        <f t="shared" si="4"/>
        <v>-3.0441046550258171</v>
      </c>
      <c r="F44" s="99">
        <f t="shared" si="11"/>
        <v>0.89051118930908912</v>
      </c>
      <c r="G44" s="38">
        <f t="shared" si="11"/>
        <v>71.59</v>
      </c>
      <c r="H44" s="20">
        <f t="shared" si="12"/>
        <v>30.133534631454381</v>
      </c>
      <c r="I44" s="21">
        <f t="shared" si="13"/>
        <v>23408.357537394215</v>
      </c>
      <c r="J44" s="21">
        <f>Q62</f>
        <v>27676.4480849723</v>
      </c>
      <c r="K44" s="21">
        <f t="shared" si="14"/>
        <v>4268.0905475780855</v>
      </c>
      <c r="L44" s="18">
        <f t="shared" si="15"/>
        <v>0.61278237894331533</v>
      </c>
      <c r="M44" s="18">
        <f t="shared" si="16"/>
        <v>1.1652222287276572</v>
      </c>
      <c r="N44" s="19">
        <f t="shared" si="17"/>
        <v>5.3460000000000001</v>
      </c>
      <c r="P44" s="56">
        <f>'Nr(V)'!A44</f>
        <v>21</v>
      </c>
      <c r="Q44" s="53">
        <f>'Nr(V)'!G44</f>
        <v>22214.726135289598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-4.7238112895666481E-3</v>
      </c>
      <c r="D45" s="36">
        <f t="shared" si="4"/>
        <v>-0.27065445010841976</v>
      </c>
      <c r="F45" s="99">
        <f t="shared" si="11"/>
        <v>0.78877734406717104</v>
      </c>
      <c r="G45" s="38">
        <f t="shared" si="11"/>
        <v>62.64</v>
      </c>
      <c r="H45" s="20">
        <f t="shared" si="12"/>
        <v>32.017878581504775</v>
      </c>
      <c r="I45" s="21">
        <f t="shared" si="13"/>
        <v>25024.836511620866</v>
      </c>
      <c r="J45" s="21">
        <f>Q66</f>
        <v>28733.3363337683</v>
      </c>
      <c r="K45" s="21">
        <f t="shared" si="14"/>
        <v>3708.4998221474343</v>
      </c>
      <c r="L45" s="18">
        <f t="shared" si="15"/>
        <v>0.53244028400847565</v>
      </c>
      <c r="M45" s="18">
        <f t="shared" si="16"/>
        <v>0.95284224587338229</v>
      </c>
      <c r="N45" s="19">
        <f t="shared" si="17"/>
        <v>4.1539999999999999</v>
      </c>
      <c r="P45" s="56">
        <f>'Nr(V)'!A45</f>
        <v>21.5</v>
      </c>
      <c r="Q45" s="53">
        <f>'Nr(V)'!G45</f>
        <v>22684.729285746402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-3.2025127438828349E-8</v>
      </c>
      <c r="C46" s="25">
        <v>-7.4516449841841692E-2</v>
      </c>
      <c r="D46" s="26">
        <f t="shared" si="4"/>
        <v>-4.2694780802358201</v>
      </c>
      <c r="F46" s="99">
        <f t="shared" si="11"/>
        <v>0.68820194072740959</v>
      </c>
      <c r="G46" s="38">
        <f t="shared" si="11"/>
        <v>51.95</v>
      </c>
      <c r="H46" s="20">
        <f t="shared" si="12"/>
        <v>34.277711628182438</v>
      </c>
      <c r="I46" s="21">
        <f t="shared" si="13"/>
        <v>27479.216608366634</v>
      </c>
      <c r="J46" s="21">
        <f>Q71</f>
        <v>30495.431837616401</v>
      </c>
      <c r="K46" s="21">
        <f t="shared" si="14"/>
        <v>3016.2152292497667</v>
      </c>
      <c r="L46" s="18">
        <f t="shared" si="15"/>
        <v>0.43304693819898732</v>
      </c>
      <c r="M46" s="18">
        <f t="shared" si="16"/>
        <v>0.72386459807098513</v>
      </c>
      <c r="N46" s="19">
        <f t="shared" si="17"/>
        <v>3.0790000000000002</v>
      </c>
      <c r="P46" s="56">
        <f>'Nr(V)'!A46</f>
        <v>22</v>
      </c>
      <c r="Q46" s="53">
        <f>'Nr(V)'!G46</f>
        <v>22801.926279310399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7.2759576141834259E-12</v>
      </c>
      <c r="C47" s="29">
        <v>-9.8416251065273613E-3</v>
      </c>
      <c r="D47" s="30">
        <f t="shared" si="4"/>
        <v>-0.56388358215400702</v>
      </c>
      <c r="F47" s="99">
        <f t="shared" si="11"/>
        <v>0.58038845302154896</v>
      </c>
      <c r="G47" s="38">
        <f t="shared" si="11"/>
        <v>39.369999999999997</v>
      </c>
      <c r="H47" s="20">
        <f t="shared" si="12"/>
        <v>37.325908370161024</v>
      </c>
      <c r="I47" s="21">
        <f t="shared" si="13"/>
        <v>31565.626688944685</v>
      </c>
      <c r="J47" s="21">
        <f>Q77</f>
        <v>32139.7002565371</v>
      </c>
      <c r="K47" s="21">
        <f t="shared" si="14"/>
        <v>574.0735675924152</v>
      </c>
      <c r="L47" s="18">
        <f t="shared" si="15"/>
        <v>8.2421439403944696E-2</v>
      </c>
      <c r="M47" s="18">
        <f t="shared" si="16"/>
        <v>0.12651813882510657</v>
      </c>
      <c r="N47" s="19">
        <f t="shared" si="17"/>
        <v>2.073</v>
      </c>
      <c r="P47" s="56">
        <f>'Nr(V)'!A47</f>
        <v>22.5</v>
      </c>
      <c r="Q47" s="53">
        <f>'Nr(V)'!G47</f>
        <v>23095.6388676358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-2.0064317141077481E-7</v>
      </c>
      <c r="C48" s="32">
        <v>-9.9391190030390375E-2</v>
      </c>
      <c r="D48" s="33">
        <f t="shared" si="4"/>
        <v>-5.6946957095241126</v>
      </c>
      <c r="F48" s="99">
        <f t="shared" si="11"/>
        <v>0.483331925835703</v>
      </c>
      <c r="G48" s="38">
        <f t="shared" si="11"/>
        <v>27.9</v>
      </c>
      <c r="H48" s="20">
        <f t="shared" si="12"/>
        <v>40.902233711907023</v>
      </c>
      <c r="I48" s="21">
        <f t="shared" si="13"/>
        <v>37496.870404187473</v>
      </c>
      <c r="J48" s="21">
        <f>Q84</f>
        <v>33606.822989333399</v>
      </c>
      <c r="K48" s="21">
        <f t="shared" si="14"/>
        <v>-3890.0474148540743</v>
      </c>
      <c r="L48" s="18">
        <f t="shared" si="15"/>
        <v>-0.55850560865659848</v>
      </c>
      <c r="M48" s="18">
        <f t="shared" si="16"/>
        <v>-0.78237802161540659</v>
      </c>
      <c r="N48" s="19">
        <f t="shared" si="17"/>
        <v>1.2330000000000001</v>
      </c>
      <c r="P48" s="56">
        <f>'Nr(V)'!A48</f>
        <v>23</v>
      </c>
      <c r="Q48" s="53">
        <f>'Nr(V)'!G48</f>
        <v>23212.835861199801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-1.4409951425328034E-2</v>
      </c>
      <c r="D49" s="36">
        <f t="shared" si="4"/>
        <v>-0.82562939965982141</v>
      </c>
      <c r="F49" s="99">
        <f t="shared" si="11"/>
        <v>0.38026543690183146</v>
      </c>
      <c r="G49" s="38">
        <f t="shared" si="11"/>
        <v>16.61</v>
      </c>
      <c r="H49" s="20">
        <f t="shared" si="12"/>
        <v>46.113314650928544</v>
      </c>
      <c r="I49" s="21">
        <f t="shared" si="13"/>
        <v>48597.318583554093</v>
      </c>
      <c r="J49" s="21">
        <f>Q94</f>
        <v>29072.550519825301</v>
      </c>
      <c r="K49" s="21">
        <f t="shared" si="14"/>
        <v>-19524.768063728792</v>
      </c>
      <c r="L49" s="18">
        <f t="shared" si="15"/>
        <v>-2.8032286777977045</v>
      </c>
      <c r="M49" s="18">
        <f t="shared" si="16"/>
        <v>-3.4851595606792283</v>
      </c>
      <c r="N49" s="19">
        <f t="shared" si="17"/>
        <v>0.39200000000000002</v>
      </c>
      <c r="P49" s="56">
        <f>'Nr(V)'!A49</f>
        <v>23.5</v>
      </c>
      <c r="Q49" s="53">
        <f>'Nr(V)'!G49</f>
        <v>23447.589900535499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-5.6087174016283825E-8</v>
      </c>
      <c r="C50" s="25">
        <v>-0.12347006996989703</v>
      </c>
      <c r="D50" s="26">
        <f t="shared" si="4"/>
        <v>-7.074313905460067</v>
      </c>
      <c r="F50" s="99">
        <f t="shared" si="11"/>
        <v>0.33400000000000002</v>
      </c>
      <c r="G50" s="38">
        <f t="shared" si="11"/>
        <v>12.24</v>
      </c>
      <c r="H50" s="20">
        <f t="shared" si="12"/>
        <v>49.203560875190192</v>
      </c>
      <c r="I50" s="21">
        <f t="shared" si="13"/>
        <v>56611.728410546799</v>
      </c>
      <c r="J50" s="21">
        <f>Q100</f>
        <v>24540.258337458901</v>
      </c>
      <c r="K50" s="21">
        <f t="shared" si="14"/>
        <v>-32071.470073087898</v>
      </c>
      <c r="L50" s="18">
        <f t="shared" si="15"/>
        <v>-4.6045957808341438</v>
      </c>
      <c r="M50" s="18">
        <f t="shared" si="16"/>
        <v>-5.3697437162814774</v>
      </c>
      <c r="N50" s="19">
        <f t="shared" si="17"/>
        <v>-0.13300000000000001</v>
      </c>
      <c r="P50" s="56">
        <f>'Nr(V)'!A50</f>
        <v>24</v>
      </c>
      <c r="Q50" s="53">
        <f>'Nr(V)'!G50</f>
        <v>23799.990998694801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-1.8487281531471344E-2</v>
      </c>
      <c r="D51" s="30">
        <f t="shared" si="4"/>
        <v>-1.0592432064234609</v>
      </c>
      <c r="F51" s="99">
        <f t="shared" si="11"/>
        <v>0.27900000000000003</v>
      </c>
      <c r="G51" s="38">
        <f t="shared" si="11"/>
        <v>7.83</v>
      </c>
      <c r="H51" s="20">
        <f t="shared" si="12"/>
        <v>53.835365470973102</v>
      </c>
      <c r="I51" s="21">
        <f t="shared" si="13"/>
        <v>70780.926381807294</v>
      </c>
      <c r="J51" s="21">
        <f>Q110</f>
        <v>15182.321436608299</v>
      </c>
      <c r="K51" s="21">
        <f t="shared" si="14"/>
        <v>-55598.604945198997</v>
      </c>
      <c r="L51" s="18">
        <f t="shared" si="15"/>
        <v>-7.982456094700578</v>
      </c>
      <c r="M51" s="18">
        <f t="shared" si="16"/>
        <v>-8.5269920930374905</v>
      </c>
      <c r="N51" s="19">
        <f t="shared" si="17"/>
        <v>-0.8</v>
      </c>
      <c r="P51" s="56">
        <f>'Nr(V)'!A51</f>
        <v>24.5</v>
      </c>
      <c r="Q51" s="53">
        <f>'Nr(V)'!G51</f>
        <v>24211.260632791698</v>
      </c>
    </row>
    <row r="52" spans="1:17" ht="16.2" thickBot="1" x14ac:dyDescent="0.3">
      <c r="P52" s="56">
        <f>'Nr(V)'!A52</f>
        <v>25</v>
      </c>
      <c r="Q52" s="53">
        <f>'Nr(V)'!G52</f>
        <v>24505.018227642999</v>
      </c>
    </row>
    <row r="53" spans="1:17" ht="18.600000000000001" thickBot="1" x14ac:dyDescent="0.3">
      <c r="I53" s="134" t="s">
        <v>196</v>
      </c>
      <c r="J53" s="135"/>
      <c r="K53" s="135"/>
      <c r="L53" s="135"/>
      <c r="M53" s="135"/>
      <c r="N53" s="136"/>
      <c r="P53" s="56">
        <f>'Nr(V)'!A53</f>
        <v>25.5</v>
      </c>
      <c r="Q53" s="53">
        <f>'Nr(V)'!G53</f>
        <v>24798.5957963904</v>
      </c>
    </row>
    <row r="54" spans="1:17" ht="18.600000000000001" thickBot="1" x14ac:dyDescent="0.3">
      <c r="D54" s="56" t="s">
        <v>149</v>
      </c>
      <c r="E54" s="56" t="s">
        <v>150</v>
      </c>
      <c r="F54" s="14" t="s">
        <v>151</v>
      </c>
      <c r="G54" s="14" t="s">
        <v>152</v>
      </c>
      <c r="I54" s="100" t="s">
        <v>76</v>
      </c>
      <c r="J54" s="100" t="s">
        <v>77</v>
      </c>
      <c r="K54" s="100" t="s">
        <v>78</v>
      </c>
      <c r="L54" s="100" t="s">
        <v>79</v>
      </c>
      <c r="M54" s="100" t="s">
        <v>85</v>
      </c>
      <c r="N54" s="100" t="s">
        <v>80</v>
      </c>
      <c r="P54" s="56">
        <f>'Nr(V)'!A54</f>
        <v>26</v>
      </c>
      <c r="Q54" s="53">
        <f>'Nr(V)'!G54</f>
        <v>25445.024528556602</v>
      </c>
    </row>
    <row r="55" spans="1:17" ht="15.6" x14ac:dyDescent="0.25">
      <c r="D55" s="24">
        <f t="shared" ref="D55:D69" si="18">-K55*COS(E55+F55-C$3)+0.5*C$17*C$7*C$5*(F55-C$8)*I55^2*SIN(E55)+0.5*C$17*C$7*(C$11+1/PI()/C$10*C$5^2*(F55-C$8)^2)*I55^2*COS(E55)</f>
        <v>-2.4142071856658731E-4</v>
      </c>
      <c r="E55" s="25">
        <v>1.2546963840640524E-2</v>
      </c>
      <c r="F55" s="29">
        <v>0.18555939882365532</v>
      </c>
      <c r="G55" s="28">
        <f t="shared" ref="G55:G69" si="19">K55*SIN(E55+F55-C$3)+0.5*C$17*C$7*C$5*(F55-C$8)*I55^2*COS(E55)-0.5*C$17*C$7*(C$11+1/PI()/C$10*C$5^2*(F55-C$8)^2)*I55^2*SIN(E55)-C$2</f>
        <v>-2.5071123673114926E-5</v>
      </c>
      <c r="I55" s="103">
        <f>SQRT(2*C$2/C$7/C$16/C17)</f>
        <v>23.163977859925087</v>
      </c>
      <c r="J55" s="102">
        <f>Q48</f>
        <v>23212.835861199801</v>
      </c>
      <c r="K55" s="102">
        <f t="shared" ref="K55:K69" si="20">J55/I55</f>
        <v>1002.1092232763373</v>
      </c>
      <c r="L55" s="104">
        <f t="shared" ref="L55:L69" si="21">DEGREES(F55)</f>
        <v>10.631770401580264</v>
      </c>
      <c r="M55" s="104">
        <f t="shared" ref="M55:M69" si="22">DEGREES(E55)</f>
        <v>0.71888807377195607</v>
      </c>
      <c r="N55" s="104">
        <f t="shared" ref="N55:N69" si="23">I55*SIN(RADIANS(M55))</f>
        <v>0.29062996700701549</v>
      </c>
      <c r="P55" s="56">
        <f>'Nr(V)'!A55</f>
        <v>26.5</v>
      </c>
      <c r="Q55" s="53">
        <f>'Nr(V)'!G55</f>
        <v>25679.9585939961</v>
      </c>
    </row>
    <row r="56" spans="1:17" ht="15.6" x14ac:dyDescent="0.25">
      <c r="D56" s="24">
        <f t="shared" si="18"/>
        <v>6.3603392845834605E-6</v>
      </c>
      <c r="E56" s="32">
        <v>1.384338860041863E-2</v>
      </c>
      <c r="F56" s="35">
        <v>0.17866618274218066</v>
      </c>
      <c r="G56" s="28">
        <f t="shared" si="19"/>
        <v>-1.2127053923904896E-4</v>
      </c>
      <c r="I56" s="20">
        <v>23.5</v>
      </c>
      <c r="J56" s="21">
        <f>Q49</f>
        <v>23447.589900535499</v>
      </c>
      <c r="K56" s="21">
        <f t="shared" si="20"/>
        <v>997.76978300151063</v>
      </c>
      <c r="L56" s="18">
        <f t="shared" si="21"/>
        <v>10.236818212840056</v>
      </c>
      <c r="M56" s="18">
        <f t="shared" si="22"/>
        <v>0.79316774096350307</v>
      </c>
      <c r="N56" s="18">
        <f t="shared" si="23"/>
        <v>0.32530924153245228</v>
      </c>
      <c r="P56" s="56">
        <f>'Nr(V)'!A56</f>
        <v>27</v>
      </c>
      <c r="Q56" s="53">
        <f>'Nr(V)'!G56</f>
        <v>25914.712633331801</v>
      </c>
    </row>
    <row r="57" spans="1:17" ht="15.6" x14ac:dyDescent="0.25">
      <c r="D57" s="24">
        <f t="shared" si="18"/>
        <v>-5.0411680945217086E-5</v>
      </c>
      <c r="E57" s="25">
        <v>1.5594717453128079E-2</v>
      </c>
      <c r="F57" s="29">
        <v>0.16891104404185206</v>
      </c>
      <c r="G57" s="28">
        <f t="shared" si="19"/>
        <v>-1.2732925824820995E-11</v>
      </c>
      <c r="I57" s="20">
        <f t="shared" ref="I57:I69" si="24">I5</f>
        <v>24</v>
      </c>
      <c r="J57" s="21">
        <f>Q50</f>
        <v>23799.990998694801</v>
      </c>
      <c r="K57" s="21">
        <f t="shared" si="20"/>
        <v>991.66629161228332</v>
      </c>
      <c r="L57" s="18">
        <f t="shared" si="21"/>
        <v>9.6778899367464923</v>
      </c>
      <c r="M57" s="18">
        <f t="shared" si="22"/>
        <v>0.89351149276324315</v>
      </c>
      <c r="N57" s="18">
        <f t="shared" si="23"/>
        <v>0.37425804881704339</v>
      </c>
      <c r="P57" s="56">
        <f>'Nr(V)'!A57</f>
        <v>27.5</v>
      </c>
      <c r="Q57" s="53">
        <f>'Nr(V)'!G57</f>
        <v>26031.999639947699</v>
      </c>
    </row>
    <row r="58" spans="1:17" ht="15.6" x14ac:dyDescent="0.25">
      <c r="D58" s="24">
        <f t="shared" si="18"/>
        <v>-3.8035203715480748E-5</v>
      </c>
      <c r="E58" s="32">
        <v>2.1849938859450514E-2</v>
      </c>
      <c r="F58" s="35">
        <v>0.13507200803246147</v>
      </c>
      <c r="G58" s="28">
        <f t="shared" si="19"/>
        <v>-1.3642420526593924E-11</v>
      </c>
      <c r="I58" s="20">
        <f t="shared" si="24"/>
        <v>26</v>
      </c>
      <c r="J58" s="21">
        <f>Q54</f>
        <v>25445.024528556602</v>
      </c>
      <c r="K58" s="21">
        <f t="shared" si="20"/>
        <v>978.6547895598693</v>
      </c>
      <c r="L58" s="18">
        <f t="shared" si="21"/>
        <v>7.7390559906171967</v>
      </c>
      <c r="M58" s="18">
        <f t="shared" si="22"/>
        <v>1.2519092792654061</v>
      </c>
      <c r="N58" s="18">
        <f t="shared" si="23"/>
        <v>0.56805320785051416</v>
      </c>
      <c r="P58" s="56">
        <f>'Nr(V)'!A58</f>
        <v>28</v>
      </c>
      <c r="Q58" s="53">
        <f>'Nr(V)'!G58</f>
        <v>26619.739862279999</v>
      </c>
    </row>
    <row r="59" spans="1:17" ht="15.6" x14ac:dyDescent="0.25">
      <c r="D59" s="24">
        <f t="shared" si="18"/>
        <v>-6.8053338964091381E-7</v>
      </c>
      <c r="E59" s="25">
        <v>2.3349006303502076E-2</v>
      </c>
      <c r="F59" s="29">
        <v>0.10800785838321446</v>
      </c>
      <c r="G59" s="28">
        <f t="shared" si="19"/>
        <v>2.8185240807943046E-9</v>
      </c>
      <c r="I59" s="20">
        <f t="shared" si="24"/>
        <v>28</v>
      </c>
      <c r="J59" s="21">
        <f>Q59</f>
        <v>26736.801836266201</v>
      </c>
      <c r="K59" s="21">
        <f t="shared" si="20"/>
        <v>954.88577986665007</v>
      </c>
      <c r="L59" s="18">
        <f t="shared" si="21"/>
        <v>6.1883944396048758</v>
      </c>
      <c r="M59" s="18">
        <f t="shared" si="22"/>
        <v>1.3377995170150243</v>
      </c>
      <c r="N59" s="18">
        <f t="shared" si="23"/>
        <v>0.65371277462356558</v>
      </c>
      <c r="P59" s="56">
        <f>'Nr(V)'!A59</f>
        <v>28.5</v>
      </c>
      <c r="Q59" s="53">
        <f>'Nr(V)'!G59</f>
        <v>26736.801836266201</v>
      </c>
    </row>
    <row r="60" spans="1:17" ht="15.6" x14ac:dyDescent="0.25">
      <c r="D60" s="24">
        <f t="shared" si="18"/>
        <v>2.9254506216602749E-5</v>
      </c>
      <c r="E60" s="32">
        <v>2.1108854361457027E-2</v>
      </c>
      <c r="F60" s="35">
        <v>8.6022164455245423E-2</v>
      </c>
      <c r="G60" s="28">
        <f t="shared" si="19"/>
        <v>1.9099388737231493E-11</v>
      </c>
      <c r="I60" s="20">
        <f t="shared" si="24"/>
        <v>30</v>
      </c>
      <c r="J60" s="21">
        <f>Q62</f>
        <v>27676.4480849723</v>
      </c>
      <c r="K60" s="21">
        <f t="shared" si="20"/>
        <v>922.5482694990767</v>
      </c>
      <c r="L60" s="18">
        <f t="shared" si="21"/>
        <v>4.9287069678658488</v>
      </c>
      <c r="M60" s="18">
        <f t="shared" si="22"/>
        <v>1.209448265267808</v>
      </c>
      <c r="N60" s="18">
        <f t="shared" si="23"/>
        <v>0.63321860308089239</v>
      </c>
      <c r="P60" s="56">
        <f>'Nr(V)'!A60</f>
        <v>29</v>
      </c>
      <c r="Q60" s="53">
        <f>'Nr(V)'!G60</f>
        <v>26912.822359242</v>
      </c>
    </row>
    <row r="61" spans="1:17" ht="15.6" x14ac:dyDescent="0.25">
      <c r="D61" s="24">
        <f t="shared" si="18"/>
        <v>4.3715066340155317E-6</v>
      </c>
      <c r="E61" s="25">
        <v>1.6958683228242014E-2</v>
      </c>
      <c r="F61" s="29">
        <v>6.0004159365160376E-2</v>
      </c>
      <c r="G61" s="28">
        <f t="shared" si="19"/>
        <v>0</v>
      </c>
      <c r="I61" s="20">
        <f t="shared" si="24"/>
        <v>33</v>
      </c>
      <c r="J61" s="21">
        <f>Q68</f>
        <v>29497.052072550501</v>
      </c>
      <c r="K61" s="21">
        <f t="shared" si="20"/>
        <v>893.85006280456059</v>
      </c>
      <c r="L61" s="18">
        <f t="shared" si="21"/>
        <v>3.4379850848540827</v>
      </c>
      <c r="M61" s="18">
        <f t="shared" si="22"/>
        <v>0.97166097507756155</v>
      </c>
      <c r="N61" s="18">
        <f t="shared" si="23"/>
        <v>0.55960972195830205</v>
      </c>
      <c r="P61" s="56">
        <f>'Nr(V)'!A61</f>
        <v>29.5</v>
      </c>
      <c r="Q61" s="53">
        <f>'Nr(V)'!G61</f>
        <v>27500.4725685224</v>
      </c>
    </row>
    <row r="62" spans="1:17" ht="15.6" x14ac:dyDescent="0.25">
      <c r="D62" s="24">
        <f t="shared" si="18"/>
        <v>1.7085297258745413E-5</v>
      </c>
      <c r="E62" s="32">
        <v>9.8136032884739138E-3</v>
      </c>
      <c r="F62" s="35">
        <v>4.0074955011883372E-2</v>
      </c>
      <c r="G62" s="28">
        <f t="shared" si="19"/>
        <v>1.0004441719502211E-11</v>
      </c>
      <c r="I62" s="20">
        <f t="shared" si="24"/>
        <v>36</v>
      </c>
      <c r="J62" s="21">
        <f>Q74</f>
        <v>31259.0125568207</v>
      </c>
      <c r="K62" s="21">
        <f t="shared" si="20"/>
        <v>868.30590435613055</v>
      </c>
      <c r="L62" s="18">
        <f t="shared" si="21"/>
        <v>2.296125786357563</v>
      </c>
      <c r="M62" s="18">
        <f t="shared" si="22"/>
        <v>0.56227805024526101</v>
      </c>
      <c r="N62" s="18">
        <f t="shared" si="23"/>
        <v>0.35328404771143246</v>
      </c>
      <c r="P62" s="56">
        <f>'Nr(V)'!A62</f>
        <v>30</v>
      </c>
      <c r="Q62" s="53">
        <f>'Nr(V)'!G62</f>
        <v>27676.4480849723</v>
      </c>
    </row>
    <row r="63" spans="1:17" ht="15.6" x14ac:dyDescent="0.25">
      <c r="D63" s="24">
        <f t="shared" si="18"/>
        <v>2.8611244829335192E-5</v>
      </c>
      <c r="E63" s="25">
        <v>7.1420759748793046E-4</v>
      </c>
      <c r="F63" s="29">
        <v>2.4477818121186802E-2</v>
      </c>
      <c r="G63" s="28">
        <f t="shared" si="19"/>
        <v>5.0022208597511053E-11</v>
      </c>
      <c r="I63" s="20">
        <f t="shared" si="24"/>
        <v>39</v>
      </c>
      <c r="J63" s="21">
        <f>Q80</f>
        <v>33079.481524821</v>
      </c>
      <c r="K63" s="21">
        <f t="shared" si="20"/>
        <v>848.19183396976928</v>
      </c>
      <c r="L63" s="18">
        <f t="shared" si="21"/>
        <v>1.40247567003285</v>
      </c>
      <c r="M63" s="18">
        <f t="shared" si="22"/>
        <v>4.0921081032236711E-2</v>
      </c>
      <c r="N63" s="18">
        <f t="shared" si="23"/>
        <v>2.7854093934001779E-2</v>
      </c>
      <c r="P63" s="56">
        <f>'Nr(V)'!A63</f>
        <v>30.5</v>
      </c>
      <c r="Q63" s="53">
        <f>'Nr(V)'!G63</f>
        <v>27734.821549124601</v>
      </c>
    </row>
    <row r="64" spans="1:17" ht="15.6" x14ac:dyDescent="0.25">
      <c r="D64" s="24">
        <f t="shared" si="18"/>
        <v>-3.6238475331629161E-8</v>
      </c>
      <c r="E64" s="32">
        <v>-1.6462531395464799E-2</v>
      </c>
      <c r="F64" s="35">
        <v>1.2035891928475602E-2</v>
      </c>
      <c r="G64" s="28">
        <f t="shared" si="19"/>
        <v>0</v>
      </c>
      <c r="I64" s="20">
        <f t="shared" si="24"/>
        <v>42</v>
      </c>
      <c r="J64" s="21">
        <f>Q86</f>
        <v>33076.421081056702</v>
      </c>
      <c r="K64" s="21">
        <f t="shared" si="20"/>
        <v>787.53383526325479</v>
      </c>
      <c r="L64" s="18">
        <f t="shared" si="21"/>
        <v>0.68960581017722533</v>
      </c>
      <c r="M64" s="18">
        <f t="shared" si="22"/>
        <v>-0.9432335690617466</v>
      </c>
      <c r="N64" s="18">
        <f t="shared" si="23"/>
        <v>-0.6913950878890216</v>
      </c>
      <c r="P64" s="56">
        <f>'Nr(V)'!A64</f>
        <v>31</v>
      </c>
      <c r="Q64" s="53">
        <f>'Nr(V)'!G64</f>
        <v>28146.091183221499</v>
      </c>
    </row>
    <row r="65" spans="4:17" ht="15.6" x14ac:dyDescent="0.25">
      <c r="D65" s="24">
        <f t="shared" si="18"/>
        <v>-5.0403189106873469E-6</v>
      </c>
      <c r="E65" s="25">
        <v>-3.4853181531987097E-2</v>
      </c>
      <c r="F65" s="29">
        <v>5.0618126294485798E-3</v>
      </c>
      <c r="G65" s="28">
        <f t="shared" si="19"/>
        <v>0</v>
      </c>
      <c r="I65" s="20">
        <f t="shared" si="24"/>
        <v>44</v>
      </c>
      <c r="J65" s="21">
        <f>Q90</f>
        <v>31074.485800441002</v>
      </c>
      <c r="K65" s="21">
        <f t="shared" si="20"/>
        <v>706.23831364638636</v>
      </c>
      <c r="L65" s="18">
        <f t="shared" si="21"/>
        <v>0.29002050035342131</v>
      </c>
      <c r="M65" s="18">
        <f t="shared" si="22"/>
        <v>-1.9969402043861655</v>
      </c>
      <c r="N65" s="18">
        <f t="shared" si="23"/>
        <v>-1.5332295297807574</v>
      </c>
      <c r="P65" s="56">
        <f>'Nr(V)'!A65</f>
        <v>31.5</v>
      </c>
      <c r="Q65" s="53">
        <f>'Nr(V)'!G65</f>
        <v>28381.070255187002</v>
      </c>
    </row>
    <row r="66" spans="4:17" ht="15.6" x14ac:dyDescent="0.25">
      <c r="D66" s="24">
        <f t="shared" si="18"/>
        <v>6.8766280492127407E-7</v>
      </c>
      <c r="E66" s="32">
        <v>-5.3015212282341795E-2</v>
      </c>
      <c r="F66" s="35">
        <v>-1.0588651050664336E-3</v>
      </c>
      <c r="G66" s="28">
        <f t="shared" si="19"/>
        <v>0</v>
      </c>
      <c r="I66" s="20">
        <f t="shared" si="24"/>
        <v>46</v>
      </c>
      <c r="J66" s="21">
        <f>Q94</f>
        <v>29072.550519825301</v>
      </c>
      <c r="K66" s="21">
        <f t="shared" si="20"/>
        <v>632.01196782228919</v>
      </c>
      <c r="L66" s="18">
        <f t="shared" si="21"/>
        <v>-6.0668501593983126E-2</v>
      </c>
      <c r="M66" s="18">
        <f t="shared" si="22"/>
        <v>-3.0375479137683095</v>
      </c>
      <c r="N66" s="18">
        <f t="shared" si="23"/>
        <v>-2.4375575520800674</v>
      </c>
      <c r="P66" s="56">
        <f>'Nr(V)'!A66</f>
        <v>32</v>
      </c>
      <c r="Q66" s="53">
        <f>'Nr(V)'!G66</f>
        <v>28733.3363337683</v>
      </c>
    </row>
    <row r="67" spans="4:17" ht="15.6" x14ac:dyDescent="0.25">
      <c r="D67" s="24">
        <f t="shared" si="18"/>
        <v>2.3878124011389446E-7</v>
      </c>
      <c r="E67" s="25">
        <v>-7.2961768697638471E-2</v>
      </c>
      <c r="F67" s="29">
        <v>-6.4698486347722862E-3</v>
      </c>
      <c r="G67" s="28">
        <f t="shared" si="19"/>
        <v>0</v>
      </c>
      <c r="I67" s="20">
        <f t="shared" si="24"/>
        <v>48</v>
      </c>
      <c r="J67" s="21">
        <f>Q98</f>
        <v>26423.556415680199</v>
      </c>
      <c r="K67" s="21">
        <f t="shared" si="20"/>
        <v>550.49075866000419</v>
      </c>
      <c r="L67" s="18">
        <f t="shared" si="21"/>
        <v>-0.37069502086092959</v>
      </c>
      <c r="M67" s="18">
        <f t="shared" si="22"/>
        <v>-4.1804014121844055</v>
      </c>
      <c r="N67" s="18">
        <f t="shared" si="23"/>
        <v>-3.4990584755116472</v>
      </c>
      <c r="P67" s="56">
        <f>'Nr(V)'!A67</f>
        <v>32.5</v>
      </c>
      <c r="Q67" s="53">
        <f>'Nr(V)'!G67</f>
        <v>29203.294477699201</v>
      </c>
    </row>
    <row r="68" spans="4:17" ht="15.6" x14ac:dyDescent="0.25">
      <c r="D68" s="24">
        <f t="shared" si="18"/>
        <v>8.7275732312264154E-6</v>
      </c>
      <c r="E68" s="32">
        <v>-9.6223246785745176E-2</v>
      </c>
      <c r="F68" s="35">
        <v>-1.1294868536707777E-2</v>
      </c>
      <c r="G68" s="28">
        <f t="shared" si="19"/>
        <v>2.1827872842550278E-11</v>
      </c>
      <c r="I68" s="20">
        <f t="shared" si="24"/>
        <v>50</v>
      </c>
      <c r="J68" s="21">
        <f>Q102</f>
        <v>22539.178180836199</v>
      </c>
      <c r="K68" s="21">
        <f t="shared" si="20"/>
        <v>450.783563616724</v>
      </c>
      <c r="L68" s="18">
        <f t="shared" si="21"/>
        <v>-0.64714829730845957</v>
      </c>
      <c r="M68" s="18">
        <f t="shared" si="22"/>
        <v>-5.5131859318689633</v>
      </c>
      <c r="N68" s="18">
        <f t="shared" si="23"/>
        <v>-4.8037414198368804</v>
      </c>
      <c r="P68" s="56">
        <f>'Nr(V)'!A68</f>
        <v>33</v>
      </c>
      <c r="Q68" s="53">
        <f>'Nr(V)'!G68</f>
        <v>29497.052072550501</v>
      </c>
    </row>
    <row r="69" spans="4:17" ht="15.6" x14ac:dyDescent="0.25">
      <c r="D69" s="24">
        <f t="shared" si="18"/>
        <v>-3.7465426885319175E-6</v>
      </c>
      <c r="E69" s="25">
        <v>-0.11875150627410977</v>
      </c>
      <c r="F69" s="35">
        <v>-1.5598917316352783E-2</v>
      </c>
      <c r="G69" s="72">
        <f t="shared" si="19"/>
        <v>-1.064108801074326E-10</v>
      </c>
      <c r="I69" s="20">
        <f t="shared" si="24"/>
        <v>52</v>
      </c>
      <c r="J69" s="21">
        <f>Q106</f>
        <v>18772.582024393501</v>
      </c>
      <c r="K69" s="21">
        <f t="shared" si="20"/>
        <v>361.01119277679811</v>
      </c>
      <c r="L69" s="18">
        <f t="shared" si="21"/>
        <v>-0.89375212720055086</v>
      </c>
      <c r="M69" s="18">
        <f t="shared" si="22"/>
        <v>-6.8039601203278055</v>
      </c>
      <c r="N69" s="18">
        <f t="shared" si="23"/>
        <v>-6.1605751458249829</v>
      </c>
      <c r="P69" s="56">
        <f>'Nr(V)'!A69</f>
        <v>33.5</v>
      </c>
      <c r="Q69" s="53">
        <f>'Nr(V)'!G69</f>
        <v>29849.4981772356</v>
      </c>
    </row>
    <row r="70" spans="4:17" ht="15.6" x14ac:dyDescent="0.25">
      <c r="P70" s="56">
        <f>'Nr(V)'!A70</f>
        <v>34</v>
      </c>
      <c r="Q70" s="53">
        <f>'Nr(V)'!G70</f>
        <v>30084.2522165714</v>
      </c>
    </row>
    <row r="71" spans="4:17" ht="15.6" x14ac:dyDescent="0.25">
      <c r="P71" s="56">
        <f>'Nr(V)'!A71</f>
        <v>34.5</v>
      </c>
      <c r="Q71" s="53">
        <f>'Nr(V)'!G71</f>
        <v>30495.431837616401</v>
      </c>
    </row>
    <row r="72" spans="4:17" ht="15.6" x14ac:dyDescent="0.25">
      <c r="P72" s="56">
        <f>'Nr(V)'!A72</f>
        <v>35</v>
      </c>
      <c r="Q72" s="53">
        <f>'Nr(V)'!G72</f>
        <v>30730.4559161078</v>
      </c>
    </row>
    <row r="73" spans="4:17" ht="15.6" x14ac:dyDescent="0.3">
      <c r="D73" s="45"/>
      <c r="E73" s="45"/>
      <c r="F73" s="45"/>
      <c r="G73" s="45"/>
      <c r="H73" s="45"/>
      <c r="I73" s="107"/>
      <c r="J73" s="45"/>
      <c r="K73" s="45"/>
      <c r="L73" s="45"/>
      <c r="M73" s="45"/>
      <c r="N73" s="45"/>
      <c r="P73" s="56">
        <f>'Nr(V)'!A73</f>
        <v>35.5</v>
      </c>
      <c r="Q73" s="53">
        <f>'Nr(V)'!G73</f>
        <v>30906.6114586615</v>
      </c>
    </row>
    <row r="74" spans="4:17" ht="15.6" x14ac:dyDescent="0.25">
      <c r="D74" s="56"/>
      <c r="E74" s="56"/>
      <c r="F74" s="56"/>
      <c r="G74" s="56"/>
      <c r="H74" s="45"/>
      <c r="I74" s="48"/>
      <c r="J74" s="48"/>
      <c r="K74" s="48"/>
      <c r="L74" s="48"/>
      <c r="M74" s="48"/>
      <c r="N74" s="48"/>
      <c r="P74" s="56">
        <f>'Nr(V)'!A74</f>
        <v>36</v>
      </c>
      <c r="Q74" s="53">
        <f>'Nr(V)'!G74</f>
        <v>31259.0125568207</v>
      </c>
    </row>
    <row r="75" spans="4:17" ht="15.6" x14ac:dyDescent="0.25">
      <c r="D75" s="63"/>
      <c r="E75" s="62"/>
      <c r="F75" s="62"/>
      <c r="G75" s="63"/>
      <c r="H75" s="45"/>
      <c r="I75" s="64"/>
      <c r="J75" s="57"/>
      <c r="K75" s="57"/>
      <c r="L75" s="63"/>
      <c r="M75" s="63"/>
      <c r="N75" s="63"/>
      <c r="P75" s="56">
        <f>'Nr(V)'!A75</f>
        <v>36.5</v>
      </c>
      <c r="Q75" s="53">
        <f>'Nr(V)'!G75</f>
        <v>31670.102164813801</v>
      </c>
    </row>
    <row r="76" spans="4:17" ht="15.6" x14ac:dyDescent="0.25">
      <c r="D76" s="63"/>
      <c r="E76" s="62"/>
      <c r="F76" s="62"/>
      <c r="G76" s="63"/>
      <c r="H76" s="45"/>
      <c r="I76" s="56"/>
      <c r="J76" s="57"/>
      <c r="K76" s="57"/>
      <c r="L76" s="63"/>
      <c r="M76" s="63"/>
      <c r="N76" s="63"/>
      <c r="P76" s="56">
        <f>'Nr(V)'!A76</f>
        <v>37</v>
      </c>
      <c r="Q76" s="53">
        <f>'Nr(V)'!G76</f>
        <v>31846.122687789699</v>
      </c>
    </row>
    <row r="77" spans="4:17" ht="15.6" x14ac:dyDescent="0.25">
      <c r="D77" s="63"/>
      <c r="E77" s="62"/>
      <c r="F77" s="62"/>
      <c r="G77" s="63"/>
      <c r="H77" s="45"/>
      <c r="I77" s="56"/>
      <c r="J77" s="57"/>
      <c r="K77" s="57"/>
      <c r="L77" s="63"/>
      <c r="M77" s="63"/>
      <c r="N77" s="63"/>
      <c r="P77" s="56">
        <f>'Nr(V)'!A77</f>
        <v>37.5</v>
      </c>
      <c r="Q77" s="53">
        <f>'Nr(V)'!G77</f>
        <v>32139.7002565371</v>
      </c>
    </row>
    <row r="78" spans="4:17" ht="15.6" x14ac:dyDescent="0.25">
      <c r="D78" s="63"/>
      <c r="E78" s="62"/>
      <c r="F78" s="62"/>
      <c r="G78" s="63"/>
      <c r="H78" s="45"/>
      <c r="I78" s="56"/>
      <c r="J78" s="57"/>
      <c r="K78" s="57"/>
      <c r="L78" s="63"/>
      <c r="M78" s="63"/>
      <c r="N78" s="63"/>
      <c r="P78" s="56">
        <f>'Nr(V)'!A78</f>
        <v>38</v>
      </c>
      <c r="Q78" s="53">
        <f>'Nr(V)'!G78</f>
        <v>32550.789864530299</v>
      </c>
    </row>
    <row r="79" spans="4:17" ht="15.6" x14ac:dyDescent="0.25">
      <c r="D79" s="63"/>
      <c r="E79" s="62"/>
      <c r="F79" s="62"/>
      <c r="G79" s="63"/>
      <c r="H79" s="45"/>
      <c r="I79" s="56"/>
      <c r="J79" s="57"/>
      <c r="K79" s="57"/>
      <c r="L79" s="63"/>
      <c r="M79" s="63"/>
      <c r="N79" s="63"/>
      <c r="P79" s="56">
        <f>'Nr(V)'!A79</f>
        <v>38.5</v>
      </c>
      <c r="Q79" s="53">
        <f>'Nr(V)'!G79</f>
        <v>32962.104505153198</v>
      </c>
    </row>
    <row r="80" spans="4:17" ht="15.6" x14ac:dyDescent="0.25">
      <c r="D80" s="63"/>
      <c r="E80" s="62"/>
      <c r="F80" s="62"/>
      <c r="G80" s="63"/>
      <c r="H80" s="45"/>
      <c r="I80" s="56"/>
      <c r="J80" s="57"/>
      <c r="K80" s="57"/>
      <c r="L80" s="63"/>
      <c r="M80" s="63"/>
      <c r="N80" s="63"/>
      <c r="P80" s="56">
        <f>'Nr(V)'!A80</f>
        <v>39</v>
      </c>
      <c r="Q80" s="53">
        <f>'Nr(V)'!G80</f>
        <v>33079.481524821</v>
      </c>
    </row>
    <row r="81" spans="4:17" ht="15.6" x14ac:dyDescent="0.25">
      <c r="D81" s="63"/>
      <c r="E81" s="62"/>
      <c r="F81" s="62"/>
      <c r="G81" s="63"/>
      <c r="H81" s="45"/>
      <c r="I81" s="56"/>
      <c r="J81" s="57"/>
      <c r="K81" s="57"/>
      <c r="L81" s="63"/>
      <c r="M81" s="63"/>
      <c r="N81" s="63"/>
      <c r="P81" s="56">
        <f>'Nr(V)'!A81</f>
        <v>39.5</v>
      </c>
      <c r="Q81" s="53">
        <f>'Nr(V)'!G81</f>
        <v>33373.149106620403</v>
      </c>
    </row>
    <row r="82" spans="4:17" ht="15.6" x14ac:dyDescent="0.25">
      <c r="D82" s="63"/>
      <c r="E82" s="62"/>
      <c r="F82" s="62"/>
      <c r="G82" s="63"/>
      <c r="H82" s="45"/>
      <c r="I82" s="56"/>
      <c r="J82" s="57"/>
      <c r="K82" s="57"/>
      <c r="L82" s="63"/>
      <c r="M82" s="63"/>
      <c r="N82" s="63"/>
      <c r="P82" s="56">
        <f>'Nr(V)'!A82</f>
        <v>40</v>
      </c>
      <c r="Q82" s="53">
        <f>'Nr(V)'!G82</f>
        <v>33607.903145956101</v>
      </c>
    </row>
    <row r="83" spans="4:17" ht="15.6" x14ac:dyDescent="0.25">
      <c r="D83" s="63"/>
      <c r="E83" s="62"/>
      <c r="F83" s="62"/>
      <c r="G83" s="63"/>
      <c r="H83" s="45"/>
      <c r="I83" s="56"/>
      <c r="J83" s="57"/>
      <c r="K83" s="57"/>
      <c r="L83" s="63"/>
      <c r="M83" s="63"/>
      <c r="N83" s="63"/>
      <c r="P83" s="56">
        <f>'Nr(V)'!A83</f>
        <v>40.5</v>
      </c>
      <c r="Q83" s="53">
        <f>'Nr(V)'!G83</f>
        <v>33666.186597056498</v>
      </c>
    </row>
    <row r="84" spans="4:17" ht="15.6" x14ac:dyDescent="0.25">
      <c r="D84" s="63"/>
      <c r="E84" s="62"/>
      <c r="F84" s="62"/>
      <c r="G84" s="63"/>
      <c r="H84" s="45"/>
      <c r="I84" s="56"/>
      <c r="J84" s="57"/>
      <c r="K84" s="57"/>
      <c r="L84" s="63"/>
      <c r="M84" s="63"/>
      <c r="N84" s="63"/>
      <c r="P84" s="56">
        <f>'Nr(V)'!A84</f>
        <v>41</v>
      </c>
      <c r="Q84" s="53">
        <f>'Nr(V)'!G84</f>
        <v>33606.822989333399</v>
      </c>
    </row>
    <row r="85" spans="4:17" ht="15.6" x14ac:dyDescent="0.25">
      <c r="D85" s="63"/>
      <c r="E85" s="62"/>
      <c r="F85" s="62"/>
      <c r="G85" s="63"/>
      <c r="H85" s="45"/>
      <c r="I85" s="56"/>
      <c r="J85" s="57"/>
      <c r="K85" s="57"/>
      <c r="L85" s="63"/>
      <c r="M85" s="63"/>
      <c r="N85" s="63"/>
      <c r="P85" s="56">
        <f>'Nr(V)'!A85</f>
        <v>41.5</v>
      </c>
      <c r="Q85" s="53">
        <f>'Nr(V)'!G85</f>
        <v>33253.431747603398</v>
      </c>
    </row>
    <row r="86" spans="4:17" ht="15.6" x14ac:dyDescent="0.25">
      <c r="D86" s="63"/>
      <c r="E86" s="62"/>
      <c r="F86" s="62"/>
      <c r="G86" s="63"/>
      <c r="H86" s="45"/>
      <c r="I86" s="56"/>
      <c r="J86" s="57"/>
      <c r="K86" s="57"/>
      <c r="L86" s="63"/>
      <c r="M86" s="63"/>
      <c r="N86" s="63"/>
      <c r="P86" s="56">
        <f>'Nr(V)'!A86</f>
        <v>42</v>
      </c>
      <c r="Q86" s="53">
        <f>'Nr(V)'!G86</f>
        <v>33076.421081056702</v>
      </c>
    </row>
    <row r="87" spans="4:17" ht="15.6" x14ac:dyDescent="0.25">
      <c r="D87" s="63"/>
      <c r="E87" s="62"/>
      <c r="F87" s="62"/>
      <c r="G87" s="63"/>
      <c r="H87" s="45"/>
      <c r="I87" s="56"/>
      <c r="J87" s="57"/>
      <c r="K87" s="57"/>
      <c r="L87" s="63"/>
      <c r="M87" s="63"/>
      <c r="N87" s="63"/>
      <c r="P87" s="56">
        <f>'Nr(V)'!A87</f>
        <v>42.5</v>
      </c>
      <c r="Q87" s="53">
        <f>'Nr(V)'!G87</f>
        <v>32546.514244565398</v>
      </c>
    </row>
    <row r="88" spans="4:17" ht="15.6" x14ac:dyDescent="0.25">
      <c r="D88" s="63"/>
      <c r="E88" s="62"/>
      <c r="F88" s="62"/>
      <c r="G88" s="63"/>
      <c r="H88" s="45"/>
      <c r="I88" s="56"/>
      <c r="J88" s="57"/>
      <c r="K88" s="57"/>
      <c r="L88" s="63"/>
      <c r="M88" s="63"/>
      <c r="N88" s="63"/>
      <c r="P88" s="56">
        <f>'Nr(V)'!A88</f>
        <v>43</v>
      </c>
      <c r="Q88" s="53">
        <f>'Nr(V)'!G88</f>
        <v>32016.652414600099</v>
      </c>
    </row>
    <row r="89" spans="4:17" ht="15.6" x14ac:dyDescent="0.25">
      <c r="D89" s="63"/>
      <c r="E89" s="62"/>
      <c r="F89" s="62"/>
      <c r="G89" s="63"/>
      <c r="H89" s="45"/>
      <c r="I89" s="56"/>
      <c r="J89" s="57"/>
      <c r="K89" s="57"/>
      <c r="L89" s="63"/>
      <c r="M89" s="63"/>
      <c r="N89" s="63"/>
      <c r="P89" s="56">
        <f>'Nr(V)'!A89</f>
        <v>43.5</v>
      </c>
      <c r="Q89" s="53">
        <f>'Nr(V)'!G89</f>
        <v>31427.967055223002</v>
      </c>
    </row>
    <row r="90" spans="4:17" ht="15.6" x14ac:dyDescent="0.25">
      <c r="P90" s="56">
        <f>'Nr(V)'!A90</f>
        <v>44</v>
      </c>
      <c r="Q90" s="53">
        <f>'Nr(V)'!G90</f>
        <v>31074.485800441002</v>
      </c>
    </row>
    <row r="91" spans="4:17" ht="15.6" x14ac:dyDescent="0.25">
      <c r="P91" s="56">
        <f>'Nr(V)'!A91</f>
        <v>44.5</v>
      </c>
      <c r="Q91" s="53">
        <f>'Nr(V)'!G91</f>
        <v>30485.755434538001</v>
      </c>
    </row>
    <row r="92" spans="4:17" ht="15.6" x14ac:dyDescent="0.25">
      <c r="P92" s="56">
        <f>'Nr(V)'!A92</f>
        <v>45</v>
      </c>
      <c r="Q92" s="53">
        <f>'Nr(V)'!G92</f>
        <v>30191.1877222197</v>
      </c>
    </row>
    <row r="93" spans="4:17" ht="15.6" x14ac:dyDescent="0.25">
      <c r="P93" s="56">
        <f>'Nr(V)'!A93</f>
        <v>45.5</v>
      </c>
      <c r="Q93" s="53">
        <f>'Nr(V)'!G93</f>
        <v>29543.7238399567</v>
      </c>
    </row>
    <row r="94" spans="4:17" ht="15.6" x14ac:dyDescent="0.25">
      <c r="P94" s="56">
        <f>'Nr(V)'!A94</f>
        <v>46</v>
      </c>
      <c r="Q94" s="53">
        <f>'Nr(V)'!G94</f>
        <v>29072.550519825301</v>
      </c>
    </row>
    <row r="95" spans="4:17" ht="15.6" x14ac:dyDescent="0.25">
      <c r="P95" s="56">
        <f>'Nr(V)'!A95</f>
        <v>46.5</v>
      </c>
      <c r="Q95" s="53">
        <f>'Nr(V)'!G95</f>
        <v>28425.086637562399</v>
      </c>
    </row>
    <row r="96" spans="4:17" ht="15.6" x14ac:dyDescent="0.25">
      <c r="P96" s="56">
        <f>'Nr(V)'!A96</f>
        <v>47</v>
      </c>
      <c r="Q96" s="53">
        <f>'Nr(V)'!G96</f>
        <v>27777.5327422476</v>
      </c>
    </row>
    <row r="97" spans="16:17" ht="15.6" x14ac:dyDescent="0.25">
      <c r="P97" s="56">
        <f>'Nr(V)'!A97</f>
        <v>47.5</v>
      </c>
      <c r="Q97" s="53">
        <f>'Nr(V)'!G97</f>
        <v>27188.757369818599</v>
      </c>
    </row>
    <row r="98" spans="16:17" ht="15.6" x14ac:dyDescent="0.25">
      <c r="P98" s="56">
        <f>'Nr(V)'!A98</f>
        <v>48</v>
      </c>
      <c r="Q98" s="53">
        <f>'Nr(V)'!G98</f>
        <v>26423.556415680199</v>
      </c>
    </row>
    <row r="99" spans="16:17" ht="15.6" x14ac:dyDescent="0.25">
      <c r="P99" s="56">
        <f>'Nr(V)'!A99</f>
        <v>48.5</v>
      </c>
      <c r="Q99" s="53">
        <f>'Nr(V)'!G99</f>
        <v>25364.237814483098</v>
      </c>
    </row>
    <row r="100" spans="16:17" ht="15.6" x14ac:dyDescent="0.25">
      <c r="P100" s="56">
        <f>'Nr(V)'!A100</f>
        <v>49</v>
      </c>
      <c r="Q100" s="53">
        <f>'Nr(V)'!G100</f>
        <v>24540.258337458901</v>
      </c>
    </row>
    <row r="101" spans="16:17" ht="15.6" x14ac:dyDescent="0.25">
      <c r="P101" s="56">
        <f>'Nr(V)'!A101</f>
        <v>49.5</v>
      </c>
      <c r="Q101" s="53">
        <f>'Nr(V)'!G101</f>
        <v>23539.6732526216</v>
      </c>
    </row>
    <row r="102" spans="16:17" ht="15.6" x14ac:dyDescent="0.25">
      <c r="P102" s="56">
        <f>'Nr(V)'!A102</f>
        <v>50</v>
      </c>
      <c r="Q102" s="53">
        <f>'Nr(V)'!G102</f>
        <v>22539.178180836199</v>
      </c>
    </row>
    <row r="103" spans="16:17" ht="15.6" x14ac:dyDescent="0.25">
      <c r="P103" s="56">
        <f>'Nr(V)'!A103</f>
        <v>50.5</v>
      </c>
      <c r="Q103" s="53">
        <f>'Nr(V)'!G103</f>
        <v>21774.022233223801</v>
      </c>
    </row>
    <row r="104" spans="16:17" ht="15.6" x14ac:dyDescent="0.25">
      <c r="P104" s="56">
        <f>'Nr(V)'!A104</f>
        <v>51</v>
      </c>
      <c r="Q104" s="53">
        <f>'Nr(V)'!G104</f>
        <v>20714.748638552501</v>
      </c>
    </row>
    <row r="105" spans="16:17" ht="15.6" x14ac:dyDescent="0.25">
      <c r="P105" s="56">
        <f>'Nr(V)'!A105</f>
        <v>51.5</v>
      </c>
      <c r="Q105" s="53">
        <f>'Nr(V)'!G105</f>
        <v>19655.4300373554</v>
      </c>
    </row>
    <row r="106" spans="16:17" ht="15.6" x14ac:dyDescent="0.25">
      <c r="P106" s="56">
        <f>'Nr(V)'!A106</f>
        <v>52</v>
      </c>
      <c r="Q106" s="53">
        <f>'Nr(V)'!G106</f>
        <v>18772.582024393501</v>
      </c>
    </row>
    <row r="107" spans="16:17" ht="15.6" x14ac:dyDescent="0.25">
      <c r="P107" s="56">
        <f>'Nr(V)'!A107</f>
        <v>52.5</v>
      </c>
      <c r="Q107" s="53">
        <f>'Nr(V)'!G107</f>
        <v>17830.865475493902</v>
      </c>
    </row>
    <row r="108" spans="16:17" ht="15.6" x14ac:dyDescent="0.25">
      <c r="P108" s="56">
        <f>'Nr(V)'!A108</f>
        <v>53</v>
      </c>
      <c r="Q108" s="53">
        <f>'Nr(V)'!G108</f>
        <v>16947.9724560061</v>
      </c>
    </row>
    <row r="109" spans="16:17" ht="15.6" x14ac:dyDescent="0.25">
      <c r="P109" s="56">
        <f>'Nr(V)'!A109</f>
        <v>53.5</v>
      </c>
      <c r="Q109" s="53">
        <f>'Nr(V)'!G109</f>
        <v>15888.653854808899</v>
      </c>
    </row>
    <row r="110" spans="16:17" ht="15.6" x14ac:dyDescent="0.25">
      <c r="P110" s="56">
        <f>'Nr(V)'!A110</f>
        <v>54</v>
      </c>
      <c r="Q110" s="53">
        <f>'Nr(V)'!G110</f>
        <v>15182.321436608299</v>
      </c>
    </row>
    <row r="111" spans="16:17" ht="15.6" x14ac:dyDescent="0.25">
      <c r="P111" s="56">
        <f>'Nr(V)'!A111</f>
        <v>54.5</v>
      </c>
      <c r="Q111" s="53">
        <f>'Nr(V)'!G111</f>
        <v>14123.092848463</v>
      </c>
    </row>
    <row r="112" spans="16:17" ht="15.6" x14ac:dyDescent="0.25">
      <c r="P112" s="56">
        <f>'Nr(V)'!A112</f>
        <v>55</v>
      </c>
      <c r="Q112" s="53">
        <f>'Nr(V)'!G112</f>
        <v>12828.3451100409</v>
      </c>
    </row>
    <row r="113" spans="16:17" ht="15.6" x14ac:dyDescent="0.25">
      <c r="P113" s="56">
        <f>'Nr(V)'!A113</f>
        <v>55.5</v>
      </c>
      <c r="Q113" s="53">
        <f>'Nr(V)'!G113</f>
        <v>11886.718574193201</v>
      </c>
    </row>
    <row r="114" spans="16:17" ht="15.6" x14ac:dyDescent="0.25">
      <c r="P114" s="56">
        <f>'Nr(V)'!A114</f>
        <v>56</v>
      </c>
      <c r="Q114" s="53">
        <f>'Nr(V)'!G114</f>
        <v>10827.444979522001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7:N37"/>
    <mergeCell ref="I53:N53"/>
  </mergeCells>
  <pageMargins left="0.7" right="0.7" top="0.75" bottom="0.75" header="0.3" footer="0.3"/>
  <ignoredErrors>
    <ignoredError sqref="J29" 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DE59-AFA3-4F6D-9359-176DDE7F9057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3000</v>
      </c>
      <c r="D1" s="12" t="s">
        <v>3</v>
      </c>
      <c r="G1" s="43"/>
      <c r="H1" s="44"/>
      <c r="I1" s="134" t="s">
        <v>170</v>
      </c>
      <c r="J1" s="135"/>
      <c r="K1" s="135"/>
      <c r="L1" s="135"/>
      <c r="M1" s="135"/>
      <c r="N1" s="136"/>
      <c r="P1" s="51" t="str">
        <f>'Nr(V)'!A1</f>
        <v>h</v>
      </c>
      <c r="Q1" s="53">
        <f>'Nr(V)'!H1</f>
        <v>3000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'Nr(V)'!H2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23.085686081940391</v>
      </c>
      <c r="J3" s="102">
        <f>Q48</f>
        <v>21918.718214141001</v>
      </c>
      <c r="K3" s="102">
        <f>J3/I3</f>
        <v>949.45058753474552</v>
      </c>
      <c r="L3" s="104">
        <f ca="1">OFFSET(D23,A23-2,0,1,1)</f>
        <v>10.63028138900046</v>
      </c>
      <c r="M3" s="104">
        <f t="shared" ref="M3:M17" ca="1" si="0">OFFSET(D22,A23-2,0,1,1)</f>
        <v>0.75274814952526414</v>
      </c>
      <c r="N3" s="104">
        <f ca="1">I3*SIN(RADIANS(M3))</f>
        <v>0.30328948688058455</v>
      </c>
      <c r="P3" s="56">
        <f>'Nr(V)'!A3</f>
        <v>0.5</v>
      </c>
      <c r="Q3" s="53">
        <f>'Nr(V)'!H3</f>
        <v>705.34227462982301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23.5</v>
      </c>
      <c r="J4" s="21">
        <f>Q49</f>
        <v>22271.029299248301</v>
      </c>
      <c r="K4" s="21">
        <f t="shared" ref="K4:K17" si="1">J4/I4</f>
        <v>947.70337443609787</v>
      </c>
      <c r="L4" s="18">
        <f t="shared" ref="L4:L17" ca="1" si="2">OFFSET(D24,A24-2,0,1,1)</f>
        <v>10.142884733065442</v>
      </c>
      <c r="M4" s="18">
        <f t="shared" ca="1" si="0"/>
        <v>0.87309676272482006</v>
      </c>
      <c r="N4" s="18">
        <f t="shared" ref="N4:N17" ca="1" si="3">I4*SIN(RADIANS(M4))</f>
        <v>0.35808885118895767</v>
      </c>
      <c r="P4" s="56">
        <f>'Nr(V)'!A4</f>
        <v>1</v>
      </c>
      <c r="Q4" s="53">
        <f>'Nr(V)'!H4</f>
        <v>1351.9510328997601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24</v>
      </c>
      <c r="J5" s="21">
        <f>Q50</f>
        <v>22447.094828750101</v>
      </c>
      <c r="K5" s="21">
        <f t="shared" si="1"/>
        <v>935.2956178645876</v>
      </c>
      <c r="L5" s="18">
        <f t="shared" ca="1" si="2"/>
        <v>9.5898759202851274</v>
      </c>
      <c r="M5" s="18">
        <f t="shared" ca="1" si="0"/>
        <v>0.91229300978567185</v>
      </c>
      <c r="N5" s="18">
        <f t="shared" ca="1" si="3"/>
        <v>0.38212425541087819</v>
      </c>
      <c r="P5" s="56">
        <f>'Nr(V)'!A5</f>
        <v>1.5</v>
      </c>
      <c r="Q5" s="53">
        <f>'Nr(V)'!H5</f>
        <v>1998.3347585399799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26</v>
      </c>
      <c r="J6" s="21">
        <f>Q54</f>
        <v>23680.3636527296</v>
      </c>
      <c r="K6" s="21">
        <f t="shared" si="1"/>
        <v>910.78321741267689</v>
      </c>
      <c r="L6" s="18">
        <f t="shared" ca="1" si="2"/>
        <v>7.6661891926464332</v>
      </c>
      <c r="M6" s="18">
        <f t="shared" ca="1" si="0"/>
        <v>1.1551987556857874</v>
      </c>
      <c r="N6" s="18">
        <f t="shared" ca="1" si="3"/>
        <v>0.52417705154124861</v>
      </c>
      <c r="P6" s="56">
        <f>'Nr(V)'!A6</f>
        <v>2</v>
      </c>
      <c r="Q6" s="53">
        <f>'Nr(V)'!H6</f>
        <v>2409.7394122147598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24913.722489760999</v>
      </c>
      <c r="K7" s="21">
        <f t="shared" si="1"/>
        <v>889.77580320574998</v>
      </c>
      <c r="L7" s="18">
        <f t="shared" ca="1" si="2"/>
        <v>6.1243224031284047</v>
      </c>
      <c r="M7" s="18">
        <f t="shared" ca="1" si="0"/>
        <v>1.2476617233926519</v>
      </c>
      <c r="N7" s="18">
        <f t="shared" ca="1" si="3"/>
        <v>0.60967435487305721</v>
      </c>
      <c r="P7" s="56">
        <f>'Nr(V)'!A7</f>
        <v>2.5</v>
      </c>
      <c r="Q7" s="53">
        <f>'Nr(V)'!H7</f>
        <v>2821.0990593636002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25735.271614384001</v>
      </c>
      <c r="K8" s="21">
        <f t="shared" si="1"/>
        <v>857.84238714613332</v>
      </c>
      <c r="L8" s="18">
        <f t="shared" ca="1" si="2"/>
        <v>4.8723151344748867</v>
      </c>
      <c r="M8" s="18">
        <f t="shared" ca="1" si="0"/>
        <v>1.1013621984976643</v>
      </c>
      <c r="N8" s="18">
        <f t="shared" ca="1" si="3"/>
        <v>0.57663638585085963</v>
      </c>
      <c r="P8" s="56">
        <f>'Nr(V)'!A8</f>
        <v>3</v>
      </c>
      <c r="Q8" s="53">
        <f>'Nr(V)'!H8</f>
        <v>3291.1922228723101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27203.0244385435</v>
      </c>
      <c r="K9" s="21">
        <f t="shared" si="1"/>
        <v>824.33407389525757</v>
      </c>
      <c r="L9" s="18">
        <f t="shared" ca="1" si="2"/>
        <v>3.3910115091041089</v>
      </c>
      <c r="M9" s="18">
        <f t="shared" ca="1" si="0"/>
        <v>0.7996635608490793</v>
      </c>
      <c r="N9" s="18">
        <f t="shared" ca="1" si="3"/>
        <v>0.46055819503203177</v>
      </c>
      <c r="P9" s="56">
        <f>'Nr(V)'!A9</f>
        <v>3.5</v>
      </c>
      <c r="Q9" s="53">
        <f>'Nr(V)'!H9</f>
        <v>3878.8874386785901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28905.981367298202</v>
      </c>
      <c r="K10" s="21">
        <f t="shared" si="1"/>
        <v>802.94392686939455</v>
      </c>
      <c r="L10" s="18">
        <f t="shared" ca="1" si="2"/>
        <v>2.2558853053476828</v>
      </c>
      <c r="M10" s="18">
        <f t="shared" ca="1" si="0"/>
        <v>0.40697162405669751</v>
      </c>
      <c r="N10" s="18">
        <f t="shared" ca="1" si="3"/>
        <v>0.25570566269205991</v>
      </c>
      <c r="P10" s="56">
        <f>'Nr(V)'!A10</f>
        <v>4</v>
      </c>
      <c r="Q10" s="53">
        <f>'Nr(V)'!H10</f>
        <v>4290.2470858274301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31079.481524821</v>
      </c>
      <c r="K11" s="21">
        <f t="shared" si="1"/>
        <v>796.90978268771789</v>
      </c>
      <c r="L11" s="18">
        <f t="shared" ca="1" si="2"/>
        <v>1.3676623208795544</v>
      </c>
      <c r="M11" s="18">
        <f t="shared" ca="1" si="0"/>
        <v>-8.4060542383982417E-3</v>
      </c>
      <c r="N11" s="18">
        <f t="shared" ca="1" si="3"/>
        <v>-5.7218195983628362E-3</v>
      </c>
      <c r="P11" s="56">
        <f>'Nr(V)'!A11</f>
        <v>4.5</v>
      </c>
      <c r="Q11" s="53">
        <f>'Nr(V)'!H11</f>
        <v>5054.3678833430804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31194.068139880201</v>
      </c>
      <c r="K12" s="21">
        <f t="shared" si="1"/>
        <v>742.71590809238569</v>
      </c>
      <c r="L12" s="18">
        <f t="shared" ca="1" si="2"/>
        <v>0.65942596403937404</v>
      </c>
      <c r="M12" s="18">
        <f t="shared" ca="1" si="0"/>
        <v>-0.97307798739752371</v>
      </c>
      <c r="N12" s="18">
        <f t="shared" ca="1" si="3"/>
        <v>-0.71326912992038838</v>
      </c>
      <c r="P12" s="56">
        <f>'Nr(V)'!A12</f>
        <v>5</v>
      </c>
      <c r="Q12" s="53">
        <f>'Nr(V)'!H12</f>
        <v>5465.6825239659702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29839.2366893199</v>
      </c>
      <c r="K13" s="21">
        <f t="shared" si="1"/>
        <v>678.16447021181591</v>
      </c>
      <c r="L13" s="18">
        <f t="shared" ca="1" si="2"/>
        <v>0.26277494159124948</v>
      </c>
      <c r="M13" s="18">
        <f t="shared" ca="1" si="0"/>
        <v>-1.9257162302313922</v>
      </c>
      <c r="N13" s="18">
        <f t="shared" ca="1" si="3"/>
        <v>-1.4785654911044752</v>
      </c>
      <c r="P13" s="56">
        <f>'Nr(V)'!A13</f>
        <v>5.5</v>
      </c>
      <c r="Q13" s="53">
        <f>'Nr(V)'!H13</f>
        <v>5935.8206940006203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28131.329042711099</v>
      </c>
      <c r="K14" s="21">
        <f t="shared" si="1"/>
        <v>611.55063136328477</v>
      </c>
      <c r="L14" s="18">
        <f t="shared" ca="1" si="2"/>
        <v>-8.5375625287868337E-2</v>
      </c>
      <c r="M14" s="18">
        <f t="shared" ca="1" si="0"/>
        <v>-2.9413322013274628</v>
      </c>
      <c r="N14" s="18">
        <f t="shared" ca="1" si="3"/>
        <v>-2.3604157567550725</v>
      </c>
      <c r="P14" s="56">
        <f>'Nr(V)'!A14</f>
        <v>6</v>
      </c>
      <c r="Q14" s="53">
        <f>'Nr(V)'!H14</f>
        <v>6582.3394392186801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24835.231108510699</v>
      </c>
      <c r="K15" s="21">
        <f t="shared" si="1"/>
        <v>517.4006480939729</v>
      </c>
      <c r="L15" s="18">
        <f t="shared" ca="1" si="2"/>
        <v>-0.39411725061491165</v>
      </c>
      <c r="M15" s="18">
        <f t="shared" ca="1" si="0"/>
        <v>-4.2388280991519967</v>
      </c>
      <c r="N15" s="18">
        <f t="shared" ca="1" si="3"/>
        <v>-3.5478738485275549</v>
      </c>
      <c r="P15" s="56">
        <f>'Nr(V)'!A15</f>
        <v>6.5</v>
      </c>
      <c r="Q15" s="53">
        <f>'Nr(V)'!H15</f>
        <v>7111.2111256132102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21656.870246185601</v>
      </c>
      <c r="K16" s="21">
        <f t="shared" si="1"/>
        <v>433.13740492371204</v>
      </c>
      <c r="L16" s="18">
        <f t="shared" ca="1" si="2"/>
        <v>-0.66823272147499868</v>
      </c>
      <c r="M16" s="18">
        <f t="shared" ca="1" si="0"/>
        <v>-5.4910994120669034</v>
      </c>
      <c r="N16" s="18">
        <f t="shared" ca="1" si="3"/>
        <v>-4.7845560987569735</v>
      </c>
      <c r="P16" s="56">
        <f>'Nr(V)'!A16</f>
        <v>7</v>
      </c>
      <c r="Q16" s="53">
        <f>'Nr(V)'!H16</f>
        <v>7581.3943021738096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0.90929012920776553</v>
      </c>
      <c r="D17" s="14" t="s">
        <v>73</v>
      </c>
      <c r="G17" s="45"/>
      <c r="H17" s="47"/>
      <c r="I17" s="20">
        <v>52</v>
      </c>
      <c r="J17" s="21">
        <f>Q106</f>
        <v>17831.405553805202</v>
      </c>
      <c r="K17" s="21">
        <f t="shared" si="1"/>
        <v>342.91164526548465</v>
      </c>
      <c r="L17" s="18">
        <f t="shared" ca="1" si="2"/>
        <v>-0.91357460345379682</v>
      </c>
      <c r="M17" s="18">
        <f t="shared" ca="1" si="0"/>
        <v>-6.8349776371937541</v>
      </c>
      <c r="N17" s="18">
        <f t="shared" ca="1" si="3"/>
        <v>-6.1885265914213479</v>
      </c>
      <c r="P17" s="56">
        <f>'Nr(V)'!A17</f>
        <v>7.5</v>
      </c>
      <c r="Q17" s="53">
        <f>'Nr(V)'!H17</f>
        <v>8345.6051127413302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41298.271823800591</v>
      </c>
      <c r="D18" s="14" t="s">
        <v>32</v>
      </c>
      <c r="P18" s="56">
        <f>'Nr(V)'!A18</f>
        <v>8</v>
      </c>
      <c r="Q18" s="53">
        <f>'Nr(V)'!H18</f>
        <v>8874.5218056618105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4.875742267204209E-2</v>
      </c>
      <c r="D19" s="14" t="s">
        <v>7</v>
      </c>
      <c r="P19" s="56">
        <f>'Nr(V)'!A19</f>
        <v>8.5</v>
      </c>
      <c r="Q19" s="53">
        <f>'Nr(V)'!H19</f>
        <v>9462.3520410459405</v>
      </c>
    </row>
    <row r="20" spans="1:28" ht="18.600000000000001" thickBot="1" x14ac:dyDescent="0.3">
      <c r="F20" s="134" t="s">
        <v>164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'Nr(V)'!H20</f>
        <v>10167.6043026238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'Nr(V)'!H21</f>
        <v>10637.7424726585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-7.9909000305633526E-8</v>
      </c>
      <c r="C22" s="25">
        <v>1.3137933647510451E-2</v>
      </c>
      <c r="D22" s="26">
        <f t="shared" ref="D22:D51" si="4">DEGREES(C22)</f>
        <v>0.75274814952526414</v>
      </c>
      <c r="F22" s="17">
        <v>1.5069999999999999</v>
      </c>
      <c r="G22" s="18">
        <v>80.83</v>
      </c>
      <c r="H22" s="20">
        <f>SQRT((2*C$15)/(C$7*C$17*F22))</f>
        <v>23.085686081940391</v>
      </c>
      <c r="I22" s="21">
        <f>C$15*SQRT((2*C$15)/(C$17*C$7*G22))</f>
        <v>20718.434308244778</v>
      </c>
      <c r="J22" s="102">
        <f>Q46</f>
        <v>21625.4556910752</v>
      </c>
      <c r="K22" s="21">
        <f>(J22-I22)</f>
        <v>907.02138283042223</v>
      </c>
      <c r="L22" s="18">
        <f t="shared" ref="L22:L33" si="5">K22/C$15</f>
        <v>0.13799829336960795</v>
      </c>
      <c r="M22" s="18">
        <f t="shared" ref="M22:M33" si="6">DEGREES(ASIN(L22/H22))</f>
        <v>0.34249650846083091</v>
      </c>
      <c r="N22" s="18">
        <v>13.202</v>
      </c>
      <c r="P22" s="56">
        <f>'Nr(V)'!A22</f>
        <v>10</v>
      </c>
      <c r="Q22" s="53">
        <f>'Nr(V)'!H22</f>
        <v>11284.261217876499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-3.8881489672348835E-6</v>
      </c>
      <c r="C23" s="29">
        <v>0.18553341065153417</v>
      </c>
      <c r="D23" s="30">
        <f t="shared" si="4"/>
        <v>10.63028138900046</v>
      </c>
      <c r="F23" s="17">
        <v>1.4</v>
      </c>
      <c r="G23" s="18">
        <v>82.93</v>
      </c>
      <c r="H23" s="20">
        <f t="shared" ref="H23:H33" si="7">SQRT((2*C$15)/(C$7*C$17*F23))</f>
        <v>23.951647648722293</v>
      </c>
      <c r="I23" s="21">
        <f t="shared" ref="I23:I33" si="8">C$15*SQRT((2*C$15)/(C$17*C$7*G23))</f>
        <v>20454.430367318673</v>
      </c>
      <c r="J23" s="21">
        <f>Q48</f>
        <v>21918.718214141001</v>
      </c>
      <c r="K23" s="21">
        <f t="shared" ref="K23:K34" si="9">(J23-I23)</f>
        <v>1464.287846822328</v>
      </c>
      <c r="L23" s="18">
        <f t="shared" si="5"/>
        <v>0.22278330774602945</v>
      </c>
      <c r="M23" s="18">
        <f t="shared" si="6"/>
        <v>0.53293733815624655</v>
      </c>
      <c r="N23" s="18">
        <v>11.19</v>
      </c>
      <c r="P23" s="56">
        <f>'Nr(V)'!A23</f>
        <v>10.5</v>
      </c>
      <c r="Q23" s="53">
        <f>'Nr(V)'!H23</f>
        <v>11578.0188127278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-3.4922996974273701E-6</v>
      </c>
      <c r="C24" s="32">
        <v>1.5238413198051809E-2</v>
      </c>
      <c r="D24" s="33">
        <f t="shared" si="4"/>
        <v>0.87309676272482006</v>
      </c>
      <c r="F24" s="17">
        <v>1.2976294821560448</v>
      </c>
      <c r="G24" s="18">
        <v>83.61</v>
      </c>
      <c r="H24" s="20">
        <f t="shared" si="7"/>
        <v>24.87849244107997</v>
      </c>
      <c r="I24" s="21">
        <f t="shared" si="8"/>
        <v>20371.082629399345</v>
      </c>
      <c r="J24" s="21">
        <f>Q50</f>
        <v>22447.094828750101</v>
      </c>
      <c r="K24" s="21">
        <f t="shared" si="9"/>
        <v>2076.0121993507564</v>
      </c>
      <c r="L24" s="18">
        <f t="shared" si="5"/>
        <v>0.31585378905940575</v>
      </c>
      <c r="M24" s="18">
        <f t="shared" si="6"/>
        <v>0.72743858161963804</v>
      </c>
      <c r="N24" s="18">
        <v>9.6229999999999993</v>
      </c>
      <c r="P24" s="56">
        <f>'Nr(V)'!A24</f>
        <v>11</v>
      </c>
      <c r="Q24" s="53">
        <f>'Nr(V)'!H24</f>
        <v>12283.406093883599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1.2780219549313188E-7</v>
      </c>
      <c r="C25" s="35">
        <v>0.17702673424225812</v>
      </c>
      <c r="D25" s="36">
        <f>DEGREES(C25)</f>
        <v>10.142884733065442</v>
      </c>
      <c r="F25" s="17">
        <v>1.1970000000000001</v>
      </c>
      <c r="G25" s="18">
        <v>82.42</v>
      </c>
      <c r="H25" s="20">
        <f t="shared" si="7"/>
        <v>25.90313546666011</v>
      </c>
      <c r="I25" s="21">
        <f t="shared" si="8"/>
        <v>20517.616922550085</v>
      </c>
      <c r="J25" s="21">
        <f>Q52</f>
        <v>23034.294972771</v>
      </c>
      <c r="K25" s="21">
        <f t="shared" si="9"/>
        <v>2516.6780502209149</v>
      </c>
      <c r="L25" s="18">
        <f t="shared" si="5"/>
        <v>0.38289866420510821</v>
      </c>
      <c r="M25" s="18">
        <f t="shared" si="6"/>
        <v>0.84697377637905513</v>
      </c>
      <c r="N25" s="18">
        <v>8.0570000000000004</v>
      </c>
      <c r="P25" s="56">
        <f>'Nr(V)'!A25</f>
        <v>11.5</v>
      </c>
      <c r="Q25" s="53">
        <f>'Nr(V)'!H25</f>
        <v>12929.8348260497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-9.0949470177292824E-13</v>
      </c>
      <c r="C26" s="25">
        <v>1.5922516763688822E-2</v>
      </c>
      <c r="D26" s="26">
        <f t="shared" si="4"/>
        <v>0.91229300978567185</v>
      </c>
      <c r="F26" s="17">
        <v>0.99199999999999999</v>
      </c>
      <c r="G26" s="18">
        <v>77.64</v>
      </c>
      <c r="H26" s="20">
        <f t="shared" si="7"/>
        <v>28.454016297734412</v>
      </c>
      <c r="I26" s="21">
        <f t="shared" si="8"/>
        <v>21139.779776098458</v>
      </c>
      <c r="J26" s="21">
        <f>Q57</f>
        <v>24502.497862190001</v>
      </c>
      <c r="K26" s="21">
        <f t="shared" si="9"/>
        <v>3362.7180860915432</v>
      </c>
      <c r="L26" s="18">
        <f t="shared" si="5"/>
        <v>0.51161898247166959</v>
      </c>
      <c r="M26" s="18">
        <f t="shared" si="6"/>
        <v>1.0302653886904074</v>
      </c>
      <c r="N26" s="18">
        <v>6.1870000000000003</v>
      </c>
      <c r="P26" s="56">
        <f>'Nr(V)'!A26</f>
        <v>12</v>
      </c>
      <c r="Q26" s="53">
        <f>'Nr(V)'!H26</f>
        <v>13399.9729960844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0</v>
      </c>
      <c r="C27" s="29">
        <v>0.16737490966669674</v>
      </c>
      <c r="D27" s="30">
        <f t="shared" si="4"/>
        <v>9.5898759202851274</v>
      </c>
      <c r="F27" s="17">
        <v>0.89051118930908912</v>
      </c>
      <c r="G27" s="18">
        <v>71.59</v>
      </c>
      <c r="H27" s="20">
        <f t="shared" si="7"/>
        <v>30.031686493905372</v>
      </c>
      <c r="I27" s="21">
        <f t="shared" si="8"/>
        <v>22014.91641412118</v>
      </c>
      <c r="J27" s="21">
        <f>Q60</f>
        <v>25324.542058598399</v>
      </c>
      <c r="K27" s="21">
        <f t="shared" si="9"/>
        <v>3309.6256444772189</v>
      </c>
      <c r="L27" s="18">
        <f t="shared" si="5"/>
        <v>0.50354126074173755</v>
      </c>
      <c r="M27" s="18">
        <f t="shared" si="6"/>
        <v>0.96072330279165563</v>
      </c>
      <c r="N27" s="18">
        <v>5.3460000000000001</v>
      </c>
      <c r="P27" s="56">
        <f>'Nr(V)'!A27</f>
        <v>12.5</v>
      </c>
      <c r="Q27" s="53">
        <f>'Nr(V)'!H27</f>
        <v>13811.1976236554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0</v>
      </c>
      <c r="C28" s="32">
        <v>2.0162021801658558E-2</v>
      </c>
      <c r="D28" s="33">
        <f t="shared" si="4"/>
        <v>1.1551987556857874</v>
      </c>
      <c r="F28" s="17">
        <v>0.78877734406717104</v>
      </c>
      <c r="G28" s="18">
        <v>62.64</v>
      </c>
      <c r="H28" s="20">
        <f t="shared" si="7"/>
        <v>31.909661562104972</v>
      </c>
      <c r="I28" s="21">
        <f t="shared" si="8"/>
        <v>23535.170427925241</v>
      </c>
      <c r="J28" s="21">
        <f>Q63</f>
        <v>25970.1606732976</v>
      </c>
      <c r="K28" s="21">
        <f t="shared" si="9"/>
        <v>2434.9902453723589</v>
      </c>
      <c r="L28" s="18">
        <f t="shared" si="5"/>
        <v>0.37047031590858531</v>
      </c>
      <c r="M28" s="18">
        <f t="shared" si="6"/>
        <v>0.66521741009484614</v>
      </c>
      <c r="N28" s="18">
        <v>4.1539999999999999</v>
      </c>
      <c r="P28" s="56">
        <f>'Nr(V)'!A28</f>
        <v>13</v>
      </c>
      <c r="Q28" s="53">
        <f>'Nr(V)'!H28</f>
        <v>14163.6887348665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0</v>
      </c>
      <c r="C29" s="35">
        <v>0.13380024249248612</v>
      </c>
      <c r="D29" s="36">
        <f t="shared" si="4"/>
        <v>7.6661891926464332</v>
      </c>
      <c r="F29" s="17">
        <v>0.68820194072740959</v>
      </c>
      <c r="G29" s="18">
        <v>51.95</v>
      </c>
      <c r="H29" s="20">
        <f t="shared" si="7"/>
        <v>34.161856613778376</v>
      </c>
      <c r="I29" s="21">
        <f t="shared" si="8"/>
        <v>25843.447400883491</v>
      </c>
      <c r="J29" s="21">
        <f>Q68</f>
        <v>27203.0244385435</v>
      </c>
      <c r="K29" s="21">
        <f t="shared" si="9"/>
        <v>1359.5770376600085</v>
      </c>
      <c r="L29" s="18">
        <f t="shared" si="5"/>
        <v>0.20685213651315415</v>
      </c>
      <c r="M29" s="18">
        <f t="shared" si="6"/>
        <v>0.34693157817259457</v>
      </c>
      <c r="N29" s="18">
        <v>3.0790000000000002</v>
      </c>
      <c r="P29" s="56">
        <f>'Nr(V)'!A29</f>
        <v>13.5</v>
      </c>
      <c r="Q29" s="53">
        <f>'Nr(V)'!H29</f>
        <v>14457.446329717801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-3.7680018749597366E-6</v>
      </c>
      <c r="C30" s="25">
        <v>2.1775805024308533E-2</v>
      </c>
      <c r="D30" s="26">
        <f t="shared" si="4"/>
        <v>1.2476617233926519</v>
      </c>
      <c r="F30" s="17">
        <v>0.58038845302154896</v>
      </c>
      <c r="G30" s="18">
        <v>39.369999999999997</v>
      </c>
      <c r="H30" s="20">
        <f t="shared" si="7"/>
        <v>37.199750775430736</v>
      </c>
      <c r="I30" s="21">
        <f t="shared" si="8"/>
        <v>29686.603684447433</v>
      </c>
      <c r="J30" s="21">
        <f>Q74</f>
        <v>28905.981367298202</v>
      </c>
      <c r="K30" s="21">
        <f t="shared" si="9"/>
        <v>-780.62231714923109</v>
      </c>
      <c r="L30" s="18">
        <f t="shared" si="5"/>
        <v>-0.11876737370475314</v>
      </c>
      <c r="M30" s="18">
        <f t="shared" si="6"/>
        <v>-0.18292812924829777</v>
      </c>
      <c r="N30" s="18">
        <v>2.073</v>
      </c>
      <c r="P30" s="56">
        <f>'Nr(V)'!A30</f>
        <v>14</v>
      </c>
      <c r="Q30" s="53">
        <f>'Nr(V)'!H30</f>
        <v>14927.4944867005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3.4045115171466023E-8</v>
      </c>
      <c r="C31" s="29">
        <v>0.10688959038824213</v>
      </c>
      <c r="D31" s="30">
        <f t="shared" si="4"/>
        <v>6.1243224031284047</v>
      </c>
      <c r="F31" s="17">
        <v>0.483331925835703</v>
      </c>
      <c r="G31" s="18">
        <v>27.9</v>
      </c>
      <c r="H31" s="20">
        <f t="shared" si="7"/>
        <v>40.763988518433983</v>
      </c>
      <c r="I31" s="21">
        <f t="shared" si="8"/>
        <v>35264.775259034002</v>
      </c>
      <c r="J31" s="21">
        <f>Q80</f>
        <v>31079.481524821</v>
      </c>
      <c r="K31" s="21">
        <f t="shared" si="9"/>
        <v>-4185.2937342130026</v>
      </c>
      <c r="L31" s="18">
        <f t="shared" si="5"/>
        <v>-0.63676932375020956</v>
      </c>
      <c r="M31" s="18">
        <f t="shared" si="6"/>
        <v>-0.89504682995888929</v>
      </c>
      <c r="N31" s="18">
        <v>1.2330000000000001</v>
      </c>
      <c r="P31" s="56">
        <f>'Nr(V)'!A31</f>
        <v>14.5</v>
      </c>
      <c r="Q31" s="53">
        <f>'Nr(V)'!H31</f>
        <v>15221.1170619739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-6.4801497501321137E-12</v>
      </c>
      <c r="C32" s="32">
        <v>1.9222396620787587E-2</v>
      </c>
      <c r="D32" s="33">
        <f t="shared" si="4"/>
        <v>1.1013621984976643</v>
      </c>
      <c r="F32" s="17">
        <v>0.38026543690183146</v>
      </c>
      <c r="G32" s="18">
        <v>16.61</v>
      </c>
      <c r="H32" s="20">
        <f t="shared" si="7"/>
        <v>45.957456558910806</v>
      </c>
      <c r="I32" s="21">
        <f t="shared" si="8"/>
        <v>45704.44145251454</v>
      </c>
      <c r="J32" s="21">
        <f>Q90</f>
        <v>29839.2366893199</v>
      </c>
      <c r="K32" s="21">
        <f t="shared" si="9"/>
        <v>-15865.204763194641</v>
      </c>
      <c r="L32" s="18">
        <f t="shared" si="5"/>
        <v>-2.4138032715922892</v>
      </c>
      <c r="M32" s="18">
        <f t="shared" si="6"/>
        <v>-3.0107063353250108</v>
      </c>
      <c r="N32" s="18">
        <v>0.39200000000000002</v>
      </c>
      <c r="P32" s="56">
        <f>'Nr(V)'!A32</f>
        <v>15</v>
      </c>
      <c r="Q32" s="53">
        <f>'Nr(V)'!H32</f>
        <v>15691.075205904801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8.5037941291337044E-2</v>
      </c>
      <c r="D33" s="36">
        <f t="shared" si="4"/>
        <v>4.8723151344748867</v>
      </c>
      <c r="F33" s="105">
        <v>0.33400000000000002</v>
      </c>
      <c r="G33" s="105">
        <v>12.24</v>
      </c>
      <c r="H33" s="20">
        <f t="shared" si="7"/>
        <v>49.037258080074793</v>
      </c>
      <c r="I33" s="21">
        <f t="shared" si="8"/>
        <v>53241.773457457777</v>
      </c>
      <c r="J33" s="21">
        <f>Q96</f>
        <v>26777.4427291957</v>
      </c>
      <c r="K33" s="21">
        <f t="shared" si="9"/>
        <v>-26464.330728262077</v>
      </c>
      <c r="L33" s="18">
        <f t="shared" si="5"/>
        <v>-4.0264017417898392</v>
      </c>
      <c r="M33" s="18">
        <f t="shared" si="6"/>
        <v>-4.7098032429823817</v>
      </c>
      <c r="N33" s="18">
        <v>-0.13300000000000001</v>
      </c>
      <c r="P33" s="56">
        <f>'Nr(V)'!A33</f>
        <v>15.5</v>
      </c>
      <c r="Q33" s="53">
        <f>'Nr(V)'!H33</f>
        <v>16043.6563301678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-1.8189894035458565E-12</v>
      </c>
      <c r="C34" s="25">
        <v>1.3956762045038457E-2</v>
      </c>
      <c r="D34" s="26">
        <f t="shared" si="4"/>
        <v>0.7996635608490793</v>
      </c>
      <c r="F34" s="109">
        <v>0.27900000000000003</v>
      </c>
      <c r="G34" s="42">
        <v>7.83</v>
      </c>
      <c r="H34" s="40">
        <f>SQRT((2*C$15)/(C$7*C$17*F34))</f>
        <v>53.653407669654776</v>
      </c>
      <c r="I34" s="41">
        <f>C$15*SQRT((2*C$15)/(C$17*C$7*G34))</f>
        <v>66567.514423868153</v>
      </c>
      <c r="J34" s="41">
        <f>Q105</f>
        <v>19008.371213826002</v>
      </c>
      <c r="K34" s="41">
        <f t="shared" si="9"/>
        <v>-47559.143210042152</v>
      </c>
      <c r="L34" s="42">
        <f>K34/C$15</f>
        <v>-7.2358609414764326</v>
      </c>
      <c r="M34" s="42">
        <f>DEGREES(ASIN(L34/H34))</f>
        <v>-7.7506994533518698</v>
      </c>
      <c r="N34" s="42">
        <v>-0.8</v>
      </c>
      <c r="P34" s="56">
        <f>'Nr(V)'!A34</f>
        <v>16</v>
      </c>
      <c r="Q34" s="53">
        <f>'Nr(V)'!H34</f>
        <v>16454.880957738798</v>
      </c>
    </row>
    <row r="35" spans="1:17" ht="16.2" thickBot="1" x14ac:dyDescent="0.3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5.918431580688837E-2</v>
      </c>
      <c r="D35" s="30">
        <f t="shared" si="4"/>
        <v>3.3910115091041089</v>
      </c>
      <c r="F35" s="65"/>
      <c r="G35" s="65"/>
      <c r="H35" s="60"/>
      <c r="I35" s="61"/>
      <c r="J35" s="61"/>
      <c r="K35" s="61"/>
      <c r="L35" s="59"/>
      <c r="M35" s="59"/>
      <c r="N35" s="59"/>
      <c r="P35" s="56">
        <f>'Nr(V)'!A35</f>
        <v>16.5</v>
      </c>
      <c r="Q35" s="53">
        <f>'Nr(V)'!H35</f>
        <v>17042.576173545101</v>
      </c>
    </row>
    <row r="36" spans="1:17" ht="18.600000000000001" thickBot="1" x14ac:dyDescent="0.3">
      <c r="A36" s="31">
        <v>15</v>
      </c>
      <c r="B36" s="24">
        <f>-K10*COS(C36+C37-C$3)+0.5*C$17*C$7*C$5*(C37-C$8)*I10^2*SIN(C36)+0.5*C$17*C$7*(C$11+1/PI()/C$10*C$5^2*(C37-C$8)^2)*I10^2*COS(C36)</f>
        <v>-8.0773190802574391E-7</v>
      </c>
      <c r="C36" s="32">
        <v>7.1029948019779333E-3</v>
      </c>
      <c r="D36" s="33">
        <f t="shared" si="4"/>
        <v>0.40697162405669751</v>
      </c>
      <c r="F36" s="134" t="s">
        <v>198</v>
      </c>
      <c r="G36" s="135"/>
      <c r="H36" s="135"/>
      <c r="I36" s="135"/>
      <c r="J36" s="135"/>
      <c r="K36" s="135"/>
      <c r="L36" s="135"/>
      <c r="M36" s="135"/>
      <c r="N36" s="136"/>
      <c r="P36" s="56">
        <f>'Nr(V)'!A36</f>
        <v>17</v>
      </c>
      <c r="Q36" s="53">
        <f>'Nr(V)'!H36</f>
        <v>17395.157297808099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3.9372626125674708E-2</v>
      </c>
      <c r="D37" s="36">
        <f t="shared" si="4"/>
        <v>2.2558853053476828</v>
      </c>
      <c r="F37" s="95" t="s">
        <v>1</v>
      </c>
      <c r="G37" s="95" t="s">
        <v>2</v>
      </c>
      <c r="H37" s="95" t="s">
        <v>76</v>
      </c>
      <c r="I37" s="95" t="s">
        <v>81</v>
      </c>
      <c r="J37" s="95" t="s">
        <v>77</v>
      </c>
      <c r="K37" s="95" t="s">
        <v>82</v>
      </c>
      <c r="L37" s="95" t="s">
        <v>80</v>
      </c>
      <c r="M37" s="95" t="s">
        <v>85</v>
      </c>
      <c r="N37" s="95" t="s">
        <v>79</v>
      </c>
      <c r="P37" s="56">
        <f>'Nr(V)'!A37</f>
        <v>17.5</v>
      </c>
      <c r="Q37" s="53">
        <f>'Nr(V)'!H37</f>
        <v>17923.938971150801</v>
      </c>
    </row>
    <row r="38" spans="1:17" ht="15.6" x14ac:dyDescent="0.25">
      <c r="A38" s="23">
        <v>17</v>
      </c>
      <c r="B38" s="24">
        <f>-K11*COS(C38+C39-C$3)+0.5*C$17*C$7*C$5*(C39-C$8)*I11^2*SIN(C38)+0.5*C$17*C$7*(C$11+1/PI()/C$10*C$5^2*(C39-C$8)^2)*I11^2*COS(C38)</f>
        <v>-9.6633812063373625E-12</v>
      </c>
      <c r="C38" s="25">
        <v>-1.4671332356127367E-4</v>
      </c>
      <c r="D38" s="26">
        <f t="shared" si="4"/>
        <v>-8.4060542383982417E-3</v>
      </c>
      <c r="F38" s="98">
        <f t="shared" ref="F38:G50" si="10">F22</f>
        <v>1.5069999999999999</v>
      </c>
      <c r="G38" s="96">
        <f t="shared" si="10"/>
        <v>80.83</v>
      </c>
      <c r="H38" s="103">
        <f t="shared" ref="H38:H50" si="11">SQRT((2*C$2)/(C$7*C$17*F38))</f>
        <v>23.764821622766078</v>
      </c>
      <c r="I38" s="102">
        <f t="shared" ref="I38:I50" si="12">C$2*SQRT((2*C$2)/(C$17*C$7*G38))</f>
        <v>22601.239202358349</v>
      </c>
      <c r="J38" s="102">
        <f>Q50</f>
        <v>22447.094828750101</v>
      </c>
      <c r="K38" s="102">
        <f t="shared" ref="K38:K50" si="13">(J38-I38)</f>
        <v>-154.14437360824741</v>
      </c>
      <c r="L38" s="104">
        <f t="shared" ref="L38:L50" si="14">K38/C$2</f>
        <v>-2.2130963461866649E-2</v>
      </c>
      <c r="M38" s="104">
        <f t="shared" ref="M38:M50" si="15">DEGREES(ASIN(L38/H38))</f>
        <v>-5.335663807312329E-2</v>
      </c>
      <c r="N38" s="97">
        <f t="shared" ref="N38:N50" si="16">N22</f>
        <v>13.202</v>
      </c>
      <c r="P38" s="56">
        <f>'Nr(V)'!A38</f>
        <v>18</v>
      </c>
      <c r="Q38" s="53">
        <f>'Nr(V)'!H38</f>
        <v>18394.167154237301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2.3870210554815415E-2</v>
      </c>
      <c r="D39" s="30">
        <f t="shared" si="4"/>
        <v>1.3676623208795544</v>
      </c>
      <c r="F39" s="99">
        <f t="shared" si="10"/>
        <v>1.4</v>
      </c>
      <c r="G39" s="38">
        <f t="shared" si="10"/>
        <v>82.93</v>
      </c>
      <c r="H39" s="20">
        <f t="shared" si="11"/>
        <v>24.65625807796599</v>
      </c>
      <c r="I39" s="21">
        <f t="shared" si="12"/>
        <v>22313.243684431513</v>
      </c>
      <c r="J39" s="21">
        <f>Q51</f>
        <v>22740.7174040235</v>
      </c>
      <c r="K39" s="21">
        <f t="shared" si="13"/>
        <v>427.4737195919879</v>
      </c>
      <c r="L39" s="18">
        <f t="shared" si="14"/>
        <v>6.137366578972131E-2</v>
      </c>
      <c r="M39" s="18">
        <f t="shared" si="15"/>
        <v>0.14261919400735648</v>
      </c>
      <c r="N39" s="19">
        <f t="shared" si="16"/>
        <v>11.19</v>
      </c>
      <c r="P39" s="56">
        <f>'Nr(V)'!A39</f>
        <v>18.5</v>
      </c>
      <c r="Q39" s="53">
        <f>'Nr(V)'!H39</f>
        <v>19040.640892929401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4.8287904519384028E-7</v>
      </c>
      <c r="C40" s="32">
        <v>-1.6983414758766677E-2</v>
      </c>
      <c r="D40" s="33">
        <f t="shared" si="4"/>
        <v>-0.97307798739752371</v>
      </c>
      <c r="F40" s="99">
        <f t="shared" si="10"/>
        <v>1.2976294821560448</v>
      </c>
      <c r="G40" s="38">
        <f t="shared" si="10"/>
        <v>83.61</v>
      </c>
      <c r="H40" s="20">
        <f t="shared" si="11"/>
        <v>25.610368823654451</v>
      </c>
      <c r="I40" s="21">
        <f t="shared" si="12"/>
        <v>22222.321651730392</v>
      </c>
      <c r="J40" s="21">
        <f>Q53</f>
        <v>23445.4745938161</v>
      </c>
      <c r="K40" s="21">
        <f t="shared" si="13"/>
        <v>1223.1529420857078</v>
      </c>
      <c r="L40" s="18">
        <f t="shared" si="14"/>
        <v>0.17561168426665916</v>
      </c>
      <c r="M40" s="18">
        <f t="shared" si="15"/>
        <v>0.3928833380845142</v>
      </c>
      <c r="N40" s="19">
        <f t="shared" si="16"/>
        <v>9.6229999999999993</v>
      </c>
      <c r="P40" s="56">
        <f>'Nr(V)'!A40</f>
        <v>19</v>
      </c>
      <c r="Q40" s="53">
        <f>'Nr(V)'!H40</f>
        <v>19569.602592375799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1.1509154245624804E-2</v>
      </c>
      <c r="D41" s="36">
        <f t="shared" si="4"/>
        <v>0.65942596403937404</v>
      </c>
      <c r="F41" s="99">
        <f t="shared" si="10"/>
        <v>1.1970000000000001</v>
      </c>
      <c r="G41" s="38">
        <f t="shared" si="10"/>
        <v>82.42</v>
      </c>
      <c r="H41" s="20">
        <f t="shared" si="11"/>
        <v>26.665154834496573</v>
      </c>
      <c r="I41" s="21">
        <f t="shared" si="12"/>
        <v>22382.172370253578</v>
      </c>
      <c r="J41" s="21">
        <f>Q55</f>
        <v>24032.719744362901</v>
      </c>
      <c r="K41" s="21">
        <f t="shared" si="13"/>
        <v>1650.5473741093228</v>
      </c>
      <c r="L41" s="18">
        <f t="shared" si="14"/>
        <v>0.23697396650576771</v>
      </c>
      <c r="M41" s="18">
        <f t="shared" si="15"/>
        <v>0.50919587569569635</v>
      </c>
      <c r="N41" s="19">
        <f t="shared" si="16"/>
        <v>8.0570000000000004</v>
      </c>
      <c r="P41" s="56">
        <f>'Nr(V)'!A41</f>
        <v>19.5</v>
      </c>
      <c r="Q41" s="53">
        <f>'Nr(V)'!H41</f>
        <v>19922.093703587001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-1.2687416983681032E-7</v>
      </c>
      <c r="C42" s="25">
        <v>-3.3610088676630956E-2</v>
      </c>
      <c r="D42" s="26">
        <f t="shared" si="4"/>
        <v>-1.9257162302313922</v>
      </c>
      <c r="F42" s="99">
        <f t="shared" si="10"/>
        <v>0.99199999999999999</v>
      </c>
      <c r="G42" s="38">
        <f t="shared" si="10"/>
        <v>77.64</v>
      </c>
      <c r="H42" s="20">
        <f t="shared" si="11"/>
        <v>29.291077569313501</v>
      </c>
      <c r="I42" s="21">
        <f t="shared" si="12"/>
        <v>23060.87478891428</v>
      </c>
      <c r="J42" s="21">
        <f>Q61</f>
        <v>25441.739052162498</v>
      </c>
      <c r="K42" s="21">
        <f t="shared" si="13"/>
        <v>2380.8642632482188</v>
      </c>
      <c r="L42" s="18">
        <f t="shared" si="14"/>
        <v>0.34182772153281626</v>
      </c>
      <c r="M42" s="18">
        <f t="shared" si="15"/>
        <v>0.66865858032223313</v>
      </c>
      <c r="N42" s="19">
        <f t="shared" si="16"/>
        <v>6.1870000000000003</v>
      </c>
      <c r="P42" s="56">
        <f>'Nr(V)'!A42</f>
        <v>20</v>
      </c>
      <c r="Q42" s="53">
        <f>'Nr(V)'!H42</f>
        <v>20274.584814798101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4.5862879225030909E-3</v>
      </c>
      <c r="D43" s="30">
        <f t="shared" si="4"/>
        <v>0.26277494159124948</v>
      </c>
      <c r="F43" s="99">
        <f t="shared" si="10"/>
        <v>0.89051118930908912</v>
      </c>
      <c r="G43" s="38">
        <f t="shared" si="10"/>
        <v>71.59</v>
      </c>
      <c r="H43" s="20">
        <f t="shared" si="11"/>
        <v>30.915159723877995</v>
      </c>
      <c r="I43" s="21">
        <f t="shared" si="12"/>
        <v>24015.540194438105</v>
      </c>
      <c r="J43" s="21">
        <f>Q64</f>
        <v>26263.783248570999</v>
      </c>
      <c r="K43" s="21">
        <f t="shared" si="13"/>
        <v>2248.243054132894</v>
      </c>
      <c r="L43" s="18">
        <f t="shared" si="14"/>
        <v>0.32278690243254138</v>
      </c>
      <c r="M43" s="18">
        <f t="shared" si="15"/>
        <v>0.59823929106795304</v>
      </c>
      <c r="N43" s="19">
        <f t="shared" si="16"/>
        <v>5.3460000000000001</v>
      </c>
      <c r="P43" s="56">
        <f>'Nr(V)'!A43</f>
        <v>20.5</v>
      </c>
      <c r="Q43" s="53">
        <f>'Nr(V)'!H43</f>
        <v>20568.2073900715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-9.0956223175453488E-7</v>
      </c>
      <c r="C44" s="32">
        <v>-5.1335931308096952E-2</v>
      </c>
      <c r="D44" s="33">
        <f t="shared" si="4"/>
        <v>-2.9413322013274628</v>
      </c>
      <c r="F44" s="99">
        <f t="shared" si="10"/>
        <v>0.78877734406717104</v>
      </c>
      <c r="G44" s="38">
        <f t="shared" si="10"/>
        <v>62.64</v>
      </c>
      <c r="H44" s="20">
        <f t="shared" si="11"/>
        <v>32.848381129962981</v>
      </c>
      <c r="I44" s="21">
        <f t="shared" si="12"/>
        <v>25673.948552093676</v>
      </c>
      <c r="J44" s="21">
        <f>Q68</f>
        <v>27203.0244385435</v>
      </c>
      <c r="K44" s="21">
        <f t="shared" si="13"/>
        <v>1529.0758864498239</v>
      </c>
      <c r="L44" s="18">
        <f t="shared" si="14"/>
        <v>0.21953394588014871</v>
      </c>
      <c r="M44" s="18">
        <f t="shared" si="15"/>
        <v>0.38292487377437084</v>
      </c>
      <c r="N44" s="19">
        <f t="shared" si="16"/>
        <v>4.1539999999999999</v>
      </c>
      <c r="P44" s="56">
        <f>'Nr(V)'!A44</f>
        <v>21</v>
      </c>
      <c r="Q44" s="53">
        <f>'Nr(V)'!H44</f>
        <v>20979.432017642499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-1.490085762222234E-3</v>
      </c>
      <c r="D45" s="36">
        <f t="shared" si="4"/>
        <v>-8.5375625287868337E-2</v>
      </c>
      <c r="F45" s="99">
        <f t="shared" si="10"/>
        <v>0.68820194072740959</v>
      </c>
      <c r="G45" s="38">
        <f t="shared" si="10"/>
        <v>51.95</v>
      </c>
      <c r="H45" s="20">
        <f t="shared" si="11"/>
        <v>35.16683133641213</v>
      </c>
      <c r="I45" s="21">
        <f t="shared" si="12"/>
        <v>28191.992108616876</v>
      </c>
      <c r="J45" s="21">
        <f>Q72</f>
        <v>28259.957693865599</v>
      </c>
      <c r="K45" s="21">
        <f t="shared" si="13"/>
        <v>67.965585248723073</v>
      </c>
      <c r="L45" s="18">
        <f t="shared" si="14"/>
        <v>9.7580200210654645E-3</v>
      </c>
      <c r="M45" s="18">
        <f t="shared" si="15"/>
        <v>1.5898315245900237E-2</v>
      </c>
      <c r="N45" s="19">
        <f t="shared" si="16"/>
        <v>3.0790000000000002</v>
      </c>
      <c r="P45" s="56">
        <f>'Nr(V)'!A45</f>
        <v>21.5</v>
      </c>
      <c r="Q45" s="53">
        <f>'Nr(V)'!H45</f>
        <v>21273.054592915902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4.8065419377962826E-7</v>
      </c>
      <c r="C46" s="25">
        <v>-7.3981506756255005E-2</v>
      </c>
      <c r="D46" s="26">
        <f t="shared" si="4"/>
        <v>-4.2388280991519967</v>
      </c>
      <c r="F46" s="99">
        <f t="shared" si="10"/>
        <v>0.58038845302154896</v>
      </c>
      <c r="G46" s="38">
        <f t="shared" si="10"/>
        <v>39.369999999999997</v>
      </c>
      <c r="H46" s="20">
        <f t="shared" si="11"/>
        <v>38.294094377426447</v>
      </c>
      <c r="I46" s="21">
        <f t="shared" si="12"/>
        <v>32384.398405569049</v>
      </c>
      <c r="J46" s="21">
        <f>Q79</f>
        <v>30668.211890724098</v>
      </c>
      <c r="K46" s="21">
        <f t="shared" si="13"/>
        <v>-1716.1865148449506</v>
      </c>
      <c r="L46" s="18">
        <f t="shared" si="14"/>
        <v>-0.24639797200972713</v>
      </c>
      <c r="M46" s="18">
        <f t="shared" si="15"/>
        <v>-0.36866419017289209</v>
      </c>
      <c r="N46" s="19">
        <f t="shared" si="16"/>
        <v>2.073</v>
      </c>
      <c r="P46" s="56">
        <f>'Nr(V)'!A46</f>
        <v>22</v>
      </c>
      <c r="Q46" s="53">
        <f>'Nr(V)'!H46</f>
        <v>21625.4556910752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0</v>
      </c>
      <c r="C47" s="29">
        <v>-6.8786436621378544E-3</v>
      </c>
      <c r="D47" s="30">
        <f t="shared" si="4"/>
        <v>-0.39411725061491165</v>
      </c>
      <c r="F47" s="99">
        <f t="shared" si="10"/>
        <v>0.483331925835703</v>
      </c>
      <c r="G47" s="38">
        <f t="shared" si="10"/>
        <v>27.9</v>
      </c>
      <c r="H47" s="20">
        <f t="shared" si="11"/>
        <v>41.963184994138281</v>
      </c>
      <c r="I47" s="21">
        <f t="shared" si="12"/>
        <v>38469.490946507663</v>
      </c>
      <c r="J47" s="21">
        <f>Q86</f>
        <v>31194.068139880201</v>
      </c>
      <c r="K47" s="21">
        <f t="shared" si="13"/>
        <v>-7275.4228066274627</v>
      </c>
      <c r="L47" s="18">
        <f t="shared" si="14"/>
        <v>-1.0445539628472618</v>
      </c>
      <c r="M47" s="18">
        <f t="shared" si="15"/>
        <v>-1.4263625563054947</v>
      </c>
      <c r="N47" s="19">
        <f t="shared" si="16"/>
        <v>1.2330000000000001</v>
      </c>
      <c r="P47" s="56">
        <f>'Nr(V)'!A47</f>
        <v>22.5</v>
      </c>
      <c r="Q47" s="53">
        <f>'Nr(V)'!H47</f>
        <v>21683.8741617534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8.6030922830104828E-8</v>
      </c>
      <c r="C48" s="32">
        <v>-9.5837764294892311E-2</v>
      </c>
      <c r="D48" s="33">
        <f t="shared" si="4"/>
        <v>-5.4910994120669034</v>
      </c>
      <c r="F48" s="99">
        <f t="shared" si="10"/>
        <v>0.38026543690183146</v>
      </c>
      <c r="G48" s="38">
        <f t="shared" si="10"/>
        <v>16.61</v>
      </c>
      <c r="H48" s="20">
        <f t="shared" si="11"/>
        <v>47.309434663625879</v>
      </c>
      <c r="I48" s="21">
        <f t="shared" si="12"/>
        <v>49857.870460191902</v>
      </c>
      <c r="J48" s="21">
        <f>Q97</f>
        <v>25718.124127998501</v>
      </c>
      <c r="K48" s="21">
        <f t="shared" si="13"/>
        <v>-24139.746332193401</v>
      </c>
      <c r="L48" s="18">
        <f t="shared" si="14"/>
        <v>-3.4658147524362035</v>
      </c>
      <c r="M48" s="18">
        <f t="shared" si="15"/>
        <v>-4.2011621921801154</v>
      </c>
      <c r="N48" s="19">
        <f t="shared" si="16"/>
        <v>0.39200000000000002</v>
      </c>
      <c r="P48" s="56">
        <f>'Nr(V)'!A48</f>
        <v>23</v>
      </c>
      <c r="Q48" s="53">
        <f>'Nr(V)'!H48</f>
        <v>21918.718214141001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-1.1662861159300946E-2</v>
      </c>
      <c r="D49" s="36">
        <f t="shared" si="4"/>
        <v>-0.66823272147499868</v>
      </c>
      <c r="F49" s="99">
        <f t="shared" si="10"/>
        <v>0.33400000000000002</v>
      </c>
      <c r="G49" s="38">
        <f t="shared" si="10"/>
        <v>12.24</v>
      </c>
      <c r="H49" s="20">
        <f t="shared" si="11"/>
        <v>50.479837896356393</v>
      </c>
      <c r="I49" s="21">
        <f t="shared" si="12"/>
        <v>58080.163759812633</v>
      </c>
      <c r="J49" s="21">
        <f>Q103</f>
        <v>20950.492821459098</v>
      </c>
      <c r="K49" s="21">
        <f t="shared" si="13"/>
        <v>-37129.670938353534</v>
      </c>
      <c r="L49" s="18">
        <f t="shared" si="14"/>
        <v>-5.3308166341263634</v>
      </c>
      <c r="M49" s="18">
        <f t="shared" si="15"/>
        <v>-6.0619025807554028</v>
      </c>
      <c r="N49" s="19">
        <f t="shared" si="16"/>
        <v>-0.13300000000000001</v>
      </c>
      <c r="P49" s="56">
        <f>'Nr(V)'!A49</f>
        <v>23.5</v>
      </c>
      <c r="Q49" s="53">
        <f>'Nr(V)'!H49</f>
        <v>22271.029299248301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-6.1249238569871522E-8</v>
      </c>
      <c r="C50" s="25">
        <v>-0.11929286406921344</v>
      </c>
      <c r="D50" s="26">
        <f t="shared" si="4"/>
        <v>-6.8349776371937541</v>
      </c>
      <c r="F50" s="99">
        <f t="shared" si="10"/>
        <v>0.27900000000000003</v>
      </c>
      <c r="G50" s="38">
        <f t="shared" si="10"/>
        <v>7.83</v>
      </c>
      <c r="H50" s="20">
        <f t="shared" si="11"/>
        <v>55.23178554006067</v>
      </c>
      <c r="I50" s="21">
        <f t="shared" si="12"/>
        <v>72616.89248407993</v>
      </c>
      <c r="J50" s="21">
        <f>Q112</f>
        <v>12181.376299563401</v>
      </c>
      <c r="K50" s="21">
        <f t="shared" si="13"/>
        <v>-60435.516184516528</v>
      </c>
      <c r="L50" s="18">
        <f t="shared" si="14"/>
        <v>-8.6769057421309856</v>
      </c>
      <c r="M50" s="18">
        <f t="shared" si="15"/>
        <v>-9.0386015743824775</v>
      </c>
      <c r="N50" s="19">
        <f t="shared" si="16"/>
        <v>-0.8</v>
      </c>
      <c r="P50" s="56">
        <f>'Nr(V)'!A50</f>
        <v>24</v>
      </c>
      <c r="Q50" s="53">
        <f>'Nr(V)'!H50</f>
        <v>22447.094828750101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-1.5944884792870314E-2</v>
      </c>
      <c r="D51" s="30">
        <f t="shared" si="4"/>
        <v>-0.91357460345379682</v>
      </c>
      <c r="P51" s="56">
        <f>'Nr(V)'!A51</f>
        <v>24.5</v>
      </c>
      <c r="Q51" s="53">
        <f>'Nr(V)'!H51</f>
        <v>22740.7174040235</v>
      </c>
    </row>
    <row r="52" spans="1:17" ht="16.2" thickBot="1" x14ac:dyDescent="0.3">
      <c r="P52" s="56">
        <f>'Nr(V)'!A52</f>
        <v>25</v>
      </c>
      <c r="Q52" s="53">
        <f>'Nr(V)'!H52</f>
        <v>23034.294972771</v>
      </c>
    </row>
    <row r="53" spans="1:17" ht="18.600000000000001" thickBot="1" x14ac:dyDescent="0.3">
      <c r="I53" s="134" t="s">
        <v>199</v>
      </c>
      <c r="J53" s="135"/>
      <c r="K53" s="135"/>
      <c r="L53" s="135"/>
      <c r="M53" s="135"/>
      <c r="N53" s="136"/>
      <c r="P53" s="56">
        <f>'Nr(V)'!A53</f>
        <v>25.5</v>
      </c>
      <c r="Q53" s="53">
        <f>'Nr(V)'!H53</f>
        <v>23445.4745938161</v>
      </c>
    </row>
    <row r="54" spans="1:17" ht="18.600000000000001" thickBot="1" x14ac:dyDescent="0.3">
      <c r="D54" s="56" t="s">
        <v>149</v>
      </c>
      <c r="E54" s="56" t="s">
        <v>150</v>
      </c>
      <c r="F54" s="14" t="s">
        <v>151</v>
      </c>
      <c r="G54" s="14" t="s">
        <v>152</v>
      </c>
      <c r="I54" s="100" t="s">
        <v>76</v>
      </c>
      <c r="J54" s="100" t="s">
        <v>77</v>
      </c>
      <c r="K54" s="100" t="s">
        <v>78</v>
      </c>
      <c r="L54" s="100" t="s">
        <v>79</v>
      </c>
      <c r="M54" s="100" t="s">
        <v>85</v>
      </c>
      <c r="N54" s="100" t="s">
        <v>80</v>
      </c>
      <c r="P54" s="56">
        <f>'Nr(V)'!A54</f>
        <v>26</v>
      </c>
      <c r="Q54" s="53">
        <f>'Nr(V)'!H54</f>
        <v>23680.3636527296</v>
      </c>
    </row>
    <row r="55" spans="1:17" ht="15.6" x14ac:dyDescent="0.25">
      <c r="D55" s="24">
        <f t="shared" ref="D55:D69" si="17">-K55*COS(E55+F55-C$3)+0.5*C$17*C$7*C$5*(F55-C$8)*I55^2*SIN(E55)+0.5*C$17*C$7*(C$11+1/PI()/C$10*C$5^2*(F55-C$8)^2)*I55^2*COS(E55)</f>
        <v>-1.8367384200246306E-5</v>
      </c>
      <c r="E55" s="25">
        <v>3.0186472076269705E-3</v>
      </c>
      <c r="F55" s="29">
        <v>0.18596783371015307</v>
      </c>
      <c r="G55" s="28">
        <f t="shared" ref="G55:G69" si="18">K55*SIN(E55+F55-C$3)+0.5*C$17*C$7*C$5*(F55-C$8)*I55^2*COS(E55)-0.5*C$17*C$7*(C$11+1/PI()/C$10*C$5^2*(F55-C$8)^2)*I55^2*SIN(E55)-C$2</f>
        <v>8.581313886679709E-5</v>
      </c>
      <c r="I55" s="103">
        <f>SQRT(2*C$2/C$7/C$16/C17)</f>
        <v>23.764821622766078</v>
      </c>
      <c r="J55" s="102">
        <f>Q49</f>
        <v>22271.029299248301</v>
      </c>
      <c r="K55" s="102">
        <f>J55/I55</f>
        <v>937.14270835987406</v>
      </c>
      <c r="L55" s="104">
        <f>DEGREES(F55)</f>
        <v>10.655171996782489</v>
      </c>
      <c r="M55" s="104">
        <f>DEGREES(E55)</f>
        <v>0.17295574483597653</v>
      </c>
      <c r="N55" s="104">
        <f>I55*SIN(RADIANS(M55))</f>
        <v>7.173750348308329E-2</v>
      </c>
      <c r="P55" s="56">
        <f>'Nr(V)'!A55</f>
        <v>26.5</v>
      </c>
      <c r="Q55" s="53">
        <f>'Nr(V)'!H55</f>
        <v>24032.719744362901</v>
      </c>
    </row>
    <row r="56" spans="1:17" ht="15.6" x14ac:dyDescent="0.25">
      <c r="D56" s="24">
        <f t="shared" si="17"/>
        <v>-1.2035464339987811E-4</v>
      </c>
      <c r="E56" s="32">
        <v>4.0857887006965762E-3</v>
      </c>
      <c r="F56" s="35">
        <v>0.18121205646974375</v>
      </c>
      <c r="G56" s="28">
        <f t="shared" si="18"/>
        <v>-1.3602397302747704E-5</v>
      </c>
      <c r="I56" s="20">
        <v>24</v>
      </c>
      <c r="J56" s="21">
        <f>Q50</f>
        <v>22447.094828750101</v>
      </c>
      <c r="K56" s="21">
        <f t="shared" ref="K56:K69" si="19">J56/I56</f>
        <v>935.2956178645876</v>
      </c>
      <c r="L56" s="18">
        <f t="shared" ref="L56:L69" si="20">DEGREES(F56)</f>
        <v>10.382686032602662</v>
      </c>
      <c r="M56" s="18">
        <f t="shared" ref="M56:M69" si="21">DEGREES(E56)</f>
        <v>0.23409844853215414</v>
      </c>
      <c r="N56" s="18">
        <f t="shared" ref="N56:N69" si="22">I56*SIN(RADIANS(M56))</f>
        <v>9.8058655989723853E-2</v>
      </c>
      <c r="P56" s="56">
        <f>'Nr(V)'!A56</f>
        <v>27</v>
      </c>
      <c r="Q56" s="53">
        <f>'Nr(V)'!H56</f>
        <v>24208.875286916598</v>
      </c>
    </row>
    <row r="57" spans="1:17" ht="15.6" x14ac:dyDescent="0.25">
      <c r="D57" s="24">
        <f t="shared" si="17"/>
        <v>-7.5909392421635857E-5</v>
      </c>
      <c r="E57" s="25">
        <v>7.0964011599768274E-3</v>
      </c>
      <c r="F57" s="29">
        <v>0.16242889231648625</v>
      </c>
      <c r="G57" s="28">
        <f t="shared" si="18"/>
        <v>-1.0913936421275139E-11</v>
      </c>
      <c r="I57" s="20">
        <v>25</v>
      </c>
      <c r="J57" s="21">
        <f>Q52</f>
        <v>23034.294972771</v>
      </c>
      <c r="K57" s="21">
        <f t="shared" si="19"/>
        <v>921.37179891083997</v>
      </c>
      <c r="L57" s="18">
        <f t="shared" si="20"/>
        <v>9.3064900007195881</v>
      </c>
      <c r="M57" s="18">
        <f t="shared" si="21"/>
        <v>0.40659383619841394</v>
      </c>
      <c r="N57" s="18">
        <f t="shared" si="22"/>
        <v>0.17740853997390643</v>
      </c>
      <c r="P57" s="56">
        <f>'Nr(V)'!A57</f>
        <v>27.5</v>
      </c>
      <c r="Q57" s="53">
        <f>'Nr(V)'!H57</f>
        <v>24502.497862190001</v>
      </c>
    </row>
    <row r="58" spans="1:17" ht="15.6" x14ac:dyDescent="0.25">
      <c r="D58" s="24">
        <f t="shared" si="17"/>
        <v>4.7752793193467369E-5</v>
      </c>
      <c r="E58" s="32">
        <v>9.6597828874069955E-3</v>
      </c>
      <c r="F58" s="35">
        <v>0.14566164893959821</v>
      </c>
      <c r="G58" s="28">
        <f t="shared" si="18"/>
        <v>1.8189894035458565E-11</v>
      </c>
      <c r="I58" s="20">
        <f t="shared" ref="I58:I69" si="23">I6</f>
        <v>26</v>
      </c>
      <c r="J58" s="21">
        <f>Q54</f>
        <v>23680.3636527296</v>
      </c>
      <c r="K58" s="21">
        <f t="shared" si="19"/>
        <v>910.78321741267689</v>
      </c>
      <c r="L58" s="18">
        <f t="shared" si="20"/>
        <v>8.3457977211552201</v>
      </c>
      <c r="M58" s="18">
        <f t="shared" si="21"/>
        <v>0.55346479046111696</v>
      </c>
      <c r="N58" s="18">
        <f t="shared" si="22"/>
        <v>0.2511504491631632</v>
      </c>
      <c r="P58" s="56">
        <f>'Nr(V)'!A58</f>
        <v>28</v>
      </c>
      <c r="Q58" s="53">
        <f>'Nr(V)'!H58</f>
        <v>24913.722489760999</v>
      </c>
    </row>
    <row r="59" spans="1:17" ht="15.6" x14ac:dyDescent="0.25">
      <c r="D59" s="24">
        <f t="shared" si="17"/>
        <v>2.8101322754991997E-5</v>
      </c>
      <c r="E59" s="25">
        <v>1.2446015371253932E-2</v>
      </c>
      <c r="F59" s="29">
        <v>0.11716065084482392</v>
      </c>
      <c r="G59" s="28">
        <f t="shared" si="18"/>
        <v>1.0004441719502211E-11</v>
      </c>
      <c r="I59" s="20">
        <f t="shared" si="23"/>
        <v>28</v>
      </c>
      <c r="J59" s="21">
        <f>Q58</f>
        <v>24913.722489760999</v>
      </c>
      <c r="K59" s="21">
        <f t="shared" si="19"/>
        <v>889.77580320574998</v>
      </c>
      <c r="L59" s="18">
        <f t="shared" si="20"/>
        <v>6.7128108184142539</v>
      </c>
      <c r="M59" s="18">
        <f t="shared" si="21"/>
        <v>0.71310415252779868</v>
      </c>
      <c r="N59" s="18">
        <f t="shared" si="22"/>
        <v>0.34847943346355981</v>
      </c>
      <c r="P59" s="56">
        <f>'Nr(V)'!A59</f>
        <v>28.5</v>
      </c>
      <c r="Q59" s="53">
        <f>'Nr(V)'!H59</f>
        <v>25148.4315225707</v>
      </c>
    </row>
    <row r="60" spans="1:17" ht="15.6" x14ac:dyDescent="0.25">
      <c r="D60" s="24">
        <f t="shared" si="17"/>
        <v>2.7951218498856178E-5</v>
      </c>
      <c r="E60" s="32">
        <v>1.1064496739123146E-2</v>
      </c>
      <c r="F60" s="35">
        <v>9.4012836695136895E-2</v>
      </c>
      <c r="G60" s="28">
        <f t="shared" si="18"/>
        <v>1.1823431123048067E-11</v>
      </c>
      <c r="I60" s="20">
        <f t="shared" si="23"/>
        <v>30</v>
      </c>
      <c r="J60" s="21">
        <f>Q62</f>
        <v>25735.271614384001</v>
      </c>
      <c r="K60" s="21">
        <f t="shared" si="19"/>
        <v>857.84238714613332</v>
      </c>
      <c r="L60" s="18">
        <f t="shared" si="20"/>
        <v>5.3865387626839789</v>
      </c>
      <c r="M60" s="18">
        <f t="shared" si="21"/>
        <v>0.63394896558801817</v>
      </c>
      <c r="N60" s="18">
        <f t="shared" si="22"/>
        <v>0.33192812946585648</v>
      </c>
      <c r="P60" s="56">
        <f>'Nr(V)'!A60</f>
        <v>29</v>
      </c>
      <c r="Q60" s="53">
        <f>'Nr(V)'!H60</f>
        <v>25324.542058598399</v>
      </c>
    </row>
    <row r="61" spans="1:17" ht="15.6" x14ac:dyDescent="0.25">
      <c r="D61" s="24">
        <f t="shared" si="17"/>
        <v>4.8980678570842429E-5</v>
      </c>
      <c r="E61" s="25">
        <v>7.3099090659184884E-3</v>
      </c>
      <c r="F61" s="29">
        <v>6.6625017001795461E-2</v>
      </c>
      <c r="G61" s="28">
        <f t="shared" si="18"/>
        <v>-5.184119800105691E-11</v>
      </c>
      <c r="I61" s="20">
        <f t="shared" si="23"/>
        <v>33</v>
      </c>
      <c r="J61" s="21">
        <f>Q68</f>
        <v>27203.0244385435</v>
      </c>
      <c r="K61" s="21">
        <f t="shared" si="19"/>
        <v>824.33407389525757</v>
      </c>
      <c r="L61" s="18">
        <f t="shared" si="20"/>
        <v>3.817332284190234</v>
      </c>
      <c r="M61" s="18">
        <f t="shared" si="21"/>
        <v>0.41882693810154725</v>
      </c>
      <c r="N61" s="18">
        <f t="shared" si="22"/>
        <v>0.24122485086282452</v>
      </c>
      <c r="P61" s="56">
        <f>'Nr(V)'!A61</f>
        <v>29.5</v>
      </c>
      <c r="Q61" s="53">
        <f>'Nr(V)'!H61</f>
        <v>25441.739052162498</v>
      </c>
    </row>
    <row r="62" spans="1:17" ht="15.6" x14ac:dyDescent="0.25">
      <c r="D62" s="24">
        <f t="shared" si="17"/>
        <v>2.9758713253613678E-6</v>
      </c>
      <c r="E62" s="32">
        <v>1.7711359749868704E-3</v>
      </c>
      <c r="F62" s="35">
        <v>4.563780118569763E-2</v>
      </c>
      <c r="G62" s="28">
        <f t="shared" si="18"/>
        <v>3.9108272176235914E-11</v>
      </c>
      <c r="I62" s="20">
        <f t="shared" si="23"/>
        <v>36</v>
      </c>
      <c r="J62" s="21">
        <f>Q74</f>
        <v>28905.981367298202</v>
      </c>
      <c r="K62" s="21">
        <f t="shared" si="19"/>
        <v>802.94392686939455</v>
      </c>
      <c r="L62" s="18">
        <f t="shared" si="20"/>
        <v>2.6148533941976182</v>
      </c>
      <c r="M62" s="18">
        <f t="shared" si="21"/>
        <v>0.10147861631053581</v>
      </c>
      <c r="N62" s="18">
        <f t="shared" si="22"/>
        <v>6.3760861764033311E-2</v>
      </c>
      <c r="P62" s="56">
        <f>'Nr(V)'!A62</f>
        <v>30</v>
      </c>
      <c r="Q62" s="53">
        <f>'Nr(V)'!H62</f>
        <v>25735.271614384001</v>
      </c>
    </row>
    <row r="63" spans="1:17" ht="15.6" x14ac:dyDescent="0.25">
      <c r="D63" s="24">
        <f t="shared" si="17"/>
        <v>5.3897374527878128E-6</v>
      </c>
      <c r="E63" s="25">
        <v>-4.3446625334529719E-3</v>
      </c>
      <c r="F63" s="29">
        <v>2.9216139210036456E-2</v>
      </c>
      <c r="G63" s="28">
        <f t="shared" si="18"/>
        <v>0</v>
      </c>
      <c r="I63" s="20">
        <f t="shared" si="23"/>
        <v>39</v>
      </c>
      <c r="J63" s="21">
        <f>Q80</f>
        <v>31079.481524821</v>
      </c>
      <c r="K63" s="21">
        <f t="shared" si="19"/>
        <v>796.90978268771789</v>
      </c>
      <c r="L63" s="18">
        <f t="shared" si="20"/>
        <v>1.673961470401768</v>
      </c>
      <c r="M63" s="18">
        <f t="shared" si="21"/>
        <v>-0.24893082657547114</v>
      </c>
      <c r="N63" s="18">
        <f t="shared" si="22"/>
        <v>-0.16944130573853108</v>
      </c>
      <c r="P63" s="56">
        <f>'Nr(V)'!A63</f>
        <v>30.5</v>
      </c>
      <c r="Q63" s="53">
        <f>'Nr(V)'!H63</f>
        <v>25970.1606732976</v>
      </c>
    </row>
    <row r="64" spans="1:17" ht="15.6" x14ac:dyDescent="0.25">
      <c r="D64" s="24">
        <f t="shared" si="17"/>
        <v>-2.1881422753722291E-6</v>
      </c>
      <c r="E64" s="32">
        <v>-1.9656694784788428E-2</v>
      </c>
      <c r="F64" s="35">
        <v>1.6124593953171101E-2</v>
      </c>
      <c r="G64" s="28">
        <f t="shared" si="18"/>
        <v>0</v>
      </c>
      <c r="I64" s="20">
        <f t="shared" si="23"/>
        <v>42</v>
      </c>
      <c r="J64" s="21">
        <f>Q86</f>
        <v>31194.068139880201</v>
      </c>
      <c r="K64" s="21">
        <f t="shared" si="19"/>
        <v>742.71590809238569</v>
      </c>
      <c r="L64" s="18">
        <f t="shared" si="20"/>
        <v>0.92387117987887191</v>
      </c>
      <c r="M64" s="18">
        <f t="shared" si="21"/>
        <v>-1.126245650345193</v>
      </c>
      <c r="N64" s="18">
        <f t="shared" si="22"/>
        <v>-0.82552801653470298</v>
      </c>
      <c r="P64" s="56">
        <f>'Nr(V)'!A64</f>
        <v>31</v>
      </c>
      <c r="Q64" s="53">
        <f>'Nr(V)'!H64</f>
        <v>26263.783248570999</v>
      </c>
    </row>
    <row r="65" spans="4:17" ht="15.6" x14ac:dyDescent="0.25">
      <c r="D65" s="24">
        <f t="shared" si="17"/>
        <v>1.659207100601634E-7</v>
      </c>
      <c r="E65" s="25">
        <v>-3.5026459301903907E-2</v>
      </c>
      <c r="F65" s="29">
        <v>8.7961233229375997E-3</v>
      </c>
      <c r="G65" s="28">
        <f t="shared" si="18"/>
        <v>0</v>
      </c>
      <c r="I65" s="20">
        <f t="shared" si="23"/>
        <v>44</v>
      </c>
      <c r="J65" s="21">
        <f>Q90</f>
        <v>29839.2366893199</v>
      </c>
      <c r="K65" s="21">
        <f t="shared" si="19"/>
        <v>678.16447021181591</v>
      </c>
      <c r="L65" s="18">
        <f t="shared" si="20"/>
        <v>0.50398074248091373</v>
      </c>
      <c r="M65" s="18">
        <f t="shared" si="21"/>
        <v>-2.0068682892858378</v>
      </c>
      <c r="N65" s="18">
        <f t="shared" si="22"/>
        <v>-1.54084909833007</v>
      </c>
      <c r="P65" s="56">
        <f>'Nr(V)'!A65</f>
        <v>31.5</v>
      </c>
      <c r="Q65" s="53">
        <f>'Nr(V)'!H65</f>
        <v>26498.4022683289</v>
      </c>
    </row>
    <row r="66" spans="4:17" ht="15.6" x14ac:dyDescent="0.25">
      <c r="D66" s="24">
        <f t="shared" si="17"/>
        <v>-3.2802624900796218E-6</v>
      </c>
      <c r="E66" s="32">
        <v>-5.1473736834692141E-2</v>
      </c>
      <c r="F66" s="35">
        <v>2.3664918280588516E-3</v>
      </c>
      <c r="G66" s="28">
        <f t="shared" si="18"/>
        <v>0</v>
      </c>
      <c r="I66" s="20">
        <f t="shared" si="23"/>
        <v>46</v>
      </c>
      <c r="J66" s="21">
        <f>Q94</f>
        <v>28131.329042711099</v>
      </c>
      <c r="K66" s="21">
        <f t="shared" si="19"/>
        <v>611.55063136328477</v>
      </c>
      <c r="L66" s="18">
        <f t="shared" si="20"/>
        <v>0.1355899939999711</v>
      </c>
      <c r="M66" s="18">
        <f t="shared" si="21"/>
        <v>-2.9492278763949451</v>
      </c>
      <c r="N66" s="18">
        <f t="shared" si="22"/>
        <v>-2.3667464374785747</v>
      </c>
      <c r="P66" s="56">
        <f>'Nr(V)'!A66</f>
        <v>32</v>
      </c>
      <c r="Q66" s="53">
        <f>'Nr(V)'!H66</f>
        <v>26674.5128043566</v>
      </c>
    </row>
    <row r="67" spans="4:17" ht="15.6" x14ac:dyDescent="0.25">
      <c r="D67" s="24">
        <f t="shared" si="17"/>
        <v>-1.1855928505610791E-6</v>
      </c>
      <c r="E67" s="25">
        <v>-7.2596247921165508E-2</v>
      </c>
      <c r="F67" s="29">
        <v>-3.330185886556607E-3</v>
      </c>
      <c r="G67" s="28">
        <f t="shared" si="18"/>
        <v>-1.0913936421275139E-11</v>
      </c>
      <c r="I67" s="20">
        <f t="shared" si="23"/>
        <v>48</v>
      </c>
      <c r="J67" s="21">
        <f>Q98</f>
        <v>24835.231108510699</v>
      </c>
      <c r="K67" s="21">
        <f t="shared" si="19"/>
        <v>517.4006480939729</v>
      </c>
      <c r="L67" s="18">
        <f t="shared" si="20"/>
        <v>-0.19080559629372593</v>
      </c>
      <c r="M67" s="18">
        <f t="shared" si="21"/>
        <v>-4.1594586143681598</v>
      </c>
      <c r="N67" s="18">
        <f t="shared" si="22"/>
        <v>-3.4815599238627888</v>
      </c>
      <c r="P67" s="56">
        <f>'Nr(V)'!A67</f>
        <v>32.5</v>
      </c>
      <c r="Q67" s="53">
        <f>'Nr(V)'!H67</f>
        <v>27026.9139025158</v>
      </c>
    </row>
    <row r="68" spans="4:17" ht="15.6" x14ac:dyDescent="0.25">
      <c r="D68" s="24">
        <f t="shared" si="17"/>
        <v>-2.1040202682343079E-6</v>
      </c>
      <c r="E68" s="32">
        <v>-9.2999529539695924E-2</v>
      </c>
      <c r="F68" s="35">
        <v>-8.3855085349904112E-3</v>
      </c>
      <c r="G68" s="28">
        <f t="shared" si="18"/>
        <v>0</v>
      </c>
      <c r="I68" s="20">
        <f t="shared" si="23"/>
        <v>50</v>
      </c>
      <c r="J68" s="21">
        <f>Q102</f>
        <v>21656.870246185601</v>
      </c>
      <c r="K68" s="21">
        <f t="shared" si="19"/>
        <v>433.13740492371204</v>
      </c>
      <c r="L68" s="18">
        <f t="shared" si="20"/>
        <v>-0.48045424812588056</v>
      </c>
      <c r="M68" s="18">
        <f t="shared" si="21"/>
        <v>-5.3284805393268044</v>
      </c>
      <c r="N68" s="18">
        <f t="shared" si="22"/>
        <v>-4.6432765017409494</v>
      </c>
      <c r="P68" s="56">
        <f>'Nr(V)'!A68</f>
        <v>33</v>
      </c>
      <c r="Q68" s="53">
        <f>'Nr(V)'!H68</f>
        <v>27203.0244385435</v>
      </c>
    </row>
    <row r="69" spans="4:17" ht="15.6" x14ac:dyDescent="0.25">
      <c r="D69" s="24">
        <f t="shared" si="17"/>
        <v>-2.1889129584451439E-6</v>
      </c>
      <c r="E69" s="25">
        <v>-0.11493098071918653</v>
      </c>
      <c r="F69" s="29">
        <v>-1.2906453230128654E-2</v>
      </c>
      <c r="G69" s="28">
        <f t="shared" si="18"/>
        <v>0</v>
      </c>
      <c r="I69" s="20">
        <f t="shared" si="23"/>
        <v>52</v>
      </c>
      <c r="J69" s="21">
        <f>Q106</f>
        <v>17831.405553805202</v>
      </c>
      <c r="K69" s="21">
        <f t="shared" si="19"/>
        <v>342.91164526548465</v>
      </c>
      <c r="L69" s="18">
        <f t="shared" si="20"/>
        <v>-0.73948529856936052</v>
      </c>
      <c r="M69" s="18">
        <f t="shared" si="21"/>
        <v>-6.5850601305088272</v>
      </c>
      <c r="N69" s="18">
        <f t="shared" si="22"/>
        <v>-5.9632624857953607</v>
      </c>
      <c r="P69" s="56">
        <f>'Nr(V)'!A69</f>
        <v>33.5</v>
      </c>
      <c r="Q69" s="53">
        <f>'Nr(V)'!H69</f>
        <v>27379.0899680453</v>
      </c>
    </row>
    <row r="70" spans="4:17" ht="15.6" x14ac:dyDescent="0.25">
      <c r="P70" s="56">
        <f>'Nr(V)'!A70</f>
        <v>34</v>
      </c>
      <c r="Q70" s="53">
        <f>'Nr(V)'!H70</f>
        <v>27848.913092398299</v>
      </c>
    </row>
    <row r="71" spans="4:17" ht="15.6" x14ac:dyDescent="0.25">
      <c r="P71" s="56">
        <f>'Nr(V)'!A71</f>
        <v>34.5</v>
      </c>
      <c r="Q71" s="53">
        <f>'Nr(V)'!H71</f>
        <v>28083.847157837801</v>
      </c>
    </row>
    <row r="72" spans="4:17" ht="15.6" x14ac:dyDescent="0.25">
      <c r="P72" s="56">
        <f>'Nr(V)'!A72</f>
        <v>35</v>
      </c>
      <c r="Q72" s="53">
        <f>'Nr(V)'!H72</f>
        <v>28259.957693865599</v>
      </c>
    </row>
    <row r="73" spans="4:17" ht="15.6" x14ac:dyDescent="0.25">
      <c r="P73" s="56">
        <f>'Nr(V)'!A73</f>
        <v>35.5</v>
      </c>
      <c r="Q73" s="53">
        <f>'Nr(V)'!H73</f>
        <v>28553.535262613001</v>
      </c>
    </row>
    <row r="74" spans="4:17" ht="15.6" x14ac:dyDescent="0.25">
      <c r="P74" s="56">
        <f>'Nr(V)'!A74</f>
        <v>36</v>
      </c>
      <c r="Q74" s="53">
        <f>'Nr(V)'!H74</f>
        <v>28905.981367298202</v>
      </c>
    </row>
    <row r="75" spans="4:17" ht="15.6" x14ac:dyDescent="0.25">
      <c r="P75" s="56">
        <f>'Nr(V)'!A75</f>
        <v>36.5</v>
      </c>
      <c r="Q75" s="53">
        <f>'Nr(V)'!H75</f>
        <v>29199.468922993801</v>
      </c>
    </row>
    <row r="76" spans="4:17" ht="15.6" x14ac:dyDescent="0.25">
      <c r="P76" s="56">
        <f>'Nr(V)'!A76</f>
        <v>37</v>
      </c>
      <c r="Q76" s="53">
        <f>'Nr(V)'!H76</f>
        <v>29610.738557090699</v>
      </c>
    </row>
    <row r="77" spans="4:17" ht="15.6" x14ac:dyDescent="0.25">
      <c r="P77" s="56">
        <f>'Nr(V)'!A77</f>
        <v>37.5</v>
      </c>
      <c r="Q77" s="53">
        <f>'Nr(V)'!H77</f>
        <v>30022.008191187699</v>
      </c>
    </row>
    <row r="78" spans="4:17" ht="15.6" x14ac:dyDescent="0.25">
      <c r="P78" s="56">
        <f>'Nr(V)'!A78</f>
        <v>38</v>
      </c>
      <c r="Q78" s="53">
        <f>'Nr(V)'!H78</f>
        <v>30315.720779513002</v>
      </c>
    </row>
    <row r="79" spans="4:17" ht="15.6" x14ac:dyDescent="0.25">
      <c r="P79" s="56">
        <f>'Nr(V)'!A79</f>
        <v>38.5</v>
      </c>
      <c r="Q79" s="53">
        <f>'Nr(V)'!H79</f>
        <v>30668.211890724098</v>
      </c>
    </row>
    <row r="80" spans="4:17" ht="15.6" x14ac:dyDescent="0.25">
      <c r="P80" s="56">
        <f>'Nr(V)'!A80</f>
        <v>39</v>
      </c>
      <c r="Q80" s="53">
        <f>'Nr(V)'!H80</f>
        <v>31079.481524821</v>
      </c>
    </row>
    <row r="81" spans="16:17" ht="15.6" x14ac:dyDescent="0.25">
      <c r="P81" s="56">
        <f>'Nr(V)'!A81</f>
        <v>39.5</v>
      </c>
      <c r="Q81" s="53">
        <f>'Nr(V)'!H81</f>
        <v>31314.235564156799</v>
      </c>
    </row>
    <row r="82" spans="16:17" ht="15.6" x14ac:dyDescent="0.25">
      <c r="P82" s="56">
        <f>'Nr(V)'!A82</f>
        <v>40</v>
      </c>
      <c r="Q82" s="53">
        <f>'Nr(V)'!H82</f>
        <v>31548.944596966499</v>
      </c>
    </row>
    <row r="83" spans="16:17" ht="15.6" x14ac:dyDescent="0.25">
      <c r="P83" s="56">
        <f>'Nr(V)'!A83</f>
        <v>40.5</v>
      </c>
      <c r="Q83" s="53">
        <f>'Nr(V)'!H83</f>
        <v>31607.4080741707</v>
      </c>
    </row>
    <row r="84" spans="16:17" ht="15.6" x14ac:dyDescent="0.25">
      <c r="P84" s="56">
        <f>'Nr(V)'!A84</f>
        <v>41</v>
      </c>
      <c r="Q84" s="53">
        <f>'Nr(V)'!H84</f>
        <v>31606.7779828075</v>
      </c>
    </row>
    <row r="85" spans="16:17" ht="15.6" x14ac:dyDescent="0.25">
      <c r="P85" s="56">
        <f>'Nr(V)'!A85</f>
        <v>41.5</v>
      </c>
      <c r="Q85" s="53">
        <f>'Nr(V)'!H85</f>
        <v>31371.0788064269</v>
      </c>
    </row>
    <row r="86" spans="16:17" ht="15.6" x14ac:dyDescent="0.25">
      <c r="P86" s="56">
        <f>'Nr(V)'!A86</f>
        <v>42</v>
      </c>
      <c r="Q86" s="53">
        <f>'Nr(V)'!H86</f>
        <v>31194.068139880201</v>
      </c>
    </row>
    <row r="87" spans="16:17" ht="15.6" x14ac:dyDescent="0.25">
      <c r="P87" s="56">
        <f>'Nr(V)'!A87</f>
        <v>42.5</v>
      </c>
      <c r="Q87" s="53">
        <f>'Nr(V)'!H87</f>
        <v>30840.766911202099</v>
      </c>
    </row>
    <row r="88" spans="16:17" ht="15.6" x14ac:dyDescent="0.25">
      <c r="P88" s="56">
        <f>'Nr(V)'!A88</f>
        <v>43</v>
      </c>
      <c r="Q88" s="53">
        <f>'Nr(V)'!H88</f>
        <v>30487.2406498942</v>
      </c>
    </row>
    <row r="89" spans="16:17" ht="15.6" x14ac:dyDescent="0.25">
      <c r="P89" s="56">
        <f>'Nr(V)'!A89</f>
        <v>43.5</v>
      </c>
      <c r="Q89" s="53">
        <f>'Nr(V)'!H89</f>
        <v>30192.582924523998</v>
      </c>
    </row>
    <row r="90" spans="16:17" ht="15.6" x14ac:dyDescent="0.25">
      <c r="P90" s="56">
        <f>'Nr(V)'!A90</f>
        <v>44</v>
      </c>
      <c r="Q90" s="53">
        <f>'Nr(V)'!H90</f>
        <v>29839.2366893199</v>
      </c>
    </row>
    <row r="91" spans="16:17" ht="15.6" x14ac:dyDescent="0.25">
      <c r="P91" s="56">
        <f>'Nr(V)'!A91</f>
        <v>44.5</v>
      </c>
      <c r="Q91" s="53">
        <f>'Nr(V)'!H91</f>
        <v>29368.063369188501</v>
      </c>
    </row>
    <row r="92" spans="16:17" ht="15.6" x14ac:dyDescent="0.25">
      <c r="P92" s="56">
        <f>'Nr(V)'!A92</f>
        <v>45</v>
      </c>
      <c r="Q92" s="53">
        <f>'Nr(V)'!H92</f>
        <v>29014.762140510298</v>
      </c>
    </row>
    <row r="93" spans="16:17" ht="15.6" x14ac:dyDescent="0.25">
      <c r="P93" s="56">
        <f>'Nr(V)'!A93</f>
        <v>45.5</v>
      </c>
      <c r="Q93" s="53">
        <f>'Nr(V)'!H93</f>
        <v>28484.855304019002</v>
      </c>
    </row>
    <row r="94" spans="16:17" ht="15.6" x14ac:dyDescent="0.25">
      <c r="P94" s="56">
        <f>'Nr(V)'!A94</f>
        <v>46</v>
      </c>
      <c r="Q94" s="53">
        <f>'Nr(V)'!H94</f>
        <v>28131.329042711099</v>
      </c>
    </row>
    <row r="95" spans="16:17" ht="15.6" x14ac:dyDescent="0.25">
      <c r="P95" s="56">
        <f>'Nr(V)'!A95</f>
        <v>46.5</v>
      </c>
      <c r="Q95" s="53">
        <f>'Nr(V)'!H95</f>
        <v>27307.304559160999</v>
      </c>
    </row>
    <row r="96" spans="16:17" ht="15.6" x14ac:dyDescent="0.25">
      <c r="P96" s="56">
        <f>'Nr(V)'!A96</f>
        <v>47</v>
      </c>
      <c r="Q96" s="53">
        <f>'Nr(V)'!H96</f>
        <v>26777.4427291957</v>
      </c>
    </row>
    <row r="97" spans="16:17" ht="15.6" x14ac:dyDescent="0.25">
      <c r="P97" s="56">
        <f>'Nr(V)'!A97</f>
        <v>47.5</v>
      </c>
      <c r="Q97" s="53">
        <f>'Nr(V)'!H97</f>
        <v>25718.124127998501</v>
      </c>
    </row>
    <row r="98" spans="16:17" ht="15.6" x14ac:dyDescent="0.25">
      <c r="P98" s="56">
        <f>'Nr(V)'!A98</f>
        <v>48</v>
      </c>
      <c r="Q98" s="53">
        <f>'Nr(V)'!H98</f>
        <v>24835.231108510699</v>
      </c>
    </row>
    <row r="99" spans="16:17" ht="15.6" x14ac:dyDescent="0.25">
      <c r="P99" s="56">
        <f>'Nr(V)'!A99</f>
        <v>48.5</v>
      </c>
      <c r="Q99" s="53">
        <f>'Nr(V)'!H99</f>
        <v>24364.192807957101</v>
      </c>
    </row>
    <row r="100" spans="16:17" ht="15.6" x14ac:dyDescent="0.25">
      <c r="P100" s="56">
        <f>'Nr(V)'!A100</f>
        <v>49</v>
      </c>
      <c r="Q100" s="53">
        <f>'Nr(V)'!H100</f>
        <v>23187.272154462298</v>
      </c>
    </row>
    <row r="101" spans="16:17" ht="15.6" x14ac:dyDescent="0.25">
      <c r="P101" s="56">
        <f>'Nr(V)'!A101</f>
        <v>49.5</v>
      </c>
      <c r="Q101" s="53">
        <f>'Nr(V)'!H101</f>
        <v>22598.541788559301</v>
      </c>
    </row>
    <row r="102" spans="16:17" ht="15.6" x14ac:dyDescent="0.25">
      <c r="P102" s="56">
        <f>'Nr(V)'!A102</f>
        <v>50</v>
      </c>
      <c r="Q102" s="53">
        <f>'Nr(V)'!H102</f>
        <v>21656.870246185601</v>
      </c>
    </row>
    <row r="103" spans="16:17" ht="15.6" x14ac:dyDescent="0.25">
      <c r="P103" s="56">
        <f>'Nr(V)'!A103</f>
        <v>50.5</v>
      </c>
      <c r="Q103" s="53">
        <f>'Nr(V)'!H103</f>
        <v>20950.492821459098</v>
      </c>
    </row>
    <row r="104" spans="16:17" ht="15.6" x14ac:dyDescent="0.25">
      <c r="P104" s="56">
        <f>'Nr(V)'!A104</f>
        <v>51</v>
      </c>
      <c r="Q104" s="53">
        <f>'Nr(V)'!H104</f>
        <v>20008.821279085401</v>
      </c>
    </row>
    <row r="105" spans="16:17" ht="15.6" x14ac:dyDescent="0.25">
      <c r="P105" s="56">
        <f>'Nr(V)'!A105</f>
        <v>51.5</v>
      </c>
      <c r="Q105" s="53">
        <f>'Nr(V)'!H105</f>
        <v>19008.371213826002</v>
      </c>
    </row>
    <row r="106" spans="16:17" ht="15.6" x14ac:dyDescent="0.25">
      <c r="P106" s="56">
        <f>'Nr(V)'!A106</f>
        <v>52</v>
      </c>
      <c r="Q106" s="53">
        <f>'Nr(V)'!H106</f>
        <v>17831.405553805202</v>
      </c>
    </row>
    <row r="107" spans="16:17" ht="15.6" x14ac:dyDescent="0.25">
      <c r="P107" s="56">
        <f>'Nr(V)'!A107</f>
        <v>52.5</v>
      </c>
      <c r="Q107" s="53">
        <f>'Nr(V)'!H107</f>
        <v>17007.336063729199</v>
      </c>
    </row>
    <row r="108" spans="16:17" ht="15.6" x14ac:dyDescent="0.25">
      <c r="P108" s="56">
        <f>'Nr(V)'!A108</f>
        <v>53</v>
      </c>
      <c r="Q108" s="53">
        <f>'Nr(V)'!H108</f>
        <v>16359.7821684144</v>
      </c>
    </row>
    <row r="109" spans="16:17" ht="15.6" x14ac:dyDescent="0.25">
      <c r="P109" s="56">
        <f>'Nr(V)'!A109</f>
        <v>53.5</v>
      </c>
      <c r="Q109" s="53">
        <f>'Nr(V)'!H109</f>
        <v>15476.9341554525</v>
      </c>
    </row>
    <row r="110" spans="16:17" ht="15.6" x14ac:dyDescent="0.25">
      <c r="P110" s="56">
        <f>'Nr(V)'!A110</f>
        <v>54</v>
      </c>
      <c r="Q110" s="53">
        <f>'Nr(V)'!H110</f>
        <v>14888.2938026013</v>
      </c>
    </row>
    <row r="111" spans="16:17" ht="15.6" x14ac:dyDescent="0.25">
      <c r="P111" s="56">
        <f>'Nr(V)'!A111</f>
        <v>54.5</v>
      </c>
      <c r="Q111" s="53">
        <f>'Nr(V)'!H111</f>
        <v>13593.6360772312</v>
      </c>
    </row>
    <row r="112" spans="16:17" ht="15.6" x14ac:dyDescent="0.25">
      <c r="P112" s="56">
        <f>'Nr(V)'!A112</f>
        <v>55</v>
      </c>
      <c r="Q112" s="53">
        <f>'Nr(V)'!H112</f>
        <v>12181.376299563401</v>
      </c>
    </row>
    <row r="113" spans="16:17" ht="15.6" x14ac:dyDescent="0.25">
      <c r="P113" s="56">
        <f>'Nr(V)'!A113</f>
        <v>55.5</v>
      </c>
      <c r="Q113" s="53">
        <f>'Nr(V)'!H113</f>
        <v>11357.3068094873</v>
      </c>
    </row>
    <row r="114" spans="16:17" ht="15.6" x14ac:dyDescent="0.25">
      <c r="P114" s="56">
        <f>'Nr(V)'!A114</f>
        <v>56</v>
      </c>
      <c r="Q114" s="53">
        <f>'Nr(V)'!H114</f>
        <v>10356.8567442279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6:N36"/>
    <mergeCell ref="I53:N5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3CC6-5584-4254-A1A6-AA43B9D63176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3500</v>
      </c>
      <c r="D1" s="12" t="s">
        <v>3</v>
      </c>
      <c r="G1" s="43"/>
      <c r="H1" s="44"/>
      <c r="I1" s="134" t="s">
        <v>169</v>
      </c>
      <c r="J1" s="135"/>
      <c r="K1" s="135"/>
      <c r="L1" s="135"/>
      <c r="M1" s="135"/>
      <c r="N1" s="136"/>
      <c r="P1" s="51" t="str">
        <f>'Nr(V)'!A1</f>
        <v>h</v>
      </c>
      <c r="Q1" s="53">
        <f>'Nr(V)'!I1</f>
        <v>3500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'Nr(V)'!I2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23.691887880412988</v>
      </c>
      <c r="J3" s="102">
        <f>Q49</f>
        <v>20741.6175345425</v>
      </c>
      <c r="K3" s="102">
        <f>J3/I3</f>
        <v>875.47339575629212</v>
      </c>
      <c r="L3" s="104">
        <f ca="1">OFFSET(D23,A23-2,0,1,1)</f>
        <v>10.658459744830605</v>
      </c>
      <c r="M3" s="104">
        <f t="shared" ref="M3:M17" ca="1" si="0">OFFSET(D22,A23-2,0,1,1)</f>
        <v>9.4032394346490383E-2</v>
      </c>
      <c r="N3" s="104">
        <f ca="1">I3*SIN(RADIANS(M3))</f>
        <v>3.8882513910003254E-2</v>
      </c>
      <c r="P3" s="56">
        <f>'Nr(V)'!A3</f>
        <v>0.5</v>
      </c>
      <c r="Q3" s="53">
        <f>'Nr(V)'!I3</f>
        <v>587.78522885818495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24</v>
      </c>
      <c r="J4" s="21">
        <f>Q50</f>
        <v>20917.683064044199</v>
      </c>
      <c r="K4" s="21">
        <f t="shared" ref="K4:K17" si="1">J4/I4</f>
        <v>871.57012766850823</v>
      </c>
      <c r="L4" s="18">
        <f t="shared" ref="L4:L17" ca="1" si="2">OFFSET(D24,A24-2,0,1,1)</f>
        <v>10.30232924148668</v>
      </c>
      <c r="M4" s="18">
        <f t="shared" ca="1" si="0"/>
        <v>0.15940387454146296</v>
      </c>
      <c r="N4" s="18">
        <f t="shared" ref="N4:N17" ca="1" si="3">I4*SIN(RADIANS(M4))</f>
        <v>6.6770852691665078E-2</v>
      </c>
      <c r="P4" s="56">
        <f>'Nr(V)'!A4</f>
        <v>1</v>
      </c>
      <c r="Q4" s="53">
        <f>'Nr(V)'!I4</f>
        <v>1116.7019217786501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25</v>
      </c>
      <c r="J5" s="21">
        <f>Q52</f>
        <v>21504.838201539202</v>
      </c>
      <c r="K5" s="21">
        <f t="shared" si="1"/>
        <v>860.19352806156803</v>
      </c>
      <c r="L5" s="18">
        <f t="shared" ca="1" si="2"/>
        <v>9.2311370152256451</v>
      </c>
      <c r="M5" s="18">
        <f t="shared" ca="1" si="0"/>
        <v>0.34433165182528935</v>
      </c>
      <c r="N5" s="18">
        <f t="shared" ca="1" si="3"/>
        <v>0.15024212169962356</v>
      </c>
      <c r="P5" s="56">
        <f>'Nr(V)'!A5</f>
        <v>1.5</v>
      </c>
      <c r="Q5" s="53">
        <f>'Nr(V)'!I5</f>
        <v>1645.6186146991199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26</v>
      </c>
      <c r="J6" s="21">
        <f>Q54</f>
        <v>22151.041901075601</v>
      </c>
      <c r="K6" s="21">
        <f t="shared" si="1"/>
        <v>851.96315004136932</v>
      </c>
      <c r="L6" s="18">
        <f t="shared" ca="1" si="2"/>
        <v>8.2751076444316976</v>
      </c>
      <c r="M6" s="18">
        <f t="shared" ca="1" si="0"/>
        <v>0.50374636720982247</v>
      </c>
      <c r="N6" s="18">
        <f t="shared" ca="1" si="3"/>
        <v>0.22858990525169384</v>
      </c>
      <c r="P6" s="56">
        <f>'Nr(V)'!A6</f>
        <v>2</v>
      </c>
      <c r="Q6" s="53">
        <f>'Nr(V)'!I6</f>
        <v>1998.01971285836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23090.283091048099</v>
      </c>
      <c r="K7" s="21">
        <f t="shared" si="1"/>
        <v>824.65296753743212</v>
      </c>
      <c r="L7" s="18">
        <f t="shared" ca="1" si="2"/>
        <v>6.6523440065742676</v>
      </c>
      <c r="M7" s="18">
        <f t="shared" ca="1" si="0"/>
        <v>0.59174684080950157</v>
      </c>
      <c r="N7" s="18">
        <f t="shared" ca="1" si="3"/>
        <v>0.28917691892900454</v>
      </c>
      <c r="P7" s="56">
        <f>'Nr(V)'!A7</f>
        <v>2.5</v>
      </c>
      <c r="Q7" s="53">
        <f>'Nr(V)'!I7</f>
        <v>2468.0678698411198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24205.904856204099</v>
      </c>
      <c r="K8" s="21">
        <f t="shared" si="1"/>
        <v>806.86349520680335</v>
      </c>
      <c r="L8" s="18">
        <f t="shared" ca="1" si="2"/>
        <v>5.331541489393139</v>
      </c>
      <c r="M8" s="18">
        <f t="shared" ca="1" si="0"/>
        <v>0.61618515651016303</v>
      </c>
      <c r="N8" s="18">
        <f t="shared" ca="1" si="3"/>
        <v>0.32262757430819489</v>
      </c>
      <c r="P8" s="56">
        <f>'Nr(V)'!A8</f>
        <v>3</v>
      </c>
      <c r="Q8" s="53">
        <f>'Nr(V)'!I8</f>
        <v>2997.0295692875402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25791.1247130833</v>
      </c>
      <c r="K9" s="21">
        <f t="shared" si="1"/>
        <v>781.54923372979692</v>
      </c>
      <c r="L9" s="18">
        <f t="shared" ca="1" si="2"/>
        <v>3.7710440896642945</v>
      </c>
      <c r="M9" s="18">
        <f t="shared" ca="1" si="0"/>
        <v>0.44911395648717478</v>
      </c>
      <c r="N9" s="18">
        <f t="shared" ca="1" si="3"/>
        <v>0.25866842060782441</v>
      </c>
      <c r="P9" s="56">
        <f>'Nr(V)'!A9</f>
        <v>3.5</v>
      </c>
      <c r="Q9" s="53">
        <f>'Nr(V)'!I9</f>
        <v>3643.6833340834301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27258.742517664999</v>
      </c>
      <c r="K10" s="21">
        <f t="shared" si="1"/>
        <v>757.18729215736107</v>
      </c>
      <c r="L10" s="18">
        <f t="shared" ca="1" si="2"/>
        <v>2.5759596331409451</v>
      </c>
      <c r="M10" s="18">
        <f t="shared" ca="1" si="0"/>
        <v>8.84583589784151E-2</v>
      </c>
      <c r="N10" s="18">
        <f t="shared" ca="1" si="3"/>
        <v>5.5580004062995424E-2</v>
      </c>
      <c r="P10" s="56">
        <f>'Nr(V)'!A10</f>
        <v>4</v>
      </c>
      <c r="Q10" s="53">
        <f>'Nr(V)'!I10</f>
        <v>4113.77649759214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28608.893289526899</v>
      </c>
      <c r="K11" s="21">
        <f t="shared" si="1"/>
        <v>733.56136639812564</v>
      </c>
      <c r="L11" s="18">
        <f t="shared" ca="1" si="2"/>
        <v>1.640751301814418</v>
      </c>
      <c r="M11" s="18">
        <f t="shared" ca="1" si="0"/>
        <v>-0.42475892985777886</v>
      </c>
      <c r="N11" s="18">
        <f t="shared" ca="1" si="3"/>
        <v>-0.28912158394907905</v>
      </c>
      <c r="P11" s="56">
        <f>'Nr(V)'!A11</f>
        <v>4.5</v>
      </c>
      <c r="Q11" s="53">
        <f>'Nr(V)'!I11</f>
        <v>4642.60317746072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29311.805211755702</v>
      </c>
      <c r="K12" s="21">
        <f t="shared" si="1"/>
        <v>697.90012408942152</v>
      </c>
      <c r="L12" s="18">
        <f t="shared" ca="1" si="2"/>
        <v>0.89499425963549506</v>
      </c>
      <c r="M12" s="18">
        <f t="shared" ca="1" si="0"/>
        <v>-1.173347116943859</v>
      </c>
      <c r="N12" s="18">
        <f t="shared" ca="1" si="3"/>
        <v>-0.86004824184470097</v>
      </c>
      <c r="P12" s="56">
        <f>'Nr(V)'!A12</f>
        <v>5</v>
      </c>
      <c r="Q12" s="53">
        <f>'Nr(V)'!I12</f>
        <v>4995.1392951977996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28368.693460551702</v>
      </c>
      <c r="K13" s="21">
        <f t="shared" si="1"/>
        <v>644.74303319435683</v>
      </c>
      <c r="L13" s="18">
        <f t="shared" ca="1" si="2"/>
        <v>0.47776762567421804</v>
      </c>
      <c r="M13" s="18">
        <f t="shared" ca="1" si="0"/>
        <v>-1.9906537200606296</v>
      </c>
      <c r="N13" s="18">
        <f t="shared" ca="1" si="3"/>
        <v>-1.5284047790654098</v>
      </c>
      <c r="P13" s="56">
        <f>'Nr(V)'!A13</f>
        <v>5.5</v>
      </c>
      <c r="Q13" s="53">
        <f>'Nr(V)'!I13</f>
        <v>5465.2324587065004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26837.2564021783</v>
      </c>
      <c r="K14" s="21">
        <f t="shared" si="1"/>
        <v>583.41861743865866</v>
      </c>
      <c r="L14" s="18">
        <f t="shared" ca="1" si="2"/>
        <v>0.11166401663827326</v>
      </c>
      <c r="M14" s="18">
        <f t="shared" ca="1" si="0"/>
        <v>-2.9238958444792127</v>
      </c>
      <c r="N14" s="18">
        <f t="shared" ca="1" si="3"/>
        <v>-2.346435285207106</v>
      </c>
      <c r="P14" s="56">
        <f>'Nr(V)'!A14</f>
        <v>6</v>
      </c>
      <c r="Q14" s="53">
        <f>'Nr(V)'!I14</f>
        <v>5994.1041451010296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24011.701696746</v>
      </c>
      <c r="K15" s="21">
        <f t="shared" si="1"/>
        <v>500.24378534887501</v>
      </c>
      <c r="L15" s="18">
        <f t="shared" ca="1" si="2"/>
        <v>-0.21246363816776753</v>
      </c>
      <c r="M15" s="18">
        <f t="shared" ca="1" si="0"/>
        <v>-4.0890913961745126</v>
      </c>
      <c r="N15" s="18">
        <f t="shared" ca="1" si="3"/>
        <v>-3.4227618833505717</v>
      </c>
      <c r="P15" s="56">
        <f>'Nr(V)'!A15</f>
        <v>6.5</v>
      </c>
      <c r="Q15" s="53">
        <f>'Nr(V)'!I15</f>
        <v>6758.2699491426201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20598.0917232998</v>
      </c>
      <c r="K16" s="21">
        <f t="shared" si="1"/>
        <v>411.96183446599599</v>
      </c>
      <c r="L16" s="18">
        <f t="shared" ca="1" si="2"/>
        <v>-0.50083520163482576</v>
      </c>
      <c r="M16" s="18">
        <f t="shared" ca="1" si="0"/>
        <v>-5.3387116916054165</v>
      </c>
      <c r="N16" s="18">
        <f t="shared" ca="1" si="3"/>
        <v>-4.652166209839721</v>
      </c>
      <c r="P16" s="56">
        <f>'Nr(V)'!A16</f>
        <v>7</v>
      </c>
      <c r="Q16" s="53">
        <f>'Nr(V)'!I16</f>
        <v>7287.2316485890397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0.86335361318061621</v>
      </c>
      <c r="D17" s="14" t="s">
        <v>73</v>
      </c>
      <c r="G17" s="45"/>
      <c r="H17" s="47"/>
      <c r="I17" s="20">
        <v>52</v>
      </c>
      <c r="J17" s="21">
        <f>Q106</f>
        <v>17125.478194338099</v>
      </c>
      <c r="K17" s="21">
        <f t="shared" si="1"/>
        <v>329.3361191218865</v>
      </c>
      <c r="L17" s="18">
        <f t="shared" ca="1" si="2"/>
        <v>-0.75816357701515125</v>
      </c>
      <c r="M17" s="18">
        <f t="shared" ca="1" si="0"/>
        <v>-6.5778114947847186</v>
      </c>
      <c r="N17" s="18">
        <f t="shared" ca="1" si="3"/>
        <v>-5.9567271863250628</v>
      </c>
      <c r="P17" s="56">
        <f>'Nr(V)'!A17</f>
        <v>7.5</v>
      </c>
      <c r="Q17" s="53">
        <f>'Nr(V)'!I17</f>
        <v>7933.7503938070904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38726.702131694088</v>
      </c>
      <c r="D18" s="14" t="s">
        <v>32</v>
      </c>
      <c r="P18" s="56">
        <f>'Nr(V)'!A18</f>
        <v>8</v>
      </c>
      <c r="Q18" s="53">
        <f>'Nr(V)'!I18</f>
        <v>8639.1376749628598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4.8154085891960859E-2</v>
      </c>
      <c r="D19" s="14" t="s">
        <v>7</v>
      </c>
      <c r="P19" s="56">
        <f>'Nr(V)'!A19</f>
        <v>8.5</v>
      </c>
      <c r="Q19" s="53">
        <f>'Nr(V)'!I19</f>
        <v>9109.2758449975208</v>
      </c>
    </row>
    <row r="20" spans="1:28" ht="18.600000000000001" thickBot="1" x14ac:dyDescent="0.3">
      <c r="F20" s="134" t="s">
        <v>165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'Nr(V)'!I20</f>
        <v>9638.1925379179902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'Nr(V)'!I21</f>
        <v>10225.887753724201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-1.4710326468048152E-7</v>
      </c>
      <c r="C22" s="25">
        <v>1.6411748848799588E-3</v>
      </c>
      <c r="D22" s="26">
        <f t="shared" ref="D22:D51" si="4">DEGREES(C22)</f>
        <v>9.4032394346490383E-2</v>
      </c>
      <c r="F22" s="17">
        <v>1.5069999999999999</v>
      </c>
      <c r="G22" s="18">
        <v>80.83</v>
      </c>
      <c r="H22" s="20">
        <f>SQRT((2*C$15)/(C$7*C$17*F22))</f>
        <v>23.691887880412988</v>
      </c>
      <c r="I22" s="21">
        <f>C$15*SQRT((2*C$15)/(C$17*C$7*G22))</f>
        <v>21262.474978927701</v>
      </c>
      <c r="J22" s="102">
        <f>Q48</f>
        <v>20389.261442909199</v>
      </c>
      <c r="K22" s="21">
        <f>(J22-I22)</f>
        <v>-873.21353601850205</v>
      </c>
      <c r="L22" s="18">
        <f t="shared" ref="L22:L33" si="5">K22/C$15</f>
        <v>-0.13285461621837327</v>
      </c>
      <c r="M22" s="18">
        <f t="shared" ref="M22:M33" si="6">DEGREES(ASIN(L22/H22))</f>
        <v>-0.32129346258164504</v>
      </c>
      <c r="N22" s="18">
        <v>13.202</v>
      </c>
      <c r="P22" s="56">
        <f>'Nr(V)'!A22</f>
        <v>10</v>
      </c>
      <c r="Q22" s="53">
        <f>'Nr(V)'!I22</f>
        <v>10637.292407399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-7.7782797234249301E-6</v>
      </c>
      <c r="C23" s="29">
        <v>0.18602521573856873</v>
      </c>
      <c r="D23" s="30">
        <f t="shared" si="4"/>
        <v>10.658459744830605</v>
      </c>
      <c r="F23" s="17">
        <v>1.4</v>
      </c>
      <c r="G23" s="18">
        <v>82.93</v>
      </c>
      <c r="H23" s="20">
        <f t="shared" ref="H23:H33" si="7">SQRT((2*C$15)/(C$7*C$17*F23))</f>
        <v>24.580588535707488</v>
      </c>
      <c r="I23" s="21">
        <f t="shared" ref="I23:I33" si="8">C$15*SQRT((2*C$15)/(C$17*C$7*G23))</f>
        <v>20991.538618353115</v>
      </c>
      <c r="J23" s="21">
        <f>Q49</f>
        <v>20741.6175345425</v>
      </c>
      <c r="K23" s="21">
        <f t="shared" ref="K23:K34" si="9">(J23-I23)</f>
        <v>-249.92108381061553</v>
      </c>
      <c r="L23" s="18">
        <f t="shared" si="5"/>
        <v>-3.8024112436383144E-2</v>
      </c>
      <c r="M23" s="18">
        <f t="shared" si="6"/>
        <v>-8.8631809122891717E-2</v>
      </c>
      <c r="N23" s="18">
        <v>11.19</v>
      </c>
      <c r="P23" s="56">
        <f>'Nr(V)'!A23</f>
        <v>10.5</v>
      </c>
      <c r="Q23" s="53">
        <f>'Nr(V)'!I23</f>
        <v>11283.856159143001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-4.5038177631795406E-9</v>
      </c>
      <c r="C24" s="32">
        <v>2.7821224511844949E-3</v>
      </c>
      <c r="D24" s="33">
        <f t="shared" si="4"/>
        <v>0.15940387454146296</v>
      </c>
      <c r="F24" s="17">
        <v>1.2976294821560448</v>
      </c>
      <c r="G24" s="18">
        <v>83.61</v>
      </c>
      <c r="H24" s="20">
        <f t="shared" si="7"/>
        <v>25.531771135399026</v>
      </c>
      <c r="I24" s="21">
        <f t="shared" si="8"/>
        <v>20906.00227107446</v>
      </c>
      <c r="J24" s="21">
        <f>Q51</f>
        <v>21270.0841622035</v>
      </c>
      <c r="K24" s="21">
        <f t="shared" si="9"/>
        <v>364.08189112904074</v>
      </c>
      <c r="L24" s="18">
        <f t="shared" si="5"/>
        <v>5.5393048690650828E-2</v>
      </c>
      <c r="M24" s="18">
        <f t="shared" si="6"/>
        <v>0.12430749035675052</v>
      </c>
      <c r="N24" s="18">
        <v>9.6229999999999993</v>
      </c>
      <c r="P24" s="56">
        <f>'Nr(V)'!A24</f>
        <v>11</v>
      </c>
      <c r="Q24" s="53">
        <f>'Nr(V)'!I24</f>
        <v>11930.2848913092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-4.2054398363688961E-7</v>
      </c>
      <c r="C25" s="35">
        <v>0.17980956588843255</v>
      </c>
      <c r="D25" s="36">
        <f>DEGREES(C25)</f>
        <v>10.30232924148668</v>
      </c>
      <c r="F25" s="17">
        <v>1.1970000000000001</v>
      </c>
      <c r="G25" s="18">
        <v>82.42</v>
      </c>
      <c r="H25" s="20">
        <f t="shared" si="7"/>
        <v>26.58332002995332</v>
      </c>
      <c r="I25" s="21">
        <f t="shared" si="8"/>
        <v>21056.384375017162</v>
      </c>
      <c r="J25" s="21">
        <f>Q53</f>
        <v>21622.350240784901</v>
      </c>
      <c r="K25" s="21">
        <f t="shared" si="9"/>
        <v>565.96586576773916</v>
      </c>
      <c r="L25" s="18">
        <f t="shared" si="5"/>
        <v>8.6108580304553553E-2</v>
      </c>
      <c r="M25" s="18">
        <f t="shared" si="6"/>
        <v>0.18559257660217468</v>
      </c>
      <c r="N25" s="18">
        <v>8.0570000000000004</v>
      </c>
      <c r="P25" s="56">
        <f>'Nr(V)'!A25</f>
        <v>11.5</v>
      </c>
      <c r="Q25" s="53">
        <f>'Nr(V)'!I25</f>
        <v>12223.9974796345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-3.5049446296397946E-6</v>
      </c>
      <c r="C26" s="25">
        <v>6.0097210431820413E-3</v>
      </c>
      <c r="D26" s="26">
        <f t="shared" si="4"/>
        <v>0.34433165182528935</v>
      </c>
      <c r="F26" s="17">
        <v>0.99199999999999999</v>
      </c>
      <c r="G26" s="18">
        <v>77.64</v>
      </c>
      <c r="H26" s="20">
        <f t="shared" si="7"/>
        <v>29.201183862615611</v>
      </c>
      <c r="I26" s="21">
        <f t="shared" si="8"/>
        <v>21694.884461924128</v>
      </c>
      <c r="J26" s="21">
        <f>Q58</f>
        <v>23090.283091048099</v>
      </c>
      <c r="K26" s="21">
        <f t="shared" si="9"/>
        <v>1395.3986291239707</v>
      </c>
      <c r="L26" s="18">
        <f t="shared" si="5"/>
        <v>0.21230219379006657</v>
      </c>
      <c r="M26" s="18">
        <f t="shared" si="6"/>
        <v>0.41656279778295707</v>
      </c>
      <c r="N26" s="18">
        <v>6.1870000000000003</v>
      </c>
      <c r="P26" s="56">
        <f>'Nr(V)'!A26</f>
        <v>12</v>
      </c>
      <c r="Q26" s="53">
        <f>'Nr(V)'!I26</f>
        <v>12400.108015662199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9.4637471192982048E-8</v>
      </c>
      <c r="C27" s="29">
        <v>0.16111373461840944</v>
      </c>
      <c r="D27" s="30">
        <f t="shared" si="4"/>
        <v>9.2311370152256451</v>
      </c>
      <c r="F27" s="17">
        <v>0.89051118930908912</v>
      </c>
      <c r="G27" s="18">
        <v>71.59</v>
      </c>
      <c r="H27" s="20">
        <f t="shared" si="7"/>
        <v>30.820281742890085</v>
      </c>
      <c r="I27" s="21">
        <f t="shared" si="8"/>
        <v>22593.001114575636</v>
      </c>
      <c r="J27" s="21">
        <f>Q61</f>
        <v>24029.929339754199</v>
      </c>
      <c r="K27" s="21">
        <f t="shared" si="9"/>
        <v>1436.9282251785626</v>
      </c>
      <c r="L27" s="18">
        <f t="shared" si="5"/>
        <v>0.21862069243667936</v>
      </c>
      <c r="M27" s="18">
        <f t="shared" si="6"/>
        <v>0.40642548766742975</v>
      </c>
      <c r="N27" s="18">
        <v>5.3460000000000001</v>
      </c>
      <c r="P27" s="56">
        <f>'Nr(V)'!A27</f>
        <v>12.5</v>
      </c>
      <c r="Q27" s="53">
        <f>'Nr(V)'!I27</f>
        <v>12928.754669427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1.0118128557223827E-11</v>
      </c>
      <c r="C28" s="32">
        <v>8.7920327027718025E-3</v>
      </c>
      <c r="D28" s="33">
        <f t="shared" si="4"/>
        <v>0.50374636720982247</v>
      </c>
      <c r="F28" s="17">
        <v>0.78877734406717104</v>
      </c>
      <c r="G28" s="18">
        <v>62.64</v>
      </c>
      <c r="H28" s="20">
        <f t="shared" si="7"/>
        <v>32.747570132763926</v>
      </c>
      <c r="I28" s="21">
        <f t="shared" si="8"/>
        <v>24153.17513396377</v>
      </c>
      <c r="J28" s="21">
        <f>Q65</f>
        <v>25027.949052612599</v>
      </c>
      <c r="K28" s="21">
        <f t="shared" si="9"/>
        <v>874.77391864882884</v>
      </c>
      <c r="L28" s="18">
        <f t="shared" si="5"/>
        <v>0.13309201981663984</v>
      </c>
      <c r="M28" s="18">
        <f t="shared" si="6"/>
        <v>0.23286100264393073</v>
      </c>
      <c r="N28" s="18">
        <v>4.1539999999999999</v>
      </c>
      <c r="P28" s="56">
        <f>'Nr(V)'!A28</f>
        <v>13</v>
      </c>
      <c r="Q28" s="53">
        <f>'Nr(V)'!I28</f>
        <v>13222.512264278301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0</v>
      </c>
      <c r="C29" s="35">
        <v>0.14442787435228532</v>
      </c>
      <c r="D29" s="36">
        <f t="shared" si="4"/>
        <v>8.2751076444316976</v>
      </c>
      <c r="F29" s="17">
        <v>0.68820194072740959</v>
      </c>
      <c r="G29" s="18">
        <v>51.95</v>
      </c>
      <c r="H29" s="20">
        <f t="shared" si="7"/>
        <v>35.058905063840939</v>
      </c>
      <c r="I29" s="21">
        <f t="shared" si="8"/>
        <v>26522.06462878572</v>
      </c>
      <c r="J29" s="21">
        <f>Q69</f>
        <v>25967.145236059201</v>
      </c>
      <c r="K29" s="21">
        <f t="shared" si="9"/>
        <v>-554.91939272651871</v>
      </c>
      <c r="L29" s="18">
        <f t="shared" si="5"/>
        <v>-8.442792044768796E-2</v>
      </c>
      <c r="M29" s="18">
        <f t="shared" si="6"/>
        <v>-0.13797830198847003</v>
      </c>
      <c r="N29" s="18">
        <v>3.0790000000000002</v>
      </c>
      <c r="P29" s="56">
        <f>'Nr(V)'!A29</f>
        <v>13.5</v>
      </c>
      <c r="Q29" s="53">
        <f>'Nr(V)'!I29</f>
        <v>13574.913362437501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1.1611962236202089E-7</v>
      </c>
      <c r="C30" s="25">
        <v>1.032793071040055E-2</v>
      </c>
      <c r="D30" s="26">
        <f t="shared" si="4"/>
        <v>0.59174684080950157</v>
      </c>
      <c r="F30" s="17">
        <v>0.58038845302154896</v>
      </c>
      <c r="G30" s="18">
        <v>39.369999999999997</v>
      </c>
      <c r="H30" s="20">
        <f t="shared" si="7"/>
        <v>38.176570599747741</v>
      </c>
      <c r="I30" s="21">
        <f t="shared" si="8"/>
        <v>30466.137482151349</v>
      </c>
      <c r="J30" s="21">
        <f>Q75</f>
        <v>27375.939511229099</v>
      </c>
      <c r="K30" s="21">
        <f t="shared" si="9"/>
        <v>-3090.1979709222505</v>
      </c>
      <c r="L30" s="18">
        <f t="shared" si="5"/>
        <v>-0.47015655224219122</v>
      </c>
      <c r="M30" s="18">
        <f t="shared" si="6"/>
        <v>-0.70563350010749726</v>
      </c>
      <c r="N30" s="18">
        <v>2.073</v>
      </c>
      <c r="P30" s="56">
        <f>'Nr(V)'!A30</f>
        <v>14</v>
      </c>
      <c r="Q30" s="53">
        <f>'Nr(V)'!I30</f>
        <v>13868.5359377109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0</v>
      </c>
      <c r="C31" s="29">
        <v>0.11610530589003228</v>
      </c>
      <c r="D31" s="30">
        <f t="shared" si="4"/>
        <v>6.6523440065742676</v>
      </c>
      <c r="F31" s="17">
        <v>0.483331925835703</v>
      </c>
      <c r="G31" s="18">
        <v>27.9</v>
      </c>
      <c r="H31" s="20">
        <f t="shared" si="7"/>
        <v>41.834400853812753</v>
      </c>
      <c r="I31" s="21">
        <f t="shared" si="8"/>
        <v>36190.784999826668</v>
      </c>
      <c r="J31" s="21">
        <f>Q82</f>
        <v>29313.560466267601</v>
      </c>
      <c r="K31" s="21">
        <f t="shared" si="9"/>
        <v>-6877.2245335590669</v>
      </c>
      <c r="L31" s="18">
        <f t="shared" si="5"/>
        <v>-1.04633172570771</v>
      </c>
      <c r="M31" s="18">
        <f t="shared" si="6"/>
        <v>-1.4331899789898268</v>
      </c>
      <c r="N31" s="18">
        <v>1.2330000000000001</v>
      </c>
      <c r="P31" s="56">
        <f>'Nr(V)'!A31</f>
        <v>14.5</v>
      </c>
      <c r="Q31" s="53">
        <f>'Nr(V)'!I31</f>
        <v>14162.338539088099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9.9338876680121757E-8</v>
      </c>
      <c r="C32" s="32">
        <v>1.0754459783018916E-2</v>
      </c>
      <c r="D32" s="33">
        <f t="shared" si="4"/>
        <v>0.61618515651016303</v>
      </c>
      <c r="F32" s="17">
        <v>0.38026543690183146</v>
      </c>
      <c r="G32" s="18">
        <v>16.61</v>
      </c>
      <c r="H32" s="20">
        <f t="shared" si="7"/>
        <v>47.164242994468907</v>
      </c>
      <c r="I32" s="21">
        <f t="shared" si="8"/>
        <v>46904.584021739458</v>
      </c>
      <c r="J32" s="21">
        <f>Q93</f>
        <v>27131.9141275484</v>
      </c>
      <c r="K32" s="21">
        <f t="shared" si="9"/>
        <v>-19772.669894191058</v>
      </c>
      <c r="L32" s="18">
        <f t="shared" si="5"/>
        <v>-3.008302507978617</v>
      </c>
      <c r="M32" s="18">
        <f t="shared" si="6"/>
        <v>-3.657010325066564</v>
      </c>
      <c r="N32" s="18">
        <v>0.39200000000000002</v>
      </c>
      <c r="P32" s="56">
        <f>'Nr(V)'!A32</f>
        <v>15</v>
      </c>
      <c r="Q32" s="53">
        <f>'Nr(V)'!I32</f>
        <v>14573.518160133201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9.3052953196592611E-2</v>
      </c>
      <c r="D33" s="36">
        <f t="shared" si="4"/>
        <v>5.331541489393139</v>
      </c>
      <c r="F33" s="105">
        <v>0.33400000000000002</v>
      </c>
      <c r="G33" s="105">
        <v>12.24</v>
      </c>
      <c r="H33" s="20">
        <f t="shared" si="7"/>
        <v>50.324916325742485</v>
      </c>
      <c r="I33" s="21">
        <f t="shared" si="8"/>
        <v>54639.837119469979</v>
      </c>
      <c r="J33" s="21">
        <f>Q99</f>
        <v>23128.943696835999</v>
      </c>
      <c r="K33" s="21">
        <f t="shared" si="9"/>
        <v>-31510.893422633981</v>
      </c>
      <c r="L33" s="18">
        <f t="shared" si="5"/>
        <v>-4.794208380518505</v>
      </c>
      <c r="M33" s="18">
        <f t="shared" si="6"/>
        <v>-5.4665783481259611</v>
      </c>
      <c r="N33" s="18">
        <v>-0.13300000000000001</v>
      </c>
      <c r="P33" s="56">
        <f>'Nr(V)'!A33</f>
        <v>15.5</v>
      </c>
      <c r="Q33" s="53">
        <f>'Nr(V)'!I33</f>
        <v>15043.476304063999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2.8421709430404007E-12</v>
      </c>
      <c r="C34" s="25">
        <v>7.8385172573597461E-3</v>
      </c>
      <c r="D34" s="26">
        <f t="shared" si="4"/>
        <v>0.44911395648717478</v>
      </c>
      <c r="F34" s="109">
        <v>0.27900000000000003</v>
      </c>
      <c r="G34" s="42">
        <v>7.83</v>
      </c>
      <c r="H34" s="40">
        <f>SQRT((2*C$15)/(C$7*C$17*F34))</f>
        <v>55.06228034114848</v>
      </c>
      <c r="I34" s="41">
        <f>C$15*SQRT((2*C$15)/(C$17*C$7*G34))</f>
        <v>68315.495697648337</v>
      </c>
      <c r="J34" s="41">
        <f>Q108</f>
        <v>15359.7821684144</v>
      </c>
      <c r="K34" s="41">
        <f t="shared" si="9"/>
        <v>-52955.713529233937</v>
      </c>
      <c r="L34" s="42">
        <f>K34/C$15</f>
        <v>-8.0569193070175018</v>
      </c>
      <c r="M34" s="42">
        <f>DEGREES(ASIN(L34/H34))</f>
        <v>-8.413942099032754</v>
      </c>
      <c r="N34" s="42">
        <v>-0.8</v>
      </c>
      <c r="P34" s="56">
        <f>'Nr(V)'!A34</f>
        <v>16</v>
      </c>
      <c r="Q34" s="53">
        <f>'Nr(V)'!I34</f>
        <v>15337.2338989153</v>
      </c>
    </row>
    <row r="35" spans="1:17" ht="16.2" thickBot="1" x14ac:dyDescent="0.3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6.5817135602514204E-2</v>
      </c>
      <c r="D35" s="30">
        <f t="shared" si="4"/>
        <v>3.7710440896642945</v>
      </c>
      <c r="F35" s="65"/>
      <c r="G35" s="65"/>
      <c r="H35" s="60"/>
      <c r="I35" s="61"/>
      <c r="J35" s="61"/>
      <c r="K35" s="61"/>
      <c r="L35" s="59"/>
      <c r="M35" s="59"/>
      <c r="N35" s="59"/>
      <c r="P35" s="56">
        <f>'Nr(V)'!A35</f>
        <v>16.5</v>
      </c>
      <c r="Q35" s="53">
        <f>'Nr(V)'!I35</f>
        <v>15689.770016652399</v>
      </c>
    </row>
    <row r="36" spans="1:17" ht="18.600000000000001" thickBot="1" x14ac:dyDescent="0.3">
      <c r="A36" s="31">
        <v>15</v>
      </c>
      <c r="B36" s="24">
        <f>-K10*COS(C36+C37-C$3)+0.5*C$17*C$7*C$5*(C37-C$8)*I10^2*SIN(C36)+0.5*C$17*C$7*(C$11+1/PI()/C$10*C$5^2*(C37-C$8)^2)*I10^2*COS(C36)</f>
        <v>-1.4679858395538758E-7</v>
      </c>
      <c r="C36" s="32">
        <v>1.543889615084431E-3</v>
      </c>
      <c r="D36" s="33">
        <f t="shared" si="4"/>
        <v>8.84583589784151E-2</v>
      </c>
      <c r="F36" s="134" t="s">
        <v>201</v>
      </c>
      <c r="G36" s="135"/>
      <c r="H36" s="135"/>
      <c r="I36" s="135"/>
      <c r="J36" s="135"/>
      <c r="K36" s="135"/>
      <c r="L36" s="135"/>
      <c r="M36" s="135"/>
      <c r="N36" s="136"/>
      <c r="P36" s="56">
        <f>'Nr(V)'!A36</f>
        <v>17</v>
      </c>
      <c r="Q36" s="53">
        <f>'Nr(V)'!I36</f>
        <v>16218.6417030469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4.495897699677473E-2</v>
      </c>
      <c r="D37" s="36">
        <f t="shared" si="4"/>
        <v>2.5759596331409451</v>
      </c>
      <c r="F37" s="95" t="s">
        <v>1</v>
      </c>
      <c r="G37" s="95" t="s">
        <v>2</v>
      </c>
      <c r="H37" s="95" t="s">
        <v>76</v>
      </c>
      <c r="I37" s="95" t="s">
        <v>81</v>
      </c>
      <c r="J37" s="95" t="s">
        <v>77</v>
      </c>
      <c r="K37" s="95" t="s">
        <v>82</v>
      </c>
      <c r="L37" s="95" t="s">
        <v>80</v>
      </c>
      <c r="M37" s="95" t="s">
        <v>85</v>
      </c>
      <c r="N37" s="95" t="s">
        <v>79</v>
      </c>
      <c r="P37" s="56">
        <f>'Nr(V)'!A37</f>
        <v>17.5</v>
      </c>
      <c r="Q37" s="53">
        <f>'Nr(V)'!I37</f>
        <v>16747.4683829155</v>
      </c>
    </row>
    <row r="38" spans="1:17" ht="15.6" x14ac:dyDescent="0.25">
      <c r="A38" s="23">
        <v>17</v>
      </c>
      <c r="B38" s="24">
        <f>-K11*COS(C38+C39-C$3)+0.5*C$17*C$7*C$5*(C39-C$8)*I11^2*SIN(C38)+0.5*C$17*C$7*(C$11+1/PI()/C$10*C$5^2*(C39-C$8)^2)*I11^2*COS(C38)</f>
        <v>4.2064129956997931E-12</v>
      </c>
      <c r="C38" s="25">
        <v>-7.41344185326589E-3</v>
      </c>
      <c r="D38" s="26">
        <f t="shared" si="4"/>
        <v>-0.42475892985777886</v>
      </c>
      <c r="F38" s="98">
        <f t="shared" ref="F38:G49" si="10">F22</f>
        <v>1.5069999999999999</v>
      </c>
      <c r="G38" s="96">
        <f t="shared" si="10"/>
        <v>80.83</v>
      </c>
      <c r="H38" s="103">
        <f t="shared" ref="H38:H49" si="11">SQRT((2*C$2)/(C$7*C$17*F38))</f>
        <v>24.388856687479667</v>
      </c>
      <c r="I38" s="102">
        <f t="shared" ref="I38:I49" si="12">C$2*SQRT((2*C$2)/(C$17*C$7*G38))</f>
        <v>23194.720020019518</v>
      </c>
      <c r="J38" s="102">
        <f>Q51</f>
        <v>21270.0841622035</v>
      </c>
      <c r="K38" s="102">
        <f t="shared" ref="K38:K49" si="13">(J38-I38)</f>
        <v>-1924.635857816018</v>
      </c>
      <c r="L38" s="104">
        <f t="shared" ref="L38:L49" si="14">K38/C$2</f>
        <v>-0.27632566048097196</v>
      </c>
      <c r="M38" s="104">
        <f t="shared" ref="M38:M49" si="15">DEGREES(ASIN(L38/H38))</f>
        <v>-0.64917486981834238</v>
      </c>
      <c r="N38" s="97">
        <f t="shared" ref="N38:N49" si="16">N22</f>
        <v>13.202</v>
      </c>
      <c r="P38" s="56">
        <f>'Nr(V)'!A38</f>
        <v>18</v>
      </c>
      <c r="Q38" s="53">
        <f>'Nr(V)'!I38</f>
        <v>17041.180971240799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2.8636512423044807E-2</v>
      </c>
      <c r="D39" s="30">
        <f t="shared" si="4"/>
        <v>1.640751301814418</v>
      </c>
      <c r="F39" s="99">
        <f t="shared" si="10"/>
        <v>1.4</v>
      </c>
      <c r="G39" s="38">
        <f t="shared" si="10"/>
        <v>82.93</v>
      </c>
      <c r="H39" s="20">
        <f t="shared" si="11"/>
        <v>25.303701170513282</v>
      </c>
      <c r="I39" s="21">
        <f t="shared" si="12"/>
        <v>22899.162093061404</v>
      </c>
      <c r="J39" s="21">
        <f>Q53</f>
        <v>21622.350240784901</v>
      </c>
      <c r="K39" s="21">
        <f t="shared" si="13"/>
        <v>-1276.8118522765035</v>
      </c>
      <c r="L39" s="18">
        <f t="shared" si="14"/>
        <v>-0.18331565265057262</v>
      </c>
      <c r="M39" s="18">
        <f t="shared" si="15"/>
        <v>-0.41508967494218141</v>
      </c>
      <c r="N39" s="19">
        <f t="shared" si="16"/>
        <v>11.19</v>
      </c>
      <c r="P39" s="56">
        <f>'Nr(V)'!A39</f>
        <v>18.5</v>
      </c>
      <c r="Q39" s="53">
        <f>'Nr(V)'!I39</f>
        <v>17687.609703406899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-1.1011991318810033E-7</v>
      </c>
      <c r="C40" s="32">
        <v>-2.0478770459453285E-2</v>
      </c>
      <c r="D40" s="33">
        <f t="shared" si="4"/>
        <v>-1.173347116943859</v>
      </c>
      <c r="F40" s="99">
        <f t="shared" si="10"/>
        <v>1.2976294821560448</v>
      </c>
      <c r="G40" s="38">
        <f t="shared" si="10"/>
        <v>83.61</v>
      </c>
      <c r="H40" s="20">
        <f t="shared" si="11"/>
        <v>26.282865694024309</v>
      </c>
      <c r="I40" s="21">
        <f t="shared" si="12"/>
        <v>22805.852559310992</v>
      </c>
      <c r="J40" s="21">
        <f>Q54</f>
        <v>22151.041901075601</v>
      </c>
      <c r="K40" s="21">
        <f t="shared" si="13"/>
        <v>-654.81065823539029</v>
      </c>
      <c r="L40" s="18">
        <f t="shared" si="14"/>
        <v>-9.4013102214668881E-2</v>
      </c>
      <c r="M40" s="18">
        <f t="shared" si="15"/>
        <v>-0.20494589612855194</v>
      </c>
      <c r="N40" s="19">
        <f t="shared" si="16"/>
        <v>9.6229999999999993</v>
      </c>
      <c r="P40" s="56">
        <f>'Nr(V)'!A40</f>
        <v>19</v>
      </c>
      <c r="Q40" s="53">
        <f>'Nr(V)'!I40</f>
        <v>18098.924344029801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1.5620596617088374E-2</v>
      </c>
      <c r="D41" s="36">
        <f t="shared" si="4"/>
        <v>0.89499425963549506</v>
      </c>
      <c r="F41" s="99">
        <f t="shared" si="10"/>
        <v>1.1970000000000001</v>
      </c>
      <c r="G41" s="38">
        <f t="shared" si="10"/>
        <v>82.42</v>
      </c>
      <c r="H41" s="20">
        <f t="shared" si="11"/>
        <v>27.365349091658693</v>
      </c>
      <c r="I41" s="21">
        <f t="shared" si="12"/>
        <v>22969.900761621833</v>
      </c>
      <c r="J41" s="21">
        <f>Q57</f>
        <v>22737.791979836999</v>
      </c>
      <c r="K41" s="21">
        <f t="shared" si="13"/>
        <v>-232.10878178483472</v>
      </c>
      <c r="L41" s="18">
        <f t="shared" si="14"/>
        <v>-3.3324544053184406E-2</v>
      </c>
      <c r="M41" s="18">
        <f t="shared" si="15"/>
        <v>-6.9772769715577138E-2</v>
      </c>
      <c r="N41" s="19">
        <f t="shared" si="16"/>
        <v>8.0570000000000004</v>
      </c>
      <c r="P41" s="56">
        <f>'Nr(V)'!A41</f>
        <v>19.5</v>
      </c>
      <c r="Q41" s="53">
        <f>'Nr(V)'!I41</f>
        <v>18392.681938881102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-1.5669024833186995E-7</v>
      </c>
      <c r="C42" s="25">
        <v>-3.474346168213148E-2</v>
      </c>
      <c r="D42" s="26">
        <f t="shared" si="4"/>
        <v>-1.9906537200606296</v>
      </c>
      <c r="F42" s="99">
        <f t="shared" si="10"/>
        <v>0.99199999999999999</v>
      </c>
      <c r="G42" s="38">
        <f t="shared" si="10"/>
        <v>77.64</v>
      </c>
      <c r="H42" s="20">
        <f t="shared" si="11"/>
        <v>30.0602253364058</v>
      </c>
      <c r="I42" s="21">
        <f t="shared" si="12"/>
        <v>23666.425073266772</v>
      </c>
      <c r="J42" s="21">
        <f>Q62</f>
        <v>24205.904856204099</v>
      </c>
      <c r="K42" s="21">
        <f t="shared" si="13"/>
        <v>539.4797829373274</v>
      </c>
      <c r="L42" s="18">
        <f t="shared" si="14"/>
        <v>7.7454707461102834E-2</v>
      </c>
      <c r="M42" s="18">
        <f t="shared" si="15"/>
        <v>0.14763138671932471</v>
      </c>
      <c r="N42" s="19">
        <f t="shared" si="16"/>
        <v>6.1870000000000003</v>
      </c>
      <c r="P42" s="56">
        <f>'Nr(V)'!A42</f>
        <v>20</v>
      </c>
      <c r="Q42" s="53">
        <f>'Nr(V)'!I42</f>
        <v>18921.553625275599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8.3386181274508978E-3</v>
      </c>
      <c r="D43" s="30">
        <f t="shared" si="4"/>
        <v>0.47776762567421804</v>
      </c>
      <c r="F43" s="99">
        <f t="shared" si="10"/>
        <v>0.89051118930908912</v>
      </c>
      <c r="G43" s="38">
        <f t="shared" si="10"/>
        <v>71.59</v>
      </c>
      <c r="H43" s="20">
        <f t="shared" si="11"/>
        <v>31.726953896170023</v>
      </c>
      <c r="I43" s="21">
        <f t="shared" si="12"/>
        <v>24646.158821300061</v>
      </c>
      <c r="J43" s="21">
        <f>Q65</f>
        <v>25027.949052612599</v>
      </c>
      <c r="K43" s="21">
        <f t="shared" si="13"/>
        <v>381.7902313125378</v>
      </c>
      <c r="L43" s="18">
        <f t="shared" si="14"/>
        <v>5.4814752309735364E-2</v>
      </c>
      <c r="M43" s="18">
        <f t="shared" si="15"/>
        <v>9.8990137380858476E-2</v>
      </c>
      <c r="N43" s="19">
        <f t="shared" si="16"/>
        <v>5.3460000000000001</v>
      </c>
      <c r="P43" s="56">
        <f>'Nr(V)'!A43</f>
        <v>20.5</v>
      </c>
      <c r="Q43" s="53">
        <f>'Nr(V)'!I43</f>
        <v>19273.9097169089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1.9076139778917423E-7</v>
      </c>
      <c r="C44" s="32">
        <v>-5.1031609471542325E-2</v>
      </c>
      <c r="D44" s="33">
        <f t="shared" si="4"/>
        <v>-2.9238958444792127</v>
      </c>
      <c r="F44" s="99">
        <f t="shared" si="10"/>
        <v>0.78877734406717104</v>
      </c>
      <c r="G44" s="38">
        <f t="shared" si="10"/>
        <v>62.64</v>
      </c>
      <c r="H44" s="20">
        <f t="shared" si="11"/>
        <v>33.71093932499425</v>
      </c>
      <c r="I44" s="21">
        <f t="shared" si="12"/>
        <v>26348.114948142324</v>
      </c>
      <c r="J44" s="21">
        <f>Q69</f>
        <v>25967.145236059201</v>
      </c>
      <c r="K44" s="21">
        <f t="shared" si="13"/>
        <v>-380.96971208312243</v>
      </c>
      <c r="L44" s="18">
        <f t="shared" si="14"/>
        <v>-5.4696947938022773E-2</v>
      </c>
      <c r="M44" s="18">
        <f t="shared" si="15"/>
        <v>-9.2964055790193567E-2</v>
      </c>
      <c r="N44" s="19">
        <f t="shared" si="16"/>
        <v>4.1539999999999999</v>
      </c>
      <c r="P44" s="56">
        <f>'Nr(V)'!A44</f>
        <v>21</v>
      </c>
      <c r="Q44" s="53">
        <f>'Nr(V)'!I44</f>
        <v>19508.708762770599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-1.4260876923799515E-9</v>
      </c>
      <c r="C45" s="35">
        <v>1.9489047463395984E-3</v>
      </c>
      <c r="D45" s="36">
        <f t="shared" si="4"/>
        <v>0.11166401663827326</v>
      </c>
      <c r="F45" s="99">
        <f t="shared" si="10"/>
        <v>0.68820194072740959</v>
      </c>
      <c r="G45" s="38">
        <f t="shared" si="10"/>
        <v>51.95</v>
      </c>
      <c r="H45" s="20">
        <f t="shared" si="11"/>
        <v>36.090269189939576</v>
      </c>
      <c r="I45" s="21">
        <f t="shared" si="12"/>
        <v>28932.279239703621</v>
      </c>
      <c r="J45" s="21">
        <f>Q74</f>
        <v>27258.742517664999</v>
      </c>
      <c r="K45" s="21">
        <f t="shared" si="13"/>
        <v>-1673.5367220386215</v>
      </c>
      <c r="L45" s="18">
        <f t="shared" si="14"/>
        <v>-0.24027461515823484</v>
      </c>
      <c r="M45" s="18">
        <f t="shared" si="15"/>
        <v>-0.38145526155079468</v>
      </c>
      <c r="N45" s="19">
        <f t="shared" si="16"/>
        <v>3.0790000000000002</v>
      </c>
      <c r="P45" s="56">
        <f>'Nr(V)'!A45</f>
        <v>21.5</v>
      </c>
      <c r="Q45" s="53">
        <f>'Nr(V)'!I45</f>
        <v>19567.172239974701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1.3302144452609355E-7</v>
      </c>
      <c r="C46" s="25">
        <v>-7.1368108278217102E-2</v>
      </c>
      <c r="D46" s="26">
        <f t="shared" si="4"/>
        <v>-4.0890913961745126</v>
      </c>
      <c r="F46" s="99">
        <f t="shared" si="10"/>
        <v>0.58038845302154896</v>
      </c>
      <c r="G46" s="38">
        <f t="shared" si="10"/>
        <v>39.369999999999997</v>
      </c>
      <c r="H46" s="20">
        <f t="shared" si="11"/>
        <v>39.299650322356122</v>
      </c>
      <c r="I46" s="21">
        <f t="shared" si="12"/>
        <v>33234.772983401781</v>
      </c>
      <c r="J46" s="21">
        <f>Q81</f>
        <v>28961.294387686201</v>
      </c>
      <c r="K46" s="21">
        <f t="shared" si="13"/>
        <v>-4273.47859571558</v>
      </c>
      <c r="L46" s="18">
        <f t="shared" si="14"/>
        <v>-0.6135559569447071</v>
      </c>
      <c r="M46" s="18">
        <f t="shared" si="15"/>
        <v>-0.89455236343083833</v>
      </c>
      <c r="N46" s="19">
        <f t="shared" si="16"/>
        <v>2.073</v>
      </c>
      <c r="P46" s="56">
        <f>'Nr(V)'!A46</f>
        <v>22</v>
      </c>
      <c r="Q46" s="53">
        <f>'Nr(V)'!I46</f>
        <v>19919.528331607999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0</v>
      </c>
      <c r="C47" s="29">
        <v>-3.7081900267934361E-3</v>
      </c>
      <c r="D47" s="30">
        <f t="shared" si="4"/>
        <v>-0.21246363816776753</v>
      </c>
      <c r="F47" s="99">
        <f t="shared" si="10"/>
        <v>0.483331925835703</v>
      </c>
      <c r="G47" s="38">
        <f t="shared" si="10"/>
        <v>27.9</v>
      </c>
      <c r="H47" s="20">
        <f t="shared" si="11"/>
        <v>43.065086757975607</v>
      </c>
      <c r="I47" s="21">
        <f t="shared" si="12"/>
        <v>39479.652590191341</v>
      </c>
      <c r="J47" s="21">
        <f>Q88</f>
        <v>28840.181826364798</v>
      </c>
      <c r="K47" s="21">
        <f t="shared" si="13"/>
        <v>-10639.470763826543</v>
      </c>
      <c r="L47" s="18">
        <f t="shared" si="14"/>
        <v>-1.5275402741994433</v>
      </c>
      <c r="M47" s="18">
        <f t="shared" si="15"/>
        <v>-2.0327365015300916</v>
      </c>
      <c r="N47" s="19">
        <f t="shared" si="16"/>
        <v>1.2330000000000001</v>
      </c>
      <c r="P47" s="56">
        <f>'Nr(V)'!A47</f>
        <v>22.5</v>
      </c>
      <c r="Q47" s="53">
        <f>'Nr(V)'!I47</f>
        <v>20095.5488545839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-4.215132776153041E-8</v>
      </c>
      <c r="C48" s="32">
        <v>-9.3178096833230625E-2</v>
      </c>
      <c r="D48" s="33">
        <f t="shared" si="4"/>
        <v>-5.3387116916054165</v>
      </c>
      <c r="F48" s="99">
        <f t="shared" si="10"/>
        <v>0.38026543690183146</v>
      </c>
      <c r="G48" s="38">
        <f t="shared" si="10"/>
        <v>16.61</v>
      </c>
      <c r="H48" s="20">
        <f t="shared" si="11"/>
        <v>48.551722385810891</v>
      </c>
      <c r="I48" s="21">
        <f t="shared" si="12"/>
        <v>51167.07698035791</v>
      </c>
      <c r="J48" s="21">
        <f>Q99</f>
        <v>23128.943696835999</v>
      </c>
      <c r="K48" s="21">
        <f t="shared" si="13"/>
        <v>-28038.133283521911</v>
      </c>
      <c r="L48" s="18">
        <f t="shared" si="14"/>
        <v>-4.0255176930010927</v>
      </c>
      <c r="M48" s="18">
        <f t="shared" si="15"/>
        <v>-4.7559641790320502</v>
      </c>
      <c r="N48" s="19">
        <f t="shared" si="16"/>
        <v>0.39200000000000002</v>
      </c>
      <c r="P48" s="56">
        <f>'Nr(V)'!A48</f>
        <v>23</v>
      </c>
      <c r="Q48" s="53">
        <f>'Nr(V)'!I48</f>
        <v>20389.261442909199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-8.7412232784173961E-3</v>
      </c>
      <c r="D49" s="36">
        <f t="shared" si="4"/>
        <v>-0.50083520163482576</v>
      </c>
      <c r="F49" s="99">
        <f t="shared" si="10"/>
        <v>0.33400000000000002</v>
      </c>
      <c r="G49" s="38">
        <f t="shared" si="10"/>
        <v>12.24</v>
      </c>
      <c r="H49" s="20">
        <f t="shared" si="11"/>
        <v>51.805376518460214</v>
      </c>
      <c r="I49" s="21">
        <f t="shared" si="12"/>
        <v>59605.277616156913</v>
      </c>
      <c r="J49" s="21">
        <f>Q106</f>
        <v>17125.478194338099</v>
      </c>
      <c r="K49" s="21">
        <f t="shared" si="13"/>
        <v>-42479.799421818811</v>
      </c>
      <c r="L49" s="18">
        <f t="shared" si="14"/>
        <v>-6.0989503986760862</v>
      </c>
      <c r="M49" s="18">
        <f t="shared" si="15"/>
        <v>-6.761004903644241</v>
      </c>
      <c r="N49" s="19">
        <f t="shared" si="16"/>
        <v>-0.13300000000000001</v>
      </c>
      <c r="P49" s="56">
        <f>'Nr(V)'!A49</f>
        <v>23.5</v>
      </c>
      <c r="Q49" s="53">
        <f>'Nr(V)'!I49</f>
        <v>20741.6175345425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4.2108922571060248E-8</v>
      </c>
      <c r="C50" s="25">
        <v>-0.11480446815952315</v>
      </c>
      <c r="D50" s="26">
        <f t="shared" si="4"/>
        <v>-6.5778114947847186</v>
      </c>
      <c r="P50" s="56">
        <f>'Nr(V)'!A50</f>
        <v>24</v>
      </c>
      <c r="Q50" s="53">
        <f>'Nr(V)'!I50</f>
        <v>20917.683064044199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-1.3232450687611991E-2</v>
      </c>
      <c r="D51" s="30">
        <f t="shared" si="4"/>
        <v>-0.75816357701515125</v>
      </c>
      <c r="P51" s="56">
        <f>'Nr(V)'!A51</f>
        <v>24.5</v>
      </c>
      <c r="Q51" s="53">
        <f>'Nr(V)'!I51</f>
        <v>21270.0841622035</v>
      </c>
    </row>
    <row r="52" spans="1:17" ht="16.2" thickBot="1" x14ac:dyDescent="0.3">
      <c r="F52" s="106"/>
      <c r="G52" s="14"/>
      <c r="H52" s="64"/>
      <c r="I52" s="57"/>
      <c r="J52" s="57"/>
      <c r="K52" s="57"/>
      <c r="L52" s="63"/>
      <c r="M52" s="63"/>
      <c r="N52" s="66"/>
      <c r="P52" s="56">
        <f>'Nr(V)'!A52</f>
        <v>25</v>
      </c>
      <c r="Q52" s="53">
        <f>'Nr(V)'!I52</f>
        <v>21504.838201539202</v>
      </c>
    </row>
    <row r="53" spans="1:17" ht="18.600000000000001" thickBot="1" x14ac:dyDescent="0.3">
      <c r="I53" s="134" t="s">
        <v>200</v>
      </c>
      <c r="J53" s="135"/>
      <c r="K53" s="135"/>
      <c r="L53" s="135"/>
      <c r="M53" s="135"/>
      <c r="N53" s="136"/>
      <c r="P53" s="56">
        <f>'Nr(V)'!A53</f>
        <v>25.5</v>
      </c>
      <c r="Q53" s="53">
        <f>'Nr(V)'!I53</f>
        <v>21622.350240784901</v>
      </c>
    </row>
    <row r="54" spans="1:17" ht="18.600000000000001" thickBot="1" x14ac:dyDescent="0.3">
      <c r="D54" s="56" t="s">
        <v>149</v>
      </c>
      <c r="E54" s="56" t="s">
        <v>150</v>
      </c>
      <c r="F54" s="14" t="s">
        <v>151</v>
      </c>
      <c r="G54" s="14" t="s">
        <v>152</v>
      </c>
      <c r="I54" s="100" t="s">
        <v>76</v>
      </c>
      <c r="J54" s="100" t="s">
        <v>77</v>
      </c>
      <c r="K54" s="100" t="s">
        <v>78</v>
      </c>
      <c r="L54" s="100" t="s">
        <v>79</v>
      </c>
      <c r="M54" s="100" t="s">
        <v>85</v>
      </c>
      <c r="N54" s="100" t="s">
        <v>80</v>
      </c>
      <c r="P54" s="56">
        <f>'Nr(V)'!A54</f>
        <v>26</v>
      </c>
      <c r="Q54" s="53">
        <f>'Nr(V)'!I54</f>
        <v>22151.041901075601</v>
      </c>
    </row>
    <row r="55" spans="1:17" ht="15.6" x14ac:dyDescent="0.25">
      <c r="D55" s="24">
        <f t="shared" ref="D55:D69" si="17">-K55*COS(E55+F55-C$3)+0.5*C$17*C$7*C$5*(F55-C$8)*I55^2*SIN(E55)+0.5*C$17*C$7*(C$11+1/PI()/C$10*C$5^2*(F55-C$8)^2)*I55^2*COS(E55)</f>
        <v>1.6183425941562746E-5</v>
      </c>
      <c r="E55" s="25">
        <v>-6.4995163936359159E-3</v>
      </c>
      <c r="F55" s="29">
        <v>0.18635574663664731</v>
      </c>
      <c r="G55" s="28">
        <f t="shared" ref="G55:G69" si="18">K55*SIN(E55+F55-C$3)+0.5*C$17*C$7*C$5*(F55-C$8)*I55^2*COS(E55)-0.5*C$17*C$7*(C$11+1/PI()/C$10*C$5^2*(F55-C$8)^2)*I55^2*SIN(E55)-C$2</f>
        <v>5.0805783757823519E-6</v>
      </c>
      <c r="I55" s="103">
        <f>SQRT(2*C$2/C$7/C$16/C17)</f>
        <v>24.388856687479667</v>
      </c>
      <c r="J55" s="102">
        <f>Q51</f>
        <v>21270.0841622035</v>
      </c>
      <c r="K55" s="102">
        <f>J55/I55</f>
        <v>872.12305335833037</v>
      </c>
      <c r="L55" s="104">
        <f>DEGREES(F55)</f>
        <v>10.677397770289177</v>
      </c>
      <c r="M55" s="104">
        <f>DEGREES(E55)</f>
        <v>-0.37239485823142743</v>
      </c>
      <c r="N55" s="104">
        <f>I55*SIN(RADIANS(M55))</f>
        <v>-0.15851465781551624</v>
      </c>
      <c r="P55" s="56">
        <f>'Nr(V)'!A55</f>
        <v>26.5</v>
      </c>
      <c r="Q55" s="53">
        <f>'Nr(V)'!I55</f>
        <v>22444.4844502452</v>
      </c>
    </row>
    <row r="56" spans="1:17" ht="15.6" x14ac:dyDescent="0.25">
      <c r="D56" s="24">
        <f t="shared" si="17"/>
        <v>-2.492928933861549E-5</v>
      </c>
      <c r="E56" s="32">
        <v>-4.9576964876789338E-3</v>
      </c>
      <c r="F56" s="35">
        <v>0.17456576157409354</v>
      </c>
      <c r="G56" s="28">
        <f t="shared" si="18"/>
        <v>1.1060541146434844E-4</v>
      </c>
      <c r="I56" s="20">
        <v>25</v>
      </c>
      <c r="J56" s="21">
        <f>Q52</f>
        <v>21504.838201539202</v>
      </c>
      <c r="K56" s="21">
        <f t="shared" ref="K56:K69" si="19">J56/I56</f>
        <v>860.19352806156803</v>
      </c>
      <c r="L56" s="18">
        <f t="shared" ref="L56:L69" si="20">DEGREES(F56)</f>
        <v>10.001881385682562</v>
      </c>
      <c r="M56" s="18">
        <f t="shared" ref="M56:M69" si="21">DEGREES(E56)</f>
        <v>-0.28405508485083486</v>
      </c>
      <c r="N56" s="18">
        <f t="shared" ref="N56:N69" si="22">I56*SIN(RADIANS(M56))</f>
        <v>-0.12394190446757782</v>
      </c>
      <c r="P56" s="56">
        <f>'Nr(V)'!A56</f>
        <v>27</v>
      </c>
      <c r="Q56" s="53">
        <f>'Nr(V)'!I56</f>
        <v>22679.418515684702</v>
      </c>
    </row>
    <row r="57" spans="1:17" ht="15.6" x14ac:dyDescent="0.25">
      <c r="D57" s="24">
        <f t="shared" si="17"/>
        <v>-7.4486440439613943E-5</v>
      </c>
      <c r="E57" s="25">
        <v>-4.3298492302885861E-3</v>
      </c>
      <c r="F57" s="29">
        <v>0.16552387608935629</v>
      </c>
      <c r="G57" s="28">
        <f t="shared" si="18"/>
        <v>3.9445512811653316E-7</v>
      </c>
      <c r="I57" s="20">
        <v>25.5</v>
      </c>
      <c r="J57" s="21">
        <f>Q53</f>
        <v>21622.350240784901</v>
      </c>
      <c r="K57" s="21">
        <f t="shared" si="19"/>
        <v>847.93530356019221</v>
      </c>
      <c r="L57" s="18">
        <f t="shared" si="20"/>
        <v>9.4838195085665173</v>
      </c>
      <c r="M57" s="18">
        <f t="shared" si="21"/>
        <v>-0.24808208682350405</v>
      </c>
      <c r="N57" s="18">
        <f t="shared" si="22"/>
        <v>-0.11041081038209011</v>
      </c>
      <c r="P57" s="56">
        <f>'Nr(V)'!A57</f>
        <v>27.5</v>
      </c>
      <c r="Q57" s="53">
        <f>'Nr(V)'!I57</f>
        <v>22737.791979836999</v>
      </c>
    </row>
    <row r="58" spans="1:17" ht="15.6" x14ac:dyDescent="0.25">
      <c r="D58" s="24">
        <f t="shared" si="17"/>
        <v>6.4847438352444442E-6</v>
      </c>
      <c r="E58" s="32">
        <v>-1.5537920473699947E-3</v>
      </c>
      <c r="F58" s="35">
        <v>0.15690159557606032</v>
      </c>
      <c r="G58" s="28">
        <f t="shared" si="18"/>
        <v>0</v>
      </c>
      <c r="I58" s="20">
        <f t="shared" ref="I58:I69" si="23">I6</f>
        <v>26</v>
      </c>
      <c r="J58" s="21">
        <f>Q54</f>
        <v>22151.041901075601</v>
      </c>
      <c r="K58" s="21">
        <f t="shared" si="19"/>
        <v>851.96315004136932</v>
      </c>
      <c r="L58" s="18">
        <f t="shared" si="20"/>
        <v>8.989799225376764</v>
      </c>
      <c r="M58" s="18">
        <f t="shared" si="21"/>
        <v>-8.9025726555291979E-2</v>
      </c>
      <c r="N58" s="18">
        <f t="shared" si="22"/>
        <v>-4.0398576976105056E-2</v>
      </c>
      <c r="P58" s="56">
        <f>'Nr(V)'!A58</f>
        <v>28</v>
      </c>
      <c r="Q58" s="53">
        <f>'Nr(V)'!I58</f>
        <v>23090.283091048099</v>
      </c>
    </row>
    <row r="59" spans="1:17" ht="15.6" x14ac:dyDescent="0.25">
      <c r="D59" s="24">
        <f t="shared" si="17"/>
        <v>5.5591100021956663E-5</v>
      </c>
      <c r="E59" s="25">
        <v>1.2213005194320122E-3</v>
      </c>
      <c r="F59" s="29">
        <v>0.12691053800225072</v>
      </c>
      <c r="G59" s="28">
        <f t="shared" si="18"/>
        <v>1.4551915228366852E-11</v>
      </c>
      <c r="I59" s="20">
        <f t="shared" si="23"/>
        <v>28</v>
      </c>
      <c r="J59" s="21">
        <f>Q58</f>
        <v>23090.283091048099</v>
      </c>
      <c r="K59" s="21">
        <f t="shared" si="19"/>
        <v>824.65296753743212</v>
      </c>
      <c r="L59" s="18">
        <f t="shared" si="20"/>
        <v>7.271438203263612</v>
      </c>
      <c r="M59" s="18">
        <f t="shared" si="21"/>
        <v>6.997536528058948E-2</v>
      </c>
      <c r="N59" s="18">
        <f t="shared" si="22"/>
        <v>3.4196406043011038E-2</v>
      </c>
      <c r="P59" s="56">
        <f>'Nr(V)'!A59</f>
        <v>28.5</v>
      </c>
      <c r="Q59" s="53">
        <f>'Nr(V)'!I59</f>
        <v>23325.037130383898</v>
      </c>
    </row>
    <row r="60" spans="1:17" ht="15.6" x14ac:dyDescent="0.25">
      <c r="D60" s="24">
        <f t="shared" si="17"/>
        <v>-6.8161417971168703E-5</v>
      </c>
      <c r="E60" s="32">
        <v>2.7032333765346938E-3</v>
      </c>
      <c r="F60" s="35">
        <v>0.10249680547897513</v>
      </c>
      <c r="G60" s="28">
        <f t="shared" si="18"/>
        <v>-9.0949470177292824E-12</v>
      </c>
      <c r="I60" s="20">
        <f t="shared" si="23"/>
        <v>30</v>
      </c>
      <c r="J60" s="21">
        <f>Q62</f>
        <v>24205.904856204099</v>
      </c>
      <c r="K60" s="21">
        <f t="shared" si="19"/>
        <v>806.86349520680335</v>
      </c>
      <c r="L60" s="18">
        <f t="shared" si="20"/>
        <v>5.8726343675186472</v>
      </c>
      <c r="M60" s="18">
        <f t="shared" si="21"/>
        <v>0.15488386351433686</v>
      </c>
      <c r="N60" s="18">
        <f t="shared" si="22"/>
        <v>8.1096902527083597E-2</v>
      </c>
      <c r="P60" s="56">
        <f>'Nr(V)'!A60</f>
        <v>29</v>
      </c>
      <c r="Q60" s="53">
        <f>'Nr(V)'!I60</f>
        <v>23677.393222017101</v>
      </c>
    </row>
    <row r="61" spans="1:17" ht="15.6" x14ac:dyDescent="0.25">
      <c r="D61" s="24">
        <f t="shared" si="17"/>
        <v>2.1366281544032972E-6</v>
      </c>
      <c r="E61" s="25">
        <v>1.2276942862915374E-3</v>
      </c>
      <c r="F61" s="29">
        <v>7.3648819175342398E-2</v>
      </c>
      <c r="G61" s="28">
        <f t="shared" si="18"/>
        <v>-1.8189894035458565E-11</v>
      </c>
      <c r="I61" s="20">
        <f t="shared" si="23"/>
        <v>33</v>
      </c>
      <c r="J61" s="21">
        <f>Q68</f>
        <v>25791.1247130833</v>
      </c>
      <c r="K61" s="21">
        <f t="shared" si="19"/>
        <v>781.54923372979692</v>
      </c>
      <c r="L61" s="18">
        <f t="shared" si="20"/>
        <v>4.2197665048692876</v>
      </c>
      <c r="M61" s="18">
        <f t="shared" si="21"/>
        <v>7.03417011368309E-2</v>
      </c>
      <c r="N61" s="18">
        <f t="shared" si="22"/>
        <v>4.0513901270302369E-2</v>
      </c>
      <c r="P61" s="56">
        <f>'Nr(V)'!A61</f>
        <v>29.5</v>
      </c>
      <c r="Q61" s="53">
        <f>'Nr(V)'!I61</f>
        <v>24029.929339754199</v>
      </c>
    </row>
    <row r="62" spans="1:17" ht="15.6" x14ac:dyDescent="0.25">
      <c r="D62" s="24">
        <f t="shared" si="17"/>
        <v>1.8296268763151602E-5</v>
      </c>
      <c r="E62" s="32">
        <v>-3.7356297479238191E-3</v>
      </c>
      <c r="F62" s="35">
        <v>5.1554804058526797E-2</v>
      </c>
      <c r="G62" s="28">
        <f t="shared" si="18"/>
        <v>7.0122041506692767E-10</v>
      </c>
      <c r="I62" s="20">
        <f t="shared" si="23"/>
        <v>36</v>
      </c>
      <c r="J62" s="21">
        <f>Q74</f>
        <v>27258.742517664999</v>
      </c>
      <c r="K62" s="21">
        <f t="shared" si="19"/>
        <v>757.18729215736107</v>
      </c>
      <c r="L62" s="18">
        <f t="shared" si="20"/>
        <v>2.9538726861775131</v>
      </c>
      <c r="M62" s="18">
        <f t="shared" si="21"/>
        <v>-0.21403581837955443</v>
      </c>
      <c r="N62" s="18">
        <f t="shared" si="22"/>
        <v>-0.13448235814277457</v>
      </c>
      <c r="P62" s="56">
        <f>'Nr(V)'!A62</f>
        <v>30</v>
      </c>
      <c r="Q62" s="53">
        <f>'Nr(V)'!I62</f>
        <v>24205.904856204099</v>
      </c>
    </row>
    <row r="63" spans="1:17" ht="15.6" x14ac:dyDescent="0.25">
      <c r="D63" s="24">
        <f t="shared" si="17"/>
        <v>-3.5791829304798739E-6</v>
      </c>
      <c r="E63" s="25">
        <v>-1.1425367219034643E-2</v>
      </c>
      <c r="F63" s="29">
        <v>3.4265761190995947E-2</v>
      </c>
      <c r="G63" s="28">
        <f t="shared" si="18"/>
        <v>0</v>
      </c>
      <c r="I63" s="20">
        <f t="shared" si="23"/>
        <v>39</v>
      </c>
      <c r="J63" s="21">
        <f>Q80</f>
        <v>28608.893289526899</v>
      </c>
      <c r="K63" s="21">
        <f t="shared" si="19"/>
        <v>733.56136639812564</v>
      </c>
      <c r="L63" s="18">
        <f t="shared" si="20"/>
        <v>1.9632834980472369</v>
      </c>
      <c r="M63" s="18">
        <f t="shared" si="21"/>
        <v>-0.65462532103780746</v>
      </c>
      <c r="N63" s="18">
        <f t="shared" si="22"/>
        <v>-0.44557962714035715</v>
      </c>
      <c r="P63" s="56">
        <f>'Nr(V)'!A63</f>
        <v>30.5</v>
      </c>
      <c r="Q63" s="53">
        <f>'Nr(V)'!I63</f>
        <v>24440.703902065699</v>
      </c>
    </row>
    <row r="64" spans="1:17" ht="15.6" x14ac:dyDescent="0.25">
      <c r="D64" s="24">
        <f t="shared" si="17"/>
        <v>9.3126590172687429E-6</v>
      </c>
      <c r="E64" s="32">
        <v>-2.3148081435605941E-2</v>
      </c>
      <c r="F64" s="35">
        <v>2.048093219731727E-2</v>
      </c>
      <c r="G64" s="28">
        <f t="shared" si="18"/>
        <v>2.1827872842550278E-11</v>
      </c>
      <c r="I64" s="20">
        <f t="shared" si="23"/>
        <v>42</v>
      </c>
      <c r="J64" s="21">
        <f>Q86</f>
        <v>29311.805211755702</v>
      </c>
      <c r="K64" s="21">
        <f t="shared" si="19"/>
        <v>697.90012408942152</v>
      </c>
      <c r="L64" s="18">
        <f t="shared" si="20"/>
        <v>1.1734709753998789</v>
      </c>
      <c r="M64" s="18">
        <f t="shared" si="21"/>
        <v>-1.3262873700853521</v>
      </c>
      <c r="N64" s="18">
        <f t="shared" si="22"/>
        <v>-0.97213259797092233</v>
      </c>
      <c r="P64" s="56">
        <f>'Nr(V)'!A64</f>
        <v>31</v>
      </c>
      <c r="Q64" s="53">
        <f>'Nr(V)'!I64</f>
        <v>24793.105000225001</v>
      </c>
    </row>
    <row r="65" spans="4:17" ht="15.6" x14ac:dyDescent="0.25">
      <c r="D65" s="24">
        <f t="shared" si="17"/>
        <v>1.2653595149458852E-7</v>
      </c>
      <c r="E65" s="25">
        <v>-3.6271874495975173E-2</v>
      </c>
      <c r="F65" s="29">
        <v>1.2771785232277073E-2</v>
      </c>
      <c r="G65" s="28">
        <f t="shared" si="18"/>
        <v>0</v>
      </c>
      <c r="I65" s="20">
        <f t="shared" si="23"/>
        <v>44</v>
      </c>
      <c r="J65" s="21">
        <f>Q90</f>
        <v>28368.693460551702</v>
      </c>
      <c r="K65" s="21">
        <f t="shared" si="19"/>
        <v>644.74303319435683</v>
      </c>
      <c r="L65" s="18">
        <f t="shared" si="20"/>
        <v>0.73176939065698809</v>
      </c>
      <c r="M65" s="18">
        <f t="shared" si="21"/>
        <v>-2.0782253236475876</v>
      </c>
      <c r="N65" s="18">
        <f t="shared" si="22"/>
        <v>-1.5956125464687747</v>
      </c>
      <c r="P65" s="56">
        <f>'Nr(V)'!A65</f>
        <v>31.5</v>
      </c>
      <c r="Q65" s="53">
        <f>'Nr(V)'!I65</f>
        <v>25027.949052612599</v>
      </c>
    </row>
    <row r="66" spans="4:17" ht="15.6" x14ac:dyDescent="0.25">
      <c r="D66" s="24">
        <f t="shared" si="17"/>
        <v>-7.5818118148163194E-6</v>
      </c>
      <c r="E66" s="32">
        <v>-5.1347668227399501E-2</v>
      </c>
      <c r="F66" s="35">
        <v>6.0099688583917883E-3</v>
      </c>
      <c r="G66" s="28">
        <f t="shared" si="18"/>
        <v>2.0008883439004421E-11</v>
      </c>
      <c r="I66" s="20">
        <f t="shared" si="23"/>
        <v>46</v>
      </c>
      <c r="J66" s="21">
        <f>Q94</f>
        <v>26837.2564021783</v>
      </c>
      <c r="K66" s="21">
        <f t="shared" si="19"/>
        <v>583.41861743865866</v>
      </c>
      <c r="L66" s="18">
        <f t="shared" si="20"/>
        <v>0.344345850590907</v>
      </c>
      <c r="M66" s="18">
        <f t="shared" si="21"/>
        <v>-2.9420046772679846</v>
      </c>
      <c r="N66" s="18">
        <f t="shared" si="22"/>
        <v>-2.3609549436186295</v>
      </c>
      <c r="P66" s="56">
        <f>'Nr(V)'!A66</f>
        <v>32</v>
      </c>
      <c r="Q66" s="53">
        <f>'Nr(V)'!I66</f>
        <v>25262.7030919483</v>
      </c>
    </row>
    <row r="67" spans="4:17" ht="15.6" x14ac:dyDescent="0.25">
      <c r="D67" s="24">
        <f t="shared" si="17"/>
        <v>1.0825749541254481E-7</v>
      </c>
      <c r="E67" s="25">
        <v>-7.0278502522681308E-2</v>
      </c>
      <c r="F67" s="29">
        <v>2.784425697443377E-5</v>
      </c>
      <c r="G67" s="28">
        <f t="shared" si="18"/>
        <v>0</v>
      </c>
      <c r="I67" s="20">
        <f t="shared" si="23"/>
        <v>48</v>
      </c>
      <c r="J67" s="21">
        <f>Q98</f>
        <v>24011.701696746</v>
      </c>
      <c r="K67" s="21">
        <f t="shared" si="19"/>
        <v>500.24378534887501</v>
      </c>
      <c r="L67" s="18">
        <f t="shared" si="20"/>
        <v>1.5953584083127619E-3</v>
      </c>
      <c r="M67" s="18">
        <f t="shared" si="21"/>
        <v>-4.0266615850491476</v>
      </c>
      <c r="N67" s="18">
        <f t="shared" si="22"/>
        <v>-3.3705919243921767</v>
      </c>
      <c r="P67" s="56">
        <f>'Nr(V)'!A67</f>
        <v>32.5</v>
      </c>
      <c r="Q67" s="53">
        <f>'Nr(V)'!I67</f>
        <v>25438.813627976</v>
      </c>
    </row>
    <row r="68" spans="4:17" ht="15.6" x14ac:dyDescent="0.25">
      <c r="D68" s="24">
        <f t="shared" si="17"/>
        <v>8.1792904893518426E-7</v>
      </c>
      <c r="E68" s="32">
        <v>-9.0627272364576877E-2</v>
      </c>
      <c r="F68" s="35">
        <v>-5.2906998578743526E-3</v>
      </c>
      <c r="G68" s="28">
        <f t="shared" si="18"/>
        <v>0</v>
      </c>
      <c r="I68" s="20">
        <f t="shared" si="23"/>
        <v>50</v>
      </c>
      <c r="J68" s="21">
        <f>Q102</f>
        <v>20598.0917232998</v>
      </c>
      <c r="K68" s="21">
        <f t="shared" si="19"/>
        <v>411.96183446599599</v>
      </c>
      <c r="L68" s="18">
        <f t="shared" si="20"/>
        <v>-0.30313477252666488</v>
      </c>
      <c r="M68" s="18">
        <f t="shared" si="21"/>
        <v>-5.1925602152728558</v>
      </c>
      <c r="N68" s="18">
        <f t="shared" si="22"/>
        <v>-4.5251632550300798</v>
      </c>
      <c r="P68" s="56">
        <f>'Nr(V)'!A68</f>
        <v>33</v>
      </c>
      <c r="Q68" s="53">
        <f>'Nr(V)'!I68</f>
        <v>25791.1247130833</v>
      </c>
    </row>
    <row r="69" spans="4:17" ht="15.6" x14ac:dyDescent="0.25">
      <c r="D69" s="24">
        <f t="shared" si="17"/>
        <v>1.0156963980989531E-7</v>
      </c>
      <c r="E69" s="25">
        <v>-0.11082440955970739</v>
      </c>
      <c r="F69" s="29">
        <v>-1.0034269725545875E-2</v>
      </c>
      <c r="G69" s="28">
        <f t="shared" si="18"/>
        <v>0</v>
      </c>
      <c r="I69" s="20">
        <f t="shared" si="23"/>
        <v>52</v>
      </c>
      <c r="J69" s="21">
        <f>Q106</f>
        <v>17125.478194338099</v>
      </c>
      <c r="K69" s="21">
        <f t="shared" si="19"/>
        <v>329.3361191218865</v>
      </c>
      <c r="L69" s="18">
        <f t="shared" si="20"/>
        <v>-0.5749213057696736</v>
      </c>
      <c r="M69" s="18">
        <f t="shared" si="21"/>
        <v>-6.3497709348005271</v>
      </c>
      <c r="N69" s="18">
        <f t="shared" si="22"/>
        <v>-5.7510798980943605</v>
      </c>
      <c r="P69" s="56">
        <f>'Nr(V)'!A69</f>
        <v>33.5</v>
      </c>
      <c r="Q69" s="53">
        <f>'Nr(V)'!I69</f>
        <v>25967.145236059201</v>
      </c>
    </row>
    <row r="70" spans="4:17" ht="15.6" x14ac:dyDescent="0.25">
      <c r="P70" s="56">
        <f>'Nr(V)'!A70</f>
        <v>34</v>
      </c>
      <c r="Q70" s="53">
        <f>'Nr(V)'!I70</f>
        <v>26260.722804806599</v>
      </c>
    </row>
    <row r="71" spans="4:17" ht="15.6" x14ac:dyDescent="0.25">
      <c r="P71" s="56">
        <f>'Nr(V)'!A71</f>
        <v>34.5</v>
      </c>
      <c r="Q71" s="53">
        <f>'Nr(V)'!I71</f>
        <v>26378.099824474499</v>
      </c>
    </row>
    <row r="72" spans="4:17" ht="15.6" x14ac:dyDescent="0.25">
      <c r="P72" s="56">
        <f>'Nr(V)'!A72</f>
        <v>35</v>
      </c>
      <c r="Q72" s="53">
        <f>'Nr(V)'!I72</f>
        <v>26730.320896529902</v>
      </c>
    </row>
    <row r="73" spans="4:17" ht="15.6" x14ac:dyDescent="0.25">
      <c r="P73" s="56">
        <f>'Nr(V)'!A73</f>
        <v>35.5</v>
      </c>
      <c r="Q73" s="53">
        <f>'Nr(V)'!I73</f>
        <v>26847.607903145901</v>
      </c>
    </row>
    <row r="74" spans="4:17" ht="15.6" x14ac:dyDescent="0.25">
      <c r="P74" s="56">
        <f>'Nr(V)'!A74</f>
        <v>36</v>
      </c>
      <c r="Q74" s="53">
        <f>'Nr(V)'!I74</f>
        <v>27258.742517664999</v>
      </c>
    </row>
    <row r="75" spans="4:17" ht="15.6" x14ac:dyDescent="0.25">
      <c r="P75" s="56">
        <f>'Nr(V)'!A75</f>
        <v>36.5</v>
      </c>
      <c r="Q75" s="53">
        <f>'Nr(V)'!I75</f>
        <v>27375.939511229099</v>
      </c>
    </row>
    <row r="76" spans="4:17" ht="15.6" x14ac:dyDescent="0.25">
      <c r="P76" s="56">
        <f>'Nr(V)'!A76</f>
        <v>37</v>
      </c>
      <c r="Q76" s="53">
        <f>'Nr(V)'!I76</f>
        <v>27728.3856159143</v>
      </c>
    </row>
    <row r="77" spans="4:17" ht="15.6" x14ac:dyDescent="0.25">
      <c r="P77" s="56">
        <f>'Nr(V)'!A77</f>
        <v>37.5</v>
      </c>
      <c r="Q77" s="53">
        <f>'Nr(V)'!I77</f>
        <v>27963.229668301901</v>
      </c>
    </row>
    <row r="78" spans="4:17" ht="15.6" x14ac:dyDescent="0.25">
      <c r="P78" s="56">
        <f>'Nr(V)'!A78</f>
        <v>38</v>
      </c>
      <c r="Q78" s="53">
        <f>'Nr(V)'!I78</f>
        <v>28197.983707637599</v>
      </c>
    </row>
    <row r="79" spans="4:17" ht="15.6" x14ac:dyDescent="0.25">
      <c r="P79" s="56">
        <f>'Nr(V)'!A79</f>
        <v>38.5</v>
      </c>
      <c r="Q79" s="53">
        <f>'Nr(V)'!I79</f>
        <v>28432.692740447299</v>
      </c>
    </row>
    <row r="80" spans="4:17" ht="15.6" x14ac:dyDescent="0.25">
      <c r="P80" s="56">
        <f>'Nr(V)'!A80</f>
        <v>39</v>
      </c>
      <c r="Q80" s="53">
        <f>'Nr(V)'!I80</f>
        <v>28608.893289526899</v>
      </c>
    </row>
    <row r="81" spans="16:17" ht="15.6" x14ac:dyDescent="0.25">
      <c r="P81" s="56">
        <f>'Nr(V)'!A81</f>
        <v>39.5</v>
      </c>
      <c r="Q81" s="53">
        <f>'Nr(V)'!I81</f>
        <v>28961.294387686201</v>
      </c>
    </row>
    <row r="82" spans="16:17" ht="15.6" x14ac:dyDescent="0.25">
      <c r="P82" s="56">
        <f>'Nr(V)'!A82</f>
        <v>40</v>
      </c>
      <c r="Q82" s="53">
        <f>'Nr(V)'!I82</f>
        <v>29313.560466267601</v>
      </c>
    </row>
    <row r="83" spans="16:17" ht="15.6" x14ac:dyDescent="0.25">
      <c r="P83" s="56">
        <f>'Nr(V)'!A83</f>
        <v>40.5</v>
      </c>
      <c r="Q83" s="53">
        <f>'Nr(V)'!I83</f>
        <v>29313.20041406</v>
      </c>
    </row>
    <row r="84" spans="16:17" ht="15.6" x14ac:dyDescent="0.25">
      <c r="P84" s="56">
        <f>'Nr(V)'!A84</f>
        <v>41</v>
      </c>
      <c r="Q84" s="53">
        <f>'Nr(V)'!I84</f>
        <v>29312.750348800499</v>
      </c>
    </row>
    <row r="85" spans="16:17" ht="15.6" x14ac:dyDescent="0.25">
      <c r="P85" s="56">
        <f>'Nr(V)'!A85</f>
        <v>41.5</v>
      </c>
      <c r="Q85" s="53">
        <f>'Nr(V)'!I85</f>
        <v>29312.300283541099</v>
      </c>
    </row>
    <row r="86" spans="16:17" ht="15.6" x14ac:dyDescent="0.25">
      <c r="P86" s="56">
        <f>'Nr(V)'!A86</f>
        <v>42</v>
      </c>
      <c r="Q86" s="53">
        <f>'Nr(V)'!I86</f>
        <v>29311.805211755702</v>
      </c>
    </row>
    <row r="87" spans="16:17" ht="15.6" x14ac:dyDescent="0.25">
      <c r="P87" s="56">
        <f>'Nr(V)'!A87</f>
        <v>42.5</v>
      </c>
      <c r="Q87" s="53">
        <f>'Nr(V)'!I87</f>
        <v>29076.061028849101</v>
      </c>
    </row>
    <row r="88" spans="16:17" ht="15.6" x14ac:dyDescent="0.25">
      <c r="P88" s="56">
        <f>'Nr(V)'!A88</f>
        <v>43</v>
      </c>
      <c r="Q88" s="53">
        <f>'Nr(V)'!I88</f>
        <v>28840.181826364798</v>
      </c>
    </row>
    <row r="89" spans="16:17" ht="15.6" x14ac:dyDescent="0.25">
      <c r="P89" s="56">
        <f>'Nr(V)'!A89</f>
        <v>43.5</v>
      </c>
      <c r="Q89" s="53">
        <f>'Nr(V)'!I89</f>
        <v>28604.392636932302</v>
      </c>
    </row>
    <row r="90" spans="16:17" ht="15.6" x14ac:dyDescent="0.25">
      <c r="P90" s="56">
        <f>'Nr(V)'!A90</f>
        <v>44</v>
      </c>
      <c r="Q90" s="53">
        <f>'Nr(V)'!I90</f>
        <v>28368.693460551702</v>
      </c>
    </row>
    <row r="91" spans="16:17" ht="15.6" x14ac:dyDescent="0.25">
      <c r="P91" s="56">
        <f>'Nr(V)'!A91</f>
        <v>44.5</v>
      </c>
      <c r="Q91" s="53">
        <f>'Nr(V)'!I91</f>
        <v>28074.1257482334</v>
      </c>
    </row>
    <row r="92" spans="16:17" ht="15.6" x14ac:dyDescent="0.25">
      <c r="P92" s="56">
        <f>'Nr(V)'!A92</f>
        <v>45</v>
      </c>
      <c r="Q92" s="53">
        <f>'Nr(V)'!I92</f>
        <v>27485.1703497007</v>
      </c>
    </row>
    <row r="93" spans="16:17" ht="15.6" x14ac:dyDescent="0.25">
      <c r="P93" s="56">
        <f>'Nr(V)'!A93</f>
        <v>45.5</v>
      </c>
      <c r="Q93" s="53">
        <f>'Nr(V)'!I93</f>
        <v>27131.9141275484</v>
      </c>
    </row>
    <row r="94" spans="16:17" ht="15.6" x14ac:dyDescent="0.25">
      <c r="P94" s="56">
        <f>'Nr(V)'!A94</f>
        <v>46</v>
      </c>
      <c r="Q94" s="53">
        <f>'Nr(V)'!I94</f>
        <v>26837.2564021783</v>
      </c>
    </row>
    <row r="95" spans="16:17" ht="15.6" x14ac:dyDescent="0.25">
      <c r="P95" s="56">
        <f>'Nr(V)'!A95</f>
        <v>46.5</v>
      </c>
      <c r="Q95" s="53">
        <f>'Nr(V)'!I95</f>
        <v>25954.363382690401</v>
      </c>
    </row>
    <row r="96" spans="16:17" ht="15.6" x14ac:dyDescent="0.25">
      <c r="P96" s="56">
        <f>'Nr(V)'!A96</f>
        <v>47</v>
      </c>
      <c r="Q96" s="53">
        <f>'Nr(V)'!I96</f>
        <v>25483.280075610899</v>
      </c>
    </row>
    <row r="97" spans="16:17" ht="15.6" x14ac:dyDescent="0.25">
      <c r="P97" s="56">
        <f>'Nr(V)'!A97</f>
        <v>47.5</v>
      </c>
      <c r="Q97" s="53">
        <f>'Nr(V)'!I97</f>
        <v>24659.255592060799</v>
      </c>
    </row>
    <row r="98" spans="16:17" ht="15.6" x14ac:dyDescent="0.25">
      <c r="P98" s="56">
        <f>'Nr(V)'!A98</f>
        <v>48</v>
      </c>
      <c r="Q98" s="53">
        <f>'Nr(V)'!I98</f>
        <v>24011.701696746</v>
      </c>
    </row>
    <row r="99" spans="16:17" ht="15.6" x14ac:dyDescent="0.25">
      <c r="P99" s="56">
        <f>'Nr(V)'!A99</f>
        <v>48.5</v>
      </c>
      <c r="Q99" s="53">
        <f>'Nr(V)'!I99</f>
        <v>23128.943696835999</v>
      </c>
    </row>
    <row r="100" spans="16:17" ht="15.6" x14ac:dyDescent="0.25">
      <c r="P100" s="56">
        <f>'Nr(V)'!A100</f>
        <v>49</v>
      </c>
      <c r="Q100" s="53">
        <f>'Nr(V)'!I100</f>
        <v>22422.566272109401</v>
      </c>
    </row>
    <row r="101" spans="16:17" ht="15.6" x14ac:dyDescent="0.25">
      <c r="P101" s="56">
        <f>'Nr(V)'!A101</f>
        <v>49.5</v>
      </c>
      <c r="Q101" s="53">
        <f>'Nr(V)'!I101</f>
        <v>21657.320311445099</v>
      </c>
    </row>
    <row r="102" spans="16:17" ht="15.6" x14ac:dyDescent="0.25">
      <c r="P102" s="56">
        <f>'Nr(V)'!A102</f>
        <v>50</v>
      </c>
      <c r="Q102" s="53">
        <f>'Nr(V)'!I102</f>
        <v>20598.0917232998</v>
      </c>
    </row>
    <row r="103" spans="16:17" ht="15.6" x14ac:dyDescent="0.25">
      <c r="P103" s="56">
        <f>'Nr(V)'!A103</f>
        <v>50.5</v>
      </c>
      <c r="Q103" s="53">
        <f>'Nr(V)'!I103</f>
        <v>19597.4616319366</v>
      </c>
    </row>
    <row r="104" spans="16:17" ht="15.6" x14ac:dyDescent="0.25">
      <c r="P104" s="56">
        <f>'Nr(V)'!A104</f>
        <v>51</v>
      </c>
      <c r="Q104" s="53">
        <f>'Nr(V)'!I104</f>
        <v>18773.572167964299</v>
      </c>
    </row>
    <row r="105" spans="16:17" ht="15.6" x14ac:dyDescent="0.25">
      <c r="P105" s="56">
        <f>'Nr(V)'!A105</f>
        <v>51.5</v>
      </c>
      <c r="Q105" s="53">
        <f>'Nr(V)'!I105</f>
        <v>17831.765606012799</v>
      </c>
    </row>
    <row r="106" spans="16:17" ht="15.6" x14ac:dyDescent="0.25">
      <c r="P106" s="56">
        <f>'Nr(V)'!A106</f>
        <v>52</v>
      </c>
      <c r="Q106" s="53">
        <f>'Nr(V)'!I106</f>
        <v>17125.478194338099</v>
      </c>
    </row>
    <row r="107" spans="16:17" ht="15.6" x14ac:dyDescent="0.25">
      <c r="P107" s="56">
        <f>'Nr(V)'!A107</f>
        <v>52.5</v>
      </c>
      <c r="Q107" s="53">
        <f>'Nr(V)'!I107</f>
        <v>16360.367253251699</v>
      </c>
    </row>
    <row r="108" spans="16:17" ht="15.6" x14ac:dyDescent="0.25">
      <c r="P108" s="56">
        <f>'Nr(V)'!A108</f>
        <v>53</v>
      </c>
      <c r="Q108" s="53">
        <f>'Nr(V)'!I108</f>
        <v>15359.7821684144</v>
      </c>
    </row>
    <row r="109" spans="16:17" ht="15.6" x14ac:dyDescent="0.25">
      <c r="P109" s="56">
        <f>'Nr(V)'!A109</f>
        <v>53.5</v>
      </c>
      <c r="Q109" s="53">
        <f>'Nr(V)'!I109</f>
        <v>14535.7576848643</v>
      </c>
    </row>
    <row r="110" spans="16:17" ht="15.6" x14ac:dyDescent="0.25">
      <c r="P110" s="56">
        <f>'Nr(V)'!A110</f>
        <v>54</v>
      </c>
      <c r="Q110" s="53">
        <f>'Nr(V)'!I110</f>
        <v>13947.0273189612</v>
      </c>
    </row>
    <row r="111" spans="16:17" ht="15.6" x14ac:dyDescent="0.25">
      <c r="P111" s="56">
        <f>'Nr(V)'!A111</f>
        <v>54.5</v>
      </c>
      <c r="Q111" s="53">
        <f>'Nr(V)'!I111</f>
        <v>13123.047841936999</v>
      </c>
    </row>
    <row r="112" spans="16:17" ht="15.6" x14ac:dyDescent="0.25">
      <c r="P112" s="56">
        <f>'Nr(V)'!A112</f>
        <v>55</v>
      </c>
      <c r="Q112" s="53">
        <f>'Nr(V)'!I112</f>
        <v>12004.9057113281</v>
      </c>
    </row>
    <row r="113" spans="16:17" ht="15.6" x14ac:dyDescent="0.25">
      <c r="P113" s="56">
        <f>'Nr(V)'!A113</f>
        <v>55.5</v>
      </c>
      <c r="Q113" s="53">
        <f>'Nr(V)'!I113</f>
        <v>11122.102704892201</v>
      </c>
    </row>
    <row r="114" spans="16:17" ht="15.6" x14ac:dyDescent="0.25">
      <c r="P114" s="56">
        <f>'Nr(V)'!A114</f>
        <v>56</v>
      </c>
      <c r="Q114" s="53">
        <f>'Nr(V)'!I114</f>
        <v>9945.0920383455596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6:N36"/>
    <mergeCell ref="I53:N5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EC08-3E6F-483F-B078-D4DD33431E99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4000</v>
      </c>
      <c r="D1" s="12" t="s">
        <v>3</v>
      </c>
      <c r="G1" s="43"/>
      <c r="H1" s="44"/>
      <c r="I1" s="134" t="s">
        <v>168</v>
      </c>
      <c r="J1" s="135"/>
      <c r="K1" s="135"/>
      <c r="L1" s="135"/>
      <c r="M1" s="135"/>
      <c r="N1" s="136"/>
      <c r="P1" s="51" t="str">
        <f>'Nr(V)'!A1</f>
        <v>h</v>
      </c>
      <c r="Q1" s="53">
        <f>'Nr(V)'!J1</f>
        <v>4000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'Nr(V)'!J2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24.321780100259733</v>
      </c>
      <c r="J3" s="102">
        <f>Q51</f>
        <v>19623.160358251898</v>
      </c>
      <c r="K3" s="102">
        <f>J3/I3</f>
        <v>806.8143152911058</v>
      </c>
      <c r="L3" s="104">
        <f ca="1">OFFSET(D23,A23-2,0,1,1)</f>
        <v>10.683057843469028</v>
      </c>
      <c r="M3" s="104">
        <f t="shared" ref="M3:M17" ca="1" si="0">OFFSET(D22,A23-2,0,1,1)</f>
        <v>-0.51599706380365007</v>
      </c>
      <c r="N3" s="104">
        <f ca="1">I3*SIN(RADIANS(M3))</f>
        <v>-0.21903528638164016</v>
      </c>
      <c r="P3" s="56">
        <f>'Nr(V)'!A3</f>
        <v>0.5</v>
      </c>
      <c r="Q3" s="53">
        <f>'Nr(V)'!J3</f>
        <v>293.71258832530202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25</v>
      </c>
      <c r="J4" s="21">
        <f>Q52</f>
        <v>19916.737926999402</v>
      </c>
      <c r="K4" s="21">
        <f t="shared" ref="K4:K17" si="1">J4/I4</f>
        <v>796.66951707997612</v>
      </c>
      <c r="L4" s="18">
        <f t="shared" ref="L4:L17" ca="1" si="2">OFFSET(D24,A24-2,0,1,1)</f>
        <v>9.9328595493824796</v>
      </c>
      <c r="M4" s="18">
        <f t="shared" ca="1" si="0"/>
        <v>-0.39765763840308777</v>
      </c>
      <c r="N4" s="18">
        <f t="shared" ref="N4:N17" ca="1" si="3">I4*SIN(RADIANS(M4))</f>
        <v>-0.17350948415660383</v>
      </c>
      <c r="P4" s="56">
        <f>'Nr(V)'!A4</f>
        <v>1</v>
      </c>
      <c r="Q4" s="53">
        <f>'Nr(V)'!J4</f>
        <v>940.18632701741399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26</v>
      </c>
      <c r="J5" s="21">
        <f>Q54</f>
        <v>20562.761600432001</v>
      </c>
      <c r="K5" s="21">
        <f t="shared" si="1"/>
        <v>790.8754461704616</v>
      </c>
      <c r="L5" s="18">
        <f t="shared" ca="1" si="2"/>
        <v>8.9247420435471714</v>
      </c>
      <c r="M5" s="18">
        <f t="shared" ca="1" si="0"/>
        <v>-0.18785081936520301</v>
      </c>
      <c r="N5" s="18">
        <f t="shared" ca="1" si="3"/>
        <v>-8.5243845093727802E-2</v>
      </c>
      <c r="P5" s="56">
        <f>'Nr(V)'!A5</f>
        <v>1.5</v>
      </c>
      <c r="Q5" s="53">
        <f>'Nr(V)'!J5</f>
        <v>1527.92654934964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27</v>
      </c>
      <c r="J6" s="21">
        <f>Q56</f>
        <v>21208.830280390601</v>
      </c>
      <c r="K6" s="21">
        <f t="shared" si="1"/>
        <v>785.51223260705933</v>
      </c>
      <c r="L6" s="18">
        <f t="shared" ca="1" si="2"/>
        <v>8.0222977976944492</v>
      </c>
      <c r="M6" s="18">
        <f t="shared" ca="1" si="0"/>
        <v>-2.3009889653364791E-2</v>
      </c>
      <c r="N6" s="18">
        <f t="shared" ca="1" si="3"/>
        <v>-1.0843154752772179E-2</v>
      </c>
      <c r="P6" s="56">
        <f>'Nr(V)'!A6</f>
        <v>2</v>
      </c>
      <c r="Q6" s="53">
        <f>'Nr(V)'!J6</f>
        <v>1997.9747063324101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28</v>
      </c>
      <c r="J7" s="21">
        <f>Q58</f>
        <v>21619.604842702101</v>
      </c>
      <c r="K7" s="21">
        <f t="shared" si="1"/>
        <v>772.12874438221786</v>
      </c>
      <c r="L7" s="18">
        <f t="shared" ca="1" si="2"/>
        <v>7.2129981885972887</v>
      </c>
      <c r="M7" s="18">
        <f t="shared" ca="1" si="0"/>
        <v>2.8134748527006224E-2</v>
      </c>
      <c r="N7" s="18">
        <f t="shared" ca="1" si="3"/>
        <v>1.3749231335927304E-2</v>
      </c>
      <c r="P7" s="56">
        <f>'Nr(V)'!A7</f>
        <v>2.5</v>
      </c>
      <c r="Q7" s="53">
        <f>'Nr(V)'!J7</f>
        <v>2350.4658175435402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22617.624555560498</v>
      </c>
      <c r="K8" s="21">
        <f t="shared" si="1"/>
        <v>753.92081851868329</v>
      </c>
      <c r="L8" s="18">
        <f t="shared" ca="1" si="2"/>
        <v>5.8213728161626896</v>
      </c>
      <c r="M8" s="18">
        <f t="shared" ca="1" si="0"/>
        <v>9.5891623045465613E-2</v>
      </c>
      <c r="N8" s="18">
        <f t="shared" ca="1" si="3"/>
        <v>5.0208712977470878E-2</v>
      </c>
      <c r="P8" s="56">
        <f>'Nr(V)'!A8</f>
        <v>3</v>
      </c>
      <c r="Q8" s="53">
        <f>'Nr(V)'!J8</f>
        <v>2702.9569287546601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23908.8167784328</v>
      </c>
      <c r="K9" s="21">
        <f t="shared" si="1"/>
        <v>724.50959934644845</v>
      </c>
      <c r="L9" s="18">
        <f t="shared" ca="1" si="2"/>
        <v>4.1771814502297833</v>
      </c>
      <c r="M9" s="18">
        <f t="shared" ca="1" si="0"/>
        <v>-4.3333638114144243E-2</v>
      </c>
      <c r="N9" s="18">
        <f t="shared" ca="1" si="3"/>
        <v>-2.4958381465249049E-2</v>
      </c>
      <c r="P9" s="56">
        <f>'Nr(V)'!A9</f>
        <v>3.5</v>
      </c>
      <c r="Q9" s="53">
        <f>'Nr(V)'!J9</f>
        <v>3173.0500922633701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25082.6319816373</v>
      </c>
      <c r="K10" s="21">
        <f t="shared" si="1"/>
        <v>696.73977726770272</v>
      </c>
      <c r="L10" s="18">
        <f t="shared" ca="1" si="2"/>
        <v>2.9176639070085337</v>
      </c>
      <c r="M10" s="18">
        <f t="shared" ca="1" si="0"/>
        <v>-0.37517392067338301</v>
      </c>
      <c r="N10" s="18">
        <f t="shared" ca="1" si="3"/>
        <v>-0.23572704206499878</v>
      </c>
      <c r="P10" s="56">
        <f>'Nr(V)'!A10</f>
        <v>4</v>
      </c>
      <c r="Q10" s="53">
        <f>'Nr(V)'!J10</f>
        <v>3701.87677213195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26785.2738647103</v>
      </c>
      <c r="K11" s="21">
        <f t="shared" si="1"/>
        <v>686.80189396693072</v>
      </c>
      <c r="L11" s="18">
        <f t="shared" ca="1" si="2"/>
        <v>1.9318769607443238</v>
      </c>
      <c r="M11" s="18">
        <f t="shared" ca="1" si="0"/>
        <v>-0.7134172140034668</v>
      </c>
      <c r="N11" s="18">
        <f t="shared" ca="1" si="3"/>
        <v>-0.4855951457139509</v>
      </c>
      <c r="P11" s="56">
        <f>'Nr(V)'!A11</f>
        <v>4.5</v>
      </c>
      <c r="Q11" s="53">
        <f>'Nr(V)'!J11</f>
        <v>4113.2814258067301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27194.023133354302</v>
      </c>
      <c r="K12" s="21">
        <f t="shared" si="1"/>
        <v>647.47674127034054</v>
      </c>
      <c r="L12" s="18">
        <f t="shared" ca="1" si="2"/>
        <v>1.1460851251621353</v>
      </c>
      <c r="M12" s="18">
        <f t="shared" ca="1" si="0"/>
        <v>-1.439937649235197</v>
      </c>
      <c r="N12" s="18">
        <f t="shared" ca="1" si="3"/>
        <v>-1.0554183175560834</v>
      </c>
      <c r="P12" s="56">
        <f>'Nr(V)'!A12</f>
        <v>5</v>
      </c>
      <c r="Q12" s="53">
        <f>'Nr(V)'!J12</f>
        <v>4700.9766416130296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26721.589630496401</v>
      </c>
      <c r="K13" s="21">
        <f t="shared" si="1"/>
        <v>607.30885523855454</v>
      </c>
      <c r="L13" s="18">
        <f t="shared" ca="1" si="2"/>
        <v>0.70687901951556464</v>
      </c>
      <c r="M13" s="18">
        <f t="shared" ca="1" si="0"/>
        <v>-2.1085109157448279</v>
      </c>
      <c r="N13" s="18">
        <f t="shared" ca="1" si="3"/>
        <v>-1.6188546898085066</v>
      </c>
      <c r="P13" s="56">
        <f>'Nr(V)'!A13</f>
        <v>5.5</v>
      </c>
      <c r="Q13" s="53">
        <f>'Nr(V)'!J13</f>
        <v>5171.0698051217396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24954.858454475801</v>
      </c>
      <c r="K14" s="21">
        <f t="shared" si="1"/>
        <v>542.49692292338693</v>
      </c>
      <c r="L14" s="18">
        <f t="shared" ca="1" si="2"/>
        <v>0.32121746471413748</v>
      </c>
      <c r="M14" s="18">
        <f t="shared" ca="1" si="0"/>
        <v>-3.036335227776898</v>
      </c>
      <c r="N14" s="18">
        <f t="shared" ca="1" si="3"/>
        <v>-2.4365853127156685</v>
      </c>
      <c r="P14" s="56">
        <f>'Nr(V)'!A14</f>
        <v>6</v>
      </c>
      <c r="Q14" s="53">
        <f>'Nr(V)'!J14</f>
        <v>5876.4120797515498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22599.9369908636</v>
      </c>
      <c r="K15" s="21">
        <f t="shared" si="1"/>
        <v>470.83202064299167</v>
      </c>
      <c r="L15" s="18">
        <f t="shared" ca="1" si="2"/>
        <v>-1.9468293176246002E-2</v>
      </c>
      <c r="M15" s="18">
        <f t="shared" ca="1" si="0"/>
        <v>-4.0653694387214765</v>
      </c>
      <c r="N15" s="18">
        <f t="shared" ca="1" si="3"/>
        <v>-3.4029389197750968</v>
      </c>
      <c r="P15" s="56">
        <f>'Nr(V)'!A15</f>
        <v>6.5</v>
      </c>
      <c r="Q15" s="53">
        <f>'Nr(V)'!J15</f>
        <v>6346.5052432602697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19715.738782123401</v>
      </c>
      <c r="K16" s="21">
        <f t="shared" si="1"/>
        <v>394.31477564246802</v>
      </c>
      <c r="L16" s="18">
        <f t="shared" ca="1" si="2"/>
        <v>-0.32220201856717584</v>
      </c>
      <c r="M16" s="18">
        <f t="shared" ca="1" si="0"/>
        <v>-5.1759658462390021</v>
      </c>
      <c r="N16" s="18">
        <f t="shared" ca="1" si="3"/>
        <v>-4.5107411756256814</v>
      </c>
      <c r="P16" s="56">
        <f>'Nr(V)'!A16</f>
        <v>7</v>
      </c>
      <c r="Q16" s="53">
        <f>'Nr(V)'!J16</f>
        <v>6934.2004590665601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0.81921393881961735</v>
      </c>
      <c r="D17" s="14" t="s">
        <v>73</v>
      </c>
      <c r="G17" s="45"/>
      <c r="H17" s="47"/>
      <c r="I17" s="20">
        <v>52</v>
      </c>
      <c r="J17" s="21">
        <f>Q106</f>
        <v>16360.727305459201</v>
      </c>
      <c r="K17" s="21">
        <f t="shared" si="1"/>
        <v>314.62937125883076</v>
      </c>
      <c r="L17" s="18">
        <f t="shared" ca="1" si="2"/>
        <v>-0.59263811041294501</v>
      </c>
      <c r="M17" s="18">
        <f t="shared" ca="1" si="0"/>
        <v>-6.3519295778474376</v>
      </c>
      <c r="N17" s="18">
        <f t="shared" ca="1" si="3"/>
        <v>-5.7530269975866029</v>
      </c>
      <c r="P17" s="56">
        <f>'Nr(V)'!A17</f>
        <v>7.5</v>
      </c>
      <c r="Q17" s="53">
        <f>'Nr(V)'!J17</f>
        <v>7404.4736486790498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36255.721338568423</v>
      </c>
      <c r="D18" s="14" t="s">
        <v>32</v>
      </c>
      <c r="P18" s="56">
        <f>'Nr(V)'!A18</f>
        <v>8</v>
      </c>
      <c r="Q18" s="53">
        <f>'Nr(V)'!J18</f>
        <v>7933.3453350735799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4.7510604465779593E-2</v>
      </c>
      <c r="D19" s="14" t="s">
        <v>7</v>
      </c>
      <c r="P19" s="56">
        <f>'Nr(V)'!A19</f>
        <v>8.5</v>
      </c>
      <c r="Q19" s="53">
        <f>'Nr(V)'!J19</f>
        <v>8344.7949952743002</v>
      </c>
    </row>
    <row r="20" spans="1:28" ht="18.600000000000001" thickBot="1" x14ac:dyDescent="0.3">
      <c r="F20" s="134" t="s">
        <v>158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'Nr(V)'!J20</f>
        <v>9108.6907601602197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'Nr(V)'!J21</f>
        <v>9284.8463027138805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-1.9959509245381923E-7</v>
      </c>
      <c r="C22" s="25">
        <v>-9.0058476939969493E-3</v>
      </c>
      <c r="D22" s="26">
        <f t="shared" ref="D22:D51" si="4">DEGREES(C22)</f>
        <v>-0.51599706380365007</v>
      </c>
      <c r="F22" s="17">
        <v>1.5069999999999999</v>
      </c>
      <c r="G22" s="18">
        <v>80.83</v>
      </c>
      <c r="H22" s="20">
        <f>SQRT((2*C$15)/(C$7*C$17*F22))</f>
        <v>24.321780100259733</v>
      </c>
      <c r="I22" s="21">
        <f>C$15*SQRT((2*C$15)/(C$17*C$7*G22))</f>
        <v>21827.776808461738</v>
      </c>
      <c r="J22" s="102">
        <f>Q49</f>
        <v>19094.603717539001</v>
      </c>
      <c r="K22" s="21">
        <f>(J22-I22)</f>
        <v>-2733.1730909227372</v>
      </c>
      <c r="L22" s="18">
        <f t="shared" ref="L22:L33" si="5">K22/C$15</f>
        <v>-0.41583718881475451</v>
      </c>
      <c r="M22" s="18">
        <f t="shared" ref="M22:M33" si="6">DEGREES(ASIN(L22/H22))</f>
        <v>-0.97965184785480219</v>
      </c>
      <c r="N22" s="18">
        <v>13.202</v>
      </c>
      <c r="P22" s="56">
        <f>'Nr(V)'!A22</f>
        <v>10</v>
      </c>
      <c r="Q22" s="53">
        <f>'Nr(V)'!J22</f>
        <v>9990.0985642918204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-9.9083854365744628E-6</v>
      </c>
      <c r="C23" s="29">
        <v>0.18645453354953953</v>
      </c>
      <c r="D23" s="30">
        <f t="shared" si="4"/>
        <v>10.683057843469028</v>
      </c>
      <c r="F23" s="17">
        <v>1.4</v>
      </c>
      <c r="G23" s="18">
        <v>82.93</v>
      </c>
      <c r="H23" s="20">
        <f t="shared" ref="H23:H33" si="7">SQRT((2*C$15)/(C$7*C$17*F23))</f>
        <v>25.234108489712366</v>
      </c>
      <c r="I23" s="21">
        <f t="shared" ref="I23:I33" si="8">C$15*SQRT((2*C$15)/(C$17*C$7*G23))</f>
        <v>21549.6371086488</v>
      </c>
      <c r="J23" s="21">
        <f>Q51</f>
        <v>19623.160358251898</v>
      </c>
      <c r="K23" s="21">
        <f t="shared" ref="K23:K34" si="9">(J23-I23)</f>
        <v>-1926.4767503969015</v>
      </c>
      <c r="L23" s="18">
        <f t="shared" si="5"/>
        <v>-0.29310279647586246</v>
      </c>
      <c r="M23" s="18">
        <f t="shared" si="6"/>
        <v>-0.66552503139259001</v>
      </c>
      <c r="N23" s="18">
        <v>11.19</v>
      </c>
      <c r="P23" s="56">
        <f>'Nr(V)'!A23</f>
        <v>10.5</v>
      </c>
      <c r="Q23" s="53">
        <f>'Nr(V)'!J23</f>
        <v>10401.4582114406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-2.125818809872726E-8</v>
      </c>
      <c r="C24" s="32">
        <v>-6.9404350858389271E-3</v>
      </c>
      <c r="D24" s="33">
        <f t="shared" si="4"/>
        <v>-0.39765763840308777</v>
      </c>
      <c r="F24" s="17">
        <v>1.2976294821560448</v>
      </c>
      <c r="G24" s="18">
        <v>83.61</v>
      </c>
      <c r="H24" s="20">
        <f t="shared" si="7"/>
        <v>26.210580020460117</v>
      </c>
      <c r="I24" s="21">
        <f t="shared" si="8"/>
        <v>21461.826620958167</v>
      </c>
      <c r="J24" s="21">
        <f>Q53</f>
        <v>20269.049012106701</v>
      </c>
      <c r="K24" s="21">
        <f t="shared" si="9"/>
        <v>-1192.7776088514656</v>
      </c>
      <c r="L24" s="18">
        <f t="shared" si="5"/>
        <v>-0.18147452475412928</v>
      </c>
      <c r="M24" s="18">
        <f t="shared" si="6"/>
        <v>-0.39670268361972477</v>
      </c>
      <c r="N24" s="18">
        <v>9.6229999999999993</v>
      </c>
      <c r="P24" s="56">
        <f>'Nr(V)'!A24</f>
        <v>11</v>
      </c>
      <c r="Q24" s="53">
        <f>'Nr(V)'!J24</f>
        <v>10695.1707997659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-1.6668936950736679E-6</v>
      </c>
      <c r="C25" s="35">
        <v>0.17336110327488458</v>
      </c>
      <c r="D25" s="36">
        <f>DEGREES(C25)</f>
        <v>9.9328595493824796</v>
      </c>
      <c r="F25" s="17">
        <v>1.1970000000000001</v>
      </c>
      <c r="G25" s="18">
        <v>82.42</v>
      </c>
      <c r="H25" s="20">
        <f t="shared" si="7"/>
        <v>27.2900862677932</v>
      </c>
      <c r="I25" s="21">
        <f t="shared" si="8"/>
        <v>21616.206908488257</v>
      </c>
      <c r="J25" s="21">
        <f>Q55</f>
        <v>20915.207705117198</v>
      </c>
      <c r="K25" s="21">
        <f t="shared" si="9"/>
        <v>-700.99920337105868</v>
      </c>
      <c r="L25" s="18">
        <f t="shared" si="5"/>
        <v>-0.10665315675005076</v>
      </c>
      <c r="M25" s="18">
        <f t="shared" si="6"/>
        <v>-0.22391982381889294</v>
      </c>
      <c r="N25" s="18">
        <v>8.0570000000000004</v>
      </c>
      <c r="P25" s="56">
        <f>'Nr(V)'!A25</f>
        <v>11.5</v>
      </c>
      <c r="Q25" s="53">
        <f>'Nr(V)'!J25</f>
        <v>11165.173950222699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-1.1930751497857273E-8</v>
      </c>
      <c r="C26" s="25">
        <v>-3.2786153004919169E-3</v>
      </c>
      <c r="D26" s="26">
        <f t="shared" si="4"/>
        <v>-0.18785081936520301</v>
      </c>
      <c r="F26" s="17">
        <v>0.99199999999999999</v>
      </c>
      <c r="G26" s="18">
        <v>77.64</v>
      </c>
      <c r="H26" s="20">
        <f t="shared" si="7"/>
        <v>29.977550803832759</v>
      </c>
      <c r="I26" s="21">
        <f t="shared" si="8"/>
        <v>22271.682689318146</v>
      </c>
      <c r="J26" s="21">
        <f>Q60</f>
        <v>22089.337954003298</v>
      </c>
      <c r="K26" s="21">
        <f t="shared" si="9"/>
        <v>-182.34473531484764</v>
      </c>
      <c r="L26" s="18">
        <f t="shared" si="5"/>
        <v>-2.7742744277823059E-2</v>
      </c>
      <c r="M26" s="18">
        <f t="shared" si="6"/>
        <v>-5.3024424727956647E-2</v>
      </c>
      <c r="N26" s="18">
        <v>6.1870000000000003</v>
      </c>
      <c r="P26" s="56">
        <f>'Nr(V)'!A26</f>
        <v>12</v>
      </c>
      <c r="Q26" s="53">
        <f>'Nr(V)'!J26</f>
        <v>11576.443584319701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-6.9123871071496978E-7</v>
      </c>
      <c r="C27" s="29">
        <v>0.15576613355106528</v>
      </c>
      <c r="D27" s="30">
        <f t="shared" si="4"/>
        <v>8.9247420435471714</v>
      </c>
      <c r="F27" s="17">
        <v>0.89051118930908912</v>
      </c>
      <c r="G27" s="18">
        <v>71.59</v>
      </c>
      <c r="H27" s="20">
        <f t="shared" si="7"/>
        <v>31.639695365870338</v>
      </c>
      <c r="I27" s="21">
        <f t="shared" si="8"/>
        <v>23193.677417658495</v>
      </c>
      <c r="J27" s="21">
        <f>Q63</f>
        <v>22734.7765425986</v>
      </c>
      <c r="K27" s="21">
        <f t="shared" si="9"/>
        <v>-458.90087505989504</v>
      </c>
      <c r="L27" s="18">
        <f t="shared" si="5"/>
        <v>-6.9819233353096144E-2</v>
      </c>
      <c r="M27" s="18">
        <f t="shared" si="6"/>
        <v>-0.12643455002787199</v>
      </c>
      <c r="N27" s="18">
        <v>5.3460000000000001</v>
      </c>
      <c r="P27" s="56">
        <f>'Nr(V)'!A27</f>
        <v>12.5</v>
      </c>
      <c r="Q27" s="53">
        <f>'Nr(V)'!J27</f>
        <v>11987.668211890699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-1.4380802440427942E-5</v>
      </c>
      <c r="C28" s="32">
        <v>-4.0159833497179236E-4</v>
      </c>
      <c r="D28" s="33">
        <f t="shared" si="4"/>
        <v>-2.3009889653364791E-2</v>
      </c>
      <c r="F28" s="17">
        <v>0.78877734406717104</v>
      </c>
      <c r="G28" s="18">
        <v>62.64</v>
      </c>
      <c r="H28" s="20">
        <f t="shared" si="7"/>
        <v>33.618224246510898</v>
      </c>
      <c r="I28" s="21">
        <f t="shared" si="8"/>
        <v>24795.331520076743</v>
      </c>
      <c r="J28" s="21">
        <f>Q67</f>
        <v>23732.751248930999</v>
      </c>
      <c r="K28" s="21">
        <f t="shared" si="9"/>
        <v>-1062.5802711457436</v>
      </c>
      <c r="L28" s="18">
        <f t="shared" si="5"/>
        <v>-0.16166571898089727</v>
      </c>
      <c r="M28" s="18">
        <f t="shared" si="6"/>
        <v>-0.27552910060375713</v>
      </c>
      <c r="N28" s="18">
        <v>4.1539999999999999</v>
      </c>
      <c r="P28" s="56">
        <f>'Nr(V)'!A28</f>
        <v>13</v>
      </c>
      <c r="Q28" s="53">
        <f>'Nr(V)'!J28</f>
        <v>12281.4258067419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9.1254150902386755E-8</v>
      </c>
      <c r="C29" s="35">
        <v>0.14001551014525809</v>
      </c>
      <c r="D29" s="36">
        <f t="shared" si="4"/>
        <v>8.0222977976944492</v>
      </c>
      <c r="F29" s="17">
        <v>0.68820194072740959</v>
      </c>
      <c r="G29" s="18">
        <v>51.95</v>
      </c>
      <c r="H29" s="20">
        <f t="shared" si="7"/>
        <v>35.991010248853073</v>
      </c>
      <c r="I29" s="21">
        <f t="shared" si="8"/>
        <v>27227.202279625115</v>
      </c>
      <c r="J29" s="21">
        <f>Q71</f>
        <v>24789.684504253099</v>
      </c>
      <c r="K29" s="21">
        <f t="shared" si="9"/>
        <v>-2437.5177753720163</v>
      </c>
      <c r="L29" s="18">
        <f t="shared" si="5"/>
        <v>-0.3708548656369553</v>
      </c>
      <c r="M29" s="18">
        <f t="shared" si="6"/>
        <v>-0.59039172533215001</v>
      </c>
      <c r="N29" s="18">
        <v>3.0790000000000002</v>
      </c>
      <c r="P29" s="56">
        <f>'Nr(V)'!A29</f>
        <v>13.5</v>
      </c>
      <c r="Q29" s="53">
        <f>'Nr(V)'!J29</f>
        <v>12751.5189702506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-3.0695446184836328E-12</v>
      </c>
      <c r="C30" s="25">
        <v>4.9104399601688337E-4</v>
      </c>
      <c r="D30" s="26">
        <f t="shared" si="4"/>
        <v>2.8134748527006224E-2</v>
      </c>
      <c r="F30" s="17">
        <v>0.58038845302154896</v>
      </c>
      <c r="G30" s="18">
        <v>39.369999999999997</v>
      </c>
      <c r="H30" s="20">
        <f t="shared" si="7"/>
        <v>39.191564631569577</v>
      </c>
      <c r="I30" s="21">
        <f t="shared" si="8"/>
        <v>31276.135531511263</v>
      </c>
      <c r="J30" s="21">
        <f>Q77</f>
        <v>25963.1846617759</v>
      </c>
      <c r="K30" s="21">
        <f t="shared" si="9"/>
        <v>-5312.9508697353631</v>
      </c>
      <c r="L30" s="18">
        <f t="shared" si="5"/>
        <v>-0.80833612818710154</v>
      </c>
      <c r="M30" s="18">
        <f t="shared" si="6"/>
        <v>-1.1818240309419199</v>
      </c>
      <c r="N30" s="18">
        <v>2.073</v>
      </c>
      <c r="P30" s="56">
        <f>'Nr(V)'!A30</f>
        <v>14</v>
      </c>
      <c r="Q30" s="53">
        <f>'Nr(V)'!J30</f>
        <v>13103.965074935801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0</v>
      </c>
      <c r="C31" s="29">
        <v>0.1258905673314096</v>
      </c>
      <c r="D31" s="30">
        <f t="shared" si="4"/>
        <v>7.2129981885972887</v>
      </c>
      <c r="F31" s="17">
        <v>0.483331925835703</v>
      </c>
      <c r="G31" s="18">
        <v>27.9</v>
      </c>
      <c r="H31" s="20">
        <f t="shared" si="7"/>
        <v>42.946645000534055</v>
      </c>
      <c r="I31" s="21">
        <f t="shared" si="8"/>
        <v>37152.983285442548</v>
      </c>
      <c r="J31" s="21">
        <f>Q85</f>
        <v>27194.608218191599</v>
      </c>
      <c r="K31" s="21">
        <f t="shared" si="9"/>
        <v>-9958.3750672509486</v>
      </c>
      <c r="L31" s="18">
        <f t="shared" si="5"/>
        <v>-1.5151117603497721</v>
      </c>
      <c r="M31" s="18">
        <f t="shared" si="6"/>
        <v>-2.0217534263766903</v>
      </c>
      <c r="N31" s="18">
        <v>1.2330000000000001</v>
      </c>
      <c r="P31" s="56">
        <f>'Nr(V)'!A31</f>
        <v>14.5</v>
      </c>
      <c r="Q31" s="53">
        <f>'Nr(V)'!J31</f>
        <v>13338.764120797499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0</v>
      </c>
      <c r="C32" s="32">
        <v>1.6736245472246472E-3</v>
      </c>
      <c r="D32" s="33">
        <f t="shared" si="4"/>
        <v>9.5891623045465613E-2</v>
      </c>
      <c r="F32" s="17">
        <v>0.38026543690183146</v>
      </c>
      <c r="G32" s="18">
        <v>16.61</v>
      </c>
      <c r="H32" s="20">
        <f t="shared" si="7"/>
        <v>48.41819075359782</v>
      </c>
      <c r="I32" s="21">
        <f t="shared" si="8"/>
        <v>48151.628271635112</v>
      </c>
      <c r="J32" s="21">
        <f>Q95</f>
        <v>24542.688689859999</v>
      </c>
      <c r="K32" s="21">
        <f t="shared" si="9"/>
        <v>-23608.939581775114</v>
      </c>
      <c r="L32" s="18">
        <f t="shared" si="5"/>
        <v>-3.5919697509052764</v>
      </c>
      <c r="M32" s="18">
        <f t="shared" si="6"/>
        <v>-4.2544744262730667</v>
      </c>
      <c r="N32" s="18">
        <v>0.39200000000000002</v>
      </c>
      <c r="P32" s="56">
        <f>'Nr(V)'!A32</f>
        <v>15</v>
      </c>
      <c r="Q32" s="53">
        <f>'Nr(V)'!J32</f>
        <v>13632.4767091228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0.10160212262813351</v>
      </c>
      <c r="D33" s="36">
        <f t="shared" si="4"/>
        <v>5.8213728161626896</v>
      </c>
      <c r="F33" s="105">
        <v>0.33400000000000002</v>
      </c>
      <c r="G33" s="105">
        <v>12.24</v>
      </c>
      <c r="H33" s="20">
        <f t="shared" si="7"/>
        <v>51.662896372669458</v>
      </c>
      <c r="I33" s="21">
        <f t="shared" si="8"/>
        <v>56092.537236445525</v>
      </c>
      <c r="J33" s="21">
        <f>Q101</f>
        <v>20598.541788559301</v>
      </c>
      <c r="K33" s="21">
        <f t="shared" si="9"/>
        <v>-35493.99544788622</v>
      </c>
      <c r="L33" s="18">
        <f t="shared" si="5"/>
        <v>-5.4002153525775123</v>
      </c>
      <c r="M33" s="18">
        <f t="shared" si="6"/>
        <v>-5.999968984363889</v>
      </c>
      <c r="N33" s="18">
        <v>-0.13300000000000001</v>
      </c>
      <c r="P33" s="56">
        <f>'Nr(V)'!A33</f>
        <v>15.5</v>
      </c>
      <c r="Q33" s="53">
        <f>'Nr(V)'!J33</f>
        <v>14043.701336693801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-9.3062863015802577E-7</v>
      </c>
      <c r="C34" s="25">
        <v>-7.5631466195952345E-4</v>
      </c>
      <c r="D34" s="26">
        <f t="shared" si="4"/>
        <v>-4.3333638114144243E-2</v>
      </c>
      <c r="F34" s="109">
        <v>0.27900000000000003</v>
      </c>
      <c r="G34" s="42">
        <v>7.83</v>
      </c>
      <c r="H34" s="40">
        <f>SQRT((2*C$15)/(C$7*C$17*F34))</f>
        <v>56.526211884678354</v>
      </c>
      <c r="I34" s="41">
        <f>C$15*SQRT((2*C$15)/(C$17*C$7*G34))</f>
        <v>70131.788238459238</v>
      </c>
      <c r="J34" s="41">
        <f>Q111</f>
        <v>12358.38696611</v>
      </c>
      <c r="K34" s="41">
        <f t="shared" si="9"/>
        <v>-57773.401272349234</v>
      </c>
      <c r="L34" s="42">
        <f>K34/C$15</f>
        <v>-8.78990388612735</v>
      </c>
      <c r="M34" s="42">
        <f>DEGREES(ASIN(L34/H34))</f>
        <v>-8.9458757277877758</v>
      </c>
      <c r="N34" s="42">
        <v>-0.8</v>
      </c>
      <c r="P34" s="56">
        <f>'Nr(V)'!A34</f>
        <v>16</v>
      </c>
      <c r="Q34" s="53">
        <f>'Nr(V)'!J34</f>
        <v>14572.528016562301</v>
      </c>
    </row>
    <row r="35" spans="1:17" ht="16.2" thickBot="1" x14ac:dyDescent="0.3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7.2905569759741357E-2</v>
      </c>
      <c r="D35" s="30">
        <f t="shared" si="4"/>
        <v>4.1771814502297833</v>
      </c>
      <c r="F35" s="65"/>
      <c r="G35" s="65"/>
      <c r="H35" s="60"/>
      <c r="I35" s="61"/>
      <c r="J35" s="61"/>
      <c r="K35" s="61"/>
      <c r="L35" s="59"/>
      <c r="M35" s="59"/>
      <c r="N35" s="59"/>
      <c r="P35" s="56">
        <f>'Nr(V)'!A35</f>
        <v>16.5</v>
      </c>
      <c r="Q35" s="53">
        <f>'Nr(V)'!J35</f>
        <v>14925.0641342994</v>
      </c>
    </row>
    <row r="36" spans="1:17" ht="18.600000000000001" thickBot="1" x14ac:dyDescent="0.3">
      <c r="A36" s="31">
        <v>15</v>
      </c>
      <c r="B36" s="24">
        <f>-K10*COS(C36+C37-C$3)+0.5*C$17*C$7*C$5*(C37-C$8)*I10^2*SIN(C36)+0.5*C$17*C$7*(C$11+1/PI()/C$10*C$5^2*(C37-C$8)^2)*I10^2*COS(C36)</f>
        <v>-3.1153217605606187E-7</v>
      </c>
      <c r="C36" s="32">
        <v>-6.5480201833665545E-3</v>
      </c>
      <c r="D36" s="33">
        <f t="shared" si="4"/>
        <v>-0.37517392067338301</v>
      </c>
      <c r="F36" s="134" t="s">
        <v>202</v>
      </c>
      <c r="G36" s="135"/>
      <c r="H36" s="135"/>
      <c r="I36" s="135"/>
      <c r="J36" s="135"/>
      <c r="K36" s="135"/>
      <c r="L36" s="135"/>
      <c r="M36" s="135"/>
      <c r="N36" s="136"/>
      <c r="P36" s="56">
        <f>'Nr(V)'!A36</f>
        <v>17</v>
      </c>
      <c r="Q36" s="53">
        <f>'Nr(V)'!J36</f>
        <v>15395.022278230301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5.0922841643900568E-2</v>
      </c>
      <c r="D37" s="36">
        <f t="shared" si="4"/>
        <v>2.9176639070085337</v>
      </c>
      <c r="F37" s="95" t="s">
        <v>1</v>
      </c>
      <c r="G37" s="95" t="s">
        <v>2</v>
      </c>
      <c r="H37" s="95" t="s">
        <v>76</v>
      </c>
      <c r="I37" s="95" t="s">
        <v>81</v>
      </c>
      <c r="J37" s="95" t="s">
        <v>77</v>
      </c>
      <c r="K37" s="95" t="s">
        <v>82</v>
      </c>
      <c r="L37" s="95" t="s">
        <v>80</v>
      </c>
      <c r="M37" s="95" t="s">
        <v>85</v>
      </c>
      <c r="N37" s="95" t="s">
        <v>79</v>
      </c>
      <c r="P37" s="56">
        <f>'Nr(V)'!A37</f>
        <v>17.5</v>
      </c>
      <c r="Q37" s="53">
        <f>'Nr(V)'!J37</f>
        <v>15865.1604482649</v>
      </c>
    </row>
    <row r="38" spans="1:17" ht="15.6" x14ac:dyDescent="0.25">
      <c r="A38" s="23">
        <v>17</v>
      </c>
      <c r="B38" s="24">
        <f>-K11*COS(C38+C39-C$3)+0.5*C$17*C$7*C$5*(C39-C$8)*I11^2*SIN(C38)+0.5*C$17*C$7*(C$11+1/PI()/C$10*C$5^2*(C39-C$8)^2)*I11^2*COS(C38)</f>
        <v>2.3874235921539366E-12</v>
      </c>
      <c r="C38" s="25">
        <v>-1.2451479324765492E-2</v>
      </c>
      <c r="D38" s="26">
        <f t="shared" si="4"/>
        <v>-0.7134172140034668</v>
      </c>
      <c r="F38" s="98">
        <f t="shared" ref="F38:G49" si="10">F22</f>
        <v>1.5069999999999999</v>
      </c>
      <c r="G38" s="96">
        <f t="shared" si="10"/>
        <v>80.83</v>
      </c>
      <c r="H38" s="103">
        <f t="shared" ref="H38:H49" si="11">SQRT((2*C$2)/(C$7*C$17*F38))</f>
        <v>25.037279099232734</v>
      </c>
      <c r="I38" s="102">
        <f t="shared" ref="I38:I49" si="12">C$2*SQRT((2*C$2)/(C$17*C$7*G38))</f>
        <v>23811.394121968675</v>
      </c>
      <c r="J38" s="102">
        <f>Q52</f>
        <v>19916.737926999402</v>
      </c>
      <c r="K38" s="102">
        <f t="shared" ref="K38:K49" si="13">(J38-I38)</f>
        <v>-3894.6561949692732</v>
      </c>
      <c r="L38" s="104">
        <f t="shared" ref="L38:L49" si="14">K38/C$2</f>
        <v>-0.5591673048440472</v>
      </c>
      <c r="M38" s="104">
        <f t="shared" ref="M38:M49" si="15">DEGREES(ASIN(L38/H38))</f>
        <v>-1.2797153554344938</v>
      </c>
      <c r="N38" s="97">
        <f t="shared" ref="N38:N49" si="16">N22</f>
        <v>13.202</v>
      </c>
      <c r="P38" s="56">
        <f>'Nr(V)'!A38</f>
        <v>18</v>
      </c>
      <c r="Q38" s="53">
        <f>'Nr(V)'!J38</f>
        <v>16276.475088887801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3.3717613708409692E-2</v>
      </c>
      <c r="D39" s="30">
        <f t="shared" si="4"/>
        <v>1.9318769607443238</v>
      </c>
      <c r="F39" s="99">
        <f t="shared" si="10"/>
        <v>1.4</v>
      </c>
      <c r="G39" s="38">
        <f t="shared" si="10"/>
        <v>82.93</v>
      </c>
      <c r="H39" s="20">
        <f t="shared" si="11"/>
        <v>25.976446397955051</v>
      </c>
      <c r="I39" s="21">
        <f t="shared" si="12"/>
        <v>23507.978246347091</v>
      </c>
      <c r="J39" s="21">
        <f>Q54</f>
        <v>20562.761600432001</v>
      </c>
      <c r="K39" s="21">
        <f t="shared" si="13"/>
        <v>-2945.2166459150903</v>
      </c>
      <c r="L39" s="18">
        <f t="shared" si="14"/>
        <v>-0.4228534616753658</v>
      </c>
      <c r="M39" s="18">
        <f t="shared" si="15"/>
        <v>-0.93272145302312826</v>
      </c>
      <c r="N39" s="19">
        <f t="shared" si="16"/>
        <v>11.19</v>
      </c>
      <c r="P39" s="56">
        <f>'Nr(V)'!A39</f>
        <v>18.5</v>
      </c>
      <c r="Q39" s="53">
        <f>'Nr(V)'!J39</f>
        <v>16511.274134749499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-9.7171073321078438E-7</v>
      </c>
      <c r="C40" s="32">
        <v>-2.5131653002581397E-2</v>
      </c>
      <c r="D40" s="33">
        <f t="shared" si="4"/>
        <v>-1.439937649235197</v>
      </c>
      <c r="F40" s="99">
        <f t="shared" si="10"/>
        <v>1.2976294821560448</v>
      </c>
      <c r="G40" s="38">
        <f t="shared" si="10"/>
        <v>83.61</v>
      </c>
      <c r="H40" s="20">
        <f t="shared" si="11"/>
        <v>26.981643803202758</v>
      </c>
      <c r="I40" s="21">
        <f t="shared" si="12"/>
        <v>23412.187907789419</v>
      </c>
      <c r="J40" s="21">
        <f>Q56</f>
        <v>21208.830280390601</v>
      </c>
      <c r="K40" s="21">
        <f t="shared" si="13"/>
        <v>-2203.3576273988183</v>
      </c>
      <c r="L40" s="18">
        <f t="shared" si="14"/>
        <v>-0.31634256900817193</v>
      </c>
      <c r="M40" s="18">
        <f t="shared" si="15"/>
        <v>-0.67177187165923036</v>
      </c>
      <c r="N40" s="19">
        <f t="shared" si="16"/>
        <v>9.6229999999999993</v>
      </c>
      <c r="P40" s="56">
        <f>'Nr(V)'!A40</f>
        <v>19</v>
      </c>
      <c r="Q40" s="53">
        <f>'Nr(V)'!J40</f>
        <v>16922.543768846401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-1.9565959519241005E-8</v>
      </c>
      <c r="C41" s="35">
        <v>2.0002958942210571E-2</v>
      </c>
      <c r="D41" s="36">
        <f t="shared" si="4"/>
        <v>1.1460851251621353</v>
      </c>
      <c r="F41" s="99">
        <f t="shared" si="10"/>
        <v>1.1970000000000001</v>
      </c>
      <c r="G41" s="38">
        <f t="shared" si="10"/>
        <v>82.42</v>
      </c>
      <c r="H41" s="20">
        <f t="shared" si="11"/>
        <v>28.092907004022305</v>
      </c>
      <c r="I41" s="21">
        <f t="shared" si="12"/>
        <v>23580.597631935798</v>
      </c>
      <c r="J41" s="21">
        <f>Q58</f>
        <v>21619.604842702101</v>
      </c>
      <c r="K41" s="21">
        <f t="shared" si="13"/>
        <v>-1960.9927892336964</v>
      </c>
      <c r="L41" s="18">
        <f t="shared" si="14"/>
        <v>-0.28154553261743498</v>
      </c>
      <c r="M41" s="18">
        <f t="shared" si="15"/>
        <v>-0.57422468977853647</v>
      </c>
      <c r="N41" s="19">
        <f t="shared" si="16"/>
        <v>8.0570000000000004</v>
      </c>
      <c r="P41" s="56">
        <f>'Nr(V)'!A41</f>
        <v>19.5</v>
      </c>
      <c r="Q41" s="53">
        <f>'Nr(V)'!J41</f>
        <v>17216.211350645801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-1.1215661288588308E-8</v>
      </c>
      <c r="C42" s="25">
        <v>-3.6800457793987988E-2</v>
      </c>
      <c r="D42" s="26">
        <f t="shared" si="4"/>
        <v>-2.1085109157448279</v>
      </c>
      <c r="F42" s="99">
        <f t="shared" si="10"/>
        <v>0.99199999999999999</v>
      </c>
      <c r="G42" s="38">
        <f t="shared" si="10"/>
        <v>77.64</v>
      </c>
      <c r="H42" s="20">
        <f t="shared" si="11"/>
        <v>30.859431468133955</v>
      </c>
      <c r="I42" s="21">
        <f t="shared" si="12"/>
        <v>24295.640317762383</v>
      </c>
      <c r="J42" s="21">
        <f>Q64</f>
        <v>23028.5341374499</v>
      </c>
      <c r="K42" s="21">
        <f t="shared" si="13"/>
        <v>-1267.106180312483</v>
      </c>
      <c r="L42" s="18">
        <f t="shared" si="14"/>
        <v>-0.18192218063092891</v>
      </c>
      <c r="M42" s="18">
        <f t="shared" si="15"/>
        <v>-0.33777140502510289</v>
      </c>
      <c r="N42" s="19">
        <f t="shared" si="16"/>
        <v>6.1870000000000003</v>
      </c>
      <c r="P42" s="56">
        <f>'Nr(V)'!A42</f>
        <v>20</v>
      </c>
      <c r="Q42" s="53">
        <f>'Nr(V)'!J42</f>
        <v>17627.480984742699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1.2337366303815855E-2</v>
      </c>
      <c r="D43" s="30">
        <f t="shared" si="4"/>
        <v>0.70687901951556464</v>
      </c>
      <c r="F43" s="99">
        <f t="shared" si="10"/>
        <v>0.89051118930908912</v>
      </c>
      <c r="G43" s="38">
        <f t="shared" si="10"/>
        <v>71.59</v>
      </c>
      <c r="H43" s="20">
        <f t="shared" si="11"/>
        <v>32.570473058488702</v>
      </c>
      <c r="I43" s="21">
        <f t="shared" si="12"/>
        <v>25301.422081408546</v>
      </c>
      <c r="J43" s="21">
        <f>Q67</f>
        <v>23732.751248930999</v>
      </c>
      <c r="K43" s="21">
        <f t="shared" si="13"/>
        <v>-1568.6708324775464</v>
      </c>
      <c r="L43" s="18">
        <f t="shared" si="14"/>
        <v>-0.22521870934768293</v>
      </c>
      <c r="M43" s="18">
        <f t="shared" si="15"/>
        <v>-0.39619272111970444</v>
      </c>
      <c r="N43" s="19">
        <f t="shared" si="16"/>
        <v>5.3460000000000001</v>
      </c>
      <c r="P43" s="56">
        <f>'Nr(V)'!A43</f>
        <v>20.5</v>
      </c>
      <c r="Q43" s="53">
        <f>'Nr(V)'!J43</f>
        <v>17921.103560016199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4.0579163851361955E-7</v>
      </c>
      <c r="C44" s="32">
        <v>-5.2994046918998852E-2</v>
      </c>
      <c r="D44" s="33">
        <f t="shared" si="4"/>
        <v>-3.036335227776898</v>
      </c>
      <c r="F44" s="99">
        <f t="shared" si="10"/>
        <v>0.78877734406717104</v>
      </c>
      <c r="G44" s="38">
        <f t="shared" si="10"/>
        <v>62.64</v>
      </c>
      <c r="H44" s="20">
        <f t="shared" si="11"/>
        <v>34.607206372674092</v>
      </c>
      <c r="I44" s="21">
        <f t="shared" si="12"/>
        <v>27048.627828214809</v>
      </c>
      <c r="J44" s="21">
        <f>Q71</f>
        <v>24789.684504253099</v>
      </c>
      <c r="K44" s="21">
        <f t="shared" si="13"/>
        <v>-2258.9433239617101</v>
      </c>
      <c r="L44" s="18">
        <f t="shared" si="14"/>
        <v>-0.32432317180825976</v>
      </c>
      <c r="M44" s="18">
        <f t="shared" si="15"/>
        <v>-0.53695813396881409</v>
      </c>
      <c r="N44" s="19">
        <f t="shared" si="16"/>
        <v>4.1539999999999999</v>
      </c>
      <c r="P44" s="56">
        <f>'Nr(V)'!A44</f>
        <v>21</v>
      </c>
      <c r="Q44" s="53">
        <f>'Nr(V)'!J44</f>
        <v>18273.5046581754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5.6063023741704052E-3</v>
      </c>
      <c r="D45" s="36">
        <f t="shared" si="4"/>
        <v>0.32121746471413748</v>
      </c>
      <c r="F45" s="99">
        <f t="shared" si="10"/>
        <v>0.68820194072740959</v>
      </c>
      <c r="G45" s="38">
        <f t="shared" si="10"/>
        <v>51.95</v>
      </c>
      <c r="H45" s="20">
        <f t="shared" si="11"/>
        <v>37.049795078702196</v>
      </c>
      <c r="I45" s="21">
        <f t="shared" si="12"/>
        <v>29701.496859148356</v>
      </c>
      <c r="J45" s="21">
        <f>Q76</f>
        <v>25669.652099554402</v>
      </c>
      <c r="K45" s="21">
        <f t="shared" si="13"/>
        <v>-4031.8447595939542</v>
      </c>
      <c r="L45" s="18">
        <f t="shared" si="14"/>
        <v>-0.57886387267863404</v>
      </c>
      <c r="M45" s="18">
        <f t="shared" si="15"/>
        <v>-0.89522239620519828</v>
      </c>
      <c r="N45" s="19">
        <f t="shared" si="16"/>
        <v>3.0790000000000002</v>
      </c>
      <c r="P45" s="56">
        <f>'Nr(V)'!A45</f>
        <v>21.5</v>
      </c>
      <c r="Q45" s="53">
        <f>'Nr(V)'!J45</f>
        <v>18508.1686844592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-5.0199048473587027E-7</v>
      </c>
      <c r="C46" s="25">
        <v>-7.0954082015643613E-2</v>
      </c>
      <c r="D46" s="26">
        <f t="shared" si="4"/>
        <v>-4.0653694387214765</v>
      </c>
      <c r="F46" s="99">
        <f t="shared" si="10"/>
        <v>0.58038845302154896</v>
      </c>
      <c r="G46" s="38">
        <f t="shared" si="10"/>
        <v>39.369999999999997</v>
      </c>
      <c r="H46" s="20">
        <f t="shared" si="11"/>
        <v>40.344503484995613</v>
      </c>
      <c r="I46" s="21">
        <f t="shared" si="12"/>
        <v>34118.380277015771</v>
      </c>
      <c r="J46" s="21">
        <f>Q83</f>
        <v>27195.553355236501</v>
      </c>
      <c r="K46" s="21">
        <f t="shared" si="13"/>
        <v>-6922.8269217792695</v>
      </c>
      <c r="L46" s="18">
        <f t="shared" si="14"/>
        <v>-0.99393072917535552</v>
      </c>
      <c r="M46" s="18">
        <f t="shared" si="15"/>
        <v>-1.4116866786705373</v>
      </c>
      <c r="N46" s="19">
        <f t="shared" si="16"/>
        <v>2.073</v>
      </c>
      <c r="P46" s="56">
        <f>'Nr(V)'!A46</f>
        <v>22</v>
      </c>
      <c r="Q46" s="53">
        <f>'Nr(V)'!J46</f>
        <v>18625.410684549199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0</v>
      </c>
      <c r="C47" s="29">
        <v>-3.3978581566903741E-4</v>
      </c>
      <c r="D47" s="30">
        <f t="shared" si="4"/>
        <v>-1.9468293176246002E-2</v>
      </c>
      <c r="F47" s="99">
        <f t="shared" si="10"/>
        <v>0.483331925835703</v>
      </c>
      <c r="G47" s="38">
        <f t="shared" si="10"/>
        <v>27.9</v>
      </c>
      <c r="H47" s="20">
        <f t="shared" si="11"/>
        <v>44.210050942881296</v>
      </c>
      <c r="I47" s="21">
        <f t="shared" si="12"/>
        <v>40529.291442710695</v>
      </c>
      <c r="J47" s="21">
        <f>Q90</f>
        <v>26721.589630496401</v>
      </c>
      <c r="K47" s="21">
        <f t="shared" si="13"/>
        <v>-13807.701812214294</v>
      </c>
      <c r="L47" s="18">
        <f t="shared" si="14"/>
        <v>-1.9824125730017219</v>
      </c>
      <c r="M47" s="18">
        <f t="shared" si="15"/>
        <v>-2.5700484276155287</v>
      </c>
      <c r="N47" s="19">
        <f t="shared" si="16"/>
        <v>1.2330000000000001</v>
      </c>
      <c r="P47" s="56">
        <f>'Nr(V)'!A47</f>
        <v>22.5</v>
      </c>
      <c r="Q47" s="53">
        <f>'Nr(V)'!J47</f>
        <v>18683.9641748053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-1.0359360658185324E-7</v>
      </c>
      <c r="C48" s="32">
        <v>-9.033764598764514E-2</v>
      </c>
      <c r="D48" s="33">
        <f t="shared" si="4"/>
        <v>-5.1759658462390021</v>
      </c>
      <c r="F48" s="99">
        <f t="shared" si="10"/>
        <v>0.38026543690183146</v>
      </c>
      <c r="G48" s="38">
        <f t="shared" si="10"/>
        <v>16.61</v>
      </c>
      <c r="H48" s="20">
        <f t="shared" si="11"/>
        <v>49.842558825074342</v>
      </c>
      <c r="I48" s="21">
        <f t="shared" si="12"/>
        <v>52527.447410308858</v>
      </c>
      <c r="J48" s="21">
        <f>Q102</f>
        <v>19715.738782123401</v>
      </c>
      <c r="K48" s="21">
        <f t="shared" si="13"/>
        <v>-32811.708628185457</v>
      </c>
      <c r="L48" s="18">
        <f t="shared" si="14"/>
        <v>-4.7108740187772549</v>
      </c>
      <c r="M48" s="18">
        <f t="shared" si="15"/>
        <v>-5.4234110352073257</v>
      </c>
      <c r="N48" s="19">
        <f t="shared" si="16"/>
        <v>0.39200000000000002</v>
      </c>
      <c r="P48" s="56">
        <f>'Nr(V)'!A48</f>
        <v>23</v>
      </c>
      <c r="Q48" s="53">
        <f>'Nr(V)'!J48</f>
        <v>18801.026148791501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-5.6234860805691213E-3</v>
      </c>
      <c r="D49" s="36">
        <f t="shared" si="4"/>
        <v>-0.32220201856717584</v>
      </c>
      <c r="F49" s="99">
        <f t="shared" si="10"/>
        <v>0.33400000000000002</v>
      </c>
      <c r="G49" s="38">
        <f t="shared" si="10"/>
        <v>12.24</v>
      </c>
      <c r="H49" s="20">
        <f t="shared" si="11"/>
        <v>53.182717310376901</v>
      </c>
      <c r="I49" s="21">
        <f t="shared" si="12"/>
        <v>61189.993060604989</v>
      </c>
      <c r="J49" s="21">
        <f>Q108</f>
        <v>14889.2389396462</v>
      </c>
      <c r="K49" s="21">
        <f t="shared" si="13"/>
        <v>-46300.754120958787</v>
      </c>
      <c r="L49" s="18">
        <f t="shared" si="14"/>
        <v>-6.647536161858234</v>
      </c>
      <c r="M49" s="18">
        <f t="shared" si="15"/>
        <v>-7.1804262224905795</v>
      </c>
      <c r="N49" s="19">
        <f t="shared" si="16"/>
        <v>-0.13300000000000001</v>
      </c>
      <c r="P49" s="56">
        <f>'Nr(V)'!A49</f>
        <v>23.5</v>
      </c>
      <c r="Q49" s="53">
        <f>'Nr(V)'!J49</f>
        <v>19094.603717539001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2.1421305973490234E-7</v>
      </c>
      <c r="C50" s="25">
        <v>-0.11086208498825126</v>
      </c>
      <c r="D50" s="26">
        <f t="shared" si="4"/>
        <v>-6.3519295778474376</v>
      </c>
      <c r="P50" s="56">
        <f>'Nr(V)'!A50</f>
        <v>24</v>
      </c>
      <c r="Q50" s="53">
        <f>'Nr(V)'!J50</f>
        <v>19270.669247040802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-1.0343486299503582E-2</v>
      </c>
      <c r="D51" s="30">
        <f t="shared" si="4"/>
        <v>-0.59263811041294501</v>
      </c>
      <c r="P51" s="56">
        <f>'Nr(V)'!A51</f>
        <v>24.5</v>
      </c>
      <c r="Q51" s="53">
        <f>'Nr(V)'!J51</f>
        <v>19623.160358251898</v>
      </c>
    </row>
    <row r="52" spans="1:17" ht="16.2" thickBot="1" x14ac:dyDescent="0.3">
      <c r="F52" s="106"/>
      <c r="G52" s="14"/>
      <c r="H52" s="64"/>
      <c r="I52" s="57"/>
      <c r="J52" s="57"/>
      <c r="K52" s="57"/>
      <c r="L52" s="63"/>
      <c r="M52" s="63"/>
      <c r="N52" s="66"/>
      <c r="P52" s="56">
        <f>'Nr(V)'!A52</f>
        <v>25</v>
      </c>
      <c r="Q52" s="53">
        <f>'Nr(V)'!J52</f>
        <v>19916.737926999402</v>
      </c>
    </row>
    <row r="53" spans="1:17" ht="18.600000000000001" thickBot="1" x14ac:dyDescent="0.3">
      <c r="I53" s="134" t="s">
        <v>203</v>
      </c>
      <c r="J53" s="135"/>
      <c r="K53" s="135"/>
      <c r="L53" s="135"/>
      <c r="M53" s="135"/>
      <c r="N53" s="136"/>
      <c r="P53" s="56">
        <f>'Nr(V)'!A53</f>
        <v>25.5</v>
      </c>
      <c r="Q53" s="53">
        <f>'Nr(V)'!J53</f>
        <v>20269.049012106701</v>
      </c>
    </row>
    <row r="54" spans="1:17" ht="18.600000000000001" thickBot="1" x14ac:dyDescent="0.3">
      <c r="D54" s="56" t="s">
        <v>149</v>
      </c>
      <c r="E54" s="56" t="s">
        <v>150</v>
      </c>
      <c r="F54" s="14" t="s">
        <v>151</v>
      </c>
      <c r="G54" s="14" t="s">
        <v>152</v>
      </c>
      <c r="I54" s="100" t="s">
        <v>76</v>
      </c>
      <c r="J54" s="100" t="s">
        <v>77</v>
      </c>
      <c r="K54" s="100" t="s">
        <v>78</v>
      </c>
      <c r="L54" s="100" t="s">
        <v>79</v>
      </c>
      <c r="M54" s="100" t="s">
        <v>85</v>
      </c>
      <c r="N54" s="100" t="s">
        <v>80</v>
      </c>
      <c r="P54" s="56">
        <f>'Nr(V)'!A54</f>
        <v>26</v>
      </c>
      <c r="Q54" s="53">
        <f>'Nr(V)'!J54</f>
        <v>20562.761600432001</v>
      </c>
    </row>
    <row r="55" spans="1:17" ht="15.6" x14ac:dyDescent="0.25">
      <c r="D55" s="24">
        <f t="shared" ref="D55:D69" si="17">-K55*COS(E55+F55-C$3)+0.5*C$17*C$7*C$5*(F55-C$8)*I55^2*SIN(E55)+0.5*C$17*C$7*(C$11+1/PI()/C$10*C$5^2*(F55-C$8)^2)*I55^2*COS(E55)</f>
        <v>3.1860103945291485E-5</v>
      </c>
      <c r="E55" s="25">
        <v>-1.7696827188381323E-2</v>
      </c>
      <c r="F55" s="29">
        <v>0.18678618106361164</v>
      </c>
      <c r="G55" s="28">
        <f t="shared" ref="G55:G69" si="18">K55*SIN(E55+F55-C$3)+0.5*C$17*C$7*C$5*(F55-C$8)*I55^2*COS(E55)-0.5*C$17*C$7*(C$11+1/PI()/C$10*C$5^2*(F55-C$8)^2)*I55^2*SIN(E55)-C$2</f>
        <v>1.2020061149087269E-5</v>
      </c>
      <c r="I55" s="103">
        <f>SQRT(2*C$2/C$7/C$16/C17)</f>
        <v>25.037279099232737</v>
      </c>
      <c r="J55" s="102">
        <f>Q52</f>
        <v>19916.737926999402</v>
      </c>
      <c r="K55" s="102">
        <f>J55/I55</f>
        <v>795.48332101349411</v>
      </c>
      <c r="L55" s="104">
        <f>DEGREES(F55)</f>
        <v>10.702059846311364</v>
      </c>
      <c r="M55" s="104">
        <f>DEGREES(E55)</f>
        <v>-1.0139535086666169</v>
      </c>
      <c r="N55" s="104">
        <f>I55*SIN(RADIANS(M55))</f>
        <v>-0.44305727469891187</v>
      </c>
      <c r="P55" s="56">
        <f>'Nr(V)'!A55</f>
        <v>26.5</v>
      </c>
      <c r="Q55" s="53">
        <f>'Nr(V)'!J55</f>
        <v>20915.207705117198</v>
      </c>
    </row>
    <row r="56" spans="1:17" ht="15.6" x14ac:dyDescent="0.25">
      <c r="D56" s="24">
        <f t="shared" si="17"/>
        <v>-5.9342209056012507E-5</v>
      </c>
      <c r="E56" s="32">
        <v>-1.5318261733681574E-2</v>
      </c>
      <c r="F56" s="35">
        <v>0.17793541906049823</v>
      </c>
      <c r="G56" s="28">
        <f t="shared" si="18"/>
        <v>2.2076981531427009E-4</v>
      </c>
      <c r="I56" s="20">
        <v>25.5</v>
      </c>
      <c r="J56" s="21">
        <f>Q53</f>
        <v>20269.049012106701</v>
      </c>
      <c r="K56" s="21">
        <f t="shared" ref="K56:K69" si="19">J56/I56</f>
        <v>794.86466714143933</v>
      </c>
      <c r="L56" s="18">
        <f t="shared" ref="L56:L69" si="20">DEGREES(F56)</f>
        <v>10.194948538058211</v>
      </c>
      <c r="M56" s="18">
        <f t="shared" ref="M56:M69" si="21">DEGREES(E56)</f>
        <v>-0.87767174681670557</v>
      </c>
      <c r="N56" s="18">
        <f t="shared" ref="N56:N69" si="22">I56*SIN(RADIANS(M56))</f>
        <v>-0.39060039811593794</v>
      </c>
      <c r="P56" s="56">
        <f>'Nr(V)'!A56</f>
        <v>27</v>
      </c>
      <c r="Q56" s="53">
        <f>'Nr(V)'!J56</f>
        <v>21208.830280390601</v>
      </c>
    </row>
    <row r="57" spans="1:17" ht="15.6" x14ac:dyDescent="0.25">
      <c r="D57" s="24">
        <f t="shared" si="17"/>
        <v>6.4650600961613236E-6</v>
      </c>
      <c r="E57" s="25">
        <v>-1.3459733711508349E-2</v>
      </c>
      <c r="F57" s="29">
        <v>0.16889197942859013</v>
      </c>
      <c r="G57" s="28">
        <f t="shared" si="18"/>
        <v>-1.2187229003757238E-9</v>
      </c>
      <c r="I57" s="20">
        <f t="shared" ref="I57:I69" si="23">I5</f>
        <v>26</v>
      </c>
      <c r="J57" s="21">
        <f>Q54</f>
        <v>20562.761600432001</v>
      </c>
      <c r="K57" s="21">
        <f t="shared" si="19"/>
        <v>790.8754461704616</v>
      </c>
      <c r="L57" s="18">
        <f t="shared" si="20"/>
        <v>9.6767976148685353</v>
      </c>
      <c r="M57" s="18">
        <f t="shared" si="21"/>
        <v>-0.77118593503938349</v>
      </c>
      <c r="N57" s="18">
        <f t="shared" si="22"/>
        <v>-0.34994251008656624</v>
      </c>
      <c r="P57" s="56">
        <f>'Nr(V)'!A57</f>
        <v>27.5</v>
      </c>
      <c r="Q57" s="53">
        <f>'Nr(V)'!J57</f>
        <v>21443.404293622501</v>
      </c>
    </row>
    <row r="58" spans="1:17" ht="15.6" x14ac:dyDescent="0.25">
      <c r="D58" s="24">
        <f t="shared" si="17"/>
        <v>-1.0261808552058937E-4</v>
      </c>
      <c r="E58" s="32">
        <v>-1.0012241768934052E-2</v>
      </c>
      <c r="F58" s="35">
        <v>0.1522193644749214</v>
      </c>
      <c r="G58" s="28">
        <f t="shared" si="18"/>
        <v>4.156390787102282E-10</v>
      </c>
      <c r="I58" s="20">
        <f t="shared" si="23"/>
        <v>27</v>
      </c>
      <c r="J58" s="21">
        <f>Q56</f>
        <v>21208.830280390601</v>
      </c>
      <c r="K58" s="21">
        <f t="shared" si="19"/>
        <v>785.51223260705933</v>
      </c>
      <c r="L58" s="18">
        <f t="shared" si="20"/>
        <v>8.721527144576612</v>
      </c>
      <c r="M58" s="18">
        <f t="shared" si="21"/>
        <v>-0.57365919682451871</v>
      </c>
      <c r="N58" s="18">
        <f t="shared" si="22"/>
        <v>-0.27032601123722982</v>
      </c>
      <c r="P58" s="56">
        <f>'Nr(V)'!A58</f>
        <v>28</v>
      </c>
      <c r="Q58" s="53">
        <f>'Nr(V)'!J58</f>
        <v>21619.604842702101</v>
      </c>
    </row>
    <row r="59" spans="1:17" ht="15.6" x14ac:dyDescent="0.25">
      <c r="D59" s="24">
        <f t="shared" si="17"/>
        <v>-5.7870979844665271E-5</v>
      </c>
      <c r="E59" s="25">
        <v>-8.5106777842435099E-3</v>
      </c>
      <c r="F59" s="29">
        <v>0.13726436550578519</v>
      </c>
      <c r="G59" s="28">
        <f t="shared" si="18"/>
        <v>9.0039975475519896E-11</v>
      </c>
      <c r="I59" s="20">
        <f t="shared" si="23"/>
        <v>28</v>
      </c>
      <c r="J59" s="21">
        <f>Q58</f>
        <v>21619.604842702101</v>
      </c>
      <c r="K59" s="21">
        <f t="shared" si="19"/>
        <v>772.12874438221786</v>
      </c>
      <c r="L59" s="18">
        <f t="shared" si="20"/>
        <v>7.8646688210226108</v>
      </c>
      <c r="M59" s="18">
        <f t="shared" si="21"/>
        <v>-0.48762591783290415</v>
      </c>
      <c r="N59" s="18">
        <f t="shared" si="22"/>
        <v>-0.23829610123841768</v>
      </c>
      <c r="P59" s="56">
        <f>'Nr(V)'!A59</f>
        <v>28.5</v>
      </c>
      <c r="Q59" s="53">
        <f>'Nr(V)'!J59</f>
        <v>21854.4038885638</v>
      </c>
    </row>
    <row r="60" spans="1:17" ht="15.6" x14ac:dyDescent="0.25">
      <c r="D60" s="24">
        <f t="shared" si="17"/>
        <v>1.0643849805092032E-5</v>
      </c>
      <c r="E60" s="32">
        <v>-6.2605829736951711E-3</v>
      </c>
      <c r="F60" s="35">
        <v>0.11154567993389623</v>
      </c>
      <c r="G60" s="28">
        <f t="shared" si="18"/>
        <v>0</v>
      </c>
      <c r="I60" s="20">
        <f t="shared" si="23"/>
        <v>30</v>
      </c>
      <c r="J60" s="21">
        <f>Q62</f>
        <v>22617.624555560498</v>
      </c>
      <c r="K60" s="21">
        <f t="shared" si="19"/>
        <v>753.92081851868329</v>
      </c>
      <c r="L60" s="18">
        <f t="shared" si="20"/>
        <v>6.3910966831293701</v>
      </c>
      <c r="M60" s="18">
        <f t="shared" si="21"/>
        <v>-0.35870498168419579</v>
      </c>
      <c r="N60" s="18">
        <f t="shared" si="22"/>
        <v>-0.18781626229866755</v>
      </c>
      <c r="P60" s="56">
        <f>'Nr(V)'!A60</f>
        <v>29</v>
      </c>
      <c r="Q60" s="53">
        <f>'Nr(V)'!J60</f>
        <v>22089.337954003298</v>
      </c>
    </row>
    <row r="61" spans="1:17" ht="15.6" x14ac:dyDescent="0.25">
      <c r="D61" s="24">
        <f t="shared" si="17"/>
        <v>1.0393912134532002E-5</v>
      </c>
      <c r="E61" s="25">
        <v>-7.2119794429357561E-3</v>
      </c>
      <c r="F61" s="29">
        <v>8.1154334884091905E-2</v>
      </c>
      <c r="G61" s="28">
        <f t="shared" si="18"/>
        <v>0</v>
      </c>
      <c r="I61" s="20">
        <f t="shared" si="23"/>
        <v>33</v>
      </c>
      <c r="J61" s="21">
        <f>Q68</f>
        <v>23908.8167784328</v>
      </c>
      <c r="K61" s="21">
        <f t="shared" si="19"/>
        <v>724.50959934644845</v>
      </c>
      <c r="L61" s="18">
        <f t="shared" si="20"/>
        <v>4.649800878049775</v>
      </c>
      <c r="M61" s="18">
        <f t="shared" si="21"/>
        <v>-0.41321598401532933</v>
      </c>
      <c r="N61" s="18">
        <f t="shared" si="22"/>
        <v>-0.23799325849445099</v>
      </c>
      <c r="P61" s="56">
        <f>'Nr(V)'!A61</f>
        <v>29.5</v>
      </c>
      <c r="Q61" s="53">
        <f>'Nr(V)'!J61</f>
        <v>22265.313470453199</v>
      </c>
    </row>
    <row r="62" spans="1:17" ht="15.6" x14ac:dyDescent="0.25">
      <c r="D62" s="24">
        <f t="shared" si="17"/>
        <v>2.5988140350818867E-6</v>
      </c>
      <c r="E62" s="32">
        <v>-1.1649941356672676E-2</v>
      </c>
      <c r="F62" s="35">
        <v>5.7871592610010986E-2</v>
      </c>
      <c r="G62" s="28">
        <f t="shared" si="18"/>
        <v>6.2755134422332048E-11</v>
      </c>
      <c r="I62" s="20">
        <f t="shared" si="23"/>
        <v>36</v>
      </c>
      <c r="J62" s="21">
        <f>Q74</f>
        <v>25082.6319816373</v>
      </c>
      <c r="K62" s="21">
        <f t="shared" si="19"/>
        <v>696.73977726770272</v>
      </c>
      <c r="L62" s="18">
        <f t="shared" si="20"/>
        <v>3.3157980102541136</v>
      </c>
      <c r="M62" s="18">
        <f t="shared" si="21"/>
        <v>-0.66749247131225675</v>
      </c>
      <c r="N62" s="18">
        <f t="shared" si="22"/>
        <v>-0.41938840204510974</v>
      </c>
      <c r="P62" s="56">
        <f>'Nr(V)'!A62</f>
        <v>30</v>
      </c>
      <c r="Q62" s="53">
        <f>'Nr(V)'!J62</f>
        <v>22617.624555560498</v>
      </c>
    </row>
    <row r="63" spans="1:17" ht="15.6" x14ac:dyDescent="0.25">
      <c r="D63" s="24">
        <f t="shared" si="17"/>
        <v>1.5024944104879978E-5</v>
      </c>
      <c r="E63" s="25">
        <v>-1.6417484074906612E-2</v>
      </c>
      <c r="F63" s="29">
        <v>3.9648657878432067E-2</v>
      </c>
      <c r="G63" s="28">
        <f t="shared" si="18"/>
        <v>0</v>
      </c>
      <c r="I63" s="20">
        <f t="shared" si="23"/>
        <v>39</v>
      </c>
      <c r="J63" s="21">
        <f>Q80</f>
        <v>26785.2738647103</v>
      </c>
      <c r="K63" s="21">
        <f t="shared" si="19"/>
        <v>686.80189396693072</v>
      </c>
      <c r="L63" s="18">
        <f t="shared" si="20"/>
        <v>2.271700759792278</v>
      </c>
      <c r="M63" s="18">
        <f t="shared" si="21"/>
        <v>-0.94065254771538953</v>
      </c>
      <c r="N63" s="18">
        <f t="shared" si="22"/>
        <v>-0.64025311637611182</v>
      </c>
      <c r="P63" s="56">
        <f>'Nr(V)'!A63</f>
        <v>30.5</v>
      </c>
      <c r="Q63" s="53">
        <f>'Nr(V)'!J63</f>
        <v>22734.7765425986</v>
      </c>
    </row>
    <row r="64" spans="1:17" ht="15.6" x14ac:dyDescent="0.25">
      <c r="D64" s="24">
        <f t="shared" si="17"/>
        <v>3.8837014244563761E-6</v>
      </c>
      <c r="E64" s="32">
        <v>-2.7744652986570372E-2</v>
      </c>
      <c r="F64" s="35">
        <v>2.5124627273769542E-2</v>
      </c>
      <c r="G64" s="28">
        <f t="shared" si="18"/>
        <v>0</v>
      </c>
      <c r="I64" s="20">
        <f t="shared" si="23"/>
        <v>42</v>
      </c>
      <c r="J64" s="21">
        <f>Q86</f>
        <v>27194.023133354302</v>
      </c>
      <c r="K64" s="21">
        <f t="shared" si="19"/>
        <v>647.47674127034054</v>
      </c>
      <c r="L64" s="18">
        <f t="shared" si="20"/>
        <v>1.4395351046262743</v>
      </c>
      <c r="M64" s="18">
        <f t="shared" si="21"/>
        <v>-1.589651520185517</v>
      </c>
      <c r="N64" s="18">
        <f t="shared" si="22"/>
        <v>-1.1651259330007195</v>
      </c>
      <c r="P64" s="56">
        <f>'Nr(V)'!A64</f>
        <v>31</v>
      </c>
      <c r="Q64" s="53">
        <f>'Nr(V)'!J64</f>
        <v>23028.5341374499</v>
      </c>
    </row>
    <row r="65" spans="4:17" ht="15.6" x14ac:dyDescent="0.25">
      <c r="D65" s="24">
        <f t="shared" si="17"/>
        <v>-1.149404170064372E-6</v>
      </c>
      <c r="E65" s="25">
        <v>-3.8400579781839965E-2</v>
      </c>
      <c r="F65" s="29">
        <v>1.7008809511452602E-2</v>
      </c>
      <c r="G65" s="28">
        <f t="shared" si="18"/>
        <v>0</v>
      </c>
      <c r="I65" s="20">
        <f t="shared" si="23"/>
        <v>44</v>
      </c>
      <c r="J65" s="21">
        <f>Q90</f>
        <v>26721.589630496401</v>
      </c>
      <c r="K65" s="21">
        <f t="shared" si="19"/>
        <v>607.30885523855454</v>
      </c>
      <c r="L65" s="18">
        <f t="shared" si="20"/>
        <v>0.97453299954820571</v>
      </c>
      <c r="M65" s="18">
        <f t="shared" si="21"/>
        <v>-2.2001911523548294</v>
      </c>
      <c r="N65" s="18">
        <f t="shared" si="22"/>
        <v>-1.6892102861121294</v>
      </c>
      <c r="P65" s="56">
        <f>'Nr(V)'!A65</f>
        <v>31.5</v>
      </c>
      <c r="Q65" s="53">
        <f>'Nr(V)'!J65</f>
        <v>23204.4196408479</v>
      </c>
    </row>
    <row r="66" spans="4:17" ht="15.6" x14ac:dyDescent="0.25">
      <c r="D66" s="24">
        <f t="shared" si="17"/>
        <v>-9.8972350315307267E-8</v>
      </c>
      <c r="E66" s="32">
        <v>-5.3371445465316872E-2</v>
      </c>
      <c r="F66" s="35">
        <v>9.8859629278699717E-3</v>
      </c>
      <c r="G66" s="28">
        <f t="shared" si="18"/>
        <v>0</v>
      </c>
      <c r="I66" s="20">
        <f t="shared" si="23"/>
        <v>46</v>
      </c>
      <c r="J66" s="21">
        <f>Q94</f>
        <v>24954.858454475801</v>
      </c>
      <c r="K66" s="21">
        <f t="shared" si="19"/>
        <v>542.49692292338693</v>
      </c>
      <c r="L66" s="18">
        <f t="shared" si="20"/>
        <v>0.56642395218974362</v>
      </c>
      <c r="M66" s="18">
        <f t="shared" si="21"/>
        <v>-3.0579585716752931</v>
      </c>
      <c r="N66" s="18">
        <f t="shared" si="22"/>
        <v>-2.4539211005074475</v>
      </c>
      <c r="P66" s="56">
        <f>'Nr(V)'!A66</f>
        <v>32</v>
      </c>
      <c r="Q66" s="53">
        <f>'Nr(V)'!J66</f>
        <v>23439.308699761401</v>
      </c>
    </row>
    <row r="67" spans="4:17" ht="15.6" x14ac:dyDescent="0.25">
      <c r="D67" s="24">
        <f t="shared" si="17"/>
        <v>-2.8863632905995473E-7</v>
      </c>
      <c r="E67" s="25">
        <v>-7.0045908155934394E-2</v>
      </c>
      <c r="F67" s="29">
        <v>3.5968957141703376E-3</v>
      </c>
      <c r="G67" s="28">
        <f t="shared" si="18"/>
        <v>0</v>
      </c>
      <c r="I67" s="20">
        <f t="shared" si="23"/>
        <v>48</v>
      </c>
      <c r="J67" s="21">
        <f>Q98</f>
        <v>22599.9369908636</v>
      </c>
      <c r="K67" s="21">
        <f t="shared" si="19"/>
        <v>470.83202064299167</v>
      </c>
      <c r="L67" s="18">
        <f t="shared" si="20"/>
        <v>0.20608694377065445</v>
      </c>
      <c r="M67" s="18">
        <f t="shared" si="21"/>
        <v>-4.0133349094960318</v>
      </c>
      <c r="N67" s="18">
        <f t="shared" si="22"/>
        <v>-3.3594548635528554</v>
      </c>
      <c r="P67" s="56">
        <f>'Nr(V)'!A67</f>
        <v>32.5</v>
      </c>
      <c r="Q67" s="53">
        <f>'Nr(V)'!J67</f>
        <v>23732.751248930999</v>
      </c>
    </row>
    <row r="68" spans="4:17" ht="15.6" x14ac:dyDescent="0.25">
      <c r="D68" s="24">
        <f t="shared" si="17"/>
        <v>-2.1202970401645871E-7</v>
      </c>
      <c r="E68" s="32">
        <v>-8.8093375915416064E-2</v>
      </c>
      <c r="F68" s="35">
        <v>-1.9884200316118475E-3</v>
      </c>
      <c r="G68" s="28">
        <f t="shared" si="18"/>
        <v>0</v>
      </c>
      <c r="I68" s="20">
        <f t="shared" si="23"/>
        <v>50</v>
      </c>
      <c r="J68" s="21">
        <f>Q102</f>
        <v>19715.738782123401</v>
      </c>
      <c r="K68" s="21">
        <f t="shared" si="19"/>
        <v>394.31477564246802</v>
      </c>
      <c r="L68" s="18">
        <f t="shared" si="20"/>
        <v>-0.1139280757106286</v>
      </c>
      <c r="M68" s="18">
        <f t="shared" si="21"/>
        <v>-5.0473786430127552</v>
      </c>
      <c r="N68" s="18">
        <f t="shared" si="22"/>
        <v>-4.3989739758369497</v>
      </c>
      <c r="P68" s="56">
        <f>'Nr(V)'!A68</f>
        <v>33</v>
      </c>
      <c r="Q68" s="53">
        <f>'Nr(V)'!J68</f>
        <v>23908.8167784328</v>
      </c>
    </row>
    <row r="69" spans="4:17" ht="15.6" x14ac:dyDescent="0.25">
      <c r="D69" s="24">
        <f t="shared" si="17"/>
        <v>2.7942064662056509E-7</v>
      </c>
      <c r="E69" s="25">
        <v>-0.10724098164663026</v>
      </c>
      <c r="F69" s="29">
        <v>-6.974777199519497E-3</v>
      </c>
      <c r="G69" s="28">
        <f t="shared" si="18"/>
        <v>0</v>
      </c>
      <c r="I69" s="20">
        <f t="shared" si="23"/>
        <v>52</v>
      </c>
      <c r="J69" s="21">
        <f>Q106</f>
        <v>16360.727305459201</v>
      </c>
      <c r="K69" s="21">
        <f t="shared" si="19"/>
        <v>314.62937125883076</v>
      </c>
      <c r="L69" s="18">
        <f t="shared" si="20"/>
        <v>-0.39962529657654289</v>
      </c>
      <c r="M69" s="18">
        <f t="shared" si="21"/>
        <v>-6.1444556391918352</v>
      </c>
      <c r="N69" s="18">
        <f t="shared" si="22"/>
        <v>-5.5658482554332833</v>
      </c>
      <c r="P69" s="56">
        <f>'Nr(V)'!A69</f>
        <v>33.5</v>
      </c>
      <c r="Q69" s="53">
        <f>'Nr(V)'!J69</f>
        <v>24320.086412529799</v>
      </c>
    </row>
    <row r="70" spans="4:17" ht="15.6" x14ac:dyDescent="0.25">
      <c r="P70" s="56">
        <f>'Nr(V)'!A70</f>
        <v>34</v>
      </c>
      <c r="Q70" s="53">
        <f>'Nr(V)'!J70</f>
        <v>24437.373419145701</v>
      </c>
    </row>
    <row r="71" spans="4:17" ht="15.6" x14ac:dyDescent="0.25">
      <c r="P71" s="56">
        <f>'Nr(V)'!A71</f>
        <v>34.5</v>
      </c>
      <c r="Q71" s="53">
        <f>'Nr(V)'!J71</f>
        <v>24789.684504253099</v>
      </c>
    </row>
    <row r="72" spans="4:17" ht="15.6" x14ac:dyDescent="0.25">
      <c r="P72" s="56">
        <f>'Nr(V)'!A72</f>
        <v>35</v>
      </c>
      <c r="Q72" s="53">
        <f>'Nr(V)'!J72</f>
        <v>24907.016517395001</v>
      </c>
    </row>
    <row r="73" spans="4:17" ht="15.6" x14ac:dyDescent="0.25">
      <c r="P73" s="56">
        <f>'Nr(V)'!A73</f>
        <v>35.5</v>
      </c>
      <c r="Q73" s="53">
        <f>'Nr(V)'!J73</f>
        <v>25082.8120077411</v>
      </c>
    </row>
    <row r="74" spans="4:17" ht="15.6" x14ac:dyDescent="0.25">
      <c r="P74" s="56">
        <f>'Nr(V)'!A74</f>
        <v>36</v>
      </c>
      <c r="Q74" s="53">
        <f>'Nr(V)'!J74</f>
        <v>25082.6319816373</v>
      </c>
    </row>
    <row r="75" spans="4:17" ht="15.6" x14ac:dyDescent="0.25">
      <c r="P75" s="56">
        <f>'Nr(V)'!A75</f>
        <v>36.5</v>
      </c>
      <c r="Q75" s="53">
        <f>'Nr(V)'!J75</f>
        <v>25669.922138710099</v>
      </c>
    </row>
    <row r="76" spans="4:17" ht="15.6" x14ac:dyDescent="0.25">
      <c r="P76" s="56">
        <f>'Nr(V)'!A76</f>
        <v>37</v>
      </c>
      <c r="Q76" s="53">
        <f>'Nr(V)'!J76</f>
        <v>25669.652099554402</v>
      </c>
    </row>
    <row r="77" spans="4:17" ht="15.6" x14ac:dyDescent="0.25">
      <c r="P77" s="56">
        <f>'Nr(V)'!A77</f>
        <v>37.5</v>
      </c>
      <c r="Q77" s="53">
        <f>'Nr(V)'!J77</f>
        <v>25963.1846617759</v>
      </c>
    </row>
    <row r="78" spans="4:17" ht="15.6" x14ac:dyDescent="0.25">
      <c r="P78" s="56">
        <f>'Nr(V)'!A78</f>
        <v>38</v>
      </c>
      <c r="Q78" s="53">
        <f>'Nr(V)'!J78</f>
        <v>26197.983707637599</v>
      </c>
    </row>
    <row r="79" spans="4:17" ht="15.6" x14ac:dyDescent="0.25">
      <c r="P79" s="56">
        <f>'Nr(V)'!A79</f>
        <v>38.5</v>
      </c>
      <c r="Q79" s="53">
        <f>'Nr(V)'!J79</f>
        <v>26432.692740447299</v>
      </c>
    </row>
    <row r="80" spans="4:17" ht="15.6" x14ac:dyDescent="0.25">
      <c r="P80" s="56">
        <f>'Nr(V)'!A80</f>
        <v>39</v>
      </c>
      <c r="Q80" s="53">
        <f>'Nr(V)'!J80</f>
        <v>26785.2738647103</v>
      </c>
    </row>
    <row r="81" spans="16:17" ht="15.6" x14ac:dyDescent="0.25">
      <c r="P81" s="56">
        <f>'Nr(V)'!A81</f>
        <v>39.5</v>
      </c>
      <c r="Q81" s="53">
        <f>'Nr(V)'!J81</f>
        <v>27020.072910571998</v>
      </c>
    </row>
    <row r="82" spans="16:17" ht="15.6" x14ac:dyDescent="0.25">
      <c r="P82" s="56">
        <f>'Nr(V)'!A82</f>
        <v>40</v>
      </c>
      <c r="Q82" s="53">
        <f>'Nr(V)'!J82</f>
        <v>27137.179891084201</v>
      </c>
    </row>
    <row r="83" spans="16:17" ht="15.6" x14ac:dyDescent="0.25">
      <c r="P83" s="56">
        <f>'Nr(V)'!A83</f>
        <v>40.5</v>
      </c>
      <c r="Q83" s="53">
        <f>'Nr(V)'!J83</f>
        <v>27195.553355236501</v>
      </c>
    </row>
    <row r="84" spans="16:17" ht="15.6" x14ac:dyDescent="0.25">
      <c r="P84" s="56">
        <f>'Nr(V)'!A84</f>
        <v>41</v>
      </c>
      <c r="Q84" s="53">
        <f>'Nr(V)'!J84</f>
        <v>27195.058283450999</v>
      </c>
    </row>
    <row r="85" spans="16:17" ht="15.6" x14ac:dyDescent="0.25">
      <c r="P85" s="56">
        <f>'Nr(V)'!A85</f>
        <v>41.5</v>
      </c>
      <c r="Q85" s="53">
        <f>'Nr(V)'!J85</f>
        <v>27194.608218191599</v>
      </c>
    </row>
    <row r="86" spans="16:17" ht="15.6" x14ac:dyDescent="0.25">
      <c r="P86" s="56">
        <f>'Nr(V)'!A86</f>
        <v>42</v>
      </c>
      <c r="Q86" s="53">
        <f>'Nr(V)'!J86</f>
        <v>27194.023133354302</v>
      </c>
    </row>
    <row r="87" spans="16:17" ht="15.6" x14ac:dyDescent="0.25">
      <c r="P87" s="56">
        <f>'Nr(V)'!A87</f>
        <v>42.5</v>
      </c>
      <c r="Q87" s="53">
        <f>'Nr(V)'!J87</f>
        <v>27134.839551734902</v>
      </c>
    </row>
    <row r="88" spans="16:17" ht="15.6" x14ac:dyDescent="0.25">
      <c r="P88" s="56">
        <f>'Nr(V)'!A88</f>
        <v>43</v>
      </c>
      <c r="Q88" s="53">
        <f>'Nr(V)'!J88</f>
        <v>27016.742427652</v>
      </c>
    </row>
    <row r="89" spans="16:17" ht="15.6" x14ac:dyDescent="0.25">
      <c r="P89" s="56">
        <f>'Nr(V)'!A89</f>
        <v>43.5</v>
      </c>
      <c r="Q89" s="53">
        <f>'Nr(V)'!J89</f>
        <v>26721.904676178001</v>
      </c>
    </row>
    <row r="90" spans="16:17" ht="15.6" x14ac:dyDescent="0.25">
      <c r="P90" s="56">
        <f>'Nr(V)'!A90</f>
        <v>44</v>
      </c>
      <c r="Q90" s="53">
        <f>'Nr(V)'!J90</f>
        <v>26721.589630496401</v>
      </c>
    </row>
    <row r="91" spans="16:17" ht="15.6" x14ac:dyDescent="0.25">
      <c r="P91" s="56">
        <f>'Nr(V)'!A91</f>
        <v>44.5</v>
      </c>
      <c r="Q91" s="53">
        <f>'Nr(V)'!J91</f>
        <v>26485.890454115801</v>
      </c>
    </row>
    <row r="92" spans="16:17" ht="15.6" x14ac:dyDescent="0.25">
      <c r="P92" s="56">
        <f>'Nr(V)'!A92</f>
        <v>45</v>
      </c>
      <c r="Q92" s="53">
        <f>'Nr(V)'!J92</f>
        <v>26132.409199333899</v>
      </c>
    </row>
    <row r="93" spans="16:17" ht="15.6" x14ac:dyDescent="0.25">
      <c r="P93" s="56">
        <f>'Nr(V)'!A93</f>
        <v>45.5</v>
      </c>
      <c r="Q93" s="53">
        <f>'Nr(V)'!J93</f>
        <v>25543.543813853001</v>
      </c>
    </row>
    <row r="94" spans="16:17" ht="15.6" x14ac:dyDescent="0.25">
      <c r="P94" s="56">
        <f>'Nr(V)'!A94</f>
        <v>46</v>
      </c>
      <c r="Q94" s="53">
        <f>'Nr(V)'!J94</f>
        <v>24954.858454475801</v>
      </c>
    </row>
    <row r="95" spans="16:17" ht="15.6" x14ac:dyDescent="0.25">
      <c r="P95" s="56">
        <f>'Nr(V)'!A95</f>
        <v>46.5</v>
      </c>
      <c r="Q95" s="53">
        <f>'Nr(V)'!J95</f>
        <v>24542.688689859999</v>
      </c>
    </row>
    <row r="96" spans="16:17" ht="15.6" x14ac:dyDescent="0.25">
      <c r="P96" s="56">
        <f>'Nr(V)'!A96</f>
        <v>47</v>
      </c>
      <c r="Q96" s="53">
        <f>'Nr(V)'!J96</f>
        <v>24130.473918718199</v>
      </c>
    </row>
    <row r="97" spans="16:17" ht="15.6" x14ac:dyDescent="0.25">
      <c r="P97" s="56">
        <f>'Nr(V)'!A97</f>
        <v>47.5</v>
      </c>
      <c r="Q97" s="53">
        <f>'Nr(V)'!J97</f>
        <v>23424.0514874656</v>
      </c>
    </row>
    <row r="98" spans="16:17" ht="15.6" x14ac:dyDescent="0.25">
      <c r="P98" s="56">
        <f>'Nr(V)'!A98</f>
        <v>48</v>
      </c>
      <c r="Q98" s="53">
        <f>'Nr(V)'!J98</f>
        <v>22599.9369908636</v>
      </c>
    </row>
    <row r="99" spans="16:17" ht="15.6" x14ac:dyDescent="0.25">
      <c r="P99" s="56">
        <f>'Nr(V)'!A99</f>
        <v>48.5</v>
      </c>
      <c r="Q99" s="53">
        <f>'Nr(V)'!J99</f>
        <v>21952.383095548801</v>
      </c>
    </row>
    <row r="100" spans="16:17" ht="15.6" x14ac:dyDescent="0.25">
      <c r="P100" s="56">
        <f>'Nr(V)'!A100</f>
        <v>49</v>
      </c>
      <c r="Q100" s="53">
        <f>'Nr(V)'!J100</f>
        <v>21304.874206759901</v>
      </c>
    </row>
    <row r="101" spans="16:17" ht="15.6" x14ac:dyDescent="0.25">
      <c r="P101" s="56">
        <f>'Nr(V)'!A101</f>
        <v>49.5</v>
      </c>
      <c r="Q101" s="53">
        <f>'Nr(V)'!J101</f>
        <v>20598.541788559301</v>
      </c>
    </row>
    <row r="102" spans="16:17" ht="15.6" x14ac:dyDescent="0.25">
      <c r="P102" s="56">
        <f>'Nr(V)'!A102</f>
        <v>50</v>
      </c>
      <c r="Q102" s="53">
        <f>'Nr(V)'!J102</f>
        <v>19715.738782123401</v>
      </c>
    </row>
    <row r="103" spans="16:17" ht="15.6" x14ac:dyDescent="0.25">
      <c r="P103" s="56">
        <f>'Nr(V)'!A103</f>
        <v>50.5</v>
      </c>
      <c r="Q103" s="53">
        <f>'Nr(V)'!J103</f>
        <v>18538.728115576701</v>
      </c>
    </row>
    <row r="104" spans="16:17" ht="15.6" x14ac:dyDescent="0.25">
      <c r="P104" s="56">
        <f>'Nr(V)'!A104</f>
        <v>51</v>
      </c>
      <c r="Q104" s="53">
        <f>'Nr(V)'!J104</f>
        <v>17891.174220261899</v>
      </c>
    </row>
    <row r="105" spans="16:17" ht="15.6" x14ac:dyDescent="0.25">
      <c r="P105" s="56">
        <f>'Nr(V)'!A105</f>
        <v>51.5</v>
      </c>
      <c r="Q105" s="53">
        <f>'Nr(V)'!J105</f>
        <v>17184.886808587202</v>
      </c>
    </row>
    <row r="106" spans="16:17" ht="15.6" x14ac:dyDescent="0.25">
      <c r="P106" s="56">
        <f>'Nr(V)'!A106</f>
        <v>52</v>
      </c>
      <c r="Q106" s="53">
        <f>'Nr(V)'!J106</f>
        <v>16360.727305459201</v>
      </c>
    </row>
    <row r="107" spans="16:17" ht="15.6" x14ac:dyDescent="0.25">
      <c r="P107" s="56">
        <f>'Nr(V)'!A107</f>
        <v>52.5</v>
      </c>
      <c r="Q107" s="53">
        <f>'Nr(V)'!J107</f>
        <v>15595.4813447949</v>
      </c>
    </row>
    <row r="108" spans="16:17" ht="15.6" x14ac:dyDescent="0.25">
      <c r="P108" s="56">
        <f>'Nr(V)'!A108</f>
        <v>53</v>
      </c>
      <c r="Q108" s="53">
        <f>'Nr(V)'!J108</f>
        <v>14889.2389396462</v>
      </c>
    </row>
    <row r="109" spans="16:17" ht="15.6" x14ac:dyDescent="0.25">
      <c r="P109" s="56">
        <f>'Nr(V)'!A109</f>
        <v>53.5</v>
      </c>
      <c r="Q109" s="53">
        <f>'Nr(V)'!J109</f>
        <v>14182.9515279715</v>
      </c>
    </row>
    <row r="110" spans="16:17" ht="15.6" x14ac:dyDescent="0.25">
      <c r="P110" s="56">
        <f>'Nr(V)'!A110</f>
        <v>54</v>
      </c>
      <c r="Q110" s="53">
        <f>'Nr(V)'!J110</f>
        <v>13182.321436608299</v>
      </c>
    </row>
    <row r="111" spans="16:17" ht="15.6" x14ac:dyDescent="0.25">
      <c r="P111" s="56">
        <f>'Nr(V)'!A111</f>
        <v>54.5</v>
      </c>
      <c r="Q111" s="53">
        <f>'Nr(V)'!J111</f>
        <v>12358.38696611</v>
      </c>
    </row>
    <row r="112" spans="16:17" ht="15.6" x14ac:dyDescent="0.25">
      <c r="P112" s="56">
        <f>'Nr(V)'!A112</f>
        <v>55</v>
      </c>
      <c r="Q112" s="53">
        <f>'Nr(V)'!J112</f>
        <v>11299.023358386899</v>
      </c>
    </row>
    <row r="113" spans="16:17" ht="15.6" x14ac:dyDescent="0.25">
      <c r="P113" s="56">
        <f>'Nr(V)'!A113</f>
        <v>55.5</v>
      </c>
      <c r="Q113" s="53">
        <f>'Nr(V)'!J113</f>
        <v>10357.2618029614</v>
      </c>
    </row>
    <row r="114" spans="16:17" ht="15.6" x14ac:dyDescent="0.25">
      <c r="P114" s="56">
        <f>'Nr(V)'!A114</f>
        <v>56</v>
      </c>
      <c r="Q114" s="53">
        <f>'Nr(V)'!J114</f>
        <v>9180.3411494666707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6:N36"/>
    <mergeCell ref="I53:N5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131C-CF9B-4234-9D4D-D2EAC550A42E}">
  <dimension ref="A1:AB118"/>
  <sheetViews>
    <sheetView workbookViewId="0"/>
  </sheetViews>
  <sheetFormatPr defaultRowHeight="15" x14ac:dyDescent="0.25"/>
  <cols>
    <col min="1" max="1" width="34.77734375" style="13" customWidth="1"/>
    <col min="2" max="2" width="9.5546875" style="13" customWidth="1"/>
    <col min="3" max="4" width="9.109375" style="13" bestFit="1" customWidth="1"/>
    <col min="5" max="5" width="8.88671875" style="13"/>
    <col min="6" max="6" width="8.6640625" style="13" customWidth="1"/>
    <col min="7" max="7" width="9.109375" style="13" customWidth="1"/>
    <col min="8" max="8" width="9.21875" style="13" bestFit="1" customWidth="1"/>
    <col min="9" max="9" width="12" style="13" customWidth="1"/>
    <col min="10" max="10" width="12.6640625" style="13" customWidth="1"/>
    <col min="11" max="11" width="9.77734375" style="13" bestFit="1" customWidth="1"/>
    <col min="12" max="12" width="10.33203125" style="13" bestFit="1" customWidth="1"/>
    <col min="13" max="14" width="9.109375" style="13" bestFit="1" customWidth="1"/>
    <col min="15" max="15" width="8.88671875" style="13"/>
    <col min="16" max="17" width="8.88671875" style="14"/>
    <col min="18" max="16384" width="8.88671875" style="13"/>
  </cols>
  <sheetData>
    <row r="1" spans="1:17" ht="18.600000000000001" thickBot="1" x14ac:dyDescent="0.3">
      <c r="A1" s="11" t="s">
        <v>9</v>
      </c>
      <c r="B1" s="12" t="s">
        <v>6</v>
      </c>
      <c r="C1" s="12">
        <v>4500</v>
      </c>
      <c r="D1" s="12" t="s">
        <v>3</v>
      </c>
      <c r="G1" s="43"/>
      <c r="H1" s="44"/>
      <c r="I1" s="134" t="s">
        <v>167</v>
      </c>
      <c r="J1" s="135"/>
      <c r="K1" s="135"/>
      <c r="L1" s="135"/>
      <c r="M1" s="135"/>
      <c r="N1" s="136"/>
      <c r="P1" s="51" t="str">
        <f>'Nr(V)'!A1</f>
        <v>h</v>
      </c>
      <c r="Q1" s="53">
        <f>'Nr(V)'!K1</f>
        <v>4500</v>
      </c>
    </row>
    <row r="2" spans="1:17" ht="18.600000000000001" thickBot="1" x14ac:dyDescent="0.3">
      <c r="A2" s="101" t="s">
        <v>154</v>
      </c>
      <c r="B2" s="16" t="s">
        <v>155</v>
      </c>
      <c r="C2" s="16">
        <f>Podsumowanie!B9</f>
        <v>6965.1</v>
      </c>
      <c r="D2" s="16" t="s">
        <v>36</v>
      </c>
      <c r="G2" s="45"/>
      <c r="H2" s="46"/>
      <c r="I2" s="100" t="s">
        <v>76</v>
      </c>
      <c r="J2" s="100" t="s">
        <v>77</v>
      </c>
      <c r="K2" s="100" t="s">
        <v>78</v>
      </c>
      <c r="L2" s="100" t="s">
        <v>79</v>
      </c>
      <c r="M2" s="100" t="s">
        <v>85</v>
      </c>
      <c r="N2" s="100" t="s">
        <v>80</v>
      </c>
      <c r="P2" s="56">
        <f>'Nr(V)'!A2</f>
        <v>0</v>
      </c>
      <c r="Q2" s="53">
        <f>'Nr(V)'!K2</f>
        <v>0</v>
      </c>
    </row>
    <row r="3" spans="1:17" ht="15.6" x14ac:dyDescent="0.3">
      <c r="A3" s="15" t="s">
        <v>10</v>
      </c>
      <c r="B3" s="16" t="s">
        <v>27</v>
      </c>
      <c r="C3" s="16">
        <f>Podsumowanie!B30</f>
        <v>1.7453292519943295E-2</v>
      </c>
      <c r="D3" s="16" t="s">
        <v>37</v>
      </c>
      <c r="G3" s="45"/>
      <c r="H3" s="47"/>
      <c r="I3" s="103">
        <f>SQRT(2*C15/C$7/C$16/C17)</f>
        <v>24.976599984063338</v>
      </c>
      <c r="J3" s="102">
        <f>Q52</f>
        <v>18799.045861649902</v>
      </c>
      <c r="K3" s="102">
        <f>J3/I3</f>
        <v>752.66633063126653</v>
      </c>
      <c r="L3" s="104">
        <f ca="1">OFFSET(D23,A23-2,0,1,1)</f>
        <v>10.701400493476752</v>
      </c>
      <c r="M3" s="104">
        <f t="shared" ref="M3:M17" ca="1" si="0">OFFSET(D22,A23-2,0,1,1)</f>
        <v>-0.99623873025621457</v>
      </c>
      <c r="N3" s="104">
        <f ca="1">I3*SIN(RADIANS(M3))</f>
        <v>-0.43426239573143161</v>
      </c>
      <c r="P3" s="56">
        <f>'Nr(V)'!A3</f>
        <v>0.5</v>
      </c>
      <c r="Q3" s="53">
        <f>'Nr(V)'!K3</f>
        <v>705.29726810387297</v>
      </c>
    </row>
    <row r="4" spans="1:17" ht="15.6" x14ac:dyDescent="0.3">
      <c r="A4" s="15" t="s">
        <v>11</v>
      </c>
      <c r="B4" s="16" t="s">
        <v>17</v>
      </c>
      <c r="C4" s="16">
        <f>Podsumowanie!B13</f>
        <v>1.8</v>
      </c>
      <c r="D4" s="16" t="s">
        <v>3</v>
      </c>
      <c r="G4" s="45"/>
      <c r="H4" s="47"/>
      <c r="I4" s="20">
        <v>26</v>
      </c>
      <c r="J4" s="21">
        <f>Q54</f>
        <v>19445.024528556602</v>
      </c>
      <c r="K4" s="21">
        <f t="shared" ref="K4:K17" si="1">J4/I4</f>
        <v>747.88555879063847</v>
      </c>
      <c r="L4" s="18">
        <f t="shared" ref="L4:L17" ca="1" si="2">OFFSET(D24,A24-2,0,1,1)</f>
        <v>9.6127977292068856</v>
      </c>
      <c r="M4" s="18">
        <f t="shared" ca="1" si="0"/>
        <v>-0.74059199378321783</v>
      </c>
      <c r="N4" s="18">
        <f t="shared" ref="N4:N17" ca="1" si="3">I4*SIN(RADIANS(M4))</f>
        <v>-0.33606062824262062</v>
      </c>
      <c r="P4" s="56">
        <f>'Nr(V)'!A4</f>
        <v>1</v>
      </c>
      <c r="Q4" s="53">
        <f>'Nr(V)'!K4</f>
        <v>1116.7019217786501</v>
      </c>
    </row>
    <row r="5" spans="1:17" ht="18" x14ac:dyDescent="0.3">
      <c r="A5" s="15" t="s">
        <v>84</v>
      </c>
      <c r="B5" s="16" t="s">
        <v>64</v>
      </c>
      <c r="C5" s="16">
        <f>Podsumowanie!B17</f>
        <v>5.8319999999999999</v>
      </c>
      <c r="D5" s="16" t="s">
        <v>31</v>
      </c>
      <c r="G5" s="45"/>
      <c r="H5" s="47"/>
      <c r="I5" s="20">
        <v>27</v>
      </c>
      <c r="J5" s="21">
        <f>Q56</f>
        <v>19561.726450335202</v>
      </c>
      <c r="K5" s="21">
        <f t="shared" si="1"/>
        <v>724.50838704945193</v>
      </c>
      <c r="L5" s="18">
        <f t="shared" ca="1" si="2"/>
        <v>8.6661749340419387</v>
      </c>
      <c r="M5" s="18">
        <f t="shared" ca="1" si="0"/>
        <v>-0.70723867230617365</v>
      </c>
      <c r="N5" s="18">
        <f t="shared" ca="1" si="3"/>
        <v>-0.33326990929607508</v>
      </c>
      <c r="P5" s="56">
        <f>'Nr(V)'!A5</f>
        <v>1.5</v>
      </c>
      <c r="Q5" s="53">
        <f>'Nr(V)'!K5</f>
        <v>1469.2380395157199</v>
      </c>
    </row>
    <row r="6" spans="1:17" ht="18" x14ac:dyDescent="0.3">
      <c r="A6" s="15" t="s">
        <v>22</v>
      </c>
      <c r="B6" s="16" t="s">
        <v>65</v>
      </c>
      <c r="C6" s="16">
        <f>Podsumowanie!B10</f>
        <v>59000</v>
      </c>
      <c r="D6" s="16" t="s">
        <v>32</v>
      </c>
      <c r="G6" s="45"/>
      <c r="H6" s="47"/>
      <c r="I6" s="20">
        <v>28</v>
      </c>
      <c r="J6" s="21">
        <f>Q58</f>
        <v>20149.106620459901</v>
      </c>
      <c r="K6" s="21">
        <f t="shared" si="1"/>
        <v>719.61095073071078</v>
      </c>
      <c r="L6" s="18">
        <f t="shared" ca="1" si="2"/>
        <v>7.8111223744417648</v>
      </c>
      <c r="M6" s="18">
        <f t="shared" ca="1" si="0"/>
        <v>-0.55515047229864778</v>
      </c>
      <c r="N6" s="18">
        <f t="shared" ca="1" si="3"/>
        <v>-0.27129345548228401</v>
      </c>
      <c r="P6" s="56">
        <f>'Nr(V)'!A6</f>
        <v>2</v>
      </c>
      <c r="Q6" s="53">
        <f>'Nr(V)'!K6</f>
        <v>2056.8432422701298</v>
      </c>
    </row>
    <row r="7" spans="1:17" ht="18" x14ac:dyDescent="0.3">
      <c r="A7" s="15" t="s">
        <v>21</v>
      </c>
      <c r="B7" s="16" t="s">
        <v>5</v>
      </c>
      <c r="C7" s="16">
        <f>Podsumowanie!B3</f>
        <v>18</v>
      </c>
      <c r="D7" s="16" t="s">
        <v>66</v>
      </c>
      <c r="G7" s="45"/>
      <c r="H7" s="47"/>
      <c r="I7" s="20">
        <v>29</v>
      </c>
      <c r="J7" s="21">
        <f>Q60</f>
        <v>20559.701156667699</v>
      </c>
      <c r="K7" s="21">
        <f t="shared" si="1"/>
        <v>708.95521229888618</v>
      </c>
      <c r="L7" s="18">
        <f t="shared" ca="1" si="2"/>
        <v>7.0411168075840465</v>
      </c>
      <c r="M7" s="18">
        <f t="shared" ca="1" si="0"/>
        <v>-0.49329955336645048</v>
      </c>
      <c r="N7" s="18">
        <f t="shared" ca="1" si="3"/>
        <v>-0.24967825606604394</v>
      </c>
      <c r="P7" s="56">
        <f>'Nr(V)'!A7</f>
        <v>2.5</v>
      </c>
      <c r="Q7" s="53">
        <f>'Nr(V)'!K7</f>
        <v>2526.98141230478</v>
      </c>
    </row>
    <row r="8" spans="1:17" ht="18" x14ac:dyDescent="0.3">
      <c r="A8" s="15" t="s">
        <v>38</v>
      </c>
      <c r="B8" s="16" t="s">
        <v>67</v>
      </c>
      <c r="C8" s="16">
        <f>Podsumowanie!B31</f>
        <v>-6.6601764256103618E-2</v>
      </c>
      <c r="D8" s="16" t="s">
        <v>37</v>
      </c>
      <c r="G8" s="45"/>
      <c r="H8" s="47"/>
      <c r="I8" s="20">
        <v>30</v>
      </c>
      <c r="J8" s="21">
        <f>Q62</f>
        <v>21029.479274494799</v>
      </c>
      <c r="K8" s="21">
        <f t="shared" si="1"/>
        <v>700.98264248316002</v>
      </c>
      <c r="L8" s="18">
        <f t="shared" ca="1" si="2"/>
        <v>6.344006711578527</v>
      </c>
      <c r="M8" s="18">
        <f t="shared" ca="1" si="0"/>
        <v>-0.44300829150382942</v>
      </c>
      <c r="N8" s="18">
        <f t="shared" ca="1" si="3"/>
        <v>-0.23195628781745004</v>
      </c>
      <c r="P8" s="56">
        <f>'Nr(V)'!A8</f>
        <v>3</v>
      </c>
      <c r="Q8" s="53">
        <f>'Nr(V)'!K8</f>
        <v>2938.1610333498302</v>
      </c>
    </row>
    <row r="9" spans="1:17" ht="15.6" x14ac:dyDescent="0.3">
      <c r="A9" s="15" t="s">
        <v>12</v>
      </c>
      <c r="B9" s="16" t="s">
        <v>3</v>
      </c>
      <c r="C9" s="16">
        <f>Podsumowanie!B7</f>
        <v>620</v>
      </c>
      <c r="D9" s="16" t="s">
        <v>0</v>
      </c>
      <c r="G9" s="45"/>
      <c r="H9" s="47"/>
      <c r="I9" s="20">
        <v>33</v>
      </c>
      <c r="J9" s="21">
        <f>Q68</f>
        <v>22379.360007201001</v>
      </c>
      <c r="K9" s="21">
        <f t="shared" si="1"/>
        <v>678.16242446063643</v>
      </c>
      <c r="L9" s="18">
        <f t="shared" ca="1" si="2"/>
        <v>4.6098270096167013</v>
      </c>
      <c r="M9" s="18">
        <f t="shared" ca="1" si="0"/>
        <v>-0.45978724102494389</v>
      </c>
      <c r="N9" s="18">
        <f t="shared" ca="1" si="3"/>
        <v>-0.26481559781781067</v>
      </c>
      <c r="P9" s="56">
        <f>'Nr(V)'!A9</f>
        <v>3.5</v>
      </c>
      <c r="Q9" s="53">
        <f>'Nr(V)'!K9</f>
        <v>3290.7421576128399</v>
      </c>
    </row>
    <row r="10" spans="1:17" ht="18" x14ac:dyDescent="0.3">
      <c r="A10" s="15" t="s">
        <v>20</v>
      </c>
      <c r="B10" s="16" t="s">
        <v>68</v>
      </c>
      <c r="C10" s="16">
        <f>Podsumowanie!B14</f>
        <v>4.5869999999999997</v>
      </c>
      <c r="D10" s="16" t="s">
        <v>7</v>
      </c>
      <c r="G10" s="45"/>
      <c r="H10" s="47"/>
      <c r="I10" s="20">
        <v>36</v>
      </c>
      <c r="J10" s="21">
        <f>Q74</f>
        <v>23964.759890183999</v>
      </c>
      <c r="K10" s="21">
        <f t="shared" si="1"/>
        <v>665.68777472733336</v>
      </c>
      <c r="L10" s="18">
        <f t="shared" ca="1" si="2"/>
        <v>3.2814383632293813</v>
      </c>
      <c r="M10" s="18">
        <f t="shared" ca="1" si="0"/>
        <v>-0.59925980543369051</v>
      </c>
      <c r="N10" s="18">
        <f t="shared" ca="1" si="3"/>
        <v>-0.37651917569157367</v>
      </c>
      <c r="P10" s="56">
        <f>'Nr(V)'!A10</f>
        <v>4</v>
      </c>
      <c r="Q10" s="53">
        <f>'Nr(V)'!K10</f>
        <v>3819.6588505333202</v>
      </c>
    </row>
    <row r="11" spans="1:17" ht="18" x14ac:dyDescent="0.3">
      <c r="A11" s="15" t="s">
        <v>83</v>
      </c>
      <c r="B11" s="16" t="s">
        <v>69</v>
      </c>
      <c r="C11" s="16">
        <f>Podsumowanie!B15</f>
        <v>4.478E-2</v>
      </c>
      <c r="D11" s="16" t="s">
        <v>7</v>
      </c>
      <c r="G11" s="45"/>
      <c r="H11" s="47"/>
      <c r="I11" s="20">
        <v>39</v>
      </c>
      <c r="J11" s="21">
        <f>Q80</f>
        <v>24961.834465997501</v>
      </c>
      <c r="K11" s="21">
        <f t="shared" si="1"/>
        <v>640.04703758967946</v>
      </c>
      <c r="L11" s="18">
        <f t="shared" ca="1" si="2"/>
        <v>2.2425522751717821</v>
      </c>
      <c r="M11" s="18">
        <f t="shared" ca="1" si="0"/>
        <v>-1.0193186985610541</v>
      </c>
      <c r="N11" s="18">
        <f t="shared" ca="1" si="3"/>
        <v>-0.69379163031989433</v>
      </c>
      <c r="P11" s="56">
        <f>'Nr(V)'!A11</f>
        <v>4.5</v>
      </c>
      <c r="Q11" s="53">
        <f>'Nr(V)'!K11</f>
        <v>4230.8834781043197</v>
      </c>
    </row>
    <row r="12" spans="1:17" ht="18" x14ac:dyDescent="0.3">
      <c r="A12" s="15" t="s">
        <v>18</v>
      </c>
      <c r="B12" s="16" t="s">
        <v>70</v>
      </c>
      <c r="C12" s="16">
        <f>Podsumowanie!B12</f>
        <v>36.667000000000002</v>
      </c>
      <c r="D12" s="16" t="s">
        <v>34</v>
      </c>
      <c r="G12" s="45"/>
      <c r="H12" s="47"/>
      <c r="I12" s="20">
        <v>42</v>
      </c>
      <c r="J12" s="21">
        <f>Q86</f>
        <v>25547.099329402699</v>
      </c>
      <c r="K12" s="21">
        <f t="shared" si="1"/>
        <v>608.26426974768333</v>
      </c>
      <c r="L12" s="18">
        <f t="shared" ca="1" si="2"/>
        <v>1.4142277852694867</v>
      </c>
      <c r="M12" s="18">
        <f t="shared" ca="1" si="0"/>
        <v>-1.626619704044272</v>
      </c>
      <c r="N12" s="18">
        <f t="shared" ca="1" si="3"/>
        <v>-1.1922143534155683</v>
      </c>
      <c r="P12" s="56">
        <f>'Nr(V)'!A12</f>
        <v>5</v>
      </c>
      <c r="Q12" s="53">
        <f>'Nr(V)'!K12</f>
        <v>4583.3295827894999</v>
      </c>
    </row>
    <row r="13" spans="1:17" ht="15.6" x14ac:dyDescent="0.3">
      <c r="A13" s="15" t="s">
        <v>19</v>
      </c>
      <c r="B13" s="16" t="s">
        <v>14</v>
      </c>
      <c r="C13" s="16">
        <f>Podsumowanie!B18</f>
        <v>0.14000000000000001</v>
      </c>
      <c r="D13" s="16" t="s">
        <v>7</v>
      </c>
      <c r="G13" s="45"/>
      <c r="H13" s="47"/>
      <c r="I13" s="20">
        <v>44</v>
      </c>
      <c r="J13" s="21">
        <f>Q90</f>
        <v>25427.471983437499</v>
      </c>
      <c r="K13" s="21">
        <f t="shared" si="1"/>
        <v>577.8970905326704</v>
      </c>
      <c r="L13" s="18">
        <f t="shared" ca="1" si="2"/>
        <v>0.95159142477743852</v>
      </c>
      <c r="M13" s="18">
        <f t="shared" ca="1" si="0"/>
        <v>-2.174709039235919</v>
      </c>
      <c r="N13" s="18">
        <f t="shared" ca="1" si="3"/>
        <v>-1.6696556880158044</v>
      </c>
      <c r="P13" s="56">
        <f>'Nr(V)'!A13</f>
        <v>5.5</v>
      </c>
      <c r="Q13" s="53">
        <f>'Nr(V)'!K13</f>
        <v>4876.9071515369696</v>
      </c>
    </row>
    <row r="14" spans="1:17" ht="18" x14ac:dyDescent="0.3">
      <c r="A14" s="15" t="s">
        <v>30</v>
      </c>
      <c r="B14" s="16" t="s">
        <v>29</v>
      </c>
      <c r="C14" s="16">
        <f>Podsumowanie!B2</f>
        <v>1.2255</v>
      </c>
      <c r="D14" s="16" t="s">
        <v>71</v>
      </c>
      <c r="G14" s="45"/>
      <c r="H14" s="47"/>
      <c r="I14" s="20">
        <v>46</v>
      </c>
      <c r="J14" s="21">
        <f>Q94</f>
        <v>24131.509068814899</v>
      </c>
      <c r="K14" s="21">
        <f t="shared" si="1"/>
        <v>524.59802323510655</v>
      </c>
      <c r="L14" s="18">
        <f t="shared" ca="1" si="2"/>
        <v>0.54575999178014267</v>
      </c>
      <c r="M14" s="18">
        <f t="shared" ca="1" si="0"/>
        <v>-2.9672764409634413</v>
      </c>
      <c r="N14" s="18">
        <f t="shared" ca="1" si="3"/>
        <v>-2.3812174440162144</v>
      </c>
      <c r="P14" s="56">
        <f>'Nr(V)'!A14</f>
        <v>6</v>
      </c>
      <c r="Q14" s="53">
        <f>'Nr(V)'!K14</f>
        <v>5170.66474638822</v>
      </c>
    </row>
    <row r="15" spans="1:17" ht="15.6" x14ac:dyDescent="0.3">
      <c r="A15" s="15" t="s">
        <v>23</v>
      </c>
      <c r="B15" s="16" t="s">
        <v>13</v>
      </c>
      <c r="C15" s="16">
        <f>Podsumowanie!B8</f>
        <v>6572.7000000000007</v>
      </c>
      <c r="D15" s="16" t="s">
        <v>36</v>
      </c>
      <c r="G15" s="45"/>
      <c r="H15" s="47"/>
      <c r="I15" s="20">
        <v>48</v>
      </c>
      <c r="J15" s="21">
        <f>Q98</f>
        <v>21364.732886268499</v>
      </c>
      <c r="K15" s="21">
        <f t="shared" si="1"/>
        <v>445.09860179726041</v>
      </c>
      <c r="L15" s="18">
        <f t="shared" ca="1" si="2"/>
        <v>0.18663671327051251</v>
      </c>
      <c r="M15" s="18">
        <f t="shared" ca="1" si="0"/>
        <v>-4.0290763359592896</v>
      </c>
      <c r="N15" s="18">
        <f t="shared" ca="1" si="3"/>
        <v>-3.372609904635488</v>
      </c>
      <c r="P15" s="56">
        <f>'Nr(V)'!A15</f>
        <v>6.5</v>
      </c>
      <c r="Q15" s="53">
        <f>'Nr(V)'!K15</f>
        <v>5640.6228903190904</v>
      </c>
    </row>
    <row r="16" spans="1:17" ht="18" x14ac:dyDescent="0.25">
      <c r="A16" s="16" t="s">
        <v>99</v>
      </c>
      <c r="B16" s="16" t="s">
        <v>100</v>
      </c>
      <c r="C16" s="16">
        <f>Podsumowanie!B16</f>
        <v>1.5069999999999999</v>
      </c>
      <c r="D16" s="16" t="s">
        <v>7</v>
      </c>
      <c r="G16" s="45"/>
      <c r="H16" s="47"/>
      <c r="I16" s="20">
        <v>50</v>
      </c>
      <c r="J16" s="21">
        <f>Q102</f>
        <v>18598.0017102479</v>
      </c>
      <c r="K16" s="21">
        <f t="shared" si="1"/>
        <v>371.96003420495799</v>
      </c>
      <c r="L16" s="18">
        <f t="shared" ca="1" si="2"/>
        <v>-0.13194043537843</v>
      </c>
      <c r="M16" s="18">
        <f t="shared" ca="1" si="0"/>
        <v>-5.0744481629422769</v>
      </c>
      <c r="N16" s="18">
        <f t="shared" ca="1" si="3"/>
        <v>-4.4225044947915162</v>
      </c>
      <c r="P16" s="56">
        <f>'Nr(V)'!A16</f>
        <v>7</v>
      </c>
      <c r="Q16" s="53">
        <f>'Nr(V)'!K16</f>
        <v>6404.9237139385205</v>
      </c>
    </row>
    <row r="17" spans="1:28" ht="18.600000000000001" x14ac:dyDescent="0.25">
      <c r="A17" s="13" t="s">
        <v>26</v>
      </c>
      <c r="B17" s="14" t="s">
        <v>72</v>
      </c>
      <c r="C17" s="14">
        <f>C14*(1-C1/44300)^4.256</f>
        <v>0.77682181220511726</v>
      </c>
      <c r="D17" s="14" t="s">
        <v>73</v>
      </c>
      <c r="G17" s="45"/>
      <c r="H17" s="47"/>
      <c r="I17" s="20">
        <v>52</v>
      </c>
      <c r="J17" s="21">
        <f>Q106</f>
        <v>15478.4193708087</v>
      </c>
      <c r="K17" s="21">
        <f t="shared" si="1"/>
        <v>297.66191097709037</v>
      </c>
      <c r="L17" s="18">
        <f t="shared" ca="1" si="2"/>
        <v>-0.41625428514660873</v>
      </c>
      <c r="M17" s="18">
        <f t="shared" ca="1" si="0"/>
        <v>-6.1669888824759918</v>
      </c>
      <c r="N17" s="18">
        <f t="shared" ca="1" si="3"/>
        <v>-5.5861808631045875</v>
      </c>
      <c r="P17" s="56">
        <f>'Nr(V)'!A17</f>
        <v>7.5</v>
      </c>
      <c r="Q17" s="53">
        <f>'Nr(V)'!K17</f>
        <v>6816.2383545614002</v>
      </c>
    </row>
    <row r="18" spans="1:28" ht="18.600000000000001" x14ac:dyDescent="0.25">
      <c r="A18" s="13" t="s">
        <v>24</v>
      </c>
      <c r="B18" s="14" t="s">
        <v>74</v>
      </c>
      <c r="C18" s="14">
        <f>C6*((C17/C14)-C13)/(1-C13)</f>
        <v>33882.569924095449</v>
      </c>
      <c r="D18" s="14" t="s">
        <v>32</v>
      </c>
      <c r="P18" s="56">
        <f>'Nr(V)'!A18</f>
        <v>8</v>
      </c>
      <c r="Q18" s="53">
        <f>'Nr(V)'!K18</f>
        <v>7286.3315180701202</v>
      </c>
    </row>
    <row r="19" spans="1:28" ht="19.2" thickBot="1" x14ac:dyDescent="0.3">
      <c r="A19" s="13" t="s">
        <v>25</v>
      </c>
      <c r="B19" s="14" t="s">
        <v>75</v>
      </c>
      <c r="C19" s="14">
        <f>C18/C17/C12^3/C4^5</f>
        <v>4.6823758433404715E-2</v>
      </c>
      <c r="D19" s="14" t="s">
        <v>7</v>
      </c>
      <c r="P19" s="56">
        <f>'Nr(V)'!A19</f>
        <v>8.5</v>
      </c>
      <c r="Q19" s="53">
        <f>'Nr(V)'!K19</f>
        <v>7815.1581979386901</v>
      </c>
    </row>
    <row r="20" spans="1:28" ht="18.600000000000001" thickBot="1" x14ac:dyDescent="0.3">
      <c r="F20" s="134" t="s">
        <v>157</v>
      </c>
      <c r="G20" s="135"/>
      <c r="H20" s="135"/>
      <c r="I20" s="135"/>
      <c r="J20" s="135"/>
      <c r="K20" s="135"/>
      <c r="L20" s="135"/>
      <c r="M20" s="135"/>
      <c r="N20" s="135"/>
      <c r="O20" s="22"/>
      <c r="P20" s="56">
        <f>'Nr(V)'!A20</f>
        <v>9</v>
      </c>
      <c r="Q20" s="53">
        <f>'Nr(V)'!K20</f>
        <v>8167.6493091498196</v>
      </c>
    </row>
    <row r="21" spans="1:28" ht="18.600000000000001" thickBot="1" x14ac:dyDescent="0.35">
      <c r="A21" s="14"/>
      <c r="B21" s="14" t="s">
        <v>15</v>
      </c>
      <c r="C21" s="14" t="s">
        <v>63</v>
      </c>
      <c r="D21" s="14" t="s">
        <v>16</v>
      </c>
      <c r="F21" s="95" t="s">
        <v>1</v>
      </c>
      <c r="G21" s="95" t="s">
        <v>2</v>
      </c>
      <c r="H21" s="95" t="s">
        <v>76</v>
      </c>
      <c r="I21" s="95" t="s">
        <v>81</v>
      </c>
      <c r="J21" s="95" t="s">
        <v>77</v>
      </c>
      <c r="K21" s="95" t="s">
        <v>82</v>
      </c>
      <c r="L21" s="95" t="s">
        <v>80</v>
      </c>
      <c r="M21" s="95" t="s">
        <v>85</v>
      </c>
      <c r="N21" s="95" t="s">
        <v>79</v>
      </c>
      <c r="P21" s="56">
        <f>'Nr(V)'!A21</f>
        <v>9.5</v>
      </c>
      <c r="Q21" s="53">
        <f>'Nr(V)'!K21</f>
        <v>8755.3445249561191</v>
      </c>
      <c r="AB21" s="37"/>
    </row>
    <row r="22" spans="1:28" ht="15.6" x14ac:dyDescent="0.25">
      <c r="A22" s="23">
        <v>1</v>
      </c>
      <c r="B22" s="24">
        <f>-K3*COS(C22+C23-C$3)+0.5*C$17*C$7*C$5*(C23-C$8)*I3^2*SIN(C22)+0.5*C$17*C$7*(C$11+1/PI()/C$10*C$5^2*(C23-C$8)^2)*I3^2*COS(C22)</f>
        <v>-1.8798630208038958E-7</v>
      </c>
      <c r="C22" s="25">
        <v>-1.7387645978858595E-2</v>
      </c>
      <c r="D22" s="26">
        <f t="shared" ref="D22:D51" si="4">DEGREES(C22)</f>
        <v>-0.99623873025621457</v>
      </c>
      <c r="F22" s="17">
        <v>1.5069999999999999</v>
      </c>
      <c r="G22" s="18">
        <v>80.83</v>
      </c>
      <c r="H22" s="20">
        <f>SQRT((2*C$15)/(C$7*C$17*F22))</f>
        <v>24.976599984063338</v>
      </c>
      <c r="I22" s="21">
        <f>C$15*SQRT((2*C$15)/(C$17*C$7*G22))</f>
        <v>22415.450170135427</v>
      </c>
      <c r="J22" s="102">
        <f>Q50</f>
        <v>18388.2262928124</v>
      </c>
      <c r="K22" s="21">
        <f>(J22-I22)</f>
        <v>-4027.2238773230274</v>
      </c>
      <c r="L22" s="18">
        <f t="shared" ref="L22:L33" si="5">K22/C$15</f>
        <v>-0.61271986813988577</v>
      </c>
      <c r="M22" s="18">
        <f t="shared" ref="M22:M33" si="6">DEGREES(ASIN(L22/H22))</f>
        <v>-1.4057071276347592</v>
      </c>
      <c r="N22" s="18">
        <v>13.202</v>
      </c>
      <c r="P22" s="56">
        <f>'Nr(V)'!A22</f>
        <v>10</v>
      </c>
      <c r="Q22" s="53">
        <f>'Nr(V)'!K22</f>
        <v>9107.8806426931806</v>
      </c>
    </row>
    <row r="23" spans="1:28" ht="15.6" x14ac:dyDescent="0.25">
      <c r="A23" s="27">
        <v>2</v>
      </c>
      <c r="B23" s="28">
        <f>K3*SIN(C22+C23-C$3)+0.5*C$17*C$7*C$5*(C23-C$8)*I3^2*COS(C22)-0.5*C$17*C$7*(C$11+1/PI()/C$10*C$5^2*(C23-C$8)^2)*I3^2*SIN(C22)-C$15</f>
        <v>-1.1233134500798769E-5</v>
      </c>
      <c r="C23" s="29">
        <v>0.18677467318571528</v>
      </c>
      <c r="D23" s="30">
        <f t="shared" si="4"/>
        <v>10.701400493476752</v>
      </c>
      <c r="F23" s="17">
        <v>1.4</v>
      </c>
      <c r="G23" s="18">
        <v>82.93</v>
      </c>
      <c r="H23" s="20">
        <f t="shared" ref="H23:H33" si="7">SQRT((2*C$15)/(C$7*C$17*F23))</f>
        <v>25.913491163225832</v>
      </c>
      <c r="I23" s="21">
        <f t="shared" ref="I23:I33" si="8">C$15*SQRT((2*C$15)/(C$17*C$7*G23))</f>
        <v>22129.822062600611</v>
      </c>
      <c r="J23" s="21">
        <f>Q52</f>
        <v>18799.045861649902</v>
      </c>
      <c r="K23" s="21">
        <f t="shared" ref="K23:K34" si="9">(J23-I23)</f>
        <v>-3330.7762009507096</v>
      </c>
      <c r="L23" s="18">
        <f t="shared" si="5"/>
        <v>-0.50675920108185513</v>
      </c>
      <c r="M23" s="18">
        <f t="shared" si="6"/>
        <v>-1.1205365667548699</v>
      </c>
      <c r="N23" s="18">
        <v>11.19</v>
      </c>
      <c r="P23" s="56">
        <f>'Nr(V)'!A23</f>
        <v>10.5</v>
      </c>
      <c r="Q23" s="53">
        <f>'Nr(V)'!K23</f>
        <v>9577.9287996759504</v>
      </c>
    </row>
    <row r="24" spans="1:28" ht="15.6" x14ac:dyDescent="0.25">
      <c r="A24" s="31">
        <v>3</v>
      </c>
      <c r="B24" s="24">
        <f>-K4*COS(C24+C25-C$3)+0.5*C$17*C$7*C$5*(C25-C$8)*I4^2*SIN(C24)+0.5*C$17*C$7*(C$11+1/PI()/C$10*C$5^2*(C25-C$8)^2)*I4^2*COS(C24)</f>
        <v>1.6194951513170963E-7</v>
      </c>
      <c r="C24" s="32">
        <v>-1.2925768705426527E-2</v>
      </c>
      <c r="D24" s="33">
        <f t="shared" si="4"/>
        <v>-0.74059199378321783</v>
      </c>
      <c r="F24" s="17">
        <v>1.2976294821560448</v>
      </c>
      <c r="G24" s="18">
        <v>83.61</v>
      </c>
      <c r="H24" s="20">
        <f t="shared" si="7"/>
        <v>26.916252421603136</v>
      </c>
      <c r="I24" s="21">
        <f t="shared" si="8"/>
        <v>22039.647436548832</v>
      </c>
      <c r="J24" s="21">
        <f>Q54</f>
        <v>19445.024528556602</v>
      </c>
      <c r="K24" s="21">
        <f t="shared" si="9"/>
        <v>-2594.6229079922305</v>
      </c>
      <c r="L24" s="18">
        <f t="shared" si="5"/>
        <v>-0.39475754377839095</v>
      </c>
      <c r="M24" s="18">
        <f t="shared" si="6"/>
        <v>-0.84033808832557699</v>
      </c>
      <c r="N24" s="18">
        <v>9.6229999999999993</v>
      </c>
      <c r="P24" s="56">
        <f>'Nr(V)'!A24</f>
        <v>11</v>
      </c>
      <c r="Q24" s="53">
        <f>'Nr(V)'!K24</f>
        <v>9989.3334533507295</v>
      </c>
    </row>
    <row r="25" spans="1:28" ht="15.6" x14ac:dyDescent="0.25">
      <c r="A25" s="34">
        <v>4</v>
      </c>
      <c r="B25" s="28">
        <f>K4*SIN(C24+C25-C$3)+0.5*C$17*C$7*C$5*(C25-C$8)*I4^2*COS(C24)-0.5*C$17*C$7*(C$11+1/PI()/C$10*C$5^2*(C25-C$8)^2)*I4^2*SIN(C24)-C$15</f>
        <v>-4.0108716348186135E-9</v>
      </c>
      <c r="C25" s="35">
        <v>0.16777497070289443</v>
      </c>
      <c r="D25" s="36">
        <f>DEGREES(C25)</f>
        <v>9.6127977292068856</v>
      </c>
      <c r="F25" s="17">
        <v>1.1970000000000001</v>
      </c>
      <c r="G25" s="18">
        <v>82.42</v>
      </c>
      <c r="H25" s="20">
        <f t="shared" si="7"/>
        <v>28.024822419719673</v>
      </c>
      <c r="I25" s="21">
        <f t="shared" si="8"/>
        <v>22198.184133746523</v>
      </c>
      <c r="J25" s="21">
        <f>Q57</f>
        <v>19914.262568072299</v>
      </c>
      <c r="K25" s="21">
        <f t="shared" si="9"/>
        <v>-2283.9215656742235</v>
      </c>
      <c r="L25" s="18">
        <f t="shared" si="5"/>
        <v>-0.3474860507362611</v>
      </c>
      <c r="M25" s="18">
        <f t="shared" si="6"/>
        <v>-0.71044140918447685</v>
      </c>
      <c r="N25" s="18">
        <v>8.0570000000000004</v>
      </c>
      <c r="P25" s="56">
        <f>'Nr(V)'!A25</f>
        <v>11.5</v>
      </c>
      <c r="Q25" s="53">
        <f>'Nr(V)'!K25</f>
        <v>10576.9386561051</v>
      </c>
    </row>
    <row r="26" spans="1:28" ht="15.6" x14ac:dyDescent="0.25">
      <c r="A26" s="23">
        <v>5</v>
      </c>
      <c r="B26" s="24">
        <f>-K5*COS(C26+C27-C$3)+0.5*C$17*C$7*C$5*(C27-C$8)*I5^2*SIN(C26)+0.5*C$17*C$7*(C$11+1/PI()/C$10*C$5^2*(C27-C$8)^2)*I5^2*COS(C26)</f>
        <v>-6.4050027503981255E-9</v>
      </c>
      <c r="C26" s="25">
        <v>-1.2343643429175969E-2</v>
      </c>
      <c r="D26" s="26">
        <f t="shared" si="4"/>
        <v>-0.70723867230617365</v>
      </c>
      <c r="F26" s="17">
        <v>0.99199999999999999</v>
      </c>
      <c r="G26" s="18">
        <v>77.64</v>
      </c>
      <c r="H26" s="20">
        <f t="shared" si="7"/>
        <v>30.784642071542759</v>
      </c>
      <c r="I26" s="21">
        <f t="shared" si="8"/>
        <v>22871.307412944945</v>
      </c>
      <c r="J26" s="21">
        <f>Q61</f>
        <v>20853.368738467001</v>
      </c>
      <c r="K26" s="21">
        <f t="shared" si="9"/>
        <v>-2017.938674477944</v>
      </c>
      <c r="L26" s="18">
        <f t="shared" si="5"/>
        <v>-0.30701822302523224</v>
      </c>
      <c r="M26" s="18">
        <f t="shared" si="6"/>
        <v>-0.57142584248880579</v>
      </c>
      <c r="N26" s="18">
        <v>6.1870000000000003</v>
      </c>
      <c r="P26" s="56">
        <f>'Nr(V)'!A26</f>
        <v>12</v>
      </c>
      <c r="Q26" s="53">
        <f>'Nr(V)'!K26</f>
        <v>10870.651244430401</v>
      </c>
    </row>
    <row r="27" spans="1:28" ht="15.6" x14ac:dyDescent="0.25">
      <c r="A27" s="27">
        <v>6</v>
      </c>
      <c r="B27" s="28">
        <f>K5*SIN(C26+C27-C$3)+0.5*C$17*C$7*C$5*(C27-C$8)*I5^2*COS(C26)-0.5*C$17*C$7*(C$11+1/PI()/C$10*C$5^2*(C27-C$8)^2)*I5^2*SIN(C26)-C$15</f>
        <v>-3.9125461626099423E-7</v>
      </c>
      <c r="C27" s="29">
        <v>0.15125328615283426</v>
      </c>
      <c r="D27" s="30">
        <f t="shared" si="4"/>
        <v>8.6661749340419387</v>
      </c>
      <c r="F27" s="17">
        <v>0.89051118930908912</v>
      </c>
      <c r="G27" s="18">
        <v>71.59</v>
      </c>
      <c r="H27" s="20">
        <f t="shared" si="7"/>
        <v>32.491536865861505</v>
      </c>
      <c r="I27" s="21">
        <f t="shared" si="8"/>
        <v>23818.125179664501</v>
      </c>
      <c r="J27" s="21">
        <f>Q65</f>
        <v>21674.917863090101</v>
      </c>
      <c r="K27" s="21">
        <f t="shared" si="9"/>
        <v>-2143.2073165744005</v>
      </c>
      <c r="L27" s="18">
        <f t="shared" si="5"/>
        <v>-0.32607715498568324</v>
      </c>
      <c r="M27" s="18">
        <f t="shared" si="6"/>
        <v>-0.57501614894884223</v>
      </c>
      <c r="N27" s="18">
        <v>5.3460000000000001</v>
      </c>
      <c r="P27" s="56">
        <f>'Nr(V)'!A27</f>
        <v>12.5</v>
      </c>
      <c r="Q27" s="53">
        <f>'Nr(V)'!K27</f>
        <v>11164.183806651899</v>
      </c>
    </row>
    <row r="28" spans="1:28" ht="15.6" x14ac:dyDescent="0.25">
      <c r="A28" s="31">
        <v>7</v>
      </c>
      <c r="B28" s="24">
        <f>-K6*COS(C28+C29-C$3)+0.5*C$17*C$7*C$5*(C29-C$8)*I6^2*SIN(C28)+0.5*C$17*C$7*(C$11+1/PI()/C$10*C$5^2*(C29-C$8)^2)*I6^2*COS(C28)</f>
        <v>-2.2829874069429934E-5</v>
      </c>
      <c r="C28" s="32">
        <v>-9.6892035856129769E-3</v>
      </c>
      <c r="D28" s="33">
        <f t="shared" si="4"/>
        <v>-0.55515047229864778</v>
      </c>
      <c r="F28" s="17">
        <v>0.78877734406717104</v>
      </c>
      <c r="G28" s="18">
        <v>62.64</v>
      </c>
      <c r="H28" s="20">
        <f t="shared" si="7"/>
        <v>34.523334053607158</v>
      </c>
      <c r="I28" s="21">
        <f t="shared" si="8"/>
        <v>25462.90091828354</v>
      </c>
      <c r="J28" s="21">
        <f>Q68</f>
        <v>22379.360007201001</v>
      </c>
      <c r="K28" s="21">
        <f t="shared" si="9"/>
        <v>-3083.5409110825385</v>
      </c>
      <c r="L28" s="18">
        <f t="shared" si="5"/>
        <v>-0.46914371735854948</v>
      </c>
      <c r="M28" s="18">
        <f t="shared" si="6"/>
        <v>-0.77862648833113091</v>
      </c>
      <c r="N28" s="18">
        <v>4.1539999999999999</v>
      </c>
      <c r="P28" s="56">
        <f>'Nr(V)'!A28</f>
        <v>13</v>
      </c>
      <c r="Q28" s="53">
        <f>'Nr(V)'!K28</f>
        <v>11398.9828525136</v>
      </c>
    </row>
    <row r="29" spans="1:28" ht="15.6" x14ac:dyDescent="0.25">
      <c r="A29" s="34">
        <v>8</v>
      </c>
      <c r="B29" s="28">
        <f>K6*SIN(C28+C29-C$3)+0.5*C$17*C$7*C$5*(C29-C$8)*I6^2*COS(C28)-0.5*C$17*C$7*(C$11+1/PI()/C$10*C$5^2*(C29-C$8)^2)*I6^2*SIN(C28)-C$15</f>
        <v>1.3549833965953439E-7</v>
      </c>
      <c r="C29" s="35">
        <v>0.13632980371020617</v>
      </c>
      <c r="D29" s="36">
        <f t="shared" si="4"/>
        <v>7.8111223744417648</v>
      </c>
      <c r="F29" s="17">
        <v>0.68820194072740959</v>
      </c>
      <c r="G29" s="18">
        <v>51.95</v>
      </c>
      <c r="H29" s="20">
        <f t="shared" si="7"/>
        <v>36.960003022078439</v>
      </c>
      <c r="I29" s="21">
        <f t="shared" si="8"/>
        <v>27960.245394049576</v>
      </c>
      <c r="J29" s="21">
        <f>Q73</f>
        <v>23671.002295332801</v>
      </c>
      <c r="K29" s="21">
        <f t="shared" si="9"/>
        <v>-4289.2430987167754</v>
      </c>
      <c r="L29" s="18">
        <f t="shared" si="5"/>
        <v>-0.65258464538420669</v>
      </c>
      <c r="M29" s="18">
        <f t="shared" si="6"/>
        <v>-1.0116960477623984</v>
      </c>
      <c r="N29" s="18">
        <v>3.0790000000000002</v>
      </c>
      <c r="P29" s="56">
        <f>'Nr(V)'!A29</f>
        <v>13.5</v>
      </c>
      <c r="Q29" s="53">
        <f>'Nr(V)'!K29</f>
        <v>11751.3839506728</v>
      </c>
    </row>
    <row r="30" spans="1:28" ht="15.6" x14ac:dyDescent="0.25">
      <c r="A30" s="23">
        <v>9</v>
      </c>
      <c r="B30" s="24">
        <f>-K7*COS(C30+C31-C$3)+0.5*C$17*C$7*C$5*(C31-C$8)*I7^2*SIN(C30)+0.5*C$17*C$7*(C$11+1/PI()/C$10*C$5^2*(C31-C$8)^2)*I7^2*COS(C30)</f>
        <v>-2.5922543045453494E-7</v>
      </c>
      <c r="C30" s="25">
        <v>-8.6097014048620388E-3</v>
      </c>
      <c r="D30" s="26">
        <f t="shared" si="4"/>
        <v>-0.49329955336645048</v>
      </c>
      <c r="F30" s="17">
        <v>0.58038845302154896</v>
      </c>
      <c r="G30" s="18">
        <v>39.369999999999997</v>
      </c>
      <c r="H30" s="20">
        <f t="shared" si="7"/>
        <v>40.246726535522967</v>
      </c>
      <c r="I30" s="21">
        <f t="shared" si="8"/>
        <v>32118.188841349027</v>
      </c>
      <c r="J30" s="21">
        <f>Q79</f>
        <v>24844.727485485299</v>
      </c>
      <c r="K30" s="21">
        <f t="shared" si="9"/>
        <v>-7273.4613558637284</v>
      </c>
      <c r="L30" s="18">
        <f t="shared" si="5"/>
        <v>-1.1066169695655861</v>
      </c>
      <c r="M30" s="18">
        <f t="shared" si="6"/>
        <v>-1.5755933277558183</v>
      </c>
      <c r="N30" s="18">
        <v>2.073</v>
      </c>
      <c r="P30" s="56">
        <f>'Nr(V)'!A30</f>
        <v>14</v>
      </c>
      <c r="Q30" s="53">
        <f>'Nr(V)'!K30</f>
        <v>11986.3180161123</v>
      </c>
    </row>
    <row r="31" spans="1:28" ht="15.6" x14ac:dyDescent="0.25">
      <c r="A31" s="27">
        <v>10</v>
      </c>
      <c r="B31" s="28">
        <f>K7*SIN(C30+C31-C$3)+0.5*C$17*C$7*C$5*(C31-C$8)*I7^2*COS(C30)-0.5*C$17*C$7*(C$11+1/PI()/C$10*C$5^2*(C31-C$8)^2)*I7^2*SIN(C30)-C$15</f>
        <v>3.0559021979570389E-8</v>
      </c>
      <c r="C31" s="29">
        <v>0.12289067130985365</v>
      </c>
      <c r="D31" s="30">
        <f t="shared" si="4"/>
        <v>7.0411168075840465</v>
      </c>
      <c r="F31" s="17">
        <v>0.483331925835703</v>
      </c>
      <c r="G31" s="18">
        <v>27.9</v>
      </c>
      <c r="H31" s="20">
        <f t="shared" si="7"/>
        <v>44.102905643179376</v>
      </c>
      <c r="I31" s="21">
        <f t="shared" si="8"/>
        <v>38153.260078409316</v>
      </c>
      <c r="J31" s="21">
        <f>Q87</f>
        <v>25546.559251091399</v>
      </c>
      <c r="K31" s="21">
        <f t="shared" si="9"/>
        <v>-12606.700827317916</v>
      </c>
      <c r="L31" s="18">
        <f t="shared" si="5"/>
        <v>-1.9180398964379806</v>
      </c>
      <c r="M31" s="18">
        <f t="shared" si="6"/>
        <v>-2.4925854991055503</v>
      </c>
      <c r="N31" s="18">
        <v>1.2330000000000001</v>
      </c>
      <c r="P31" s="56">
        <f>'Nr(V)'!A31</f>
        <v>14.5</v>
      </c>
      <c r="Q31" s="53">
        <f>'Nr(V)'!K31</f>
        <v>12279.8955848598</v>
      </c>
    </row>
    <row r="32" spans="1:28" ht="15.6" x14ac:dyDescent="0.25">
      <c r="A32" s="31">
        <v>11</v>
      </c>
      <c r="B32" s="24">
        <f>-K8*COS(C32+C33-C$3)+0.5*C$17*C$7*C$5*(C33-C$8)*I8^2*SIN(C32)+0.5*C$17*C$7*(C$11+1/PI()/C$10*C$5^2*(C33-C$8)^2)*I8^2*COS(C32)</f>
        <v>-3.4106051316484809E-12</v>
      </c>
      <c r="C32" s="32">
        <v>-7.7319533003766452E-3</v>
      </c>
      <c r="D32" s="33">
        <f t="shared" si="4"/>
        <v>-0.44300829150382942</v>
      </c>
      <c r="F32" s="17">
        <v>0.38026543690183146</v>
      </c>
      <c r="G32" s="18">
        <v>16.61</v>
      </c>
      <c r="H32" s="20">
        <f t="shared" si="7"/>
        <v>49.721762856978245</v>
      </c>
      <c r="I32" s="21">
        <f t="shared" si="8"/>
        <v>49448.023662918567</v>
      </c>
      <c r="J32" s="21">
        <f>Q98</f>
        <v>21364.732886268499</v>
      </c>
      <c r="K32" s="21">
        <f t="shared" si="9"/>
        <v>-28083.290776650068</v>
      </c>
      <c r="L32" s="18">
        <f t="shared" si="5"/>
        <v>-4.2727175706559049</v>
      </c>
      <c r="M32" s="18">
        <f t="shared" si="6"/>
        <v>-4.9296519205600537</v>
      </c>
      <c r="N32" s="18">
        <v>0.39200000000000002</v>
      </c>
      <c r="P32" s="56">
        <f>'Nr(V)'!A32</f>
        <v>15</v>
      </c>
      <c r="Q32" s="53">
        <f>'Nr(V)'!K32</f>
        <v>12749.9437418425</v>
      </c>
    </row>
    <row r="33" spans="1:17" ht="15.6" x14ac:dyDescent="0.25">
      <c r="A33" s="34">
        <v>12</v>
      </c>
      <c r="B33" s="28">
        <f>K8*SIN(C32+C33-C$3)+0.5*C$17*C$7*C$5*(C33-C$8)*I8^2*COS(C32)-0.5*C$17*C$7*(C$11+1/PI()/C$10*C$5^2*(C33-C$8)^2)*I8^2*SIN(C32)-C$15</f>
        <v>0</v>
      </c>
      <c r="C33" s="35">
        <v>0.11072380488566357</v>
      </c>
      <c r="D33" s="36">
        <f t="shared" si="4"/>
        <v>6.344006711578527</v>
      </c>
      <c r="F33" s="105">
        <v>0.33400000000000002</v>
      </c>
      <c r="G33" s="105">
        <v>12.24</v>
      </c>
      <c r="H33" s="20">
        <f t="shared" si="7"/>
        <v>53.053826298861324</v>
      </c>
      <c r="I33" s="21">
        <f t="shared" si="8"/>
        <v>57602.727221060442</v>
      </c>
      <c r="J33" s="21">
        <f>Q104</f>
        <v>16891.219226787802</v>
      </c>
      <c r="K33" s="21">
        <f t="shared" si="9"/>
        <v>-40711.507994272644</v>
      </c>
      <c r="L33" s="18">
        <f t="shared" si="5"/>
        <v>-6.1940310670306937</v>
      </c>
      <c r="M33" s="18">
        <f t="shared" si="6"/>
        <v>-6.7045692504641901</v>
      </c>
      <c r="N33" s="18">
        <v>-0.13300000000000001</v>
      </c>
      <c r="P33" s="56">
        <f>'Nr(V)'!A33</f>
        <v>15.5</v>
      </c>
      <c r="Q33" s="53">
        <f>'Nr(V)'!K33</f>
        <v>13102.3898465277</v>
      </c>
    </row>
    <row r="34" spans="1:17" ht="15.6" x14ac:dyDescent="0.25">
      <c r="A34" s="23">
        <v>13</v>
      </c>
      <c r="B34" s="24">
        <f>-K9*COS(C34+C35-C$3)+0.5*C$17*C$7*C$5*(C35-C$8)*I9^2*SIN(C34)+0.5*C$17*C$7*(C$11+1/PI()/C$10*C$5^2*(C35-C$8)^2)*I9^2*COS(C34)</f>
        <v>-1.7280399333685637E-11</v>
      </c>
      <c r="C34" s="25">
        <v>-8.0248012145460179E-3</v>
      </c>
      <c r="D34" s="26">
        <f t="shared" si="4"/>
        <v>-0.45978724102494389</v>
      </c>
      <c r="F34" s="109">
        <v>0.27900000000000003</v>
      </c>
      <c r="G34" s="42">
        <v>7.83</v>
      </c>
      <c r="H34" s="40">
        <f>SQRT((2*C$15)/(C$7*C$17*F34))</f>
        <v>58.048077773836184</v>
      </c>
      <c r="I34" s="41">
        <f>C$15*SQRT((2*C$15)/(C$17*C$7*G34))</f>
        <v>72019.959631997845</v>
      </c>
      <c r="J34" s="41">
        <f>Q114</f>
        <v>8650.9743912867307</v>
      </c>
      <c r="K34" s="41">
        <f t="shared" si="9"/>
        <v>-63368.985240711118</v>
      </c>
      <c r="L34" s="42">
        <f>K34/C$15</f>
        <v>-9.6412410791168188</v>
      </c>
      <c r="M34" s="42">
        <f>DEGREES(ASIN(L34/H34))</f>
        <v>-9.5605965064382623</v>
      </c>
      <c r="N34" s="42">
        <v>-0.8</v>
      </c>
      <c r="P34" s="56">
        <f>'Nr(V)'!A34</f>
        <v>16</v>
      </c>
      <c r="Q34" s="53">
        <f>'Nr(V)'!K34</f>
        <v>13572.4830100364</v>
      </c>
    </row>
    <row r="35" spans="1:17" ht="16.2" thickBot="1" x14ac:dyDescent="0.3">
      <c r="A35" s="27">
        <v>14</v>
      </c>
      <c r="B35" s="28">
        <f>K9*SIN(C34+C35-C$3)+0.5*C$17*C$7*C$5*(C35-C$8)*I9^2*COS(C34)-0.5*C$17*C$7*(C$11+1/PI()/C$10*C$5^2*(C35-C$8)^2)*I9^2*SIN(C34)-C$15</f>
        <v>0</v>
      </c>
      <c r="C35" s="29">
        <v>8.0456659265175742E-2</v>
      </c>
      <c r="D35" s="30">
        <f t="shared" si="4"/>
        <v>4.6098270096167013</v>
      </c>
      <c r="F35" s="65"/>
      <c r="G35" s="65"/>
      <c r="H35" s="60"/>
      <c r="I35" s="61"/>
      <c r="J35" s="61"/>
      <c r="K35" s="61"/>
      <c r="L35" s="59"/>
      <c r="M35" s="59"/>
      <c r="N35" s="59"/>
      <c r="P35" s="56">
        <f>'Nr(V)'!A35</f>
        <v>16.5</v>
      </c>
      <c r="Q35" s="53">
        <f>'Nr(V)'!K35</f>
        <v>13866.195598361701</v>
      </c>
    </row>
    <row r="36" spans="1:17" ht="18.600000000000001" thickBot="1" x14ac:dyDescent="0.3">
      <c r="A36" s="31">
        <v>15</v>
      </c>
      <c r="B36" s="24">
        <f>-K10*COS(C36+C37-C$3)+0.5*C$17*C$7*C$5*(C37-C$8)*I10^2*SIN(C36)+0.5*C$17*C$7*(C$11+1/PI()/C$10*C$5^2*(C37-C$8)^2)*I10^2*COS(C36)</f>
        <v>-1.8189894035458565E-12</v>
      </c>
      <c r="C36" s="32">
        <v>-1.0459056679678506E-2</v>
      </c>
      <c r="D36" s="33">
        <f t="shared" si="4"/>
        <v>-0.59925980543369051</v>
      </c>
      <c r="F36" s="134" t="s">
        <v>204</v>
      </c>
      <c r="G36" s="135"/>
      <c r="H36" s="135"/>
      <c r="I36" s="135"/>
      <c r="J36" s="135"/>
      <c r="K36" s="135"/>
      <c r="L36" s="135"/>
      <c r="M36" s="135"/>
      <c r="N36" s="136"/>
      <c r="P36" s="56">
        <f>'Nr(V)'!A36</f>
        <v>17</v>
      </c>
      <c r="Q36" s="53">
        <f>'Nr(V)'!K36</f>
        <v>14336.288761870401</v>
      </c>
    </row>
    <row r="37" spans="1:17" ht="18.600000000000001" thickBot="1" x14ac:dyDescent="0.3">
      <c r="A37" s="34">
        <v>16</v>
      </c>
      <c r="B37" s="28">
        <f>K10*SIN(C36+C37-C$3)+0.5*C$17*C$7*C$5*(C37-C$8)*I10^2*COS(C36)-0.5*C$17*C$7*(C$11+1/PI()/C$10*C$5^2*(C37-C$8)^2)*I10^2*SIN(C36)-C$15</f>
        <v>0</v>
      </c>
      <c r="C37" s="35">
        <v>5.7271903639606332E-2</v>
      </c>
      <c r="D37" s="36">
        <f t="shared" si="4"/>
        <v>3.2814383632293813</v>
      </c>
      <c r="F37" s="95" t="s">
        <v>1</v>
      </c>
      <c r="G37" s="95" t="s">
        <v>2</v>
      </c>
      <c r="H37" s="95" t="s">
        <v>76</v>
      </c>
      <c r="I37" s="95" t="s">
        <v>81</v>
      </c>
      <c r="J37" s="95" t="s">
        <v>77</v>
      </c>
      <c r="K37" s="95" t="s">
        <v>82</v>
      </c>
      <c r="L37" s="95" t="s">
        <v>80</v>
      </c>
      <c r="M37" s="95" t="s">
        <v>85</v>
      </c>
      <c r="N37" s="95" t="s">
        <v>79</v>
      </c>
      <c r="P37" s="56">
        <f>'Nr(V)'!A37</f>
        <v>17.5</v>
      </c>
      <c r="Q37" s="53">
        <f>'Nr(V)'!K37</f>
        <v>14688.779873081499</v>
      </c>
    </row>
    <row r="38" spans="1:17" ht="15.6" x14ac:dyDescent="0.25">
      <c r="A38" s="23">
        <v>17</v>
      </c>
      <c r="B38" s="24">
        <f>-K11*COS(C38+C39-C$3)+0.5*C$17*C$7*C$5*(C39-C$8)*I11^2*SIN(C38)+0.5*C$17*C$7*(C$11+1/PI()/C$10*C$5^2*(C39-C$8)^2)*I11^2*COS(C38)</f>
        <v>7.0373368998843944E-7</v>
      </c>
      <c r="C38" s="25">
        <v>-1.7790467417033978E-2</v>
      </c>
      <c r="D38" s="26">
        <f t="shared" si="4"/>
        <v>-1.0193186985610541</v>
      </c>
      <c r="F38" s="98">
        <f t="shared" ref="F38:G49" si="10">F22</f>
        <v>1.5069999999999999</v>
      </c>
      <c r="G38" s="96">
        <f t="shared" si="10"/>
        <v>80.83</v>
      </c>
      <c r="H38" s="103">
        <f t="shared" ref="H38:H49" si="11">SQRT((2*C$2)/(C$7*C$17*F38))</f>
        <v>25.711362497854651</v>
      </c>
      <c r="I38" s="102">
        <f t="shared" ref="I38:I49" si="12">C$2*SQRT((2*C$2)/(C$17*C$7*G38))</f>
        <v>24452.472787587514</v>
      </c>
      <c r="J38" s="102">
        <f>Q53</f>
        <v>19092.7134434492</v>
      </c>
      <c r="K38" s="102">
        <f t="shared" ref="K38:K49" si="13">(J38-I38)</f>
        <v>-5359.7593441383142</v>
      </c>
      <c r="L38" s="104">
        <f t="shared" ref="L38:L49" si="14">K38/C$2</f>
        <v>-0.76951649569113345</v>
      </c>
      <c r="M38" s="104">
        <f t="shared" ref="M38:M49" si="15">DEGREES(ASIN(L38/H38))</f>
        <v>-1.7150640066869927</v>
      </c>
      <c r="N38" s="97">
        <f t="shared" ref="N38:N49" si="16">N22</f>
        <v>13.202</v>
      </c>
      <c r="P38" s="56">
        <f>'Nr(V)'!A38</f>
        <v>18</v>
      </c>
      <c r="Q38" s="53">
        <f>'Nr(V)'!K38</f>
        <v>15158.8280300643</v>
      </c>
    </row>
    <row r="39" spans="1:17" ht="15.6" x14ac:dyDescent="0.25">
      <c r="A39" s="27">
        <v>18</v>
      </c>
      <c r="B39" s="28">
        <f>K11*SIN(C38+C39-C$3)+0.5*C$17*C$7*C$5*(C39-C$8)*I11^2*COS(C38)-0.5*C$17*C$7*(C$11+1/PI()/C$10*C$5^2*(C39-C$8)^2)*I11^2*SIN(C38)-C$15</f>
        <v>0</v>
      </c>
      <c r="C39" s="29">
        <v>3.9139920849837487E-2</v>
      </c>
      <c r="D39" s="30">
        <f t="shared" si="4"/>
        <v>2.2425522751717821</v>
      </c>
      <c r="F39" s="99">
        <f t="shared" si="10"/>
        <v>1.4</v>
      </c>
      <c r="G39" s="38">
        <f t="shared" si="10"/>
        <v>82.93</v>
      </c>
      <c r="H39" s="20">
        <f t="shared" si="11"/>
        <v>26.675815175315133</v>
      </c>
      <c r="I39" s="21">
        <f t="shared" si="12"/>
        <v>24140.887988984156</v>
      </c>
      <c r="J39" s="21">
        <f>Q55</f>
        <v>19503.533012286702</v>
      </c>
      <c r="K39" s="21">
        <f t="shared" si="13"/>
        <v>-4637.3549766974538</v>
      </c>
      <c r="L39" s="18">
        <f t="shared" si="14"/>
        <v>-0.66579876479841693</v>
      </c>
      <c r="M39" s="18">
        <f t="shared" si="15"/>
        <v>-1.4301876334044767</v>
      </c>
      <c r="N39" s="19">
        <f t="shared" si="16"/>
        <v>11.19</v>
      </c>
      <c r="P39" s="56">
        <f>'Nr(V)'!A39</f>
        <v>18.5</v>
      </c>
      <c r="Q39" s="53">
        <f>'Nr(V)'!K39</f>
        <v>15570.0976641613</v>
      </c>
    </row>
    <row r="40" spans="1:17" ht="15.6" x14ac:dyDescent="0.25">
      <c r="A40" s="31">
        <v>19</v>
      </c>
      <c r="B40" s="24">
        <f>-K12*COS(C40+C41-C$3)+0.5*C$17*C$7*C$5*(C41-C$8)*I12^2*SIN(C40)+0.5*C$17*C$7*(C$11+1/PI()/C$10*C$5^2*(C41-C$8)^2)*I12^2*COS(C40)</f>
        <v>9.0949470177292824E-13</v>
      </c>
      <c r="C40" s="32">
        <v>-2.8389869513388271E-2</v>
      </c>
      <c r="D40" s="33">
        <f t="shared" si="4"/>
        <v>-1.626619704044272</v>
      </c>
      <c r="F40" s="99">
        <f t="shared" si="10"/>
        <v>1.2976294821560448</v>
      </c>
      <c r="G40" s="38">
        <f t="shared" si="10"/>
        <v>83.61</v>
      </c>
      <c r="H40" s="20">
        <f t="shared" si="11"/>
        <v>27.708075700342341</v>
      </c>
      <c r="I40" s="21">
        <f t="shared" si="12"/>
        <v>24042.518669031808</v>
      </c>
      <c r="J40" s="21">
        <f>Q57</f>
        <v>19914.262568072299</v>
      </c>
      <c r="K40" s="21">
        <f t="shared" si="13"/>
        <v>-4128.2561009595083</v>
      </c>
      <c r="L40" s="18">
        <f t="shared" si="14"/>
        <v>-0.5927059340080556</v>
      </c>
      <c r="M40" s="18">
        <f t="shared" si="15"/>
        <v>-1.2257126504513076</v>
      </c>
      <c r="N40" s="19">
        <f t="shared" si="16"/>
        <v>9.6229999999999993</v>
      </c>
      <c r="P40" s="56">
        <f>'Nr(V)'!A40</f>
        <v>19</v>
      </c>
      <c r="Q40" s="53">
        <f>'Nr(V)'!K40</f>
        <v>15922.5887753724</v>
      </c>
    </row>
    <row r="41" spans="1:17" ht="15.6" x14ac:dyDescent="0.25">
      <c r="A41" s="34">
        <v>20</v>
      </c>
      <c r="B41" s="28">
        <f>K12*SIN(C40+C41-C$3)+0.5*C$17*C$7*C$5*(C41-C$8)*I12^2*COS(C40)-0.5*C$17*C$7*(C$11+1/PI()/C$10*C$5^2*(C41-C$8)^2)*I12^2*SIN(C40)-C$15</f>
        <v>0</v>
      </c>
      <c r="C41" s="35">
        <v>2.4682931226139904E-2</v>
      </c>
      <c r="D41" s="36">
        <f t="shared" si="4"/>
        <v>1.4142277852694867</v>
      </c>
      <c r="F41" s="99">
        <f t="shared" si="10"/>
        <v>1.1970000000000001</v>
      </c>
      <c r="G41" s="38">
        <f t="shared" si="10"/>
        <v>82.42</v>
      </c>
      <c r="H41" s="20">
        <f t="shared" si="11"/>
        <v>28.849257650407882</v>
      </c>
      <c r="I41" s="21">
        <f t="shared" si="12"/>
        <v>24215.462520020152</v>
      </c>
      <c r="J41" s="21">
        <f>Q60</f>
        <v>20559.701156667699</v>
      </c>
      <c r="K41" s="21">
        <f t="shared" si="13"/>
        <v>-3655.7613633524525</v>
      </c>
      <c r="L41" s="18">
        <f t="shared" si="14"/>
        <v>-0.52486846755286387</v>
      </c>
      <c r="M41" s="18">
        <f t="shared" si="15"/>
        <v>-1.0424672838804481</v>
      </c>
      <c r="N41" s="19">
        <f t="shared" si="16"/>
        <v>8.0570000000000004</v>
      </c>
      <c r="P41" s="56">
        <f>'Nr(V)'!A41</f>
        <v>19.5</v>
      </c>
      <c r="Q41" s="53">
        <f>'Nr(V)'!K41</f>
        <v>16275.034880057599</v>
      </c>
    </row>
    <row r="42" spans="1:17" ht="15.6" x14ac:dyDescent="0.25">
      <c r="A42" s="23">
        <v>21</v>
      </c>
      <c r="B42" s="24">
        <f>-K13*COS(C42+C43-C$3)+0.5*C$17*C$7*C$5*(C43-C$8)*I13^2*SIN(C42)+0.5*C$17*C$7*(C$11+1/PI()/C$10*C$5^2*(C43-C$8)^2)*I13^2*COS(C42)</f>
        <v>-8.1130690432473784E-7</v>
      </c>
      <c r="C42" s="25">
        <v>-3.7955833007549331E-2</v>
      </c>
      <c r="D42" s="26">
        <f t="shared" si="4"/>
        <v>-2.174709039235919</v>
      </c>
      <c r="F42" s="99">
        <f t="shared" si="10"/>
        <v>0.99199999999999999</v>
      </c>
      <c r="G42" s="38">
        <f t="shared" si="10"/>
        <v>77.64</v>
      </c>
      <c r="H42" s="20">
        <f t="shared" si="11"/>
        <v>31.690265775693252</v>
      </c>
      <c r="I42" s="21">
        <f t="shared" si="12"/>
        <v>24949.756435259944</v>
      </c>
      <c r="J42" s="21">
        <f>Q65</f>
        <v>21674.917863090101</v>
      </c>
      <c r="K42" s="21">
        <f t="shared" si="13"/>
        <v>-3274.8385721698432</v>
      </c>
      <c r="L42" s="18">
        <f t="shared" si="14"/>
        <v>-0.47017825618725401</v>
      </c>
      <c r="M42" s="18">
        <f t="shared" si="15"/>
        <v>-0.85011019878878569</v>
      </c>
      <c r="N42" s="19">
        <f t="shared" si="16"/>
        <v>6.1870000000000003</v>
      </c>
      <c r="P42" s="56">
        <f>'Nr(V)'!A42</f>
        <v>20</v>
      </c>
      <c r="Q42" s="53">
        <f>'Nr(V)'!K42</f>
        <v>16509.788919393301</v>
      </c>
    </row>
    <row r="43" spans="1:17" ht="15.6" x14ac:dyDescent="0.25">
      <c r="A43" s="27">
        <v>22</v>
      </c>
      <c r="B43" s="28">
        <f>K13*SIN(C42+C43-C$3)+0.5*C$17*C$7*C$5*(C43-C$8)*I13^2*COS(C42)-0.5*C$17*C$7*(C$11+1/PI()/C$10*C$5^2*(C43-C$8)^2)*I13^2*SIN(C42)-C$15</f>
        <v>0</v>
      </c>
      <c r="C43" s="29">
        <v>1.6608403496110251E-2</v>
      </c>
      <c r="D43" s="30">
        <f t="shared" si="4"/>
        <v>0.95159142477743852</v>
      </c>
      <c r="F43" s="99">
        <f t="shared" si="10"/>
        <v>0.89051118930908912</v>
      </c>
      <c r="G43" s="38">
        <f t="shared" si="10"/>
        <v>71.59</v>
      </c>
      <c r="H43" s="20">
        <f t="shared" si="11"/>
        <v>33.447374062266796</v>
      </c>
      <c r="I43" s="21">
        <f t="shared" si="12"/>
        <v>25982.617051477246</v>
      </c>
      <c r="J43" s="21">
        <f>Q69</f>
        <v>22614.249066114498</v>
      </c>
      <c r="K43" s="21">
        <f t="shared" si="13"/>
        <v>-3368.3679853627473</v>
      </c>
      <c r="L43" s="18">
        <f t="shared" si="14"/>
        <v>-0.48360655056822544</v>
      </c>
      <c r="M43" s="18">
        <f t="shared" si="15"/>
        <v>-0.82845307283303726</v>
      </c>
      <c r="N43" s="19">
        <f t="shared" si="16"/>
        <v>5.3460000000000001</v>
      </c>
      <c r="P43" s="56">
        <f>'Nr(V)'!A43</f>
        <v>20.5</v>
      </c>
      <c r="Q43" s="53">
        <f>'Nr(V)'!K43</f>
        <v>16744.722984832799</v>
      </c>
    </row>
    <row r="44" spans="1:17" ht="15.6" x14ac:dyDescent="0.25">
      <c r="A44" s="31">
        <v>23</v>
      </c>
      <c r="B44" s="24">
        <f>-K14*COS(C44+C45-C$3)+0.5*C$17*C$7*C$5*(C45-C$8)*I14^2*SIN(C44)+0.5*C$17*C$7*(C$11+1/PI()/C$10*C$5^2*(C45-C$8)^2)*I14^2*COS(C44)</f>
        <v>1.2450209396774881E-7</v>
      </c>
      <c r="C44" s="32">
        <v>-5.1788743711671192E-2</v>
      </c>
      <c r="D44" s="33">
        <f t="shared" si="4"/>
        <v>-2.9672764409634413</v>
      </c>
      <c r="F44" s="99">
        <f t="shared" si="10"/>
        <v>0.78877734406717104</v>
      </c>
      <c r="G44" s="38">
        <f t="shared" si="10"/>
        <v>62.64</v>
      </c>
      <c r="H44" s="20">
        <f t="shared" si="11"/>
        <v>35.53894273252547</v>
      </c>
      <c r="I44" s="21">
        <f t="shared" si="12"/>
        <v>27776.863148923483</v>
      </c>
      <c r="J44" s="21">
        <f>Q73</f>
        <v>23671.002295332801</v>
      </c>
      <c r="K44" s="21">
        <f t="shared" si="13"/>
        <v>-4105.8608535906824</v>
      </c>
      <c r="L44" s="18">
        <f t="shared" si="14"/>
        <v>-0.58949058212957206</v>
      </c>
      <c r="M44" s="18">
        <f t="shared" si="15"/>
        <v>-0.95041857762476989</v>
      </c>
      <c r="N44" s="19">
        <f t="shared" si="16"/>
        <v>4.1539999999999999</v>
      </c>
      <c r="P44" s="56">
        <f>'Nr(V)'!A44</f>
        <v>21</v>
      </c>
      <c r="Q44" s="53">
        <f>'Nr(V)'!K44</f>
        <v>17038.2105405283</v>
      </c>
    </row>
    <row r="45" spans="1:17" ht="15.6" x14ac:dyDescent="0.25">
      <c r="A45" s="34">
        <v>24</v>
      </c>
      <c r="B45" s="28">
        <f>K14*SIN(C44+C45-C$3)+0.5*C$17*C$7*C$5*(C45-C$8)*I14^2*COS(C44)-0.5*C$17*C$7*(C$11+1/PI()/C$10*C$5^2*(C45-C$8)^2)*I14^2*SIN(C44)-C$15</f>
        <v>0</v>
      </c>
      <c r="C45" s="35">
        <v>9.5253087822206785E-3</v>
      </c>
      <c r="D45" s="36">
        <f t="shared" si="4"/>
        <v>0.54575999178014267</v>
      </c>
      <c r="F45" s="99">
        <f t="shared" si="10"/>
        <v>0.68820194072740959</v>
      </c>
      <c r="G45" s="38">
        <f t="shared" si="10"/>
        <v>51.95</v>
      </c>
      <c r="H45" s="20">
        <f t="shared" si="11"/>
        <v>38.047293716070605</v>
      </c>
      <c r="I45" s="21">
        <f t="shared" si="12"/>
        <v>30501.155874316119</v>
      </c>
      <c r="J45" s="21">
        <f>Q78</f>
        <v>24668.5719429317</v>
      </c>
      <c r="K45" s="21">
        <f t="shared" si="13"/>
        <v>-5832.583931384419</v>
      </c>
      <c r="L45" s="18">
        <f t="shared" si="14"/>
        <v>-0.83740131963423625</v>
      </c>
      <c r="M45" s="18">
        <f t="shared" si="15"/>
        <v>-1.2611524032583414</v>
      </c>
      <c r="N45" s="19">
        <f t="shared" si="16"/>
        <v>3.0790000000000002</v>
      </c>
      <c r="P45" s="56">
        <f>'Nr(V)'!A45</f>
        <v>21.5</v>
      </c>
      <c r="Q45" s="53">
        <f>'Nr(V)'!K45</f>
        <v>17155.497547144299</v>
      </c>
    </row>
    <row r="46" spans="1:17" ht="15.6" x14ac:dyDescent="0.25">
      <c r="A46" s="23">
        <v>25</v>
      </c>
      <c r="B46" s="24">
        <f>-K15*COS(C46+C47-C$3)+0.5*C$17*C$7*C$5*(C47-C$8)*I15^2*SIN(C46)+0.5*C$17*C$7*(C$11+1/PI()/C$10*C$5^2*(C47-C$8)^2)*I15^2*COS(C46)</f>
        <v>9.4528081717726309E-7</v>
      </c>
      <c r="C46" s="25">
        <v>-7.0320647876678813E-2</v>
      </c>
      <c r="D46" s="26">
        <f t="shared" si="4"/>
        <v>-4.0290763359592896</v>
      </c>
      <c r="F46" s="99">
        <f t="shared" si="10"/>
        <v>0.58038845302154896</v>
      </c>
      <c r="G46" s="38">
        <f t="shared" si="10"/>
        <v>39.369999999999997</v>
      </c>
      <c r="H46" s="20">
        <f t="shared" si="11"/>
        <v>41.43070617966913</v>
      </c>
      <c r="I46" s="21">
        <f t="shared" si="12"/>
        <v>35036.955879478519</v>
      </c>
      <c r="J46" s="21">
        <f>Q85</f>
        <v>25488.7708717764</v>
      </c>
      <c r="K46" s="21">
        <f t="shared" si="13"/>
        <v>-9548.185007702119</v>
      </c>
      <c r="L46" s="18">
        <f t="shared" si="14"/>
        <v>-1.3708611516994902</v>
      </c>
      <c r="M46" s="18">
        <f t="shared" si="15"/>
        <v>-1.896151540989865</v>
      </c>
      <c r="N46" s="19">
        <f t="shared" si="16"/>
        <v>2.073</v>
      </c>
      <c r="P46" s="56">
        <f>'Nr(V)'!A46</f>
        <v>22</v>
      </c>
      <c r="Q46" s="53">
        <f>'Nr(V)'!K46</f>
        <v>17213.8710112966</v>
      </c>
    </row>
    <row r="47" spans="1:17" ht="15.6" x14ac:dyDescent="0.25">
      <c r="A47" s="27">
        <v>26</v>
      </c>
      <c r="B47" s="28">
        <f>K15*SIN(C46+C47-C$3)+0.5*C$17*C$7*C$5*(C47-C$8)*I15^2*COS(C46)-0.5*C$17*C$7*(C$11+1/PI()/C$10*C$5^2*(C47-C$8)^2)*I15^2*SIN(C46)-C$15</f>
        <v>0</v>
      </c>
      <c r="C47" s="29">
        <v>3.2574251516710377E-3</v>
      </c>
      <c r="D47" s="30">
        <f t="shared" si="4"/>
        <v>0.18663671327051251</v>
      </c>
      <c r="F47" s="99">
        <f t="shared" si="10"/>
        <v>0.483331925835703</v>
      </c>
      <c r="G47" s="38">
        <f t="shared" si="10"/>
        <v>27.9</v>
      </c>
      <c r="H47" s="20">
        <f t="shared" si="11"/>
        <v>45.400326502566166</v>
      </c>
      <c r="I47" s="21">
        <f t="shared" si="12"/>
        <v>41620.469218504943</v>
      </c>
      <c r="J47" s="21">
        <f>Q93</f>
        <v>24543.633826904799</v>
      </c>
      <c r="K47" s="21">
        <f t="shared" si="13"/>
        <v>-17076.835391600143</v>
      </c>
      <c r="L47" s="18">
        <f t="shared" si="14"/>
        <v>-2.4517717465076081</v>
      </c>
      <c r="M47" s="18">
        <f t="shared" si="15"/>
        <v>-3.0956725204280144</v>
      </c>
      <c r="N47" s="19">
        <f t="shared" si="16"/>
        <v>1.2330000000000001</v>
      </c>
      <c r="P47" s="56">
        <f>'Nr(V)'!A47</f>
        <v>22.5</v>
      </c>
      <c r="Q47" s="53">
        <f>'Nr(V)'!K47</f>
        <v>17566.1820964039</v>
      </c>
    </row>
    <row r="48" spans="1:17" ht="15.6" x14ac:dyDescent="0.25">
      <c r="A48" s="31">
        <v>27</v>
      </c>
      <c r="B48" s="24">
        <f>-K16*COS(C48+C49-C$3)+0.5*C$17*C$7*C$5*(C49-C$8)*I16^2*SIN(C48)+0.5*C$17*C$7*(C$11+1/PI()/C$10*C$5^2*(C49-C$8)^2)*I16^2*COS(C48)</f>
        <v>-4.5928800318506546E-8</v>
      </c>
      <c r="C48" s="32">
        <v>-8.856582816512043E-2</v>
      </c>
      <c r="D48" s="33">
        <f t="shared" si="4"/>
        <v>-5.0744481629422769</v>
      </c>
      <c r="F48" s="99">
        <f t="shared" si="10"/>
        <v>0.38026543690183146</v>
      </c>
      <c r="G48" s="38">
        <f t="shared" si="10"/>
        <v>16.61</v>
      </c>
      <c r="H48" s="20">
        <f t="shared" si="11"/>
        <v>51.184479459327633</v>
      </c>
      <c r="I48" s="21">
        <f t="shared" si="12"/>
        <v>53941.653807535149</v>
      </c>
      <c r="J48" s="21">
        <f>Q104</f>
        <v>16891.219226787802</v>
      </c>
      <c r="K48" s="21">
        <f t="shared" si="13"/>
        <v>-37050.434580747344</v>
      </c>
      <c r="L48" s="18">
        <f t="shared" si="14"/>
        <v>-5.3194404359947942</v>
      </c>
      <c r="M48" s="18">
        <f t="shared" si="15"/>
        <v>-5.9653398845477366</v>
      </c>
      <c r="N48" s="19">
        <f t="shared" si="16"/>
        <v>0.39200000000000002</v>
      </c>
      <c r="P48" s="56">
        <f>'Nr(V)'!A48</f>
        <v>23</v>
      </c>
      <c r="Q48" s="53">
        <f>'Nr(V)'!K48</f>
        <v>17800.936135739601</v>
      </c>
    </row>
    <row r="49" spans="1:17" ht="15.6" x14ac:dyDescent="0.25">
      <c r="A49" s="34">
        <v>28</v>
      </c>
      <c r="B49" s="28">
        <f>K16*SIN(C48+C49-C$3)+0.5*C$17*C$7*C$5*(C49-C$8)*I16^2*COS(C48)-0.5*C$17*C$7*(C$11+1/PI()/C$10*C$5^2*(C49-C$8)^2)*I16^2*SIN(C48)-C$15</f>
        <v>0</v>
      </c>
      <c r="C49" s="35">
        <v>-2.3027950138684141E-3</v>
      </c>
      <c r="D49" s="36">
        <f t="shared" si="4"/>
        <v>-0.13194043537843</v>
      </c>
      <c r="F49" s="99">
        <f t="shared" si="10"/>
        <v>0.33400000000000002</v>
      </c>
      <c r="G49" s="38">
        <f t="shared" si="10"/>
        <v>12.24</v>
      </c>
      <c r="H49" s="20">
        <f t="shared" si="11"/>
        <v>54.614565663005045</v>
      </c>
      <c r="I49" s="21">
        <f t="shared" si="12"/>
        <v>62837.422812075391</v>
      </c>
      <c r="J49" s="21">
        <f>Q111</f>
        <v>11770.106665466399</v>
      </c>
      <c r="K49" s="21">
        <f t="shared" si="13"/>
        <v>-51067.316146608995</v>
      </c>
      <c r="L49" s="18">
        <f t="shared" si="14"/>
        <v>-7.3318855646880863</v>
      </c>
      <c r="M49" s="18">
        <f t="shared" si="15"/>
        <v>-7.7151263605164004</v>
      </c>
      <c r="N49" s="19">
        <f t="shared" si="16"/>
        <v>-0.13300000000000001</v>
      </c>
      <c r="P49" s="56">
        <f>'Nr(V)'!A49</f>
        <v>23.5</v>
      </c>
      <c r="Q49" s="53">
        <f>'Nr(V)'!K49</f>
        <v>18094.693730590901</v>
      </c>
    </row>
    <row r="50" spans="1:17" ht="15.6" x14ac:dyDescent="0.25">
      <c r="A50" s="23">
        <v>29</v>
      </c>
      <c r="B50" s="24">
        <f>-K17*COS(C50+C51-C$3)+0.5*C$17*C$7*C$5*(C51-C$8)*I17^2*SIN(C50)+0.5*C$17*C$7*(C$11+1/PI()/C$10*C$5^2*(C51-C$8)^2)*I17^2*COS(C50)</f>
        <v>-6.3710331232869066E-8</v>
      </c>
      <c r="C50" s="25">
        <v>-0.10763426093309168</v>
      </c>
      <c r="D50" s="26">
        <f t="shared" si="4"/>
        <v>-6.1669888824759918</v>
      </c>
      <c r="P50" s="56">
        <f>'Nr(V)'!A50</f>
        <v>24</v>
      </c>
      <c r="Q50" s="53">
        <f>'Nr(V)'!K50</f>
        <v>18388.2262928124</v>
      </c>
    </row>
    <row r="51" spans="1:17" ht="15.6" x14ac:dyDescent="0.25">
      <c r="A51" s="27">
        <v>30</v>
      </c>
      <c r="B51" s="28">
        <f>K17*SIN(C50+C51-C$3)+0.5*C$17*C$7*C$5*(C51-C$8)*I17^2*COS(C50)-0.5*C$17*C$7*(C$11+1/PI()/C$10*C$5^2*(C51-C$8)^2)*I17^2*SIN(C50)-C$15</f>
        <v>0</v>
      </c>
      <c r="C51" s="29">
        <v>-7.2650078013436498E-3</v>
      </c>
      <c r="D51" s="30">
        <f t="shared" si="4"/>
        <v>-0.41625428514660873</v>
      </c>
      <c r="P51" s="56">
        <f>'Nr(V)'!A51</f>
        <v>24.5</v>
      </c>
      <c r="Q51" s="53">
        <f>'Nr(V)'!K51</f>
        <v>18740.447364867901</v>
      </c>
    </row>
    <row r="52" spans="1:17" ht="16.2" thickBot="1" x14ac:dyDescent="0.3">
      <c r="F52" s="106"/>
      <c r="G52" s="14"/>
      <c r="H52" s="64"/>
      <c r="I52" s="57"/>
      <c r="J52" s="57"/>
      <c r="K52" s="57"/>
      <c r="L52" s="63"/>
      <c r="M52" s="63"/>
      <c r="N52" s="66"/>
      <c r="P52" s="56">
        <f>'Nr(V)'!A52</f>
        <v>25</v>
      </c>
      <c r="Q52" s="53">
        <f>'Nr(V)'!K52</f>
        <v>18799.045861649902</v>
      </c>
    </row>
    <row r="53" spans="1:17" ht="18.600000000000001" thickBot="1" x14ac:dyDescent="0.3">
      <c r="I53" s="134" t="s">
        <v>205</v>
      </c>
      <c r="J53" s="135"/>
      <c r="K53" s="135"/>
      <c r="L53" s="135"/>
      <c r="M53" s="135"/>
      <c r="N53" s="136"/>
      <c r="P53" s="56">
        <f>'Nr(V)'!A53</f>
        <v>25.5</v>
      </c>
      <c r="Q53" s="53">
        <f>'Nr(V)'!K53</f>
        <v>19092.7134434492</v>
      </c>
    </row>
    <row r="54" spans="1:17" ht="18.600000000000001" thickBot="1" x14ac:dyDescent="0.3">
      <c r="D54" s="56" t="s">
        <v>149</v>
      </c>
      <c r="E54" s="56" t="s">
        <v>150</v>
      </c>
      <c r="F54" s="14" t="s">
        <v>151</v>
      </c>
      <c r="G54" s="14" t="s">
        <v>152</v>
      </c>
      <c r="I54" s="100" t="s">
        <v>76</v>
      </c>
      <c r="J54" s="100" t="s">
        <v>77</v>
      </c>
      <c r="K54" s="100" t="s">
        <v>78</v>
      </c>
      <c r="L54" s="100" t="s">
        <v>79</v>
      </c>
      <c r="M54" s="100" t="s">
        <v>85</v>
      </c>
      <c r="N54" s="100" t="s">
        <v>80</v>
      </c>
      <c r="P54" s="56">
        <f>'Nr(V)'!A54</f>
        <v>26</v>
      </c>
      <c r="Q54" s="53">
        <f>'Nr(V)'!K54</f>
        <v>19445.024528556602</v>
      </c>
    </row>
    <row r="55" spans="1:17" ht="15.6" x14ac:dyDescent="0.25">
      <c r="D55" s="24">
        <f t="shared" ref="D55:D69" si="17">-K55*COS(E55+F55-C$3)+0.5*C$17*C$7*C$5*(F55-C$8)*I55^2*SIN(E55)+0.5*C$17*C$7*(C$11+1/PI()/C$10*C$5^2*(F55-C$8)^2)*I55^2*COS(E55)</f>
        <v>4.2184159156022361E-5</v>
      </c>
      <c r="E55" s="25">
        <v>-2.5413199810961469E-2</v>
      </c>
      <c r="F55" s="29">
        <v>0.18706636627079604</v>
      </c>
      <c r="G55" s="28">
        <f t="shared" ref="G55:G69" si="18">K55*SIN(E55+F55-C$3)+0.5*C$17*C$7*C$5*(F55-C$8)*I55^2*COS(E55)-0.5*C$17*C$7*(C$11+1/PI()/C$10*C$5^2*(F55-C$8)^2)*I55^2*SIN(E55)-C$2</f>
        <v>1.7833697711466812E-5</v>
      </c>
      <c r="I55" s="103">
        <f>SQRT(2*C$2/C$7/C$16/C17)</f>
        <v>25.711362497854655</v>
      </c>
      <c r="J55" s="102">
        <f>Q53</f>
        <v>19092.7134434492</v>
      </c>
      <c r="K55" s="102">
        <f>J55/I55</f>
        <v>742.57882852541513</v>
      </c>
      <c r="L55" s="104">
        <f>DEGREES(F55)</f>
        <v>10.718113276165029</v>
      </c>
      <c r="M55" s="104">
        <f>DEGREES(E55)</f>
        <v>-1.4560690930907536</v>
      </c>
      <c r="N55" s="104">
        <f>I55*SIN(RADIANS(M55))</f>
        <v>-0.65333766301490914</v>
      </c>
      <c r="P55" s="56">
        <f>'Nr(V)'!A55</f>
        <v>26.5</v>
      </c>
      <c r="Q55" s="53">
        <f>'Nr(V)'!K55</f>
        <v>19503.533012286702</v>
      </c>
    </row>
    <row r="56" spans="1:17" ht="15.6" x14ac:dyDescent="0.25">
      <c r="D56" s="24">
        <f t="shared" si="17"/>
        <v>-8.9823161033564247E-5</v>
      </c>
      <c r="E56" s="32">
        <v>-2.311144982267517E-2</v>
      </c>
      <c r="F56" s="35">
        <v>0.18159352112487601</v>
      </c>
      <c r="G56" s="28">
        <f t="shared" si="18"/>
        <v>3.0137902831484098E-4</v>
      </c>
      <c r="I56" s="20">
        <f t="shared" ref="I56:I69" si="19">I4</f>
        <v>26</v>
      </c>
      <c r="J56" s="21">
        <f>Q54</f>
        <v>19445.024528556602</v>
      </c>
      <c r="K56" s="21">
        <f t="shared" ref="K56:K69" si="20">J56/I56</f>
        <v>747.88555879063847</v>
      </c>
      <c r="L56" s="18">
        <f t="shared" ref="L56:L69" si="21">DEGREES(F56)</f>
        <v>10.404542347375152</v>
      </c>
      <c r="M56" s="18">
        <f t="shared" ref="M56:M69" si="22">DEGREES(E56)</f>
        <v>-1.3241885332676622</v>
      </c>
      <c r="N56" s="18">
        <f t="shared" ref="N56:N69" si="23">I56*SIN(RADIANS(M56))</f>
        <v>-0.60084420299119978</v>
      </c>
      <c r="P56" s="56">
        <f>'Nr(V)'!A56</f>
        <v>27</v>
      </c>
      <c r="Q56" s="53">
        <f>'Nr(V)'!K56</f>
        <v>19561.726450335202</v>
      </c>
    </row>
    <row r="57" spans="1:17" ht="15.6" x14ac:dyDescent="0.25">
      <c r="D57" s="24">
        <f t="shared" si="17"/>
        <v>-1.9137245624278876E-4</v>
      </c>
      <c r="E57" s="25">
        <v>-2.1793526626059871E-2</v>
      </c>
      <c r="F57" s="29">
        <v>0.16410569514623258</v>
      </c>
      <c r="G57" s="28">
        <f t="shared" si="18"/>
        <v>6.6393113229423761E-11</v>
      </c>
      <c r="I57" s="20">
        <f t="shared" si="19"/>
        <v>27</v>
      </c>
      <c r="J57" s="21">
        <f>Q56</f>
        <v>19561.726450335202</v>
      </c>
      <c r="K57" s="21">
        <f t="shared" si="20"/>
        <v>724.50838704945193</v>
      </c>
      <c r="L57" s="18">
        <f t="shared" si="21"/>
        <v>9.4025637259396451</v>
      </c>
      <c r="M57" s="18">
        <f t="shared" si="22"/>
        <v>-1.2486770963792153</v>
      </c>
      <c r="N57" s="18">
        <f t="shared" si="23"/>
        <v>-0.58837864048492228</v>
      </c>
      <c r="P57" s="56">
        <f>'Nr(V)'!A57</f>
        <v>27.5</v>
      </c>
      <c r="Q57" s="53">
        <f>'Nr(V)'!K57</f>
        <v>19914.262568072299</v>
      </c>
    </row>
    <row r="58" spans="1:17" ht="15.6" x14ac:dyDescent="0.25">
      <c r="D58" s="24">
        <f t="shared" si="17"/>
        <v>1.0966039315007947E-4</v>
      </c>
      <c r="E58" s="32">
        <v>-1.8595913162682554E-2</v>
      </c>
      <c r="F58" s="35">
        <v>0.14830948844673203</v>
      </c>
      <c r="G58" s="28">
        <f t="shared" si="18"/>
        <v>-1.1225893103983253E-8</v>
      </c>
      <c r="I58" s="20">
        <f t="shared" si="19"/>
        <v>28</v>
      </c>
      <c r="J58" s="21">
        <f>Q58</f>
        <v>20149.106620459901</v>
      </c>
      <c r="K58" s="21">
        <f t="shared" si="20"/>
        <v>719.61095073071078</v>
      </c>
      <c r="L58" s="18">
        <f t="shared" si="21"/>
        <v>8.4975077497419882</v>
      </c>
      <c r="M58" s="18">
        <f t="shared" si="22"/>
        <v>-1.0654673404134849</v>
      </c>
      <c r="N58" s="18">
        <f t="shared" si="23"/>
        <v>-0.52065555953598652</v>
      </c>
      <c r="P58" s="56">
        <f>'Nr(V)'!A58</f>
        <v>28</v>
      </c>
      <c r="Q58" s="53">
        <f>'Nr(V)'!K58</f>
        <v>20149.106620459901</v>
      </c>
    </row>
    <row r="59" spans="1:17" ht="15.6" x14ac:dyDescent="0.25">
      <c r="D59" s="24">
        <f t="shared" si="17"/>
        <v>1.7929662021742843E-5</v>
      </c>
      <c r="E59" s="25">
        <v>-1.69517783447828E-2</v>
      </c>
      <c r="F59" s="29">
        <v>0.13408194774458321</v>
      </c>
      <c r="G59" s="28">
        <f t="shared" si="18"/>
        <v>0</v>
      </c>
      <c r="I59" s="20">
        <f t="shared" si="19"/>
        <v>29</v>
      </c>
      <c r="J59" s="21">
        <f>Q60</f>
        <v>20559.701156667699</v>
      </c>
      <c r="K59" s="21">
        <f t="shared" si="20"/>
        <v>708.95521229888618</v>
      </c>
      <c r="L59" s="18">
        <f t="shared" si="21"/>
        <v>7.6823297146582652</v>
      </c>
      <c r="M59" s="18">
        <f t="shared" si="22"/>
        <v>-0.97126535439731898</v>
      </c>
      <c r="N59" s="18">
        <f t="shared" si="23"/>
        <v>-0.49157802767052011</v>
      </c>
      <c r="P59" s="56">
        <f>'Nr(V)'!A59</f>
        <v>28.5</v>
      </c>
      <c r="Q59" s="53">
        <f>'Nr(V)'!K59</f>
        <v>20442.549169629499</v>
      </c>
    </row>
    <row r="60" spans="1:17" ht="15.6" x14ac:dyDescent="0.25">
      <c r="D60" s="24">
        <f t="shared" si="17"/>
        <v>-5.0815416216209996E-5</v>
      </c>
      <c r="E60" s="32">
        <v>-1.5556865456561118E-2</v>
      </c>
      <c r="F60" s="35">
        <v>0.12120017600156399</v>
      </c>
      <c r="G60" s="28">
        <f t="shared" si="18"/>
        <v>0</v>
      </c>
      <c r="I60" s="20">
        <f t="shared" si="19"/>
        <v>30</v>
      </c>
      <c r="J60" s="21">
        <f>Q62</f>
        <v>21029.479274494799</v>
      </c>
      <c r="K60" s="21">
        <f t="shared" si="20"/>
        <v>700.98264248316002</v>
      </c>
      <c r="L60" s="18">
        <f t="shared" si="21"/>
        <v>6.9442585611323819</v>
      </c>
      <c r="M60" s="18">
        <f t="shared" si="22"/>
        <v>-0.89134273311381262</v>
      </c>
      <c r="N60" s="18">
        <f t="shared" si="23"/>
        <v>-0.4666871388679914</v>
      </c>
      <c r="P60" s="56">
        <f>'Nr(V)'!A60</f>
        <v>29</v>
      </c>
      <c r="Q60" s="53">
        <f>'Nr(V)'!K60</f>
        <v>20559.701156667699</v>
      </c>
    </row>
    <row r="61" spans="1:17" ht="15.6" x14ac:dyDescent="0.25">
      <c r="D61" s="24">
        <f t="shared" si="17"/>
        <v>-5.3043549996800721E-6</v>
      </c>
      <c r="E61" s="25">
        <v>-1.4421730633178585E-2</v>
      </c>
      <c r="F61" s="29">
        <v>8.9149943747575552E-2</v>
      </c>
      <c r="G61" s="28">
        <f t="shared" si="18"/>
        <v>0</v>
      </c>
      <c r="I61" s="20">
        <f t="shared" si="19"/>
        <v>33</v>
      </c>
      <c r="J61" s="21">
        <f>Q68</f>
        <v>22379.360007201001</v>
      </c>
      <c r="K61" s="21">
        <f t="shared" si="20"/>
        <v>678.16242446063643</v>
      </c>
      <c r="L61" s="18">
        <f t="shared" si="21"/>
        <v>5.1079155205647808</v>
      </c>
      <c r="M61" s="18">
        <f t="shared" si="22"/>
        <v>-0.82630429855566534</v>
      </c>
      <c r="N61" s="18">
        <f t="shared" si="23"/>
        <v>-0.47590061369214026</v>
      </c>
      <c r="P61" s="56">
        <f>'Nr(V)'!A61</f>
        <v>29.5</v>
      </c>
      <c r="Q61" s="53">
        <f>'Nr(V)'!K61</f>
        <v>20853.368738467001</v>
      </c>
    </row>
    <row r="62" spans="1:17" ht="15.6" x14ac:dyDescent="0.25">
      <c r="D62" s="24">
        <f t="shared" si="17"/>
        <v>-4.6960395820860867E-5</v>
      </c>
      <c r="E62" s="32">
        <v>-1.563692957433253E-2</v>
      </c>
      <c r="F62" s="35">
        <v>6.4596200594079584E-2</v>
      </c>
      <c r="G62" s="28">
        <f t="shared" si="18"/>
        <v>1.7280399333685637E-11</v>
      </c>
      <c r="I62" s="20">
        <f t="shared" si="19"/>
        <v>36</v>
      </c>
      <c r="J62" s="21">
        <f>Q74</f>
        <v>23964.759890183999</v>
      </c>
      <c r="K62" s="21">
        <f t="shared" si="20"/>
        <v>665.68777472733336</v>
      </c>
      <c r="L62" s="18">
        <f t="shared" si="21"/>
        <v>3.701089666621221</v>
      </c>
      <c r="M62" s="18">
        <f t="shared" si="22"/>
        <v>-0.89593006915255291</v>
      </c>
      <c r="N62" s="18">
        <f t="shared" si="23"/>
        <v>-0.56290652430791732</v>
      </c>
      <c r="P62" s="56">
        <f>'Nr(V)'!A62</f>
        <v>30</v>
      </c>
      <c r="Q62" s="53">
        <f>'Nr(V)'!K62</f>
        <v>21029.479274494799</v>
      </c>
    </row>
    <row r="63" spans="1:17" ht="15.6" x14ac:dyDescent="0.25">
      <c r="D63" s="24">
        <f t="shared" si="17"/>
        <v>1.2378526548673108E-5</v>
      </c>
      <c r="E63" s="25">
        <v>-2.1709493817884031E-2</v>
      </c>
      <c r="F63" s="29">
        <v>4.5393011049767458E-2</v>
      </c>
      <c r="G63" s="28">
        <f t="shared" si="18"/>
        <v>6.8212102632969618E-11</v>
      </c>
      <c r="I63" s="20">
        <f t="shared" si="19"/>
        <v>39</v>
      </c>
      <c r="J63" s="21">
        <f>Q80</f>
        <v>24961.834465997501</v>
      </c>
      <c r="K63" s="21">
        <f t="shared" si="20"/>
        <v>640.04703758967946</v>
      </c>
      <c r="L63" s="18">
        <f t="shared" si="21"/>
        <v>2.6008279525423856</v>
      </c>
      <c r="M63" s="18">
        <f t="shared" si="22"/>
        <v>-1.2438623711301071</v>
      </c>
      <c r="N63" s="18">
        <f t="shared" si="23"/>
        <v>-0.84660375421643508</v>
      </c>
      <c r="P63" s="56">
        <f>'Nr(V)'!A63</f>
        <v>30.5</v>
      </c>
      <c r="Q63" s="53">
        <f>'Nr(V)'!K63</f>
        <v>21205.454790944601</v>
      </c>
    </row>
    <row r="64" spans="1:17" ht="15.6" x14ac:dyDescent="0.25">
      <c r="D64" s="24">
        <f t="shared" si="17"/>
        <v>1.0045732778962702E-5</v>
      </c>
      <c r="E64" s="32">
        <v>-3.1038681759745296E-2</v>
      </c>
      <c r="F64" s="35">
        <v>3.0083126431930212E-2</v>
      </c>
      <c r="G64" s="28">
        <f t="shared" si="18"/>
        <v>0</v>
      </c>
      <c r="I64" s="20">
        <f t="shared" si="19"/>
        <v>42</v>
      </c>
      <c r="J64" s="21">
        <f>Q86</f>
        <v>25547.099329402699</v>
      </c>
      <c r="K64" s="21">
        <f t="shared" si="20"/>
        <v>608.26426974768333</v>
      </c>
      <c r="L64" s="18">
        <f t="shared" si="21"/>
        <v>1.7236361791080523</v>
      </c>
      <c r="M64" s="18">
        <f t="shared" si="22"/>
        <v>-1.7783854664830965</v>
      </c>
      <c r="N64" s="18">
        <f t="shared" si="23"/>
        <v>-1.3034153253808705</v>
      </c>
      <c r="P64" s="56">
        <f>'Nr(V)'!A64</f>
        <v>31</v>
      </c>
      <c r="Q64" s="53">
        <f>'Nr(V)'!K64</f>
        <v>21498.9423466402</v>
      </c>
    </row>
    <row r="65" spans="4:17" ht="15.6" x14ac:dyDescent="0.25">
      <c r="D65" s="24">
        <f t="shared" si="17"/>
        <v>-2.0200900507916231E-8</v>
      </c>
      <c r="E65" s="25">
        <v>-3.9690870243406118E-2</v>
      </c>
      <c r="F65" s="29">
        <v>2.1533805196046297E-2</v>
      </c>
      <c r="G65" s="28">
        <f t="shared" si="18"/>
        <v>0</v>
      </c>
      <c r="I65" s="20">
        <f t="shared" si="19"/>
        <v>44</v>
      </c>
      <c r="J65" s="21">
        <f>Q90</f>
        <v>25427.471983437499</v>
      </c>
      <c r="K65" s="21">
        <f t="shared" si="20"/>
        <v>577.8970905326704</v>
      </c>
      <c r="L65" s="18">
        <f t="shared" si="21"/>
        <v>1.2337961545903351</v>
      </c>
      <c r="M65" s="18">
        <f t="shared" si="22"/>
        <v>-2.274119350148557</v>
      </c>
      <c r="N65" s="18">
        <f t="shared" si="23"/>
        <v>-1.7459397909834544</v>
      </c>
      <c r="P65" s="56">
        <f>'Nr(V)'!A65</f>
        <v>31.5</v>
      </c>
      <c r="Q65" s="53">
        <f>'Nr(V)'!K65</f>
        <v>21674.917863090101</v>
      </c>
    </row>
    <row r="66" spans="4:17" ht="15.6" x14ac:dyDescent="0.25">
      <c r="D66" s="24">
        <f t="shared" si="17"/>
        <v>-8.7409193838539068E-7</v>
      </c>
      <c r="E66" s="32">
        <v>-5.2417182766858521E-2</v>
      </c>
      <c r="F66" s="35">
        <v>1.4037254814888855E-2</v>
      </c>
      <c r="G66" s="28">
        <f t="shared" si="18"/>
        <v>0</v>
      </c>
      <c r="I66" s="20">
        <f t="shared" si="19"/>
        <v>46</v>
      </c>
      <c r="J66" s="21">
        <f>Q94</f>
        <v>24131.509068814899</v>
      </c>
      <c r="K66" s="21">
        <f t="shared" si="20"/>
        <v>524.59802323510655</v>
      </c>
      <c r="L66" s="18">
        <f t="shared" si="21"/>
        <v>0.80427545684282509</v>
      </c>
      <c r="M66" s="18">
        <f t="shared" si="22"/>
        <v>-3.0032833465068642</v>
      </c>
      <c r="N66" s="18">
        <f t="shared" si="23"/>
        <v>-2.4100864101438373</v>
      </c>
      <c r="P66" s="56">
        <f>'Nr(V)'!A66</f>
        <v>32</v>
      </c>
      <c r="Q66" s="53">
        <f>'Nr(V)'!K66</f>
        <v>21792.2048697061</v>
      </c>
    </row>
    <row r="67" spans="4:17" ht="15.6" x14ac:dyDescent="0.25">
      <c r="D67" s="24">
        <f t="shared" si="17"/>
        <v>4.3044959738836042E-6</v>
      </c>
      <c r="E67" s="25">
        <v>-6.9616820645417021E-2</v>
      </c>
      <c r="F67" s="29">
        <v>7.4080915898443135E-3</v>
      </c>
      <c r="G67" s="28">
        <f t="shared" si="18"/>
        <v>7.2759576141834259E-12</v>
      </c>
      <c r="I67" s="20">
        <f t="shared" si="19"/>
        <v>48</v>
      </c>
      <c r="J67" s="21">
        <f>Q98</f>
        <v>21364.732886268499</v>
      </c>
      <c r="K67" s="21">
        <f t="shared" si="20"/>
        <v>445.09860179726041</v>
      </c>
      <c r="L67" s="18">
        <f t="shared" si="21"/>
        <v>0.42445238234443927</v>
      </c>
      <c r="M67" s="18">
        <f t="shared" si="22"/>
        <v>-3.9887500061016112</v>
      </c>
      <c r="N67" s="18">
        <f t="shared" si="23"/>
        <v>-3.3389088606584236</v>
      </c>
      <c r="P67" s="56">
        <f>'Nr(V)'!A67</f>
        <v>32.5</v>
      </c>
      <c r="Q67" s="53">
        <f>'Nr(V)'!K67</f>
        <v>21968.225392681899</v>
      </c>
    </row>
    <row r="68" spans="4:17" ht="15.6" x14ac:dyDescent="0.25">
      <c r="D68" s="24">
        <f t="shared" si="17"/>
        <v>2.2975370939093409E-7</v>
      </c>
      <c r="E68" s="32">
        <v>-8.6577422807484178E-2</v>
      </c>
      <c r="F68" s="35">
        <v>1.529546602600387E-3</v>
      </c>
      <c r="G68" s="28">
        <f t="shared" si="18"/>
        <v>0</v>
      </c>
      <c r="I68" s="20">
        <f t="shared" si="19"/>
        <v>50</v>
      </c>
      <c r="J68" s="21">
        <f>Q102</f>
        <v>18598.0017102479</v>
      </c>
      <c r="K68" s="21">
        <f t="shared" si="20"/>
        <v>371.96003420495799</v>
      </c>
      <c r="L68" s="18">
        <f t="shared" si="21"/>
        <v>8.763656489757593E-2</v>
      </c>
      <c r="M68" s="18">
        <f t="shared" si="22"/>
        <v>-4.9605209279885178</v>
      </c>
      <c r="N68" s="18">
        <f t="shared" si="23"/>
        <v>-4.323465216222921</v>
      </c>
      <c r="P68" s="56">
        <f>'Nr(V)'!A68</f>
        <v>33</v>
      </c>
      <c r="Q68" s="53">
        <f>'Nr(V)'!K68</f>
        <v>22379.360007201001</v>
      </c>
    </row>
    <row r="69" spans="4:17" ht="15.6" x14ac:dyDescent="0.25">
      <c r="D69" s="24">
        <f t="shared" si="17"/>
        <v>4.9020547976397211E-7</v>
      </c>
      <c r="E69" s="25">
        <v>-0.10434045348292316</v>
      </c>
      <c r="F69" s="29">
        <v>-3.714070092465974E-3</v>
      </c>
      <c r="G69" s="28">
        <f t="shared" si="18"/>
        <v>0</v>
      </c>
      <c r="I69" s="20">
        <f t="shared" si="19"/>
        <v>52</v>
      </c>
      <c r="J69" s="21">
        <f>Q106</f>
        <v>15478.4193708087</v>
      </c>
      <c r="K69" s="21">
        <f t="shared" si="20"/>
        <v>297.66191097709037</v>
      </c>
      <c r="L69" s="18">
        <f t="shared" si="21"/>
        <v>-0.21280054111406371</v>
      </c>
      <c r="M69" s="18">
        <f t="shared" si="22"/>
        <v>-5.9782676170525875</v>
      </c>
      <c r="N69" s="18">
        <f t="shared" si="23"/>
        <v>-5.4158640626882573</v>
      </c>
      <c r="P69" s="56">
        <f>'Nr(V)'!A69</f>
        <v>33.5</v>
      </c>
      <c r="Q69" s="53">
        <f>'Nr(V)'!K69</f>
        <v>22614.249066114498</v>
      </c>
    </row>
    <row r="70" spans="4:17" ht="15.6" x14ac:dyDescent="0.25">
      <c r="P70" s="56">
        <f>'Nr(V)'!A70</f>
        <v>34</v>
      </c>
      <c r="Q70" s="53">
        <f>'Nr(V)'!K70</f>
        <v>22848.9580989243</v>
      </c>
    </row>
    <row r="71" spans="4:17" ht="15.6" x14ac:dyDescent="0.25">
      <c r="P71" s="56">
        <f>'Nr(V)'!A71</f>
        <v>34.5</v>
      </c>
      <c r="Q71" s="53">
        <f>'Nr(V)'!K71</f>
        <v>23142.6256807237</v>
      </c>
    </row>
    <row r="72" spans="4:17" ht="15.6" x14ac:dyDescent="0.25">
      <c r="P72" s="56">
        <f>'Nr(V)'!A72</f>
        <v>35</v>
      </c>
      <c r="Q72" s="53">
        <f>'Nr(V)'!K72</f>
        <v>23318.5561906476</v>
      </c>
    </row>
    <row r="73" spans="4:17" ht="15.6" x14ac:dyDescent="0.25">
      <c r="P73" s="56">
        <f>'Nr(V)'!A73</f>
        <v>35.5</v>
      </c>
      <c r="Q73" s="53">
        <f>'Nr(V)'!K73</f>
        <v>23671.002295332801</v>
      </c>
    </row>
    <row r="74" spans="4:17" ht="15.6" x14ac:dyDescent="0.25">
      <c r="P74" s="56">
        <f>'Nr(V)'!A74</f>
        <v>36</v>
      </c>
      <c r="Q74" s="53">
        <f>'Nr(V)'!K74</f>
        <v>23964.759890183999</v>
      </c>
    </row>
    <row r="75" spans="4:17" ht="15.6" x14ac:dyDescent="0.25">
      <c r="P75" s="56">
        <f>'Nr(V)'!A75</f>
        <v>36.5</v>
      </c>
      <c r="Q75" s="53">
        <f>'Nr(V)'!K75</f>
        <v>24140.645393581999</v>
      </c>
    </row>
    <row r="76" spans="4:17" ht="15.6" x14ac:dyDescent="0.25">
      <c r="P76" s="56">
        <f>'Nr(V)'!A76</f>
        <v>37</v>
      </c>
      <c r="Q76" s="53">
        <f>'Nr(V)'!K76</f>
        <v>24316.7109230838</v>
      </c>
    </row>
    <row r="77" spans="4:17" ht="15.6" x14ac:dyDescent="0.25">
      <c r="P77" s="56">
        <f>'Nr(V)'!A77</f>
        <v>37.5</v>
      </c>
      <c r="Q77" s="53">
        <f>'Nr(V)'!K77</f>
        <v>24551.4199558935</v>
      </c>
    </row>
    <row r="78" spans="4:17" ht="15.6" x14ac:dyDescent="0.25">
      <c r="P78" s="56">
        <f>'Nr(V)'!A78</f>
        <v>38</v>
      </c>
      <c r="Q78" s="53">
        <f>'Nr(V)'!K78</f>
        <v>24668.5719429317</v>
      </c>
    </row>
    <row r="79" spans="4:17" ht="15.6" x14ac:dyDescent="0.25">
      <c r="P79" s="56">
        <f>'Nr(V)'!A79</f>
        <v>38.5</v>
      </c>
      <c r="Q79" s="53">
        <f>'Nr(V)'!K79</f>
        <v>24844.727485485299</v>
      </c>
    </row>
    <row r="80" spans="4:17" ht="15.6" x14ac:dyDescent="0.25">
      <c r="P80" s="56">
        <f>'Nr(V)'!A80</f>
        <v>39</v>
      </c>
      <c r="Q80" s="53">
        <f>'Nr(V)'!K80</f>
        <v>24961.834465997501</v>
      </c>
    </row>
    <row r="81" spans="16:17" ht="15.6" x14ac:dyDescent="0.25">
      <c r="P81" s="56">
        <f>'Nr(V)'!A81</f>
        <v>39.5</v>
      </c>
      <c r="Q81" s="53">
        <f>'Nr(V)'!K81</f>
        <v>25137.764975921498</v>
      </c>
    </row>
    <row r="82" spans="16:17" ht="15.6" x14ac:dyDescent="0.25">
      <c r="P82" s="56">
        <f>'Nr(V)'!A82</f>
        <v>40</v>
      </c>
      <c r="Q82" s="53">
        <f>'Nr(V)'!K82</f>
        <v>25313.605472793501</v>
      </c>
    </row>
    <row r="83" spans="16:17" ht="15.6" x14ac:dyDescent="0.25">
      <c r="P83" s="56">
        <f>'Nr(V)'!A83</f>
        <v>40.5</v>
      </c>
      <c r="Q83" s="53">
        <f>'Nr(V)'!K83</f>
        <v>25372.023943471799</v>
      </c>
    </row>
    <row r="84" spans="16:17" ht="15.6" x14ac:dyDescent="0.25">
      <c r="P84" s="56">
        <f>'Nr(V)'!A84</f>
        <v>41</v>
      </c>
      <c r="Q84" s="53">
        <f>'Nr(V)'!K84</f>
        <v>25489.3109500877</v>
      </c>
    </row>
    <row r="85" spans="16:17" ht="15.6" x14ac:dyDescent="0.25">
      <c r="P85" s="56">
        <f>'Nr(V)'!A85</f>
        <v>41.5</v>
      </c>
      <c r="Q85" s="53">
        <f>'Nr(V)'!K85</f>
        <v>25488.7708717764</v>
      </c>
    </row>
    <row r="86" spans="16:17" ht="15.6" x14ac:dyDescent="0.25">
      <c r="P86" s="56">
        <f>'Nr(V)'!A86</f>
        <v>42</v>
      </c>
      <c r="Q86" s="53">
        <f>'Nr(V)'!K86</f>
        <v>25547.099329402699</v>
      </c>
    </row>
    <row r="87" spans="16:17" ht="15.6" x14ac:dyDescent="0.25">
      <c r="P87" s="56">
        <f>'Nr(V)'!A87</f>
        <v>42.5</v>
      </c>
      <c r="Q87" s="53">
        <f>'Nr(V)'!K87</f>
        <v>25546.559251091399</v>
      </c>
    </row>
    <row r="88" spans="16:17" ht="15.6" x14ac:dyDescent="0.25">
      <c r="P88" s="56">
        <f>'Nr(V)'!A88</f>
        <v>43</v>
      </c>
      <c r="Q88" s="53">
        <f>'Nr(V)'!K88</f>
        <v>25545.974166254098</v>
      </c>
    </row>
    <row r="89" spans="16:17" ht="15.6" x14ac:dyDescent="0.25">
      <c r="P89" s="56">
        <f>'Nr(V)'!A89</f>
        <v>43.5</v>
      </c>
      <c r="Q89" s="53">
        <f>'Nr(V)'!K89</f>
        <v>25486.745578108799</v>
      </c>
    </row>
    <row r="90" spans="16:17" ht="15.6" x14ac:dyDescent="0.25">
      <c r="P90" s="56">
        <f>'Nr(V)'!A90</f>
        <v>44</v>
      </c>
      <c r="Q90" s="53">
        <f>'Nr(V)'!K90</f>
        <v>25427.471983437499</v>
      </c>
    </row>
    <row r="91" spans="16:17" ht="15.6" x14ac:dyDescent="0.25">
      <c r="P91" s="56">
        <f>'Nr(V)'!A91</f>
        <v>44.5</v>
      </c>
      <c r="Q91" s="53">
        <f>'Nr(V)'!K91</f>
        <v>25250.461316890902</v>
      </c>
    </row>
    <row r="92" spans="16:17" ht="15.6" x14ac:dyDescent="0.25">
      <c r="P92" s="56">
        <f>'Nr(V)'!A92</f>
        <v>45</v>
      </c>
      <c r="Q92" s="53">
        <f>'Nr(V)'!K92</f>
        <v>25073.540663396099</v>
      </c>
    </row>
    <row r="93" spans="16:17" ht="15.6" x14ac:dyDescent="0.25">
      <c r="P93" s="56">
        <f>'Nr(V)'!A93</f>
        <v>45.5</v>
      </c>
      <c r="Q93" s="53">
        <f>'Nr(V)'!K93</f>
        <v>24543.633826904799</v>
      </c>
    </row>
    <row r="94" spans="16:17" ht="15.6" x14ac:dyDescent="0.25">
      <c r="P94" s="56">
        <f>'Nr(V)'!A94</f>
        <v>46</v>
      </c>
      <c r="Q94" s="53">
        <f>'Nr(V)'!K94</f>
        <v>24131.509068814899</v>
      </c>
    </row>
    <row r="95" spans="16:17" ht="15.6" x14ac:dyDescent="0.25">
      <c r="P95" s="56">
        <f>'Nr(V)'!A95</f>
        <v>46.5</v>
      </c>
      <c r="Q95" s="53">
        <f>'Nr(V)'!K95</f>
        <v>23601.5572257977</v>
      </c>
    </row>
    <row r="96" spans="16:17" ht="15.6" x14ac:dyDescent="0.25">
      <c r="P96" s="56">
        <f>'Nr(V)'!A96</f>
        <v>47</v>
      </c>
      <c r="Q96" s="53">
        <f>'Nr(V)'!K96</f>
        <v>22718.574193257999</v>
      </c>
    </row>
    <row r="97" spans="16:17" ht="15.6" x14ac:dyDescent="0.25">
      <c r="P97" s="56">
        <f>'Nr(V)'!A97</f>
        <v>47.5</v>
      </c>
      <c r="Q97" s="53">
        <f>'Nr(V)'!K97</f>
        <v>22129.888833880901</v>
      </c>
    </row>
    <row r="98" spans="16:17" ht="15.6" x14ac:dyDescent="0.25">
      <c r="P98" s="56">
        <f>'Nr(V)'!A98</f>
        <v>48</v>
      </c>
      <c r="Q98" s="53">
        <f>'Nr(V)'!K98</f>
        <v>21364.732886268499</v>
      </c>
    </row>
    <row r="99" spans="16:17" ht="15.6" x14ac:dyDescent="0.25">
      <c r="P99" s="56">
        <f>'Nr(V)'!A99</f>
        <v>48.5</v>
      </c>
      <c r="Q99" s="53">
        <f>'Nr(V)'!K99</f>
        <v>20540.618389666499</v>
      </c>
    </row>
    <row r="100" spans="16:17" ht="15.6" x14ac:dyDescent="0.25">
      <c r="P100" s="56">
        <f>'Nr(V)'!A100</f>
        <v>49</v>
      </c>
      <c r="Q100" s="53">
        <f>'Nr(V)'!K100</f>
        <v>20069.625095638799</v>
      </c>
    </row>
    <row r="101" spans="16:17" ht="15.6" x14ac:dyDescent="0.25">
      <c r="P101" s="56">
        <f>'Nr(V)'!A101</f>
        <v>49.5</v>
      </c>
      <c r="Q101" s="53">
        <f>'Nr(V)'!K101</f>
        <v>19186.732076150998</v>
      </c>
    </row>
    <row r="102" spans="16:17" ht="15.6" x14ac:dyDescent="0.25">
      <c r="P102" s="56">
        <f>'Nr(V)'!A102</f>
        <v>50</v>
      </c>
      <c r="Q102" s="53">
        <f>'Nr(V)'!K102</f>
        <v>18598.0017102479</v>
      </c>
    </row>
    <row r="103" spans="16:17" ht="15.6" x14ac:dyDescent="0.25">
      <c r="P103" s="56">
        <f>'Nr(V)'!A103</f>
        <v>50.5</v>
      </c>
      <c r="Q103" s="53">
        <f>'Nr(V)'!K103</f>
        <v>17656.330167874301</v>
      </c>
    </row>
    <row r="104" spans="16:17" ht="15.6" x14ac:dyDescent="0.25">
      <c r="P104" s="56">
        <f>'Nr(V)'!A104</f>
        <v>51</v>
      </c>
      <c r="Q104" s="53">
        <f>'Nr(V)'!K104</f>
        <v>16891.219226787802</v>
      </c>
    </row>
    <row r="105" spans="16:17" ht="15.6" x14ac:dyDescent="0.25">
      <c r="P105" s="56">
        <f>'Nr(V)'!A105</f>
        <v>51.5</v>
      </c>
      <c r="Q105" s="53">
        <f>'Nr(V)'!K105</f>
        <v>16184.841802061201</v>
      </c>
    </row>
    <row r="106" spans="16:17" ht="15.6" x14ac:dyDescent="0.25">
      <c r="P106" s="56">
        <f>'Nr(V)'!A106</f>
        <v>52</v>
      </c>
      <c r="Q106" s="53">
        <f>'Nr(V)'!K106</f>
        <v>15478.4193708087</v>
      </c>
    </row>
    <row r="107" spans="16:17" ht="15.6" x14ac:dyDescent="0.25">
      <c r="P107" s="56">
        <f>'Nr(V)'!A107</f>
        <v>52.5</v>
      </c>
      <c r="Q107" s="53">
        <f>'Nr(V)'!K107</f>
        <v>14536.7478284351</v>
      </c>
    </row>
    <row r="108" spans="16:17" ht="15.6" x14ac:dyDescent="0.25">
      <c r="P108" s="56">
        <f>'Nr(V)'!A108</f>
        <v>53</v>
      </c>
      <c r="Q108" s="53">
        <f>'Nr(V)'!K108</f>
        <v>14006.8409919438</v>
      </c>
    </row>
    <row r="109" spans="16:17" ht="15.6" x14ac:dyDescent="0.25">
      <c r="P109" s="56">
        <f>'Nr(V)'!A109</f>
        <v>53.5</v>
      </c>
      <c r="Q109" s="53">
        <f>'Nr(V)'!K109</f>
        <v>13123.9929789819</v>
      </c>
    </row>
    <row r="110" spans="16:17" ht="15.6" x14ac:dyDescent="0.25">
      <c r="P110" s="56">
        <f>'Nr(V)'!A110</f>
        <v>54</v>
      </c>
      <c r="Q110" s="53">
        <f>'Nr(V)'!K110</f>
        <v>12417.615554255301</v>
      </c>
    </row>
    <row r="111" spans="16:17" ht="15.6" x14ac:dyDescent="0.25">
      <c r="P111" s="56">
        <f>'Nr(V)'!A111</f>
        <v>54.5</v>
      </c>
      <c r="Q111" s="53">
        <f>'Nr(V)'!K111</f>
        <v>11770.106665466399</v>
      </c>
    </row>
    <row r="112" spans="16:17" ht="15.6" x14ac:dyDescent="0.25">
      <c r="P112" s="56">
        <f>'Nr(V)'!A112</f>
        <v>55</v>
      </c>
      <c r="Q112" s="53">
        <f>'Nr(V)'!K112</f>
        <v>10828.4801296187</v>
      </c>
    </row>
    <row r="113" spans="16:17" ht="15.6" x14ac:dyDescent="0.25">
      <c r="P113" s="56">
        <f>'Nr(V)'!A113</f>
        <v>55.5</v>
      </c>
      <c r="Q113" s="53">
        <f>'Nr(V)'!K113</f>
        <v>9769.1165218956703</v>
      </c>
    </row>
    <row r="114" spans="16:17" ht="15.6" x14ac:dyDescent="0.25">
      <c r="P114" s="56">
        <f>'Nr(V)'!A114</f>
        <v>56</v>
      </c>
      <c r="Q114" s="53">
        <f>'Nr(V)'!K114</f>
        <v>8650.9743912867307</v>
      </c>
    </row>
    <row r="115" spans="16:17" ht="15.6" x14ac:dyDescent="0.25">
      <c r="P115" s="48"/>
      <c r="Q115" s="55"/>
    </row>
    <row r="116" spans="16:17" ht="15.6" x14ac:dyDescent="0.25">
      <c r="P116" s="48"/>
      <c r="Q116" s="55"/>
    </row>
    <row r="117" spans="16:17" ht="15.6" x14ac:dyDescent="0.25">
      <c r="P117" s="48"/>
      <c r="Q117" s="55"/>
    </row>
    <row r="118" spans="16:17" ht="15.6" x14ac:dyDescent="0.25">
      <c r="P118" s="48"/>
      <c r="Q118" s="55"/>
    </row>
  </sheetData>
  <mergeCells count="4">
    <mergeCell ref="I1:N1"/>
    <mergeCell ref="F20:N20"/>
    <mergeCell ref="F36:N36"/>
    <mergeCell ref="I53:N5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7D9B9-D3C3-484A-A083-7F0FA03802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13</vt:i4>
      </vt:variant>
      <vt:variant>
        <vt:lpstr>Nazwane zakresy</vt:lpstr>
      </vt:variant>
      <vt:variant>
        <vt:i4>34</vt:i4>
      </vt:variant>
    </vt:vector>
  </HeadingPairs>
  <TitlesOfParts>
    <vt:vector size="47" baseType="lpstr">
      <vt:lpstr>Podsumowanie</vt:lpstr>
      <vt:lpstr>Metoda Ciągu, zmienna masa</vt:lpstr>
      <vt:lpstr>Nr(V)</vt:lpstr>
      <vt:lpstr>h=0m</vt:lpstr>
      <vt:lpstr>h=500m</vt:lpstr>
      <vt:lpstr>h=1000m</vt:lpstr>
      <vt:lpstr>h=1500m</vt:lpstr>
      <vt:lpstr>h=2000m</vt:lpstr>
      <vt:lpstr>h=2500m</vt:lpstr>
      <vt:lpstr>h=3000m</vt:lpstr>
      <vt:lpstr>h=3500m</vt:lpstr>
      <vt:lpstr>h=4000m</vt:lpstr>
      <vt:lpstr>h=4500m</vt:lpstr>
      <vt:lpstr>Podsumowanie!g_v__dane_1</vt:lpstr>
      <vt:lpstr>'h=0m'!h_0</vt:lpstr>
      <vt:lpstr>'h=1000m'!h_0</vt:lpstr>
      <vt:lpstr>'h=1500m'!h_0</vt:lpstr>
      <vt:lpstr>'h=2000m'!h_0</vt:lpstr>
      <vt:lpstr>'h=2500m'!h_0</vt:lpstr>
      <vt:lpstr>'h=3000m'!h_0</vt:lpstr>
      <vt:lpstr>'h=3500m'!h_0</vt:lpstr>
      <vt:lpstr>'h=4000m'!h_0</vt:lpstr>
      <vt:lpstr>'h=4500m'!h_0</vt:lpstr>
      <vt:lpstr>'h=500m'!h_0</vt:lpstr>
      <vt:lpstr>'Nr(V)'!h_0</vt:lpstr>
      <vt:lpstr>'h=1000m'!h_1</vt:lpstr>
      <vt:lpstr>'h=1500m'!h_1</vt:lpstr>
      <vt:lpstr>'h=2000m'!h_1</vt:lpstr>
      <vt:lpstr>'h=2500m'!h_1</vt:lpstr>
      <vt:lpstr>'h=3000m'!h_1</vt:lpstr>
      <vt:lpstr>'h=3500m'!h_1</vt:lpstr>
      <vt:lpstr>'h=4000m'!h_1</vt:lpstr>
      <vt:lpstr>'h=4500m'!h_1</vt:lpstr>
      <vt:lpstr>'h=500m'!h_1</vt:lpstr>
      <vt:lpstr>'Nr(V)'!h_1000</vt:lpstr>
      <vt:lpstr>'Nr(V)'!h_1500</vt:lpstr>
      <vt:lpstr>'Nr(V)'!h_2000</vt:lpstr>
      <vt:lpstr>'Nr(V)'!h_2500</vt:lpstr>
      <vt:lpstr>'Nr(V)'!h_3000</vt:lpstr>
      <vt:lpstr>'Nr(V)'!h_3500</vt:lpstr>
      <vt:lpstr>'Nr(V)'!h_4000</vt:lpstr>
      <vt:lpstr>'Nr(V)'!h_4500</vt:lpstr>
      <vt:lpstr>'Nr(V)'!h_500</vt:lpstr>
      <vt:lpstr>'Nr(V)'!h_5011</vt:lpstr>
      <vt:lpstr>'Nr(V)'!Obszar_wydruku</vt:lpstr>
      <vt:lpstr>Podsumowanie!V_PWS</vt:lpstr>
      <vt:lpstr>Podsumowanie!V2_PWS</vt:lpstr>
    </vt:vector>
  </TitlesOfParts>
  <Company>Polska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Czajkowski</dc:creator>
  <cp:lastModifiedBy>Czajkowski Sebastian (STUD)</cp:lastModifiedBy>
  <dcterms:created xsi:type="dcterms:W3CDTF">2022-04-13T21:31:56Z</dcterms:created>
  <dcterms:modified xsi:type="dcterms:W3CDTF">2024-01-04T10:00:45Z</dcterms:modified>
</cp:coreProperties>
</file>